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20" activeTab="22"/>
  </bookViews>
  <sheets>
    <sheet name="L-5877" sheetId="11" r:id="rId1"/>
    <sheet name="L-5844" sheetId="14" r:id="rId2"/>
    <sheet name="L-5849" sheetId="21" r:id="rId3"/>
    <sheet name="L-5842" sheetId="22" r:id="rId4"/>
    <sheet name="L-5841" sheetId="24" r:id="rId5"/>
    <sheet name="L-5801" sheetId="23" r:id="rId6"/>
    <sheet name="L-5843" sheetId="15" r:id="rId7"/>
    <sheet name="L-5854" sheetId="4" r:id="rId8"/>
    <sheet name="L-5853" sheetId="5" r:id="rId9"/>
    <sheet name="L-5874" sheetId="6" r:id="rId10"/>
    <sheet name="L-5876" sheetId="7" r:id="rId11"/>
    <sheet name="L-5800" sheetId="8" r:id="rId12"/>
    <sheet name="L-5881" sheetId="32" r:id="rId13"/>
    <sheet name="L-5890" sheetId="1" r:id="rId14"/>
    <sheet name="L-5892" sheetId="2" r:id="rId15"/>
    <sheet name="L-5894" sheetId="3" r:id="rId16"/>
    <sheet name="L-5860" sheetId="10" r:id="rId17"/>
    <sheet name="L-5861" sheetId="37" r:id="rId18"/>
    <sheet name="L-5862" sheetId="38" r:id="rId19"/>
    <sheet name="L-5878" sheetId="12" r:id="rId20"/>
    <sheet name="L-5864" sheetId="16" r:id="rId21"/>
    <sheet name="L-5870" sheetId="17" r:id="rId22"/>
    <sheet name="L-5869" sheetId="18" r:id="rId23"/>
    <sheet name="L-5868" sheetId="19" r:id="rId24"/>
    <sheet name="L-5865" sheetId="20" r:id="rId25"/>
    <sheet name="L-5872" sheetId="33" r:id="rId26"/>
    <sheet name="L-5873" sheetId="34" r:id="rId27"/>
    <sheet name="L-5863" sheetId="35" r:id="rId28"/>
    <sheet name="L-5889" sheetId="36" r:id="rId29"/>
    <sheet name="L-5871" sheetId="39" r:id="rId3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7" l="1"/>
  <c r="E47" i="7"/>
  <c r="F39" i="8" l="1"/>
  <c r="E39" i="8"/>
  <c r="F30" i="35" l="1"/>
  <c r="E30" i="35"/>
  <c r="F23" i="20" l="1"/>
  <c r="F24" i="20" s="1"/>
  <c r="F25" i="20" s="1"/>
  <c r="F26" i="20" s="1"/>
  <c r="F27" i="20" s="1"/>
  <c r="F28" i="20" s="1"/>
  <c r="F29" i="20" s="1"/>
  <c r="F30" i="20" s="1"/>
  <c r="F31" i="20" s="1"/>
  <c r="F32" i="20" s="1"/>
  <c r="E23" i="20"/>
  <c r="E24" i="20" s="1"/>
  <c r="E25" i="20" s="1"/>
  <c r="E26" i="20" s="1"/>
  <c r="E27" i="20" s="1"/>
  <c r="E28" i="20" s="1"/>
  <c r="E29" i="20" s="1"/>
  <c r="E30" i="20" s="1"/>
  <c r="E31" i="20" s="1"/>
  <c r="E32" i="20" s="1"/>
  <c r="F28" i="1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27" i="11"/>
  <c r="E27" i="1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F27" i="12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E27" i="12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F32" i="10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31" i="10"/>
  <c r="E31" i="10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F31" i="21"/>
  <c r="E31" i="21"/>
  <c r="E27" i="36"/>
  <c r="E20" i="35"/>
  <c r="E21" i="35" s="1"/>
  <c r="F11" i="36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11" i="36"/>
  <c r="F10" i="35"/>
  <c r="F11" i="35" s="1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E10" i="35"/>
  <c r="E11" i="35" s="1"/>
  <c r="E12" i="35" s="1"/>
  <c r="E13" i="35" s="1"/>
  <c r="E14" i="35" s="1"/>
  <c r="E15" i="35" s="1"/>
  <c r="E16" i="35" s="1"/>
  <c r="E17" i="35" s="1"/>
  <c r="E18" i="35" s="1"/>
  <c r="E19" i="35" s="1"/>
  <c r="F9" i="34"/>
  <c r="F10" i="34" s="1"/>
  <c r="F11" i="34" s="1"/>
  <c r="F12" i="34" s="1"/>
  <c r="F13" i="34" s="1"/>
  <c r="F14" i="34" s="1"/>
  <c r="F15" i="34" s="1"/>
  <c r="F16" i="34" s="1"/>
  <c r="F17" i="34" s="1"/>
  <c r="F18" i="34" s="1"/>
  <c r="F19" i="34" s="1"/>
  <c r="F20" i="34" s="1"/>
  <c r="F21" i="34" s="1"/>
  <c r="F22" i="34" s="1"/>
  <c r="F23" i="34" s="1"/>
  <c r="F24" i="34" s="1"/>
  <c r="E9" i="34"/>
  <c r="E10" i="34" s="1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F10" i="33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F9" i="33"/>
  <c r="E9" i="33"/>
  <c r="E10" i="33" s="1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F12" i="6"/>
  <c r="F9" i="32"/>
  <c r="F10" i="32" s="1"/>
  <c r="F11" i="32" s="1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F35" i="32" s="1"/>
  <c r="F36" i="32" s="1"/>
  <c r="F37" i="32" s="1"/>
  <c r="E9" i="32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F22" i="35" l="1"/>
  <c r="F23" i="35" s="1"/>
  <c r="F24" i="35" s="1"/>
  <c r="F25" i="35" s="1"/>
  <c r="F26" i="35" s="1"/>
  <c r="F27" i="35" s="1"/>
  <c r="F28" i="35" s="1"/>
  <c r="F29" i="35" s="1"/>
  <c r="E22" i="35"/>
  <c r="E23" i="35" s="1"/>
  <c r="E24" i="35" s="1"/>
  <c r="E25" i="35" s="1"/>
  <c r="E26" i="35" s="1"/>
  <c r="E27" i="35" s="1"/>
  <c r="E28" i="35" s="1"/>
  <c r="E29" i="35" s="1"/>
  <c r="F10" i="24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F24" i="24" s="1"/>
  <c r="F25" i="24" s="1"/>
  <c r="F26" i="24" s="1"/>
  <c r="F27" i="24" s="1"/>
  <c r="F9" i="24"/>
  <c r="E9" i="24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10" i="2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F9" i="2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E9" i="21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F22" i="19"/>
  <c r="F23" i="19" s="1"/>
  <c r="F24" i="19" s="1"/>
  <c r="F25" i="19" s="1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E9" i="19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F10" i="18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9" i="18"/>
  <c r="E9" i="18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F10" i="17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E10" i="17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F9" i="17"/>
  <c r="E9" i="17"/>
  <c r="F40" i="7"/>
  <c r="F41" i="7" s="1"/>
  <c r="F42" i="7" s="1"/>
  <c r="F43" i="7" s="1"/>
  <c r="F44" i="7" s="1"/>
  <c r="F45" i="7" s="1"/>
  <c r="F46" i="7" s="1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E9" i="14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F13" i="6"/>
  <c r="F14" i="6" s="1"/>
  <c r="F15" i="6" s="1"/>
  <c r="F16" i="6" s="1"/>
  <c r="E13" i="6"/>
  <c r="E14" i="6" s="1"/>
  <c r="E15" i="6" s="1"/>
  <c r="E16" i="6" s="1"/>
  <c r="F9" i="12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E9" i="12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F10" i="1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9" i="11"/>
  <c r="E9" i="1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E9" i="8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F10" i="7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9" i="7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</calcChain>
</file>

<file path=xl/sharedStrings.xml><?xml version="1.0" encoding="utf-8"?>
<sst xmlns="http://schemas.openxmlformats.org/spreadsheetml/2006/main" count="1644" uniqueCount="522">
  <si>
    <t>Date</t>
  </si>
  <si>
    <t>R.NO</t>
  </si>
  <si>
    <t>Description</t>
  </si>
  <si>
    <t>Amount Rec</t>
  </si>
  <si>
    <t>Total Rec</t>
  </si>
  <si>
    <t>Amount Due</t>
  </si>
  <si>
    <t>Name : Muhammad Javed</t>
  </si>
  <si>
    <t>Plot No : L-5890</t>
  </si>
  <si>
    <t>Cost : 700,000</t>
  </si>
  <si>
    <t>14/4/2023</t>
  </si>
  <si>
    <t>16/4/2023</t>
  </si>
  <si>
    <t>14/5/2023</t>
  </si>
  <si>
    <t>18/6/2023</t>
  </si>
  <si>
    <t>16/7/2023</t>
  </si>
  <si>
    <t>13/8/2023</t>
  </si>
  <si>
    <t>17/9/2023</t>
  </si>
  <si>
    <t>22/10/2023</t>
  </si>
  <si>
    <t>27/11/2023</t>
  </si>
  <si>
    <t>27/12/2023</t>
  </si>
  <si>
    <t>14/1/2024</t>
  </si>
  <si>
    <t>Token site</t>
  </si>
  <si>
    <t>Res Booking</t>
  </si>
  <si>
    <t>instalment</t>
  </si>
  <si>
    <t>Dec paid instal</t>
  </si>
  <si>
    <t>17/2/2024</t>
  </si>
  <si>
    <t>22/9/2024</t>
  </si>
  <si>
    <t>13/10/2024</t>
  </si>
  <si>
    <t>16/3/2025</t>
  </si>
  <si>
    <t>22/6/2025</t>
  </si>
  <si>
    <t>13/8/2025</t>
  </si>
  <si>
    <t>Name : Asad Ahmed</t>
  </si>
  <si>
    <t>Father Name : Mehboob Ahmed</t>
  </si>
  <si>
    <t>CNIC # 42201-2988314-1</t>
  </si>
  <si>
    <t>Contact # 0312-2980168</t>
  </si>
  <si>
    <t>Plot No : L-5892</t>
  </si>
  <si>
    <t>15/4/2023</t>
  </si>
  <si>
    <t>29/4/2023</t>
  </si>
  <si>
    <t>30/8/2023</t>
  </si>
  <si>
    <t>30/9/2023</t>
  </si>
  <si>
    <t>25/10/2023</t>
  </si>
  <si>
    <t>30/12/2023</t>
  </si>
  <si>
    <t>26/1/2024</t>
  </si>
  <si>
    <t>26/2/2024</t>
  </si>
  <si>
    <t>25/3/2024</t>
  </si>
  <si>
    <t>20/4/2024</t>
  </si>
  <si>
    <t>23/5/2024</t>
  </si>
  <si>
    <t>13/8/2024</t>
  </si>
  <si>
    <t>26/9/2024</t>
  </si>
  <si>
    <t>30/10/2024</t>
  </si>
  <si>
    <t>28/12/2024</t>
  </si>
  <si>
    <t>26/1/2025</t>
  </si>
  <si>
    <t>25/3/2025</t>
  </si>
  <si>
    <t>26/4/2025</t>
  </si>
  <si>
    <t>22/5/2025</t>
  </si>
  <si>
    <t>27/11/2025</t>
  </si>
  <si>
    <t>26/1/2026</t>
  </si>
  <si>
    <t>27/2/2026</t>
  </si>
  <si>
    <t>Plot No : L-5894</t>
  </si>
  <si>
    <t>31/7/2023</t>
  </si>
  <si>
    <t>4 5156</t>
  </si>
  <si>
    <t>Token Adj</t>
  </si>
  <si>
    <t>29/4/2024</t>
  </si>
  <si>
    <t>28/5/2024</t>
  </si>
  <si>
    <t>28/8/2024</t>
  </si>
  <si>
    <t>28/2/2025</t>
  </si>
  <si>
    <t>22/5/2024</t>
  </si>
  <si>
    <t>Name : Adil Mukhtiar</t>
  </si>
  <si>
    <t>Father Name : Mukhtiar Ahmed  Khan</t>
  </si>
  <si>
    <t>CNIC # 42101-3770280-1</t>
  </si>
  <si>
    <t>Contact # 03456028129</t>
  </si>
  <si>
    <t>Plot No : L-5854</t>
  </si>
  <si>
    <t>Cost : 600,000</t>
  </si>
  <si>
    <t>16/2/2023</t>
  </si>
  <si>
    <t>19/2/2023</t>
  </si>
  <si>
    <t>20/3/2023</t>
  </si>
  <si>
    <t>20/4/2023</t>
  </si>
  <si>
    <t>17/6/2023</t>
  </si>
  <si>
    <t>15/8/2023</t>
  </si>
  <si>
    <t>19/9/2023</t>
  </si>
  <si>
    <t>16/10/2023</t>
  </si>
  <si>
    <t>13/12/2023</t>
  </si>
  <si>
    <t>15/4/2024</t>
  </si>
  <si>
    <t>13/5/2024</t>
  </si>
  <si>
    <t>14/12/2024</t>
  </si>
  <si>
    <t>22/4/2025</t>
  </si>
  <si>
    <t>21/11/2025</t>
  </si>
  <si>
    <t>20/12/2025</t>
  </si>
  <si>
    <t>22/1/2026</t>
  </si>
  <si>
    <t>22/2/2026</t>
  </si>
  <si>
    <t>Plot No : L-5853</t>
  </si>
  <si>
    <t>Name : Zubair</t>
  </si>
  <si>
    <t>CNIC # 42101-2203105-7</t>
  </si>
  <si>
    <t>Contact # 03452554672</t>
  </si>
  <si>
    <t>23/7/2023</t>
  </si>
  <si>
    <t>22/12/2023</t>
  </si>
  <si>
    <t>16/1/2024</t>
  </si>
  <si>
    <t>Res booking</t>
  </si>
  <si>
    <t>Father Name : Abdul Rahim</t>
  </si>
  <si>
    <t>CNIC # 42201-193007-7</t>
  </si>
  <si>
    <t>Contact # 03188343474</t>
  </si>
  <si>
    <t>Plot No : L-5874</t>
  </si>
  <si>
    <t>22/9/2025</t>
  </si>
  <si>
    <t>28/10/2025</t>
  </si>
  <si>
    <t>26/11/2025</t>
  </si>
  <si>
    <t>Booking</t>
  </si>
  <si>
    <t>Father Name : Muhammad Ibrahim</t>
  </si>
  <si>
    <t>Name : Muhammad Tahir khan</t>
  </si>
  <si>
    <t>CNIC # 42101-1396097-9</t>
  </si>
  <si>
    <t>Contact # 03008278830</t>
  </si>
  <si>
    <t>Plot No : L-5876</t>
  </si>
  <si>
    <t>Adj Reh</t>
  </si>
  <si>
    <t>23/5/2023</t>
  </si>
  <si>
    <t>22/7/2023</t>
  </si>
  <si>
    <t>23/9/2023</t>
  </si>
  <si>
    <t>13/12/2022</t>
  </si>
  <si>
    <t>14/3/2024</t>
  </si>
  <si>
    <t>13/6/2024</t>
  </si>
  <si>
    <t>13/11/2024</t>
  </si>
  <si>
    <t>16/4/2025</t>
  </si>
  <si>
    <t>15/8/2025</t>
  </si>
  <si>
    <t>14/10/2025</t>
  </si>
  <si>
    <t>20/11/2025</t>
  </si>
  <si>
    <t>20/1/2026</t>
  </si>
  <si>
    <t>17/2/2026</t>
  </si>
  <si>
    <t>Name : Muhammad Shahrukh</t>
  </si>
  <si>
    <t>Father Name : Muhammad shafiq</t>
  </si>
  <si>
    <t>CNIC # 42401-2677543-5</t>
  </si>
  <si>
    <t>Contact # 03412514490</t>
  </si>
  <si>
    <t>Plot No : L-5800</t>
  </si>
  <si>
    <t>20/2/2023</t>
  </si>
  <si>
    <t>20/10/2023</t>
  </si>
  <si>
    <t>26/3/2023</t>
  </si>
  <si>
    <t>19/1/2024</t>
  </si>
  <si>
    <t>15/7/2024</t>
  </si>
  <si>
    <t>13/9/2024</t>
  </si>
  <si>
    <t>17/1/2025</t>
  </si>
  <si>
    <t>13/2/2025</t>
  </si>
  <si>
    <t>27/3/2025</t>
  </si>
  <si>
    <t>15/7/2025</t>
  </si>
  <si>
    <t>17/8/2025</t>
  </si>
  <si>
    <t>16/9/2025</t>
  </si>
  <si>
    <t>24/10/2025</t>
  </si>
  <si>
    <t>19/12/2025</t>
  </si>
  <si>
    <t>16/2/2026</t>
  </si>
  <si>
    <t>Token ADJ</t>
  </si>
  <si>
    <t>Father Name : Muhammad Shafee</t>
  </si>
  <si>
    <t>CNIC # 42301-5782757-9</t>
  </si>
  <si>
    <t>Contact # 0331830267</t>
  </si>
  <si>
    <t>Father Name : M. Feroz</t>
  </si>
  <si>
    <t>CNIC # 42401-9284731-9</t>
  </si>
  <si>
    <t>Contact # 03433193386</t>
  </si>
  <si>
    <t>Plot No : L-5860</t>
  </si>
  <si>
    <t>Cost : 390,000</t>
  </si>
  <si>
    <t>19/11/2022</t>
  </si>
  <si>
    <t>20/5/2023</t>
  </si>
  <si>
    <t>15/7/2023</t>
  </si>
  <si>
    <t>14/8/2023</t>
  </si>
  <si>
    <t>Name : Muhammad Shaban Tahir</t>
  </si>
  <si>
    <t>Father Name :Gulam shabbir</t>
  </si>
  <si>
    <t>CNIC # 35201-2507677-3</t>
  </si>
  <si>
    <t>Contact # 03419200223</t>
  </si>
  <si>
    <t>Plot No : L-5877</t>
  </si>
  <si>
    <t>Cost : 400,000</t>
  </si>
  <si>
    <t>17/10/2020</t>
  </si>
  <si>
    <t>Name : Ghulam Mustafa Ajmal</t>
  </si>
  <si>
    <t>Father Name :Muhammad Chiragh</t>
  </si>
  <si>
    <t>CNIC # 42401-1610397</t>
  </si>
  <si>
    <t>Contact # 03432203829</t>
  </si>
  <si>
    <t>Plot No : L-5878</t>
  </si>
  <si>
    <t>13/3/2026</t>
  </si>
  <si>
    <t>Code Num;cgd8270238</t>
  </si>
  <si>
    <t>25/3/2026</t>
  </si>
  <si>
    <t>Code Num;CHH7395133</t>
  </si>
  <si>
    <t>27/3/2026</t>
  </si>
  <si>
    <t>Name : Muhammad Aslam</t>
  </si>
  <si>
    <t xml:space="preserve">Name : Javed Iqbal </t>
  </si>
  <si>
    <t>Father Name :Abdul Rasheed</t>
  </si>
  <si>
    <t>CNIC # 42401-0477496-7</t>
  </si>
  <si>
    <t>Contact # 03452987085</t>
  </si>
  <si>
    <t>Plot No : L-5844</t>
  </si>
  <si>
    <t>Cost : 435,000</t>
  </si>
  <si>
    <t>Code Num;BVQ4188512</t>
  </si>
  <si>
    <t>27/1/2022</t>
  </si>
  <si>
    <t>15/10/2023</t>
  </si>
  <si>
    <t>24/2/2025</t>
  </si>
  <si>
    <t>18/5/2025</t>
  </si>
  <si>
    <t>13/9/2025</t>
  </si>
  <si>
    <t>HAVE THE INSTALMENTS OF THIS PLOT BEEN FULLY PAID AND HAS DEVELOPMENTS STARTED ON IT</t>
  </si>
  <si>
    <t>Name : Muhammad Riaz</t>
  </si>
  <si>
    <t xml:space="preserve">CNIC # </t>
  </si>
  <si>
    <t>Contact # 034620313335</t>
  </si>
  <si>
    <t>Plot No : L-5843</t>
  </si>
  <si>
    <t>Code Num;CAG6389422</t>
  </si>
  <si>
    <t>Name : M.Maveed.khan</t>
  </si>
  <si>
    <t>Name : Syed Shakeel Ahmed</t>
  </si>
  <si>
    <t>Father Name :Syed Irshad Ahmed</t>
  </si>
  <si>
    <t>CNIC # 42401-2914539-5</t>
  </si>
  <si>
    <t>Contact # 03212862467</t>
  </si>
  <si>
    <t>Plot No : L-5864</t>
  </si>
  <si>
    <t>Cost : 500,000</t>
  </si>
  <si>
    <t>Code Num;CQW8873872</t>
  </si>
  <si>
    <t>nill</t>
  </si>
  <si>
    <t>DEVELOPMENT HOLD FOR 6 MONTH</t>
  </si>
  <si>
    <t>Name : M.Nabeel</t>
  </si>
  <si>
    <t>Father Name :M. Mushtaq Ahmed</t>
  </si>
  <si>
    <t>CNIC # 42101-6308425-1</t>
  </si>
  <si>
    <t>Contact # 03002564307</t>
  </si>
  <si>
    <t>Plot No : 5870</t>
  </si>
  <si>
    <t>Code Num;CQW8873853</t>
  </si>
  <si>
    <t>27/2/2023</t>
  </si>
  <si>
    <t>21/5/2023</t>
  </si>
  <si>
    <t>22/8/2023</t>
  </si>
  <si>
    <t>29/10/2022</t>
  </si>
  <si>
    <t>21/3/2024</t>
  </si>
  <si>
    <t>24/4/2024</t>
  </si>
  <si>
    <t>Instalment</t>
  </si>
  <si>
    <t>21/2/2024</t>
  </si>
  <si>
    <t>20/9/2024</t>
  </si>
  <si>
    <t>17/10/2024</t>
  </si>
  <si>
    <t>29/11/2024</t>
  </si>
  <si>
    <t>5000 ADJUST AGAINST DEVELOPMENT</t>
  </si>
  <si>
    <t>DEVELOPMENT CONTINUE</t>
  </si>
  <si>
    <t>Name : Muhammad Idress</t>
  </si>
  <si>
    <t>Father Name :Manzoor Ahmed</t>
  </si>
  <si>
    <t>CNIC # 31301-9989532-9</t>
  </si>
  <si>
    <t xml:space="preserve">Contact # </t>
  </si>
  <si>
    <t>Plot No : 5869</t>
  </si>
  <si>
    <t>Code Num;CQW8873855</t>
  </si>
  <si>
    <t>29/10/2023</t>
  </si>
  <si>
    <t>20/7/2024</t>
  </si>
  <si>
    <t>Name : Fahad Jamal</t>
  </si>
  <si>
    <t>Father Name :M. Jamal Uddin Baqai</t>
  </si>
  <si>
    <t>CNIC # 42101-2928794-3</t>
  </si>
  <si>
    <t>Plot No : 5868</t>
  </si>
  <si>
    <t>Code Num;CQW8873858</t>
  </si>
  <si>
    <t>21/5/2024</t>
  </si>
  <si>
    <t>Name : M.Naeem Khan</t>
  </si>
  <si>
    <t>Father Name :Abdul Hakim Khan</t>
  </si>
  <si>
    <t>CNIC # 42301-2012684-1</t>
  </si>
  <si>
    <t>Plot No : 5865</t>
  </si>
  <si>
    <t>Cost : 350,000</t>
  </si>
  <si>
    <t>Code Num;CRB7113065</t>
  </si>
  <si>
    <t>24/11/2022</t>
  </si>
  <si>
    <t>19/3/2023</t>
  </si>
  <si>
    <t>30/4/2023</t>
  </si>
  <si>
    <t>28/5/2023</t>
  </si>
  <si>
    <t>30/7/2023</t>
  </si>
  <si>
    <t>17/12/2023</t>
  </si>
  <si>
    <t>Residential</t>
  </si>
  <si>
    <t>23/6/2024</t>
  </si>
  <si>
    <t>Name : Murtaza</t>
  </si>
  <si>
    <t>Father Name :Muhammad Mustafa</t>
  </si>
  <si>
    <t>CNIC # 42401-1866377-3</t>
  </si>
  <si>
    <t>Contact # 03102128545</t>
  </si>
  <si>
    <t>Plot No : L-5849</t>
  </si>
  <si>
    <t>Cost : 430,000</t>
  </si>
  <si>
    <t>Code Num;CLN1764202</t>
  </si>
  <si>
    <t>31/10/2022</t>
  </si>
  <si>
    <t>14/2/2023</t>
  </si>
  <si>
    <t>18/4/2023</t>
  </si>
  <si>
    <t>27/6/2023</t>
  </si>
  <si>
    <t>19/11/2023</t>
  </si>
  <si>
    <t>21/1/2024</t>
  </si>
  <si>
    <t>14/5/2024</t>
  </si>
  <si>
    <t>Adj Rehman</t>
  </si>
  <si>
    <t>Installment</t>
  </si>
  <si>
    <t>14/10/2024</t>
  </si>
  <si>
    <t>26/11/2024</t>
  </si>
  <si>
    <t>27/4/2025</t>
  </si>
  <si>
    <t>18/3/2025</t>
  </si>
  <si>
    <t>25/5/2025</t>
  </si>
  <si>
    <t>INSTALLMENT CLEAR</t>
  </si>
  <si>
    <t>Name : Syed Naeem ur Rehman</t>
  </si>
  <si>
    <t>Father Name :Syed M.Rehman Jafferi</t>
  </si>
  <si>
    <t>CNIC # 42501-8205214-5</t>
  </si>
  <si>
    <t>Contact # 03215586681</t>
  </si>
  <si>
    <t>Plot No : L-5842</t>
  </si>
  <si>
    <t>Code Num;CCD8729734</t>
  </si>
  <si>
    <t>Given amount</t>
  </si>
  <si>
    <t>al rehman Adj</t>
  </si>
  <si>
    <t>18/4/2026</t>
  </si>
  <si>
    <t>development</t>
  </si>
  <si>
    <t>Nill</t>
  </si>
  <si>
    <t>Againt plot 5802,5803.5804</t>
  </si>
  <si>
    <t>Plot No : L-5801</t>
  </si>
  <si>
    <t>Code Num;CGR8056913</t>
  </si>
  <si>
    <t xml:space="preserve">Adj file given to </t>
  </si>
  <si>
    <t>Al rehman</t>
  </si>
  <si>
    <t>INSTALLMENT AND DEVELOPMENT BOTH CLEAR</t>
  </si>
  <si>
    <t>Plot No : L-5841</t>
  </si>
  <si>
    <t>Code Num;CPB4225868</t>
  </si>
  <si>
    <t>27/7/2023</t>
  </si>
  <si>
    <t>24/8/2023</t>
  </si>
  <si>
    <t>30/11/2023</t>
  </si>
  <si>
    <t>INSTALLMENT</t>
  </si>
  <si>
    <t>Development</t>
  </si>
  <si>
    <t>INSTALMENT AND DEVELOPMENT BOTH CLEAR</t>
  </si>
  <si>
    <t>Code Num;BER3243671</t>
  </si>
  <si>
    <t>Code Num;BCH2843292</t>
  </si>
  <si>
    <t>Code Num;BNJ8694438</t>
  </si>
  <si>
    <t>Code Num;CNS3004787</t>
  </si>
  <si>
    <t>Code Num;CHX6116844</t>
  </si>
  <si>
    <t>29/10/2025</t>
  </si>
  <si>
    <t>Code Num;CJB5214046</t>
  </si>
  <si>
    <t>Code Num;CQG5435432</t>
  </si>
  <si>
    <t>Name : Muhammad Saleem</t>
  </si>
  <si>
    <t>Father Name : Muhammad sarwar</t>
  </si>
  <si>
    <t>CNIC # 32202-0146620-9</t>
  </si>
  <si>
    <t>Contact # 03022685806</t>
  </si>
  <si>
    <t>Plot No : L-5881</t>
  </si>
  <si>
    <t>Cost :450,000</t>
  </si>
  <si>
    <t>Code Num;BNV2453646</t>
  </si>
  <si>
    <t>29/3/2022</t>
  </si>
  <si>
    <t>19/9/2022</t>
  </si>
  <si>
    <t>19/1/2022</t>
  </si>
  <si>
    <t>19/8/2022</t>
  </si>
  <si>
    <t>16/9/2023</t>
  </si>
  <si>
    <t>13/11/2023</t>
  </si>
  <si>
    <t>Adv Adj Rehmn</t>
  </si>
  <si>
    <t>Adj Sobho</t>
  </si>
  <si>
    <t>13/2/2024</t>
  </si>
  <si>
    <t>16/6/2024</t>
  </si>
  <si>
    <t>13/7/2024</t>
  </si>
  <si>
    <t>21/10/2024</t>
  </si>
  <si>
    <t>22/11/2024</t>
  </si>
  <si>
    <t>21/9/2025</t>
  </si>
  <si>
    <t>14/3/2025</t>
  </si>
  <si>
    <t>23/4/2025</t>
  </si>
  <si>
    <t>Ccode Num;CRT0186318</t>
  </si>
  <si>
    <t>15/5/2026</t>
  </si>
  <si>
    <t>Name : Shabana</t>
  </si>
  <si>
    <t>Father Name :M. Rafi</t>
  </si>
  <si>
    <t>CNIC # 42201-57977758-2</t>
  </si>
  <si>
    <t>Plot No : 5872</t>
  </si>
  <si>
    <t>29/8/2022</t>
  </si>
  <si>
    <t>20/9/2022</t>
  </si>
  <si>
    <t>18/3/2023</t>
  </si>
  <si>
    <t>27/8/2023</t>
  </si>
  <si>
    <t>15/1/2024</t>
  </si>
  <si>
    <t>18/2/2024</t>
  </si>
  <si>
    <t>17/3/2024</t>
  </si>
  <si>
    <t>21/4/2024</t>
  </si>
  <si>
    <t>19/5/2024</t>
  </si>
  <si>
    <t>25/6/2024</t>
  </si>
  <si>
    <t>20/10/2024</t>
  </si>
  <si>
    <t>15/12/2024</t>
  </si>
  <si>
    <t>Code Num;</t>
  </si>
  <si>
    <t>Name : Muhammad Naseem</t>
  </si>
  <si>
    <t>Plot No : 5873</t>
  </si>
  <si>
    <t>NAME:</t>
  </si>
  <si>
    <t>F\NAME:</t>
  </si>
  <si>
    <t>CNIC</t>
  </si>
  <si>
    <t>CODE NUM:</t>
  </si>
  <si>
    <t>CONTACT NO:</t>
  </si>
  <si>
    <t>PLOT NO:</t>
  </si>
  <si>
    <t>SAMI AHMAD</t>
  </si>
  <si>
    <t>MUHAMMAD SHAFIQ</t>
  </si>
  <si>
    <t>42401-1290066-1</t>
  </si>
  <si>
    <t>0341-9300847</t>
  </si>
  <si>
    <t>CVR1029555</t>
  </si>
  <si>
    <t>23\12\024</t>
  </si>
  <si>
    <t>05\01\025</t>
  </si>
  <si>
    <t>03\03\025</t>
  </si>
  <si>
    <t>26\04\025</t>
  </si>
  <si>
    <t>06\05\025</t>
  </si>
  <si>
    <t>02\07\025</t>
  </si>
  <si>
    <t>07\08\025</t>
  </si>
  <si>
    <t>05\09\025</t>
  </si>
  <si>
    <t>07\10\025</t>
  </si>
  <si>
    <t>02\11\025</t>
  </si>
  <si>
    <t>19\01\026</t>
  </si>
  <si>
    <t>14\01\026</t>
  </si>
  <si>
    <t>01\03\026</t>
  </si>
  <si>
    <t>01\04\026</t>
  </si>
  <si>
    <t>18\05\026</t>
  </si>
  <si>
    <t>19\05\026</t>
  </si>
  <si>
    <t>10\04\026</t>
  </si>
  <si>
    <t>CODE:</t>
  </si>
  <si>
    <t>7\6\26</t>
  </si>
  <si>
    <t>CNIC NO:</t>
  </si>
  <si>
    <t>ARSHAD ALI</t>
  </si>
  <si>
    <t>GULAM MUSTAFA</t>
  </si>
  <si>
    <t>0333-3678258</t>
  </si>
  <si>
    <t>31302-6798671-9</t>
  </si>
  <si>
    <t>13\8\23</t>
  </si>
  <si>
    <t>15\8\23</t>
  </si>
  <si>
    <t>27\11\23</t>
  </si>
  <si>
    <t>11\12\23</t>
  </si>
  <si>
    <t>14\2\24</t>
  </si>
  <si>
    <t>10\3\24</t>
  </si>
  <si>
    <t>5\6\24</t>
  </si>
  <si>
    <t>7\7\24</t>
  </si>
  <si>
    <t>6\10\24</t>
  </si>
  <si>
    <t>13\11\24</t>
  </si>
  <si>
    <t>12\1\25</t>
  </si>
  <si>
    <t>13\2\25</t>
  </si>
  <si>
    <t>2\5\25</t>
  </si>
  <si>
    <t>21\6\25</t>
  </si>
  <si>
    <t>16\8\25</t>
  </si>
  <si>
    <t>10\9\25</t>
  </si>
  <si>
    <t>23\11\25</t>
  </si>
  <si>
    <t>6\6\25</t>
  </si>
  <si>
    <t>TOKEN</t>
  </si>
  <si>
    <t>RESIDENTAIL BOOKING</t>
  </si>
  <si>
    <t>INSTALMENT</t>
  </si>
  <si>
    <t>12\6\26</t>
  </si>
  <si>
    <t>DEVELOPMENT</t>
  </si>
  <si>
    <t>CGB7898988</t>
  </si>
  <si>
    <t>CHY0255620</t>
  </si>
  <si>
    <t>22\4\26</t>
  </si>
  <si>
    <t>20\5\26</t>
  </si>
  <si>
    <t>20\6\26</t>
  </si>
  <si>
    <t>CKF4589922</t>
  </si>
  <si>
    <t>CSN8399643</t>
  </si>
  <si>
    <t>18\7\26</t>
  </si>
  <si>
    <t>ZAKIR KHAN</t>
  </si>
  <si>
    <t>ZAHIR KHAN</t>
  </si>
  <si>
    <t>0371-2035262</t>
  </si>
  <si>
    <t>42401-1970668-5</t>
  </si>
  <si>
    <t>CQH2925848</t>
  </si>
  <si>
    <t>21\7\26</t>
  </si>
  <si>
    <t>BOOKING</t>
  </si>
  <si>
    <t>DEALER</t>
  </si>
  <si>
    <t>RASHID AWAN</t>
  </si>
  <si>
    <t>COMMISION</t>
  </si>
  <si>
    <t>CODE NO:</t>
  </si>
  <si>
    <t>ABDUL AMEEN</t>
  </si>
  <si>
    <t>ABDUL SHAKOOR</t>
  </si>
  <si>
    <t>16201-9052773-5</t>
  </si>
  <si>
    <t>CUU2693286</t>
  </si>
  <si>
    <t>30\6\26</t>
  </si>
  <si>
    <t>3\12\25</t>
  </si>
  <si>
    <t>CPX3035425</t>
  </si>
  <si>
    <t>25\7\2026</t>
  </si>
  <si>
    <t>19/7/26</t>
  </si>
  <si>
    <t>DEVE</t>
  </si>
  <si>
    <t>DEVELOMENT CONTINUE#</t>
  </si>
  <si>
    <r>
      <t>24</t>
    </r>
    <r>
      <rPr>
        <b/>
        <sz val="14"/>
        <color theme="1"/>
        <rFont val="Calibri"/>
        <family val="2"/>
        <scheme val="minor"/>
      </rPr>
      <t>/</t>
    </r>
    <r>
      <rPr>
        <sz val="14"/>
        <color theme="1"/>
        <rFont val="Calibri"/>
        <family val="2"/>
        <scheme val="minor"/>
      </rPr>
      <t>5/25</t>
    </r>
  </si>
  <si>
    <t>14/6/25</t>
  </si>
  <si>
    <t>13/7/25</t>
  </si>
  <si>
    <t>14/9/25</t>
  </si>
  <si>
    <t>13/12/25</t>
  </si>
  <si>
    <t>14/2/26</t>
  </si>
  <si>
    <t>14/6/26</t>
  </si>
  <si>
    <t xml:space="preserve">R NO </t>
  </si>
  <si>
    <t>DESRIPTION</t>
  </si>
  <si>
    <t xml:space="preserve">AMOUNT </t>
  </si>
  <si>
    <t>TOTAL REC</t>
  </si>
  <si>
    <t>DUE AMOUNT</t>
  </si>
  <si>
    <t>DATE</t>
  </si>
  <si>
    <t>30/12/25</t>
  </si>
  <si>
    <t>AMOUNT</t>
  </si>
  <si>
    <t xml:space="preserve">DUE AMOUNT </t>
  </si>
  <si>
    <t xml:space="preserve">TOTAL REC </t>
  </si>
  <si>
    <t>22/7/25</t>
  </si>
  <si>
    <t>25/8/25</t>
  </si>
  <si>
    <t>21/9/25</t>
  </si>
  <si>
    <t>26/10/25</t>
  </si>
  <si>
    <t>30/11/25</t>
  </si>
  <si>
    <t>27/12/25</t>
  </si>
  <si>
    <t>30/1/26</t>
  </si>
  <si>
    <t>14/8/26</t>
  </si>
  <si>
    <t>20/7/26</t>
  </si>
  <si>
    <t>20/8/26</t>
  </si>
  <si>
    <t>22/8/26</t>
  </si>
  <si>
    <t>30/8/26</t>
  </si>
  <si>
    <t>Date (تاریخ)</t>
  </si>
  <si>
    <t>Receipt No (رسید نمبر)</t>
  </si>
  <si>
    <t>Mode (طریقہ کار)</t>
  </si>
  <si>
    <t>Installment (قسط)</t>
  </si>
  <si>
    <t>Balance (بقیہ رقم)</t>
  </si>
  <si>
    <t>14/12/25</t>
  </si>
  <si>
    <t>Online</t>
  </si>
  <si>
    <t>4,40,000</t>
  </si>
  <si>
    <t>18/01/26</t>
  </si>
  <si>
    <t>4,30,000</t>
  </si>
  <si>
    <t>4,20,000</t>
  </si>
  <si>
    <t>4,00,000</t>
  </si>
  <si>
    <t>19/06/26</t>
  </si>
  <si>
    <t>3,90,000</t>
  </si>
  <si>
    <t>24/07/26</t>
  </si>
  <si>
    <t>3,80,000</t>
  </si>
  <si>
    <t>15/09/26</t>
  </si>
  <si>
    <t>3,60,000</t>
  </si>
  <si>
    <t>Cash</t>
  </si>
  <si>
    <t>4,10,000</t>
  </si>
  <si>
    <t>13/08/26</t>
  </si>
  <si>
    <t>3,70,000</t>
  </si>
  <si>
    <t>19/9/26</t>
  </si>
  <si>
    <t>installment</t>
  </si>
  <si>
    <t>27/06/2026</t>
  </si>
  <si>
    <t>20/07/2026</t>
  </si>
  <si>
    <t>27/08/2026</t>
  </si>
  <si>
    <t>20/09/2026</t>
  </si>
  <si>
    <t xml:space="preserve">Name : Asad </t>
  </si>
  <si>
    <t>RES BOOKING</t>
  </si>
  <si>
    <t xml:space="preserve">INSTALLMNET </t>
  </si>
  <si>
    <t>5\9\26</t>
  </si>
  <si>
    <t>Sr No</t>
  </si>
  <si>
    <t>Receipt No</t>
  </si>
  <si>
    <t>Payment Mode</t>
  </si>
  <si>
    <t>Amount Received (PKR)</t>
  </si>
  <si>
    <t>Total Received (PKR)</t>
  </si>
  <si>
    <t>Remaining Balance (PKR)</t>
  </si>
  <si>
    <t>25/08/2025</t>
  </si>
  <si>
    <t>Cheque</t>
  </si>
  <si>
    <t>29/09/2025</t>
  </si>
  <si>
    <t>21/10/2025</t>
  </si>
  <si>
    <t>31/12/2025</t>
  </si>
  <si>
    <t>28/01/2026</t>
  </si>
  <si>
    <t>18/08/2026</t>
  </si>
  <si>
    <t>TOTAL</t>
  </si>
  <si>
    <t>Fahad Jmal</t>
  </si>
  <si>
    <t>Plot No:</t>
  </si>
  <si>
    <t>Mobile Number:</t>
  </si>
  <si>
    <t>0321-2704657</t>
  </si>
  <si>
    <t>Total Plot Price:</t>
  </si>
  <si>
    <t>Project Name:</t>
  </si>
  <si>
    <t>Sobho Village Development</t>
  </si>
  <si>
    <t>Current Balance Due:</t>
  </si>
  <si>
    <t>Name: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</si>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</sst>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14" fontId="0" fillId="0" borderId="0" xfId="0" applyNumberFormat="1"/>
    <xf numFmtId="3" fontId="0" fillId="0" borderId="0" xfId="0" applyNumberFormat="1"/>
    <xf numFmtId="0" fontId="0" fillId="0" borderId="2" xfId="0" applyBorder="1" applyAlignment="1">
      <alignment horizontal="left"/>
    </xf>
    <xf numFmtId="0" fontId="5" fillId="0" borderId="0" xfId="0" applyFont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3" fontId="0" fillId="2" borderId="1" xfId="0" applyNumberFormat="1" applyFill="1" applyBorder="1" applyAlignment="1">
      <alignment horizontal="left"/>
    </xf>
    <xf numFmtId="0" fontId="0" fillId="0" borderId="1" xfId="0" applyBorder="1"/>
    <xf numFmtId="0" fontId="0" fillId="0" borderId="3" xfId="0" applyBorder="1"/>
    <xf numFmtId="14" fontId="0" fillId="0" borderId="3" xfId="0" applyNumberFormat="1" applyBorder="1"/>
    <xf numFmtId="14" fontId="0" fillId="2" borderId="3" xfId="0" applyNumberForma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3" fontId="0" fillId="2" borderId="4" xfId="0" applyNumberFormat="1" applyFill="1" applyBorder="1" applyAlignment="1">
      <alignment horizontal="left"/>
    </xf>
    <xf numFmtId="14" fontId="0" fillId="2" borderId="8" xfId="0" applyNumberFormat="1" applyFill="1" applyBorder="1" applyAlignment="1">
      <alignment horizontal="left"/>
    </xf>
    <xf numFmtId="0" fontId="0" fillId="0" borderId="9" xfId="0" applyBorder="1"/>
    <xf numFmtId="3" fontId="0" fillId="2" borderId="9" xfId="0" applyNumberFormat="1" applyFill="1" applyBorder="1" applyAlignment="1">
      <alignment horizontal="left"/>
    </xf>
    <xf numFmtId="3" fontId="0" fillId="2" borderId="10" xfId="0" applyNumberFormat="1" applyFill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2" fillId="0" borderId="1" xfId="0" applyFont="1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6" fillId="0" borderId="0" xfId="0" applyFont="1"/>
    <xf numFmtId="16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0" fontId="2" fillId="3" borderId="1" xfId="0" applyFont="1" applyFill="1" applyBorder="1" applyAlignment="1">
      <alignment horizontal="left"/>
    </xf>
    <xf numFmtId="0" fontId="5" fillId="0" borderId="1" xfId="0" applyFont="1" applyBorder="1"/>
    <xf numFmtId="3" fontId="5" fillId="0" borderId="1" xfId="0" applyNumberFormat="1" applyFont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30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120650</xdr:rowOff>
    </xdr:to>
    <xdr:sp macro="" textlink="">
      <xdr:nvSpPr>
        <xdr:cNvPr id="1025" name="AutoShape 1" descr="blob:https://web.whatsapp.com/ad0d5564-7fea-4a48-9031-589dc2a180eb">
          <a:extLst>
            <a:ext uri="{FF2B5EF4-FFF2-40B4-BE49-F238E27FC236}">
              <a16:creationId xmlns="" xmlns:a16="http://schemas.microsoft.com/office/drawing/2014/main" id="{00000000-0008-0000-0E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81150" y="98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120650</xdr:rowOff>
    </xdr:to>
    <xdr:sp macro="" textlink="">
      <xdr:nvSpPr>
        <xdr:cNvPr id="1026" name="AutoShape 2" descr="blob:https://web.whatsapp.com/ad0d5564-7fea-4a48-9031-589dc2a180eb">
          <a:extLst>
            <a:ext uri="{FF2B5EF4-FFF2-40B4-BE49-F238E27FC236}">
              <a16:creationId xmlns="" xmlns:a16="http://schemas.microsoft.com/office/drawing/2014/main" id="{00000000-0008-0000-0E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581150" y="98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304800</xdr:colOff>
      <xdr:row>48</xdr:row>
      <xdr:rowOff>120650</xdr:rowOff>
    </xdr:to>
    <xdr:sp macro="" textlink="">
      <xdr:nvSpPr>
        <xdr:cNvPr id="1027" name="AutoShape 3" descr="blob:https://web.whatsapp.com/ad0d5564-7fea-4a48-9031-589dc2a180eb">
          <a:extLst>
            <a:ext uri="{FF2B5EF4-FFF2-40B4-BE49-F238E27FC236}">
              <a16:creationId xmlns="" xmlns:a16="http://schemas.microsoft.com/office/drawing/2014/main" id="{00000000-0008-0000-0E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3619500" y="90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120650</xdr:rowOff>
    </xdr:to>
    <xdr:sp macro="" textlink="">
      <xdr:nvSpPr>
        <xdr:cNvPr id="1028" name="AutoShape 4" descr="blob:https://web.whatsapp.com/ad0d5564-7fea-4a48-9031-589dc2a180eb">
          <a:extLst>
            <a:ext uri="{FF2B5EF4-FFF2-40B4-BE49-F238E27FC236}">
              <a16:creationId xmlns="" xmlns:a16="http://schemas.microsoft.com/office/drawing/2014/main" id="{00000000-0008-0000-0E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9017000" y="96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120650</xdr:rowOff>
    </xdr:to>
    <xdr:sp macro="" textlink="">
      <xdr:nvSpPr>
        <xdr:cNvPr id="1029" name="AutoShape 5" descr="blob:https://web.whatsapp.com/ad0d5564-7fea-4a48-9031-589dc2a180eb">
          <a:extLst>
            <a:ext uri="{FF2B5EF4-FFF2-40B4-BE49-F238E27FC236}">
              <a16:creationId xmlns="" xmlns:a16="http://schemas.microsoft.com/office/drawing/2014/main" id="{00000000-0008-0000-0E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9017000" y="96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120650</xdr:rowOff>
    </xdr:to>
    <xdr:sp macro="" textlink="">
      <xdr:nvSpPr>
        <xdr:cNvPr id="1030" name="AutoShape 6" descr="blob:https://web.whatsapp.com/ad0d5564-7fea-4a48-9031-589dc2a180eb">
          <a:extLst>
            <a:ext uri="{FF2B5EF4-FFF2-40B4-BE49-F238E27FC236}">
              <a16:creationId xmlns="" xmlns:a16="http://schemas.microsoft.com/office/drawing/2014/main" id="{00000000-0008-0000-0E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9017000" y="96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id="1" name="Table1" displayName="Table1" ref="A7:F39" totalsRowShown="0" headerRowDxfId="29" headerRowBorderDxfId="28" tableBorderDxfId="27" totalsRowBorderDxfId="26">
  <autoFilter ref="A7:F39"/>
  <tableColumns count="6">
    <tableColumn id="1" name="Date" dataDxfId="25"/>
    <tableColumn id="2" name="R.NO" dataDxfId="24"/>
    <tableColumn id="3" name="Description" dataDxfId="23"/>
    <tableColumn id="4" name="Amount Rec" dataDxfId="22"/>
    <tableColumn id="5" name="Total Rec" dataDxfId="21">
      <calculatedColumnFormula>SUM(E7+D8)</calculatedColumnFormula>
    </tableColumn>
    <tableColumn id="6" name="Amount Due" dataDxfId="20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7:F38" totalsRowShown="0" headerRowDxfId="19" headerRowBorderDxfId="18" tableBorderDxfId="17" totalsRowBorderDxfId="16">
  <autoFilter ref="A7:F38"/>
  <tableColumns count="6">
    <tableColumn id="1" name="Date" dataDxfId="15"/>
    <tableColumn id="2" name="R.NO" dataDxfId="14"/>
    <tableColumn id="3" name="Description" dataDxfId="13"/>
    <tableColumn id="4" name="Amount Rec" dataDxfId="12"/>
    <tableColumn id="5" name="Total Rec" dataDxfId="11">
      <calculatedColumnFormula>SUM(E7+D8)</calculatedColumnFormula>
    </tableColumn>
    <tableColumn id="6" name="Amount Due" dataDxfId="10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F27" totalsRowShown="0" headerRowDxfId="9" headerRowBorderDxfId="8" tableBorderDxfId="7" totalsRowBorderDxfId="6">
  <autoFilter ref="A7:F27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Total Rec" dataDxfId="1">
      <calculatedColumnFormula>SUM(E7+D8)</calculatedColumnFormula>
    </tableColumn>
    <tableColumn id="6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35" workbookViewId="0">
      <selection activeCell="D50" sqref="D50"/>
    </sheetView>
  </sheetViews>
  <sheetFormatPr defaultRowHeight="14.5" x14ac:dyDescent="0.35"/>
  <cols>
    <col min="1" max="1" width="10.453125" bestFit="1" customWidth="1"/>
    <col min="2" max="2" width="7.26953125" customWidth="1"/>
    <col min="3" max="3" width="14.08984375" customWidth="1"/>
    <col min="4" max="4" width="9.453125" customWidth="1"/>
    <col min="5" max="5" width="8.1796875" customWidth="1"/>
    <col min="6" max="6" width="12.54296875" customWidth="1"/>
  </cols>
  <sheetData>
    <row r="1" spans="1:7" ht="18.5" x14ac:dyDescent="0.45">
      <c r="A1" s="4" t="s">
        <v>157</v>
      </c>
      <c r="B1" s="4"/>
      <c r="C1" s="4"/>
      <c r="D1" s="5"/>
      <c r="E1" s="4"/>
      <c r="F1" s="4"/>
    </row>
    <row r="2" spans="1:7" ht="18.5" x14ac:dyDescent="0.45">
      <c r="A2" s="4" t="s">
        <v>158</v>
      </c>
      <c r="B2" s="4"/>
      <c r="C2" s="4"/>
      <c r="D2" s="5"/>
      <c r="E2" s="4"/>
      <c r="F2" s="4"/>
    </row>
    <row r="3" spans="1:7" ht="18.5" x14ac:dyDescent="0.45">
      <c r="A3" s="4" t="s">
        <v>159</v>
      </c>
      <c r="B3" s="4"/>
      <c r="C3" s="4"/>
      <c r="D3" s="5"/>
      <c r="E3" s="4"/>
      <c r="F3" s="4"/>
    </row>
    <row r="4" spans="1:7" ht="18.5" x14ac:dyDescent="0.45">
      <c r="A4" s="4" t="s">
        <v>298</v>
      </c>
      <c r="B4" s="4"/>
      <c r="C4" s="4"/>
      <c r="D4" s="5"/>
      <c r="E4" s="4"/>
      <c r="F4" s="4"/>
    </row>
    <row r="5" spans="1:7" ht="18.5" x14ac:dyDescent="0.45">
      <c r="A5" s="4" t="s">
        <v>160</v>
      </c>
      <c r="B5" s="4"/>
      <c r="C5" s="4"/>
      <c r="D5" s="5"/>
      <c r="E5" s="4"/>
      <c r="F5" s="4"/>
    </row>
    <row r="6" spans="1:7" ht="18.5" x14ac:dyDescent="0.45">
      <c r="A6" s="4" t="s">
        <v>161</v>
      </c>
      <c r="B6" s="4"/>
      <c r="C6" s="4"/>
      <c r="D6" s="4" t="s">
        <v>162</v>
      </c>
      <c r="E6" s="4"/>
      <c r="F6" s="4"/>
    </row>
    <row r="7" spans="1:7" x14ac:dyDescent="0.35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1"/>
    </row>
    <row r="8" spans="1:7" x14ac:dyDescent="0.35">
      <c r="A8" s="1" t="s">
        <v>163</v>
      </c>
      <c r="B8" s="1">
        <v>1094</v>
      </c>
      <c r="C8" s="1" t="s">
        <v>110</v>
      </c>
      <c r="D8" s="2">
        <v>265000</v>
      </c>
      <c r="E8" s="2">
        <v>265000</v>
      </c>
      <c r="F8" s="2">
        <v>135000</v>
      </c>
      <c r="G8" s="1"/>
    </row>
    <row r="9" spans="1:7" x14ac:dyDescent="0.35">
      <c r="A9" s="3">
        <v>45263</v>
      </c>
      <c r="B9" s="1">
        <v>2186</v>
      </c>
      <c r="C9" s="1" t="s">
        <v>22</v>
      </c>
      <c r="D9" s="2">
        <v>10000</v>
      </c>
      <c r="E9" s="2">
        <f>SUM(E8+D9)</f>
        <v>275000</v>
      </c>
      <c r="F9" s="2">
        <f>F8-D9</f>
        <v>125000</v>
      </c>
      <c r="G9" s="1"/>
    </row>
    <row r="10" spans="1:7" x14ac:dyDescent="0.35">
      <c r="A10" s="3">
        <v>45203</v>
      </c>
      <c r="B10" s="1">
        <v>1089</v>
      </c>
      <c r="C10" s="1" t="s">
        <v>22</v>
      </c>
      <c r="D10" s="2">
        <v>10000</v>
      </c>
      <c r="E10" s="2">
        <f t="shared" ref="E10:E22" si="0">SUM(E9+D10)</f>
        <v>285000</v>
      </c>
      <c r="F10" s="2">
        <f t="shared" ref="F10:F22" si="1">F9-D10</f>
        <v>115000</v>
      </c>
      <c r="G10" s="1"/>
    </row>
    <row r="11" spans="1:7" x14ac:dyDescent="0.35">
      <c r="A11" s="3">
        <v>45236</v>
      </c>
      <c r="B11" s="1">
        <v>442</v>
      </c>
      <c r="C11" s="1" t="s">
        <v>22</v>
      </c>
      <c r="D11" s="2">
        <v>10000</v>
      </c>
      <c r="E11" s="2">
        <f t="shared" si="0"/>
        <v>295000</v>
      </c>
      <c r="F11" s="2">
        <f t="shared" si="1"/>
        <v>105000</v>
      </c>
      <c r="G11" s="1"/>
    </row>
    <row r="12" spans="1:7" x14ac:dyDescent="0.35">
      <c r="A12" s="1" t="s">
        <v>11</v>
      </c>
      <c r="B12" s="1">
        <v>1555</v>
      </c>
      <c r="C12" s="1" t="s">
        <v>22</v>
      </c>
      <c r="D12" s="2">
        <v>10000</v>
      </c>
      <c r="E12" s="2">
        <f t="shared" si="0"/>
        <v>305000</v>
      </c>
      <c r="F12" s="2">
        <f t="shared" si="1"/>
        <v>95000</v>
      </c>
      <c r="G12" s="1"/>
    </row>
    <row r="13" spans="1:7" x14ac:dyDescent="0.35">
      <c r="A13" s="3">
        <v>45176</v>
      </c>
      <c r="B13" s="1">
        <v>2609</v>
      </c>
      <c r="C13" s="1" t="s">
        <v>22</v>
      </c>
      <c r="D13" s="2">
        <v>10000</v>
      </c>
      <c r="E13" s="2">
        <f t="shared" si="0"/>
        <v>315000</v>
      </c>
      <c r="F13" s="2">
        <f t="shared" si="1"/>
        <v>85000</v>
      </c>
      <c r="G13" s="1"/>
    </row>
    <row r="14" spans="1:7" x14ac:dyDescent="0.35">
      <c r="A14" s="1" t="s">
        <v>14</v>
      </c>
      <c r="B14" s="1">
        <v>2407</v>
      </c>
      <c r="C14" s="1" t="s">
        <v>22</v>
      </c>
      <c r="D14" s="2">
        <v>10000</v>
      </c>
      <c r="E14" s="2">
        <f t="shared" si="0"/>
        <v>325000</v>
      </c>
      <c r="F14" s="2">
        <f t="shared" si="1"/>
        <v>75000</v>
      </c>
      <c r="G14" s="1"/>
    </row>
    <row r="15" spans="1:7" x14ac:dyDescent="0.35">
      <c r="A15" s="3">
        <v>45208</v>
      </c>
      <c r="B15" s="1">
        <v>3493</v>
      </c>
      <c r="C15" s="1" t="s">
        <v>22</v>
      </c>
      <c r="D15" s="2">
        <v>10000</v>
      </c>
      <c r="E15" s="2">
        <f t="shared" si="0"/>
        <v>335000</v>
      </c>
      <c r="F15" s="2">
        <f t="shared" si="1"/>
        <v>65000</v>
      </c>
      <c r="G15" s="1"/>
    </row>
    <row r="16" spans="1:7" x14ac:dyDescent="0.35">
      <c r="A16" s="3">
        <v>45148</v>
      </c>
      <c r="B16" s="1">
        <v>4076</v>
      </c>
      <c r="C16" s="1" t="s">
        <v>22</v>
      </c>
      <c r="D16" s="2">
        <v>10000</v>
      </c>
      <c r="E16" s="2">
        <f t="shared" si="0"/>
        <v>345000</v>
      </c>
      <c r="F16" s="2">
        <f t="shared" si="1"/>
        <v>55000</v>
      </c>
      <c r="G16" s="1"/>
    </row>
    <row r="17" spans="1:7" x14ac:dyDescent="0.35">
      <c r="A17" s="3">
        <v>45057</v>
      </c>
      <c r="B17" s="1">
        <v>4630</v>
      </c>
      <c r="C17" s="1" t="s">
        <v>22</v>
      </c>
      <c r="D17" s="2">
        <v>10000</v>
      </c>
      <c r="E17" s="2">
        <f t="shared" si="0"/>
        <v>355000</v>
      </c>
      <c r="F17" s="2">
        <f t="shared" si="1"/>
        <v>45000</v>
      </c>
      <c r="G17" s="1"/>
    </row>
    <row r="18" spans="1:7" x14ac:dyDescent="0.35">
      <c r="A18" s="3">
        <v>45211</v>
      </c>
      <c r="B18" s="1">
        <v>5407</v>
      </c>
      <c r="C18" s="1" t="s">
        <v>22</v>
      </c>
      <c r="D18" s="2">
        <v>10000</v>
      </c>
      <c r="E18" s="2">
        <f t="shared" si="0"/>
        <v>365000</v>
      </c>
      <c r="F18" s="2">
        <f t="shared" si="1"/>
        <v>35000</v>
      </c>
      <c r="G18" s="1"/>
    </row>
    <row r="19" spans="1:7" x14ac:dyDescent="0.35">
      <c r="A19" s="3">
        <v>45474</v>
      </c>
      <c r="B19" s="1">
        <v>5948</v>
      </c>
      <c r="C19" s="1" t="s">
        <v>22</v>
      </c>
      <c r="D19" s="2">
        <v>10000</v>
      </c>
      <c r="E19" s="2">
        <f t="shared" si="0"/>
        <v>375000</v>
      </c>
      <c r="F19" s="2">
        <f t="shared" si="1"/>
        <v>25000</v>
      </c>
      <c r="G19" s="1"/>
    </row>
    <row r="20" spans="1:7" x14ac:dyDescent="0.35">
      <c r="A20" s="3">
        <v>45414</v>
      </c>
      <c r="B20" s="1">
        <v>6538</v>
      </c>
      <c r="C20" s="1" t="s">
        <v>22</v>
      </c>
      <c r="D20" s="2">
        <v>10000</v>
      </c>
      <c r="E20" s="2">
        <f t="shared" si="0"/>
        <v>385000</v>
      </c>
      <c r="F20" s="2">
        <f t="shared" si="1"/>
        <v>15000</v>
      </c>
      <c r="G20" s="1"/>
    </row>
    <row r="21" spans="1:7" x14ac:dyDescent="0.35">
      <c r="A21" s="3">
        <v>45354</v>
      </c>
      <c r="B21" s="1">
        <v>6869</v>
      </c>
      <c r="C21" s="1" t="s">
        <v>22</v>
      </c>
      <c r="D21" s="2">
        <v>10000</v>
      </c>
      <c r="E21" s="2">
        <f t="shared" si="0"/>
        <v>395000</v>
      </c>
      <c r="F21" s="2">
        <f t="shared" si="1"/>
        <v>5000</v>
      </c>
      <c r="G21" s="1"/>
    </row>
    <row r="22" spans="1:7" x14ac:dyDescent="0.35">
      <c r="A22" s="3">
        <v>45355</v>
      </c>
      <c r="B22" s="1">
        <v>7664</v>
      </c>
      <c r="C22" s="1" t="s">
        <v>22</v>
      </c>
      <c r="D22" s="2">
        <v>5000</v>
      </c>
      <c r="E22" s="2">
        <f t="shared" si="0"/>
        <v>400000</v>
      </c>
      <c r="F22" s="2">
        <f t="shared" si="1"/>
        <v>0</v>
      </c>
      <c r="G22" s="1"/>
    </row>
    <row r="24" spans="1:7" ht="18.5" x14ac:dyDescent="0.45">
      <c r="A24" s="4" t="s">
        <v>221</v>
      </c>
      <c r="B24" s="4"/>
      <c r="C24" s="4"/>
    </row>
    <row r="25" spans="1:7" x14ac:dyDescent="0.35">
      <c r="A25" s="8">
        <v>45417</v>
      </c>
      <c r="B25" s="39">
        <v>261</v>
      </c>
      <c r="C25" s="39" t="s">
        <v>406</v>
      </c>
      <c r="D25" t="s">
        <v>451</v>
      </c>
      <c r="E25" t="s">
        <v>453</v>
      </c>
      <c r="F25" t="s">
        <v>452</v>
      </c>
    </row>
    <row r="26" spans="1:7" x14ac:dyDescent="0.35">
      <c r="A26" s="8">
        <v>45541</v>
      </c>
      <c r="B26" s="39">
        <v>41</v>
      </c>
      <c r="C26" s="39" t="s">
        <v>406</v>
      </c>
      <c r="D26" s="9">
        <v>25000</v>
      </c>
      <c r="E26" s="9">
        <v>25000</v>
      </c>
      <c r="F26" s="9">
        <v>425000</v>
      </c>
    </row>
    <row r="27" spans="1:7" x14ac:dyDescent="0.35">
      <c r="A27" s="8">
        <v>45480</v>
      </c>
      <c r="B27" s="39">
        <v>93</v>
      </c>
      <c r="C27" s="39" t="s">
        <v>406</v>
      </c>
      <c r="D27" s="9">
        <v>25000</v>
      </c>
      <c r="E27" s="9">
        <f t="shared" ref="E27:E35" si="2">E26+D27</f>
        <v>50000</v>
      </c>
      <c r="F27" s="9">
        <f t="shared" ref="F27:F35" si="3">F26-D27</f>
        <v>400000</v>
      </c>
    </row>
    <row r="28" spans="1:7" x14ac:dyDescent="0.35">
      <c r="A28" s="8">
        <v>45390</v>
      </c>
      <c r="B28" s="39">
        <v>133</v>
      </c>
      <c r="C28" s="39" t="s">
        <v>406</v>
      </c>
      <c r="D28" s="9">
        <v>10000</v>
      </c>
      <c r="E28" s="9">
        <f t="shared" si="2"/>
        <v>60000</v>
      </c>
      <c r="F28" s="9">
        <f t="shared" si="3"/>
        <v>390000</v>
      </c>
    </row>
    <row r="29" spans="1:7" x14ac:dyDescent="0.35">
      <c r="A29" s="8">
        <v>45513</v>
      </c>
      <c r="B29" s="39">
        <v>10582</v>
      </c>
      <c r="C29" s="39" t="s">
        <v>406</v>
      </c>
      <c r="D29" s="9">
        <v>10000</v>
      </c>
      <c r="E29" s="9">
        <f t="shared" si="2"/>
        <v>70000</v>
      </c>
      <c r="F29" s="9">
        <f t="shared" si="3"/>
        <v>380000</v>
      </c>
    </row>
    <row r="30" spans="1:7" x14ac:dyDescent="0.35">
      <c r="A30" s="8">
        <v>45453</v>
      </c>
      <c r="B30" s="39">
        <v>358</v>
      </c>
      <c r="C30" s="39" t="s">
        <v>406</v>
      </c>
      <c r="D30" s="9">
        <v>10000</v>
      </c>
      <c r="E30" s="9">
        <f t="shared" si="2"/>
        <v>80000</v>
      </c>
      <c r="F30" s="9">
        <f t="shared" si="3"/>
        <v>370000</v>
      </c>
    </row>
    <row r="31" spans="1:7" x14ac:dyDescent="0.35">
      <c r="A31" s="8">
        <v>45362</v>
      </c>
      <c r="B31" s="39">
        <v>203</v>
      </c>
      <c r="C31" s="39" t="s">
        <v>406</v>
      </c>
      <c r="D31" s="9">
        <v>10000</v>
      </c>
      <c r="E31" s="9">
        <f t="shared" si="2"/>
        <v>90000</v>
      </c>
      <c r="F31" s="9">
        <f t="shared" si="3"/>
        <v>360000</v>
      </c>
    </row>
    <row r="32" spans="1:7" x14ac:dyDescent="0.35">
      <c r="A32" s="8">
        <v>45516</v>
      </c>
      <c r="B32" s="39">
        <v>285</v>
      </c>
      <c r="C32" s="39" t="s">
        <v>406</v>
      </c>
      <c r="D32" s="9">
        <v>10000</v>
      </c>
      <c r="E32" s="9">
        <f t="shared" si="2"/>
        <v>100000</v>
      </c>
      <c r="F32" s="9">
        <f t="shared" si="3"/>
        <v>350000</v>
      </c>
    </row>
    <row r="33" spans="1:6" x14ac:dyDescent="0.35">
      <c r="A33" s="8">
        <v>45778</v>
      </c>
      <c r="C33" s="39" t="s">
        <v>406</v>
      </c>
      <c r="D33" s="9">
        <v>10000</v>
      </c>
      <c r="E33" s="9">
        <f t="shared" si="2"/>
        <v>110000</v>
      </c>
      <c r="F33" s="9">
        <f t="shared" si="3"/>
        <v>340000</v>
      </c>
    </row>
    <row r="34" spans="1:6" x14ac:dyDescent="0.35">
      <c r="A34" s="8">
        <v>45690</v>
      </c>
      <c r="B34" s="39">
        <v>918</v>
      </c>
      <c r="C34" s="39" t="s">
        <v>406</v>
      </c>
      <c r="D34" s="9">
        <v>10000</v>
      </c>
      <c r="E34" s="9">
        <f t="shared" si="2"/>
        <v>120000</v>
      </c>
      <c r="F34" s="9">
        <f t="shared" si="3"/>
        <v>330000</v>
      </c>
    </row>
    <row r="35" spans="1:6" x14ac:dyDescent="0.35">
      <c r="A35" s="8">
        <v>45903</v>
      </c>
      <c r="B35" s="39">
        <v>990</v>
      </c>
      <c r="C35" s="39" t="s">
        <v>406</v>
      </c>
      <c r="D35" s="9">
        <v>10000</v>
      </c>
      <c r="E35" s="9">
        <f t="shared" si="2"/>
        <v>130000</v>
      </c>
      <c r="F35" s="9">
        <f t="shared" si="3"/>
        <v>320000</v>
      </c>
    </row>
    <row r="36" spans="1:6" x14ac:dyDescent="0.35">
      <c r="A36" s="8">
        <v>45812</v>
      </c>
      <c r="B36" s="39">
        <v>706</v>
      </c>
      <c r="C36" s="39" t="s">
        <v>406</v>
      </c>
      <c r="D36" s="9">
        <v>10000</v>
      </c>
      <c r="E36" s="9">
        <f t="shared" ref="E36:E52" si="4">E35+D36</f>
        <v>140000</v>
      </c>
      <c r="F36" s="9">
        <f t="shared" ref="F36:F52" si="5">F35-D36</f>
        <v>310000</v>
      </c>
    </row>
    <row r="37" spans="1:6" x14ac:dyDescent="0.35">
      <c r="A37" s="8">
        <v>45936</v>
      </c>
      <c r="B37" s="39">
        <v>697</v>
      </c>
      <c r="C37" s="39" t="s">
        <v>406</v>
      </c>
      <c r="D37" s="9">
        <v>20000</v>
      </c>
      <c r="E37" s="9">
        <f t="shared" si="4"/>
        <v>160000</v>
      </c>
      <c r="F37" s="9">
        <f t="shared" si="5"/>
        <v>290000</v>
      </c>
    </row>
    <row r="38" spans="1:6" x14ac:dyDescent="0.35">
      <c r="A38" t="s">
        <v>439</v>
      </c>
      <c r="B38" s="39">
        <v>3057</v>
      </c>
      <c r="C38" s="39" t="s">
        <v>406</v>
      </c>
      <c r="D38" s="9">
        <v>10000</v>
      </c>
      <c r="E38" s="9">
        <f t="shared" si="4"/>
        <v>170000</v>
      </c>
      <c r="F38" s="9">
        <f t="shared" si="5"/>
        <v>280000</v>
      </c>
    </row>
    <row r="39" spans="1:6" x14ac:dyDescent="0.35">
      <c r="A39" s="8">
        <v>45724</v>
      </c>
      <c r="B39" s="39">
        <v>12365</v>
      </c>
      <c r="C39" s="39" t="s">
        <v>406</v>
      </c>
      <c r="D39" s="9">
        <v>10000</v>
      </c>
      <c r="E39" s="9">
        <f t="shared" si="4"/>
        <v>180000</v>
      </c>
      <c r="F39" s="9">
        <f t="shared" si="5"/>
        <v>270000</v>
      </c>
    </row>
    <row r="40" spans="1:6" x14ac:dyDescent="0.35">
      <c r="A40" s="8">
        <v>45847</v>
      </c>
      <c r="B40" s="39">
        <v>3478</v>
      </c>
      <c r="C40" s="39" t="s">
        <v>406</v>
      </c>
      <c r="D40" s="9">
        <v>10000</v>
      </c>
      <c r="E40" s="9">
        <f t="shared" si="4"/>
        <v>190000</v>
      </c>
      <c r="F40" s="9">
        <f t="shared" si="5"/>
        <v>260000</v>
      </c>
    </row>
    <row r="41" spans="1:6" x14ac:dyDescent="0.35">
      <c r="A41" s="8">
        <v>45787</v>
      </c>
      <c r="B41" s="39">
        <v>3250</v>
      </c>
      <c r="C41" s="39" t="s">
        <v>406</v>
      </c>
      <c r="D41" s="9">
        <v>10000</v>
      </c>
      <c r="E41" s="9">
        <f t="shared" si="4"/>
        <v>200000</v>
      </c>
      <c r="F41" s="9">
        <f t="shared" si="5"/>
        <v>250000</v>
      </c>
    </row>
    <row r="42" spans="1:6" x14ac:dyDescent="0.35">
      <c r="A42" s="8">
        <v>45911</v>
      </c>
      <c r="B42" s="39">
        <v>3657</v>
      </c>
      <c r="C42" s="39" t="s">
        <v>406</v>
      </c>
      <c r="D42" s="9">
        <v>10000</v>
      </c>
      <c r="E42" s="9">
        <f t="shared" si="4"/>
        <v>210000</v>
      </c>
      <c r="F42" s="9">
        <f t="shared" si="5"/>
        <v>240000</v>
      </c>
    </row>
    <row r="43" spans="1:6" x14ac:dyDescent="0.35">
      <c r="A43" t="s">
        <v>458</v>
      </c>
      <c r="B43" s="39">
        <v>3891</v>
      </c>
      <c r="C43" s="39" t="s">
        <v>406</v>
      </c>
      <c r="D43" s="9">
        <v>10000</v>
      </c>
      <c r="E43" s="9">
        <f t="shared" si="4"/>
        <v>220000</v>
      </c>
      <c r="F43" s="9">
        <f t="shared" si="5"/>
        <v>230000</v>
      </c>
    </row>
    <row r="44" spans="1:6" x14ac:dyDescent="0.35">
      <c r="A44" s="8">
        <v>46113</v>
      </c>
      <c r="B44" s="39">
        <v>5205</v>
      </c>
      <c r="C44" s="39" t="s">
        <v>406</v>
      </c>
      <c r="D44" s="9">
        <v>10000</v>
      </c>
      <c r="E44" s="9">
        <f t="shared" si="4"/>
        <v>230000</v>
      </c>
      <c r="F44" s="9">
        <f t="shared" si="5"/>
        <v>220000</v>
      </c>
    </row>
    <row r="45" spans="1:6" x14ac:dyDescent="0.35">
      <c r="A45" s="8">
        <v>46236</v>
      </c>
      <c r="B45" s="39">
        <v>5451</v>
      </c>
      <c r="C45" s="39" t="s">
        <v>406</v>
      </c>
      <c r="D45" s="9">
        <v>10000</v>
      </c>
      <c r="E45" s="9">
        <f t="shared" si="4"/>
        <v>240000</v>
      </c>
      <c r="F45" s="9">
        <f t="shared" si="5"/>
        <v>210000</v>
      </c>
    </row>
    <row r="46" spans="1:6" x14ac:dyDescent="0.35">
      <c r="A46" s="8">
        <v>46237</v>
      </c>
      <c r="B46" s="39">
        <v>5666</v>
      </c>
      <c r="C46" s="39" t="s">
        <v>406</v>
      </c>
      <c r="D46" s="9">
        <v>10000</v>
      </c>
      <c r="E46" s="9">
        <f t="shared" si="4"/>
        <v>250000</v>
      </c>
      <c r="F46" s="9">
        <f t="shared" si="5"/>
        <v>200000</v>
      </c>
    </row>
    <row r="47" spans="1:6" x14ac:dyDescent="0.35">
      <c r="A47" s="8">
        <v>46146</v>
      </c>
      <c r="B47" s="39">
        <v>5836</v>
      </c>
      <c r="C47" s="39" t="s">
        <v>406</v>
      </c>
      <c r="D47" s="9">
        <v>10000</v>
      </c>
      <c r="E47" s="9">
        <f t="shared" si="4"/>
        <v>260000</v>
      </c>
      <c r="F47" s="9">
        <f t="shared" si="5"/>
        <v>190000</v>
      </c>
    </row>
    <row r="48" spans="1:6" x14ac:dyDescent="0.35">
      <c r="A48" s="8">
        <v>46086</v>
      </c>
      <c r="B48" s="39">
        <v>1364</v>
      </c>
      <c r="C48" s="39" t="s">
        <v>406</v>
      </c>
      <c r="D48" s="9">
        <v>10000</v>
      </c>
      <c r="E48" s="9">
        <f t="shared" si="4"/>
        <v>270000</v>
      </c>
      <c r="F48" s="9">
        <f t="shared" si="5"/>
        <v>180000</v>
      </c>
    </row>
    <row r="49" spans="1:6" x14ac:dyDescent="0.35">
      <c r="A49" s="8">
        <v>46209</v>
      </c>
      <c r="B49" s="39">
        <v>1587</v>
      </c>
      <c r="C49" s="39" t="s">
        <v>406</v>
      </c>
      <c r="D49" s="9">
        <v>20000</v>
      </c>
      <c r="E49" s="9">
        <f t="shared" si="4"/>
        <v>290000</v>
      </c>
      <c r="F49" s="9">
        <f t="shared" si="5"/>
        <v>160000</v>
      </c>
    </row>
    <row r="50" spans="1:6" x14ac:dyDescent="0.35">
      <c r="A50" s="8">
        <v>46149</v>
      </c>
      <c r="B50" s="39">
        <v>1759</v>
      </c>
      <c r="C50" s="39" t="s">
        <v>406</v>
      </c>
      <c r="D50" s="9">
        <v>10000</v>
      </c>
      <c r="E50" s="9">
        <f t="shared" si="4"/>
        <v>300000</v>
      </c>
      <c r="F50" s="9">
        <f t="shared" si="5"/>
        <v>150000</v>
      </c>
    </row>
    <row r="51" spans="1:6" x14ac:dyDescent="0.35">
      <c r="A51" s="8">
        <v>46273</v>
      </c>
      <c r="B51" s="39">
        <v>3746</v>
      </c>
      <c r="C51" s="39" t="s">
        <v>406</v>
      </c>
      <c r="D51" s="9">
        <v>10000</v>
      </c>
      <c r="E51" s="9">
        <f t="shared" si="4"/>
        <v>310000</v>
      </c>
      <c r="F51" s="9">
        <f t="shared" si="5"/>
        <v>140000</v>
      </c>
    </row>
    <row r="52" spans="1:6" x14ac:dyDescent="0.35">
      <c r="A52" t="s">
        <v>465</v>
      </c>
      <c r="B52" s="39">
        <v>1987</v>
      </c>
      <c r="C52" s="39" t="s">
        <v>406</v>
      </c>
      <c r="D52" s="9">
        <v>10000</v>
      </c>
      <c r="E52" s="9">
        <f t="shared" si="4"/>
        <v>320000</v>
      </c>
      <c r="F52" s="9">
        <f t="shared" si="5"/>
        <v>130000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43" workbookViewId="0">
      <selection activeCell="E54" sqref="E54"/>
    </sheetView>
  </sheetViews>
  <sheetFormatPr defaultRowHeight="14.5" x14ac:dyDescent="0.35"/>
  <cols>
    <col min="1" max="1" width="15.6328125" customWidth="1"/>
    <col min="2" max="2" width="21.453125" customWidth="1"/>
    <col min="3" max="3" width="16.36328125" customWidth="1"/>
    <col min="4" max="4" width="16.90625" customWidth="1"/>
    <col min="5" max="5" width="17.54296875" customWidth="1"/>
    <col min="6" max="6" width="13.453125" customWidth="1"/>
  </cols>
  <sheetData>
    <row r="1" spans="1:6" ht="18.5" x14ac:dyDescent="0.45">
      <c r="A1" s="4" t="s">
        <v>175</v>
      </c>
      <c r="B1" s="4"/>
      <c r="C1" s="4"/>
      <c r="D1" s="5"/>
      <c r="E1" s="4"/>
      <c r="F1" s="4"/>
    </row>
    <row r="2" spans="1:6" ht="18.5" x14ac:dyDescent="0.45">
      <c r="A2" s="4" t="s">
        <v>176</v>
      </c>
      <c r="B2" s="4"/>
      <c r="C2" s="4"/>
      <c r="D2" s="5"/>
      <c r="E2" s="11"/>
      <c r="F2" s="4"/>
    </row>
    <row r="3" spans="1:6" ht="18.5" x14ac:dyDescent="0.45">
      <c r="A3" s="4" t="s">
        <v>177</v>
      </c>
      <c r="B3" s="4"/>
      <c r="C3" s="4"/>
      <c r="D3" s="5"/>
      <c r="E3" s="4"/>
      <c r="F3" s="4"/>
    </row>
    <row r="4" spans="1:6" ht="18.5" x14ac:dyDescent="0.45">
      <c r="A4" s="4" t="s">
        <v>181</v>
      </c>
      <c r="B4" s="4"/>
      <c r="C4" s="4"/>
      <c r="D4" s="5"/>
      <c r="E4" s="4"/>
      <c r="F4" s="4"/>
    </row>
    <row r="5" spans="1:6" ht="18.5" x14ac:dyDescent="0.45">
      <c r="A5" s="4" t="s">
        <v>178</v>
      </c>
      <c r="B5" s="4"/>
      <c r="C5" s="4"/>
      <c r="D5" s="5"/>
      <c r="E5" s="4"/>
      <c r="F5" s="4"/>
    </row>
    <row r="6" spans="1:6" ht="18.5" x14ac:dyDescent="0.45">
      <c r="A6" s="4" t="s">
        <v>179</v>
      </c>
      <c r="B6" s="4"/>
      <c r="C6" s="4"/>
      <c r="D6" s="4" t="s">
        <v>180</v>
      </c>
      <c r="E6" s="4"/>
      <c r="F6" s="4"/>
    </row>
    <row r="7" spans="1:6" x14ac:dyDescent="0.35">
      <c r="A7" s="21" t="s">
        <v>0</v>
      </c>
      <c r="B7" s="22" t="s">
        <v>1</v>
      </c>
      <c r="C7" s="22" t="s">
        <v>2</v>
      </c>
      <c r="D7" s="15" t="s">
        <v>3</v>
      </c>
      <c r="E7" s="15" t="s">
        <v>4</v>
      </c>
      <c r="F7" s="16" t="s">
        <v>5</v>
      </c>
    </row>
    <row r="8" spans="1:6" x14ac:dyDescent="0.35">
      <c r="A8" s="12" t="s">
        <v>182</v>
      </c>
      <c r="B8" s="1">
        <v>1758</v>
      </c>
      <c r="C8" s="1" t="s">
        <v>110</v>
      </c>
      <c r="D8" s="2">
        <v>120000</v>
      </c>
      <c r="E8" s="2">
        <v>120000</v>
      </c>
      <c r="F8" s="14">
        <v>315000</v>
      </c>
    </row>
    <row r="9" spans="1:6" x14ac:dyDescent="0.35">
      <c r="A9" s="13">
        <v>45263</v>
      </c>
      <c r="B9" s="1">
        <v>1543</v>
      </c>
      <c r="C9" s="1" t="s">
        <v>22</v>
      </c>
      <c r="D9" s="2">
        <v>20000</v>
      </c>
      <c r="E9" s="2">
        <f>SUM(E8+D9)</f>
        <v>140000</v>
      </c>
      <c r="F9" s="14">
        <f>F8-D9</f>
        <v>295000</v>
      </c>
    </row>
    <row r="10" spans="1:6" x14ac:dyDescent="0.35">
      <c r="A10" s="13">
        <v>44961</v>
      </c>
      <c r="B10" s="1">
        <v>1760</v>
      </c>
      <c r="C10" s="1" t="s">
        <v>22</v>
      </c>
      <c r="D10" s="2">
        <v>10000</v>
      </c>
      <c r="E10" s="2">
        <f t="shared" ref="E10:E39" si="0">SUM(E9+D10)</f>
        <v>150000</v>
      </c>
      <c r="F10" s="14">
        <f t="shared" ref="F10:F39" si="1">F9-D10</f>
        <v>285000</v>
      </c>
    </row>
    <row r="11" spans="1:6" x14ac:dyDescent="0.35">
      <c r="A11" s="13">
        <v>45174</v>
      </c>
      <c r="B11" s="1">
        <v>751</v>
      </c>
      <c r="C11" s="1" t="s">
        <v>22</v>
      </c>
      <c r="D11" s="2">
        <v>10000</v>
      </c>
      <c r="E11" s="2">
        <f t="shared" si="0"/>
        <v>160000</v>
      </c>
      <c r="F11" s="14">
        <f t="shared" si="1"/>
        <v>275000</v>
      </c>
    </row>
    <row r="12" spans="1:6" x14ac:dyDescent="0.35">
      <c r="A12" s="13">
        <v>45144</v>
      </c>
      <c r="B12" s="1">
        <v>359</v>
      </c>
      <c r="C12" s="1" t="s">
        <v>22</v>
      </c>
      <c r="D12" s="2">
        <v>10000</v>
      </c>
      <c r="E12" s="2">
        <f t="shared" si="0"/>
        <v>170000</v>
      </c>
      <c r="F12" s="14">
        <f t="shared" si="1"/>
        <v>265000</v>
      </c>
    </row>
    <row r="13" spans="1:6" x14ac:dyDescent="0.35">
      <c r="A13" s="13">
        <v>45084</v>
      </c>
      <c r="B13" s="1">
        <v>2156</v>
      </c>
      <c r="C13" s="1" t="s">
        <v>22</v>
      </c>
      <c r="D13" s="2">
        <v>10000</v>
      </c>
      <c r="E13" s="2">
        <f t="shared" si="0"/>
        <v>180000</v>
      </c>
      <c r="F13" s="14">
        <f t="shared" si="1"/>
        <v>255000</v>
      </c>
    </row>
    <row r="14" spans="1:6" x14ac:dyDescent="0.35">
      <c r="A14" s="13">
        <v>44993</v>
      </c>
      <c r="B14" s="1">
        <v>2204</v>
      </c>
      <c r="C14" s="1" t="s">
        <v>22</v>
      </c>
      <c r="D14" s="2">
        <v>10000</v>
      </c>
      <c r="E14" s="2">
        <f t="shared" si="0"/>
        <v>190000</v>
      </c>
      <c r="F14" s="14">
        <f t="shared" si="1"/>
        <v>245000</v>
      </c>
    </row>
    <row r="15" spans="1:6" x14ac:dyDescent="0.35">
      <c r="A15" s="13">
        <v>45208</v>
      </c>
      <c r="B15" s="1">
        <v>3503</v>
      </c>
      <c r="C15" s="1" t="s">
        <v>22</v>
      </c>
      <c r="D15" s="2">
        <v>10000</v>
      </c>
      <c r="E15" s="2">
        <f t="shared" si="0"/>
        <v>200000</v>
      </c>
      <c r="F15" s="14">
        <f t="shared" si="1"/>
        <v>235000</v>
      </c>
    </row>
    <row r="16" spans="1:6" x14ac:dyDescent="0.35">
      <c r="A16" s="12" t="s">
        <v>183</v>
      </c>
      <c r="B16" s="1">
        <v>9307</v>
      </c>
      <c r="C16" s="1" t="s">
        <v>22</v>
      </c>
      <c r="D16" s="2">
        <v>10000</v>
      </c>
      <c r="E16" s="2">
        <f t="shared" si="0"/>
        <v>210000</v>
      </c>
      <c r="F16" s="14">
        <f t="shared" si="1"/>
        <v>225000</v>
      </c>
    </row>
    <row r="17" spans="1:6" x14ac:dyDescent="0.35">
      <c r="A17" s="13">
        <v>45271</v>
      </c>
      <c r="B17" s="1">
        <v>4829</v>
      </c>
      <c r="C17" s="1" t="s">
        <v>22</v>
      </c>
      <c r="D17" s="2">
        <v>10000</v>
      </c>
      <c r="E17" s="2">
        <f t="shared" si="0"/>
        <v>220000</v>
      </c>
      <c r="F17" s="14">
        <f t="shared" si="1"/>
        <v>215000</v>
      </c>
    </row>
    <row r="18" spans="1:6" x14ac:dyDescent="0.35">
      <c r="A18" s="13">
        <v>45211</v>
      </c>
      <c r="B18" s="1">
        <v>5414</v>
      </c>
      <c r="C18" s="1" t="s">
        <v>22</v>
      </c>
      <c r="D18" s="2">
        <v>10000</v>
      </c>
      <c r="E18" s="2">
        <f t="shared" si="0"/>
        <v>230000</v>
      </c>
      <c r="F18" s="14">
        <f t="shared" si="1"/>
        <v>205000</v>
      </c>
    </row>
    <row r="19" spans="1:6" x14ac:dyDescent="0.35">
      <c r="A19" s="13">
        <v>45474</v>
      </c>
      <c r="B19" s="1">
        <v>5941</v>
      </c>
      <c r="C19" s="1" t="s">
        <v>22</v>
      </c>
      <c r="D19" s="2">
        <v>10000</v>
      </c>
      <c r="E19" s="2">
        <f t="shared" si="0"/>
        <v>240000</v>
      </c>
      <c r="F19" s="14">
        <f t="shared" si="1"/>
        <v>195000</v>
      </c>
    </row>
    <row r="20" spans="1:6" x14ac:dyDescent="0.35">
      <c r="A20" s="13">
        <v>45598</v>
      </c>
      <c r="B20" s="1">
        <v>7051</v>
      </c>
      <c r="C20" s="1" t="s">
        <v>22</v>
      </c>
      <c r="D20" s="2">
        <v>10000</v>
      </c>
      <c r="E20" s="2">
        <f t="shared" si="0"/>
        <v>250000</v>
      </c>
      <c r="F20" s="14">
        <f t="shared" si="1"/>
        <v>185000</v>
      </c>
    </row>
    <row r="21" spans="1:6" x14ac:dyDescent="0.35">
      <c r="A21" s="13">
        <v>45568</v>
      </c>
      <c r="B21" s="1">
        <v>6990</v>
      </c>
      <c r="C21" s="1" t="s">
        <v>22</v>
      </c>
      <c r="D21" s="2">
        <v>10000</v>
      </c>
      <c r="E21" s="2">
        <f t="shared" si="0"/>
        <v>260000</v>
      </c>
      <c r="F21" s="14">
        <f t="shared" si="1"/>
        <v>175000</v>
      </c>
    </row>
    <row r="22" spans="1:6" x14ac:dyDescent="0.35">
      <c r="A22" s="13">
        <v>45477</v>
      </c>
      <c r="B22" s="1">
        <v>7719</v>
      </c>
      <c r="C22" s="1" t="s">
        <v>22</v>
      </c>
      <c r="D22" s="2">
        <v>10000</v>
      </c>
      <c r="E22" s="2">
        <f t="shared" si="0"/>
        <v>270000</v>
      </c>
      <c r="F22" s="14">
        <f t="shared" si="1"/>
        <v>165000</v>
      </c>
    </row>
    <row r="23" spans="1:6" x14ac:dyDescent="0.35">
      <c r="A23" s="13">
        <v>45631</v>
      </c>
      <c r="B23" s="1">
        <v>8413</v>
      </c>
      <c r="C23" s="1" t="s">
        <v>22</v>
      </c>
      <c r="D23" s="2">
        <v>10000</v>
      </c>
      <c r="E23" s="2">
        <f t="shared" si="0"/>
        <v>280000</v>
      </c>
      <c r="F23" s="14">
        <f t="shared" si="1"/>
        <v>155000</v>
      </c>
    </row>
    <row r="24" spans="1:6" x14ac:dyDescent="0.35">
      <c r="A24" s="13">
        <v>45541</v>
      </c>
      <c r="B24" s="1">
        <v>8907</v>
      </c>
      <c r="C24" s="1" t="s">
        <v>22</v>
      </c>
      <c r="D24" s="2">
        <v>10000</v>
      </c>
      <c r="E24" s="2">
        <f t="shared" si="0"/>
        <v>290000</v>
      </c>
      <c r="F24" s="14">
        <f t="shared" si="1"/>
        <v>145000</v>
      </c>
    </row>
    <row r="25" spans="1:6" x14ac:dyDescent="0.35">
      <c r="A25" s="13">
        <v>45480</v>
      </c>
      <c r="B25" s="1">
        <v>9414</v>
      </c>
      <c r="C25" s="1" t="s">
        <v>22</v>
      </c>
      <c r="D25" s="2">
        <v>10000</v>
      </c>
      <c r="E25" s="2">
        <f t="shared" si="0"/>
        <v>300000</v>
      </c>
      <c r="F25" s="14">
        <f t="shared" si="1"/>
        <v>135000</v>
      </c>
    </row>
    <row r="26" spans="1:6" x14ac:dyDescent="0.35">
      <c r="A26" s="13">
        <v>45604</v>
      </c>
      <c r="B26" s="1">
        <v>11055</v>
      </c>
      <c r="C26" s="1" t="s">
        <v>22</v>
      </c>
      <c r="D26" s="2">
        <v>10000</v>
      </c>
      <c r="E26" s="2">
        <f t="shared" si="0"/>
        <v>310000</v>
      </c>
      <c r="F26" s="14">
        <f t="shared" si="1"/>
        <v>125000</v>
      </c>
    </row>
    <row r="27" spans="1:6" x14ac:dyDescent="0.35">
      <c r="A27" s="13">
        <v>45300</v>
      </c>
      <c r="B27" s="1">
        <v>10469</v>
      </c>
      <c r="C27" s="1" t="s">
        <v>22</v>
      </c>
      <c r="D27" s="2">
        <v>10000</v>
      </c>
      <c r="E27" s="2">
        <f t="shared" si="0"/>
        <v>320000</v>
      </c>
      <c r="F27" s="14">
        <f t="shared" si="1"/>
        <v>115000</v>
      </c>
    </row>
    <row r="28" spans="1:6" x14ac:dyDescent="0.35">
      <c r="A28" s="13">
        <v>45545</v>
      </c>
      <c r="B28" s="1">
        <v>11337</v>
      </c>
      <c r="C28" s="1" t="s">
        <v>22</v>
      </c>
      <c r="D28" s="2">
        <v>10000</v>
      </c>
      <c r="E28" s="2">
        <f t="shared" si="0"/>
        <v>330000</v>
      </c>
      <c r="F28" s="14">
        <f t="shared" si="1"/>
        <v>105000</v>
      </c>
    </row>
    <row r="29" spans="1:6" x14ac:dyDescent="0.35">
      <c r="A29" s="13">
        <v>45362</v>
      </c>
      <c r="B29" s="1">
        <v>11570</v>
      </c>
      <c r="C29" s="1" t="s">
        <v>22</v>
      </c>
      <c r="D29" s="2">
        <v>10000</v>
      </c>
      <c r="E29" s="2">
        <f t="shared" si="0"/>
        <v>340000</v>
      </c>
      <c r="F29" s="14">
        <f t="shared" si="1"/>
        <v>95000</v>
      </c>
    </row>
    <row r="30" spans="1:6" x14ac:dyDescent="0.35">
      <c r="A30" s="13">
        <v>45455</v>
      </c>
      <c r="B30" s="1">
        <v>12210</v>
      </c>
      <c r="C30" s="1" t="s">
        <v>22</v>
      </c>
      <c r="D30" s="2">
        <v>10000</v>
      </c>
      <c r="E30" s="2">
        <f t="shared" si="0"/>
        <v>350000</v>
      </c>
      <c r="F30" s="14">
        <f t="shared" si="1"/>
        <v>85000</v>
      </c>
    </row>
    <row r="31" spans="1:6" x14ac:dyDescent="0.35">
      <c r="A31" s="13">
        <v>45748</v>
      </c>
      <c r="B31" s="1">
        <v>12889</v>
      </c>
      <c r="C31" s="1" t="s">
        <v>22</v>
      </c>
      <c r="D31" s="2">
        <v>10000</v>
      </c>
      <c r="E31" s="2">
        <f t="shared" si="0"/>
        <v>360000</v>
      </c>
      <c r="F31" s="14">
        <f t="shared" si="1"/>
        <v>75000</v>
      </c>
    </row>
    <row r="32" spans="1:6" x14ac:dyDescent="0.35">
      <c r="A32" s="12" t="s">
        <v>184</v>
      </c>
      <c r="B32" s="1">
        <v>9532</v>
      </c>
      <c r="C32" s="1" t="s">
        <v>22</v>
      </c>
      <c r="D32" s="2">
        <v>10000</v>
      </c>
      <c r="E32" s="2">
        <f t="shared" si="0"/>
        <v>370000</v>
      </c>
      <c r="F32" s="14">
        <f t="shared" si="1"/>
        <v>65000</v>
      </c>
    </row>
    <row r="33" spans="1:8" x14ac:dyDescent="0.35">
      <c r="A33" s="13">
        <v>45811</v>
      </c>
      <c r="B33" s="1">
        <v>9629</v>
      </c>
      <c r="C33" s="1" t="s">
        <v>22</v>
      </c>
      <c r="D33" s="2">
        <v>10000</v>
      </c>
      <c r="E33" s="2">
        <f t="shared" si="0"/>
        <v>380000</v>
      </c>
      <c r="F33" s="14">
        <f t="shared" si="1"/>
        <v>55000</v>
      </c>
    </row>
    <row r="34" spans="1:8" x14ac:dyDescent="0.35">
      <c r="A34" s="13">
        <v>45662</v>
      </c>
      <c r="B34" s="1">
        <v>10085</v>
      </c>
      <c r="C34" s="1" t="s">
        <v>22</v>
      </c>
      <c r="D34" s="2">
        <v>10000</v>
      </c>
      <c r="E34" s="2">
        <f t="shared" si="0"/>
        <v>390000</v>
      </c>
      <c r="F34" s="14">
        <f t="shared" si="1"/>
        <v>45000</v>
      </c>
    </row>
    <row r="35" spans="1:8" x14ac:dyDescent="0.35">
      <c r="A35" s="12" t="s">
        <v>185</v>
      </c>
      <c r="B35" s="1">
        <v>10676</v>
      </c>
      <c r="C35" s="1" t="s">
        <v>22</v>
      </c>
      <c r="D35" s="2">
        <v>10000</v>
      </c>
      <c r="E35" s="2">
        <f t="shared" si="0"/>
        <v>400000</v>
      </c>
      <c r="F35" s="14">
        <f t="shared" si="1"/>
        <v>35000</v>
      </c>
    </row>
    <row r="36" spans="1:8" x14ac:dyDescent="0.35">
      <c r="A36" s="13">
        <v>45783</v>
      </c>
      <c r="B36" s="1">
        <v>10471</v>
      </c>
      <c r="C36" s="1" t="s">
        <v>22</v>
      </c>
      <c r="D36" s="2">
        <v>10000</v>
      </c>
      <c r="E36" s="2">
        <f t="shared" si="0"/>
        <v>410000</v>
      </c>
      <c r="F36" s="14">
        <f t="shared" si="1"/>
        <v>25000</v>
      </c>
    </row>
    <row r="37" spans="1:8" x14ac:dyDescent="0.35">
      <c r="A37" s="13">
        <v>45937</v>
      </c>
      <c r="B37" s="1">
        <v>12139</v>
      </c>
      <c r="C37" s="1" t="s">
        <v>22</v>
      </c>
      <c r="D37" s="2">
        <v>10000</v>
      </c>
      <c r="E37" s="2">
        <f t="shared" si="0"/>
        <v>420000</v>
      </c>
      <c r="F37" s="14">
        <f t="shared" si="1"/>
        <v>15000</v>
      </c>
    </row>
    <row r="38" spans="1:8" x14ac:dyDescent="0.35">
      <c r="A38" s="13">
        <v>45846</v>
      </c>
      <c r="B38" s="1">
        <v>12427</v>
      </c>
      <c r="C38" s="1" t="s">
        <v>22</v>
      </c>
      <c r="D38" s="2">
        <v>10000</v>
      </c>
      <c r="E38" s="2">
        <f t="shared" si="0"/>
        <v>430000</v>
      </c>
      <c r="F38" s="14">
        <f t="shared" si="1"/>
        <v>5000</v>
      </c>
    </row>
    <row r="39" spans="1:8" x14ac:dyDescent="0.35">
      <c r="A39" s="17" t="s">
        <v>186</v>
      </c>
      <c r="B39" s="18">
        <v>12735</v>
      </c>
      <c r="C39" s="18" t="s">
        <v>22</v>
      </c>
      <c r="D39" s="19">
        <v>5000</v>
      </c>
      <c r="E39" s="19">
        <f t="shared" si="0"/>
        <v>435000</v>
      </c>
      <c r="F39" s="20">
        <f t="shared" si="1"/>
        <v>0</v>
      </c>
    </row>
    <row r="41" spans="1:8" ht="18.5" x14ac:dyDescent="0.45">
      <c r="A41" s="11" t="s">
        <v>187</v>
      </c>
      <c r="B41" s="11"/>
      <c r="C41" s="11"/>
      <c r="D41" s="11"/>
      <c r="E41" s="11"/>
      <c r="F41" s="11"/>
      <c r="G41" s="11"/>
      <c r="H41" s="11"/>
    </row>
    <row r="43" spans="1:8" ht="15" thickBot="1" x14ac:dyDescent="0.4">
      <c r="A43" s="52"/>
      <c r="B43" s="52"/>
      <c r="C43" s="52"/>
      <c r="D43" s="52"/>
      <c r="E43" s="52"/>
    </row>
    <row r="44" spans="1:8" ht="15" thickBot="1" x14ac:dyDescent="0.4">
      <c r="A44" s="58" t="s">
        <v>466</v>
      </c>
      <c r="B44" s="58" t="s">
        <v>467</v>
      </c>
      <c r="C44" s="58" t="s">
        <v>468</v>
      </c>
      <c r="D44" s="58" t="s">
        <v>469</v>
      </c>
      <c r="E44" s="58" t="s">
        <v>470</v>
      </c>
    </row>
    <row r="45" spans="1:8" ht="15" thickBot="1" x14ac:dyDescent="0.4">
      <c r="A45" s="59">
        <v>46143</v>
      </c>
      <c r="B45" s="60">
        <v>5227</v>
      </c>
      <c r="C45" s="60" t="s">
        <v>484</v>
      </c>
      <c r="D45" s="61">
        <v>10000</v>
      </c>
      <c r="E45" s="60" t="s">
        <v>473</v>
      </c>
    </row>
    <row r="46" spans="1:8" ht="15" thickBot="1" x14ac:dyDescent="0.4">
      <c r="A46" s="59">
        <v>46297</v>
      </c>
      <c r="B46" s="60">
        <v>5481</v>
      </c>
      <c r="C46" s="60" t="s">
        <v>484</v>
      </c>
      <c r="D46" s="61">
        <v>10000</v>
      </c>
      <c r="E46" s="60" t="s">
        <v>475</v>
      </c>
    </row>
    <row r="47" spans="1:8" ht="15" thickBot="1" x14ac:dyDescent="0.4">
      <c r="A47" s="59">
        <v>46237</v>
      </c>
      <c r="B47" s="60">
        <v>5673</v>
      </c>
      <c r="C47" s="60" t="s">
        <v>484</v>
      </c>
      <c r="D47" s="61">
        <v>10000</v>
      </c>
      <c r="E47" s="60" t="s">
        <v>476</v>
      </c>
    </row>
    <row r="48" spans="1:8" ht="15" thickBot="1" x14ac:dyDescent="0.4">
      <c r="A48" s="59">
        <v>46057</v>
      </c>
      <c r="B48" s="60">
        <v>5821</v>
      </c>
      <c r="C48" s="60" t="s">
        <v>484</v>
      </c>
      <c r="D48" s="61">
        <v>10000</v>
      </c>
      <c r="E48" s="60" t="s">
        <v>485</v>
      </c>
    </row>
    <row r="49" spans="1:5" ht="15" thickBot="1" x14ac:dyDescent="0.4">
      <c r="A49" s="59">
        <v>46300</v>
      </c>
      <c r="B49" s="60">
        <v>1428</v>
      </c>
      <c r="C49" s="60" t="s">
        <v>484</v>
      </c>
      <c r="D49" s="61">
        <v>10000</v>
      </c>
      <c r="E49" s="60" t="s">
        <v>477</v>
      </c>
    </row>
    <row r="50" spans="1:5" ht="15" thickBot="1" x14ac:dyDescent="0.4">
      <c r="A50" s="59">
        <v>46301</v>
      </c>
      <c r="B50" s="60">
        <v>1616</v>
      </c>
      <c r="C50" s="60" t="s">
        <v>484</v>
      </c>
      <c r="D50" s="61">
        <v>10000</v>
      </c>
      <c r="E50" s="60" t="s">
        <v>479</v>
      </c>
    </row>
    <row r="51" spans="1:5" ht="15" thickBot="1" x14ac:dyDescent="0.4">
      <c r="A51" s="59">
        <v>46363</v>
      </c>
      <c r="B51" s="60">
        <v>1815</v>
      </c>
      <c r="C51" s="60" t="s">
        <v>484</v>
      </c>
      <c r="D51" s="61">
        <v>10000</v>
      </c>
      <c r="E51" s="60" t="s">
        <v>481</v>
      </c>
    </row>
    <row r="52" spans="1:5" ht="15" thickBot="1" x14ac:dyDescent="0.4">
      <c r="A52" s="58" t="s">
        <v>486</v>
      </c>
      <c r="B52" s="60">
        <v>1912</v>
      </c>
      <c r="C52" s="60" t="s">
        <v>484</v>
      </c>
      <c r="D52" s="61">
        <v>10000</v>
      </c>
      <c r="E52" s="60" t="s">
        <v>487</v>
      </c>
    </row>
    <row r="53" spans="1:5" ht="15" thickBot="1" x14ac:dyDescent="0.4">
      <c r="A53" s="58" t="s">
        <v>482</v>
      </c>
      <c r="B53" s="60">
        <v>2105</v>
      </c>
      <c r="C53" s="60" t="s">
        <v>484</v>
      </c>
      <c r="D53" s="61">
        <v>10000</v>
      </c>
      <c r="E53" s="60" t="s">
        <v>483</v>
      </c>
    </row>
    <row r="54" spans="1:5" ht="15" thickBot="1" x14ac:dyDescent="0.4">
      <c r="A54" s="59">
        <v>46275</v>
      </c>
      <c r="B54" s="60">
        <v>2178</v>
      </c>
      <c r="C54" s="60" t="s">
        <v>484</v>
      </c>
      <c r="D54" s="61">
        <v>10000</v>
      </c>
      <c r="E54" s="60" t="s">
        <v>481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I7" sqref="I7"/>
    </sheetView>
  </sheetViews>
  <sheetFormatPr defaultRowHeight="14.5" x14ac:dyDescent="0.35"/>
  <cols>
    <col min="1" max="1" width="10.6328125" customWidth="1"/>
    <col min="3" max="3" width="10.6328125" customWidth="1"/>
    <col min="6" max="6" width="11.1796875" customWidth="1"/>
  </cols>
  <sheetData>
    <row r="1" spans="1:6" ht="18.5" x14ac:dyDescent="0.45">
      <c r="A1" s="4" t="s">
        <v>250</v>
      </c>
      <c r="B1" s="4"/>
      <c r="C1" s="4"/>
      <c r="D1" s="5"/>
      <c r="E1" s="4"/>
      <c r="F1" s="4"/>
    </row>
    <row r="2" spans="1:6" ht="18.5" x14ac:dyDescent="0.45">
      <c r="A2" s="4" t="s">
        <v>251</v>
      </c>
      <c r="B2" s="4"/>
      <c r="C2" s="4"/>
      <c r="D2" s="5"/>
      <c r="E2" s="11"/>
      <c r="F2" s="4"/>
    </row>
    <row r="3" spans="1:6" ht="18.5" x14ac:dyDescent="0.45">
      <c r="A3" s="4" t="s">
        <v>252</v>
      </c>
      <c r="B3" s="4"/>
      <c r="C3" s="4"/>
      <c r="D3" s="5"/>
      <c r="E3" s="4"/>
      <c r="F3" s="4"/>
    </row>
    <row r="4" spans="1:6" ht="18.5" x14ac:dyDescent="0.45">
      <c r="A4" s="4" t="s">
        <v>256</v>
      </c>
      <c r="B4" s="4"/>
      <c r="C4" s="4"/>
      <c r="D4" s="5"/>
      <c r="E4" s="4"/>
      <c r="F4" s="4"/>
    </row>
    <row r="5" spans="1:6" ht="18.5" x14ac:dyDescent="0.45">
      <c r="A5" s="4" t="s">
        <v>253</v>
      </c>
      <c r="B5" s="4"/>
      <c r="C5" s="4"/>
      <c r="D5" s="5"/>
      <c r="E5" s="4"/>
      <c r="F5" s="4"/>
    </row>
    <row r="6" spans="1:6" ht="18.5" x14ac:dyDescent="0.45">
      <c r="A6" s="4" t="s">
        <v>254</v>
      </c>
      <c r="B6" s="4"/>
      <c r="C6" s="4"/>
      <c r="D6" s="4" t="s">
        <v>255</v>
      </c>
      <c r="E6" s="4"/>
      <c r="F6" s="4"/>
    </row>
    <row r="7" spans="1:6" x14ac:dyDescent="0.35">
      <c r="A7" s="46" t="s">
        <v>0</v>
      </c>
      <c r="B7" s="46" t="s">
        <v>1</v>
      </c>
      <c r="C7" s="46" t="s">
        <v>2</v>
      </c>
      <c r="D7" s="7" t="s">
        <v>3</v>
      </c>
      <c r="E7" s="7" t="s">
        <v>4</v>
      </c>
      <c r="F7" s="7" t="s">
        <v>5</v>
      </c>
    </row>
    <row r="8" spans="1:6" x14ac:dyDescent="0.35">
      <c r="A8" s="25" t="s">
        <v>257</v>
      </c>
      <c r="B8" s="25">
        <v>1208</v>
      </c>
      <c r="C8" s="25" t="s">
        <v>264</v>
      </c>
      <c r="D8" s="38">
        <v>180000</v>
      </c>
      <c r="E8" s="38">
        <v>180000</v>
      </c>
      <c r="F8" s="38">
        <v>250000</v>
      </c>
    </row>
    <row r="9" spans="1:6" x14ac:dyDescent="0.35">
      <c r="A9" s="25" t="s">
        <v>258</v>
      </c>
      <c r="B9" s="25">
        <v>1918</v>
      </c>
      <c r="C9" s="25" t="s">
        <v>265</v>
      </c>
      <c r="D9" s="38">
        <v>20000</v>
      </c>
      <c r="E9" s="38">
        <f>SUM(E8+D9)</f>
        <v>200000</v>
      </c>
      <c r="F9" s="38">
        <f>F8-D9</f>
        <v>230000</v>
      </c>
    </row>
    <row r="10" spans="1:6" x14ac:dyDescent="0.35">
      <c r="A10" s="25" t="s">
        <v>259</v>
      </c>
      <c r="B10" s="25">
        <v>1209</v>
      </c>
      <c r="C10" s="25" t="s">
        <v>265</v>
      </c>
      <c r="D10" s="38">
        <v>20000</v>
      </c>
      <c r="E10" s="38">
        <f t="shared" ref="E10:E26" si="0">SUM(E9+D10)</f>
        <v>220000</v>
      </c>
      <c r="F10" s="38">
        <f t="shared" ref="F10:F26" si="1">F9-D10</f>
        <v>210000</v>
      </c>
    </row>
    <row r="11" spans="1:6" x14ac:dyDescent="0.35">
      <c r="A11" s="25" t="s">
        <v>260</v>
      </c>
      <c r="B11" s="25">
        <v>2092</v>
      </c>
      <c r="C11" s="25" t="s">
        <v>265</v>
      </c>
      <c r="D11" s="38">
        <v>20000</v>
      </c>
      <c r="E11" s="38">
        <f t="shared" si="0"/>
        <v>240000</v>
      </c>
      <c r="F11" s="38">
        <f t="shared" si="1"/>
        <v>190000</v>
      </c>
    </row>
    <row r="12" spans="1:6" x14ac:dyDescent="0.35">
      <c r="A12" s="25" t="s">
        <v>37</v>
      </c>
      <c r="B12" s="25">
        <v>3317</v>
      </c>
      <c r="C12" s="25" t="s">
        <v>265</v>
      </c>
      <c r="D12" s="38">
        <v>20000</v>
      </c>
      <c r="E12" s="38">
        <f t="shared" si="0"/>
        <v>260000</v>
      </c>
      <c r="F12" s="38">
        <f t="shared" si="1"/>
        <v>170000</v>
      </c>
    </row>
    <row r="13" spans="1:6" x14ac:dyDescent="0.35">
      <c r="A13" s="25" t="s">
        <v>16</v>
      </c>
      <c r="B13" s="25">
        <v>4450</v>
      </c>
      <c r="C13" s="25" t="s">
        <v>265</v>
      </c>
      <c r="D13" s="38">
        <v>10000</v>
      </c>
      <c r="E13" s="38">
        <f t="shared" si="0"/>
        <v>270000</v>
      </c>
      <c r="F13" s="38">
        <f t="shared" si="1"/>
        <v>160000</v>
      </c>
    </row>
    <row r="14" spans="1:6" x14ac:dyDescent="0.35">
      <c r="A14" s="25" t="s">
        <v>261</v>
      </c>
      <c r="B14" s="25">
        <v>5026</v>
      </c>
      <c r="C14" s="25" t="s">
        <v>265</v>
      </c>
      <c r="D14" s="38">
        <v>10000</v>
      </c>
      <c r="E14" s="38">
        <f t="shared" si="0"/>
        <v>280000</v>
      </c>
      <c r="F14" s="38">
        <f t="shared" si="1"/>
        <v>150000</v>
      </c>
    </row>
    <row r="15" spans="1:6" x14ac:dyDescent="0.35">
      <c r="A15" s="25" t="s">
        <v>262</v>
      </c>
      <c r="B15" s="25">
        <v>6454</v>
      </c>
      <c r="C15" s="25" t="s">
        <v>265</v>
      </c>
      <c r="D15" s="38">
        <v>10000</v>
      </c>
      <c r="E15" s="38">
        <f t="shared" si="0"/>
        <v>290000</v>
      </c>
      <c r="F15" s="38">
        <f t="shared" si="1"/>
        <v>140000</v>
      </c>
    </row>
    <row r="16" spans="1:6" x14ac:dyDescent="0.35">
      <c r="A16" s="37">
        <v>45354</v>
      </c>
      <c r="B16" s="25">
        <v>6876</v>
      </c>
      <c r="C16" s="25" t="s">
        <v>265</v>
      </c>
      <c r="D16" s="38">
        <v>10000</v>
      </c>
      <c r="E16" s="38">
        <f t="shared" si="0"/>
        <v>300000</v>
      </c>
      <c r="F16" s="38">
        <f t="shared" si="1"/>
        <v>130000</v>
      </c>
    </row>
    <row r="17" spans="1:6" x14ac:dyDescent="0.35">
      <c r="A17" s="25" t="s">
        <v>43</v>
      </c>
      <c r="B17" s="25">
        <v>7570</v>
      </c>
      <c r="C17" s="25" t="s">
        <v>265</v>
      </c>
      <c r="D17" s="38">
        <v>10000</v>
      </c>
      <c r="E17" s="38">
        <f t="shared" si="0"/>
        <v>310000</v>
      </c>
      <c r="F17" s="38">
        <f t="shared" si="1"/>
        <v>120000</v>
      </c>
    </row>
    <row r="18" spans="1:6" x14ac:dyDescent="0.35">
      <c r="A18" s="25" t="s">
        <v>263</v>
      </c>
      <c r="B18" s="25">
        <v>8508</v>
      </c>
      <c r="C18" s="25" t="s">
        <v>265</v>
      </c>
      <c r="D18" s="38">
        <v>10000</v>
      </c>
      <c r="E18" s="38">
        <f t="shared" si="0"/>
        <v>320000</v>
      </c>
      <c r="F18" s="38">
        <f t="shared" si="1"/>
        <v>110000</v>
      </c>
    </row>
    <row r="19" spans="1:6" x14ac:dyDescent="0.35">
      <c r="A19" s="37">
        <v>45541</v>
      </c>
      <c r="B19" s="25">
        <v>8931</v>
      </c>
      <c r="C19" s="25" t="s">
        <v>265</v>
      </c>
      <c r="D19" s="38">
        <v>10000</v>
      </c>
      <c r="E19" s="38">
        <f t="shared" si="0"/>
        <v>330000</v>
      </c>
      <c r="F19" s="38">
        <f t="shared" si="1"/>
        <v>100000</v>
      </c>
    </row>
    <row r="20" spans="1:6" x14ac:dyDescent="0.35">
      <c r="A20" s="25" t="s">
        <v>266</v>
      </c>
      <c r="B20" s="25">
        <v>11670</v>
      </c>
      <c r="C20" s="25" t="s">
        <v>265</v>
      </c>
      <c r="D20" s="38">
        <v>14000</v>
      </c>
      <c r="E20" s="38">
        <f t="shared" si="0"/>
        <v>344000</v>
      </c>
      <c r="F20" s="38">
        <f t="shared" si="1"/>
        <v>86000</v>
      </c>
    </row>
    <row r="21" spans="1:6" x14ac:dyDescent="0.35">
      <c r="A21" s="25" t="s">
        <v>267</v>
      </c>
      <c r="B21" s="25">
        <v>12485</v>
      </c>
      <c r="C21" s="25" t="s">
        <v>265</v>
      </c>
      <c r="D21" s="38">
        <v>10000</v>
      </c>
      <c r="E21" s="38">
        <f t="shared" si="0"/>
        <v>354000</v>
      </c>
      <c r="F21" s="38">
        <f t="shared" si="1"/>
        <v>76000</v>
      </c>
    </row>
    <row r="22" spans="1:6" x14ac:dyDescent="0.35">
      <c r="A22" s="37">
        <v>45931</v>
      </c>
      <c r="B22" s="25">
        <v>12995</v>
      </c>
      <c r="C22" s="25" t="s">
        <v>265</v>
      </c>
      <c r="D22" s="38">
        <v>20000</v>
      </c>
      <c r="E22" s="38">
        <f t="shared" si="0"/>
        <v>374000</v>
      </c>
      <c r="F22" s="38">
        <f t="shared" si="1"/>
        <v>56000</v>
      </c>
    </row>
    <row r="23" spans="1:6" x14ac:dyDescent="0.35">
      <c r="A23" s="37">
        <v>45993</v>
      </c>
      <c r="B23" s="25">
        <v>9367</v>
      </c>
      <c r="C23" s="25" t="s">
        <v>265</v>
      </c>
      <c r="D23" s="38">
        <v>20000</v>
      </c>
      <c r="E23" s="38">
        <f t="shared" si="0"/>
        <v>394000</v>
      </c>
      <c r="F23" s="38">
        <f t="shared" si="1"/>
        <v>36000</v>
      </c>
    </row>
    <row r="24" spans="1:6" x14ac:dyDescent="0.35">
      <c r="A24" s="25" t="s">
        <v>268</v>
      </c>
      <c r="B24" s="25">
        <v>10060</v>
      </c>
      <c r="C24" s="25" t="s">
        <v>265</v>
      </c>
      <c r="D24" s="38">
        <v>10000</v>
      </c>
      <c r="E24" s="38">
        <f t="shared" si="0"/>
        <v>404000</v>
      </c>
      <c r="F24" s="38">
        <f t="shared" si="1"/>
        <v>26000</v>
      </c>
    </row>
    <row r="25" spans="1:6" x14ac:dyDescent="0.35">
      <c r="A25" s="25" t="s">
        <v>269</v>
      </c>
      <c r="B25" s="25">
        <v>9837</v>
      </c>
      <c r="C25" s="25" t="s">
        <v>265</v>
      </c>
      <c r="D25" s="38">
        <v>10000</v>
      </c>
      <c r="E25" s="38">
        <f t="shared" si="0"/>
        <v>414000</v>
      </c>
      <c r="F25" s="38">
        <f t="shared" si="1"/>
        <v>16000</v>
      </c>
    </row>
    <row r="26" spans="1:6" x14ac:dyDescent="0.35">
      <c r="A26" s="25" t="s">
        <v>270</v>
      </c>
      <c r="B26" s="25">
        <v>10865</v>
      </c>
      <c r="C26" s="25" t="s">
        <v>265</v>
      </c>
      <c r="D26" s="38">
        <v>16000</v>
      </c>
      <c r="E26" s="38">
        <f t="shared" si="0"/>
        <v>430000</v>
      </c>
      <c r="F26" s="38">
        <f t="shared" si="1"/>
        <v>0</v>
      </c>
    </row>
    <row r="27" spans="1:6" x14ac:dyDescent="0.35">
      <c r="A27" t="s">
        <v>271</v>
      </c>
    </row>
    <row r="28" spans="1:6" ht="21" x14ac:dyDescent="0.5">
      <c r="A28" s="42" t="s">
        <v>221</v>
      </c>
      <c r="B28" s="42"/>
      <c r="C28" s="42"/>
      <c r="D28" s="42"/>
      <c r="E28" s="42"/>
      <c r="F28" s="42"/>
    </row>
    <row r="30" spans="1:6" x14ac:dyDescent="0.35">
      <c r="A30" s="25" t="s">
        <v>405</v>
      </c>
      <c r="B30" s="25">
        <v>1625</v>
      </c>
      <c r="C30" s="25" t="s">
        <v>406</v>
      </c>
      <c r="D30" s="38">
        <v>20000</v>
      </c>
      <c r="E30" s="38">
        <v>20000</v>
      </c>
      <c r="F30" s="38">
        <v>360000</v>
      </c>
    </row>
    <row r="31" spans="1:6" x14ac:dyDescent="0.35">
      <c r="A31" s="37">
        <v>46061</v>
      </c>
      <c r="B31" s="25">
        <v>3723</v>
      </c>
      <c r="C31" s="25" t="s">
        <v>435</v>
      </c>
      <c r="D31" s="38">
        <v>20000</v>
      </c>
      <c r="E31" s="38">
        <f>E30+D31</f>
        <v>40000</v>
      </c>
      <c r="F31" s="38">
        <f>F30-D31</f>
        <v>340000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H13"/>
    </sheetView>
  </sheetViews>
  <sheetFormatPr defaultRowHeight="14.5" x14ac:dyDescent="0.35"/>
  <cols>
    <col min="3" max="3" width="12.36328125" customWidth="1"/>
  </cols>
  <sheetData>
    <row r="1" spans="1:6" ht="18.5" x14ac:dyDescent="0.45">
      <c r="A1" s="4" t="s">
        <v>272</v>
      </c>
      <c r="B1" s="4"/>
      <c r="C1" s="4"/>
      <c r="D1" s="5"/>
      <c r="E1" s="4"/>
      <c r="F1" s="4"/>
    </row>
    <row r="2" spans="1:6" ht="18.5" x14ac:dyDescent="0.45">
      <c r="A2" s="4" t="s">
        <v>273</v>
      </c>
      <c r="B2" s="4"/>
      <c r="C2" s="4"/>
      <c r="D2" s="5"/>
      <c r="E2" s="11"/>
      <c r="F2" s="4"/>
    </row>
    <row r="3" spans="1:6" ht="18.5" x14ac:dyDescent="0.45">
      <c r="A3" s="4" t="s">
        <v>274</v>
      </c>
      <c r="B3" s="4"/>
      <c r="C3" s="4"/>
      <c r="D3" s="5"/>
      <c r="E3" s="4"/>
      <c r="F3" s="4"/>
    </row>
    <row r="4" spans="1:6" ht="18.5" x14ac:dyDescent="0.45">
      <c r="A4" s="4" t="s">
        <v>277</v>
      </c>
      <c r="B4" s="4"/>
      <c r="C4" s="4"/>
      <c r="D4" s="5"/>
      <c r="E4" s="4"/>
      <c r="F4" s="4"/>
    </row>
    <row r="5" spans="1:6" ht="18.5" x14ac:dyDescent="0.45">
      <c r="A5" s="4" t="s">
        <v>275</v>
      </c>
      <c r="B5" s="4"/>
      <c r="C5" s="4"/>
      <c r="D5" s="5"/>
      <c r="E5" s="4"/>
      <c r="F5" s="4"/>
    </row>
    <row r="6" spans="1:6" ht="18.5" x14ac:dyDescent="0.45">
      <c r="A6" s="4" t="s">
        <v>276</v>
      </c>
      <c r="B6" s="4"/>
      <c r="C6" s="4"/>
      <c r="D6" s="4" t="s">
        <v>240</v>
      </c>
      <c r="E6" s="4"/>
      <c r="F6" s="4"/>
    </row>
    <row r="7" spans="1:6" x14ac:dyDescent="0.35">
      <c r="A7" s="21" t="s">
        <v>0</v>
      </c>
      <c r="B7" s="22" t="s">
        <v>1</v>
      </c>
      <c r="C7" s="22" t="s">
        <v>2</v>
      </c>
      <c r="D7" s="15" t="s">
        <v>3</v>
      </c>
      <c r="E7" s="15" t="s">
        <v>4</v>
      </c>
      <c r="F7" s="16" t="s">
        <v>5</v>
      </c>
    </row>
    <row r="8" spans="1:6" x14ac:dyDescent="0.35">
      <c r="A8" s="8">
        <v>44749</v>
      </c>
      <c r="B8">
        <v>1354</v>
      </c>
      <c r="C8" t="s">
        <v>278</v>
      </c>
    </row>
    <row r="9" spans="1:6" x14ac:dyDescent="0.35">
      <c r="C9" t="s">
        <v>279</v>
      </c>
    </row>
    <row r="10" spans="1:6" x14ac:dyDescent="0.35">
      <c r="A10" t="s">
        <v>280</v>
      </c>
      <c r="B10">
        <v>5978</v>
      </c>
      <c r="C10" t="s">
        <v>281</v>
      </c>
      <c r="D10">
        <v>279000</v>
      </c>
      <c r="E10" t="s">
        <v>282</v>
      </c>
    </row>
    <row r="11" spans="1:6" x14ac:dyDescent="0.35">
      <c r="B11" t="s">
        <v>283</v>
      </c>
    </row>
    <row r="12" spans="1:6" ht="18.5" x14ac:dyDescent="0.45">
      <c r="A12" s="11" t="s">
        <v>288</v>
      </c>
      <c r="B12" s="11"/>
      <c r="C12" s="11"/>
      <c r="D12" s="11"/>
      <c r="E12" s="11"/>
      <c r="F1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4" workbookViewId="0">
      <selection sqref="A1:G29"/>
    </sheetView>
  </sheetViews>
  <sheetFormatPr defaultRowHeight="14.5" x14ac:dyDescent="0.35"/>
  <cols>
    <col min="1" max="1" width="9.453125" bestFit="1" customWidth="1"/>
    <col min="3" max="3" width="12.08984375" customWidth="1"/>
    <col min="6" max="6" width="10.90625" customWidth="1"/>
  </cols>
  <sheetData>
    <row r="1" spans="1:6" ht="18.5" x14ac:dyDescent="0.45">
      <c r="A1" s="4" t="s">
        <v>272</v>
      </c>
      <c r="B1" s="4"/>
      <c r="C1" s="4"/>
      <c r="D1" s="5"/>
      <c r="E1" s="4"/>
      <c r="F1" s="4"/>
    </row>
    <row r="2" spans="1:6" ht="18.5" x14ac:dyDescent="0.45">
      <c r="A2" s="4" t="s">
        <v>273</v>
      </c>
      <c r="B2" s="4"/>
      <c r="C2" s="4"/>
      <c r="D2" s="5"/>
      <c r="E2" s="11"/>
      <c r="F2" s="4"/>
    </row>
    <row r="3" spans="1:6" ht="18.5" x14ac:dyDescent="0.45">
      <c r="A3" s="4" t="s">
        <v>274</v>
      </c>
      <c r="B3" s="4"/>
      <c r="C3" s="4"/>
      <c r="D3" s="5"/>
      <c r="E3" s="4"/>
      <c r="F3" s="4"/>
    </row>
    <row r="4" spans="1:6" ht="18.5" x14ac:dyDescent="0.45">
      <c r="A4" s="4" t="s">
        <v>290</v>
      </c>
      <c r="B4" s="4"/>
      <c r="C4" s="4"/>
      <c r="D4" s="5"/>
      <c r="E4" s="4"/>
      <c r="F4" s="4"/>
    </row>
    <row r="5" spans="1:6" ht="18.5" x14ac:dyDescent="0.45">
      <c r="A5" s="4" t="s">
        <v>275</v>
      </c>
      <c r="B5" s="4"/>
      <c r="C5" s="4"/>
      <c r="D5" s="5"/>
      <c r="E5" s="4"/>
      <c r="F5" s="4"/>
    </row>
    <row r="6" spans="1:6" ht="18.5" x14ac:dyDescent="0.45">
      <c r="A6" s="4" t="s">
        <v>289</v>
      </c>
      <c r="B6" s="4"/>
      <c r="C6" s="4"/>
      <c r="D6" s="4" t="s">
        <v>162</v>
      </c>
      <c r="E6" s="4"/>
      <c r="F6" s="4"/>
    </row>
    <row r="7" spans="1:6" x14ac:dyDescent="0.35">
      <c r="A7" s="21" t="s">
        <v>0</v>
      </c>
      <c r="B7" s="22" t="s">
        <v>1</v>
      </c>
      <c r="C7" s="22" t="s">
        <v>2</v>
      </c>
      <c r="D7" s="15" t="s">
        <v>3</v>
      </c>
      <c r="E7" s="15" t="s">
        <v>4</v>
      </c>
      <c r="F7" s="16" t="s">
        <v>5</v>
      </c>
    </row>
    <row r="8" spans="1:6" x14ac:dyDescent="0.35">
      <c r="A8" s="8">
        <v>44659</v>
      </c>
      <c r="B8">
        <v>136</v>
      </c>
      <c r="C8" t="s">
        <v>294</v>
      </c>
      <c r="D8" s="9">
        <v>10000</v>
      </c>
      <c r="E8" s="9">
        <v>10000</v>
      </c>
      <c r="F8" s="9">
        <v>250000</v>
      </c>
    </row>
    <row r="9" spans="1:6" x14ac:dyDescent="0.35">
      <c r="A9" s="8">
        <v>44843</v>
      </c>
      <c r="B9">
        <v>178</v>
      </c>
      <c r="C9" t="s">
        <v>294</v>
      </c>
      <c r="D9" s="9">
        <v>10000</v>
      </c>
      <c r="E9" s="9">
        <f>SUM(E8+D9)</f>
        <v>20000</v>
      </c>
      <c r="F9" s="9">
        <f>F8-D9</f>
        <v>240000</v>
      </c>
    </row>
    <row r="10" spans="1:6" x14ac:dyDescent="0.35">
      <c r="A10" s="8">
        <v>45020</v>
      </c>
      <c r="B10">
        <v>1804</v>
      </c>
      <c r="C10" t="s">
        <v>294</v>
      </c>
      <c r="D10" s="9">
        <v>10000</v>
      </c>
      <c r="E10" s="9">
        <f t="shared" ref="E10:E27" si="0">SUM(E9+D10)</f>
        <v>30000</v>
      </c>
      <c r="F10" s="9">
        <f t="shared" ref="F10:F27" si="1">F9-D10</f>
        <v>230000</v>
      </c>
    </row>
    <row r="11" spans="1:6" x14ac:dyDescent="0.35">
      <c r="A11" s="8">
        <v>45082</v>
      </c>
      <c r="B11">
        <v>1475</v>
      </c>
      <c r="C11" t="s">
        <v>294</v>
      </c>
      <c r="D11" s="9">
        <v>10000</v>
      </c>
      <c r="E11" s="9">
        <f t="shared" si="0"/>
        <v>40000</v>
      </c>
      <c r="F11" s="9">
        <f t="shared" si="1"/>
        <v>220000</v>
      </c>
    </row>
    <row r="12" spans="1:6" x14ac:dyDescent="0.35">
      <c r="A12" s="8">
        <v>45052</v>
      </c>
      <c r="B12">
        <v>321</v>
      </c>
      <c r="C12" t="s">
        <v>294</v>
      </c>
      <c r="D12" s="9">
        <v>10000</v>
      </c>
      <c r="E12" s="9">
        <f t="shared" si="0"/>
        <v>50000</v>
      </c>
      <c r="F12" s="9">
        <f t="shared" si="1"/>
        <v>210000</v>
      </c>
    </row>
    <row r="13" spans="1:6" x14ac:dyDescent="0.35">
      <c r="A13" s="8">
        <v>45293</v>
      </c>
      <c r="B13">
        <v>324</v>
      </c>
      <c r="C13" t="s">
        <v>294</v>
      </c>
      <c r="D13" s="9">
        <v>10000</v>
      </c>
      <c r="E13" s="9">
        <f t="shared" si="0"/>
        <v>60000</v>
      </c>
      <c r="F13" s="9">
        <f t="shared" si="1"/>
        <v>200000</v>
      </c>
    </row>
    <row r="14" spans="1:6" x14ac:dyDescent="0.35">
      <c r="A14" t="s">
        <v>291</v>
      </c>
      <c r="B14">
        <v>2510</v>
      </c>
      <c r="C14" t="s">
        <v>294</v>
      </c>
      <c r="D14" s="9">
        <v>10000</v>
      </c>
      <c r="E14" s="9">
        <f t="shared" si="0"/>
        <v>70000</v>
      </c>
      <c r="F14" s="9">
        <f t="shared" si="1"/>
        <v>190000</v>
      </c>
    </row>
    <row r="15" spans="1:6" x14ac:dyDescent="0.35">
      <c r="A15" t="s">
        <v>292</v>
      </c>
      <c r="B15">
        <v>3186</v>
      </c>
      <c r="C15" t="s">
        <v>294</v>
      </c>
      <c r="D15" s="9">
        <v>10000</v>
      </c>
      <c r="E15" s="9">
        <f t="shared" si="0"/>
        <v>80000</v>
      </c>
      <c r="F15" s="9">
        <f t="shared" si="1"/>
        <v>180000</v>
      </c>
    </row>
    <row r="16" spans="1:6" x14ac:dyDescent="0.35">
      <c r="A16" s="8">
        <v>45025</v>
      </c>
      <c r="B16">
        <v>3394</v>
      </c>
      <c r="C16" t="s">
        <v>294</v>
      </c>
      <c r="D16" s="9">
        <v>10000</v>
      </c>
      <c r="E16" s="9">
        <f t="shared" si="0"/>
        <v>90000</v>
      </c>
      <c r="F16" s="9">
        <f t="shared" si="1"/>
        <v>170000</v>
      </c>
    </row>
    <row r="17" spans="1:6" x14ac:dyDescent="0.35">
      <c r="A17" s="8">
        <v>45057</v>
      </c>
      <c r="B17">
        <v>4639</v>
      </c>
      <c r="C17" t="s">
        <v>294</v>
      </c>
      <c r="D17" s="9">
        <v>10000</v>
      </c>
      <c r="E17" s="9">
        <f t="shared" si="0"/>
        <v>100000</v>
      </c>
      <c r="F17" s="9">
        <f t="shared" si="1"/>
        <v>160000</v>
      </c>
    </row>
    <row r="18" spans="1:6" x14ac:dyDescent="0.35">
      <c r="A18" t="s">
        <v>293</v>
      </c>
      <c r="B18">
        <v>5215</v>
      </c>
      <c r="C18" t="s">
        <v>294</v>
      </c>
      <c r="D18" s="9">
        <v>20000</v>
      </c>
      <c r="E18" s="9">
        <f t="shared" si="0"/>
        <v>120000</v>
      </c>
      <c r="F18" s="9">
        <f t="shared" si="1"/>
        <v>140000</v>
      </c>
    </row>
    <row r="19" spans="1:6" x14ac:dyDescent="0.35">
      <c r="A19" s="8">
        <v>45474</v>
      </c>
      <c r="B19">
        <v>5962</v>
      </c>
      <c r="C19" t="s">
        <v>294</v>
      </c>
      <c r="D19" s="9">
        <v>10000</v>
      </c>
      <c r="E19" s="9">
        <f t="shared" si="0"/>
        <v>130000</v>
      </c>
      <c r="F19" s="9">
        <f t="shared" si="1"/>
        <v>130000</v>
      </c>
    </row>
    <row r="20" spans="1:6" x14ac:dyDescent="0.35">
      <c r="A20" s="8">
        <v>45415</v>
      </c>
      <c r="B20">
        <v>6892</v>
      </c>
      <c r="C20" t="s">
        <v>294</v>
      </c>
      <c r="D20" s="9">
        <v>10000</v>
      </c>
      <c r="E20" s="9">
        <f t="shared" si="0"/>
        <v>140000</v>
      </c>
      <c r="F20" s="9">
        <f t="shared" si="1"/>
        <v>120000</v>
      </c>
    </row>
    <row r="21" spans="1:6" x14ac:dyDescent="0.35">
      <c r="A21" s="8">
        <v>45295</v>
      </c>
      <c r="B21">
        <v>7640</v>
      </c>
      <c r="C21" t="s">
        <v>294</v>
      </c>
      <c r="D21" s="9">
        <v>10000</v>
      </c>
      <c r="E21" s="9">
        <f t="shared" si="0"/>
        <v>150000</v>
      </c>
      <c r="F21" s="9">
        <f t="shared" si="1"/>
        <v>110000</v>
      </c>
    </row>
    <row r="22" spans="1:6" x14ac:dyDescent="0.35">
      <c r="A22" s="8">
        <v>45417</v>
      </c>
      <c r="B22">
        <v>8222</v>
      </c>
      <c r="C22" t="s">
        <v>294</v>
      </c>
      <c r="D22" s="9">
        <v>20000</v>
      </c>
      <c r="E22" s="9">
        <f t="shared" si="0"/>
        <v>170000</v>
      </c>
      <c r="F22" s="9">
        <f t="shared" si="1"/>
        <v>90000</v>
      </c>
    </row>
    <row r="23" spans="1:6" x14ac:dyDescent="0.35">
      <c r="A23" s="8">
        <v>45389</v>
      </c>
      <c r="B23">
        <v>9372</v>
      </c>
      <c r="C23" t="s">
        <v>294</v>
      </c>
      <c r="D23" s="9">
        <v>20000</v>
      </c>
      <c r="E23" s="9">
        <f t="shared" si="0"/>
        <v>190000</v>
      </c>
      <c r="F23" s="9">
        <f t="shared" si="1"/>
        <v>70000</v>
      </c>
    </row>
    <row r="24" spans="1:6" x14ac:dyDescent="0.35">
      <c r="A24" s="8">
        <v>45421</v>
      </c>
      <c r="B24">
        <v>10517</v>
      </c>
      <c r="C24" t="s">
        <v>294</v>
      </c>
      <c r="D24" s="9">
        <v>20000</v>
      </c>
      <c r="E24" s="9">
        <f t="shared" si="0"/>
        <v>210000</v>
      </c>
      <c r="F24" s="9">
        <f t="shared" si="1"/>
        <v>50000</v>
      </c>
    </row>
    <row r="25" spans="1:6" x14ac:dyDescent="0.35">
      <c r="A25" s="8">
        <v>45454</v>
      </c>
      <c r="B25">
        <v>11599</v>
      </c>
      <c r="C25" t="s">
        <v>294</v>
      </c>
      <c r="D25" s="9">
        <v>20000</v>
      </c>
      <c r="E25" s="9">
        <f t="shared" si="0"/>
        <v>230000</v>
      </c>
      <c r="F25" s="9">
        <f t="shared" si="1"/>
        <v>30000</v>
      </c>
    </row>
    <row r="26" spans="1:6" x14ac:dyDescent="0.35">
      <c r="A26" s="8">
        <v>45871</v>
      </c>
      <c r="B26">
        <v>9258</v>
      </c>
      <c r="C26" t="s">
        <v>294</v>
      </c>
      <c r="D26" s="9">
        <v>20000</v>
      </c>
      <c r="E26" s="9">
        <f t="shared" si="0"/>
        <v>250000</v>
      </c>
      <c r="F26" s="9">
        <f t="shared" si="1"/>
        <v>10000</v>
      </c>
    </row>
    <row r="27" spans="1:6" x14ac:dyDescent="0.35">
      <c r="A27" s="8">
        <v>45662</v>
      </c>
      <c r="B27">
        <v>10083</v>
      </c>
      <c r="C27" t="s">
        <v>294</v>
      </c>
      <c r="D27" s="9">
        <v>10000</v>
      </c>
      <c r="E27" s="9">
        <f t="shared" si="0"/>
        <v>260000</v>
      </c>
      <c r="F27" s="9">
        <f t="shared" si="1"/>
        <v>0</v>
      </c>
    </row>
    <row r="28" spans="1:6" x14ac:dyDescent="0.35">
      <c r="A28" t="s">
        <v>280</v>
      </c>
      <c r="B28">
        <v>5977</v>
      </c>
      <c r="C28" t="s">
        <v>295</v>
      </c>
      <c r="D28" s="9">
        <v>279000</v>
      </c>
      <c r="E28" s="9">
        <v>279000</v>
      </c>
      <c r="F28" t="s">
        <v>282</v>
      </c>
    </row>
    <row r="29" spans="1:6" ht="18.5" x14ac:dyDescent="0.45">
      <c r="B29" s="11" t="s">
        <v>296</v>
      </c>
      <c r="C29" s="11"/>
      <c r="D29" s="11"/>
      <c r="E29" s="11"/>
      <c r="F29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G11"/>
    </sheetView>
  </sheetViews>
  <sheetFormatPr defaultRowHeight="14.5" x14ac:dyDescent="0.35"/>
  <cols>
    <col min="1" max="1" width="9.453125" bestFit="1" customWidth="1"/>
    <col min="3" max="3" width="16.81640625" customWidth="1"/>
  </cols>
  <sheetData>
    <row r="1" spans="1:6" ht="18.5" x14ac:dyDescent="0.45">
      <c r="A1" s="4" t="s">
        <v>272</v>
      </c>
      <c r="B1" s="4"/>
      <c r="C1" s="4"/>
      <c r="D1" s="5"/>
      <c r="E1" s="4"/>
      <c r="F1" s="4"/>
    </row>
    <row r="2" spans="1:6" ht="18.5" x14ac:dyDescent="0.45">
      <c r="A2" s="4" t="s">
        <v>273</v>
      </c>
      <c r="B2" s="4"/>
      <c r="C2" s="4"/>
      <c r="D2" s="5"/>
      <c r="E2" s="11"/>
      <c r="F2" s="4"/>
    </row>
    <row r="3" spans="1:6" ht="18.5" x14ac:dyDescent="0.45">
      <c r="A3" s="4" t="s">
        <v>274</v>
      </c>
      <c r="B3" s="4"/>
      <c r="C3" s="4"/>
      <c r="D3" s="5"/>
      <c r="E3" s="4"/>
      <c r="F3" s="4"/>
    </row>
    <row r="4" spans="1:6" ht="18.5" x14ac:dyDescent="0.45">
      <c r="A4" s="4" t="s">
        <v>285</v>
      </c>
      <c r="B4" s="4"/>
      <c r="C4" s="4"/>
      <c r="D4" s="5"/>
      <c r="E4" s="4"/>
      <c r="F4" s="4"/>
    </row>
    <row r="5" spans="1:6" ht="18.5" x14ac:dyDescent="0.45">
      <c r="A5" s="4" t="s">
        <v>275</v>
      </c>
      <c r="B5" s="4"/>
      <c r="C5" s="4"/>
      <c r="D5" s="5"/>
      <c r="E5" s="4"/>
      <c r="F5" s="4"/>
    </row>
    <row r="6" spans="1:6" ht="18.5" x14ac:dyDescent="0.45">
      <c r="A6" s="4" t="s">
        <v>284</v>
      </c>
      <c r="B6" s="4"/>
      <c r="C6" s="4"/>
      <c r="D6" s="4" t="s">
        <v>240</v>
      </c>
      <c r="E6" s="4"/>
      <c r="F6" s="4"/>
    </row>
    <row r="7" spans="1:6" x14ac:dyDescent="0.35">
      <c r="A7" s="21" t="s">
        <v>0</v>
      </c>
      <c r="B7" s="22" t="s">
        <v>1</v>
      </c>
      <c r="C7" s="22" t="s">
        <v>2</v>
      </c>
      <c r="D7" s="15" t="s">
        <v>3</v>
      </c>
      <c r="E7" s="15" t="s">
        <v>4</v>
      </c>
      <c r="F7" s="16" t="s">
        <v>5</v>
      </c>
    </row>
    <row r="8" spans="1:6" x14ac:dyDescent="0.35">
      <c r="A8" s="43">
        <v>44897</v>
      </c>
      <c r="B8">
        <v>1350</v>
      </c>
      <c r="C8" t="s">
        <v>286</v>
      </c>
    </row>
    <row r="9" spans="1:6" x14ac:dyDescent="0.35">
      <c r="C9" t="s">
        <v>287</v>
      </c>
    </row>
    <row r="10" spans="1:6" x14ac:dyDescent="0.35">
      <c r="A10" s="8">
        <v>45820</v>
      </c>
      <c r="B10">
        <v>5015</v>
      </c>
      <c r="C10" t="s">
        <v>281</v>
      </c>
      <c r="D10" s="9">
        <v>210000</v>
      </c>
      <c r="E10" s="9">
        <v>210000</v>
      </c>
      <c r="F10" t="s">
        <v>201</v>
      </c>
    </row>
    <row r="11" spans="1:6" ht="18.5" x14ac:dyDescent="0.45">
      <c r="A11" s="11" t="s">
        <v>288</v>
      </c>
      <c r="B11" s="11"/>
      <c r="C11" s="11"/>
      <c r="D11" s="11"/>
      <c r="E11" s="11"/>
      <c r="F11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26" workbookViewId="0">
      <selection activeCell="C40" sqref="C40"/>
    </sheetView>
  </sheetViews>
  <sheetFormatPr defaultRowHeight="14.5" x14ac:dyDescent="0.35"/>
  <cols>
    <col min="1" max="1" width="12.90625" customWidth="1"/>
    <col min="2" max="2" width="22" customWidth="1"/>
    <col min="3" max="3" width="18" customWidth="1"/>
    <col min="4" max="4" width="16.90625" customWidth="1"/>
    <col min="5" max="5" width="15.6328125" customWidth="1"/>
    <col min="6" max="6" width="13.453125" customWidth="1"/>
  </cols>
  <sheetData>
    <row r="1" spans="1:6" ht="18.5" x14ac:dyDescent="0.45">
      <c r="A1" s="4" t="s">
        <v>188</v>
      </c>
      <c r="B1" s="4"/>
      <c r="C1" s="4"/>
      <c r="D1" s="5"/>
      <c r="E1" s="4"/>
      <c r="F1" s="4"/>
    </row>
    <row r="2" spans="1:6" ht="18.5" x14ac:dyDescent="0.45">
      <c r="A2" s="4" t="s">
        <v>176</v>
      </c>
      <c r="B2" s="4"/>
      <c r="C2" s="4"/>
      <c r="D2" s="5"/>
      <c r="E2" s="11"/>
      <c r="F2" s="4"/>
    </row>
    <row r="3" spans="1:6" ht="18.5" x14ac:dyDescent="0.45">
      <c r="A3" s="4" t="s">
        <v>189</v>
      </c>
      <c r="B3" s="4"/>
      <c r="C3" s="4"/>
      <c r="D3" s="5"/>
      <c r="E3" s="4"/>
      <c r="F3" s="4"/>
    </row>
    <row r="4" spans="1:6" ht="18.5" x14ac:dyDescent="0.45">
      <c r="A4" s="4" t="s">
        <v>192</v>
      </c>
      <c r="B4" s="4" t="s">
        <v>413</v>
      </c>
      <c r="C4" s="4"/>
      <c r="D4" s="5"/>
      <c r="E4" s="4"/>
      <c r="F4" s="4"/>
    </row>
    <row r="5" spans="1:6" ht="18.5" x14ac:dyDescent="0.45">
      <c r="A5" s="4" t="s">
        <v>190</v>
      </c>
      <c r="B5" s="4"/>
      <c r="C5" s="4"/>
      <c r="D5" s="5"/>
      <c r="E5" s="4"/>
      <c r="F5" s="4"/>
    </row>
    <row r="6" spans="1:6" ht="18.5" x14ac:dyDescent="0.45">
      <c r="A6" s="4" t="s">
        <v>191</v>
      </c>
      <c r="B6" s="4"/>
      <c r="C6" s="4"/>
      <c r="D6" s="4" t="s">
        <v>180</v>
      </c>
      <c r="E6" s="4"/>
      <c r="F6" s="4"/>
    </row>
    <row r="7" spans="1:6" x14ac:dyDescent="0.35">
      <c r="A7" s="21" t="s">
        <v>0</v>
      </c>
      <c r="B7" s="22" t="s">
        <v>1</v>
      </c>
      <c r="C7" s="22" t="s">
        <v>2</v>
      </c>
      <c r="D7" s="15" t="s">
        <v>3</v>
      </c>
      <c r="E7" s="15" t="s">
        <v>4</v>
      </c>
      <c r="F7" s="16" t="s">
        <v>5</v>
      </c>
    </row>
    <row r="8" spans="1:6" x14ac:dyDescent="0.35">
      <c r="A8" s="26" t="s">
        <v>182</v>
      </c>
      <c r="B8" s="25">
        <v>1757</v>
      </c>
      <c r="C8" s="23" t="s">
        <v>110</v>
      </c>
      <c r="D8" s="24">
        <v>130000</v>
      </c>
      <c r="E8" s="24">
        <v>130000</v>
      </c>
      <c r="F8" s="30">
        <v>305000</v>
      </c>
    </row>
    <row r="9" spans="1:6" x14ac:dyDescent="0.35">
      <c r="A9" s="27">
        <v>45263</v>
      </c>
      <c r="B9" s="25">
        <v>1542</v>
      </c>
      <c r="C9" s="1" t="s">
        <v>22</v>
      </c>
      <c r="D9" s="2">
        <v>20000</v>
      </c>
      <c r="E9" s="2">
        <f>SUM(E8+D9)</f>
        <v>150000</v>
      </c>
      <c r="F9" s="14">
        <f>F8-D9</f>
        <v>285000</v>
      </c>
    </row>
    <row r="10" spans="1:6" x14ac:dyDescent="0.35">
      <c r="A10" s="27">
        <v>44961</v>
      </c>
      <c r="B10" s="25">
        <v>1759</v>
      </c>
      <c r="C10" s="23" t="s">
        <v>22</v>
      </c>
      <c r="D10" s="24">
        <v>10000</v>
      </c>
      <c r="E10" s="24">
        <f t="shared" ref="E10:E38" si="0">SUM(E9+D10)</f>
        <v>160000</v>
      </c>
      <c r="F10" s="30">
        <f t="shared" ref="F10:F38" si="1">F9-D10</f>
        <v>275000</v>
      </c>
    </row>
    <row r="11" spans="1:6" x14ac:dyDescent="0.35">
      <c r="A11" s="27">
        <v>45174</v>
      </c>
      <c r="B11" s="25">
        <v>722</v>
      </c>
      <c r="C11" s="1" t="s">
        <v>22</v>
      </c>
      <c r="D11" s="2">
        <v>10000</v>
      </c>
      <c r="E11" s="2">
        <f t="shared" si="0"/>
        <v>170000</v>
      </c>
      <c r="F11" s="14">
        <f t="shared" si="1"/>
        <v>265000</v>
      </c>
    </row>
    <row r="12" spans="1:6" x14ac:dyDescent="0.35">
      <c r="A12" s="28">
        <v>45144</v>
      </c>
      <c r="B12" s="25">
        <v>358</v>
      </c>
      <c r="C12" s="23" t="s">
        <v>22</v>
      </c>
      <c r="D12" s="24">
        <v>10000</v>
      </c>
      <c r="E12" s="24">
        <f t="shared" si="0"/>
        <v>180000</v>
      </c>
      <c r="F12" s="30">
        <f t="shared" si="1"/>
        <v>255000</v>
      </c>
    </row>
    <row r="13" spans="1:6" x14ac:dyDescent="0.35">
      <c r="A13" s="13">
        <v>45084</v>
      </c>
      <c r="B13" s="25">
        <v>2155</v>
      </c>
      <c r="C13" s="1" t="s">
        <v>22</v>
      </c>
      <c r="D13" s="2">
        <v>10000</v>
      </c>
      <c r="E13" s="2">
        <f t="shared" si="0"/>
        <v>190000</v>
      </c>
      <c r="F13" s="14">
        <f t="shared" si="1"/>
        <v>245000</v>
      </c>
    </row>
    <row r="14" spans="1:6" x14ac:dyDescent="0.35">
      <c r="A14" s="28">
        <v>44993</v>
      </c>
      <c r="B14" s="25">
        <v>2055</v>
      </c>
      <c r="C14" s="23" t="s">
        <v>22</v>
      </c>
      <c r="D14" s="24">
        <v>10000</v>
      </c>
      <c r="E14" s="24">
        <f t="shared" si="0"/>
        <v>200000</v>
      </c>
      <c r="F14" s="30">
        <f t="shared" si="1"/>
        <v>235000</v>
      </c>
    </row>
    <row r="15" spans="1:6" x14ac:dyDescent="0.35">
      <c r="A15" s="13">
        <v>45208</v>
      </c>
      <c r="B15" s="25">
        <v>3502</v>
      </c>
      <c r="C15" s="1" t="s">
        <v>22</v>
      </c>
      <c r="D15" s="2">
        <v>10000</v>
      </c>
      <c r="E15" s="2">
        <f t="shared" si="0"/>
        <v>210000</v>
      </c>
      <c r="F15" s="14">
        <f t="shared" si="1"/>
        <v>225000</v>
      </c>
    </row>
    <row r="16" spans="1:6" x14ac:dyDescent="0.35">
      <c r="A16" s="29" t="s">
        <v>183</v>
      </c>
      <c r="B16" s="25">
        <v>4308</v>
      </c>
      <c r="C16" s="23" t="s">
        <v>22</v>
      </c>
      <c r="D16" s="24">
        <v>10000</v>
      </c>
      <c r="E16" s="24">
        <f t="shared" si="0"/>
        <v>220000</v>
      </c>
      <c r="F16" s="30">
        <f t="shared" si="1"/>
        <v>215000</v>
      </c>
    </row>
    <row r="17" spans="1:6" x14ac:dyDescent="0.35">
      <c r="A17" s="13">
        <v>45271</v>
      </c>
      <c r="B17" s="25">
        <v>4830</v>
      </c>
      <c r="C17" s="1" t="s">
        <v>22</v>
      </c>
      <c r="D17" s="2">
        <v>10000</v>
      </c>
      <c r="E17" s="2">
        <f t="shared" si="0"/>
        <v>230000</v>
      </c>
      <c r="F17" s="14">
        <f t="shared" si="1"/>
        <v>205000</v>
      </c>
    </row>
    <row r="18" spans="1:6" x14ac:dyDescent="0.35">
      <c r="A18" s="28">
        <v>45211</v>
      </c>
      <c r="B18" s="25">
        <v>5413</v>
      </c>
      <c r="C18" s="23" t="s">
        <v>22</v>
      </c>
      <c r="D18" s="24">
        <v>10000</v>
      </c>
      <c r="E18" s="24">
        <f t="shared" si="0"/>
        <v>240000</v>
      </c>
      <c r="F18" s="30">
        <f t="shared" si="1"/>
        <v>195000</v>
      </c>
    </row>
    <row r="19" spans="1:6" x14ac:dyDescent="0.35">
      <c r="A19" s="13">
        <v>45474</v>
      </c>
      <c r="B19" s="25">
        <v>5940</v>
      </c>
      <c r="C19" s="1" t="s">
        <v>22</v>
      </c>
      <c r="D19" s="2">
        <v>10000</v>
      </c>
      <c r="E19" s="2">
        <f t="shared" si="0"/>
        <v>250000</v>
      </c>
      <c r="F19" s="14">
        <f t="shared" si="1"/>
        <v>185000</v>
      </c>
    </row>
    <row r="20" spans="1:6" x14ac:dyDescent="0.35">
      <c r="A20" s="28">
        <v>45598</v>
      </c>
      <c r="B20" s="25">
        <v>7050</v>
      </c>
      <c r="C20" s="23" t="s">
        <v>22</v>
      </c>
      <c r="D20" s="24">
        <v>10000</v>
      </c>
      <c r="E20" s="24">
        <f t="shared" si="0"/>
        <v>260000</v>
      </c>
      <c r="F20" s="30">
        <f t="shared" si="1"/>
        <v>175000</v>
      </c>
    </row>
    <row r="21" spans="1:6" x14ac:dyDescent="0.35">
      <c r="A21" s="13">
        <v>45568</v>
      </c>
      <c r="B21" s="25">
        <v>6991</v>
      </c>
      <c r="C21" s="1" t="s">
        <v>22</v>
      </c>
      <c r="D21" s="2">
        <v>10000</v>
      </c>
      <c r="E21" s="2">
        <f t="shared" si="0"/>
        <v>270000</v>
      </c>
      <c r="F21" s="14">
        <f t="shared" si="1"/>
        <v>165000</v>
      </c>
    </row>
    <row r="22" spans="1:6" x14ac:dyDescent="0.35">
      <c r="A22" s="28">
        <v>45477</v>
      </c>
      <c r="B22" s="25">
        <v>7720</v>
      </c>
      <c r="C22" s="23" t="s">
        <v>22</v>
      </c>
      <c r="D22" s="24">
        <v>10000</v>
      </c>
      <c r="E22" s="24">
        <f t="shared" si="0"/>
        <v>280000</v>
      </c>
      <c r="F22" s="30">
        <f t="shared" si="1"/>
        <v>155000</v>
      </c>
    </row>
    <row r="23" spans="1:6" x14ac:dyDescent="0.35">
      <c r="A23" s="13">
        <v>45631</v>
      </c>
      <c r="B23" s="25">
        <v>8412</v>
      </c>
      <c r="C23" s="1" t="s">
        <v>22</v>
      </c>
      <c r="D23" s="2">
        <v>10000</v>
      </c>
      <c r="E23" s="2">
        <f t="shared" si="0"/>
        <v>290000</v>
      </c>
      <c r="F23" s="14">
        <f t="shared" si="1"/>
        <v>145000</v>
      </c>
    </row>
    <row r="24" spans="1:6" x14ac:dyDescent="0.35">
      <c r="A24" s="28">
        <v>45541</v>
      </c>
      <c r="B24" s="25">
        <v>8906</v>
      </c>
      <c r="C24" s="23" t="s">
        <v>22</v>
      </c>
      <c r="D24" s="24">
        <v>10000</v>
      </c>
      <c r="E24" s="24">
        <f t="shared" si="0"/>
        <v>300000</v>
      </c>
      <c r="F24" s="30">
        <f t="shared" si="1"/>
        <v>135000</v>
      </c>
    </row>
    <row r="25" spans="1:6" x14ac:dyDescent="0.35">
      <c r="A25" s="13">
        <v>45480</v>
      </c>
      <c r="B25" s="25">
        <v>9415</v>
      </c>
      <c r="C25" s="1" t="s">
        <v>22</v>
      </c>
      <c r="D25" s="2">
        <v>10000</v>
      </c>
      <c r="E25" s="2">
        <f t="shared" si="0"/>
        <v>310000</v>
      </c>
      <c r="F25" s="14">
        <f t="shared" si="1"/>
        <v>125000</v>
      </c>
    </row>
    <row r="26" spans="1:6" x14ac:dyDescent="0.35">
      <c r="A26" s="28">
        <v>45604</v>
      </c>
      <c r="B26" s="25">
        <v>11058</v>
      </c>
      <c r="C26" s="23" t="s">
        <v>22</v>
      </c>
      <c r="D26" s="24">
        <v>10000</v>
      </c>
      <c r="E26" s="24">
        <f t="shared" si="0"/>
        <v>320000</v>
      </c>
      <c r="F26" s="30">
        <f t="shared" si="1"/>
        <v>115000</v>
      </c>
    </row>
    <row r="27" spans="1:6" x14ac:dyDescent="0.35">
      <c r="A27" s="13">
        <v>45300</v>
      </c>
      <c r="B27" s="25">
        <v>10468</v>
      </c>
      <c r="C27" s="1" t="s">
        <v>22</v>
      </c>
      <c r="D27" s="2">
        <v>10000</v>
      </c>
      <c r="E27" s="2">
        <f t="shared" si="0"/>
        <v>330000</v>
      </c>
      <c r="F27" s="14">
        <f t="shared" si="1"/>
        <v>105000</v>
      </c>
    </row>
    <row r="28" spans="1:6" x14ac:dyDescent="0.35">
      <c r="A28" s="28">
        <v>45545</v>
      </c>
      <c r="B28" s="25">
        <v>11338</v>
      </c>
      <c r="C28" s="23" t="s">
        <v>22</v>
      </c>
      <c r="D28" s="24">
        <v>10000</v>
      </c>
      <c r="E28" s="24">
        <f t="shared" si="0"/>
        <v>340000</v>
      </c>
      <c r="F28" s="30">
        <f t="shared" si="1"/>
        <v>95000</v>
      </c>
    </row>
    <row r="29" spans="1:6" x14ac:dyDescent="0.35">
      <c r="A29" s="13">
        <v>45362</v>
      </c>
      <c r="B29" s="25">
        <v>11569</v>
      </c>
      <c r="C29" s="1" t="s">
        <v>22</v>
      </c>
      <c r="D29" s="2">
        <v>10000</v>
      </c>
      <c r="E29" s="2">
        <f t="shared" si="0"/>
        <v>350000</v>
      </c>
      <c r="F29" s="14">
        <f t="shared" si="1"/>
        <v>85000</v>
      </c>
    </row>
    <row r="30" spans="1:6" x14ac:dyDescent="0.35">
      <c r="A30" s="28">
        <v>45455</v>
      </c>
      <c r="B30" s="25">
        <v>12209</v>
      </c>
      <c r="C30" s="23" t="s">
        <v>22</v>
      </c>
      <c r="D30" s="24">
        <v>10000</v>
      </c>
      <c r="E30" s="24">
        <f t="shared" si="0"/>
        <v>360000</v>
      </c>
      <c r="F30" s="30">
        <f t="shared" si="1"/>
        <v>75000</v>
      </c>
    </row>
    <row r="31" spans="1:6" x14ac:dyDescent="0.35">
      <c r="A31" s="13">
        <v>45748</v>
      </c>
      <c r="B31" s="25">
        <v>12888</v>
      </c>
      <c r="C31" s="1" t="s">
        <v>22</v>
      </c>
      <c r="D31" s="2">
        <v>10000</v>
      </c>
      <c r="E31" s="2">
        <f t="shared" si="0"/>
        <v>370000</v>
      </c>
      <c r="F31" s="14">
        <f t="shared" si="1"/>
        <v>65000</v>
      </c>
    </row>
    <row r="32" spans="1:6" x14ac:dyDescent="0.35">
      <c r="A32" s="29" t="s">
        <v>184</v>
      </c>
      <c r="B32" s="25">
        <v>9531</v>
      </c>
      <c r="C32" s="23" t="s">
        <v>22</v>
      </c>
      <c r="D32" s="24">
        <v>10000</v>
      </c>
      <c r="E32" s="24">
        <f t="shared" si="0"/>
        <v>380000</v>
      </c>
      <c r="F32" s="30">
        <f t="shared" si="1"/>
        <v>55000</v>
      </c>
    </row>
    <row r="33" spans="1:8" x14ac:dyDescent="0.35">
      <c r="A33" s="13">
        <v>45811</v>
      </c>
      <c r="B33" s="25">
        <v>9728</v>
      </c>
      <c r="C33" s="1" t="s">
        <v>22</v>
      </c>
      <c r="D33" s="2">
        <v>10000</v>
      </c>
      <c r="E33" s="2">
        <f t="shared" si="0"/>
        <v>390000</v>
      </c>
      <c r="F33" s="14">
        <f t="shared" si="1"/>
        <v>45000</v>
      </c>
    </row>
    <row r="34" spans="1:8" x14ac:dyDescent="0.35">
      <c r="A34" s="28">
        <v>45662</v>
      </c>
      <c r="B34" s="25">
        <v>10086</v>
      </c>
      <c r="C34" s="23" t="s">
        <v>22</v>
      </c>
      <c r="D34" s="24">
        <v>10000</v>
      </c>
      <c r="E34" s="24">
        <f t="shared" si="0"/>
        <v>400000</v>
      </c>
      <c r="F34" s="30">
        <f t="shared" si="1"/>
        <v>35000</v>
      </c>
    </row>
    <row r="35" spans="1:8" x14ac:dyDescent="0.35">
      <c r="A35" s="12" t="s">
        <v>185</v>
      </c>
      <c r="B35" s="25">
        <v>10675</v>
      </c>
      <c r="C35" s="1" t="s">
        <v>22</v>
      </c>
      <c r="D35" s="2">
        <v>10000</v>
      </c>
      <c r="E35" s="2">
        <f t="shared" si="0"/>
        <v>410000</v>
      </c>
      <c r="F35" s="14">
        <f t="shared" si="1"/>
        <v>25000</v>
      </c>
    </row>
    <row r="36" spans="1:8" x14ac:dyDescent="0.35">
      <c r="A36" s="28">
        <v>45783</v>
      </c>
      <c r="B36" s="25">
        <v>10470</v>
      </c>
      <c r="C36" s="1" t="s">
        <v>22</v>
      </c>
      <c r="D36" s="24">
        <v>10000</v>
      </c>
      <c r="E36" s="24">
        <f t="shared" si="0"/>
        <v>420000</v>
      </c>
      <c r="F36" s="30">
        <f t="shared" si="1"/>
        <v>15000</v>
      </c>
    </row>
    <row r="37" spans="1:8" x14ac:dyDescent="0.35">
      <c r="A37" s="13">
        <v>45937</v>
      </c>
      <c r="B37" s="25">
        <v>12146</v>
      </c>
      <c r="C37" s="1" t="s">
        <v>22</v>
      </c>
      <c r="D37" s="2">
        <v>10000</v>
      </c>
      <c r="E37" s="2">
        <f t="shared" si="0"/>
        <v>430000</v>
      </c>
      <c r="F37" s="14">
        <f t="shared" si="1"/>
        <v>5000</v>
      </c>
    </row>
    <row r="38" spans="1:8" x14ac:dyDescent="0.35">
      <c r="A38" s="31">
        <v>45846</v>
      </c>
      <c r="B38" s="32">
        <v>12428</v>
      </c>
      <c r="C38" s="18" t="s">
        <v>22</v>
      </c>
      <c r="D38" s="33">
        <v>5000</v>
      </c>
      <c r="E38" s="33">
        <f t="shared" si="0"/>
        <v>435000</v>
      </c>
      <c r="F38" s="34">
        <f t="shared" si="1"/>
        <v>0</v>
      </c>
    </row>
    <row r="40" spans="1:8" ht="18.5" x14ac:dyDescent="0.45">
      <c r="A40" s="11" t="s">
        <v>187</v>
      </c>
      <c r="B40" s="11"/>
      <c r="C40" s="11"/>
      <c r="D40" s="11"/>
      <c r="E40" s="11"/>
      <c r="F40" s="11"/>
      <c r="G40" s="11"/>
      <c r="H40" s="11"/>
    </row>
    <row r="42" spans="1:8" ht="15" thickBot="1" x14ac:dyDescent="0.4"/>
    <row r="43" spans="1:8" ht="15" thickBot="1" x14ac:dyDescent="0.4">
      <c r="A43" s="58" t="s">
        <v>466</v>
      </c>
      <c r="B43" s="58" t="s">
        <v>467</v>
      </c>
      <c r="C43" s="58" t="s">
        <v>468</v>
      </c>
      <c r="D43" s="58" t="s">
        <v>469</v>
      </c>
      <c r="E43" s="58" t="s">
        <v>470</v>
      </c>
    </row>
    <row r="44" spans="1:8" ht="15" thickBot="1" x14ac:dyDescent="0.4">
      <c r="A44" s="59">
        <v>46143</v>
      </c>
      <c r="B44" s="60">
        <v>5226</v>
      </c>
      <c r="C44" s="60" t="s">
        <v>484</v>
      </c>
      <c r="D44" s="61">
        <v>10000</v>
      </c>
      <c r="E44" s="60" t="s">
        <v>473</v>
      </c>
    </row>
    <row r="45" spans="1:8" ht="15" thickBot="1" x14ac:dyDescent="0.4">
      <c r="A45" s="59">
        <v>46297</v>
      </c>
      <c r="B45" s="60">
        <v>5480</v>
      </c>
      <c r="C45" s="60" t="s">
        <v>484</v>
      </c>
      <c r="D45" s="61">
        <v>10000</v>
      </c>
      <c r="E45" s="60" t="s">
        <v>475</v>
      </c>
    </row>
    <row r="46" spans="1:8" ht="15" thickBot="1" x14ac:dyDescent="0.4">
      <c r="A46" s="59">
        <v>46237</v>
      </c>
      <c r="B46" s="60">
        <v>5672</v>
      </c>
      <c r="C46" s="60" t="s">
        <v>484</v>
      </c>
      <c r="D46" s="61">
        <v>10000</v>
      </c>
      <c r="E46" s="60" t="s">
        <v>476</v>
      </c>
    </row>
    <row r="47" spans="1:8" ht="15" thickBot="1" x14ac:dyDescent="0.4">
      <c r="A47" s="59">
        <v>46057</v>
      </c>
      <c r="B47" s="60">
        <v>5822</v>
      </c>
      <c r="C47" s="60" t="s">
        <v>484</v>
      </c>
      <c r="D47" s="61">
        <v>10000</v>
      </c>
      <c r="E47" s="60" t="s">
        <v>485</v>
      </c>
    </row>
    <row r="48" spans="1:8" ht="15" thickBot="1" x14ac:dyDescent="0.4">
      <c r="A48" s="59">
        <v>46300</v>
      </c>
      <c r="B48" s="60">
        <v>1427</v>
      </c>
      <c r="C48" s="60" t="s">
        <v>484</v>
      </c>
      <c r="D48" s="61">
        <v>10000</v>
      </c>
      <c r="E48" s="60" t="s">
        <v>477</v>
      </c>
    </row>
    <row r="49" spans="1:5" ht="15" thickBot="1" x14ac:dyDescent="0.4">
      <c r="A49" s="59">
        <v>46301</v>
      </c>
      <c r="B49" s="60">
        <v>1615</v>
      </c>
      <c r="C49" s="60" t="s">
        <v>484</v>
      </c>
      <c r="D49" s="61">
        <v>10000</v>
      </c>
      <c r="E49" s="60" t="s">
        <v>479</v>
      </c>
    </row>
    <row r="50" spans="1:5" ht="15" thickBot="1" x14ac:dyDescent="0.4">
      <c r="A50" s="59">
        <v>46363</v>
      </c>
      <c r="B50" s="60">
        <v>1816</v>
      </c>
      <c r="C50" s="60" t="s">
        <v>484</v>
      </c>
      <c r="D50" s="61">
        <v>10000</v>
      </c>
      <c r="E50" s="60" t="s">
        <v>481</v>
      </c>
    </row>
    <row r="51" spans="1:5" ht="15" thickBot="1" x14ac:dyDescent="0.4">
      <c r="A51" s="58" t="s">
        <v>486</v>
      </c>
      <c r="B51" s="60">
        <v>1918</v>
      </c>
      <c r="C51" s="60" t="s">
        <v>484</v>
      </c>
      <c r="D51" s="61">
        <v>10000</v>
      </c>
      <c r="E51" s="60" t="s">
        <v>487</v>
      </c>
    </row>
    <row r="52" spans="1:5" ht="15" thickBot="1" x14ac:dyDescent="0.4">
      <c r="A52" s="58" t="s">
        <v>482</v>
      </c>
      <c r="B52" s="60">
        <v>2104</v>
      </c>
      <c r="C52" s="60" t="s">
        <v>484</v>
      </c>
      <c r="D52" s="61">
        <v>10000</v>
      </c>
      <c r="E52" s="60" t="s">
        <v>483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34" workbookViewId="0">
      <selection activeCell="F44" sqref="F44"/>
    </sheetView>
  </sheetViews>
  <sheetFormatPr defaultRowHeight="14.5" x14ac:dyDescent="0.35"/>
  <cols>
    <col min="1" max="1" width="10.453125" bestFit="1" customWidth="1"/>
    <col min="3" max="3" width="13.36328125" bestFit="1" customWidth="1"/>
    <col min="4" max="4" width="15.81640625" bestFit="1" customWidth="1"/>
    <col min="5" max="5" width="11.08984375" bestFit="1" customWidth="1"/>
    <col min="6" max="6" width="12.81640625" bestFit="1" customWidth="1"/>
  </cols>
  <sheetData>
    <row r="1" spans="1:7" ht="18.5" x14ac:dyDescent="0.45">
      <c r="A1" s="4" t="s">
        <v>66</v>
      </c>
      <c r="B1" s="4"/>
      <c r="C1" s="4"/>
      <c r="D1" s="5"/>
      <c r="E1" s="4"/>
      <c r="F1" s="4"/>
    </row>
    <row r="2" spans="1:7" ht="18.5" x14ac:dyDescent="0.45">
      <c r="A2" s="4" t="s">
        <v>67</v>
      </c>
      <c r="B2" s="4"/>
      <c r="C2" s="4"/>
      <c r="D2" s="5"/>
      <c r="E2" s="4"/>
      <c r="F2" s="4"/>
    </row>
    <row r="3" spans="1:7" ht="18.5" x14ac:dyDescent="0.45">
      <c r="A3" s="4" t="s">
        <v>68</v>
      </c>
      <c r="B3" s="4"/>
      <c r="C3" s="4"/>
      <c r="D3" s="5"/>
      <c r="E3" s="4"/>
      <c r="F3" s="4"/>
    </row>
    <row r="4" spans="1:7" ht="18.5" x14ac:dyDescent="0.45">
      <c r="A4" s="4" t="s">
        <v>170</v>
      </c>
      <c r="B4" s="4" t="s">
        <v>412</v>
      </c>
      <c r="C4" s="4"/>
      <c r="D4" s="5"/>
      <c r="E4" s="4"/>
      <c r="F4" s="4"/>
    </row>
    <row r="5" spans="1:7" ht="18.5" x14ac:dyDescent="0.45">
      <c r="A5" s="4" t="s">
        <v>69</v>
      </c>
      <c r="B5" s="4"/>
      <c r="C5" s="4"/>
      <c r="D5" s="5"/>
      <c r="E5" s="4"/>
      <c r="F5" s="4"/>
    </row>
    <row r="6" spans="1:7" ht="18.5" x14ac:dyDescent="0.45">
      <c r="A6" s="4" t="s">
        <v>70</v>
      </c>
      <c r="B6" s="4"/>
      <c r="C6" s="4"/>
      <c r="D6" s="4" t="s">
        <v>71</v>
      </c>
      <c r="E6" s="4"/>
      <c r="F6" s="4"/>
    </row>
    <row r="7" spans="1:7" x14ac:dyDescent="0.35">
      <c r="A7" s="50" t="s">
        <v>0</v>
      </c>
      <c r="B7" s="50" t="s">
        <v>1</v>
      </c>
      <c r="C7" s="50" t="s">
        <v>2</v>
      </c>
      <c r="D7" s="50" t="s">
        <v>3</v>
      </c>
      <c r="E7" s="50" t="s">
        <v>4</v>
      </c>
      <c r="F7" s="50" t="s">
        <v>5</v>
      </c>
      <c r="G7" s="52"/>
    </row>
    <row r="8" spans="1:7" x14ac:dyDescent="0.35">
      <c r="A8" s="50" t="s">
        <v>72</v>
      </c>
      <c r="B8" s="50">
        <v>204</v>
      </c>
      <c r="C8" s="50" t="s">
        <v>20</v>
      </c>
      <c r="D8" s="54">
        <v>10000</v>
      </c>
      <c r="E8" s="54">
        <v>10000</v>
      </c>
      <c r="F8" s="54">
        <v>590000</v>
      </c>
      <c r="G8" s="52"/>
    </row>
    <row r="9" spans="1:7" x14ac:dyDescent="0.35">
      <c r="A9" s="50" t="s">
        <v>73</v>
      </c>
      <c r="B9" s="50">
        <v>2041</v>
      </c>
      <c r="C9" s="50" t="s">
        <v>22</v>
      </c>
      <c r="D9" s="54">
        <v>140000</v>
      </c>
      <c r="E9" s="54">
        <f>SUM(E8+D9)</f>
        <v>150000</v>
      </c>
      <c r="F9" s="54">
        <f>F8-D9</f>
        <v>450000</v>
      </c>
      <c r="G9" s="52"/>
    </row>
    <row r="10" spans="1:7" x14ac:dyDescent="0.35">
      <c r="A10" s="50" t="s">
        <v>74</v>
      </c>
      <c r="B10" s="50">
        <v>60</v>
      </c>
      <c r="C10" s="50" t="s">
        <v>22</v>
      </c>
      <c r="D10" s="54">
        <v>10000</v>
      </c>
      <c r="E10" s="54">
        <f t="shared" ref="E10:E38" si="0">SUM(E9+D10)</f>
        <v>160000</v>
      </c>
      <c r="F10" s="54">
        <f t="shared" ref="F10:F38" si="1">F9-D10</f>
        <v>440000</v>
      </c>
      <c r="G10" s="52"/>
    </row>
    <row r="11" spans="1:7" x14ac:dyDescent="0.35">
      <c r="A11" s="50" t="s">
        <v>75</v>
      </c>
      <c r="B11" s="50">
        <v>1254</v>
      </c>
      <c r="C11" s="50" t="s">
        <v>22</v>
      </c>
      <c r="D11" s="54">
        <v>10000</v>
      </c>
      <c r="E11" s="54">
        <f t="shared" si="0"/>
        <v>170000</v>
      </c>
      <c r="F11" s="54">
        <f t="shared" si="1"/>
        <v>430000</v>
      </c>
      <c r="G11" s="52"/>
    </row>
    <row r="12" spans="1:7" x14ac:dyDescent="0.35">
      <c r="A12" s="50" t="s">
        <v>76</v>
      </c>
      <c r="B12" s="50">
        <v>599</v>
      </c>
      <c r="C12" s="50" t="s">
        <v>22</v>
      </c>
      <c r="D12" s="54">
        <v>20000</v>
      </c>
      <c r="E12" s="54">
        <f t="shared" si="0"/>
        <v>190000</v>
      </c>
      <c r="F12" s="54">
        <f t="shared" si="1"/>
        <v>410000</v>
      </c>
      <c r="G12" s="52"/>
    </row>
    <row r="13" spans="1:7" x14ac:dyDescent="0.35">
      <c r="A13" s="50" t="s">
        <v>77</v>
      </c>
      <c r="B13" s="50">
        <v>2475</v>
      </c>
      <c r="C13" s="50" t="s">
        <v>22</v>
      </c>
      <c r="D13" s="54">
        <v>20000</v>
      </c>
      <c r="E13" s="54">
        <f t="shared" si="0"/>
        <v>210000</v>
      </c>
      <c r="F13" s="54">
        <f t="shared" si="1"/>
        <v>390000</v>
      </c>
      <c r="G13" s="52"/>
    </row>
    <row r="14" spans="1:7" x14ac:dyDescent="0.35">
      <c r="A14" s="50" t="s">
        <v>78</v>
      </c>
      <c r="B14" s="50">
        <v>3728</v>
      </c>
      <c r="C14" s="50" t="s">
        <v>22</v>
      </c>
      <c r="D14" s="54">
        <v>10000</v>
      </c>
      <c r="E14" s="54">
        <f t="shared" si="0"/>
        <v>220000</v>
      </c>
      <c r="F14" s="54">
        <f t="shared" si="1"/>
        <v>380000</v>
      </c>
      <c r="G14" s="52"/>
    </row>
    <row r="15" spans="1:7" x14ac:dyDescent="0.35">
      <c r="A15" s="50" t="s">
        <v>79</v>
      </c>
      <c r="B15" s="50">
        <v>4393</v>
      </c>
      <c r="C15" s="50" t="s">
        <v>22</v>
      </c>
      <c r="D15" s="54">
        <v>10000</v>
      </c>
      <c r="E15" s="54">
        <f t="shared" si="0"/>
        <v>230000</v>
      </c>
      <c r="F15" s="54">
        <f t="shared" si="1"/>
        <v>370000</v>
      </c>
      <c r="G15" s="52"/>
    </row>
    <row r="16" spans="1:7" x14ac:dyDescent="0.35">
      <c r="A16" s="53">
        <v>45210</v>
      </c>
      <c r="B16" s="50">
        <v>4770</v>
      </c>
      <c r="C16" s="50" t="s">
        <v>22</v>
      </c>
      <c r="D16" s="54">
        <v>10000</v>
      </c>
      <c r="E16" s="54">
        <f t="shared" si="0"/>
        <v>240000</v>
      </c>
      <c r="F16" s="54">
        <f t="shared" si="1"/>
        <v>360000</v>
      </c>
      <c r="G16" s="52"/>
    </row>
    <row r="17" spans="1:7" x14ac:dyDescent="0.35">
      <c r="A17" s="50" t="s">
        <v>80</v>
      </c>
      <c r="B17" s="50">
        <v>5532</v>
      </c>
      <c r="C17" s="50" t="s">
        <v>22</v>
      </c>
      <c r="D17" s="54">
        <v>10000</v>
      </c>
      <c r="E17" s="54">
        <f t="shared" si="0"/>
        <v>250000</v>
      </c>
      <c r="F17" s="54">
        <f t="shared" si="1"/>
        <v>350000</v>
      </c>
      <c r="G17" s="52"/>
    </row>
    <row r="18" spans="1:7" x14ac:dyDescent="0.35">
      <c r="A18" s="53">
        <v>45200</v>
      </c>
      <c r="B18" s="50">
        <v>6243</v>
      </c>
      <c r="C18" s="50" t="s">
        <v>22</v>
      </c>
      <c r="D18" s="54">
        <v>10000</v>
      </c>
      <c r="E18" s="54">
        <f t="shared" si="0"/>
        <v>260000</v>
      </c>
      <c r="F18" s="54">
        <f t="shared" si="1"/>
        <v>340000</v>
      </c>
      <c r="G18" s="52"/>
    </row>
    <row r="19" spans="1:7" x14ac:dyDescent="0.35">
      <c r="A19" s="53">
        <v>45628</v>
      </c>
      <c r="B19" s="50">
        <v>7117</v>
      </c>
      <c r="C19" s="50" t="s">
        <v>22</v>
      </c>
      <c r="D19" s="54">
        <v>10000</v>
      </c>
      <c r="E19" s="54">
        <f t="shared" si="0"/>
        <v>270000</v>
      </c>
      <c r="F19" s="54">
        <f t="shared" si="1"/>
        <v>330000</v>
      </c>
      <c r="G19" s="52"/>
    </row>
    <row r="20" spans="1:7" x14ac:dyDescent="0.35">
      <c r="A20" s="53">
        <v>45599</v>
      </c>
      <c r="B20" s="50">
        <v>7285</v>
      </c>
      <c r="C20" s="50" t="s">
        <v>22</v>
      </c>
      <c r="D20" s="54">
        <v>10000</v>
      </c>
      <c r="E20" s="54">
        <f t="shared" si="0"/>
        <v>280000</v>
      </c>
      <c r="F20" s="54">
        <f t="shared" si="1"/>
        <v>320000</v>
      </c>
      <c r="G20" s="52"/>
    </row>
    <row r="21" spans="1:7" x14ac:dyDescent="0.35">
      <c r="A21" s="53" t="s">
        <v>81</v>
      </c>
      <c r="B21" s="50">
        <v>7851</v>
      </c>
      <c r="C21" s="50" t="s">
        <v>22</v>
      </c>
      <c r="D21" s="54">
        <v>10000</v>
      </c>
      <c r="E21" s="54">
        <f t="shared" si="0"/>
        <v>290000</v>
      </c>
      <c r="F21" s="54">
        <f t="shared" si="1"/>
        <v>310000</v>
      </c>
      <c r="G21" s="52"/>
    </row>
    <row r="22" spans="1:7" x14ac:dyDescent="0.35">
      <c r="A22" s="50" t="s">
        <v>82</v>
      </c>
      <c r="B22" s="50">
        <v>8482</v>
      </c>
      <c r="C22" s="50" t="s">
        <v>22</v>
      </c>
      <c r="D22" s="54">
        <v>10000</v>
      </c>
      <c r="E22" s="54">
        <f t="shared" si="0"/>
        <v>300000</v>
      </c>
      <c r="F22" s="54">
        <f t="shared" si="1"/>
        <v>300000</v>
      </c>
      <c r="G22" s="52"/>
    </row>
    <row r="23" spans="1:7" x14ac:dyDescent="0.35">
      <c r="A23" s="53">
        <v>45632</v>
      </c>
      <c r="B23" s="50">
        <v>9032</v>
      </c>
      <c r="C23" s="50" t="s">
        <v>22</v>
      </c>
      <c r="D23" s="54">
        <v>10000</v>
      </c>
      <c r="E23" s="54">
        <f t="shared" si="0"/>
        <v>310000</v>
      </c>
      <c r="F23" s="54">
        <f t="shared" si="1"/>
        <v>290000</v>
      </c>
      <c r="G23" s="52"/>
    </row>
    <row r="24" spans="1:7" x14ac:dyDescent="0.35">
      <c r="A24" s="53">
        <v>45572</v>
      </c>
      <c r="B24" s="50">
        <v>9473</v>
      </c>
      <c r="C24" s="50" t="s">
        <v>22</v>
      </c>
      <c r="D24" s="54">
        <v>10000</v>
      </c>
      <c r="E24" s="54">
        <f t="shared" si="0"/>
        <v>320000</v>
      </c>
      <c r="F24" s="54">
        <f t="shared" si="1"/>
        <v>280000</v>
      </c>
      <c r="G24" s="52"/>
    </row>
    <row r="25" spans="1:7" x14ac:dyDescent="0.35">
      <c r="A25" s="53">
        <v>45544</v>
      </c>
      <c r="B25" s="50">
        <v>10659</v>
      </c>
      <c r="C25" s="50" t="s">
        <v>22</v>
      </c>
      <c r="D25" s="54">
        <v>10000</v>
      </c>
      <c r="E25" s="54">
        <f t="shared" si="0"/>
        <v>330000</v>
      </c>
      <c r="F25" s="54">
        <f t="shared" si="1"/>
        <v>270000</v>
      </c>
      <c r="G25" s="52"/>
    </row>
    <row r="26" spans="1:7" x14ac:dyDescent="0.35">
      <c r="A26" s="53">
        <v>45636</v>
      </c>
      <c r="B26" s="50">
        <v>11613</v>
      </c>
      <c r="C26" s="50" t="s">
        <v>22</v>
      </c>
      <c r="D26" s="54">
        <v>10000</v>
      </c>
      <c r="E26" s="54">
        <f t="shared" si="0"/>
        <v>340000</v>
      </c>
      <c r="F26" s="54">
        <f t="shared" si="1"/>
        <v>260000</v>
      </c>
      <c r="G26" s="52"/>
    </row>
    <row r="27" spans="1:7" x14ac:dyDescent="0.35">
      <c r="A27" s="53">
        <v>45637</v>
      </c>
      <c r="B27" s="50">
        <v>10948</v>
      </c>
      <c r="C27" s="50" t="s">
        <v>22</v>
      </c>
      <c r="D27" s="54">
        <v>10000</v>
      </c>
      <c r="E27" s="54">
        <f t="shared" si="0"/>
        <v>350000</v>
      </c>
      <c r="F27" s="54">
        <f t="shared" si="1"/>
        <v>250000</v>
      </c>
      <c r="G27" s="52"/>
    </row>
    <row r="28" spans="1:7" x14ac:dyDescent="0.35">
      <c r="A28" s="50" t="s">
        <v>83</v>
      </c>
      <c r="B28" s="50">
        <v>12386</v>
      </c>
      <c r="C28" s="50" t="s">
        <v>22</v>
      </c>
      <c r="D28" s="54">
        <v>10000</v>
      </c>
      <c r="E28" s="54">
        <f t="shared" si="0"/>
        <v>360000</v>
      </c>
      <c r="F28" s="54">
        <f t="shared" si="1"/>
        <v>240000</v>
      </c>
      <c r="G28" s="52"/>
    </row>
    <row r="29" spans="1:7" x14ac:dyDescent="0.35">
      <c r="A29" s="53">
        <v>45718</v>
      </c>
      <c r="B29" s="50">
        <v>9237</v>
      </c>
      <c r="C29" s="50" t="s">
        <v>22</v>
      </c>
      <c r="D29" s="54">
        <v>10000</v>
      </c>
      <c r="E29" s="54">
        <f t="shared" si="0"/>
        <v>370000</v>
      </c>
      <c r="F29" s="54">
        <f t="shared" si="1"/>
        <v>230000</v>
      </c>
      <c r="G29" s="52"/>
    </row>
    <row r="30" spans="1:7" x14ac:dyDescent="0.35">
      <c r="A30" s="53">
        <v>45964</v>
      </c>
      <c r="B30" s="50">
        <v>9719</v>
      </c>
      <c r="C30" s="50" t="s">
        <v>22</v>
      </c>
      <c r="D30" s="54">
        <v>10000</v>
      </c>
      <c r="E30" s="54">
        <f t="shared" si="0"/>
        <v>380000</v>
      </c>
      <c r="F30" s="54">
        <f t="shared" si="1"/>
        <v>220000</v>
      </c>
      <c r="G30" s="52"/>
    </row>
    <row r="31" spans="1:7" x14ac:dyDescent="0.35">
      <c r="A31" s="50" t="s">
        <v>84</v>
      </c>
      <c r="B31" s="50">
        <v>10024</v>
      </c>
      <c r="C31" s="50" t="s">
        <v>22</v>
      </c>
      <c r="D31" s="54">
        <v>10000</v>
      </c>
      <c r="E31" s="54">
        <f t="shared" si="0"/>
        <v>390000</v>
      </c>
      <c r="F31" s="54">
        <f t="shared" si="1"/>
        <v>210000</v>
      </c>
      <c r="G31" s="52"/>
    </row>
    <row r="32" spans="1:7" x14ac:dyDescent="0.35">
      <c r="A32" s="53">
        <v>45753</v>
      </c>
      <c r="B32" s="50">
        <v>10453</v>
      </c>
      <c r="C32" s="50" t="s">
        <v>22</v>
      </c>
      <c r="D32" s="54">
        <v>10000</v>
      </c>
      <c r="E32" s="54">
        <f t="shared" si="0"/>
        <v>400000</v>
      </c>
      <c r="F32" s="54">
        <f t="shared" si="1"/>
        <v>200000</v>
      </c>
      <c r="G32" s="52"/>
    </row>
    <row r="33" spans="1:7" x14ac:dyDescent="0.35">
      <c r="A33" s="53">
        <v>45970</v>
      </c>
      <c r="B33" s="50">
        <v>12715</v>
      </c>
      <c r="C33" s="50" t="s">
        <v>22</v>
      </c>
      <c r="D33" s="54">
        <v>10000</v>
      </c>
      <c r="E33" s="54">
        <f t="shared" si="0"/>
        <v>410000</v>
      </c>
      <c r="F33" s="54">
        <f t="shared" si="1"/>
        <v>190000</v>
      </c>
      <c r="G33" s="52"/>
    </row>
    <row r="34" spans="1:7" x14ac:dyDescent="0.35">
      <c r="A34" s="50" t="s">
        <v>85</v>
      </c>
      <c r="B34" s="50">
        <v>13058</v>
      </c>
      <c r="C34" s="50" t="s">
        <v>22</v>
      </c>
      <c r="D34" s="54">
        <v>10000</v>
      </c>
      <c r="E34" s="54">
        <f t="shared" si="0"/>
        <v>420000</v>
      </c>
      <c r="F34" s="54">
        <f t="shared" si="1"/>
        <v>180000</v>
      </c>
      <c r="G34" s="52"/>
    </row>
    <row r="35" spans="1:7" x14ac:dyDescent="0.35">
      <c r="A35" s="50" t="s">
        <v>86</v>
      </c>
      <c r="B35" s="50">
        <v>12670</v>
      </c>
      <c r="C35" s="50" t="s">
        <v>22</v>
      </c>
      <c r="D35" s="54">
        <v>10000</v>
      </c>
      <c r="E35" s="54">
        <f t="shared" si="0"/>
        <v>430000</v>
      </c>
      <c r="F35" s="54">
        <f t="shared" si="1"/>
        <v>170000</v>
      </c>
      <c r="G35" s="52"/>
    </row>
    <row r="36" spans="1:7" x14ac:dyDescent="0.35">
      <c r="A36" s="50" t="s">
        <v>87</v>
      </c>
      <c r="B36" s="50">
        <v>12241</v>
      </c>
      <c r="C36" s="50" t="s">
        <v>22</v>
      </c>
      <c r="D36" s="54">
        <v>10000</v>
      </c>
      <c r="E36" s="54">
        <f t="shared" si="0"/>
        <v>440000</v>
      </c>
      <c r="F36" s="54">
        <f t="shared" si="1"/>
        <v>160000</v>
      </c>
      <c r="G36" s="52"/>
    </row>
    <row r="37" spans="1:7" x14ac:dyDescent="0.35">
      <c r="A37" s="50" t="s">
        <v>88</v>
      </c>
      <c r="B37" s="50">
        <v>12563</v>
      </c>
      <c r="C37" s="50" t="s">
        <v>22</v>
      </c>
      <c r="D37" s="54">
        <v>10000</v>
      </c>
      <c r="E37" s="54">
        <f t="shared" si="0"/>
        <v>450000</v>
      </c>
      <c r="F37" s="54">
        <f t="shared" si="1"/>
        <v>150000</v>
      </c>
      <c r="G37" s="52"/>
    </row>
    <row r="38" spans="1:7" x14ac:dyDescent="0.35">
      <c r="A38" s="49" t="s">
        <v>171</v>
      </c>
      <c r="B38" s="49">
        <v>13954</v>
      </c>
      <c r="C38" s="50" t="s">
        <v>22</v>
      </c>
      <c r="D38" s="54">
        <v>10000</v>
      </c>
      <c r="E38" s="54">
        <f t="shared" si="0"/>
        <v>460000</v>
      </c>
      <c r="F38" s="54">
        <f t="shared" si="1"/>
        <v>140000</v>
      </c>
      <c r="G38" s="52"/>
    </row>
    <row r="39" spans="1:7" x14ac:dyDescent="0.35">
      <c r="A39" s="49" t="s">
        <v>409</v>
      </c>
      <c r="B39" s="49">
        <v>13052</v>
      </c>
      <c r="C39" s="49" t="s">
        <v>22</v>
      </c>
      <c r="D39" s="51">
        <v>10000</v>
      </c>
      <c r="E39" s="51">
        <f>E38+D39</f>
        <v>470000</v>
      </c>
      <c r="F39" s="51">
        <f>F38-D39</f>
        <v>130000</v>
      </c>
      <c r="G39" s="52"/>
    </row>
    <row r="40" spans="1:7" x14ac:dyDescent="0.35">
      <c r="A40" s="49" t="s">
        <v>410</v>
      </c>
      <c r="B40" s="49">
        <v>13437</v>
      </c>
      <c r="C40" s="49" t="s">
        <v>22</v>
      </c>
      <c r="D40" s="51">
        <v>10000</v>
      </c>
      <c r="E40" s="51">
        <f>E39+D40</f>
        <v>480000</v>
      </c>
      <c r="F40" s="51">
        <f>F39-D40</f>
        <v>120000</v>
      </c>
      <c r="G40" s="52"/>
    </row>
    <row r="41" spans="1:7" x14ac:dyDescent="0.35">
      <c r="A41" s="49" t="s">
        <v>411</v>
      </c>
      <c r="B41" s="49">
        <v>13691</v>
      </c>
      <c r="C41" s="49" t="s">
        <v>22</v>
      </c>
      <c r="D41" s="51">
        <v>10000</v>
      </c>
      <c r="E41" s="51">
        <f>E40+D41</f>
        <v>490000</v>
      </c>
      <c r="F41" s="51">
        <f>F40-D41</f>
        <v>110000</v>
      </c>
      <c r="G41" s="52"/>
    </row>
    <row r="42" spans="1:7" x14ac:dyDescent="0.35">
      <c r="A42" s="49" t="s">
        <v>462</v>
      </c>
      <c r="B42" s="49">
        <v>1549</v>
      </c>
      <c r="C42" s="52" t="s">
        <v>22</v>
      </c>
      <c r="D42" s="51">
        <v>10000</v>
      </c>
      <c r="E42" s="51">
        <f>E41+D42</f>
        <v>500000</v>
      </c>
      <c r="F42" s="51">
        <f>F41-D42</f>
        <v>100000</v>
      </c>
      <c r="G42" s="52"/>
    </row>
    <row r="43" spans="1:7" x14ac:dyDescent="0.35">
      <c r="A43" s="49" t="s">
        <v>463</v>
      </c>
      <c r="B43" s="49">
        <v>1840</v>
      </c>
      <c r="C43" s="52" t="s">
        <v>22</v>
      </c>
      <c r="D43" s="51">
        <v>10000</v>
      </c>
      <c r="E43" s="51">
        <f>E42+D43</f>
        <v>510000</v>
      </c>
      <c r="F43" s="51">
        <f>F42-D43</f>
        <v>90000</v>
      </c>
      <c r="G43" s="52"/>
    </row>
    <row r="44" spans="1:7" x14ac:dyDescent="0.35">
      <c r="A44" s="55">
        <v>46365</v>
      </c>
      <c r="B44" s="52">
        <v>1989</v>
      </c>
      <c r="C44" s="52" t="s">
        <v>22</v>
      </c>
      <c r="D44" s="51">
        <v>10000</v>
      </c>
      <c r="E44" s="51">
        <v>520000</v>
      </c>
      <c r="F44" s="51">
        <v>80000</v>
      </c>
      <c r="G44" s="5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opLeftCell="A19" workbookViewId="0">
      <selection activeCell="D32" sqref="D32"/>
    </sheetView>
  </sheetViews>
  <sheetFormatPr defaultRowHeight="14.5" x14ac:dyDescent="0.35"/>
  <cols>
    <col min="1" max="1" width="13.54296875" customWidth="1"/>
    <col min="2" max="2" width="13.1796875" customWidth="1"/>
    <col min="3" max="3" width="14.7265625" customWidth="1"/>
    <col min="4" max="4" width="15.81640625" bestFit="1" customWidth="1"/>
    <col min="5" max="5" width="10.26953125" bestFit="1" customWidth="1"/>
    <col min="6" max="6" width="12.81640625" bestFit="1" customWidth="1"/>
  </cols>
  <sheetData>
    <row r="1" spans="1:7" ht="18.5" x14ac:dyDescent="0.45">
      <c r="A1" s="4" t="s">
        <v>90</v>
      </c>
      <c r="B1" s="4"/>
      <c r="C1" s="4"/>
      <c r="D1" s="5"/>
      <c r="E1" s="4"/>
      <c r="F1" s="4"/>
    </row>
    <row r="2" spans="1:7" ht="18.5" x14ac:dyDescent="0.45">
      <c r="A2" s="4" t="s">
        <v>67</v>
      </c>
      <c r="B2" s="4"/>
      <c r="C2" s="4"/>
      <c r="D2" s="5"/>
      <c r="E2" s="4"/>
      <c r="F2" s="4"/>
    </row>
    <row r="3" spans="1:7" ht="18.5" x14ac:dyDescent="0.45">
      <c r="A3" s="4" t="s">
        <v>91</v>
      </c>
      <c r="B3" s="4"/>
      <c r="C3" s="4"/>
      <c r="D3" s="5"/>
      <c r="E3" s="4"/>
      <c r="F3" s="4"/>
    </row>
    <row r="4" spans="1:7" ht="18.5" x14ac:dyDescent="0.45">
      <c r="A4" s="4" t="s">
        <v>172</v>
      </c>
      <c r="B4" s="4" t="s">
        <v>408</v>
      </c>
      <c r="C4" s="4"/>
      <c r="D4" s="5"/>
      <c r="E4" s="4"/>
      <c r="F4" s="4"/>
    </row>
    <row r="5" spans="1:7" ht="18.5" x14ac:dyDescent="0.45">
      <c r="A5" s="4" t="s">
        <v>92</v>
      </c>
      <c r="B5" s="4"/>
      <c r="C5" s="4"/>
      <c r="D5" s="5"/>
      <c r="E5" s="4"/>
      <c r="F5" s="4"/>
    </row>
    <row r="6" spans="1:7" ht="18.5" x14ac:dyDescent="0.45">
      <c r="A6" s="4" t="s">
        <v>89</v>
      </c>
      <c r="B6" s="4"/>
      <c r="C6" s="4"/>
      <c r="D6" s="4" t="s">
        <v>71</v>
      </c>
      <c r="E6" s="4"/>
      <c r="F6" s="4"/>
    </row>
    <row r="7" spans="1:7" x14ac:dyDescent="0.35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</row>
    <row r="8" spans="1:7" x14ac:dyDescent="0.35">
      <c r="A8" s="53">
        <v>45203</v>
      </c>
      <c r="B8" s="50">
        <v>1980</v>
      </c>
      <c r="C8" s="50" t="s">
        <v>20</v>
      </c>
      <c r="D8" s="54">
        <v>10000</v>
      </c>
      <c r="E8" s="54">
        <v>10000</v>
      </c>
      <c r="F8" s="54">
        <v>590000</v>
      </c>
      <c r="G8" s="52"/>
    </row>
    <row r="9" spans="1:7" x14ac:dyDescent="0.35">
      <c r="A9" s="53">
        <v>45264</v>
      </c>
      <c r="B9" s="50">
        <v>1980</v>
      </c>
      <c r="C9" s="50" t="s">
        <v>96</v>
      </c>
      <c r="D9" s="54">
        <v>140000</v>
      </c>
      <c r="E9" s="54">
        <f>SUM(E8+D9)</f>
        <v>150000</v>
      </c>
      <c r="F9" s="54">
        <f>F8-D9</f>
        <v>450000</v>
      </c>
      <c r="G9" s="52"/>
    </row>
    <row r="10" spans="1:7" x14ac:dyDescent="0.35">
      <c r="A10" s="50" t="s">
        <v>93</v>
      </c>
      <c r="B10" s="50">
        <v>2941</v>
      </c>
      <c r="C10" s="50" t="s">
        <v>22</v>
      </c>
      <c r="D10" s="54">
        <v>20000</v>
      </c>
      <c r="E10" s="54">
        <f t="shared" ref="E10:E35" si="0">SUM(E9+D10)</f>
        <v>170000</v>
      </c>
      <c r="F10" s="54">
        <f t="shared" ref="F10:F35" si="1">F9-D10</f>
        <v>430000</v>
      </c>
      <c r="G10" s="52"/>
    </row>
    <row r="11" spans="1:7" x14ac:dyDescent="0.35">
      <c r="A11" s="50" t="s">
        <v>77</v>
      </c>
      <c r="B11" s="50">
        <v>2474</v>
      </c>
      <c r="C11" s="50" t="s">
        <v>22</v>
      </c>
      <c r="D11" s="54">
        <v>10000</v>
      </c>
      <c r="E11" s="54">
        <f t="shared" si="0"/>
        <v>180000</v>
      </c>
      <c r="F11" s="54">
        <f t="shared" si="1"/>
        <v>420000</v>
      </c>
      <c r="G11" s="52"/>
    </row>
    <row r="12" spans="1:7" x14ac:dyDescent="0.35">
      <c r="A12" s="50" t="s">
        <v>78</v>
      </c>
      <c r="B12" s="50">
        <v>3727</v>
      </c>
      <c r="C12" s="50" t="s">
        <v>22</v>
      </c>
      <c r="D12" s="54">
        <v>10000</v>
      </c>
      <c r="E12" s="54">
        <f t="shared" si="0"/>
        <v>190000</v>
      </c>
      <c r="F12" s="54">
        <f t="shared" si="1"/>
        <v>410000</v>
      </c>
      <c r="G12" s="52"/>
    </row>
    <row r="13" spans="1:7" x14ac:dyDescent="0.35">
      <c r="A13" s="50" t="s">
        <v>79</v>
      </c>
      <c r="B13" s="50">
        <v>4347</v>
      </c>
      <c r="C13" s="50" t="s">
        <v>22</v>
      </c>
      <c r="D13" s="54">
        <v>10000</v>
      </c>
      <c r="E13" s="54">
        <f t="shared" si="0"/>
        <v>200000</v>
      </c>
      <c r="F13" s="54">
        <f t="shared" si="1"/>
        <v>400000</v>
      </c>
      <c r="G13" s="52"/>
    </row>
    <row r="14" spans="1:7" x14ac:dyDescent="0.35">
      <c r="A14" s="53">
        <v>45210</v>
      </c>
      <c r="B14" s="50">
        <v>4772</v>
      </c>
      <c r="C14" s="50" t="s">
        <v>22</v>
      </c>
      <c r="D14" s="54">
        <v>10000</v>
      </c>
      <c r="E14" s="54">
        <f t="shared" si="0"/>
        <v>210000</v>
      </c>
      <c r="F14" s="54">
        <f t="shared" si="1"/>
        <v>390000</v>
      </c>
      <c r="G14" s="52"/>
    </row>
    <row r="15" spans="1:7" x14ac:dyDescent="0.35">
      <c r="A15" s="50" t="s">
        <v>94</v>
      </c>
      <c r="B15" s="50">
        <v>5747</v>
      </c>
      <c r="C15" s="50" t="s">
        <v>22</v>
      </c>
      <c r="D15" s="54">
        <v>10000</v>
      </c>
      <c r="E15" s="54">
        <f t="shared" si="0"/>
        <v>220000</v>
      </c>
      <c r="F15" s="54">
        <f t="shared" si="1"/>
        <v>380000</v>
      </c>
      <c r="G15" s="52"/>
    </row>
    <row r="16" spans="1:7" x14ac:dyDescent="0.35">
      <c r="A16" s="50" t="s">
        <v>95</v>
      </c>
      <c r="B16" s="50">
        <v>6242</v>
      </c>
      <c r="C16" s="50" t="s">
        <v>22</v>
      </c>
      <c r="D16" s="54">
        <v>10000</v>
      </c>
      <c r="E16" s="54">
        <f t="shared" si="0"/>
        <v>230000</v>
      </c>
      <c r="F16" s="54">
        <f t="shared" si="1"/>
        <v>370000</v>
      </c>
      <c r="G16" s="52"/>
    </row>
    <row r="17" spans="1:7" x14ac:dyDescent="0.35">
      <c r="A17" s="53">
        <v>45628</v>
      </c>
      <c r="B17" s="50">
        <v>7115</v>
      </c>
      <c r="C17" s="50" t="s">
        <v>22</v>
      </c>
      <c r="D17" s="54">
        <v>10000</v>
      </c>
      <c r="E17" s="54">
        <f t="shared" si="0"/>
        <v>240000</v>
      </c>
      <c r="F17" s="54">
        <f t="shared" si="1"/>
        <v>360000</v>
      </c>
      <c r="G17" s="52"/>
    </row>
    <row r="18" spans="1:7" x14ac:dyDescent="0.35">
      <c r="A18" s="53">
        <v>45599</v>
      </c>
      <c r="B18" s="50">
        <v>7284</v>
      </c>
      <c r="C18" s="50" t="s">
        <v>22</v>
      </c>
      <c r="D18" s="54">
        <v>10000</v>
      </c>
      <c r="E18" s="54">
        <f t="shared" si="0"/>
        <v>250000</v>
      </c>
      <c r="F18" s="54">
        <f t="shared" si="1"/>
        <v>350000</v>
      </c>
      <c r="G18" s="52"/>
    </row>
    <row r="19" spans="1:7" x14ac:dyDescent="0.35">
      <c r="A19" s="50" t="s">
        <v>81</v>
      </c>
      <c r="B19" s="50">
        <v>7853</v>
      </c>
      <c r="C19" s="50" t="s">
        <v>22</v>
      </c>
      <c r="D19" s="54">
        <v>10000</v>
      </c>
      <c r="E19" s="54">
        <f t="shared" si="0"/>
        <v>260000</v>
      </c>
      <c r="F19" s="54">
        <f t="shared" si="1"/>
        <v>340000</v>
      </c>
      <c r="G19" s="52"/>
    </row>
    <row r="20" spans="1:7" x14ac:dyDescent="0.35">
      <c r="A20" s="50" t="s">
        <v>82</v>
      </c>
      <c r="B20" s="50">
        <v>8484</v>
      </c>
      <c r="C20" s="50" t="s">
        <v>22</v>
      </c>
      <c r="D20" s="54">
        <v>10000</v>
      </c>
      <c r="E20" s="54">
        <f t="shared" si="0"/>
        <v>270000</v>
      </c>
      <c r="F20" s="54">
        <f t="shared" si="1"/>
        <v>330000</v>
      </c>
      <c r="G20" s="52"/>
    </row>
    <row r="21" spans="1:7" x14ac:dyDescent="0.35">
      <c r="A21" s="53">
        <v>45632</v>
      </c>
      <c r="B21" s="50">
        <v>9033</v>
      </c>
      <c r="C21" s="50" t="s">
        <v>22</v>
      </c>
      <c r="D21" s="54">
        <v>10000</v>
      </c>
      <c r="E21" s="54">
        <f t="shared" si="0"/>
        <v>280000</v>
      </c>
      <c r="F21" s="54">
        <f t="shared" si="1"/>
        <v>320000</v>
      </c>
      <c r="G21" s="52"/>
    </row>
    <row r="22" spans="1:7" x14ac:dyDescent="0.35">
      <c r="A22" s="53">
        <v>45572</v>
      </c>
      <c r="B22" s="50">
        <v>9472</v>
      </c>
      <c r="C22" s="50" t="s">
        <v>22</v>
      </c>
      <c r="D22" s="54">
        <v>10000</v>
      </c>
      <c r="E22" s="54">
        <f t="shared" si="0"/>
        <v>290000</v>
      </c>
      <c r="F22" s="54">
        <f t="shared" si="1"/>
        <v>310000</v>
      </c>
      <c r="G22" s="52"/>
    </row>
    <row r="23" spans="1:7" x14ac:dyDescent="0.35">
      <c r="A23" s="53">
        <v>45544</v>
      </c>
      <c r="B23" s="50">
        <v>10660</v>
      </c>
      <c r="C23" s="50" t="s">
        <v>22</v>
      </c>
      <c r="D23" s="54">
        <v>10000</v>
      </c>
      <c r="E23" s="54">
        <f t="shared" si="0"/>
        <v>300000</v>
      </c>
      <c r="F23" s="54">
        <f t="shared" si="1"/>
        <v>300000</v>
      </c>
      <c r="G23" s="52"/>
    </row>
    <row r="24" spans="1:7" x14ac:dyDescent="0.35">
      <c r="A24" s="53">
        <v>45636</v>
      </c>
      <c r="B24" s="50">
        <v>11612</v>
      </c>
      <c r="C24" s="50" t="s">
        <v>22</v>
      </c>
      <c r="D24" s="54">
        <v>10000</v>
      </c>
      <c r="E24" s="54">
        <f t="shared" si="0"/>
        <v>310000</v>
      </c>
      <c r="F24" s="54">
        <f t="shared" si="1"/>
        <v>290000</v>
      </c>
      <c r="G24" s="52"/>
    </row>
    <row r="25" spans="1:7" x14ac:dyDescent="0.35">
      <c r="A25" s="53">
        <v>45637</v>
      </c>
      <c r="B25" s="50">
        <v>10949</v>
      </c>
      <c r="C25" s="50" t="s">
        <v>22</v>
      </c>
      <c r="D25" s="54">
        <v>10000</v>
      </c>
      <c r="E25" s="54">
        <f t="shared" si="0"/>
        <v>320000</v>
      </c>
      <c r="F25" s="54">
        <f t="shared" si="1"/>
        <v>280000</v>
      </c>
      <c r="G25" s="52"/>
    </row>
    <row r="26" spans="1:7" x14ac:dyDescent="0.35">
      <c r="A26" s="50" t="s">
        <v>83</v>
      </c>
      <c r="B26" s="50">
        <v>12387</v>
      </c>
      <c r="C26" s="50" t="s">
        <v>22</v>
      </c>
      <c r="D26" s="54">
        <v>10000</v>
      </c>
      <c r="E26" s="54">
        <f t="shared" si="0"/>
        <v>330000</v>
      </c>
      <c r="F26" s="54">
        <f t="shared" si="1"/>
        <v>270000</v>
      </c>
      <c r="G26" s="52"/>
    </row>
    <row r="27" spans="1:7" x14ac:dyDescent="0.35">
      <c r="A27" s="53">
        <v>45779</v>
      </c>
      <c r="B27" s="50">
        <v>9230</v>
      </c>
      <c r="C27" s="50" t="s">
        <v>22</v>
      </c>
      <c r="D27" s="54">
        <v>10000</v>
      </c>
      <c r="E27" s="54">
        <f t="shared" si="0"/>
        <v>340000</v>
      </c>
      <c r="F27" s="54">
        <f t="shared" si="1"/>
        <v>260000</v>
      </c>
      <c r="G27" s="52"/>
    </row>
    <row r="28" spans="1:7" x14ac:dyDescent="0.35">
      <c r="A28" s="53">
        <v>45964</v>
      </c>
      <c r="B28" s="50">
        <v>9720</v>
      </c>
      <c r="C28" s="50" t="s">
        <v>22</v>
      </c>
      <c r="D28" s="54">
        <v>10000</v>
      </c>
      <c r="E28" s="54">
        <f t="shared" si="0"/>
        <v>350000</v>
      </c>
      <c r="F28" s="54">
        <f t="shared" si="1"/>
        <v>250000</v>
      </c>
      <c r="G28" s="52"/>
    </row>
    <row r="29" spans="1:7" x14ac:dyDescent="0.35">
      <c r="A29" s="53">
        <v>45753</v>
      </c>
      <c r="B29" s="50">
        <v>10452</v>
      </c>
      <c r="C29" s="50" t="s">
        <v>22</v>
      </c>
      <c r="D29" s="54">
        <v>10000</v>
      </c>
      <c r="E29" s="54">
        <f t="shared" si="0"/>
        <v>360000</v>
      </c>
      <c r="F29" s="54">
        <f t="shared" si="1"/>
        <v>240000</v>
      </c>
      <c r="G29" s="52"/>
    </row>
    <row r="30" spans="1:7" x14ac:dyDescent="0.35">
      <c r="A30" s="53">
        <v>45970</v>
      </c>
      <c r="B30" s="50">
        <v>12714</v>
      </c>
      <c r="C30" s="50" t="s">
        <v>22</v>
      </c>
      <c r="D30" s="54">
        <v>10000</v>
      </c>
      <c r="E30" s="54">
        <f t="shared" si="0"/>
        <v>370000</v>
      </c>
      <c r="F30" s="54">
        <f t="shared" si="1"/>
        <v>230000</v>
      </c>
      <c r="G30" s="52"/>
    </row>
    <row r="31" spans="1:7" x14ac:dyDescent="0.35">
      <c r="A31" s="50" t="s">
        <v>85</v>
      </c>
      <c r="B31" s="50">
        <v>13057</v>
      </c>
      <c r="C31" s="50" t="s">
        <v>22</v>
      </c>
      <c r="D31" s="54">
        <v>10000</v>
      </c>
      <c r="E31" s="54">
        <f t="shared" si="0"/>
        <v>380000</v>
      </c>
      <c r="F31" s="54">
        <f t="shared" si="1"/>
        <v>220000</v>
      </c>
      <c r="G31" s="52"/>
    </row>
    <row r="32" spans="1:7" x14ac:dyDescent="0.35">
      <c r="A32" s="50" t="s">
        <v>86</v>
      </c>
      <c r="B32" s="50">
        <v>12669</v>
      </c>
      <c r="C32" s="50" t="s">
        <v>22</v>
      </c>
      <c r="D32" s="54">
        <v>10000</v>
      </c>
      <c r="E32" s="54">
        <f t="shared" si="0"/>
        <v>390000</v>
      </c>
      <c r="F32" s="54">
        <f t="shared" si="1"/>
        <v>210000</v>
      </c>
      <c r="G32" s="52"/>
    </row>
    <row r="33" spans="1:7" x14ac:dyDescent="0.35">
      <c r="A33" s="50" t="s">
        <v>87</v>
      </c>
      <c r="B33" s="50">
        <v>12242</v>
      </c>
      <c r="C33" s="50" t="s">
        <v>22</v>
      </c>
      <c r="D33" s="54">
        <v>10000</v>
      </c>
      <c r="E33" s="54">
        <f t="shared" si="0"/>
        <v>400000</v>
      </c>
      <c r="F33" s="54">
        <f t="shared" si="1"/>
        <v>200000</v>
      </c>
      <c r="G33" s="52"/>
    </row>
    <row r="34" spans="1:7" x14ac:dyDescent="0.35">
      <c r="A34" s="50" t="s">
        <v>88</v>
      </c>
      <c r="B34" s="50">
        <v>12562</v>
      </c>
      <c r="C34" s="50" t="s">
        <v>22</v>
      </c>
      <c r="D34" s="54">
        <v>10000</v>
      </c>
      <c r="E34" s="54">
        <f t="shared" si="0"/>
        <v>410000</v>
      </c>
      <c r="F34" s="54">
        <f t="shared" si="1"/>
        <v>190000</v>
      </c>
      <c r="G34" s="52"/>
    </row>
    <row r="35" spans="1:7" x14ac:dyDescent="0.35">
      <c r="A35" s="49" t="s">
        <v>171</v>
      </c>
      <c r="B35" s="49">
        <v>13955</v>
      </c>
      <c r="C35" s="56" t="s">
        <v>22</v>
      </c>
      <c r="D35" s="57">
        <v>10000</v>
      </c>
      <c r="E35" s="57">
        <f t="shared" si="0"/>
        <v>420000</v>
      </c>
      <c r="F35" s="57">
        <f t="shared" si="1"/>
        <v>180000</v>
      </c>
      <c r="G35" s="52"/>
    </row>
    <row r="36" spans="1:7" x14ac:dyDescent="0.35">
      <c r="A36" s="50" t="s">
        <v>409</v>
      </c>
      <c r="B36" s="50">
        <v>13053</v>
      </c>
      <c r="C36" s="50" t="s">
        <v>22</v>
      </c>
      <c r="D36" s="54">
        <v>10000</v>
      </c>
      <c r="E36" s="54">
        <f>E35+D36</f>
        <v>430000</v>
      </c>
      <c r="F36" s="54">
        <f>F35-D36</f>
        <v>170000</v>
      </c>
      <c r="G36" s="52"/>
    </row>
    <row r="37" spans="1:7" x14ac:dyDescent="0.35">
      <c r="A37" s="50" t="s">
        <v>410</v>
      </c>
      <c r="B37" s="50">
        <v>13436</v>
      </c>
      <c r="C37" s="50" t="s">
        <v>22</v>
      </c>
      <c r="D37" s="54">
        <v>10000</v>
      </c>
      <c r="E37" s="54">
        <f>E36+D37</f>
        <v>440000</v>
      </c>
      <c r="F37" s="54">
        <f>F36-D37</f>
        <v>160000</v>
      </c>
      <c r="G37" s="52"/>
    </row>
    <row r="38" spans="1:7" x14ac:dyDescent="0.35">
      <c r="A38" s="50" t="s">
        <v>411</v>
      </c>
      <c r="B38" s="50">
        <v>13690</v>
      </c>
      <c r="C38" s="50" t="s">
        <v>22</v>
      </c>
      <c r="D38" s="54">
        <v>10000</v>
      </c>
      <c r="E38" s="54">
        <f>E37+D38</f>
        <v>450000</v>
      </c>
      <c r="F38" s="54">
        <f>F37-D38</f>
        <v>150000</v>
      </c>
      <c r="G38" s="52"/>
    </row>
    <row r="39" spans="1:7" x14ac:dyDescent="0.35">
      <c r="A39" s="49" t="s">
        <v>462</v>
      </c>
      <c r="B39" s="49">
        <v>1550</v>
      </c>
      <c r="C39" s="50" t="s">
        <v>22</v>
      </c>
      <c r="D39" s="51">
        <v>10000</v>
      </c>
      <c r="E39" s="51">
        <f>E38+D39</f>
        <v>460000</v>
      </c>
      <c r="F39" s="51">
        <f>F38-D39</f>
        <v>140000</v>
      </c>
      <c r="G39" s="52"/>
    </row>
    <row r="40" spans="1:7" x14ac:dyDescent="0.35">
      <c r="A40" s="49" t="s">
        <v>463</v>
      </c>
      <c r="B40" s="49">
        <v>1841</v>
      </c>
      <c r="C40" s="50" t="s">
        <v>22</v>
      </c>
      <c r="D40" s="51">
        <v>10000</v>
      </c>
      <c r="E40" s="51">
        <f>E39+D40</f>
        <v>470000</v>
      </c>
      <c r="F40" s="51">
        <f>F39-D40</f>
        <v>130000</v>
      </c>
      <c r="G40" s="52"/>
    </row>
    <row r="41" spans="1:7" x14ac:dyDescent="0.35">
      <c r="A41" s="55">
        <v>46365</v>
      </c>
      <c r="B41" s="49">
        <v>1990</v>
      </c>
      <c r="C41" s="49" t="s">
        <v>22</v>
      </c>
      <c r="D41" s="51">
        <v>10000</v>
      </c>
      <c r="E41" s="51">
        <v>480000</v>
      </c>
      <c r="F41" s="51">
        <v>120000</v>
      </c>
      <c r="G41" s="52"/>
    </row>
    <row r="42" spans="1:7" x14ac:dyDescent="0.35">
      <c r="A42" s="52"/>
      <c r="B42" s="52"/>
      <c r="C42" s="52"/>
      <c r="D42" s="52"/>
      <c r="E42" s="52"/>
      <c r="F42" s="52"/>
      <c r="G42" s="52"/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C20" sqref="C20"/>
    </sheetView>
  </sheetViews>
  <sheetFormatPr defaultRowHeight="14.5" x14ac:dyDescent="0.35"/>
  <cols>
    <col min="1" max="1" width="9.54296875" customWidth="1"/>
    <col min="3" max="3" width="10.26953125" bestFit="1" customWidth="1"/>
    <col min="6" max="6" width="11.36328125" bestFit="1" customWidth="1"/>
  </cols>
  <sheetData>
    <row r="1" spans="1:7" ht="18.5" x14ac:dyDescent="0.45">
      <c r="A1" s="4" t="s">
        <v>174</v>
      </c>
      <c r="B1" s="4"/>
      <c r="C1" s="4"/>
      <c r="D1" s="5"/>
      <c r="E1" s="4"/>
      <c r="F1" s="4"/>
    </row>
    <row r="2" spans="1:7" ht="18.5" x14ac:dyDescent="0.45">
      <c r="A2" s="4" t="s">
        <v>97</v>
      </c>
      <c r="B2" s="4"/>
      <c r="C2" s="4"/>
      <c r="D2" s="5"/>
      <c r="E2" s="4"/>
      <c r="F2" s="4"/>
    </row>
    <row r="3" spans="1:7" ht="18.5" x14ac:dyDescent="0.45">
      <c r="A3" s="4" t="s">
        <v>98</v>
      </c>
      <c r="B3" s="4"/>
      <c r="C3" s="4"/>
      <c r="D3" s="5"/>
      <c r="E3" s="4"/>
      <c r="F3" s="4"/>
    </row>
    <row r="4" spans="1:7" ht="18.5" x14ac:dyDescent="0.45">
      <c r="A4" s="4" t="s">
        <v>328</v>
      </c>
      <c r="B4" s="4"/>
      <c r="C4" s="4"/>
      <c r="D4" s="5"/>
      <c r="E4" s="4"/>
      <c r="F4" s="4"/>
    </row>
    <row r="5" spans="1:7" ht="18.5" x14ac:dyDescent="0.45">
      <c r="A5" s="4" t="s">
        <v>99</v>
      </c>
      <c r="B5" s="4"/>
      <c r="C5" s="4"/>
      <c r="D5" s="5"/>
      <c r="E5" s="4"/>
      <c r="F5" s="4"/>
    </row>
    <row r="6" spans="1:7" ht="18.5" x14ac:dyDescent="0.45">
      <c r="A6" s="4" t="s">
        <v>100</v>
      </c>
      <c r="B6" s="4"/>
      <c r="C6" s="4"/>
      <c r="D6" s="4" t="s">
        <v>71</v>
      </c>
      <c r="E6" s="4"/>
      <c r="F6" s="4"/>
    </row>
    <row r="7" spans="1:7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6"/>
    </row>
    <row r="8" spans="1:7" x14ac:dyDescent="0.35">
      <c r="A8" s="1" t="s">
        <v>101</v>
      </c>
      <c r="B8" s="1">
        <v>13965</v>
      </c>
      <c r="C8" s="1" t="s">
        <v>104</v>
      </c>
      <c r="D8" s="2">
        <v>150000</v>
      </c>
      <c r="E8" s="2">
        <v>150000</v>
      </c>
      <c r="F8" s="2">
        <v>450000</v>
      </c>
    </row>
    <row r="9" spans="1:7" x14ac:dyDescent="0.35">
      <c r="A9" s="1" t="s">
        <v>102</v>
      </c>
      <c r="B9" s="1">
        <v>13597</v>
      </c>
      <c r="C9" s="1" t="s">
        <v>22</v>
      </c>
      <c r="D9" s="2">
        <v>40000</v>
      </c>
      <c r="E9" s="2">
        <v>190000</v>
      </c>
      <c r="F9" s="2">
        <v>410000</v>
      </c>
    </row>
    <row r="10" spans="1:7" x14ac:dyDescent="0.35">
      <c r="A10" s="1" t="s">
        <v>103</v>
      </c>
      <c r="B10" s="1">
        <v>13205</v>
      </c>
      <c r="C10" s="1" t="s">
        <v>22</v>
      </c>
      <c r="D10" s="2">
        <v>40000</v>
      </c>
      <c r="E10" s="2">
        <v>230000</v>
      </c>
      <c r="F10" s="2">
        <v>370000</v>
      </c>
    </row>
    <row r="11" spans="1:7" x14ac:dyDescent="0.35">
      <c r="A11" s="1" t="s">
        <v>55</v>
      </c>
      <c r="B11" s="1">
        <v>12279</v>
      </c>
      <c r="C11" s="1" t="s">
        <v>22</v>
      </c>
      <c r="D11" s="2">
        <v>40000</v>
      </c>
      <c r="E11" s="2">
        <v>270000</v>
      </c>
      <c r="F11" s="2">
        <v>330000</v>
      </c>
    </row>
    <row r="12" spans="1:7" x14ac:dyDescent="0.35">
      <c r="A12" s="3">
        <v>46205</v>
      </c>
      <c r="B12" s="1">
        <v>12511</v>
      </c>
      <c r="C12" s="1" t="s">
        <v>22</v>
      </c>
      <c r="D12" s="2">
        <v>20000</v>
      </c>
      <c r="E12" s="2">
        <v>290000</v>
      </c>
      <c r="F12" s="2">
        <f>F11-D12</f>
        <v>310000</v>
      </c>
    </row>
    <row r="13" spans="1:7" x14ac:dyDescent="0.35">
      <c r="A13" s="10" t="s">
        <v>173</v>
      </c>
      <c r="B13" s="10">
        <v>13971</v>
      </c>
      <c r="C13" s="1" t="s">
        <v>22</v>
      </c>
      <c r="D13" s="2">
        <v>20000</v>
      </c>
      <c r="E13" s="2">
        <f>SUM(E12+D13)</f>
        <v>310000</v>
      </c>
      <c r="F13" s="2">
        <f>F12-D13</f>
        <v>290000</v>
      </c>
    </row>
    <row r="14" spans="1:7" x14ac:dyDescent="0.35">
      <c r="A14" s="10" t="s">
        <v>329</v>
      </c>
      <c r="B14" s="10">
        <v>13375</v>
      </c>
      <c r="C14" s="18" t="s">
        <v>22</v>
      </c>
      <c r="D14" s="19">
        <v>20000</v>
      </c>
      <c r="E14" s="19">
        <f>SUM(E13+D14)</f>
        <v>330000</v>
      </c>
      <c r="F14" s="19">
        <f>F13-D14</f>
        <v>270000</v>
      </c>
    </row>
    <row r="15" spans="1:7" x14ac:dyDescent="0.35">
      <c r="A15" s="1" t="s">
        <v>414</v>
      </c>
      <c r="B15" s="1">
        <v>1529</v>
      </c>
      <c r="C15" s="1" t="s">
        <v>22</v>
      </c>
      <c r="D15" s="2">
        <v>40000</v>
      </c>
      <c r="E15" s="2">
        <f>E14+D15</f>
        <v>370000</v>
      </c>
      <c r="F15" s="2">
        <f>F14-D15</f>
        <v>230000</v>
      </c>
    </row>
    <row r="16" spans="1:7" x14ac:dyDescent="0.35">
      <c r="A16" s="1" t="s">
        <v>464</v>
      </c>
      <c r="B16" s="1">
        <v>1854</v>
      </c>
      <c r="C16" s="1" t="s">
        <v>22</v>
      </c>
      <c r="D16" s="2">
        <v>20000</v>
      </c>
      <c r="E16" s="2">
        <f>E15+D16</f>
        <v>390000</v>
      </c>
      <c r="F16" s="2">
        <f>F15-D16</f>
        <v>210000</v>
      </c>
    </row>
    <row r="17" spans="1:6" x14ac:dyDescent="0.35">
      <c r="A17" s="1"/>
      <c r="B17" s="1"/>
      <c r="C17" s="1"/>
      <c r="D17" s="1"/>
      <c r="E17" s="1"/>
      <c r="F17" s="1"/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28" workbookViewId="0">
      <selection activeCell="B47" sqref="B47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2.36328125" customWidth="1"/>
    <col min="6" max="6" width="11.36328125" bestFit="1" customWidth="1"/>
  </cols>
  <sheetData>
    <row r="1" spans="1:6" ht="18.5" x14ac:dyDescent="0.45">
      <c r="A1" s="4" t="s">
        <v>106</v>
      </c>
      <c r="B1" s="4"/>
      <c r="C1" s="4"/>
      <c r="D1" s="5"/>
      <c r="E1" s="4"/>
      <c r="F1" s="4"/>
    </row>
    <row r="2" spans="1:6" ht="18.5" x14ac:dyDescent="0.45">
      <c r="A2" s="4" t="s">
        <v>105</v>
      </c>
      <c r="B2" s="4"/>
      <c r="C2" s="4"/>
      <c r="D2" s="5"/>
      <c r="E2" s="4"/>
      <c r="F2" s="4"/>
    </row>
    <row r="3" spans="1:6" ht="18.5" x14ac:dyDescent="0.45">
      <c r="A3" s="4" t="s">
        <v>107</v>
      </c>
      <c r="B3" s="4"/>
      <c r="C3" s="4"/>
      <c r="D3" s="5"/>
      <c r="E3" s="4"/>
      <c r="F3" s="4"/>
    </row>
    <row r="4" spans="1:6" ht="18.5" x14ac:dyDescent="0.45">
      <c r="A4" s="4" t="s">
        <v>300</v>
      </c>
      <c r="B4" s="4"/>
      <c r="C4" s="4"/>
      <c r="D4" s="5"/>
      <c r="E4" s="4"/>
      <c r="F4" s="4"/>
    </row>
    <row r="5" spans="1:6" ht="18.5" x14ac:dyDescent="0.45">
      <c r="A5" s="4" t="s">
        <v>108</v>
      </c>
      <c r="B5" s="4"/>
      <c r="C5" s="4"/>
      <c r="D5" s="5"/>
      <c r="E5" s="4"/>
      <c r="F5" s="4"/>
    </row>
    <row r="6" spans="1:6" ht="18.5" x14ac:dyDescent="0.45">
      <c r="A6" s="4" t="s">
        <v>109</v>
      </c>
      <c r="B6" s="4"/>
      <c r="C6" s="4"/>
      <c r="D6" s="4" t="s">
        <v>71</v>
      </c>
      <c r="E6" s="4"/>
      <c r="F6" s="4"/>
    </row>
    <row r="7" spans="1:6" x14ac:dyDescent="0.35">
      <c r="A7" s="50" t="s">
        <v>0</v>
      </c>
      <c r="B7" s="50" t="s">
        <v>1</v>
      </c>
      <c r="C7" s="50" t="s">
        <v>2</v>
      </c>
      <c r="D7" s="50" t="s">
        <v>3</v>
      </c>
      <c r="E7" s="50" t="s">
        <v>4</v>
      </c>
      <c r="F7" s="50" t="s">
        <v>5</v>
      </c>
    </row>
    <row r="8" spans="1:6" x14ac:dyDescent="0.35">
      <c r="A8" s="53">
        <v>45018</v>
      </c>
      <c r="B8" s="50">
        <v>1981</v>
      </c>
      <c r="C8" s="50" t="s">
        <v>110</v>
      </c>
      <c r="D8" s="54">
        <v>80000</v>
      </c>
      <c r="E8" s="54">
        <v>80000</v>
      </c>
      <c r="F8" s="54">
        <v>520000</v>
      </c>
    </row>
    <row r="9" spans="1:6" x14ac:dyDescent="0.35">
      <c r="A9" s="53">
        <v>45234</v>
      </c>
      <c r="B9" s="50">
        <v>1919</v>
      </c>
      <c r="C9" s="50" t="s">
        <v>22</v>
      </c>
      <c r="D9" s="54">
        <v>20000</v>
      </c>
      <c r="E9" s="54">
        <f>SUM(E8+D9)</f>
        <v>100000</v>
      </c>
      <c r="F9" s="54">
        <f>F8-D9</f>
        <v>500000</v>
      </c>
    </row>
    <row r="10" spans="1:6" x14ac:dyDescent="0.35">
      <c r="A10" s="50" t="s">
        <v>111</v>
      </c>
      <c r="B10" s="50">
        <v>673</v>
      </c>
      <c r="C10" s="50" t="s">
        <v>22</v>
      </c>
      <c r="D10" s="54">
        <v>20000</v>
      </c>
      <c r="E10" s="54">
        <f t="shared" ref="E10:E42" si="0">SUM(E9+D10)</f>
        <v>120000</v>
      </c>
      <c r="F10" s="54">
        <f t="shared" ref="F10:F42" si="1">F9-D10</f>
        <v>480000</v>
      </c>
    </row>
    <row r="11" spans="1:6" x14ac:dyDescent="0.35">
      <c r="A11" s="50" t="s">
        <v>112</v>
      </c>
      <c r="B11" s="50">
        <v>2921</v>
      </c>
      <c r="C11" s="50" t="s">
        <v>22</v>
      </c>
      <c r="D11" s="54">
        <v>20000</v>
      </c>
      <c r="E11" s="54">
        <f t="shared" si="0"/>
        <v>140000</v>
      </c>
      <c r="F11" s="54">
        <f t="shared" si="1"/>
        <v>460000</v>
      </c>
    </row>
    <row r="12" spans="1:6" x14ac:dyDescent="0.35">
      <c r="A12" s="50" t="s">
        <v>113</v>
      </c>
      <c r="B12" s="50">
        <v>3784</v>
      </c>
      <c r="C12" s="50" t="s">
        <v>22</v>
      </c>
      <c r="D12" s="54">
        <v>20000</v>
      </c>
      <c r="E12" s="54">
        <f t="shared" si="0"/>
        <v>160000</v>
      </c>
      <c r="F12" s="54">
        <f t="shared" si="1"/>
        <v>440000</v>
      </c>
    </row>
    <row r="13" spans="1:6" x14ac:dyDescent="0.35">
      <c r="A13" s="53">
        <v>45149</v>
      </c>
      <c r="B13" s="50">
        <v>4706</v>
      </c>
      <c r="C13" s="50" t="s">
        <v>22</v>
      </c>
      <c r="D13" s="54">
        <v>10000</v>
      </c>
      <c r="E13" s="54">
        <f t="shared" si="0"/>
        <v>170000</v>
      </c>
      <c r="F13" s="54">
        <f t="shared" si="1"/>
        <v>430000</v>
      </c>
    </row>
    <row r="14" spans="1:6" x14ac:dyDescent="0.35">
      <c r="A14" s="50" t="s">
        <v>114</v>
      </c>
      <c r="B14" s="50">
        <v>5528</v>
      </c>
      <c r="C14" s="50" t="s">
        <v>22</v>
      </c>
      <c r="D14" s="54">
        <v>10000</v>
      </c>
      <c r="E14" s="54">
        <f t="shared" si="0"/>
        <v>180000</v>
      </c>
      <c r="F14" s="54">
        <f t="shared" si="1"/>
        <v>420000</v>
      </c>
    </row>
    <row r="15" spans="1:6" x14ac:dyDescent="0.35">
      <c r="A15" s="53">
        <v>45505</v>
      </c>
      <c r="B15" s="50">
        <v>6003</v>
      </c>
      <c r="C15" s="50" t="s">
        <v>22</v>
      </c>
      <c r="D15" s="54">
        <v>10000</v>
      </c>
      <c r="E15" s="54">
        <f t="shared" si="0"/>
        <v>190000</v>
      </c>
      <c r="F15" s="54">
        <f t="shared" si="1"/>
        <v>410000</v>
      </c>
    </row>
    <row r="16" spans="1:6" x14ac:dyDescent="0.35">
      <c r="A16" s="53">
        <v>45475</v>
      </c>
      <c r="B16" s="50">
        <v>6565</v>
      </c>
      <c r="C16" s="50" t="s">
        <v>22</v>
      </c>
      <c r="D16" s="54">
        <v>10000</v>
      </c>
      <c r="E16" s="54">
        <f t="shared" si="0"/>
        <v>200000</v>
      </c>
      <c r="F16" s="54">
        <f t="shared" si="1"/>
        <v>400000</v>
      </c>
    </row>
    <row r="17" spans="1:6" x14ac:dyDescent="0.35">
      <c r="A17" s="50" t="s">
        <v>115</v>
      </c>
      <c r="B17" s="50">
        <v>7656</v>
      </c>
      <c r="C17" s="50" t="s">
        <v>22</v>
      </c>
      <c r="D17" s="54">
        <v>10000</v>
      </c>
      <c r="E17" s="54">
        <f t="shared" si="0"/>
        <v>210000</v>
      </c>
      <c r="F17" s="54">
        <f t="shared" si="1"/>
        <v>390000</v>
      </c>
    </row>
    <row r="18" spans="1:6" x14ac:dyDescent="0.35">
      <c r="A18" s="53">
        <v>45295</v>
      </c>
      <c r="B18" s="50">
        <v>7705</v>
      </c>
      <c r="C18" s="50" t="s">
        <v>22</v>
      </c>
      <c r="D18" s="54">
        <v>10000</v>
      </c>
      <c r="E18" s="54">
        <f t="shared" si="0"/>
        <v>220000</v>
      </c>
      <c r="F18" s="54">
        <f t="shared" si="1"/>
        <v>380000</v>
      </c>
    </row>
    <row r="19" spans="1:6" x14ac:dyDescent="0.35">
      <c r="A19" s="53">
        <v>45478</v>
      </c>
      <c r="B19" s="50">
        <v>8286</v>
      </c>
      <c r="C19" s="50" t="s">
        <v>22</v>
      </c>
      <c r="D19" s="54">
        <v>10000</v>
      </c>
      <c r="E19" s="54">
        <f t="shared" si="0"/>
        <v>230000</v>
      </c>
      <c r="F19" s="54">
        <f t="shared" si="1"/>
        <v>370000</v>
      </c>
    </row>
    <row r="20" spans="1:6" x14ac:dyDescent="0.35">
      <c r="A20" s="50" t="s">
        <v>116</v>
      </c>
      <c r="B20" s="50">
        <v>9052</v>
      </c>
      <c r="C20" s="50" t="s">
        <v>22</v>
      </c>
      <c r="D20" s="54">
        <v>10000</v>
      </c>
      <c r="E20" s="54">
        <f t="shared" si="0"/>
        <v>240000</v>
      </c>
      <c r="F20" s="54">
        <f t="shared" si="1"/>
        <v>360000</v>
      </c>
    </row>
    <row r="21" spans="1:6" x14ac:dyDescent="0.35">
      <c r="A21" s="53">
        <v>45450</v>
      </c>
      <c r="B21" s="50">
        <v>9400</v>
      </c>
      <c r="C21" s="50" t="s">
        <v>22</v>
      </c>
      <c r="D21" s="54">
        <v>10000</v>
      </c>
      <c r="E21" s="54">
        <f t="shared" si="0"/>
        <v>250000</v>
      </c>
      <c r="F21" s="54">
        <f t="shared" si="1"/>
        <v>350000</v>
      </c>
    </row>
    <row r="22" spans="1:6" x14ac:dyDescent="0.35">
      <c r="A22" s="50" t="s">
        <v>46</v>
      </c>
      <c r="B22" s="50">
        <v>11101</v>
      </c>
      <c r="C22" s="50" t="s">
        <v>22</v>
      </c>
      <c r="D22" s="54">
        <v>10000</v>
      </c>
      <c r="E22" s="54">
        <f t="shared" si="0"/>
        <v>260000</v>
      </c>
      <c r="F22" s="54">
        <f t="shared" si="1"/>
        <v>340000</v>
      </c>
    </row>
    <row r="23" spans="1:6" x14ac:dyDescent="0.35">
      <c r="A23" s="53">
        <v>45635</v>
      </c>
      <c r="B23" s="50">
        <v>10713</v>
      </c>
      <c r="C23" s="50" t="s">
        <v>22</v>
      </c>
      <c r="D23" s="54">
        <v>10000</v>
      </c>
      <c r="E23" s="54">
        <f t="shared" si="0"/>
        <v>270000</v>
      </c>
      <c r="F23" s="54">
        <f t="shared" si="1"/>
        <v>330000</v>
      </c>
    </row>
    <row r="24" spans="1:6" x14ac:dyDescent="0.35">
      <c r="A24" s="53">
        <v>45575</v>
      </c>
      <c r="B24" s="50">
        <v>11353</v>
      </c>
      <c r="C24" s="50" t="s">
        <v>22</v>
      </c>
      <c r="D24" s="54">
        <v>10000</v>
      </c>
      <c r="E24" s="54">
        <f t="shared" si="0"/>
        <v>280000</v>
      </c>
      <c r="F24" s="54">
        <f t="shared" si="1"/>
        <v>320000</v>
      </c>
    </row>
    <row r="25" spans="1:6" x14ac:dyDescent="0.35">
      <c r="A25" s="50" t="s">
        <v>117</v>
      </c>
      <c r="B25" s="50">
        <v>10972</v>
      </c>
      <c r="C25" s="50" t="s">
        <v>22</v>
      </c>
      <c r="D25" s="54">
        <v>10000</v>
      </c>
      <c r="E25" s="54">
        <f t="shared" si="0"/>
        <v>290000</v>
      </c>
      <c r="F25" s="54">
        <f t="shared" si="1"/>
        <v>310000</v>
      </c>
    </row>
    <row r="26" spans="1:6" x14ac:dyDescent="0.35">
      <c r="A26" s="53">
        <v>45608</v>
      </c>
      <c r="B26" s="50">
        <v>12336</v>
      </c>
      <c r="C26" s="50" t="s">
        <v>22</v>
      </c>
      <c r="D26" s="54">
        <v>10000</v>
      </c>
      <c r="E26" s="54">
        <f t="shared" si="0"/>
        <v>300000</v>
      </c>
      <c r="F26" s="54">
        <f t="shared" si="1"/>
        <v>300000</v>
      </c>
    </row>
    <row r="27" spans="1:6" x14ac:dyDescent="0.35">
      <c r="A27" s="53">
        <v>45931</v>
      </c>
      <c r="B27" s="50">
        <v>832</v>
      </c>
      <c r="C27" s="50" t="s">
        <v>22</v>
      </c>
      <c r="D27" s="54">
        <v>10000</v>
      </c>
      <c r="E27" s="54">
        <f t="shared" si="0"/>
        <v>310000</v>
      </c>
      <c r="F27" s="54">
        <f t="shared" si="1"/>
        <v>290000</v>
      </c>
    </row>
    <row r="28" spans="1:6" x14ac:dyDescent="0.35">
      <c r="A28" s="53">
        <v>45963</v>
      </c>
      <c r="B28" s="50">
        <v>9347</v>
      </c>
      <c r="C28" s="50" t="s">
        <v>22</v>
      </c>
      <c r="D28" s="54">
        <v>10000</v>
      </c>
      <c r="E28" s="54">
        <f t="shared" si="0"/>
        <v>320000</v>
      </c>
      <c r="F28" s="54">
        <f t="shared" si="1"/>
        <v>280000</v>
      </c>
    </row>
    <row r="29" spans="1:6" x14ac:dyDescent="0.35">
      <c r="A29" s="53">
        <v>45964</v>
      </c>
      <c r="B29" s="50">
        <v>9713</v>
      </c>
      <c r="C29" s="50" t="s">
        <v>22</v>
      </c>
      <c r="D29" s="54">
        <v>10000</v>
      </c>
      <c r="E29" s="54">
        <f t="shared" si="0"/>
        <v>330000</v>
      </c>
      <c r="F29" s="54">
        <f t="shared" si="1"/>
        <v>270000</v>
      </c>
    </row>
    <row r="30" spans="1:6" x14ac:dyDescent="0.35">
      <c r="A30" s="50" t="s">
        <v>118</v>
      </c>
      <c r="B30" s="50">
        <v>833</v>
      </c>
      <c r="C30" s="50" t="s">
        <v>22</v>
      </c>
      <c r="D30" s="54">
        <v>10000</v>
      </c>
      <c r="E30" s="54">
        <f t="shared" si="0"/>
        <v>340000</v>
      </c>
      <c r="F30" s="54">
        <f t="shared" si="1"/>
        <v>260000</v>
      </c>
    </row>
    <row r="31" spans="1:6" x14ac:dyDescent="0.35">
      <c r="A31" s="53">
        <v>45905</v>
      </c>
      <c r="B31" s="50">
        <v>13601</v>
      </c>
      <c r="C31" s="50" t="s">
        <v>22</v>
      </c>
      <c r="D31" s="54">
        <v>10000</v>
      </c>
      <c r="E31" s="54">
        <f t="shared" si="0"/>
        <v>350000</v>
      </c>
      <c r="F31" s="54">
        <f t="shared" si="1"/>
        <v>250000</v>
      </c>
    </row>
    <row r="32" spans="1:6" x14ac:dyDescent="0.35">
      <c r="A32" s="50" t="s">
        <v>28</v>
      </c>
      <c r="B32" s="50">
        <v>13602</v>
      </c>
      <c r="C32" s="50" t="s">
        <v>22</v>
      </c>
      <c r="D32" s="54">
        <v>10000</v>
      </c>
      <c r="E32" s="54">
        <f t="shared" si="0"/>
        <v>360000</v>
      </c>
      <c r="F32" s="54">
        <f t="shared" si="1"/>
        <v>240000</v>
      </c>
    </row>
    <row r="33" spans="1:6" x14ac:dyDescent="0.35">
      <c r="A33" s="50" t="s">
        <v>119</v>
      </c>
      <c r="B33" s="50">
        <v>12944</v>
      </c>
      <c r="C33" s="50" t="s">
        <v>22</v>
      </c>
      <c r="D33" s="54">
        <v>10000</v>
      </c>
      <c r="E33" s="54">
        <f t="shared" si="0"/>
        <v>370000</v>
      </c>
      <c r="F33" s="54">
        <f t="shared" si="1"/>
        <v>230000</v>
      </c>
    </row>
    <row r="34" spans="1:6" x14ac:dyDescent="0.35">
      <c r="A34" s="53">
        <v>45970</v>
      </c>
      <c r="B34" s="50">
        <v>13605</v>
      </c>
      <c r="C34" s="50" t="s">
        <v>22</v>
      </c>
      <c r="D34" s="54">
        <v>10000</v>
      </c>
      <c r="E34" s="54">
        <f t="shared" si="0"/>
        <v>380000</v>
      </c>
      <c r="F34" s="54">
        <f t="shared" si="1"/>
        <v>220000</v>
      </c>
    </row>
    <row r="35" spans="1:6" x14ac:dyDescent="0.35">
      <c r="A35" s="50" t="s">
        <v>120</v>
      </c>
      <c r="B35" s="50">
        <v>13604</v>
      </c>
      <c r="C35" s="50" t="s">
        <v>22</v>
      </c>
      <c r="D35" s="54">
        <v>10000</v>
      </c>
      <c r="E35" s="54">
        <f t="shared" si="0"/>
        <v>390000</v>
      </c>
      <c r="F35" s="54">
        <f t="shared" si="1"/>
        <v>210000</v>
      </c>
    </row>
    <row r="36" spans="1:6" x14ac:dyDescent="0.35">
      <c r="A36" s="50" t="s">
        <v>121</v>
      </c>
      <c r="B36" s="50">
        <v>13047</v>
      </c>
      <c r="C36" s="50" t="s">
        <v>22</v>
      </c>
      <c r="D36" s="54">
        <v>10000</v>
      </c>
      <c r="E36" s="54">
        <f t="shared" si="0"/>
        <v>400000</v>
      </c>
      <c r="F36" s="54">
        <f t="shared" si="1"/>
        <v>200000</v>
      </c>
    </row>
    <row r="37" spans="1:6" x14ac:dyDescent="0.35">
      <c r="A37" s="53">
        <v>45912</v>
      </c>
      <c r="B37" s="50">
        <v>13123</v>
      </c>
      <c r="C37" s="50" t="s">
        <v>22</v>
      </c>
      <c r="D37" s="54">
        <v>10000</v>
      </c>
      <c r="E37" s="54">
        <f t="shared" si="0"/>
        <v>410000</v>
      </c>
      <c r="F37" s="54">
        <f t="shared" si="1"/>
        <v>190000</v>
      </c>
    </row>
    <row r="38" spans="1:6" x14ac:dyDescent="0.35">
      <c r="A38" s="50" t="s">
        <v>122</v>
      </c>
      <c r="B38" s="50">
        <v>12211</v>
      </c>
      <c r="C38" s="50" t="s">
        <v>22</v>
      </c>
      <c r="D38" s="54">
        <v>10000</v>
      </c>
      <c r="E38" s="54">
        <f t="shared" si="0"/>
        <v>420000</v>
      </c>
      <c r="F38" s="54">
        <f t="shared" si="1"/>
        <v>180000</v>
      </c>
    </row>
    <row r="39" spans="1:6" x14ac:dyDescent="0.35">
      <c r="A39" s="50" t="s">
        <v>123</v>
      </c>
      <c r="B39" s="50">
        <v>12501</v>
      </c>
      <c r="C39" s="50" t="s">
        <v>22</v>
      </c>
      <c r="D39" s="54">
        <v>10000</v>
      </c>
      <c r="E39" s="54">
        <f t="shared" si="0"/>
        <v>430000</v>
      </c>
      <c r="F39" s="54">
        <f t="shared" si="1"/>
        <v>170000</v>
      </c>
    </row>
    <row r="40" spans="1:6" x14ac:dyDescent="0.35">
      <c r="A40" s="53">
        <v>46298</v>
      </c>
      <c r="B40" s="50">
        <v>12814</v>
      </c>
      <c r="C40" s="50" t="s">
        <v>22</v>
      </c>
      <c r="D40" s="54">
        <v>10000</v>
      </c>
      <c r="E40" s="54">
        <f t="shared" si="0"/>
        <v>440000</v>
      </c>
      <c r="F40" s="54">
        <f t="shared" si="1"/>
        <v>160000</v>
      </c>
    </row>
    <row r="41" spans="1:6" x14ac:dyDescent="0.35">
      <c r="A41" s="53">
        <v>46146</v>
      </c>
      <c r="B41" s="50">
        <v>13127</v>
      </c>
      <c r="C41" s="50" t="s">
        <v>22</v>
      </c>
      <c r="D41" s="54">
        <v>10000</v>
      </c>
      <c r="E41" s="54">
        <f t="shared" si="0"/>
        <v>450000</v>
      </c>
      <c r="F41" s="54">
        <f t="shared" si="1"/>
        <v>150000</v>
      </c>
    </row>
    <row r="42" spans="1:6" x14ac:dyDescent="0.35">
      <c r="A42" s="53">
        <v>46086</v>
      </c>
      <c r="B42" s="50">
        <v>12923</v>
      </c>
      <c r="C42" s="50" t="s">
        <v>22</v>
      </c>
      <c r="D42" s="54">
        <v>10000</v>
      </c>
      <c r="E42" s="54">
        <f t="shared" si="0"/>
        <v>460000</v>
      </c>
      <c r="F42" s="54">
        <f t="shared" si="1"/>
        <v>140000</v>
      </c>
    </row>
    <row r="43" spans="1:6" x14ac:dyDescent="0.35">
      <c r="A43" s="50" t="s">
        <v>378</v>
      </c>
      <c r="B43" s="50">
        <v>13529</v>
      </c>
      <c r="C43" s="50" t="s">
        <v>22</v>
      </c>
      <c r="D43" s="54">
        <v>10000</v>
      </c>
      <c r="E43" s="54">
        <f>E42+D43</f>
        <v>470000</v>
      </c>
      <c r="F43" s="54">
        <f>F42-D43</f>
        <v>130000</v>
      </c>
    </row>
    <row r="44" spans="1:6" x14ac:dyDescent="0.35">
      <c r="A44" s="50" t="s">
        <v>434</v>
      </c>
      <c r="B44" s="50">
        <v>1534</v>
      </c>
      <c r="C44" s="50" t="s">
        <v>22</v>
      </c>
      <c r="D44" s="54">
        <v>10000</v>
      </c>
      <c r="E44" s="54">
        <f>E43+D44</f>
        <v>480000</v>
      </c>
      <c r="F44" s="54">
        <f>F43-D44</f>
        <v>120000</v>
      </c>
    </row>
    <row r="45" spans="1:6" x14ac:dyDescent="0.35">
      <c r="A45" s="53">
        <v>46061</v>
      </c>
      <c r="B45" s="50">
        <v>1621</v>
      </c>
      <c r="C45" s="50" t="s">
        <v>22</v>
      </c>
      <c r="D45" s="54">
        <v>10000</v>
      </c>
      <c r="E45" s="54">
        <f>E44+D45</f>
        <v>490000</v>
      </c>
      <c r="F45" s="54">
        <f>F44-D45</f>
        <v>110000</v>
      </c>
    </row>
    <row r="46" spans="1:6" x14ac:dyDescent="0.35">
      <c r="A46" s="53">
        <v>46031</v>
      </c>
      <c r="B46" s="50">
        <v>1876</v>
      </c>
      <c r="C46" s="50" t="s">
        <v>22</v>
      </c>
      <c r="D46" s="54">
        <v>10000</v>
      </c>
      <c r="E46" s="54">
        <f>E45+D46</f>
        <v>500000</v>
      </c>
      <c r="F46" s="54">
        <f>F45-D46</f>
        <v>100000</v>
      </c>
    </row>
    <row r="47" spans="1:6" x14ac:dyDescent="0.35">
      <c r="A47" s="53">
        <v>46183</v>
      </c>
      <c r="B47" s="50">
        <v>2173</v>
      </c>
      <c r="C47" s="50" t="s">
        <v>22</v>
      </c>
      <c r="D47" s="54">
        <v>10000</v>
      </c>
      <c r="E47" s="54">
        <f>E46+D47</f>
        <v>510000</v>
      </c>
      <c r="F47" s="54">
        <f>F46-D47</f>
        <v>90000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2" workbookViewId="0">
      <selection activeCell="C39" sqref="C39"/>
    </sheetView>
  </sheetViews>
  <sheetFormatPr defaultRowHeight="14.5" x14ac:dyDescent="0.35"/>
  <cols>
    <col min="1" max="1" width="10.453125" bestFit="1" customWidth="1"/>
    <col min="3" max="3" width="10.26953125" bestFit="1" customWidth="1"/>
    <col min="6" max="6" width="11.36328125" bestFit="1" customWidth="1"/>
  </cols>
  <sheetData>
    <row r="1" spans="1:6" ht="18.5" x14ac:dyDescent="0.45">
      <c r="A1" s="4" t="s">
        <v>124</v>
      </c>
      <c r="B1" s="4"/>
      <c r="C1" s="4"/>
      <c r="D1" s="5"/>
      <c r="E1" s="4"/>
      <c r="F1" s="4"/>
    </row>
    <row r="2" spans="1:6" ht="18.5" x14ac:dyDescent="0.45">
      <c r="A2" s="4" t="s">
        <v>125</v>
      </c>
      <c r="B2" s="4"/>
      <c r="C2" s="4"/>
      <c r="D2" s="5"/>
      <c r="E2" s="4"/>
      <c r="F2" s="4"/>
    </row>
    <row r="3" spans="1:6" ht="18.5" x14ac:dyDescent="0.45">
      <c r="A3" s="4" t="s">
        <v>126</v>
      </c>
      <c r="B3" s="4"/>
      <c r="C3" s="4"/>
      <c r="D3" s="5"/>
      <c r="E3" s="4"/>
      <c r="F3" s="4"/>
    </row>
    <row r="4" spans="1:6" ht="18.5" x14ac:dyDescent="0.45">
      <c r="A4" s="4" t="s">
        <v>377</v>
      </c>
      <c r="B4" s="4" t="s">
        <v>407</v>
      </c>
      <c r="C4" s="4"/>
      <c r="D4" s="5"/>
      <c r="E4" s="4"/>
      <c r="F4" s="4"/>
    </row>
    <row r="5" spans="1:6" ht="18.5" x14ac:dyDescent="0.45">
      <c r="A5" s="4" t="s">
        <v>127</v>
      </c>
      <c r="B5" s="4"/>
      <c r="C5" s="4"/>
      <c r="D5" s="5"/>
      <c r="E5" s="4"/>
      <c r="F5" s="4"/>
    </row>
    <row r="6" spans="1:6" ht="18.5" x14ac:dyDescent="0.45">
      <c r="A6" s="4" t="s">
        <v>128</v>
      </c>
      <c r="B6" s="4"/>
      <c r="C6" s="4"/>
      <c r="D6" s="4" t="s">
        <v>71</v>
      </c>
      <c r="E6" s="4"/>
      <c r="F6" s="4"/>
    </row>
    <row r="7" spans="1:6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35">
      <c r="A8" t="s">
        <v>129</v>
      </c>
      <c r="B8">
        <v>2505</v>
      </c>
      <c r="C8" t="s">
        <v>144</v>
      </c>
      <c r="D8" s="9">
        <v>10000</v>
      </c>
      <c r="E8" s="9">
        <v>10000</v>
      </c>
      <c r="F8" s="9">
        <v>590000</v>
      </c>
    </row>
    <row r="9" spans="1:6" x14ac:dyDescent="0.35">
      <c r="A9" t="s">
        <v>130</v>
      </c>
      <c r="B9">
        <v>2505</v>
      </c>
      <c r="C9" t="s">
        <v>104</v>
      </c>
      <c r="D9" s="9">
        <v>110000</v>
      </c>
      <c r="E9" s="9">
        <f>SUM(E8+D9)</f>
        <v>120000</v>
      </c>
      <c r="F9" s="9">
        <f>F8-D9</f>
        <v>480000</v>
      </c>
    </row>
    <row r="10" spans="1:6" x14ac:dyDescent="0.35">
      <c r="A10" t="s">
        <v>131</v>
      </c>
      <c r="B10">
        <v>1629</v>
      </c>
      <c r="C10" t="s">
        <v>22</v>
      </c>
      <c r="D10" s="9">
        <v>10000</v>
      </c>
      <c r="E10" s="9">
        <f t="shared" ref="E10:E35" si="0">SUM(E9+D10)</f>
        <v>130000</v>
      </c>
      <c r="F10" s="9">
        <f t="shared" ref="F10:F35" si="1">F9-D10</f>
        <v>470000</v>
      </c>
    </row>
    <row r="11" spans="1:6" x14ac:dyDescent="0.35">
      <c r="A11" t="s">
        <v>36</v>
      </c>
      <c r="B11">
        <v>1350</v>
      </c>
      <c r="C11" t="s">
        <v>22</v>
      </c>
      <c r="D11" s="9">
        <v>10000</v>
      </c>
      <c r="E11" s="9">
        <f t="shared" si="0"/>
        <v>140000</v>
      </c>
      <c r="F11" s="9">
        <f t="shared" si="1"/>
        <v>460000</v>
      </c>
    </row>
    <row r="12" spans="1:6" x14ac:dyDescent="0.35">
      <c r="A12" t="s">
        <v>12</v>
      </c>
      <c r="B12">
        <v>927</v>
      </c>
      <c r="C12" t="s">
        <v>22</v>
      </c>
      <c r="D12" s="9">
        <v>10000</v>
      </c>
      <c r="E12" s="9">
        <f t="shared" si="0"/>
        <v>150000</v>
      </c>
      <c r="F12" s="9">
        <f t="shared" si="1"/>
        <v>450000</v>
      </c>
    </row>
    <row r="13" spans="1:6" x14ac:dyDescent="0.35">
      <c r="A13" s="8">
        <v>45177</v>
      </c>
      <c r="B13">
        <v>2310</v>
      </c>
      <c r="C13" t="s">
        <v>22</v>
      </c>
      <c r="D13" s="9">
        <v>20000</v>
      </c>
      <c r="E13" s="9">
        <f t="shared" si="0"/>
        <v>170000</v>
      </c>
      <c r="F13" s="9">
        <f t="shared" si="1"/>
        <v>430000</v>
      </c>
    </row>
    <row r="14" spans="1:6" x14ac:dyDescent="0.35">
      <c r="A14" s="8">
        <v>44937</v>
      </c>
      <c r="B14">
        <v>4597</v>
      </c>
      <c r="C14" t="s">
        <v>22</v>
      </c>
      <c r="D14" s="9">
        <v>30000</v>
      </c>
      <c r="E14" s="9">
        <f t="shared" si="0"/>
        <v>200000</v>
      </c>
      <c r="F14" s="9">
        <f t="shared" si="1"/>
        <v>400000</v>
      </c>
    </row>
    <row r="15" spans="1:6" x14ac:dyDescent="0.35">
      <c r="A15" t="s">
        <v>132</v>
      </c>
      <c r="B15">
        <v>6310</v>
      </c>
      <c r="C15" t="s">
        <v>22</v>
      </c>
      <c r="D15" s="9">
        <v>20000</v>
      </c>
      <c r="E15" s="9">
        <f t="shared" si="0"/>
        <v>220000</v>
      </c>
      <c r="F15" s="9">
        <f t="shared" si="1"/>
        <v>380000</v>
      </c>
    </row>
    <row r="16" spans="1:6" x14ac:dyDescent="0.35">
      <c r="A16" s="8">
        <v>45628</v>
      </c>
      <c r="B16">
        <v>7101</v>
      </c>
      <c r="C16" t="s">
        <v>22</v>
      </c>
      <c r="D16" s="9">
        <v>20000</v>
      </c>
      <c r="E16" s="9">
        <f t="shared" si="0"/>
        <v>240000</v>
      </c>
      <c r="F16" s="9">
        <f t="shared" si="1"/>
        <v>360000</v>
      </c>
    </row>
    <row r="17" spans="1:6" x14ac:dyDescent="0.35">
      <c r="A17" s="8">
        <v>45568</v>
      </c>
      <c r="B17">
        <v>6994</v>
      </c>
      <c r="C17" t="s">
        <v>22</v>
      </c>
      <c r="D17" s="9">
        <v>10000</v>
      </c>
      <c r="E17" s="9">
        <f t="shared" si="0"/>
        <v>250000</v>
      </c>
      <c r="F17" s="9">
        <f t="shared" si="1"/>
        <v>350000</v>
      </c>
    </row>
    <row r="18" spans="1:6" x14ac:dyDescent="0.35">
      <c r="A18" s="8">
        <v>45327</v>
      </c>
      <c r="B18">
        <v>8183</v>
      </c>
      <c r="C18" t="s">
        <v>22</v>
      </c>
      <c r="D18" s="9">
        <v>20000</v>
      </c>
      <c r="E18" s="9">
        <f t="shared" si="0"/>
        <v>270000</v>
      </c>
      <c r="F18" s="9">
        <f t="shared" si="1"/>
        <v>330000</v>
      </c>
    </row>
    <row r="19" spans="1:6" x14ac:dyDescent="0.35">
      <c r="A19" t="s">
        <v>133</v>
      </c>
      <c r="B19">
        <v>9625</v>
      </c>
      <c r="C19" t="s">
        <v>22</v>
      </c>
      <c r="D19" s="9">
        <v>20000</v>
      </c>
      <c r="E19" s="9">
        <f t="shared" si="0"/>
        <v>290000</v>
      </c>
      <c r="F19" s="9">
        <f t="shared" si="1"/>
        <v>310000</v>
      </c>
    </row>
    <row r="20" spans="1:6" x14ac:dyDescent="0.35">
      <c r="A20" s="8">
        <v>45543</v>
      </c>
      <c r="B20">
        <v>11008</v>
      </c>
      <c r="C20" t="s">
        <v>22</v>
      </c>
      <c r="D20" s="9">
        <v>10000</v>
      </c>
      <c r="E20" s="9">
        <f t="shared" si="0"/>
        <v>300000</v>
      </c>
      <c r="F20" s="9">
        <f t="shared" si="1"/>
        <v>300000</v>
      </c>
    </row>
    <row r="21" spans="1:6" x14ac:dyDescent="0.35">
      <c r="A21" t="s">
        <v>134</v>
      </c>
      <c r="B21">
        <v>10734</v>
      </c>
      <c r="C21" t="s">
        <v>22</v>
      </c>
      <c r="D21" s="9">
        <v>10000</v>
      </c>
      <c r="E21" s="9">
        <f t="shared" si="0"/>
        <v>310000</v>
      </c>
      <c r="F21" s="9">
        <f t="shared" si="1"/>
        <v>290000</v>
      </c>
    </row>
    <row r="22" spans="1:6" x14ac:dyDescent="0.35">
      <c r="A22" s="8">
        <v>45606</v>
      </c>
      <c r="B22">
        <v>11379</v>
      </c>
      <c r="C22" t="s">
        <v>22</v>
      </c>
      <c r="D22" s="9">
        <v>10000</v>
      </c>
      <c r="E22" s="9">
        <f t="shared" si="0"/>
        <v>320000</v>
      </c>
      <c r="F22" s="9">
        <f t="shared" si="1"/>
        <v>280000</v>
      </c>
    </row>
    <row r="23" spans="1:6" x14ac:dyDescent="0.35">
      <c r="A23" s="8">
        <v>45576</v>
      </c>
      <c r="B23">
        <v>11955</v>
      </c>
      <c r="C23" t="s">
        <v>22</v>
      </c>
      <c r="D23" s="9">
        <v>10000</v>
      </c>
      <c r="E23" s="9">
        <f t="shared" si="0"/>
        <v>330000</v>
      </c>
      <c r="F23" s="9">
        <f t="shared" si="1"/>
        <v>270000</v>
      </c>
    </row>
    <row r="24" spans="1:6" x14ac:dyDescent="0.35">
      <c r="A24" t="s">
        <v>135</v>
      </c>
      <c r="B24">
        <v>9035</v>
      </c>
      <c r="C24" t="s">
        <v>22</v>
      </c>
      <c r="D24" s="9">
        <v>20000</v>
      </c>
      <c r="E24" s="9">
        <f t="shared" si="0"/>
        <v>350000</v>
      </c>
      <c r="F24" s="9">
        <f t="shared" si="1"/>
        <v>250000</v>
      </c>
    </row>
    <row r="25" spans="1:6" x14ac:dyDescent="0.35">
      <c r="A25" t="s">
        <v>136</v>
      </c>
      <c r="B25">
        <v>9376</v>
      </c>
      <c r="C25" t="s">
        <v>22</v>
      </c>
      <c r="D25" s="9">
        <v>10000</v>
      </c>
      <c r="E25" s="9">
        <f t="shared" si="0"/>
        <v>360000</v>
      </c>
      <c r="F25" s="9">
        <f t="shared" si="1"/>
        <v>240000</v>
      </c>
    </row>
    <row r="26" spans="1:6" x14ac:dyDescent="0.35">
      <c r="A26" t="s">
        <v>137</v>
      </c>
      <c r="B26">
        <v>9897</v>
      </c>
      <c r="C26" t="s">
        <v>22</v>
      </c>
      <c r="D26" s="9">
        <v>20000</v>
      </c>
      <c r="E26" s="9">
        <f t="shared" si="0"/>
        <v>380000</v>
      </c>
      <c r="F26" s="9">
        <f t="shared" si="1"/>
        <v>220000</v>
      </c>
    </row>
    <row r="27" spans="1:6" x14ac:dyDescent="0.35">
      <c r="A27" s="8">
        <v>45905</v>
      </c>
      <c r="B27">
        <v>10806</v>
      </c>
      <c r="C27" t="s">
        <v>22</v>
      </c>
      <c r="D27" s="9">
        <v>10000</v>
      </c>
      <c r="E27" s="9">
        <f t="shared" si="0"/>
        <v>390000</v>
      </c>
      <c r="F27" s="9">
        <f t="shared" si="1"/>
        <v>210000</v>
      </c>
    </row>
    <row r="28" spans="1:6" x14ac:dyDescent="0.35">
      <c r="A28" t="s">
        <v>138</v>
      </c>
      <c r="B28">
        <v>12864</v>
      </c>
      <c r="C28" t="s">
        <v>22</v>
      </c>
      <c r="D28" s="9">
        <v>10000</v>
      </c>
      <c r="E28" s="9">
        <f t="shared" si="0"/>
        <v>400000</v>
      </c>
      <c r="F28" s="9">
        <f t="shared" si="1"/>
        <v>200000</v>
      </c>
    </row>
    <row r="29" spans="1:6" x14ac:dyDescent="0.35">
      <c r="A29" t="s">
        <v>139</v>
      </c>
      <c r="B29">
        <v>12956</v>
      </c>
      <c r="C29" t="s">
        <v>22</v>
      </c>
      <c r="D29" s="9">
        <v>20000</v>
      </c>
      <c r="E29" s="9">
        <f t="shared" si="0"/>
        <v>420000</v>
      </c>
      <c r="F29" s="9">
        <f t="shared" si="1"/>
        <v>180000</v>
      </c>
    </row>
    <row r="30" spans="1:6" x14ac:dyDescent="0.35">
      <c r="A30" t="s">
        <v>140</v>
      </c>
      <c r="B30">
        <v>12787</v>
      </c>
      <c r="C30" t="s">
        <v>22</v>
      </c>
      <c r="D30" s="9">
        <v>10000</v>
      </c>
      <c r="E30" s="9">
        <f t="shared" si="0"/>
        <v>430000</v>
      </c>
      <c r="F30" s="9">
        <f t="shared" si="1"/>
        <v>170000</v>
      </c>
    </row>
    <row r="31" spans="1:6" x14ac:dyDescent="0.35">
      <c r="A31" t="s">
        <v>141</v>
      </c>
      <c r="B31">
        <v>13559</v>
      </c>
      <c r="C31" t="s">
        <v>22</v>
      </c>
      <c r="D31" s="9">
        <v>20000</v>
      </c>
      <c r="E31" s="9">
        <f t="shared" si="0"/>
        <v>450000</v>
      </c>
      <c r="F31" s="9">
        <f t="shared" si="1"/>
        <v>150000</v>
      </c>
    </row>
    <row r="32" spans="1:6" x14ac:dyDescent="0.35">
      <c r="A32" t="s">
        <v>142</v>
      </c>
      <c r="B32">
        <v>12661</v>
      </c>
      <c r="C32" t="s">
        <v>22</v>
      </c>
      <c r="D32" s="9">
        <v>10000</v>
      </c>
      <c r="E32" s="9">
        <f t="shared" si="0"/>
        <v>460000</v>
      </c>
      <c r="F32" s="9">
        <f t="shared" si="1"/>
        <v>140000</v>
      </c>
    </row>
    <row r="33" spans="1:6" x14ac:dyDescent="0.35">
      <c r="A33" s="8">
        <v>46054</v>
      </c>
      <c r="B33">
        <v>13868</v>
      </c>
      <c r="C33" t="s">
        <v>22</v>
      </c>
      <c r="D33" s="9">
        <v>10000</v>
      </c>
      <c r="E33" s="9">
        <f t="shared" si="0"/>
        <v>470000</v>
      </c>
      <c r="F33" s="9">
        <f t="shared" si="1"/>
        <v>130000</v>
      </c>
    </row>
    <row r="34" spans="1:6" x14ac:dyDescent="0.35">
      <c r="A34" t="s">
        <v>143</v>
      </c>
      <c r="B34">
        <v>12494</v>
      </c>
      <c r="C34" t="s">
        <v>22</v>
      </c>
      <c r="D34" s="9">
        <v>10000</v>
      </c>
      <c r="E34" s="9">
        <f t="shared" si="0"/>
        <v>480000</v>
      </c>
      <c r="F34" s="9">
        <f t="shared" si="1"/>
        <v>120000</v>
      </c>
    </row>
    <row r="35" spans="1:6" x14ac:dyDescent="0.35">
      <c r="A35" t="s">
        <v>169</v>
      </c>
      <c r="B35">
        <v>12851</v>
      </c>
      <c r="C35" t="s">
        <v>22</v>
      </c>
      <c r="D35" s="9">
        <v>10000</v>
      </c>
      <c r="E35" s="9">
        <f t="shared" si="0"/>
        <v>490000</v>
      </c>
      <c r="F35" s="9">
        <f t="shared" si="1"/>
        <v>110000</v>
      </c>
    </row>
    <row r="36" spans="1:6" x14ac:dyDescent="0.35">
      <c r="A36" t="s">
        <v>376</v>
      </c>
      <c r="B36">
        <v>13212</v>
      </c>
      <c r="C36" t="s">
        <v>22</v>
      </c>
      <c r="D36" s="9">
        <v>10000</v>
      </c>
      <c r="E36" s="9">
        <f>E35+D36</f>
        <v>500000</v>
      </c>
      <c r="F36" s="9">
        <f>F35-D36</f>
        <v>100000</v>
      </c>
    </row>
    <row r="37" spans="1:6" x14ac:dyDescent="0.35">
      <c r="A37" t="s">
        <v>375</v>
      </c>
      <c r="B37">
        <v>13431</v>
      </c>
      <c r="C37" t="s">
        <v>22</v>
      </c>
      <c r="D37" s="9">
        <v>10000</v>
      </c>
      <c r="E37" s="9">
        <f>E36+D37</f>
        <v>510000</v>
      </c>
      <c r="F37" s="9">
        <f>F36-D37</f>
        <v>90000</v>
      </c>
    </row>
    <row r="38" spans="1:6" x14ac:dyDescent="0.35">
      <c r="A38" t="s">
        <v>405</v>
      </c>
      <c r="B38">
        <v>13604</v>
      </c>
      <c r="C38" t="s">
        <v>22</v>
      </c>
      <c r="D38" s="9">
        <v>10000</v>
      </c>
      <c r="E38" s="9">
        <f>E37+D38</f>
        <v>520000</v>
      </c>
      <c r="F38" s="9">
        <f>F37-D38</f>
        <v>80000</v>
      </c>
    </row>
    <row r="39" spans="1:6" x14ac:dyDescent="0.35">
      <c r="A39" t="s">
        <v>497</v>
      </c>
      <c r="B39">
        <v>2168</v>
      </c>
      <c r="C39" t="s">
        <v>22</v>
      </c>
      <c r="D39" s="9">
        <v>10000</v>
      </c>
      <c r="E39" s="9">
        <f>E38+D39</f>
        <v>530000</v>
      </c>
      <c r="F39" s="9">
        <f>F38-D39</f>
        <v>70000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31" workbookViewId="0">
      <selection activeCell="E46" sqref="E46"/>
    </sheetView>
  </sheetViews>
  <sheetFormatPr defaultRowHeight="14.5" x14ac:dyDescent="0.35"/>
  <cols>
    <col min="1" max="1" width="13.08984375" customWidth="1"/>
    <col min="2" max="2" width="19.81640625" customWidth="1"/>
    <col min="3" max="3" width="16.7265625" customWidth="1"/>
    <col min="4" max="4" width="10.90625" customWidth="1"/>
    <col min="5" max="5" width="14.6328125" customWidth="1"/>
    <col min="6" max="6" width="10.6328125" customWidth="1"/>
  </cols>
  <sheetData>
    <row r="1" spans="1:6" ht="18.5" x14ac:dyDescent="0.45">
      <c r="A1" s="4" t="s">
        <v>305</v>
      </c>
      <c r="B1" s="4"/>
      <c r="C1" s="4"/>
      <c r="D1" s="5"/>
      <c r="E1" s="4"/>
      <c r="F1" s="4"/>
    </row>
    <row r="2" spans="1:6" ht="18.5" x14ac:dyDescent="0.45">
      <c r="A2" s="4" t="s">
        <v>306</v>
      </c>
      <c r="B2" s="4"/>
      <c r="C2" s="4"/>
      <c r="D2" s="5"/>
      <c r="E2" s="4"/>
      <c r="F2" s="4"/>
    </row>
    <row r="3" spans="1:6" ht="18.5" x14ac:dyDescent="0.45">
      <c r="A3" s="4" t="s">
        <v>307</v>
      </c>
      <c r="B3" s="4"/>
      <c r="C3" s="4"/>
      <c r="D3" s="5"/>
      <c r="E3" s="4"/>
      <c r="F3" s="4"/>
    </row>
    <row r="4" spans="1:6" ht="18.5" x14ac:dyDescent="0.45">
      <c r="A4" s="4" t="s">
        <v>311</v>
      </c>
      <c r="B4" s="4"/>
      <c r="C4" s="4"/>
      <c r="D4" s="5"/>
      <c r="E4" s="4"/>
      <c r="F4" s="4"/>
    </row>
    <row r="5" spans="1:6" ht="18.5" x14ac:dyDescent="0.45">
      <c r="A5" s="4" t="s">
        <v>308</v>
      </c>
      <c r="B5" s="4"/>
      <c r="C5" s="4"/>
      <c r="D5" s="5"/>
      <c r="E5" s="4"/>
      <c r="F5" s="4"/>
    </row>
    <row r="6" spans="1:6" ht="18.5" x14ac:dyDescent="0.45">
      <c r="A6" s="4" t="s">
        <v>309</v>
      </c>
      <c r="B6" s="4"/>
      <c r="C6" s="4"/>
      <c r="D6" s="4" t="s">
        <v>310</v>
      </c>
      <c r="E6" s="4"/>
      <c r="F6" s="4"/>
    </row>
    <row r="7" spans="1:6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35">
      <c r="A8" t="s">
        <v>312</v>
      </c>
      <c r="B8">
        <v>1822</v>
      </c>
      <c r="C8" t="s">
        <v>318</v>
      </c>
      <c r="D8" s="9">
        <v>100000</v>
      </c>
      <c r="E8" s="9">
        <v>100000</v>
      </c>
      <c r="F8" s="9">
        <v>350000</v>
      </c>
    </row>
    <row r="9" spans="1:6" x14ac:dyDescent="0.35">
      <c r="A9" t="s">
        <v>313</v>
      </c>
      <c r="B9">
        <v>1824</v>
      </c>
      <c r="C9" t="s">
        <v>319</v>
      </c>
      <c r="D9" s="9">
        <v>10000</v>
      </c>
      <c r="E9" s="9">
        <f>E8+D9</f>
        <v>110000</v>
      </c>
      <c r="F9" s="9">
        <f>F8-D9</f>
        <v>340000</v>
      </c>
    </row>
    <row r="10" spans="1:6" x14ac:dyDescent="0.35">
      <c r="A10" t="s">
        <v>314</v>
      </c>
      <c r="B10">
        <v>1825</v>
      </c>
      <c r="C10" t="s">
        <v>264</v>
      </c>
      <c r="D10" s="9">
        <v>20000</v>
      </c>
      <c r="E10" s="9">
        <f t="shared" ref="E10:E37" si="0">E9+D10</f>
        <v>130000</v>
      </c>
      <c r="F10" s="9">
        <f t="shared" ref="F10:F37" si="1">F9-D10</f>
        <v>320000</v>
      </c>
    </row>
    <row r="11" spans="1:6" x14ac:dyDescent="0.35">
      <c r="A11" t="s">
        <v>315</v>
      </c>
      <c r="B11">
        <v>1823</v>
      </c>
      <c r="C11" t="s">
        <v>319</v>
      </c>
      <c r="D11" s="9">
        <v>10000</v>
      </c>
      <c r="E11" s="9">
        <f t="shared" si="0"/>
        <v>140000</v>
      </c>
      <c r="F11" s="9">
        <f t="shared" si="1"/>
        <v>310000</v>
      </c>
    </row>
    <row r="12" spans="1:6" x14ac:dyDescent="0.35">
      <c r="A12" s="8">
        <v>45020</v>
      </c>
      <c r="B12">
        <v>1826</v>
      </c>
      <c r="C12" t="s">
        <v>215</v>
      </c>
      <c r="D12" s="9">
        <v>20000</v>
      </c>
      <c r="E12" s="9">
        <f t="shared" si="0"/>
        <v>160000</v>
      </c>
      <c r="F12" s="9">
        <f t="shared" si="1"/>
        <v>290000</v>
      </c>
    </row>
    <row r="13" spans="1:6" x14ac:dyDescent="0.35">
      <c r="A13" s="8">
        <v>45265</v>
      </c>
      <c r="B13">
        <v>1528</v>
      </c>
      <c r="C13" t="s">
        <v>215</v>
      </c>
      <c r="D13" s="9">
        <v>10000</v>
      </c>
      <c r="E13" s="9">
        <f t="shared" si="0"/>
        <v>170000</v>
      </c>
      <c r="F13" s="9">
        <f t="shared" si="1"/>
        <v>280000</v>
      </c>
    </row>
    <row r="14" spans="1:6" x14ac:dyDescent="0.35">
      <c r="A14" s="8">
        <v>45267</v>
      </c>
      <c r="B14">
        <v>2734</v>
      </c>
      <c r="C14" t="s">
        <v>215</v>
      </c>
      <c r="D14" s="9">
        <v>20000</v>
      </c>
      <c r="E14" s="9">
        <f t="shared" si="0"/>
        <v>190000</v>
      </c>
      <c r="F14" s="9">
        <f t="shared" si="1"/>
        <v>260000</v>
      </c>
    </row>
    <row r="15" spans="1:6" x14ac:dyDescent="0.35">
      <c r="A15" t="s">
        <v>14</v>
      </c>
      <c r="B15">
        <v>2421</v>
      </c>
      <c r="C15" t="s">
        <v>215</v>
      </c>
      <c r="D15" s="9">
        <v>10000</v>
      </c>
      <c r="E15" s="9">
        <f t="shared" si="0"/>
        <v>200000</v>
      </c>
      <c r="F15" s="9">
        <f t="shared" si="1"/>
        <v>250000</v>
      </c>
    </row>
    <row r="16" spans="1:6" x14ac:dyDescent="0.35">
      <c r="A16" s="8" t="s">
        <v>316</v>
      </c>
      <c r="B16">
        <v>3652</v>
      </c>
      <c r="C16" t="s">
        <v>215</v>
      </c>
      <c r="D16" s="9">
        <v>10000</v>
      </c>
      <c r="E16" s="9">
        <f t="shared" si="0"/>
        <v>210000</v>
      </c>
      <c r="F16" s="9">
        <f t="shared" si="1"/>
        <v>240000</v>
      </c>
    </row>
    <row r="17" spans="1:6" x14ac:dyDescent="0.35">
      <c r="A17" s="8">
        <v>45240</v>
      </c>
      <c r="B17">
        <v>4222</v>
      </c>
      <c r="C17" t="s">
        <v>215</v>
      </c>
      <c r="D17" s="9">
        <v>10000</v>
      </c>
      <c r="E17" s="9">
        <f t="shared" si="0"/>
        <v>220000</v>
      </c>
      <c r="F17" s="9">
        <f t="shared" si="1"/>
        <v>230000</v>
      </c>
    </row>
    <row r="18" spans="1:6" x14ac:dyDescent="0.35">
      <c r="A18" t="s">
        <v>317</v>
      </c>
      <c r="B18">
        <v>4889</v>
      </c>
      <c r="C18" t="s">
        <v>215</v>
      </c>
      <c r="D18" s="9">
        <v>10000</v>
      </c>
      <c r="E18" s="9">
        <f t="shared" si="0"/>
        <v>230000</v>
      </c>
      <c r="F18" s="9">
        <f t="shared" si="1"/>
        <v>220000</v>
      </c>
    </row>
    <row r="19" spans="1:6" x14ac:dyDescent="0.35">
      <c r="A19" s="8">
        <v>45272</v>
      </c>
      <c r="B19">
        <v>5517</v>
      </c>
      <c r="C19" t="s">
        <v>215</v>
      </c>
      <c r="D19" s="9">
        <v>10000</v>
      </c>
      <c r="E19" s="9">
        <f t="shared" si="0"/>
        <v>240000</v>
      </c>
      <c r="F19" s="9">
        <f t="shared" si="1"/>
        <v>210000</v>
      </c>
    </row>
    <row r="20" spans="1:6" x14ac:dyDescent="0.35">
      <c r="A20" s="8">
        <v>45627</v>
      </c>
      <c r="B20">
        <v>6135</v>
      </c>
      <c r="C20" t="s">
        <v>215</v>
      </c>
      <c r="D20" s="9">
        <v>10000</v>
      </c>
      <c r="E20" s="9">
        <f t="shared" si="0"/>
        <v>250000</v>
      </c>
      <c r="F20" s="9">
        <f t="shared" si="1"/>
        <v>200000</v>
      </c>
    </row>
    <row r="21" spans="1:6" x14ac:dyDescent="0.35">
      <c r="A21" t="s">
        <v>320</v>
      </c>
      <c r="B21">
        <v>7150</v>
      </c>
      <c r="C21" t="s">
        <v>215</v>
      </c>
      <c r="D21" s="9">
        <v>10000</v>
      </c>
      <c r="E21" s="9">
        <f t="shared" si="0"/>
        <v>260000</v>
      </c>
      <c r="F21" s="9">
        <f t="shared" si="1"/>
        <v>190000</v>
      </c>
    </row>
    <row r="22" spans="1:6" x14ac:dyDescent="0.35">
      <c r="A22" s="8">
        <v>45629</v>
      </c>
      <c r="B22">
        <v>7316</v>
      </c>
      <c r="C22" t="s">
        <v>215</v>
      </c>
      <c r="D22" s="9">
        <v>10000</v>
      </c>
      <c r="E22" s="9">
        <f t="shared" si="0"/>
        <v>270000</v>
      </c>
      <c r="F22" s="9">
        <f t="shared" si="1"/>
        <v>180000</v>
      </c>
    </row>
    <row r="23" spans="1:6" x14ac:dyDescent="0.35">
      <c r="A23" s="8">
        <v>45539</v>
      </c>
      <c r="B23">
        <v>9136</v>
      </c>
      <c r="C23" t="s">
        <v>215</v>
      </c>
      <c r="D23" s="9">
        <v>10000</v>
      </c>
      <c r="E23" s="9">
        <f t="shared" si="0"/>
        <v>280000</v>
      </c>
      <c r="F23" s="9">
        <f t="shared" si="1"/>
        <v>170000</v>
      </c>
    </row>
    <row r="24" spans="1:6" x14ac:dyDescent="0.35">
      <c r="A24" t="s">
        <v>82</v>
      </c>
      <c r="B24">
        <v>8505</v>
      </c>
      <c r="C24" t="s">
        <v>215</v>
      </c>
      <c r="D24" s="9">
        <v>10000</v>
      </c>
      <c r="E24" s="9">
        <f t="shared" si="0"/>
        <v>290000</v>
      </c>
      <c r="F24" s="9">
        <f t="shared" si="1"/>
        <v>160000</v>
      </c>
    </row>
    <row r="25" spans="1:6" x14ac:dyDescent="0.35">
      <c r="A25" t="s">
        <v>321</v>
      </c>
      <c r="B25">
        <v>9135</v>
      </c>
      <c r="C25" t="s">
        <v>215</v>
      </c>
      <c r="D25" s="9">
        <v>10000</v>
      </c>
      <c r="E25" s="9">
        <f t="shared" si="0"/>
        <v>300000</v>
      </c>
      <c r="F25" s="9">
        <f t="shared" si="1"/>
        <v>150000</v>
      </c>
    </row>
    <row r="26" spans="1:6" x14ac:dyDescent="0.35">
      <c r="A26" t="s">
        <v>322</v>
      </c>
      <c r="B26">
        <v>12409</v>
      </c>
      <c r="C26" t="s">
        <v>215</v>
      </c>
      <c r="D26" s="9">
        <v>10000</v>
      </c>
      <c r="E26" s="9">
        <f t="shared" si="0"/>
        <v>310000</v>
      </c>
      <c r="F26" s="9">
        <f t="shared" si="1"/>
        <v>140000</v>
      </c>
    </row>
    <row r="27" spans="1:6" x14ac:dyDescent="0.35">
      <c r="A27" s="8">
        <v>45635</v>
      </c>
      <c r="B27">
        <v>10727</v>
      </c>
      <c r="C27" t="s">
        <v>215</v>
      </c>
      <c r="D27" s="9">
        <v>20000</v>
      </c>
      <c r="E27" s="9">
        <f t="shared" si="0"/>
        <v>330000</v>
      </c>
      <c r="F27" s="9">
        <f t="shared" si="1"/>
        <v>120000</v>
      </c>
    </row>
    <row r="28" spans="1:6" x14ac:dyDescent="0.35">
      <c r="A28" t="s">
        <v>323</v>
      </c>
      <c r="B28">
        <v>10308</v>
      </c>
      <c r="C28" t="s">
        <v>215</v>
      </c>
      <c r="D28" s="9">
        <v>10000</v>
      </c>
      <c r="E28" s="9">
        <f t="shared" si="0"/>
        <v>340000</v>
      </c>
      <c r="F28" s="9">
        <f t="shared" si="1"/>
        <v>110000</v>
      </c>
    </row>
    <row r="29" spans="1:6" x14ac:dyDescent="0.35">
      <c r="A29" t="s">
        <v>324</v>
      </c>
      <c r="B29">
        <v>12413</v>
      </c>
      <c r="C29" t="s">
        <v>215</v>
      </c>
      <c r="D29" s="9">
        <v>10000</v>
      </c>
      <c r="E29" s="9">
        <f t="shared" si="0"/>
        <v>350000</v>
      </c>
      <c r="F29" s="9">
        <f t="shared" si="1"/>
        <v>100000</v>
      </c>
    </row>
    <row r="30" spans="1:6" x14ac:dyDescent="0.35">
      <c r="A30" s="8">
        <v>45577</v>
      </c>
      <c r="B30">
        <v>12317</v>
      </c>
      <c r="C30" t="s">
        <v>215</v>
      </c>
      <c r="D30" s="9">
        <v>10000</v>
      </c>
      <c r="E30" s="9">
        <f t="shared" si="0"/>
        <v>360000</v>
      </c>
      <c r="F30" s="9">
        <f t="shared" si="1"/>
        <v>90000</v>
      </c>
    </row>
    <row r="31" spans="1:6" x14ac:dyDescent="0.35">
      <c r="A31" t="s">
        <v>185</v>
      </c>
      <c r="B31">
        <v>13817</v>
      </c>
      <c r="C31" t="s">
        <v>215</v>
      </c>
      <c r="D31" s="9">
        <v>10000</v>
      </c>
      <c r="E31" s="9">
        <f t="shared" si="0"/>
        <v>370000</v>
      </c>
      <c r="F31" s="9">
        <f t="shared" si="1"/>
        <v>80000</v>
      </c>
    </row>
    <row r="32" spans="1:6" x14ac:dyDescent="0.35">
      <c r="A32" s="8">
        <v>45877</v>
      </c>
      <c r="B32">
        <v>13817</v>
      </c>
      <c r="C32" t="s">
        <v>215</v>
      </c>
      <c r="D32" s="9">
        <v>30000</v>
      </c>
      <c r="E32" s="9">
        <f t="shared" si="0"/>
        <v>400000</v>
      </c>
      <c r="F32" s="9">
        <f t="shared" si="1"/>
        <v>50000</v>
      </c>
    </row>
    <row r="33" spans="1:6" x14ac:dyDescent="0.35">
      <c r="A33" t="s">
        <v>325</v>
      </c>
      <c r="B33">
        <v>1387</v>
      </c>
      <c r="C33" t="s">
        <v>215</v>
      </c>
      <c r="D33" s="9">
        <v>10000</v>
      </c>
      <c r="E33" s="9">
        <f t="shared" si="0"/>
        <v>410000</v>
      </c>
      <c r="F33" s="9">
        <f t="shared" si="1"/>
        <v>40000</v>
      </c>
    </row>
    <row r="34" spans="1:6" x14ac:dyDescent="0.35">
      <c r="A34" s="8">
        <v>45992</v>
      </c>
      <c r="B34">
        <v>13818</v>
      </c>
      <c r="C34" t="s">
        <v>215</v>
      </c>
      <c r="D34" s="9">
        <v>10000</v>
      </c>
      <c r="E34" s="9">
        <f t="shared" si="0"/>
        <v>420000</v>
      </c>
      <c r="F34" s="9">
        <f t="shared" si="1"/>
        <v>30000</v>
      </c>
    </row>
    <row r="35" spans="1:6" x14ac:dyDescent="0.35">
      <c r="A35" s="8">
        <v>45840</v>
      </c>
      <c r="B35">
        <v>13818</v>
      </c>
      <c r="C35" t="s">
        <v>215</v>
      </c>
      <c r="D35" s="9">
        <v>10000</v>
      </c>
      <c r="E35" s="9">
        <f t="shared" si="0"/>
        <v>430000</v>
      </c>
      <c r="F35" s="9">
        <f t="shared" si="1"/>
        <v>20000</v>
      </c>
    </row>
    <row r="36" spans="1:6" x14ac:dyDescent="0.35">
      <c r="A36" t="s">
        <v>326</v>
      </c>
      <c r="B36">
        <v>13818</v>
      </c>
      <c r="C36" t="s">
        <v>215</v>
      </c>
      <c r="D36" s="9">
        <v>10000</v>
      </c>
      <c r="E36" s="9">
        <f t="shared" si="0"/>
        <v>440000</v>
      </c>
      <c r="F36" s="9">
        <f t="shared" si="1"/>
        <v>10000</v>
      </c>
    </row>
    <row r="37" spans="1:6" x14ac:dyDescent="0.35">
      <c r="A37" t="s">
        <v>327</v>
      </c>
      <c r="B37">
        <v>13818</v>
      </c>
      <c r="C37" t="s">
        <v>215</v>
      </c>
      <c r="D37" s="9">
        <v>10000</v>
      </c>
      <c r="E37" s="9">
        <f t="shared" si="0"/>
        <v>450000</v>
      </c>
      <c r="F37" s="9">
        <f t="shared" si="1"/>
        <v>0</v>
      </c>
    </row>
    <row r="38" spans="1:6" ht="18.5" x14ac:dyDescent="0.45">
      <c r="A38" s="11" t="s">
        <v>221</v>
      </c>
      <c r="B38" s="11"/>
      <c r="C38" s="11"/>
      <c r="D38" s="11"/>
      <c r="E38" s="11"/>
      <c r="F38" s="11"/>
    </row>
    <row r="39" spans="1:6" x14ac:dyDescent="0.35">
      <c r="A39" s="52" t="s">
        <v>466</v>
      </c>
      <c r="B39" s="52" t="s">
        <v>467</v>
      </c>
      <c r="C39" s="52" t="s">
        <v>468</v>
      </c>
      <c r="D39" s="52" t="s">
        <v>469</v>
      </c>
      <c r="E39" s="52" t="s">
        <v>470</v>
      </c>
    </row>
    <row r="40" spans="1:6" x14ac:dyDescent="0.35">
      <c r="A40" s="52" t="s">
        <v>471</v>
      </c>
      <c r="B40" s="52">
        <v>5093</v>
      </c>
      <c r="C40" s="52" t="s">
        <v>472</v>
      </c>
      <c r="D40" s="51">
        <v>10000</v>
      </c>
      <c r="E40" s="52" t="s">
        <v>473</v>
      </c>
    </row>
    <row r="41" spans="1:6" x14ac:dyDescent="0.35">
      <c r="A41" s="52" t="s">
        <v>474</v>
      </c>
      <c r="B41" s="52">
        <v>5343</v>
      </c>
      <c r="C41" s="52" t="s">
        <v>472</v>
      </c>
      <c r="D41" s="51">
        <v>10000</v>
      </c>
      <c r="E41" s="52" t="s">
        <v>475</v>
      </c>
    </row>
    <row r="42" spans="1:6" x14ac:dyDescent="0.35">
      <c r="A42" s="55">
        <v>46329</v>
      </c>
      <c r="B42" s="52">
        <v>5699</v>
      </c>
      <c r="C42" s="52" t="s">
        <v>472</v>
      </c>
      <c r="D42" s="51">
        <v>10000</v>
      </c>
      <c r="E42" s="52" t="s">
        <v>476</v>
      </c>
    </row>
    <row r="43" spans="1:6" x14ac:dyDescent="0.35">
      <c r="A43" s="55">
        <v>46300</v>
      </c>
      <c r="B43" s="52">
        <v>1434</v>
      </c>
      <c r="C43" s="52" t="s">
        <v>472</v>
      </c>
      <c r="D43" s="51">
        <v>20000</v>
      </c>
      <c r="E43" s="52" t="s">
        <v>477</v>
      </c>
    </row>
    <row r="44" spans="1:6" x14ac:dyDescent="0.35">
      <c r="A44" s="52" t="s">
        <v>478</v>
      </c>
      <c r="B44" s="52">
        <v>1692</v>
      </c>
      <c r="C44" s="52" t="s">
        <v>472</v>
      </c>
      <c r="D44" s="51">
        <v>10000</v>
      </c>
      <c r="E44" s="52" t="s">
        <v>479</v>
      </c>
    </row>
    <row r="45" spans="1:6" x14ac:dyDescent="0.35">
      <c r="A45" s="52" t="s">
        <v>480</v>
      </c>
      <c r="B45" s="52">
        <v>1891</v>
      </c>
      <c r="C45" s="52" t="s">
        <v>472</v>
      </c>
      <c r="D45" s="51">
        <v>10000</v>
      </c>
      <c r="E45" s="52" t="s">
        <v>481</v>
      </c>
    </row>
    <row r="46" spans="1:6" x14ac:dyDescent="0.35">
      <c r="A46" s="52" t="s">
        <v>482</v>
      </c>
      <c r="B46" s="52">
        <v>2100</v>
      </c>
      <c r="C46" s="52" t="s">
        <v>472</v>
      </c>
      <c r="D46" s="51">
        <v>20000</v>
      </c>
      <c r="E46" s="52" t="s">
        <v>483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0" workbookViewId="0">
      <selection activeCell="D46" sqref="D46"/>
    </sheetView>
  </sheetViews>
  <sheetFormatPr defaultRowHeight="14.5" x14ac:dyDescent="0.35"/>
  <cols>
    <col min="1" max="1" width="10.453125" bestFit="1" customWidth="1"/>
    <col min="3" max="3" width="13.36328125" bestFit="1" customWidth="1"/>
    <col min="4" max="4" width="13.81640625" bestFit="1" customWidth="1"/>
    <col min="5" max="5" width="11.08984375" bestFit="1" customWidth="1"/>
    <col min="6" max="6" width="13.81640625" bestFit="1" customWidth="1"/>
  </cols>
  <sheetData>
    <row r="1" spans="1:6" ht="18.5" x14ac:dyDescent="0.45">
      <c r="A1" s="4" t="s">
        <v>6</v>
      </c>
      <c r="B1" s="4"/>
      <c r="C1" s="4"/>
      <c r="D1" s="5"/>
      <c r="E1" s="4"/>
      <c r="F1" s="4"/>
    </row>
    <row r="2" spans="1:6" ht="18.5" x14ac:dyDescent="0.45">
      <c r="A2" s="4" t="s">
        <v>145</v>
      </c>
      <c r="B2" s="4"/>
      <c r="C2" s="4"/>
      <c r="D2" s="5"/>
      <c r="E2" s="4"/>
      <c r="F2" s="4"/>
    </row>
    <row r="3" spans="1:6" ht="18.5" x14ac:dyDescent="0.45">
      <c r="A3" s="4" t="s">
        <v>146</v>
      </c>
      <c r="B3" s="4"/>
      <c r="C3" s="4"/>
      <c r="D3" s="5"/>
      <c r="E3" s="4"/>
      <c r="F3" s="4"/>
    </row>
    <row r="4" spans="1:6" ht="18.5" x14ac:dyDescent="0.45">
      <c r="A4" s="4" t="s">
        <v>297</v>
      </c>
      <c r="B4" s="4"/>
      <c r="C4" s="4"/>
      <c r="D4" s="5"/>
      <c r="E4" s="4"/>
      <c r="F4" s="4"/>
    </row>
    <row r="5" spans="1:6" ht="18.5" x14ac:dyDescent="0.45">
      <c r="A5" s="4" t="s">
        <v>147</v>
      </c>
      <c r="B5" s="4"/>
      <c r="C5" s="4"/>
      <c r="D5" s="5"/>
      <c r="E5" s="4"/>
      <c r="F5" s="4"/>
    </row>
    <row r="6" spans="1:6" ht="18.5" x14ac:dyDescent="0.45">
      <c r="A6" s="4" t="s">
        <v>7</v>
      </c>
      <c r="B6" s="4"/>
      <c r="C6" s="4"/>
      <c r="D6" s="4" t="s">
        <v>8</v>
      </c>
      <c r="E6" s="4"/>
      <c r="F6" s="4"/>
    </row>
    <row r="7" spans="1:6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35">
      <c r="A8" s="1" t="s">
        <v>9</v>
      </c>
      <c r="B8" s="1">
        <v>268</v>
      </c>
      <c r="C8" s="1" t="s">
        <v>20</v>
      </c>
      <c r="D8" s="2">
        <v>10000</v>
      </c>
      <c r="E8" s="2">
        <v>10000</v>
      </c>
      <c r="F8" s="2">
        <v>690000</v>
      </c>
    </row>
    <row r="9" spans="1:6" x14ac:dyDescent="0.35">
      <c r="A9" s="1" t="s">
        <v>10</v>
      </c>
      <c r="B9" s="1">
        <v>477</v>
      </c>
      <c r="C9" s="1" t="s">
        <v>21</v>
      </c>
      <c r="D9" s="2">
        <v>40000</v>
      </c>
      <c r="E9" s="2">
        <f>SUM(E8+D9)</f>
        <v>50000</v>
      </c>
      <c r="F9" s="2">
        <f>F8-D9</f>
        <v>650000</v>
      </c>
    </row>
    <row r="10" spans="1:6" x14ac:dyDescent="0.35">
      <c r="A10" s="1" t="s">
        <v>11</v>
      </c>
      <c r="B10" s="1">
        <v>1564</v>
      </c>
      <c r="C10" s="1" t="s">
        <v>22</v>
      </c>
      <c r="D10" s="2">
        <v>10000</v>
      </c>
      <c r="E10" s="2">
        <f t="shared" ref="E10:E43" si="0">SUM(E9+D10)</f>
        <v>60000</v>
      </c>
      <c r="F10" s="2">
        <f t="shared" ref="F10:F43" si="1">F9-D10</f>
        <v>640000</v>
      </c>
    </row>
    <row r="11" spans="1:6" x14ac:dyDescent="0.35">
      <c r="A11" s="1" t="s">
        <v>12</v>
      </c>
      <c r="B11" s="1">
        <v>906</v>
      </c>
      <c r="C11" s="1" t="s">
        <v>22</v>
      </c>
      <c r="D11" s="2">
        <v>10000</v>
      </c>
      <c r="E11" s="2">
        <f t="shared" si="0"/>
        <v>70000</v>
      </c>
      <c r="F11" s="2">
        <f t="shared" si="1"/>
        <v>630000</v>
      </c>
    </row>
    <row r="12" spans="1:6" x14ac:dyDescent="0.35">
      <c r="A12" s="1" t="s">
        <v>13</v>
      </c>
      <c r="B12" s="1">
        <v>2801</v>
      </c>
      <c r="C12" s="1" t="s">
        <v>22</v>
      </c>
      <c r="D12" s="2">
        <v>10000</v>
      </c>
      <c r="E12" s="2">
        <f t="shared" si="0"/>
        <v>80000</v>
      </c>
      <c r="F12" s="2">
        <f t="shared" si="1"/>
        <v>620000</v>
      </c>
    </row>
    <row r="13" spans="1:6" x14ac:dyDescent="0.35">
      <c r="A13" s="1" t="s">
        <v>14</v>
      </c>
      <c r="B13" s="1">
        <v>2416</v>
      </c>
      <c r="C13" s="1" t="s">
        <v>22</v>
      </c>
      <c r="D13" s="2">
        <v>10000</v>
      </c>
      <c r="E13" s="2">
        <f t="shared" si="0"/>
        <v>90000</v>
      </c>
      <c r="F13" s="2">
        <f t="shared" si="1"/>
        <v>610000</v>
      </c>
    </row>
    <row r="14" spans="1:6" x14ac:dyDescent="0.35">
      <c r="A14" s="1" t="s">
        <v>15</v>
      </c>
      <c r="B14" s="1">
        <v>3676</v>
      </c>
      <c r="C14" s="1" t="s">
        <v>22</v>
      </c>
      <c r="D14" s="2">
        <v>10000</v>
      </c>
      <c r="E14" s="2">
        <f t="shared" si="0"/>
        <v>100000</v>
      </c>
      <c r="F14" s="2">
        <f t="shared" si="1"/>
        <v>600000</v>
      </c>
    </row>
    <row r="15" spans="1:6" x14ac:dyDescent="0.35">
      <c r="A15" s="1" t="s">
        <v>16</v>
      </c>
      <c r="B15" s="1">
        <v>4458</v>
      </c>
      <c r="C15" s="1" t="s">
        <v>22</v>
      </c>
      <c r="D15" s="2">
        <v>10000</v>
      </c>
      <c r="E15" s="2">
        <f t="shared" si="0"/>
        <v>110000</v>
      </c>
      <c r="F15" s="2">
        <f t="shared" si="1"/>
        <v>590000</v>
      </c>
    </row>
    <row r="16" spans="1:6" x14ac:dyDescent="0.35">
      <c r="A16" s="1" t="s">
        <v>17</v>
      </c>
      <c r="B16" s="1">
        <v>5164</v>
      </c>
      <c r="C16" s="1" t="s">
        <v>22</v>
      </c>
      <c r="D16" s="2">
        <v>10000</v>
      </c>
      <c r="E16" s="2">
        <f t="shared" si="0"/>
        <v>120000</v>
      </c>
      <c r="F16" s="2">
        <f t="shared" si="1"/>
        <v>580000</v>
      </c>
    </row>
    <row r="17" spans="1:6" x14ac:dyDescent="0.35">
      <c r="A17" s="1" t="s">
        <v>18</v>
      </c>
      <c r="B17" s="1">
        <v>5165</v>
      </c>
      <c r="C17" s="1" t="s">
        <v>23</v>
      </c>
      <c r="D17" s="2">
        <v>10000</v>
      </c>
      <c r="E17" s="2">
        <f t="shared" si="0"/>
        <v>130000</v>
      </c>
      <c r="F17" s="2">
        <f t="shared" si="1"/>
        <v>570000</v>
      </c>
    </row>
    <row r="18" spans="1:6" x14ac:dyDescent="0.35">
      <c r="A18" s="1" t="s">
        <v>19</v>
      </c>
      <c r="B18" s="1">
        <v>6161</v>
      </c>
      <c r="C18" s="1" t="s">
        <v>22</v>
      </c>
      <c r="D18" s="2">
        <v>10000</v>
      </c>
      <c r="E18" s="2">
        <f t="shared" si="0"/>
        <v>140000</v>
      </c>
      <c r="F18" s="2">
        <f t="shared" si="1"/>
        <v>560000</v>
      </c>
    </row>
    <row r="19" spans="1:6" x14ac:dyDescent="0.35">
      <c r="A19" s="1" t="s">
        <v>24</v>
      </c>
      <c r="B19" s="1">
        <v>6638</v>
      </c>
      <c r="C19" s="1" t="s">
        <v>22</v>
      </c>
      <c r="D19" s="2">
        <v>10000</v>
      </c>
      <c r="E19" s="2">
        <f t="shared" si="0"/>
        <v>150000</v>
      </c>
      <c r="F19" s="2">
        <f t="shared" si="1"/>
        <v>550000</v>
      </c>
    </row>
    <row r="20" spans="1:6" x14ac:dyDescent="0.35">
      <c r="A20" s="3">
        <v>45568</v>
      </c>
      <c r="B20" s="1">
        <v>7221</v>
      </c>
      <c r="C20" s="1" t="s">
        <v>22</v>
      </c>
      <c r="D20" s="2">
        <v>10000</v>
      </c>
      <c r="E20" s="2">
        <f t="shared" si="0"/>
        <v>160000</v>
      </c>
      <c r="F20" s="2">
        <f t="shared" si="1"/>
        <v>540000</v>
      </c>
    </row>
    <row r="21" spans="1:6" x14ac:dyDescent="0.35">
      <c r="A21" s="3">
        <v>45477</v>
      </c>
      <c r="B21" s="1">
        <v>7737</v>
      </c>
      <c r="C21" s="1" t="s">
        <v>22</v>
      </c>
      <c r="D21" s="2">
        <v>10000</v>
      </c>
      <c r="E21" s="2">
        <f t="shared" si="0"/>
        <v>170000</v>
      </c>
      <c r="F21" s="2">
        <f t="shared" si="1"/>
        <v>530000</v>
      </c>
    </row>
    <row r="22" spans="1:6" x14ac:dyDescent="0.35">
      <c r="A22" s="3">
        <v>45631</v>
      </c>
      <c r="B22" s="1">
        <v>8477</v>
      </c>
      <c r="C22" s="1" t="s">
        <v>22</v>
      </c>
      <c r="D22" s="2">
        <v>10000</v>
      </c>
      <c r="E22" s="2">
        <f t="shared" si="0"/>
        <v>180000</v>
      </c>
      <c r="F22" s="2">
        <f t="shared" si="1"/>
        <v>520000</v>
      </c>
    </row>
    <row r="23" spans="1:6" x14ac:dyDescent="0.35">
      <c r="A23" s="3">
        <v>45541</v>
      </c>
      <c r="B23" s="1">
        <v>8928</v>
      </c>
      <c r="C23" s="1" t="s">
        <v>22</v>
      </c>
      <c r="D23" s="2">
        <v>10000</v>
      </c>
      <c r="E23" s="2">
        <f t="shared" si="0"/>
        <v>190000</v>
      </c>
      <c r="F23" s="2">
        <f t="shared" si="1"/>
        <v>510000</v>
      </c>
    </row>
    <row r="24" spans="1:6" x14ac:dyDescent="0.35">
      <c r="A24" s="3">
        <v>45480</v>
      </c>
      <c r="B24" s="1">
        <v>9453</v>
      </c>
      <c r="C24" s="1" t="s">
        <v>22</v>
      </c>
      <c r="D24" s="2">
        <v>10000</v>
      </c>
      <c r="E24" s="2">
        <f t="shared" si="0"/>
        <v>200000</v>
      </c>
      <c r="F24" s="2">
        <f t="shared" si="1"/>
        <v>500000</v>
      </c>
    </row>
    <row r="25" spans="1:6" x14ac:dyDescent="0.35">
      <c r="A25" s="3">
        <v>45604</v>
      </c>
      <c r="B25" s="1">
        <v>11070</v>
      </c>
      <c r="C25" s="1" t="s">
        <v>22</v>
      </c>
      <c r="D25" s="2">
        <v>10000</v>
      </c>
      <c r="E25" s="2">
        <f t="shared" si="0"/>
        <v>210000</v>
      </c>
      <c r="F25" s="2">
        <f t="shared" si="1"/>
        <v>490000</v>
      </c>
    </row>
    <row r="26" spans="1:6" x14ac:dyDescent="0.35">
      <c r="A26" s="1" t="s">
        <v>25</v>
      </c>
      <c r="B26" s="1">
        <v>10880</v>
      </c>
      <c r="C26" s="1" t="s">
        <v>22</v>
      </c>
      <c r="D26" s="2">
        <v>10000</v>
      </c>
      <c r="E26" s="2">
        <f t="shared" si="0"/>
        <v>220000</v>
      </c>
      <c r="F26" s="2">
        <f t="shared" si="1"/>
        <v>480000</v>
      </c>
    </row>
    <row r="27" spans="1:6" x14ac:dyDescent="0.35">
      <c r="A27" s="1" t="s">
        <v>26</v>
      </c>
      <c r="B27" s="1">
        <v>11640</v>
      </c>
      <c r="C27" s="1" t="s">
        <v>22</v>
      </c>
      <c r="D27" s="2">
        <v>10000</v>
      </c>
      <c r="E27" s="2">
        <f t="shared" si="0"/>
        <v>230000</v>
      </c>
      <c r="F27" s="2">
        <f t="shared" si="1"/>
        <v>470000</v>
      </c>
    </row>
    <row r="28" spans="1:6" x14ac:dyDescent="0.35">
      <c r="A28" s="3">
        <v>45576</v>
      </c>
      <c r="B28" s="1">
        <v>11979</v>
      </c>
      <c r="C28" s="1" t="s">
        <v>22</v>
      </c>
      <c r="D28" s="2">
        <v>10000</v>
      </c>
      <c r="E28" s="2">
        <f t="shared" si="0"/>
        <v>240000</v>
      </c>
      <c r="F28" s="2">
        <f t="shared" si="1"/>
        <v>460000</v>
      </c>
    </row>
    <row r="29" spans="1:6" x14ac:dyDescent="0.35">
      <c r="A29" s="3">
        <v>45516</v>
      </c>
      <c r="B29" s="1">
        <v>12247</v>
      </c>
      <c r="C29" s="1" t="s">
        <v>22</v>
      </c>
      <c r="D29" s="2">
        <v>10000</v>
      </c>
      <c r="E29" s="2">
        <f t="shared" si="0"/>
        <v>250000</v>
      </c>
      <c r="F29" s="2">
        <f t="shared" si="1"/>
        <v>450000</v>
      </c>
    </row>
    <row r="30" spans="1:6" x14ac:dyDescent="0.35">
      <c r="A30" s="3">
        <v>45690</v>
      </c>
      <c r="B30" s="1">
        <v>9196</v>
      </c>
      <c r="C30" s="1" t="s">
        <v>22</v>
      </c>
      <c r="D30" s="2">
        <v>10000</v>
      </c>
      <c r="E30" s="2">
        <f t="shared" si="0"/>
        <v>260000</v>
      </c>
      <c r="F30" s="2">
        <f t="shared" si="1"/>
        <v>440000</v>
      </c>
    </row>
    <row r="31" spans="1:6" x14ac:dyDescent="0.35">
      <c r="A31" s="3">
        <v>45690</v>
      </c>
      <c r="B31" s="1">
        <v>9196</v>
      </c>
      <c r="C31" s="1" t="s">
        <v>22</v>
      </c>
      <c r="D31" s="2">
        <v>10000</v>
      </c>
      <c r="E31" s="2">
        <f t="shared" si="0"/>
        <v>270000</v>
      </c>
      <c r="F31" s="2">
        <f t="shared" si="1"/>
        <v>430000</v>
      </c>
    </row>
    <row r="32" spans="1:6" x14ac:dyDescent="0.35">
      <c r="A32" s="1" t="s">
        <v>27</v>
      </c>
      <c r="B32" s="1">
        <v>9809</v>
      </c>
      <c r="C32" s="1" t="s">
        <v>22</v>
      </c>
      <c r="D32" s="2">
        <v>10000</v>
      </c>
      <c r="E32" s="2">
        <f t="shared" si="0"/>
        <v>280000</v>
      </c>
      <c r="F32" s="2">
        <f t="shared" si="1"/>
        <v>420000</v>
      </c>
    </row>
    <row r="33" spans="1:6" x14ac:dyDescent="0.35">
      <c r="A33" s="3" t="s">
        <v>28</v>
      </c>
      <c r="B33" s="1">
        <v>11878</v>
      </c>
      <c r="C33" s="1" t="s">
        <v>22</v>
      </c>
      <c r="D33" s="2">
        <v>30000</v>
      </c>
      <c r="E33" s="2">
        <f t="shared" si="0"/>
        <v>310000</v>
      </c>
      <c r="F33" s="2">
        <f t="shared" si="1"/>
        <v>390000</v>
      </c>
    </row>
    <row r="34" spans="1:6" x14ac:dyDescent="0.35">
      <c r="A34" s="3" t="s">
        <v>29</v>
      </c>
      <c r="B34" s="1">
        <v>12920</v>
      </c>
      <c r="C34" s="1" t="s">
        <v>22</v>
      </c>
      <c r="D34" s="2">
        <v>20000</v>
      </c>
      <c r="E34" s="2">
        <f t="shared" si="0"/>
        <v>330000</v>
      </c>
      <c r="F34" s="2">
        <f t="shared" si="1"/>
        <v>370000</v>
      </c>
    </row>
    <row r="35" spans="1:6" x14ac:dyDescent="0.35">
      <c r="A35" s="3">
        <v>45847</v>
      </c>
      <c r="B35" s="1">
        <v>12920</v>
      </c>
      <c r="C35" s="1" t="s">
        <v>22</v>
      </c>
      <c r="D35" s="2">
        <v>10000</v>
      </c>
      <c r="E35" s="2">
        <f t="shared" si="0"/>
        <v>340000</v>
      </c>
      <c r="F35" s="2">
        <f t="shared" si="1"/>
        <v>360000</v>
      </c>
    </row>
    <row r="36" spans="1:6" x14ac:dyDescent="0.35">
      <c r="A36" s="3">
        <v>45787</v>
      </c>
      <c r="B36" s="1">
        <v>12655</v>
      </c>
      <c r="C36" s="1" t="s">
        <v>22</v>
      </c>
      <c r="D36" s="2">
        <v>10000</v>
      </c>
      <c r="E36" s="2">
        <f t="shared" si="0"/>
        <v>350000</v>
      </c>
      <c r="F36" s="2">
        <f t="shared" si="1"/>
        <v>350000</v>
      </c>
    </row>
    <row r="37" spans="1:6" x14ac:dyDescent="0.35">
      <c r="A37" s="3">
        <v>45911</v>
      </c>
      <c r="B37" s="1">
        <v>13488</v>
      </c>
      <c r="C37" s="1" t="s">
        <v>22</v>
      </c>
      <c r="D37" s="2">
        <v>10000</v>
      </c>
      <c r="E37" s="2">
        <f t="shared" si="0"/>
        <v>360000</v>
      </c>
      <c r="F37" s="2">
        <f t="shared" si="1"/>
        <v>340000</v>
      </c>
    </row>
    <row r="38" spans="1:6" x14ac:dyDescent="0.35">
      <c r="A38" s="3">
        <v>45850</v>
      </c>
      <c r="B38" s="1">
        <v>13103</v>
      </c>
      <c r="C38" s="1" t="s">
        <v>22</v>
      </c>
      <c r="D38" s="2">
        <v>10000</v>
      </c>
      <c r="E38" s="2">
        <f t="shared" si="0"/>
        <v>370000</v>
      </c>
      <c r="F38" s="2">
        <f t="shared" si="1"/>
        <v>330000</v>
      </c>
    </row>
    <row r="39" spans="1:6" x14ac:dyDescent="0.35">
      <c r="A39" s="3">
        <v>46327</v>
      </c>
      <c r="B39" s="1">
        <v>12080</v>
      </c>
      <c r="C39" s="1" t="s">
        <v>22</v>
      </c>
      <c r="D39" s="2">
        <v>10000</v>
      </c>
      <c r="E39" s="2">
        <f t="shared" si="0"/>
        <v>380000</v>
      </c>
      <c r="F39" s="2">
        <f t="shared" si="1"/>
        <v>320000</v>
      </c>
    </row>
    <row r="40" spans="1:6" x14ac:dyDescent="0.35">
      <c r="A40" s="3">
        <v>46236</v>
      </c>
      <c r="B40" s="1">
        <v>12390</v>
      </c>
      <c r="C40" s="1" t="s">
        <v>22</v>
      </c>
      <c r="D40" s="2">
        <v>10000</v>
      </c>
      <c r="E40" s="2">
        <f t="shared" si="0"/>
        <v>390000</v>
      </c>
      <c r="F40" s="2">
        <f t="shared" si="1"/>
        <v>310000</v>
      </c>
    </row>
    <row r="41" spans="1:6" x14ac:dyDescent="0.35">
      <c r="A41" s="3">
        <v>46056</v>
      </c>
      <c r="B41" s="1">
        <v>12781</v>
      </c>
      <c r="C41" s="1" t="s">
        <v>22</v>
      </c>
      <c r="D41" s="2">
        <v>10000</v>
      </c>
      <c r="E41" s="2">
        <f t="shared" si="0"/>
        <v>400000</v>
      </c>
      <c r="F41" s="2">
        <f t="shared" si="1"/>
        <v>300000</v>
      </c>
    </row>
    <row r="42" spans="1:6" x14ac:dyDescent="0.35">
      <c r="A42" s="3">
        <v>46360</v>
      </c>
      <c r="B42" s="1">
        <v>13255</v>
      </c>
      <c r="C42" s="1" t="s">
        <v>22</v>
      </c>
      <c r="D42" s="2">
        <v>10000</v>
      </c>
      <c r="E42" s="2">
        <f t="shared" si="0"/>
        <v>410000</v>
      </c>
      <c r="F42" s="2">
        <f t="shared" si="1"/>
        <v>290000</v>
      </c>
    </row>
    <row r="43" spans="1:6" x14ac:dyDescent="0.35">
      <c r="A43" s="3">
        <v>46086</v>
      </c>
      <c r="B43" s="1">
        <v>12925</v>
      </c>
      <c r="C43" s="1" t="s">
        <v>22</v>
      </c>
      <c r="D43" s="2">
        <v>10000</v>
      </c>
      <c r="E43" s="2">
        <f t="shared" si="0"/>
        <v>420000</v>
      </c>
      <c r="F43" s="2">
        <f t="shared" si="1"/>
        <v>280000</v>
      </c>
    </row>
    <row r="44" spans="1:6" x14ac:dyDescent="0.35">
      <c r="A44" s="25" t="s">
        <v>378</v>
      </c>
      <c r="B44" s="1">
        <v>13534</v>
      </c>
      <c r="C44" s="1" t="s">
        <v>22</v>
      </c>
      <c r="D44" s="2">
        <v>10000</v>
      </c>
      <c r="E44" s="2">
        <f>E43+D44</f>
        <v>430000</v>
      </c>
      <c r="F44" s="2">
        <f>F43-D44</f>
        <v>270000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A25" workbookViewId="0">
      <selection activeCell="A44" sqref="A44"/>
    </sheetView>
  </sheetViews>
  <sheetFormatPr defaultRowHeight="14.5" x14ac:dyDescent="0.35"/>
  <cols>
    <col min="1" max="1" width="36.1796875" style="52" customWidth="1"/>
    <col min="2" max="2" width="8.7265625" style="52"/>
    <col min="3" max="3" width="13.36328125" style="52" bestFit="1" customWidth="1"/>
    <col min="4" max="4" width="15.81640625" style="52" bestFit="1" customWidth="1"/>
    <col min="5" max="5" width="11.08984375" style="52" bestFit="1" customWidth="1"/>
    <col min="6" max="6" width="13.81640625" style="52" bestFit="1" customWidth="1"/>
    <col min="7" max="16384" width="8.7265625" style="52"/>
  </cols>
  <sheetData>
    <row r="1" spans="1:6" ht="18.5" x14ac:dyDescent="0.35">
      <c r="A1" s="66" t="s">
        <v>30</v>
      </c>
      <c r="B1" s="66"/>
      <c r="C1" s="66"/>
      <c r="D1" s="67"/>
      <c r="E1" s="66"/>
      <c r="F1" s="66"/>
    </row>
    <row r="2" spans="1:6" ht="18.5" x14ac:dyDescent="0.35">
      <c r="A2" s="66" t="s">
        <v>31</v>
      </c>
      <c r="B2" s="66"/>
      <c r="C2" s="66"/>
      <c r="D2" s="67"/>
      <c r="E2" s="66"/>
      <c r="F2" s="66"/>
    </row>
    <row r="3" spans="1:6" ht="18.5" x14ac:dyDescent="0.35">
      <c r="A3" s="66" t="s">
        <v>32</v>
      </c>
      <c r="B3" s="66"/>
      <c r="C3" s="66"/>
      <c r="D3" s="67"/>
      <c r="E3" s="66"/>
      <c r="F3" s="66"/>
    </row>
    <row r="4" spans="1:6" ht="18.5" x14ac:dyDescent="0.35">
      <c r="A4" s="66" t="s">
        <v>304</v>
      </c>
      <c r="B4" s="66"/>
      <c r="C4" s="66"/>
      <c r="D4" s="67"/>
      <c r="E4" s="66"/>
      <c r="F4" s="66"/>
    </row>
    <row r="5" spans="1:6" ht="18.5" x14ac:dyDescent="0.35">
      <c r="A5" s="66" t="s">
        <v>33</v>
      </c>
      <c r="B5" s="66"/>
      <c r="C5" s="66"/>
      <c r="D5" s="67"/>
      <c r="E5" s="66"/>
      <c r="F5" s="66"/>
    </row>
    <row r="6" spans="1:6" ht="18.5" x14ac:dyDescent="0.35">
      <c r="A6" s="66" t="s">
        <v>34</v>
      </c>
      <c r="B6" s="66"/>
      <c r="C6" s="66"/>
      <c r="D6" s="66" t="s">
        <v>8</v>
      </c>
      <c r="E6" s="66"/>
      <c r="F6" s="66"/>
    </row>
    <row r="7" spans="1:6" s="50" customFormat="1" x14ac:dyDescent="0.35">
      <c r="A7" s="68" t="s">
        <v>0</v>
      </c>
      <c r="B7" s="68" t="s">
        <v>1</v>
      </c>
      <c r="C7" s="68" t="s">
        <v>2</v>
      </c>
      <c r="D7" s="68" t="s">
        <v>3</v>
      </c>
      <c r="E7" s="68" t="s">
        <v>4</v>
      </c>
      <c r="F7" s="68" t="s">
        <v>5</v>
      </c>
    </row>
    <row r="8" spans="1:6" s="50" customFormat="1" x14ac:dyDescent="0.35">
      <c r="A8" s="69" t="s">
        <v>35</v>
      </c>
      <c r="B8" s="69">
        <v>270</v>
      </c>
      <c r="C8" s="69" t="s">
        <v>20</v>
      </c>
      <c r="D8" s="69">
        <v>1000</v>
      </c>
      <c r="E8" s="69">
        <v>1000</v>
      </c>
      <c r="F8" s="70">
        <v>699000</v>
      </c>
    </row>
    <row r="9" spans="1:6" s="50" customFormat="1" x14ac:dyDescent="0.35">
      <c r="A9" s="69" t="s">
        <v>36</v>
      </c>
      <c r="B9" s="69">
        <v>1354</v>
      </c>
      <c r="C9" s="69" t="s">
        <v>21</v>
      </c>
      <c r="D9" s="69">
        <v>49000</v>
      </c>
      <c r="E9" s="69">
        <f>SUM(E8+D9)</f>
        <v>50000</v>
      </c>
      <c r="F9" s="70">
        <f>F8-D9</f>
        <v>650000</v>
      </c>
    </row>
    <row r="10" spans="1:6" s="50" customFormat="1" x14ac:dyDescent="0.35">
      <c r="A10" s="71">
        <v>44932</v>
      </c>
      <c r="B10" s="69">
        <v>274</v>
      </c>
      <c r="C10" s="69" t="s">
        <v>22</v>
      </c>
      <c r="D10" s="70">
        <v>10000</v>
      </c>
      <c r="E10" s="69">
        <f t="shared" ref="E10:E38" si="0">SUM(E9+D10)</f>
        <v>60000</v>
      </c>
      <c r="F10" s="70">
        <f t="shared" ref="F10:F38" si="1">F9-D10</f>
        <v>640000</v>
      </c>
    </row>
    <row r="11" spans="1:6" s="50" customFormat="1" x14ac:dyDescent="0.35">
      <c r="A11" s="71" t="s">
        <v>58</v>
      </c>
      <c r="B11" s="69">
        <v>2547</v>
      </c>
      <c r="C11" s="69" t="s">
        <v>22</v>
      </c>
      <c r="D11" s="70">
        <v>10000</v>
      </c>
      <c r="E11" s="69">
        <f t="shared" si="0"/>
        <v>70000</v>
      </c>
      <c r="F11" s="70">
        <f t="shared" si="1"/>
        <v>630000</v>
      </c>
    </row>
    <row r="12" spans="1:6" s="50" customFormat="1" x14ac:dyDescent="0.35">
      <c r="A12" s="69" t="s">
        <v>37</v>
      </c>
      <c r="B12" s="69">
        <v>3320</v>
      </c>
      <c r="C12" s="69" t="s">
        <v>22</v>
      </c>
      <c r="D12" s="70">
        <v>10000</v>
      </c>
      <c r="E12" s="69">
        <f t="shared" si="0"/>
        <v>80000</v>
      </c>
      <c r="F12" s="70">
        <f t="shared" si="1"/>
        <v>620000</v>
      </c>
    </row>
    <row r="13" spans="1:6" s="50" customFormat="1" x14ac:dyDescent="0.35">
      <c r="A13" s="69" t="s">
        <v>38</v>
      </c>
      <c r="B13" s="69">
        <v>3855</v>
      </c>
      <c r="C13" s="69" t="s">
        <v>22</v>
      </c>
      <c r="D13" s="70">
        <v>10000</v>
      </c>
      <c r="E13" s="69">
        <f t="shared" si="0"/>
        <v>90000</v>
      </c>
      <c r="F13" s="70">
        <f t="shared" si="1"/>
        <v>610000</v>
      </c>
    </row>
    <row r="14" spans="1:6" s="50" customFormat="1" x14ac:dyDescent="0.35">
      <c r="A14" s="69" t="s">
        <v>39</v>
      </c>
      <c r="B14" s="69">
        <v>4522</v>
      </c>
      <c r="C14" s="69" t="s">
        <v>22</v>
      </c>
      <c r="D14" s="70">
        <v>10000</v>
      </c>
      <c r="E14" s="69">
        <f t="shared" si="0"/>
        <v>100000</v>
      </c>
      <c r="F14" s="70">
        <f t="shared" si="1"/>
        <v>600000</v>
      </c>
    </row>
    <row r="15" spans="1:6" s="50" customFormat="1" x14ac:dyDescent="0.35">
      <c r="A15" s="69" t="s">
        <v>17</v>
      </c>
      <c r="B15" s="69">
        <v>5162</v>
      </c>
      <c r="C15" s="69" t="s">
        <v>22</v>
      </c>
      <c r="D15" s="70">
        <v>10000</v>
      </c>
      <c r="E15" s="69">
        <f t="shared" si="0"/>
        <v>110000</v>
      </c>
      <c r="F15" s="70">
        <f t="shared" si="1"/>
        <v>590000</v>
      </c>
    </row>
    <row r="16" spans="1:6" s="50" customFormat="1" x14ac:dyDescent="0.35">
      <c r="A16" s="69" t="s">
        <v>40</v>
      </c>
      <c r="B16" s="69">
        <v>8755</v>
      </c>
      <c r="C16" s="69" t="s">
        <v>22</v>
      </c>
      <c r="D16" s="70">
        <v>10000</v>
      </c>
      <c r="E16" s="69">
        <f t="shared" si="0"/>
        <v>120000</v>
      </c>
      <c r="F16" s="70">
        <f t="shared" si="1"/>
        <v>580000</v>
      </c>
    </row>
    <row r="17" spans="1:6" s="50" customFormat="1" x14ac:dyDescent="0.35">
      <c r="A17" s="69" t="s">
        <v>41</v>
      </c>
      <c r="B17" s="69">
        <v>6429</v>
      </c>
      <c r="C17" s="69" t="s">
        <v>22</v>
      </c>
      <c r="D17" s="70">
        <v>10000</v>
      </c>
      <c r="E17" s="69">
        <f t="shared" si="0"/>
        <v>130000</v>
      </c>
      <c r="F17" s="70">
        <f t="shared" si="1"/>
        <v>570000</v>
      </c>
    </row>
    <row r="18" spans="1:6" s="50" customFormat="1" x14ac:dyDescent="0.35">
      <c r="A18" s="69" t="s">
        <v>42</v>
      </c>
      <c r="B18" s="69">
        <v>6808</v>
      </c>
      <c r="C18" s="69" t="s">
        <v>22</v>
      </c>
      <c r="D18" s="70">
        <v>10000</v>
      </c>
      <c r="E18" s="69">
        <f t="shared" si="0"/>
        <v>140000</v>
      </c>
      <c r="F18" s="70">
        <f t="shared" si="1"/>
        <v>560000</v>
      </c>
    </row>
    <row r="19" spans="1:6" s="50" customFormat="1" x14ac:dyDescent="0.35">
      <c r="A19" s="69" t="s">
        <v>43</v>
      </c>
      <c r="B19" s="69">
        <v>7572</v>
      </c>
      <c r="C19" s="69" t="s">
        <v>22</v>
      </c>
      <c r="D19" s="70">
        <v>10000</v>
      </c>
      <c r="E19" s="69">
        <f t="shared" si="0"/>
        <v>150000</v>
      </c>
      <c r="F19" s="70">
        <f t="shared" si="1"/>
        <v>550000</v>
      </c>
    </row>
    <row r="20" spans="1:6" s="50" customFormat="1" x14ac:dyDescent="0.35">
      <c r="A20" s="69" t="s">
        <v>44</v>
      </c>
      <c r="B20" s="69">
        <v>8159</v>
      </c>
      <c r="C20" s="69" t="s">
        <v>22</v>
      </c>
      <c r="D20" s="70">
        <v>10000</v>
      </c>
      <c r="E20" s="69">
        <f t="shared" si="0"/>
        <v>160000</v>
      </c>
      <c r="F20" s="70">
        <f t="shared" si="1"/>
        <v>540000</v>
      </c>
    </row>
    <row r="21" spans="1:6" s="50" customFormat="1" x14ac:dyDescent="0.35">
      <c r="A21" s="69" t="s">
        <v>45</v>
      </c>
      <c r="B21" s="69">
        <v>8749</v>
      </c>
      <c r="C21" s="69" t="s">
        <v>22</v>
      </c>
      <c r="D21" s="70">
        <v>10000</v>
      </c>
      <c r="E21" s="69">
        <f t="shared" si="0"/>
        <v>170000</v>
      </c>
      <c r="F21" s="70">
        <f t="shared" si="1"/>
        <v>530000</v>
      </c>
    </row>
    <row r="22" spans="1:6" s="50" customFormat="1" x14ac:dyDescent="0.35">
      <c r="A22" s="69" t="s">
        <v>46</v>
      </c>
      <c r="B22" s="69">
        <v>9914</v>
      </c>
      <c r="C22" s="69" t="s">
        <v>22</v>
      </c>
      <c r="D22" s="70">
        <v>10000</v>
      </c>
      <c r="E22" s="69">
        <f t="shared" si="0"/>
        <v>180000</v>
      </c>
      <c r="F22" s="70">
        <f t="shared" si="1"/>
        <v>520000</v>
      </c>
    </row>
    <row r="23" spans="1:6" s="50" customFormat="1" x14ac:dyDescent="0.35">
      <c r="A23" s="69" t="s">
        <v>47</v>
      </c>
      <c r="B23" s="69">
        <v>9915</v>
      </c>
      <c r="C23" s="69" t="s">
        <v>22</v>
      </c>
      <c r="D23" s="70">
        <v>10000</v>
      </c>
      <c r="E23" s="69">
        <f t="shared" si="0"/>
        <v>190000</v>
      </c>
      <c r="F23" s="70">
        <f t="shared" si="1"/>
        <v>510000</v>
      </c>
    </row>
    <row r="24" spans="1:6" s="50" customFormat="1" x14ac:dyDescent="0.35">
      <c r="A24" s="69" t="s">
        <v>48</v>
      </c>
      <c r="B24" s="69">
        <v>9916</v>
      </c>
      <c r="C24" s="69" t="s">
        <v>22</v>
      </c>
      <c r="D24" s="70">
        <v>10000</v>
      </c>
      <c r="E24" s="69">
        <f t="shared" si="0"/>
        <v>200000</v>
      </c>
      <c r="F24" s="70">
        <f t="shared" si="1"/>
        <v>500000</v>
      </c>
    </row>
    <row r="25" spans="1:6" s="50" customFormat="1" x14ac:dyDescent="0.35">
      <c r="A25" s="71">
        <v>45577</v>
      </c>
      <c r="B25" s="69">
        <v>9917</v>
      </c>
      <c r="C25" s="69" t="s">
        <v>22</v>
      </c>
      <c r="D25" s="70">
        <v>10000</v>
      </c>
      <c r="E25" s="69">
        <f t="shared" si="0"/>
        <v>210000</v>
      </c>
      <c r="F25" s="70">
        <f t="shared" si="1"/>
        <v>490000</v>
      </c>
    </row>
    <row r="26" spans="1:6" s="50" customFormat="1" x14ac:dyDescent="0.35">
      <c r="A26" s="69" t="s">
        <v>49</v>
      </c>
      <c r="B26" s="69">
        <v>9918</v>
      </c>
      <c r="C26" s="69" t="s">
        <v>22</v>
      </c>
      <c r="D26" s="70">
        <v>10000</v>
      </c>
      <c r="E26" s="69">
        <f t="shared" si="0"/>
        <v>220000</v>
      </c>
      <c r="F26" s="70">
        <f t="shared" si="1"/>
        <v>480000</v>
      </c>
    </row>
    <row r="27" spans="1:6" s="50" customFormat="1" x14ac:dyDescent="0.35">
      <c r="A27" s="69" t="s">
        <v>50</v>
      </c>
      <c r="B27" s="69">
        <v>9919</v>
      </c>
      <c r="C27" s="69" t="s">
        <v>22</v>
      </c>
      <c r="D27" s="70">
        <v>10000</v>
      </c>
      <c r="E27" s="69">
        <f t="shared" si="0"/>
        <v>230000</v>
      </c>
      <c r="F27" s="70">
        <f t="shared" si="1"/>
        <v>470000</v>
      </c>
    </row>
    <row r="28" spans="1:6" s="50" customFormat="1" x14ac:dyDescent="0.35">
      <c r="A28" s="71">
        <v>45660</v>
      </c>
      <c r="B28" s="69">
        <v>9920</v>
      </c>
      <c r="C28" s="69" t="s">
        <v>22</v>
      </c>
      <c r="D28" s="70">
        <v>10000</v>
      </c>
      <c r="E28" s="69">
        <f t="shared" si="0"/>
        <v>240000</v>
      </c>
      <c r="F28" s="70">
        <f t="shared" si="1"/>
        <v>460000</v>
      </c>
    </row>
    <row r="29" spans="1:6" s="50" customFormat="1" x14ac:dyDescent="0.35">
      <c r="A29" s="69" t="s">
        <v>51</v>
      </c>
      <c r="B29" s="69">
        <v>9921</v>
      </c>
      <c r="C29" s="69" t="s">
        <v>22</v>
      </c>
      <c r="D29" s="70">
        <v>10000</v>
      </c>
      <c r="E29" s="69">
        <f t="shared" si="0"/>
        <v>250000</v>
      </c>
      <c r="F29" s="70">
        <f t="shared" si="1"/>
        <v>450000</v>
      </c>
    </row>
    <row r="30" spans="1:6" s="50" customFormat="1" x14ac:dyDescent="0.35">
      <c r="A30" s="69" t="s">
        <v>52</v>
      </c>
      <c r="B30" s="69">
        <v>9922</v>
      </c>
      <c r="C30" s="69" t="s">
        <v>22</v>
      </c>
      <c r="D30" s="70">
        <v>10000</v>
      </c>
      <c r="E30" s="69">
        <f t="shared" si="0"/>
        <v>260000</v>
      </c>
      <c r="F30" s="70">
        <f t="shared" si="1"/>
        <v>440000</v>
      </c>
    </row>
    <row r="31" spans="1:6" s="50" customFormat="1" x14ac:dyDescent="0.35">
      <c r="A31" s="69" t="s">
        <v>53</v>
      </c>
      <c r="B31" s="69">
        <v>9923</v>
      </c>
      <c r="C31" s="69" t="s">
        <v>22</v>
      </c>
      <c r="D31" s="70">
        <v>10000</v>
      </c>
      <c r="E31" s="69">
        <f t="shared" si="0"/>
        <v>270000</v>
      </c>
      <c r="F31" s="70">
        <f t="shared" si="1"/>
        <v>430000</v>
      </c>
    </row>
    <row r="32" spans="1:6" s="50" customFormat="1" x14ac:dyDescent="0.35">
      <c r="A32" s="71">
        <v>45878</v>
      </c>
      <c r="B32" s="69">
        <v>12674</v>
      </c>
      <c r="C32" s="69" t="s">
        <v>22</v>
      </c>
      <c r="D32" s="70">
        <v>10000</v>
      </c>
      <c r="E32" s="69">
        <f t="shared" si="0"/>
        <v>280000</v>
      </c>
      <c r="F32" s="70">
        <f t="shared" si="1"/>
        <v>420000</v>
      </c>
    </row>
    <row r="33" spans="1:6" s="50" customFormat="1" x14ac:dyDescent="0.35">
      <c r="A33" s="69" t="s">
        <v>54</v>
      </c>
      <c r="B33" s="69">
        <v>13219</v>
      </c>
      <c r="C33" s="69" t="s">
        <v>22</v>
      </c>
      <c r="D33" s="70">
        <v>10000</v>
      </c>
      <c r="E33" s="69">
        <f t="shared" si="0"/>
        <v>290000</v>
      </c>
      <c r="F33" s="70">
        <f t="shared" si="1"/>
        <v>410000</v>
      </c>
    </row>
    <row r="34" spans="1:6" s="50" customFormat="1" x14ac:dyDescent="0.35">
      <c r="A34" s="69" t="s">
        <v>55</v>
      </c>
      <c r="B34" s="69">
        <v>12268</v>
      </c>
      <c r="C34" s="69" t="s">
        <v>22</v>
      </c>
      <c r="D34" s="70">
        <v>10000</v>
      </c>
      <c r="E34" s="69">
        <f t="shared" si="0"/>
        <v>300000</v>
      </c>
      <c r="F34" s="70">
        <f t="shared" si="1"/>
        <v>400000</v>
      </c>
    </row>
    <row r="35" spans="1:6" s="50" customFormat="1" x14ac:dyDescent="0.35">
      <c r="A35" s="69" t="s">
        <v>56</v>
      </c>
      <c r="B35" s="69">
        <v>12598</v>
      </c>
      <c r="C35" s="69" t="s">
        <v>22</v>
      </c>
      <c r="D35" s="70">
        <v>10000</v>
      </c>
      <c r="E35" s="69">
        <f t="shared" si="0"/>
        <v>310000</v>
      </c>
      <c r="F35" s="70">
        <f t="shared" si="1"/>
        <v>390000</v>
      </c>
    </row>
    <row r="36" spans="1:6" x14ac:dyDescent="0.35">
      <c r="A36" s="72">
        <v>46330</v>
      </c>
      <c r="B36" s="73">
        <v>13235</v>
      </c>
      <c r="C36" s="69" t="s">
        <v>22</v>
      </c>
      <c r="D36" s="70">
        <v>10000</v>
      </c>
      <c r="E36" s="69">
        <f t="shared" si="0"/>
        <v>320000</v>
      </c>
      <c r="F36" s="70">
        <f t="shared" si="1"/>
        <v>380000</v>
      </c>
    </row>
    <row r="37" spans="1:6" x14ac:dyDescent="0.35">
      <c r="A37" s="74" t="s">
        <v>102</v>
      </c>
      <c r="B37" s="73">
        <v>13599</v>
      </c>
      <c r="C37" s="69" t="s">
        <v>22</v>
      </c>
      <c r="D37" s="70">
        <v>10000</v>
      </c>
      <c r="E37" s="69">
        <f t="shared" si="0"/>
        <v>330000</v>
      </c>
      <c r="F37" s="70">
        <f t="shared" si="1"/>
        <v>370000</v>
      </c>
    </row>
    <row r="38" spans="1:6" ht="15" thickBot="1" x14ac:dyDescent="0.4">
      <c r="A38" s="72">
        <v>46270</v>
      </c>
      <c r="B38" s="73">
        <v>12968</v>
      </c>
      <c r="C38" s="69" t="s">
        <v>22</v>
      </c>
      <c r="D38" s="70">
        <v>10000</v>
      </c>
      <c r="E38" s="69">
        <f t="shared" si="0"/>
        <v>340000</v>
      </c>
      <c r="F38" s="70">
        <f t="shared" si="1"/>
        <v>360000</v>
      </c>
    </row>
    <row r="39" spans="1:6" ht="22" customHeight="1" thickBot="1" x14ac:dyDescent="0.4">
      <c r="A39" s="60" t="s">
        <v>490</v>
      </c>
      <c r="B39" s="60">
        <v>1326</v>
      </c>
      <c r="C39" s="60" t="s">
        <v>265</v>
      </c>
      <c r="D39" s="61">
        <v>10000</v>
      </c>
      <c r="E39" s="61">
        <v>350000</v>
      </c>
      <c r="F39" s="61">
        <v>350000</v>
      </c>
    </row>
    <row r="40" spans="1:6" ht="15" thickBot="1" x14ac:dyDescent="0.4">
      <c r="A40" s="60" t="s">
        <v>491</v>
      </c>
      <c r="B40" s="60">
        <v>1543</v>
      </c>
      <c r="C40" s="60" t="s">
        <v>265</v>
      </c>
      <c r="D40" s="61">
        <v>10000</v>
      </c>
      <c r="E40" s="61">
        <v>360000</v>
      </c>
      <c r="F40" s="61">
        <v>340000</v>
      </c>
    </row>
    <row r="41" spans="1:6" ht="15" thickBot="1" x14ac:dyDescent="0.4">
      <c r="A41" s="60" t="s">
        <v>492</v>
      </c>
      <c r="B41" s="60">
        <v>1870</v>
      </c>
      <c r="C41" s="60" t="s">
        <v>265</v>
      </c>
      <c r="D41" s="61">
        <v>10000</v>
      </c>
      <c r="E41" s="61">
        <v>370000</v>
      </c>
      <c r="F41" s="61">
        <v>330000</v>
      </c>
    </row>
    <row r="42" spans="1:6" ht="15" thickBot="1" x14ac:dyDescent="0.4">
      <c r="A42" s="60" t="s">
        <v>493</v>
      </c>
      <c r="B42" s="60">
        <v>2108</v>
      </c>
      <c r="C42" s="60" t="s">
        <v>265</v>
      </c>
      <c r="D42" s="61">
        <v>10000</v>
      </c>
      <c r="E42" s="61">
        <v>380000</v>
      </c>
      <c r="F42" s="61">
        <v>320000</v>
      </c>
    </row>
    <row r="48" spans="1:6" x14ac:dyDescent="0.35">
      <c r="E48"/>
    </row>
    <row r="51" spans="3:13" x14ac:dyDescent="0.35">
      <c r="M51"/>
    </row>
    <row r="52" spans="3:13" x14ac:dyDescent="0.35">
      <c r="C52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4.5" x14ac:dyDescent="0.35"/>
  <cols>
    <col min="1" max="1" width="36.26953125" customWidth="1"/>
    <col min="3" max="3" width="13.36328125" bestFit="1" customWidth="1"/>
    <col min="4" max="4" width="15.81640625" bestFit="1" customWidth="1"/>
    <col min="5" max="5" width="11.08984375" bestFit="1" customWidth="1"/>
    <col min="6" max="6" width="13.81640625" bestFit="1" customWidth="1"/>
  </cols>
  <sheetData>
    <row r="1" spans="1:6" ht="18.5" x14ac:dyDescent="0.45">
      <c r="A1" s="62" t="s">
        <v>494</v>
      </c>
      <c r="B1" s="62"/>
      <c r="C1" s="62"/>
      <c r="D1" s="63"/>
      <c r="E1" s="62"/>
      <c r="F1" s="62"/>
    </row>
    <row r="2" spans="1:6" ht="18.5" x14ac:dyDescent="0.45">
      <c r="A2" s="62" t="s">
        <v>31</v>
      </c>
      <c r="B2" s="62"/>
      <c r="C2" s="62"/>
      <c r="D2" s="63"/>
      <c r="E2" s="62"/>
      <c r="F2" s="62"/>
    </row>
    <row r="3" spans="1:6" ht="18.5" x14ac:dyDescent="0.45">
      <c r="A3" s="62" t="s">
        <v>32</v>
      </c>
      <c r="B3" s="62"/>
      <c r="C3" s="62"/>
      <c r="D3" s="63"/>
      <c r="E3" s="62"/>
      <c r="F3" s="62"/>
    </row>
    <row r="4" spans="1:6" ht="18.5" x14ac:dyDescent="0.45">
      <c r="A4" s="62" t="s">
        <v>301</v>
      </c>
      <c r="B4" s="62"/>
      <c r="C4" s="62"/>
      <c r="D4" s="63"/>
      <c r="E4" s="62"/>
      <c r="F4" s="62"/>
    </row>
    <row r="5" spans="1:6" ht="18.5" x14ac:dyDescent="0.45">
      <c r="A5" s="62" t="s">
        <v>33</v>
      </c>
      <c r="B5" s="62"/>
      <c r="C5" s="62"/>
      <c r="D5" s="63"/>
      <c r="E5" s="62"/>
      <c r="F5" s="62"/>
    </row>
    <row r="6" spans="1:6" ht="18.5" x14ac:dyDescent="0.45">
      <c r="A6" s="62" t="s">
        <v>57</v>
      </c>
      <c r="B6" s="62"/>
      <c r="C6" s="62"/>
      <c r="D6" s="62" t="s">
        <v>8</v>
      </c>
      <c r="E6" s="62"/>
      <c r="F6" s="62"/>
    </row>
    <row r="7" spans="1:6" x14ac:dyDescent="0.35">
      <c r="A7" s="65" t="s">
        <v>0</v>
      </c>
      <c r="B7" s="65" t="s">
        <v>1</v>
      </c>
      <c r="C7" s="65" t="s">
        <v>2</v>
      </c>
      <c r="D7" s="65" t="s">
        <v>3</v>
      </c>
      <c r="E7" s="65" t="s">
        <v>4</v>
      </c>
      <c r="F7" s="65" t="s">
        <v>5</v>
      </c>
    </row>
    <row r="8" spans="1:6" x14ac:dyDescent="0.35">
      <c r="A8" s="50" t="s">
        <v>35</v>
      </c>
      <c r="B8" s="50">
        <v>270</v>
      </c>
      <c r="C8" s="50" t="s">
        <v>60</v>
      </c>
      <c r="D8" s="50">
        <v>1000</v>
      </c>
      <c r="E8" s="50">
        <v>1000</v>
      </c>
      <c r="F8" s="54">
        <v>699000</v>
      </c>
    </row>
    <row r="9" spans="1:6" x14ac:dyDescent="0.35">
      <c r="A9" s="50" t="s">
        <v>36</v>
      </c>
      <c r="B9" s="50">
        <v>1353</v>
      </c>
      <c r="C9" s="50" t="s">
        <v>21</v>
      </c>
      <c r="D9" s="50">
        <v>49000</v>
      </c>
      <c r="E9" s="50">
        <f>SUM(E8+D9)</f>
        <v>50000</v>
      </c>
      <c r="F9" s="54">
        <f>F8-D9</f>
        <v>650000</v>
      </c>
    </row>
    <row r="10" spans="1:6" x14ac:dyDescent="0.35">
      <c r="A10" s="53">
        <v>44932</v>
      </c>
      <c r="B10" s="50">
        <v>275</v>
      </c>
      <c r="C10" s="50" t="s">
        <v>22</v>
      </c>
      <c r="D10" s="54">
        <v>10000</v>
      </c>
      <c r="E10" s="50">
        <f t="shared" ref="E10:E38" si="0">SUM(E9+D10)</f>
        <v>60000</v>
      </c>
      <c r="F10" s="54">
        <f t="shared" ref="F10:F38" si="1">F9-D10</f>
        <v>640000</v>
      </c>
    </row>
    <row r="11" spans="1:6" x14ac:dyDescent="0.35">
      <c r="A11" s="53" t="s">
        <v>58</v>
      </c>
      <c r="B11" s="50">
        <v>2548</v>
      </c>
      <c r="C11" s="50" t="s">
        <v>22</v>
      </c>
      <c r="D11" s="54">
        <v>10000</v>
      </c>
      <c r="E11" s="50">
        <f t="shared" si="0"/>
        <v>70000</v>
      </c>
      <c r="F11" s="54">
        <f t="shared" si="1"/>
        <v>630000</v>
      </c>
    </row>
    <row r="12" spans="1:6" x14ac:dyDescent="0.35">
      <c r="A12" s="50" t="s">
        <v>37</v>
      </c>
      <c r="B12" s="50">
        <v>3321</v>
      </c>
      <c r="C12" s="50" t="s">
        <v>22</v>
      </c>
      <c r="D12" s="54">
        <v>10000</v>
      </c>
      <c r="E12" s="50">
        <f t="shared" si="0"/>
        <v>80000</v>
      </c>
      <c r="F12" s="54">
        <f t="shared" si="1"/>
        <v>620000</v>
      </c>
    </row>
    <row r="13" spans="1:6" x14ac:dyDescent="0.35">
      <c r="A13" s="50" t="s">
        <v>38</v>
      </c>
      <c r="B13" s="50">
        <v>3854</v>
      </c>
      <c r="C13" s="50" t="s">
        <v>22</v>
      </c>
      <c r="D13" s="54">
        <v>10000</v>
      </c>
      <c r="E13" s="50">
        <f t="shared" si="0"/>
        <v>90000</v>
      </c>
      <c r="F13" s="54">
        <f t="shared" si="1"/>
        <v>610000</v>
      </c>
    </row>
    <row r="14" spans="1:6" x14ac:dyDescent="0.35">
      <c r="A14" s="50" t="s">
        <v>39</v>
      </c>
      <c r="B14" s="50">
        <v>4523</v>
      </c>
      <c r="C14" s="50" t="s">
        <v>22</v>
      </c>
      <c r="D14" s="54">
        <v>10000</v>
      </c>
      <c r="E14" s="50">
        <f t="shared" si="0"/>
        <v>100000</v>
      </c>
      <c r="F14" s="54">
        <f t="shared" si="1"/>
        <v>600000</v>
      </c>
    </row>
    <row r="15" spans="1:6" x14ac:dyDescent="0.35">
      <c r="A15" s="50" t="s">
        <v>17</v>
      </c>
      <c r="B15" s="50" t="s">
        <v>59</v>
      </c>
      <c r="C15" s="50" t="s">
        <v>22</v>
      </c>
      <c r="D15" s="54">
        <v>10000</v>
      </c>
      <c r="E15" s="50">
        <f t="shared" si="0"/>
        <v>110000</v>
      </c>
      <c r="F15" s="54">
        <f t="shared" si="1"/>
        <v>590000</v>
      </c>
    </row>
    <row r="16" spans="1:6" x14ac:dyDescent="0.35">
      <c r="A16" s="50" t="s">
        <v>40</v>
      </c>
      <c r="B16" s="50">
        <v>8756</v>
      </c>
      <c r="C16" s="50" t="s">
        <v>22</v>
      </c>
      <c r="D16" s="54">
        <v>10000</v>
      </c>
      <c r="E16" s="50">
        <f t="shared" si="0"/>
        <v>120000</v>
      </c>
      <c r="F16" s="54">
        <f t="shared" si="1"/>
        <v>580000</v>
      </c>
    </row>
    <row r="17" spans="1:6" x14ac:dyDescent="0.35">
      <c r="A17" s="50" t="s">
        <v>41</v>
      </c>
      <c r="B17" s="50">
        <v>6430</v>
      </c>
      <c r="C17" s="50" t="s">
        <v>22</v>
      </c>
      <c r="D17" s="54">
        <v>10000</v>
      </c>
      <c r="E17" s="50">
        <f t="shared" si="0"/>
        <v>130000</v>
      </c>
      <c r="F17" s="54">
        <f t="shared" si="1"/>
        <v>570000</v>
      </c>
    </row>
    <row r="18" spans="1:6" x14ac:dyDescent="0.35">
      <c r="A18" s="50" t="s">
        <v>42</v>
      </c>
      <c r="B18" s="50">
        <v>6809</v>
      </c>
      <c r="C18" s="50" t="s">
        <v>22</v>
      </c>
      <c r="D18" s="54">
        <v>10000</v>
      </c>
      <c r="E18" s="50">
        <f t="shared" si="0"/>
        <v>140000</v>
      </c>
      <c r="F18" s="54">
        <f t="shared" si="1"/>
        <v>560000</v>
      </c>
    </row>
    <row r="19" spans="1:6" x14ac:dyDescent="0.35">
      <c r="A19" s="50" t="s">
        <v>43</v>
      </c>
      <c r="B19" s="50">
        <v>7573</v>
      </c>
      <c r="C19" s="50" t="s">
        <v>22</v>
      </c>
      <c r="D19" s="54">
        <v>10000</v>
      </c>
      <c r="E19" s="50">
        <f t="shared" si="0"/>
        <v>150000</v>
      </c>
      <c r="F19" s="54">
        <f t="shared" si="1"/>
        <v>550000</v>
      </c>
    </row>
    <row r="20" spans="1:6" x14ac:dyDescent="0.35">
      <c r="A20" s="50" t="s">
        <v>61</v>
      </c>
      <c r="B20" s="50">
        <v>8160</v>
      </c>
      <c r="C20" s="50" t="s">
        <v>22</v>
      </c>
      <c r="D20" s="54">
        <v>10000</v>
      </c>
      <c r="E20" s="50">
        <f t="shared" si="0"/>
        <v>160000</v>
      </c>
      <c r="F20" s="54">
        <f t="shared" si="1"/>
        <v>540000</v>
      </c>
    </row>
    <row r="21" spans="1:6" x14ac:dyDescent="0.35">
      <c r="A21" s="50" t="s">
        <v>62</v>
      </c>
      <c r="B21" s="50">
        <v>8750</v>
      </c>
      <c r="C21" s="50" t="s">
        <v>22</v>
      </c>
      <c r="D21" s="54">
        <v>10000</v>
      </c>
      <c r="E21" s="50">
        <f t="shared" si="0"/>
        <v>170000</v>
      </c>
      <c r="F21" s="54">
        <f t="shared" si="1"/>
        <v>530000</v>
      </c>
    </row>
    <row r="22" spans="1:6" x14ac:dyDescent="0.35">
      <c r="A22" s="50" t="s">
        <v>63</v>
      </c>
      <c r="B22" s="50">
        <v>9919</v>
      </c>
      <c r="C22" s="50" t="s">
        <v>22</v>
      </c>
      <c r="D22" s="54">
        <v>10000</v>
      </c>
      <c r="E22" s="50">
        <f t="shared" si="0"/>
        <v>180000</v>
      </c>
      <c r="F22" s="54">
        <f t="shared" si="1"/>
        <v>520000</v>
      </c>
    </row>
    <row r="23" spans="1:6" x14ac:dyDescent="0.35">
      <c r="A23" s="50" t="s">
        <v>47</v>
      </c>
      <c r="B23" s="50">
        <v>9928</v>
      </c>
      <c r="C23" s="50" t="s">
        <v>22</v>
      </c>
      <c r="D23" s="54">
        <v>10000</v>
      </c>
      <c r="E23" s="50">
        <f t="shared" si="0"/>
        <v>190000</v>
      </c>
      <c r="F23" s="54">
        <f t="shared" si="1"/>
        <v>510000</v>
      </c>
    </row>
    <row r="24" spans="1:6" x14ac:dyDescent="0.35">
      <c r="A24" s="50" t="s">
        <v>48</v>
      </c>
      <c r="B24" s="50">
        <v>9929</v>
      </c>
      <c r="C24" s="50" t="s">
        <v>22</v>
      </c>
      <c r="D24" s="54">
        <v>10000</v>
      </c>
      <c r="E24" s="50">
        <f t="shared" si="0"/>
        <v>200000</v>
      </c>
      <c r="F24" s="54">
        <f t="shared" si="1"/>
        <v>500000</v>
      </c>
    </row>
    <row r="25" spans="1:6" x14ac:dyDescent="0.35">
      <c r="A25" s="53">
        <v>45577</v>
      </c>
      <c r="B25" s="50">
        <v>9930</v>
      </c>
      <c r="C25" s="50" t="s">
        <v>22</v>
      </c>
      <c r="D25" s="54">
        <v>10000</v>
      </c>
      <c r="E25" s="50">
        <f t="shared" si="0"/>
        <v>210000</v>
      </c>
      <c r="F25" s="54">
        <f t="shared" si="1"/>
        <v>490000</v>
      </c>
    </row>
    <row r="26" spans="1:6" x14ac:dyDescent="0.35">
      <c r="A26" s="50" t="s">
        <v>49</v>
      </c>
      <c r="B26" s="50">
        <v>9931</v>
      </c>
      <c r="C26" s="50" t="s">
        <v>22</v>
      </c>
      <c r="D26" s="54">
        <v>10000</v>
      </c>
      <c r="E26" s="50">
        <f t="shared" si="0"/>
        <v>220000</v>
      </c>
      <c r="F26" s="54">
        <f t="shared" si="1"/>
        <v>480000</v>
      </c>
    </row>
    <row r="27" spans="1:6" x14ac:dyDescent="0.35">
      <c r="A27" s="50" t="s">
        <v>50</v>
      </c>
      <c r="B27" s="50">
        <v>9932</v>
      </c>
      <c r="C27" s="50" t="s">
        <v>22</v>
      </c>
      <c r="D27" s="54">
        <v>10000</v>
      </c>
      <c r="E27" s="50">
        <f t="shared" si="0"/>
        <v>230000</v>
      </c>
      <c r="F27" s="54">
        <f t="shared" si="1"/>
        <v>470000</v>
      </c>
    </row>
    <row r="28" spans="1:6" x14ac:dyDescent="0.35">
      <c r="A28" s="53">
        <v>45660</v>
      </c>
      <c r="B28" s="50">
        <v>9933</v>
      </c>
      <c r="C28" s="50" t="s">
        <v>22</v>
      </c>
      <c r="D28" s="54">
        <v>10000</v>
      </c>
      <c r="E28" s="50">
        <f t="shared" si="0"/>
        <v>240000</v>
      </c>
      <c r="F28" s="54">
        <f t="shared" si="1"/>
        <v>460000</v>
      </c>
    </row>
    <row r="29" spans="1:6" x14ac:dyDescent="0.35">
      <c r="A29" s="50" t="s">
        <v>64</v>
      </c>
      <c r="B29" s="50">
        <v>9935</v>
      </c>
      <c r="C29" s="50" t="s">
        <v>22</v>
      </c>
      <c r="D29" s="54">
        <v>10000</v>
      </c>
      <c r="E29" s="50">
        <f t="shared" si="0"/>
        <v>250000</v>
      </c>
      <c r="F29" s="54">
        <f t="shared" si="1"/>
        <v>450000</v>
      </c>
    </row>
    <row r="30" spans="1:6" x14ac:dyDescent="0.35">
      <c r="A30" s="50" t="s">
        <v>51</v>
      </c>
      <c r="B30" s="50">
        <v>9934</v>
      </c>
      <c r="C30" s="50" t="s">
        <v>22</v>
      </c>
      <c r="D30" s="54">
        <v>10000</v>
      </c>
      <c r="E30" s="50">
        <f t="shared" si="0"/>
        <v>260000</v>
      </c>
      <c r="F30" s="54">
        <f t="shared" si="1"/>
        <v>440000</v>
      </c>
    </row>
    <row r="31" spans="1:6" x14ac:dyDescent="0.35">
      <c r="A31" s="50" t="s">
        <v>65</v>
      </c>
      <c r="B31" s="50">
        <v>9936</v>
      </c>
      <c r="C31" s="50" t="s">
        <v>22</v>
      </c>
      <c r="D31" s="54">
        <v>10000</v>
      </c>
      <c r="E31" s="50">
        <f t="shared" si="0"/>
        <v>270000</v>
      </c>
      <c r="F31" s="54">
        <f t="shared" si="1"/>
        <v>430000</v>
      </c>
    </row>
    <row r="32" spans="1:6" x14ac:dyDescent="0.35">
      <c r="A32" s="53">
        <v>45878</v>
      </c>
      <c r="B32" s="50">
        <v>12675</v>
      </c>
      <c r="C32" s="50" t="s">
        <v>22</v>
      </c>
      <c r="D32" s="54">
        <v>10000</v>
      </c>
      <c r="E32" s="50">
        <f t="shared" si="0"/>
        <v>280000</v>
      </c>
      <c r="F32" s="54">
        <f t="shared" si="1"/>
        <v>420000</v>
      </c>
    </row>
    <row r="33" spans="1:7" x14ac:dyDescent="0.35">
      <c r="A33" s="50" t="s">
        <v>54</v>
      </c>
      <c r="B33" s="50">
        <v>1322</v>
      </c>
      <c r="C33" s="50" t="s">
        <v>22</v>
      </c>
      <c r="D33" s="54">
        <v>10000</v>
      </c>
      <c r="E33" s="50">
        <f t="shared" si="0"/>
        <v>290000</v>
      </c>
      <c r="F33" s="54">
        <f t="shared" si="1"/>
        <v>410000</v>
      </c>
    </row>
    <row r="34" spans="1:7" x14ac:dyDescent="0.35">
      <c r="A34" s="50" t="s">
        <v>55</v>
      </c>
      <c r="B34" s="50">
        <v>12269</v>
      </c>
      <c r="C34" s="50" t="s">
        <v>22</v>
      </c>
      <c r="D34" s="54">
        <v>10000</v>
      </c>
      <c r="E34" s="50">
        <f t="shared" si="0"/>
        <v>300000</v>
      </c>
      <c r="F34" s="54">
        <f t="shared" si="1"/>
        <v>400000</v>
      </c>
    </row>
    <row r="35" spans="1:7" x14ac:dyDescent="0.35">
      <c r="A35" s="50" t="s">
        <v>56</v>
      </c>
      <c r="B35" s="50">
        <v>12597</v>
      </c>
      <c r="C35" s="50" t="s">
        <v>22</v>
      </c>
      <c r="D35" s="54">
        <v>10000</v>
      </c>
      <c r="E35" s="50">
        <f t="shared" si="0"/>
        <v>310000</v>
      </c>
      <c r="F35" s="54">
        <f t="shared" si="1"/>
        <v>390000</v>
      </c>
    </row>
    <row r="36" spans="1:7" x14ac:dyDescent="0.35">
      <c r="A36" s="55">
        <v>46330</v>
      </c>
      <c r="B36" s="49">
        <v>13236</v>
      </c>
      <c r="C36" s="50" t="s">
        <v>22</v>
      </c>
      <c r="D36" s="54">
        <v>10000</v>
      </c>
      <c r="E36" s="50">
        <f t="shared" si="0"/>
        <v>320000</v>
      </c>
      <c r="F36" s="54">
        <f t="shared" si="1"/>
        <v>380000</v>
      </c>
    </row>
    <row r="37" spans="1:7" x14ac:dyDescent="0.35">
      <c r="A37" s="64" t="s">
        <v>302</v>
      </c>
      <c r="B37" s="49">
        <v>13600</v>
      </c>
      <c r="C37" s="50" t="s">
        <v>22</v>
      </c>
      <c r="D37" s="54">
        <v>10000</v>
      </c>
      <c r="E37" s="50">
        <f t="shared" si="0"/>
        <v>330000</v>
      </c>
      <c r="F37" s="54">
        <f t="shared" si="1"/>
        <v>370000</v>
      </c>
    </row>
    <row r="38" spans="1:7" ht="15" thickBot="1" x14ac:dyDescent="0.4">
      <c r="A38" s="55">
        <v>46270</v>
      </c>
      <c r="B38" s="49">
        <v>12967</v>
      </c>
      <c r="C38" s="50" t="s">
        <v>22</v>
      </c>
      <c r="D38" s="54">
        <v>10000</v>
      </c>
      <c r="E38" s="50">
        <f t="shared" si="0"/>
        <v>340000</v>
      </c>
      <c r="F38" s="54">
        <f t="shared" si="1"/>
        <v>360000</v>
      </c>
    </row>
    <row r="39" spans="1:7" ht="18.5" customHeight="1" thickBot="1" x14ac:dyDescent="0.4">
      <c r="A39" s="60" t="s">
        <v>490</v>
      </c>
      <c r="B39" s="60">
        <v>1325</v>
      </c>
      <c r="C39" s="60" t="s">
        <v>265</v>
      </c>
      <c r="D39" s="61">
        <v>10000</v>
      </c>
      <c r="E39" s="61">
        <v>350000</v>
      </c>
      <c r="F39" s="61">
        <v>350000</v>
      </c>
      <c r="G39" s="52"/>
    </row>
    <row r="40" spans="1:7" ht="17.5" customHeight="1" thickBot="1" x14ac:dyDescent="0.4">
      <c r="A40" s="60" t="s">
        <v>491</v>
      </c>
      <c r="B40" s="60">
        <v>1542</v>
      </c>
      <c r="C40" s="60" t="s">
        <v>265</v>
      </c>
      <c r="D40" s="61">
        <v>10000</v>
      </c>
      <c r="E40" s="61">
        <v>360000</v>
      </c>
      <c r="F40" s="61">
        <v>340000</v>
      </c>
      <c r="G40" s="52"/>
    </row>
    <row r="41" spans="1:7" ht="15" customHeight="1" thickBot="1" x14ac:dyDescent="0.4">
      <c r="A41" s="60" t="s">
        <v>492</v>
      </c>
      <c r="B41" s="60">
        <v>1869</v>
      </c>
      <c r="C41" s="60" t="s">
        <v>265</v>
      </c>
      <c r="D41" s="61">
        <v>10000</v>
      </c>
      <c r="E41" s="61">
        <v>370000</v>
      </c>
      <c r="F41" s="61">
        <v>330000</v>
      </c>
      <c r="G41" s="52"/>
    </row>
    <row r="42" spans="1:7" ht="13.5" customHeight="1" thickBot="1" x14ac:dyDescent="0.4">
      <c r="A42" s="60" t="s">
        <v>493</v>
      </c>
      <c r="B42" s="60">
        <v>2107</v>
      </c>
      <c r="C42" s="60" t="s">
        <v>265</v>
      </c>
      <c r="D42" s="61">
        <v>10000</v>
      </c>
      <c r="E42" s="61">
        <v>380000</v>
      </c>
      <c r="F42" s="61">
        <v>320000</v>
      </c>
      <c r="G42" s="52"/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29" workbookViewId="0">
      <selection activeCell="D35" sqref="D35"/>
    </sheetView>
  </sheetViews>
  <sheetFormatPr defaultRowHeight="14.5" x14ac:dyDescent="0.35"/>
  <cols>
    <col min="1" max="1" width="10.453125" bestFit="1" customWidth="1"/>
    <col min="3" max="3" width="14.1796875" customWidth="1"/>
    <col min="4" max="4" width="13" customWidth="1"/>
    <col min="5" max="5" width="10.453125" customWidth="1"/>
    <col min="6" max="6" width="14.1796875" customWidth="1"/>
  </cols>
  <sheetData>
    <row r="1" spans="1:6" ht="18.5" x14ac:dyDescent="0.45">
      <c r="A1" s="4" t="s">
        <v>193</v>
      </c>
      <c r="B1" s="4"/>
      <c r="C1" s="4"/>
      <c r="D1" s="5"/>
      <c r="E1" s="4"/>
      <c r="F1" s="4"/>
    </row>
    <row r="2" spans="1:6" ht="18.5" x14ac:dyDescent="0.45">
      <c r="A2" s="4" t="s">
        <v>148</v>
      </c>
      <c r="B2" s="4"/>
      <c r="C2" s="4"/>
      <c r="D2" s="5"/>
      <c r="E2" s="4"/>
      <c r="F2" s="4"/>
    </row>
    <row r="3" spans="1:6" ht="18.5" x14ac:dyDescent="0.45">
      <c r="A3" s="4" t="s">
        <v>149</v>
      </c>
      <c r="B3" s="4"/>
      <c r="C3" s="4"/>
      <c r="D3" s="5"/>
      <c r="E3" s="4"/>
      <c r="F3" s="4"/>
    </row>
    <row r="4" spans="1:6" ht="18.5" x14ac:dyDescent="0.45">
      <c r="A4" s="4" t="s">
        <v>303</v>
      </c>
      <c r="B4" s="4"/>
      <c r="C4" s="4"/>
      <c r="D4" s="5"/>
      <c r="E4" s="4"/>
      <c r="F4" s="4"/>
    </row>
    <row r="5" spans="1:6" ht="18.5" x14ac:dyDescent="0.45">
      <c r="A5" s="4" t="s">
        <v>150</v>
      </c>
      <c r="B5" s="4"/>
      <c r="C5" s="4"/>
      <c r="D5" s="5"/>
      <c r="E5" s="4"/>
      <c r="F5" s="4"/>
    </row>
    <row r="6" spans="1:6" ht="18.5" x14ac:dyDescent="0.45">
      <c r="A6" s="4" t="s">
        <v>151</v>
      </c>
      <c r="B6" s="4"/>
      <c r="C6" s="4"/>
      <c r="D6" s="4" t="s">
        <v>152</v>
      </c>
      <c r="E6" s="4"/>
      <c r="F6" s="4"/>
    </row>
    <row r="7" spans="1:6" x14ac:dyDescent="0.35">
      <c r="A7" s="21" t="s">
        <v>0</v>
      </c>
      <c r="B7" s="22" t="s">
        <v>1</v>
      </c>
      <c r="C7" s="22" t="s">
        <v>2</v>
      </c>
      <c r="D7" s="15" t="s">
        <v>3</v>
      </c>
      <c r="E7" s="15" t="s">
        <v>4</v>
      </c>
      <c r="F7" s="16" t="s">
        <v>5</v>
      </c>
    </row>
    <row r="8" spans="1:6" x14ac:dyDescent="0.35">
      <c r="A8" s="13">
        <v>44750</v>
      </c>
      <c r="B8" s="1">
        <v>184</v>
      </c>
      <c r="C8" s="1" t="s">
        <v>22</v>
      </c>
      <c r="D8" s="2">
        <v>10000</v>
      </c>
      <c r="E8" s="2">
        <v>10000</v>
      </c>
      <c r="F8" s="14">
        <v>220000</v>
      </c>
    </row>
    <row r="9" spans="1:6" x14ac:dyDescent="0.35">
      <c r="A9" s="13">
        <v>44843</v>
      </c>
      <c r="B9" s="1">
        <v>173</v>
      </c>
      <c r="C9" s="1" t="s">
        <v>22</v>
      </c>
      <c r="D9" s="2">
        <v>10000</v>
      </c>
      <c r="E9" s="2">
        <f>SUM(E8+D9)</f>
        <v>20000</v>
      </c>
      <c r="F9" s="14">
        <f>F8-D9</f>
        <v>210000</v>
      </c>
    </row>
    <row r="10" spans="1:6" x14ac:dyDescent="0.35">
      <c r="A10" s="12" t="s">
        <v>153</v>
      </c>
      <c r="B10" s="1">
        <v>1547</v>
      </c>
      <c r="C10" s="1" t="s">
        <v>110</v>
      </c>
      <c r="D10" s="2">
        <v>40000</v>
      </c>
      <c r="E10" s="2">
        <f t="shared" ref="E10:E27" si="0">SUM(E9+D10)</f>
        <v>60000</v>
      </c>
      <c r="F10" s="14">
        <f t="shared" ref="F10:F27" si="1">F9-D10</f>
        <v>170000</v>
      </c>
    </row>
    <row r="11" spans="1:6" x14ac:dyDescent="0.35">
      <c r="A11" s="13">
        <v>45263</v>
      </c>
      <c r="B11" s="1">
        <v>1549</v>
      </c>
      <c r="C11" s="1" t="s">
        <v>22</v>
      </c>
      <c r="D11" s="2">
        <v>10000</v>
      </c>
      <c r="E11" s="2">
        <f t="shared" si="0"/>
        <v>70000</v>
      </c>
      <c r="F11" s="14">
        <f t="shared" si="1"/>
        <v>160000</v>
      </c>
    </row>
    <row r="12" spans="1:6" x14ac:dyDescent="0.35">
      <c r="A12" s="12" t="s">
        <v>36</v>
      </c>
      <c r="B12" s="1">
        <v>1342</v>
      </c>
      <c r="C12" s="1" t="s">
        <v>22</v>
      </c>
      <c r="D12" s="2">
        <v>10000</v>
      </c>
      <c r="E12" s="2">
        <f t="shared" si="0"/>
        <v>80000</v>
      </c>
      <c r="F12" s="14">
        <f t="shared" si="1"/>
        <v>150000</v>
      </c>
    </row>
    <row r="13" spans="1:6" x14ac:dyDescent="0.35">
      <c r="A13" s="12" t="s">
        <v>154</v>
      </c>
      <c r="B13" s="1">
        <v>612</v>
      </c>
      <c r="C13" s="1" t="s">
        <v>22</v>
      </c>
      <c r="D13" s="2">
        <v>10000</v>
      </c>
      <c r="E13" s="2">
        <f t="shared" si="0"/>
        <v>90000</v>
      </c>
      <c r="F13" s="14">
        <f t="shared" si="1"/>
        <v>140000</v>
      </c>
    </row>
    <row r="14" spans="1:6" x14ac:dyDescent="0.35">
      <c r="A14" s="13">
        <v>45205</v>
      </c>
      <c r="B14" s="1">
        <v>419</v>
      </c>
      <c r="C14" s="1" t="s">
        <v>22</v>
      </c>
      <c r="D14" s="2">
        <v>10000</v>
      </c>
      <c r="E14" s="2">
        <f t="shared" si="0"/>
        <v>100000</v>
      </c>
      <c r="F14" s="14">
        <f t="shared" si="1"/>
        <v>130000</v>
      </c>
    </row>
    <row r="15" spans="1:6" x14ac:dyDescent="0.35">
      <c r="A15" s="12" t="s">
        <v>155</v>
      </c>
      <c r="B15" s="1">
        <v>2789</v>
      </c>
      <c r="C15" s="1" t="s">
        <v>22</v>
      </c>
      <c r="D15" s="2">
        <v>10000</v>
      </c>
      <c r="E15" s="2">
        <f t="shared" si="0"/>
        <v>110000</v>
      </c>
      <c r="F15" s="14">
        <f t="shared" si="1"/>
        <v>120000</v>
      </c>
    </row>
    <row r="16" spans="1:6" x14ac:dyDescent="0.35">
      <c r="A16" s="12" t="s">
        <v>156</v>
      </c>
      <c r="B16" s="1">
        <v>2440</v>
      </c>
      <c r="C16" s="1" t="s">
        <v>22</v>
      </c>
      <c r="D16" s="2">
        <v>10000</v>
      </c>
      <c r="E16" s="2">
        <f t="shared" si="0"/>
        <v>120000</v>
      </c>
      <c r="F16" s="14">
        <f t="shared" si="1"/>
        <v>110000</v>
      </c>
    </row>
    <row r="17" spans="1:6" x14ac:dyDescent="0.35">
      <c r="A17" s="12" t="s">
        <v>15</v>
      </c>
      <c r="B17" s="1">
        <v>3687</v>
      </c>
      <c r="C17" s="1" t="s">
        <v>22</v>
      </c>
      <c r="D17" s="2">
        <v>10000</v>
      </c>
      <c r="E17" s="2">
        <f t="shared" si="0"/>
        <v>130000</v>
      </c>
      <c r="F17" s="14">
        <f t="shared" si="1"/>
        <v>100000</v>
      </c>
    </row>
    <row r="18" spans="1:6" x14ac:dyDescent="0.35">
      <c r="A18" s="13">
        <v>45117</v>
      </c>
      <c r="B18" s="1">
        <v>4061</v>
      </c>
      <c r="C18" s="1" t="s">
        <v>22</v>
      </c>
      <c r="D18" s="2">
        <v>10000</v>
      </c>
      <c r="E18" s="2">
        <f t="shared" si="0"/>
        <v>140000</v>
      </c>
      <c r="F18" s="14">
        <f t="shared" si="1"/>
        <v>90000</v>
      </c>
    </row>
    <row r="19" spans="1:6" x14ac:dyDescent="0.35">
      <c r="A19" s="13">
        <v>45241</v>
      </c>
      <c r="B19" s="1">
        <v>4797</v>
      </c>
      <c r="C19" s="1" t="s">
        <v>22</v>
      </c>
      <c r="D19" s="2">
        <v>10000</v>
      </c>
      <c r="E19" s="2">
        <f t="shared" si="0"/>
        <v>150000</v>
      </c>
      <c r="F19" s="14">
        <f t="shared" si="1"/>
        <v>80000</v>
      </c>
    </row>
    <row r="20" spans="1:6" x14ac:dyDescent="0.35">
      <c r="A20" s="13">
        <v>45180</v>
      </c>
      <c r="B20" s="1">
        <v>5392</v>
      </c>
      <c r="C20" s="1" t="s">
        <v>22</v>
      </c>
      <c r="D20" s="2">
        <v>10000</v>
      </c>
      <c r="E20" s="2">
        <f t="shared" si="0"/>
        <v>160000</v>
      </c>
      <c r="F20" s="14">
        <f t="shared" si="1"/>
        <v>70000</v>
      </c>
    </row>
    <row r="21" spans="1:6" x14ac:dyDescent="0.35">
      <c r="A21" s="13">
        <v>45444</v>
      </c>
      <c r="B21" s="1">
        <v>5927</v>
      </c>
      <c r="C21" s="1" t="s">
        <v>22</v>
      </c>
      <c r="D21" s="2">
        <v>10000</v>
      </c>
      <c r="E21" s="2">
        <f t="shared" si="0"/>
        <v>170000</v>
      </c>
      <c r="F21" s="14">
        <f t="shared" si="1"/>
        <v>60000</v>
      </c>
    </row>
    <row r="22" spans="1:6" x14ac:dyDescent="0.35">
      <c r="A22" s="13">
        <v>45567</v>
      </c>
      <c r="B22" s="1">
        <v>7027</v>
      </c>
      <c r="C22" s="1" t="s">
        <v>22</v>
      </c>
      <c r="D22" s="2">
        <v>10000</v>
      </c>
      <c r="E22" s="2">
        <f t="shared" si="0"/>
        <v>180000</v>
      </c>
      <c r="F22" s="14">
        <f t="shared" si="1"/>
        <v>50000</v>
      </c>
    </row>
    <row r="23" spans="1:6" x14ac:dyDescent="0.35">
      <c r="A23" s="13">
        <v>45568</v>
      </c>
      <c r="B23" s="1">
        <v>7249</v>
      </c>
      <c r="C23" s="1" t="s">
        <v>22</v>
      </c>
      <c r="D23" s="2">
        <v>10000</v>
      </c>
      <c r="E23" s="2">
        <f t="shared" si="0"/>
        <v>190000</v>
      </c>
      <c r="F23" s="14">
        <f t="shared" si="1"/>
        <v>40000</v>
      </c>
    </row>
    <row r="24" spans="1:6" x14ac:dyDescent="0.35">
      <c r="A24" s="13">
        <v>45508</v>
      </c>
      <c r="B24" s="1">
        <v>7762</v>
      </c>
      <c r="C24" s="1" t="s">
        <v>22</v>
      </c>
      <c r="D24" s="2">
        <v>10000</v>
      </c>
      <c r="E24" s="2">
        <f t="shared" si="0"/>
        <v>200000</v>
      </c>
      <c r="F24" s="14">
        <f t="shared" si="1"/>
        <v>30000</v>
      </c>
    </row>
    <row r="25" spans="1:6" x14ac:dyDescent="0.35">
      <c r="A25" s="13">
        <v>45601</v>
      </c>
      <c r="B25" s="1">
        <v>8403</v>
      </c>
      <c r="C25" s="1" t="s">
        <v>22</v>
      </c>
      <c r="D25" s="2">
        <v>10000</v>
      </c>
      <c r="E25" s="2">
        <f t="shared" si="0"/>
        <v>210000</v>
      </c>
      <c r="F25" s="14">
        <f t="shared" si="1"/>
        <v>20000</v>
      </c>
    </row>
    <row r="26" spans="1:6" x14ac:dyDescent="0.35">
      <c r="A26" s="13">
        <v>45602</v>
      </c>
      <c r="B26" s="1">
        <v>9021</v>
      </c>
      <c r="C26" s="1" t="s">
        <v>22</v>
      </c>
      <c r="D26" s="2">
        <v>10000</v>
      </c>
      <c r="E26" s="2">
        <f t="shared" si="0"/>
        <v>220000</v>
      </c>
      <c r="F26" s="14">
        <f t="shared" si="1"/>
        <v>10000</v>
      </c>
    </row>
    <row r="27" spans="1:6" x14ac:dyDescent="0.35">
      <c r="A27" s="35">
        <v>45511</v>
      </c>
      <c r="B27" s="18">
        <v>9453</v>
      </c>
      <c r="C27" s="18" t="s">
        <v>22</v>
      </c>
      <c r="D27" s="19">
        <v>10000</v>
      </c>
      <c r="E27" s="19">
        <f t="shared" si="0"/>
        <v>230000</v>
      </c>
      <c r="F27" s="20">
        <f t="shared" si="1"/>
        <v>0</v>
      </c>
    </row>
    <row r="29" spans="1:6" ht="18.5" x14ac:dyDescent="0.45">
      <c r="A29" s="4" t="s">
        <v>436</v>
      </c>
      <c r="B29" s="4"/>
      <c r="C29" s="4"/>
      <c r="D29" s="11"/>
      <c r="E29" s="11"/>
      <c r="F29" s="11"/>
    </row>
    <row r="30" spans="1:6" ht="18.5" x14ac:dyDescent="0.45">
      <c r="A30" s="47" t="s">
        <v>437</v>
      </c>
      <c r="B30" s="47">
        <v>791</v>
      </c>
      <c r="C30" s="47" t="s">
        <v>281</v>
      </c>
      <c r="D30" s="48">
        <v>5000</v>
      </c>
      <c r="E30" s="38">
        <v>5000</v>
      </c>
      <c r="F30" s="38">
        <v>445000</v>
      </c>
    </row>
    <row r="31" spans="1:6" x14ac:dyDescent="0.35">
      <c r="A31" s="25" t="s">
        <v>438</v>
      </c>
      <c r="B31" s="25">
        <v>676</v>
      </c>
      <c r="C31" s="25" t="s">
        <v>281</v>
      </c>
      <c r="D31" s="38">
        <v>5000</v>
      </c>
      <c r="E31" s="38">
        <f t="shared" ref="E31:E45" si="2">E30+D31</f>
        <v>10000</v>
      </c>
      <c r="F31" s="38">
        <f t="shared" ref="F31:F45" si="3">F30-D31</f>
        <v>440000</v>
      </c>
    </row>
    <row r="32" spans="1:6" x14ac:dyDescent="0.35">
      <c r="A32" s="25" t="s">
        <v>439</v>
      </c>
      <c r="B32" s="25">
        <v>3069</v>
      </c>
      <c r="C32" s="25" t="s">
        <v>281</v>
      </c>
      <c r="D32" s="38">
        <v>5000</v>
      </c>
      <c r="E32" s="38">
        <f t="shared" si="2"/>
        <v>15000</v>
      </c>
      <c r="F32" s="38">
        <f t="shared" si="3"/>
        <v>435000</v>
      </c>
    </row>
    <row r="33" spans="1:6" x14ac:dyDescent="0.35">
      <c r="A33" s="37">
        <v>45938</v>
      </c>
      <c r="B33" s="25">
        <v>3933</v>
      </c>
      <c r="C33" s="25" t="s">
        <v>281</v>
      </c>
      <c r="D33" s="38">
        <v>5000</v>
      </c>
      <c r="E33" s="38">
        <f t="shared" si="2"/>
        <v>20000</v>
      </c>
      <c r="F33" s="38">
        <f t="shared" si="3"/>
        <v>430000</v>
      </c>
    </row>
    <row r="34" spans="1:6" x14ac:dyDescent="0.35">
      <c r="A34" s="25" t="s">
        <v>440</v>
      </c>
      <c r="B34" s="25">
        <v>3528</v>
      </c>
      <c r="C34" s="25" t="s">
        <v>281</v>
      </c>
      <c r="D34" s="38">
        <v>5000</v>
      </c>
      <c r="E34" s="38">
        <f t="shared" si="2"/>
        <v>25000</v>
      </c>
      <c r="F34" s="38">
        <f t="shared" si="3"/>
        <v>425000</v>
      </c>
    </row>
    <row r="35" spans="1:6" x14ac:dyDescent="0.35">
      <c r="A35" s="37">
        <v>45698</v>
      </c>
      <c r="B35" s="25">
        <v>3302</v>
      </c>
      <c r="C35" s="25" t="s">
        <v>281</v>
      </c>
      <c r="D35" s="38">
        <v>5000</v>
      </c>
      <c r="E35" s="38">
        <f t="shared" si="2"/>
        <v>30000</v>
      </c>
      <c r="F35" s="38">
        <f t="shared" si="3"/>
        <v>420000</v>
      </c>
    </row>
    <row r="36" spans="1:6" x14ac:dyDescent="0.35">
      <c r="A36" s="37">
        <v>45911</v>
      </c>
      <c r="B36" s="25">
        <v>3670</v>
      </c>
      <c r="C36" s="25" t="s">
        <v>281</v>
      </c>
      <c r="D36" s="38">
        <v>5000</v>
      </c>
      <c r="E36" s="38">
        <f t="shared" si="2"/>
        <v>35000</v>
      </c>
      <c r="F36" s="38">
        <f t="shared" si="3"/>
        <v>415000</v>
      </c>
    </row>
    <row r="37" spans="1:6" x14ac:dyDescent="0.35">
      <c r="A37" s="25" t="s">
        <v>441</v>
      </c>
      <c r="B37" s="25">
        <v>5075</v>
      </c>
      <c r="C37" s="25" t="s">
        <v>281</v>
      </c>
      <c r="D37" s="38">
        <v>5000</v>
      </c>
      <c r="E37" s="38">
        <f t="shared" si="2"/>
        <v>40000</v>
      </c>
      <c r="F37" s="38">
        <f t="shared" si="3"/>
        <v>410000</v>
      </c>
    </row>
    <row r="38" spans="1:6" x14ac:dyDescent="0.35">
      <c r="A38" s="37">
        <v>46327</v>
      </c>
      <c r="B38" s="25">
        <v>5269</v>
      </c>
      <c r="C38" s="25" t="s">
        <v>281</v>
      </c>
      <c r="D38" s="38">
        <v>5000</v>
      </c>
      <c r="E38" s="38">
        <f t="shared" si="2"/>
        <v>45000</v>
      </c>
      <c r="F38" s="38">
        <f t="shared" si="3"/>
        <v>405000</v>
      </c>
    </row>
    <row r="39" spans="1:6" x14ac:dyDescent="0.35">
      <c r="A39" s="25" t="s">
        <v>442</v>
      </c>
      <c r="B39" s="25">
        <v>5514</v>
      </c>
      <c r="C39" s="25" t="s">
        <v>281</v>
      </c>
      <c r="D39" s="38">
        <v>5000</v>
      </c>
      <c r="E39" s="38">
        <f t="shared" si="2"/>
        <v>50000</v>
      </c>
      <c r="F39" s="38">
        <f t="shared" si="3"/>
        <v>400000</v>
      </c>
    </row>
    <row r="40" spans="1:6" x14ac:dyDescent="0.35">
      <c r="A40" s="37">
        <v>46329</v>
      </c>
      <c r="B40" s="25">
        <v>5704</v>
      </c>
      <c r="C40" s="25" t="s">
        <v>281</v>
      </c>
      <c r="D40" s="38">
        <v>5000</v>
      </c>
      <c r="E40" s="38">
        <f t="shared" si="2"/>
        <v>55000</v>
      </c>
      <c r="F40" s="38">
        <f t="shared" si="3"/>
        <v>395000</v>
      </c>
    </row>
    <row r="41" spans="1:6" x14ac:dyDescent="0.35">
      <c r="A41" s="37">
        <v>46116</v>
      </c>
      <c r="B41" s="25">
        <v>5830</v>
      </c>
      <c r="C41" s="25" t="s">
        <v>281</v>
      </c>
      <c r="D41" s="38">
        <v>5000</v>
      </c>
      <c r="E41" s="38">
        <f t="shared" si="2"/>
        <v>60000</v>
      </c>
      <c r="F41" s="38">
        <f t="shared" si="3"/>
        <v>390000</v>
      </c>
    </row>
    <row r="42" spans="1:6" x14ac:dyDescent="0.35">
      <c r="A42" s="37">
        <v>46270</v>
      </c>
      <c r="B42" s="25">
        <v>1411</v>
      </c>
      <c r="C42" s="25" t="s">
        <v>281</v>
      </c>
      <c r="D42" s="38">
        <v>5000</v>
      </c>
      <c r="E42" s="38">
        <f t="shared" si="2"/>
        <v>65000</v>
      </c>
      <c r="F42" s="38">
        <f t="shared" si="3"/>
        <v>385000</v>
      </c>
    </row>
    <row r="43" spans="1:6" x14ac:dyDescent="0.35">
      <c r="A43" s="25" t="s">
        <v>443</v>
      </c>
      <c r="B43" s="25">
        <v>1648</v>
      </c>
      <c r="C43" s="25" t="s">
        <v>281</v>
      </c>
      <c r="D43" s="38">
        <v>5000</v>
      </c>
      <c r="E43" s="38">
        <f t="shared" si="2"/>
        <v>70000</v>
      </c>
      <c r="F43" s="38">
        <f t="shared" si="3"/>
        <v>380000</v>
      </c>
    </row>
    <row r="44" spans="1:6" x14ac:dyDescent="0.35">
      <c r="A44" s="37">
        <v>46333</v>
      </c>
      <c r="B44" s="25">
        <v>1807</v>
      </c>
      <c r="C44" s="25" t="s">
        <v>281</v>
      </c>
      <c r="D44" s="38">
        <v>5000</v>
      </c>
      <c r="E44" s="38">
        <f t="shared" si="2"/>
        <v>75000</v>
      </c>
      <c r="F44" s="38">
        <f t="shared" si="3"/>
        <v>375000</v>
      </c>
    </row>
    <row r="45" spans="1:6" x14ac:dyDescent="0.35">
      <c r="A45" s="37">
        <v>46273</v>
      </c>
      <c r="B45" s="25">
        <v>3750</v>
      </c>
      <c r="C45" s="25" t="s">
        <v>281</v>
      </c>
      <c r="D45" s="38">
        <v>5000</v>
      </c>
      <c r="E45" s="38">
        <f t="shared" si="2"/>
        <v>80000</v>
      </c>
      <c r="F45" s="38">
        <f t="shared" si="3"/>
        <v>370000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B11" sqref="B11"/>
    </sheetView>
  </sheetViews>
  <sheetFormatPr defaultRowHeight="14.5" x14ac:dyDescent="0.35"/>
  <cols>
    <col min="5" max="5" width="9.26953125" bestFit="1" customWidth="1"/>
    <col min="7" max="7" width="11.36328125" bestFit="1" customWidth="1"/>
    <col min="8" max="8" width="13.08984375" bestFit="1" customWidth="1"/>
  </cols>
  <sheetData>
    <row r="1" spans="1:8" x14ac:dyDescent="0.35">
      <c r="A1" t="s">
        <v>349</v>
      </c>
      <c r="B1" t="s">
        <v>415</v>
      </c>
    </row>
    <row r="2" spans="1:8" x14ac:dyDescent="0.35">
      <c r="A2" t="s">
        <v>350</v>
      </c>
      <c r="B2" t="s">
        <v>416</v>
      </c>
      <c r="G2" s="5" t="s">
        <v>422</v>
      </c>
      <c r="H2" s="5" t="s">
        <v>423</v>
      </c>
    </row>
    <row r="3" spans="1:8" x14ac:dyDescent="0.35">
      <c r="A3" t="s">
        <v>353</v>
      </c>
      <c r="B3" t="s">
        <v>417</v>
      </c>
      <c r="G3" s="5" t="s">
        <v>424</v>
      </c>
      <c r="H3" s="44">
        <v>50000</v>
      </c>
    </row>
    <row r="4" spans="1:8" x14ac:dyDescent="0.35">
      <c r="A4" t="s">
        <v>379</v>
      </c>
      <c r="B4" t="s">
        <v>418</v>
      </c>
    </row>
    <row r="5" spans="1:8" x14ac:dyDescent="0.35">
      <c r="A5" t="s">
        <v>377</v>
      </c>
      <c r="B5" t="s">
        <v>419</v>
      </c>
    </row>
    <row r="6" spans="1:8" ht="18.5" x14ac:dyDescent="0.45">
      <c r="A6" t="s">
        <v>354</v>
      </c>
      <c r="B6">
        <v>5861</v>
      </c>
      <c r="E6" s="45">
        <v>850000</v>
      </c>
    </row>
    <row r="8" spans="1:8" x14ac:dyDescent="0.35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</row>
    <row r="9" spans="1:8" x14ac:dyDescent="0.35">
      <c r="A9" t="s">
        <v>420</v>
      </c>
      <c r="B9">
        <v>1556</v>
      </c>
      <c r="C9" t="s">
        <v>421</v>
      </c>
      <c r="D9" s="9">
        <v>150000</v>
      </c>
      <c r="E9" s="9">
        <v>150000</v>
      </c>
      <c r="F9" s="9">
        <v>700000</v>
      </c>
    </row>
    <row r="10" spans="1:8" x14ac:dyDescent="0.35">
      <c r="A10" t="s">
        <v>463</v>
      </c>
      <c r="B10">
        <v>1845</v>
      </c>
      <c r="C10" t="s">
        <v>489</v>
      </c>
      <c r="D10" s="9">
        <v>10000</v>
      </c>
      <c r="E10" s="9">
        <v>160000</v>
      </c>
      <c r="F10" s="9">
        <v>690000</v>
      </c>
    </row>
    <row r="11" spans="1:8" x14ac:dyDescent="0.35">
      <c r="A11" t="s">
        <v>488</v>
      </c>
      <c r="B11">
        <v>2100</v>
      </c>
      <c r="C11" t="s">
        <v>489</v>
      </c>
      <c r="D11" s="9">
        <v>10000</v>
      </c>
      <c r="E11" s="9">
        <v>170000</v>
      </c>
      <c r="F11" s="9">
        <v>680000</v>
      </c>
    </row>
  </sheetData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activeCell="B11" sqref="B11"/>
    </sheetView>
  </sheetViews>
  <sheetFormatPr defaultRowHeight="14.5" x14ac:dyDescent="0.35"/>
  <cols>
    <col min="1" max="1" width="20.36328125" customWidth="1"/>
    <col min="5" max="5" width="9.26953125" bestFit="1" customWidth="1"/>
    <col min="7" max="7" width="11.36328125" bestFit="1" customWidth="1"/>
    <col min="8" max="8" width="13.08984375" bestFit="1" customWidth="1"/>
  </cols>
  <sheetData>
    <row r="1" spans="1:8" ht="21" x14ac:dyDescent="0.5">
      <c r="A1" s="42" t="s">
        <v>349</v>
      </c>
      <c r="B1" t="s">
        <v>426</v>
      </c>
    </row>
    <row r="2" spans="1:8" ht="21" x14ac:dyDescent="0.5">
      <c r="A2" s="42" t="s">
        <v>350</v>
      </c>
      <c r="B2" t="s">
        <v>427</v>
      </c>
      <c r="G2" s="5" t="s">
        <v>422</v>
      </c>
      <c r="H2" s="5" t="s">
        <v>423</v>
      </c>
    </row>
    <row r="3" spans="1:8" ht="21" x14ac:dyDescent="0.5">
      <c r="A3" s="42" t="s">
        <v>353</v>
      </c>
      <c r="B3" t="s">
        <v>417</v>
      </c>
      <c r="G3" s="5" t="s">
        <v>424</v>
      </c>
      <c r="H3" s="44">
        <v>50000</v>
      </c>
    </row>
    <row r="4" spans="1:8" ht="21" x14ac:dyDescent="0.5">
      <c r="A4" s="42" t="s">
        <v>379</v>
      </c>
      <c r="B4" t="s">
        <v>428</v>
      </c>
    </row>
    <row r="5" spans="1:8" ht="21" x14ac:dyDescent="0.5">
      <c r="A5" s="42" t="s">
        <v>425</v>
      </c>
      <c r="B5" t="s">
        <v>429</v>
      </c>
    </row>
    <row r="6" spans="1:8" ht="21" x14ac:dyDescent="0.5">
      <c r="A6" s="42" t="s">
        <v>354</v>
      </c>
      <c r="B6">
        <v>5862</v>
      </c>
      <c r="E6" s="45">
        <v>850000</v>
      </c>
    </row>
    <row r="8" spans="1:8" x14ac:dyDescent="0.35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</row>
    <row r="9" spans="1:8" x14ac:dyDescent="0.35">
      <c r="A9" t="s">
        <v>420</v>
      </c>
      <c r="B9">
        <v>1555</v>
      </c>
      <c r="C9" t="s">
        <v>421</v>
      </c>
      <c r="D9" s="9">
        <v>150000</v>
      </c>
      <c r="E9" s="9">
        <v>150000</v>
      </c>
      <c r="F9" s="9">
        <v>700000</v>
      </c>
    </row>
    <row r="10" spans="1:8" x14ac:dyDescent="0.35">
      <c r="A10" t="s">
        <v>463</v>
      </c>
      <c r="B10">
        <v>1844</v>
      </c>
      <c r="C10" t="s">
        <v>489</v>
      </c>
      <c r="D10" s="9">
        <v>10000</v>
      </c>
      <c r="E10" s="9">
        <v>160000</v>
      </c>
      <c r="F10" s="9">
        <v>690000</v>
      </c>
    </row>
    <row r="11" spans="1:8" x14ac:dyDescent="0.35">
      <c r="A11" t="s">
        <v>488</v>
      </c>
      <c r="B11">
        <v>2009</v>
      </c>
      <c r="C11" t="s">
        <v>489</v>
      </c>
      <c r="D11" s="9">
        <v>10000</v>
      </c>
      <c r="E11" s="9">
        <v>170000</v>
      </c>
      <c r="F11" s="9">
        <v>680000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D57" sqref="D57"/>
    </sheetView>
  </sheetViews>
  <sheetFormatPr defaultRowHeight="14.5" x14ac:dyDescent="0.35"/>
  <cols>
    <col min="1" max="1" width="10.453125" bestFit="1" customWidth="1"/>
    <col min="3" max="3" width="13" customWidth="1"/>
    <col min="4" max="4" width="10.36328125" customWidth="1"/>
    <col min="5" max="5" width="9.90625" customWidth="1"/>
    <col min="6" max="6" width="12.08984375" customWidth="1"/>
  </cols>
  <sheetData>
    <row r="1" spans="1:6" ht="18.5" x14ac:dyDescent="0.45">
      <c r="A1" s="4" t="s">
        <v>164</v>
      </c>
      <c r="B1" s="4"/>
      <c r="C1" s="4"/>
      <c r="D1" s="5"/>
      <c r="E1" s="4"/>
      <c r="F1" s="4"/>
    </row>
    <row r="2" spans="1:6" ht="18.5" x14ac:dyDescent="0.45">
      <c r="A2" s="4" t="s">
        <v>165</v>
      </c>
      <c r="B2" s="4"/>
      <c r="C2" s="4"/>
      <c r="D2" s="5"/>
      <c r="E2" s="4"/>
      <c r="F2" s="4"/>
    </row>
    <row r="3" spans="1:6" ht="18.5" x14ac:dyDescent="0.45">
      <c r="A3" s="4" t="s">
        <v>166</v>
      </c>
      <c r="B3" s="4"/>
      <c r="C3" s="4"/>
      <c r="D3" s="5"/>
      <c r="E3" s="4"/>
      <c r="F3" s="4"/>
    </row>
    <row r="4" spans="1:6" ht="18.5" x14ac:dyDescent="0.45">
      <c r="A4" s="4" t="s">
        <v>299</v>
      </c>
      <c r="B4" s="4"/>
      <c r="C4" s="4"/>
      <c r="D4" s="5"/>
      <c r="E4" s="4"/>
      <c r="F4" s="4"/>
    </row>
    <row r="5" spans="1:6" ht="18.5" x14ac:dyDescent="0.45">
      <c r="A5" s="4" t="s">
        <v>167</v>
      </c>
      <c r="B5" s="4"/>
      <c r="C5" s="4"/>
      <c r="D5" s="5"/>
      <c r="E5" s="4"/>
      <c r="F5" s="4"/>
    </row>
    <row r="6" spans="1:6" ht="18.5" x14ac:dyDescent="0.45">
      <c r="A6" s="4" t="s">
        <v>168</v>
      </c>
      <c r="B6" s="4"/>
      <c r="C6" s="4"/>
      <c r="D6" s="4" t="s">
        <v>162</v>
      </c>
      <c r="E6" s="4"/>
      <c r="F6" s="4"/>
    </row>
    <row r="7" spans="1:6" x14ac:dyDescent="0.35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</row>
    <row r="8" spans="1:6" x14ac:dyDescent="0.35">
      <c r="A8" s="1" t="s">
        <v>163</v>
      </c>
      <c r="B8" s="1">
        <v>1093</v>
      </c>
      <c r="C8" s="1" t="s">
        <v>110</v>
      </c>
      <c r="D8" s="2">
        <v>265000</v>
      </c>
      <c r="E8" s="2">
        <v>265000</v>
      </c>
      <c r="F8" s="2">
        <v>135000</v>
      </c>
    </row>
    <row r="9" spans="1:6" x14ac:dyDescent="0.35">
      <c r="A9" s="3">
        <v>45263</v>
      </c>
      <c r="B9" s="1">
        <v>2187</v>
      </c>
      <c r="C9" s="1" t="s">
        <v>22</v>
      </c>
      <c r="D9" s="2">
        <v>10000</v>
      </c>
      <c r="E9" s="2">
        <f>SUM(E8+D9)</f>
        <v>275000</v>
      </c>
      <c r="F9" s="2">
        <f>F8-D9</f>
        <v>125000</v>
      </c>
    </row>
    <row r="10" spans="1:6" x14ac:dyDescent="0.35">
      <c r="A10" s="3">
        <v>45203</v>
      </c>
      <c r="B10" s="1">
        <v>1090</v>
      </c>
      <c r="C10" s="1" t="s">
        <v>22</v>
      </c>
      <c r="D10" s="2">
        <v>10000</v>
      </c>
      <c r="E10" s="2">
        <f t="shared" ref="E10:E22" si="0">SUM(E9+D10)</f>
        <v>285000</v>
      </c>
      <c r="F10" s="2">
        <f t="shared" ref="F10:F22" si="1">F9-D10</f>
        <v>115000</v>
      </c>
    </row>
    <row r="11" spans="1:6" x14ac:dyDescent="0.35">
      <c r="A11" s="3">
        <v>45236</v>
      </c>
      <c r="B11" s="1">
        <v>445</v>
      </c>
      <c r="C11" s="1" t="s">
        <v>22</v>
      </c>
      <c r="D11" s="2">
        <v>10000</v>
      </c>
      <c r="E11" s="2">
        <f t="shared" si="0"/>
        <v>295000</v>
      </c>
      <c r="F11" s="2">
        <f t="shared" si="1"/>
        <v>105000</v>
      </c>
    </row>
    <row r="12" spans="1:6" x14ac:dyDescent="0.35">
      <c r="A12" s="1" t="s">
        <v>11</v>
      </c>
      <c r="B12" s="1">
        <v>1556</v>
      </c>
      <c r="C12" s="1" t="s">
        <v>22</v>
      </c>
      <c r="D12" s="2">
        <v>10000</v>
      </c>
      <c r="E12" s="2">
        <f t="shared" si="0"/>
        <v>305000</v>
      </c>
      <c r="F12" s="2">
        <f t="shared" si="1"/>
        <v>95000</v>
      </c>
    </row>
    <row r="13" spans="1:6" x14ac:dyDescent="0.35">
      <c r="A13" s="3">
        <v>45176</v>
      </c>
      <c r="B13" s="1">
        <v>2608</v>
      </c>
      <c r="C13" s="1" t="s">
        <v>22</v>
      </c>
      <c r="D13" s="2">
        <v>10000</v>
      </c>
      <c r="E13" s="2">
        <f t="shared" si="0"/>
        <v>315000</v>
      </c>
      <c r="F13" s="2">
        <f t="shared" si="1"/>
        <v>85000</v>
      </c>
    </row>
    <row r="14" spans="1:6" x14ac:dyDescent="0.35">
      <c r="A14" s="1" t="s">
        <v>14</v>
      </c>
      <c r="B14" s="1">
        <v>2404</v>
      </c>
      <c r="C14" s="1" t="s">
        <v>22</v>
      </c>
      <c r="D14" s="2">
        <v>10000</v>
      </c>
      <c r="E14" s="2">
        <f t="shared" si="0"/>
        <v>325000</v>
      </c>
      <c r="F14" s="2">
        <f t="shared" si="1"/>
        <v>75000</v>
      </c>
    </row>
    <row r="15" spans="1:6" x14ac:dyDescent="0.35">
      <c r="A15" s="3">
        <v>45208</v>
      </c>
      <c r="B15" s="1">
        <v>3496</v>
      </c>
      <c r="C15" s="1" t="s">
        <v>22</v>
      </c>
      <c r="D15" s="2">
        <v>10000</v>
      </c>
      <c r="E15" s="2">
        <f t="shared" si="0"/>
        <v>335000</v>
      </c>
      <c r="F15" s="2">
        <f t="shared" si="1"/>
        <v>65000</v>
      </c>
    </row>
    <row r="16" spans="1:6" x14ac:dyDescent="0.35">
      <c r="A16" s="3">
        <v>45148</v>
      </c>
      <c r="B16" s="1">
        <v>4077</v>
      </c>
      <c r="C16" s="1" t="s">
        <v>22</v>
      </c>
      <c r="D16" s="2">
        <v>10000</v>
      </c>
      <c r="E16" s="2">
        <f t="shared" si="0"/>
        <v>345000</v>
      </c>
      <c r="F16" s="2">
        <f t="shared" si="1"/>
        <v>55000</v>
      </c>
    </row>
    <row r="17" spans="1:6" x14ac:dyDescent="0.35">
      <c r="A17" s="3">
        <v>45057</v>
      </c>
      <c r="B17" s="1">
        <v>4631</v>
      </c>
      <c r="C17" s="1" t="s">
        <v>22</v>
      </c>
      <c r="D17" s="2">
        <v>10000</v>
      </c>
      <c r="E17" s="2">
        <f t="shared" si="0"/>
        <v>355000</v>
      </c>
      <c r="F17" s="2">
        <f t="shared" si="1"/>
        <v>45000</v>
      </c>
    </row>
    <row r="18" spans="1:6" x14ac:dyDescent="0.35">
      <c r="A18" s="3">
        <v>45211</v>
      </c>
      <c r="B18" s="1">
        <v>5406</v>
      </c>
      <c r="C18" s="1" t="s">
        <v>22</v>
      </c>
      <c r="D18" s="2">
        <v>10000</v>
      </c>
      <c r="E18" s="2">
        <f t="shared" si="0"/>
        <v>365000</v>
      </c>
      <c r="F18" s="2">
        <f t="shared" si="1"/>
        <v>35000</v>
      </c>
    </row>
    <row r="19" spans="1:6" x14ac:dyDescent="0.35">
      <c r="A19" s="3">
        <v>45474</v>
      </c>
      <c r="B19" s="1">
        <v>5949</v>
      </c>
      <c r="C19" s="1" t="s">
        <v>22</v>
      </c>
      <c r="D19" s="2">
        <v>10000</v>
      </c>
      <c r="E19" s="2">
        <f t="shared" si="0"/>
        <v>375000</v>
      </c>
      <c r="F19" s="2">
        <f t="shared" si="1"/>
        <v>25000</v>
      </c>
    </row>
    <row r="20" spans="1:6" x14ac:dyDescent="0.35">
      <c r="A20" s="3">
        <v>45414</v>
      </c>
      <c r="B20" s="1">
        <v>6537</v>
      </c>
      <c r="C20" s="1" t="s">
        <v>22</v>
      </c>
      <c r="D20" s="2">
        <v>10000</v>
      </c>
      <c r="E20" s="2">
        <f t="shared" si="0"/>
        <v>385000</v>
      </c>
      <c r="F20" s="2">
        <f t="shared" si="1"/>
        <v>15000</v>
      </c>
    </row>
    <row r="21" spans="1:6" x14ac:dyDescent="0.35">
      <c r="A21" s="3">
        <v>45354</v>
      </c>
      <c r="B21" s="1">
        <v>6870</v>
      </c>
      <c r="C21" s="1" t="s">
        <v>22</v>
      </c>
      <c r="D21" s="2">
        <v>10000</v>
      </c>
      <c r="E21" s="2">
        <f t="shared" si="0"/>
        <v>395000</v>
      </c>
      <c r="F21" s="2">
        <f t="shared" si="1"/>
        <v>5000</v>
      </c>
    </row>
    <row r="22" spans="1:6" x14ac:dyDescent="0.35">
      <c r="A22" s="3">
        <v>45355</v>
      </c>
      <c r="B22" s="1">
        <v>7663</v>
      </c>
      <c r="C22" s="1" t="s">
        <v>22</v>
      </c>
      <c r="D22" s="2">
        <v>5000</v>
      </c>
      <c r="E22" s="2">
        <f t="shared" si="0"/>
        <v>400000</v>
      </c>
      <c r="F22" s="2">
        <f t="shared" si="1"/>
        <v>0</v>
      </c>
    </row>
    <row r="24" spans="1:6" ht="18.5" x14ac:dyDescent="0.45">
      <c r="A24" s="4" t="s">
        <v>221</v>
      </c>
      <c r="B24" s="4"/>
      <c r="C24" s="4"/>
    </row>
    <row r="25" spans="1:6" x14ac:dyDescent="0.35">
      <c r="A25" s="36" t="s">
        <v>449</v>
      </c>
      <c r="B25" s="36" t="s">
        <v>444</v>
      </c>
      <c r="C25" s="7" t="s">
        <v>445</v>
      </c>
      <c r="D25" s="36" t="s">
        <v>446</v>
      </c>
      <c r="E25" s="36" t="s">
        <v>447</v>
      </c>
      <c r="F25" s="36" t="s">
        <v>448</v>
      </c>
    </row>
    <row r="26" spans="1:6" x14ac:dyDescent="0.35">
      <c r="A26" s="37">
        <v>45417</v>
      </c>
      <c r="B26" s="25">
        <v>260</v>
      </c>
      <c r="C26" s="1" t="s">
        <v>406</v>
      </c>
      <c r="D26" s="38">
        <v>25000</v>
      </c>
      <c r="E26" s="38">
        <v>25000</v>
      </c>
      <c r="F26" s="38">
        <v>425000</v>
      </c>
    </row>
    <row r="27" spans="1:6" x14ac:dyDescent="0.35">
      <c r="A27" s="37">
        <v>45541</v>
      </c>
      <c r="B27" s="25">
        <v>38</v>
      </c>
      <c r="C27" s="1" t="s">
        <v>406</v>
      </c>
      <c r="D27" s="38">
        <v>25000</v>
      </c>
      <c r="E27" s="38">
        <f t="shared" ref="E27:E52" si="2">E26+D27</f>
        <v>50000</v>
      </c>
      <c r="F27" s="38">
        <f t="shared" ref="F27:F52" si="3">F26-D27</f>
        <v>400000</v>
      </c>
    </row>
    <row r="28" spans="1:6" x14ac:dyDescent="0.35">
      <c r="A28" s="37">
        <v>45480</v>
      </c>
      <c r="B28" s="25">
        <v>90</v>
      </c>
      <c r="C28" s="1" t="s">
        <v>406</v>
      </c>
      <c r="D28" s="38">
        <v>10000</v>
      </c>
      <c r="E28" s="38">
        <f t="shared" si="2"/>
        <v>60000</v>
      </c>
      <c r="F28" s="38">
        <f t="shared" si="3"/>
        <v>390000</v>
      </c>
    </row>
    <row r="29" spans="1:6" x14ac:dyDescent="0.35">
      <c r="A29" s="37">
        <v>45390</v>
      </c>
      <c r="B29" s="25">
        <v>132</v>
      </c>
      <c r="C29" s="1" t="s">
        <v>406</v>
      </c>
      <c r="D29" s="38">
        <v>10000</v>
      </c>
      <c r="E29" s="38">
        <f t="shared" si="2"/>
        <v>70000</v>
      </c>
      <c r="F29" s="38">
        <f t="shared" si="3"/>
        <v>380000</v>
      </c>
    </row>
    <row r="30" spans="1:6" x14ac:dyDescent="0.35">
      <c r="A30" s="37">
        <v>45513</v>
      </c>
      <c r="B30" s="25">
        <v>1058</v>
      </c>
      <c r="C30" s="1" t="s">
        <v>406</v>
      </c>
      <c r="D30" s="38">
        <v>10000</v>
      </c>
      <c r="E30" s="38">
        <f t="shared" si="2"/>
        <v>80000</v>
      </c>
      <c r="F30" s="38">
        <f t="shared" si="3"/>
        <v>370000</v>
      </c>
    </row>
    <row r="31" spans="1:6" x14ac:dyDescent="0.35">
      <c r="A31" s="37">
        <v>45453</v>
      </c>
      <c r="B31" s="25">
        <v>5878</v>
      </c>
      <c r="C31" s="1" t="s">
        <v>406</v>
      </c>
      <c r="D31" s="38">
        <v>10000</v>
      </c>
      <c r="E31" s="38">
        <f t="shared" si="2"/>
        <v>90000</v>
      </c>
      <c r="F31" s="38">
        <f t="shared" si="3"/>
        <v>360000</v>
      </c>
    </row>
    <row r="32" spans="1:6" x14ac:dyDescent="0.35">
      <c r="A32" s="37">
        <v>45362</v>
      </c>
      <c r="B32" s="25">
        <v>206</v>
      </c>
      <c r="C32" s="1" t="s">
        <v>406</v>
      </c>
      <c r="D32" s="38">
        <v>10000</v>
      </c>
      <c r="E32" s="38">
        <f t="shared" si="2"/>
        <v>100000</v>
      </c>
      <c r="F32" s="38">
        <f t="shared" si="3"/>
        <v>350000</v>
      </c>
    </row>
    <row r="33" spans="1:6" x14ac:dyDescent="0.35">
      <c r="A33" s="37">
        <v>45516</v>
      </c>
      <c r="B33" s="25">
        <v>288</v>
      </c>
      <c r="C33" s="1" t="s">
        <v>406</v>
      </c>
      <c r="D33" s="38">
        <v>10000</v>
      </c>
      <c r="E33" s="38">
        <f t="shared" si="2"/>
        <v>110000</v>
      </c>
      <c r="F33" s="38">
        <f t="shared" si="3"/>
        <v>340000</v>
      </c>
    </row>
    <row r="34" spans="1:6" x14ac:dyDescent="0.35">
      <c r="A34" s="37">
        <v>45778</v>
      </c>
      <c r="B34" s="25">
        <v>544</v>
      </c>
      <c r="C34" s="1" t="s">
        <v>406</v>
      </c>
      <c r="D34" s="38">
        <v>10000</v>
      </c>
      <c r="E34" s="38">
        <f t="shared" si="2"/>
        <v>120000</v>
      </c>
      <c r="F34" s="38">
        <f t="shared" si="3"/>
        <v>330000</v>
      </c>
    </row>
    <row r="35" spans="1:6" x14ac:dyDescent="0.35">
      <c r="A35" s="37">
        <v>45690</v>
      </c>
      <c r="B35" s="25">
        <v>919</v>
      </c>
      <c r="C35" s="1" t="s">
        <v>406</v>
      </c>
      <c r="D35" s="38">
        <v>10000</v>
      </c>
      <c r="E35" s="38">
        <f t="shared" si="2"/>
        <v>130000</v>
      </c>
      <c r="F35" s="38">
        <f t="shared" si="3"/>
        <v>320000</v>
      </c>
    </row>
    <row r="36" spans="1:6" x14ac:dyDescent="0.35">
      <c r="A36" s="37">
        <v>45903</v>
      </c>
      <c r="B36" s="25">
        <v>993</v>
      </c>
      <c r="C36" s="1" t="s">
        <v>406</v>
      </c>
      <c r="D36" s="38">
        <v>10000</v>
      </c>
      <c r="E36" s="38">
        <f t="shared" si="2"/>
        <v>140000</v>
      </c>
      <c r="F36" s="38">
        <f t="shared" si="3"/>
        <v>310000</v>
      </c>
    </row>
    <row r="37" spans="1:6" x14ac:dyDescent="0.35">
      <c r="A37" s="37">
        <v>45812</v>
      </c>
      <c r="B37" s="25">
        <v>708</v>
      </c>
      <c r="C37" s="1" t="s">
        <v>406</v>
      </c>
      <c r="D37" s="38">
        <v>10000</v>
      </c>
      <c r="E37" s="38">
        <f t="shared" si="2"/>
        <v>150000</v>
      </c>
      <c r="F37" s="38">
        <f t="shared" si="3"/>
        <v>300000</v>
      </c>
    </row>
    <row r="38" spans="1:6" x14ac:dyDescent="0.35">
      <c r="A38" s="37">
        <v>45936</v>
      </c>
      <c r="B38" s="25">
        <v>647</v>
      </c>
      <c r="C38" s="1" t="s">
        <v>406</v>
      </c>
      <c r="D38" s="38">
        <v>20000</v>
      </c>
      <c r="E38" s="38">
        <f t="shared" si="2"/>
        <v>170000</v>
      </c>
      <c r="F38" s="38">
        <f t="shared" si="3"/>
        <v>280000</v>
      </c>
    </row>
    <row r="39" spans="1:6" x14ac:dyDescent="0.35">
      <c r="A39" s="25" t="s">
        <v>439</v>
      </c>
      <c r="B39" s="25">
        <v>3058</v>
      </c>
      <c r="C39" s="1" t="s">
        <v>406</v>
      </c>
      <c r="D39" s="38">
        <v>10000</v>
      </c>
      <c r="E39" s="38">
        <f t="shared" si="2"/>
        <v>180000</v>
      </c>
      <c r="F39" s="38">
        <f t="shared" si="3"/>
        <v>270000</v>
      </c>
    </row>
    <row r="40" spans="1:6" x14ac:dyDescent="0.35">
      <c r="A40" s="37">
        <v>45724</v>
      </c>
      <c r="B40" s="25">
        <v>12364</v>
      </c>
      <c r="C40" s="1" t="s">
        <v>406</v>
      </c>
      <c r="D40" s="38">
        <v>10000</v>
      </c>
      <c r="E40" s="38">
        <f t="shared" si="2"/>
        <v>190000</v>
      </c>
      <c r="F40" s="38">
        <f t="shared" si="3"/>
        <v>260000</v>
      </c>
    </row>
    <row r="41" spans="1:6" x14ac:dyDescent="0.35">
      <c r="A41" s="37">
        <v>45847</v>
      </c>
      <c r="B41" s="25">
        <v>3497</v>
      </c>
      <c r="C41" s="1" t="s">
        <v>406</v>
      </c>
      <c r="D41" s="38">
        <v>10000</v>
      </c>
      <c r="E41" s="38">
        <f t="shared" si="2"/>
        <v>200000</v>
      </c>
      <c r="F41" s="38">
        <f t="shared" si="3"/>
        <v>250000</v>
      </c>
    </row>
    <row r="42" spans="1:6" x14ac:dyDescent="0.35">
      <c r="A42" s="37">
        <v>45787</v>
      </c>
      <c r="B42" s="25">
        <v>3248</v>
      </c>
      <c r="C42" s="1" t="s">
        <v>406</v>
      </c>
      <c r="D42" s="38">
        <v>10000</v>
      </c>
      <c r="E42" s="38">
        <f t="shared" si="2"/>
        <v>210000</v>
      </c>
      <c r="F42" s="38">
        <f t="shared" si="3"/>
        <v>240000</v>
      </c>
    </row>
    <row r="43" spans="1:6" x14ac:dyDescent="0.35">
      <c r="A43" s="37">
        <v>45911</v>
      </c>
      <c r="B43" s="25">
        <v>3656</v>
      </c>
      <c r="C43" s="1" t="s">
        <v>406</v>
      </c>
      <c r="D43" s="38">
        <v>10000</v>
      </c>
      <c r="E43" s="38">
        <f t="shared" si="2"/>
        <v>220000</v>
      </c>
      <c r="F43" s="38">
        <f t="shared" si="3"/>
        <v>230000</v>
      </c>
    </row>
    <row r="44" spans="1:6" x14ac:dyDescent="0.35">
      <c r="A44" s="25" t="s">
        <v>450</v>
      </c>
      <c r="B44" s="25">
        <v>3892</v>
      </c>
      <c r="C44" s="1" t="s">
        <v>406</v>
      </c>
      <c r="D44" s="38">
        <v>10000</v>
      </c>
      <c r="E44" s="38">
        <f t="shared" si="2"/>
        <v>230000</v>
      </c>
      <c r="F44" s="38">
        <f t="shared" si="3"/>
        <v>220000</v>
      </c>
    </row>
    <row r="45" spans="1:6" x14ac:dyDescent="0.35">
      <c r="A45" s="37">
        <v>46113</v>
      </c>
      <c r="B45" s="25">
        <v>5207</v>
      </c>
      <c r="C45" s="1" t="s">
        <v>406</v>
      </c>
      <c r="D45" s="38">
        <v>10000</v>
      </c>
      <c r="E45" s="38">
        <f t="shared" si="2"/>
        <v>240000</v>
      </c>
      <c r="F45" s="38">
        <f t="shared" si="3"/>
        <v>210000</v>
      </c>
    </row>
    <row r="46" spans="1:6" x14ac:dyDescent="0.35">
      <c r="A46" s="37">
        <v>46236</v>
      </c>
      <c r="B46" s="25">
        <v>5453</v>
      </c>
      <c r="C46" s="1" t="s">
        <v>406</v>
      </c>
      <c r="D46" s="38">
        <v>10000</v>
      </c>
      <c r="E46" s="38">
        <f t="shared" si="2"/>
        <v>250000</v>
      </c>
      <c r="F46" s="38">
        <f t="shared" si="3"/>
        <v>200000</v>
      </c>
    </row>
    <row r="47" spans="1:6" x14ac:dyDescent="0.35">
      <c r="A47" s="37">
        <v>46237</v>
      </c>
      <c r="B47" s="25">
        <v>5667</v>
      </c>
      <c r="C47" s="1" t="s">
        <v>406</v>
      </c>
      <c r="D47" s="38">
        <v>10000</v>
      </c>
      <c r="E47" s="38">
        <f t="shared" si="2"/>
        <v>260000</v>
      </c>
      <c r="F47" s="38">
        <f t="shared" si="3"/>
        <v>190000</v>
      </c>
    </row>
    <row r="48" spans="1:6" x14ac:dyDescent="0.35">
      <c r="A48" s="37">
        <v>46146</v>
      </c>
      <c r="B48" s="25">
        <v>5834</v>
      </c>
      <c r="C48" s="1" t="s">
        <v>406</v>
      </c>
      <c r="D48" s="38">
        <v>10000</v>
      </c>
      <c r="E48" s="38">
        <f t="shared" si="2"/>
        <v>270000</v>
      </c>
      <c r="F48" s="38">
        <f t="shared" si="3"/>
        <v>180000</v>
      </c>
    </row>
    <row r="49" spans="1:6" x14ac:dyDescent="0.35">
      <c r="A49" s="37">
        <v>46086</v>
      </c>
      <c r="B49" s="25">
        <v>1362</v>
      </c>
      <c r="C49" s="1" t="s">
        <v>406</v>
      </c>
      <c r="D49" s="38">
        <v>10000</v>
      </c>
      <c r="E49" s="38">
        <f t="shared" si="2"/>
        <v>280000</v>
      </c>
      <c r="F49" s="38">
        <f t="shared" si="3"/>
        <v>170000</v>
      </c>
    </row>
    <row r="50" spans="1:6" x14ac:dyDescent="0.35">
      <c r="A50" s="37">
        <v>46209</v>
      </c>
      <c r="B50" s="25">
        <v>1588</v>
      </c>
      <c r="C50" s="1" t="s">
        <v>406</v>
      </c>
      <c r="D50" s="38">
        <v>10000</v>
      </c>
      <c r="E50" s="38">
        <f t="shared" si="2"/>
        <v>290000</v>
      </c>
      <c r="F50" s="38">
        <f t="shared" si="3"/>
        <v>160000</v>
      </c>
    </row>
    <row r="51" spans="1:6" x14ac:dyDescent="0.35">
      <c r="A51" s="37">
        <v>46880</v>
      </c>
      <c r="B51" s="25">
        <v>1760</v>
      </c>
      <c r="C51" s="1" t="s">
        <v>406</v>
      </c>
      <c r="D51" s="38">
        <v>10000</v>
      </c>
      <c r="E51" s="38">
        <f t="shared" si="2"/>
        <v>300000</v>
      </c>
      <c r="F51" s="38">
        <f t="shared" si="3"/>
        <v>150000</v>
      </c>
    </row>
    <row r="52" spans="1:6" x14ac:dyDescent="0.35">
      <c r="A52" s="37">
        <v>46273</v>
      </c>
      <c r="B52" s="25">
        <v>3745</v>
      </c>
      <c r="C52" s="1" t="s">
        <v>406</v>
      </c>
      <c r="D52" s="38">
        <v>10000</v>
      </c>
      <c r="E52" s="38">
        <f t="shared" si="2"/>
        <v>310000</v>
      </c>
      <c r="F52" s="38">
        <f t="shared" si="3"/>
        <v>140000</v>
      </c>
    </row>
    <row r="53" spans="1:6" x14ac:dyDescent="0.35">
      <c r="A53" s="25" t="s">
        <v>465</v>
      </c>
      <c r="B53" s="25">
        <v>1986</v>
      </c>
      <c r="C53" s="1" t="s">
        <v>406</v>
      </c>
      <c r="D53" s="38">
        <v>10000</v>
      </c>
      <c r="E53" s="38">
        <f>E52+D53</f>
        <v>320000</v>
      </c>
      <c r="F53" s="38">
        <f>F52-D53</f>
        <v>130000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G11"/>
    </sheetView>
  </sheetViews>
  <sheetFormatPr defaultRowHeight="14.5" x14ac:dyDescent="0.35"/>
  <cols>
    <col min="6" max="6" width="10.7265625" customWidth="1"/>
  </cols>
  <sheetData>
    <row r="1" spans="1:6" ht="18.5" x14ac:dyDescent="0.45">
      <c r="A1" s="4" t="s">
        <v>194</v>
      </c>
      <c r="B1" s="4"/>
      <c r="C1" s="4"/>
      <c r="D1" s="5"/>
      <c r="E1" s="4"/>
      <c r="F1" s="4"/>
    </row>
    <row r="2" spans="1:6" ht="18.5" x14ac:dyDescent="0.45">
      <c r="A2" s="4" t="s">
        <v>195</v>
      </c>
      <c r="B2" s="4"/>
      <c r="C2" s="4"/>
      <c r="D2" s="5"/>
      <c r="E2" s="4"/>
      <c r="F2" s="4"/>
    </row>
    <row r="3" spans="1:6" ht="18.5" x14ac:dyDescent="0.45">
      <c r="A3" s="4" t="s">
        <v>196</v>
      </c>
      <c r="B3" s="4"/>
      <c r="C3" s="4"/>
      <c r="D3" s="5"/>
      <c r="E3" s="4"/>
      <c r="F3" s="4"/>
    </row>
    <row r="4" spans="1:6" ht="18.5" x14ac:dyDescent="0.45">
      <c r="A4" s="4" t="s">
        <v>200</v>
      </c>
      <c r="B4" s="4"/>
      <c r="C4" s="4"/>
      <c r="D4" s="5"/>
      <c r="E4" s="4"/>
      <c r="F4" s="4"/>
    </row>
    <row r="5" spans="1:6" ht="18.5" x14ac:dyDescent="0.45">
      <c r="A5" s="4" t="s">
        <v>197</v>
      </c>
      <c r="B5" s="4"/>
      <c r="C5" s="4"/>
      <c r="D5" s="5"/>
      <c r="E5" s="4"/>
      <c r="F5" s="4"/>
    </row>
    <row r="6" spans="1:6" ht="18.5" x14ac:dyDescent="0.45">
      <c r="A6" s="4" t="s">
        <v>198</v>
      </c>
      <c r="B6" s="4"/>
      <c r="C6" s="4"/>
      <c r="D6" s="4" t="s">
        <v>199</v>
      </c>
      <c r="E6" s="4"/>
      <c r="F6" s="4"/>
    </row>
    <row r="7" spans="1:6" x14ac:dyDescent="0.35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</row>
    <row r="8" spans="1:6" x14ac:dyDescent="0.35">
      <c r="A8" s="8">
        <v>46177</v>
      </c>
      <c r="B8">
        <v>13159</v>
      </c>
      <c r="C8" t="s">
        <v>104</v>
      </c>
      <c r="D8" s="9">
        <v>500000</v>
      </c>
      <c r="E8" s="9">
        <v>500000</v>
      </c>
      <c r="F8" t="s">
        <v>201</v>
      </c>
    </row>
    <row r="10" spans="1:6" x14ac:dyDescent="0.35">
      <c r="B10" t="s">
        <v>202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opLeftCell="A34" workbookViewId="0">
      <selection activeCell="C31" sqref="C31"/>
    </sheetView>
  </sheetViews>
  <sheetFormatPr defaultRowHeight="14.5" x14ac:dyDescent="0.35"/>
  <cols>
    <col min="1" max="1" width="9.453125" bestFit="1" customWidth="1"/>
    <col min="2" max="2" width="15.90625" customWidth="1"/>
    <col min="3" max="3" width="12.36328125" customWidth="1"/>
    <col min="4" max="4" width="16.54296875" customWidth="1"/>
    <col min="5" max="5" width="24" customWidth="1"/>
    <col min="6" max="6" width="19.6328125" customWidth="1"/>
    <col min="7" max="7" width="22.1796875" customWidth="1"/>
    <col min="8" max="8" width="11.90625" customWidth="1"/>
  </cols>
  <sheetData>
    <row r="1" spans="1:6" ht="18.5" x14ac:dyDescent="0.45">
      <c r="A1" s="4" t="s">
        <v>203</v>
      </c>
      <c r="B1" s="4"/>
      <c r="C1" s="4"/>
      <c r="D1" s="5"/>
      <c r="E1" s="4"/>
      <c r="F1" s="4"/>
    </row>
    <row r="2" spans="1:6" ht="18.5" x14ac:dyDescent="0.45">
      <c r="A2" s="4" t="s">
        <v>204</v>
      </c>
      <c r="B2" s="4"/>
      <c r="C2" s="4"/>
      <c r="D2" s="5"/>
      <c r="E2" s="4"/>
      <c r="F2" s="4"/>
    </row>
    <row r="3" spans="1:6" ht="18.5" x14ac:dyDescent="0.45">
      <c r="A3" s="4" t="s">
        <v>205</v>
      </c>
      <c r="B3" s="4"/>
      <c r="C3" s="4"/>
      <c r="D3" s="5"/>
      <c r="E3" s="4"/>
      <c r="F3" s="4"/>
    </row>
    <row r="4" spans="1:6" ht="18.5" x14ac:dyDescent="0.45">
      <c r="A4" s="4" t="s">
        <v>208</v>
      </c>
      <c r="B4" s="4"/>
      <c r="C4" s="4"/>
      <c r="D4" s="5"/>
      <c r="E4" s="4"/>
      <c r="F4" s="4"/>
    </row>
    <row r="5" spans="1:6" ht="18.5" x14ac:dyDescent="0.45">
      <c r="A5" s="4" t="s">
        <v>206</v>
      </c>
      <c r="B5" s="4"/>
      <c r="C5" s="4"/>
      <c r="D5" s="5"/>
      <c r="E5" s="4"/>
      <c r="F5" s="4"/>
    </row>
    <row r="6" spans="1:6" ht="18.5" x14ac:dyDescent="0.45">
      <c r="A6" s="4" t="s">
        <v>207</v>
      </c>
      <c r="B6" s="4"/>
      <c r="C6" s="4"/>
      <c r="D6" s="4" t="s">
        <v>162</v>
      </c>
      <c r="E6" s="4"/>
      <c r="F6" s="4"/>
    </row>
    <row r="7" spans="1:6" x14ac:dyDescent="0.35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</row>
    <row r="8" spans="1:6" x14ac:dyDescent="0.35">
      <c r="A8" s="8">
        <v>44874</v>
      </c>
      <c r="B8">
        <v>220</v>
      </c>
      <c r="C8" t="s">
        <v>215</v>
      </c>
      <c r="D8" s="9">
        <v>10000</v>
      </c>
      <c r="E8" s="9">
        <v>10000</v>
      </c>
      <c r="F8" s="9">
        <v>185000</v>
      </c>
    </row>
    <row r="9" spans="1:6" x14ac:dyDescent="0.35">
      <c r="A9" s="8">
        <v>45178</v>
      </c>
      <c r="B9">
        <v>1050</v>
      </c>
      <c r="C9" t="s">
        <v>215</v>
      </c>
      <c r="D9" s="9">
        <v>10000</v>
      </c>
      <c r="E9" s="9">
        <f>SUM(E8+D9)</f>
        <v>20000</v>
      </c>
      <c r="F9" s="9">
        <f>F8-D9</f>
        <v>175000</v>
      </c>
    </row>
    <row r="10" spans="1:6" x14ac:dyDescent="0.35">
      <c r="A10" t="s">
        <v>209</v>
      </c>
      <c r="B10">
        <v>2484</v>
      </c>
      <c r="C10" t="s">
        <v>215</v>
      </c>
      <c r="D10" s="9">
        <v>10000</v>
      </c>
      <c r="E10" s="9">
        <f t="shared" ref="E10:E25" si="0">SUM(E9+D10)</f>
        <v>30000</v>
      </c>
      <c r="F10" s="9">
        <f t="shared" ref="F10:F25" si="1">F9-D10</f>
        <v>165000</v>
      </c>
    </row>
    <row r="11" spans="1:6" x14ac:dyDescent="0.35">
      <c r="A11" t="s">
        <v>210</v>
      </c>
      <c r="B11">
        <v>640</v>
      </c>
      <c r="C11" t="s">
        <v>215</v>
      </c>
      <c r="D11" s="9">
        <v>20000</v>
      </c>
      <c r="E11" s="9">
        <f t="shared" si="0"/>
        <v>50000</v>
      </c>
      <c r="F11" s="9">
        <f t="shared" si="1"/>
        <v>145000</v>
      </c>
    </row>
    <row r="12" spans="1:6" x14ac:dyDescent="0.35">
      <c r="A12" s="8">
        <v>45176</v>
      </c>
      <c r="B12">
        <v>220</v>
      </c>
      <c r="C12" t="s">
        <v>215</v>
      </c>
      <c r="D12" s="9">
        <v>20000</v>
      </c>
      <c r="E12" s="9">
        <f t="shared" si="0"/>
        <v>70000</v>
      </c>
      <c r="F12" s="9">
        <f t="shared" si="1"/>
        <v>125000</v>
      </c>
    </row>
    <row r="13" spans="1:6" x14ac:dyDescent="0.35">
      <c r="A13" t="s">
        <v>211</v>
      </c>
      <c r="B13">
        <v>3138</v>
      </c>
      <c r="C13" t="s">
        <v>215</v>
      </c>
      <c r="D13" s="9">
        <v>10000</v>
      </c>
      <c r="E13" s="9">
        <f t="shared" si="0"/>
        <v>80000</v>
      </c>
      <c r="F13" s="9">
        <f t="shared" si="1"/>
        <v>115000</v>
      </c>
    </row>
    <row r="14" spans="1:6" x14ac:dyDescent="0.35">
      <c r="A14" t="s">
        <v>212</v>
      </c>
      <c r="B14">
        <v>3138</v>
      </c>
      <c r="C14" t="s">
        <v>215</v>
      </c>
      <c r="D14" s="9">
        <v>10000</v>
      </c>
      <c r="E14" s="9">
        <f t="shared" si="0"/>
        <v>90000</v>
      </c>
      <c r="F14" s="9">
        <f t="shared" si="1"/>
        <v>105000</v>
      </c>
    </row>
    <row r="15" spans="1:6" x14ac:dyDescent="0.35">
      <c r="A15" s="8">
        <v>44997</v>
      </c>
      <c r="B15">
        <v>4550</v>
      </c>
      <c r="C15" t="s">
        <v>215</v>
      </c>
      <c r="D15" s="9">
        <v>10000</v>
      </c>
      <c r="E15" s="9">
        <f t="shared" si="0"/>
        <v>100000</v>
      </c>
      <c r="F15" s="9">
        <f t="shared" si="1"/>
        <v>95000</v>
      </c>
    </row>
    <row r="16" spans="1:6" x14ac:dyDescent="0.35">
      <c r="A16" s="8">
        <v>45566</v>
      </c>
      <c r="B16">
        <v>5268</v>
      </c>
      <c r="C16" t="s">
        <v>215</v>
      </c>
      <c r="D16" s="9">
        <v>10000</v>
      </c>
      <c r="E16" s="9">
        <f t="shared" si="0"/>
        <v>110000</v>
      </c>
      <c r="F16" s="9">
        <f t="shared" si="1"/>
        <v>85000</v>
      </c>
    </row>
    <row r="17" spans="1:8" x14ac:dyDescent="0.35">
      <c r="A17" t="s">
        <v>213</v>
      </c>
      <c r="B17">
        <v>7494</v>
      </c>
      <c r="C17" t="s">
        <v>215</v>
      </c>
      <c r="D17" s="9">
        <v>10000</v>
      </c>
      <c r="E17" s="9">
        <f t="shared" si="0"/>
        <v>120000</v>
      </c>
      <c r="F17" s="9">
        <f t="shared" si="1"/>
        <v>75000</v>
      </c>
    </row>
    <row r="18" spans="1:8" x14ac:dyDescent="0.35">
      <c r="A18" t="s">
        <v>214</v>
      </c>
      <c r="B18">
        <v>8093</v>
      </c>
      <c r="C18" t="s">
        <v>215</v>
      </c>
      <c r="D18" s="9">
        <v>10000</v>
      </c>
      <c r="E18" s="9">
        <f t="shared" si="0"/>
        <v>130000</v>
      </c>
      <c r="F18" s="9">
        <f t="shared" si="1"/>
        <v>65000</v>
      </c>
    </row>
    <row r="19" spans="1:8" x14ac:dyDescent="0.35">
      <c r="A19" t="s">
        <v>216</v>
      </c>
      <c r="B19">
        <v>6730</v>
      </c>
      <c r="C19" t="s">
        <v>215</v>
      </c>
      <c r="D19" s="9">
        <v>10000</v>
      </c>
      <c r="E19" s="9">
        <f t="shared" si="0"/>
        <v>140000</v>
      </c>
      <c r="F19" s="9">
        <f t="shared" si="1"/>
        <v>55000</v>
      </c>
    </row>
    <row r="20" spans="1:8" x14ac:dyDescent="0.35">
      <c r="A20" t="s">
        <v>62</v>
      </c>
      <c r="B20">
        <v>8763</v>
      </c>
      <c r="C20" t="s">
        <v>215</v>
      </c>
      <c r="D20" s="9">
        <v>10000</v>
      </c>
      <c r="E20" s="9">
        <f t="shared" si="0"/>
        <v>150000</v>
      </c>
      <c r="F20" s="9">
        <f t="shared" si="1"/>
        <v>45000</v>
      </c>
    </row>
    <row r="21" spans="1:8" x14ac:dyDescent="0.35">
      <c r="A21" t="s">
        <v>217</v>
      </c>
      <c r="B21">
        <v>9697</v>
      </c>
      <c r="C21" t="s">
        <v>215</v>
      </c>
      <c r="D21" s="9">
        <v>10000</v>
      </c>
      <c r="E21" s="9">
        <f t="shared" si="0"/>
        <v>160000</v>
      </c>
      <c r="F21" s="9">
        <f t="shared" si="1"/>
        <v>35000</v>
      </c>
    </row>
    <row r="22" spans="1:8" x14ac:dyDescent="0.35">
      <c r="A22" s="8">
        <v>45544</v>
      </c>
      <c r="B22">
        <v>10645</v>
      </c>
      <c r="C22" t="s">
        <v>215</v>
      </c>
      <c r="D22" s="9">
        <v>10000</v>
      </c>
      <c r="E22" s="9">
        <f t="shared" si="0"/>
        <v>170000</v>
      </c>
      <c r="F22" s="9">
        <f t="shared" si="1"/>
        <v>25000</v>
      </c>
    </row>
    <row r="23" spans="1:8" x14ac:dyDescent="0.35">
      <c r="A23" t="s">
        <v>218</v>
      </c>
      <c r="B23">
        <v>10245</v>
      </c>
      <c r="C23" t="s">
        <v>215</v>
      </c>
      <c r="D23" s="9">
        <v>10000</v>
      </c>
      <c r="E23" s="9">
        <f t="shared" si="0"/>
        <v>180000</v>
      </c>
      <c r="F23" s="9">
        <f t="shared" si="1"/>
        <v>15000</v>
      </c>
    </row>
    <row r="24" spans="1:8" x14ac:dyDescent="0.35">
      <c r="A24" t="s">
        <v>219</v>
      </c>
      <c r="B24">
        <v>12517</v>
      </c>
      <c r="C24" t="s">
        <v>215</v>
      </c>
      <c r="D24" s="9">
        <v>10000</v>
      </c>
      <c r="E24" s="9">
        <f t="shared" si="0"/>
        <v>190000</v>
      </c>
      <c r="F24" s="9">
        <f t="shared" si="1"/>
        <v>5000</v>
      </c>
    </row>
    <row r="25" spans="1:8" x14ac:dyDescent="0.35">
      <c r="A25" s="8">
        <v>45809</v>
      </c>
      <c r="B25">
        <v>12934</v>
      </c>
      <c r="C25" t="s">
        <v>215</v>
      </c>
      <c r="D25" s="9">
        <v>10000</v>
      </c>
      <c r="E25" s="9">
        <f t="shared" si="0"/>
        <v>200000</v>
      </c>
      <c r="F25" s="9">
        <f t="shared" si="1"/>
        <v>-5000</v>
      </c>
    </row>
    <row r="26" spans="1:8" x14ac:dyDescent="0.35">
      <c r="B26" t="s">
        <v>220</v>
      </c>
    </row>
    <row r="27" spans="1:8" x14ac:dyDescent="0.35">
      <c r="B27" t="s">
        <v>221</v>
      </c>
    </row>
    <row r="29" spans="1:8" x14ac:dyDescent="0.35">
      <c r="A29" s="63" t="s">
        <v>498</v>
      </c>
      <c r="B29" s="63" t="s">
        <v>0</v>
      </c>
      <c r="C29" s="63" t="s">
        <v>499</v>
      </c>
      <c r="D29" s="63" t="s">
        <v>500</v>
      </c>
      <c r="E29" s="63" t="s">
        <v>501</v>
      </c>
      <c r="F29" s="63" t="s">
        <v>502</v>
      </c>
      <c r="G29" s="63" t="s">
        <v>503</v>
      </c>
      <c r="H29" s="5"/>
    </row>
    <row r="30" spans="1:8" x14ac:dyDescent="0.35">
      <c r="A30" s="52">
        <v>1</v>
      </c>
      <c r="B30" s="52" t="s">
        <v>504</v>
      </c>
      <c r="C30" s="52">
        <v>3414</v>
      </c>
      <c r="D30" s="52" t="s">
        <v>505</v>
      </c>
      <c r="E30" s="51">
        <v>5000</v>
      </c>
      <c r="F30" s="51">
        <v>5000</v>
      </c>
      <c r="G30" s="51">
        <v>445000</v>
      </c>
    </row>
    <row r="31" spans="1:8" x14ac:dyDescent="0.35">
      <c r="A31" s="52">
        <v>2</v>
      </c>
      <c r="B31" s="52" t="s">
        <v>506</v>
      </c>
      <c r="C31" s="52">
        <v>3219</v>
      </c>
      <c r="D31" s="52" t="s">
        <v>265</v>
      </c>
      <c r="E31" s="51">
        <v>5000</v>
      </c>
      <c r="F31" s="51">
        <v>10000</v>
      </c>
      <c r="G31" s="51">
        <v>440000</v>
      </c>
    </row>
    <row r="32" spans="1:8" x14ac:dyDescent="0.35">
      <c r="A32" s="52">
        <v>3</v>
      </c>
      <c r="B32" s="52" t="s">
        <v>507</v>
      </c>
      <c r="C32" s="52">
        <v>3358</v>
      </c>
      <c r="D32" s="52" t="s">
        <v>505</v>
      </c>
      <c r="E32" s="51">
        <v>5000</v>
      </c>
      <c r="F32" s="51">
        <v>15000</v>
      </c>
      <c r="G32" s="51">
        <v>435000</v>
      </c>
    </row>
    <row r="33" spans="1:7" x14ac:dyDescent="0.35">
      <c r="A33" s="52">
        <v>4</v>
      </c>
      <c r="B33" s="52" t="s">
        <v>103</v>
      </c>
      <c r="C33" s="52">
        <v>3868</v>
      </c>
      <c r="D33" s="52" t="s">
        <v>265</v>
      </c>
      <c r="E33" s="51">
        <v>5000</v>
      </c>
      <c r="F33" s="51">
        <v>20000</v>
      </c>
      <c r="G33" s="51">
        <v>430000</v>
      </c>
    </row>
    <row r="34" spans="1:7" x14ac:dyDescent="0.35">
      <c r="A34" s="52">
        <v>5</v>
      </c>
      <c r="B34" s="52" t="s">
        <v>508</v>
      </c>
      <c r="C34" s="52">
        <v>5189</v>
      </c>
      <c r="D34" s="52" t="s">
        <v>505</v>
      </c>
      <c r="E34" s="51">
        <v>5000</v>
      </c>
      <c r="F34" s="51">
        <v>25000</v>
      </c>
      <c r="G34" s="51">
        <v>425000</v>
      </c>
    </row>
    <row r="35" spans="1:7" x14ac:dyDescent="0.35">
      <c r="A35" s="52">
        <v>6</v>
      </c>
      <c r="B35" s="52" t="s">
        <v>509</v>
      </c>
      <c r="C35" s="52">
        <v>5398</v>
      </c>
      <c r="D35" s="52" t="s">
        <v>505</v>
      </c>
      <c r="E35" s="51">
        <v>5000</v>
      </c>
      <c r="F35" s="51">
        <v>30000</v>
      </c>
      <c r="G35" s="51">
        <v>420000</v>
      </c>
    </row>
    <row r="36" spans="1:7" x14ac:dyDescent="0.35">
      <c r="A36" s="52">
        <v>7</v>
      </c>
      <c r="B36" s="55">
        <v>46115</v>
      </c>
      <c r="C36" s="52">
        <v>5637</v>
      </c>
      <c r="D36" s="52" t="s">
        <v>505</v>
      </c>
      <c r="E36" s="51">
        <v>5000</v>
      </c>
      <c r="F36" s="51">
        <v>35000</v>
      </c>
      <c r="G36" s="51">
        <v>415000</v>
      </c>
    </row>
    <row r="37" spans="1:7" x14ac:dyDescent="0.35">
      <c r="A37" s="52">
        <v>8</v>
      </c>
      <c r="B37" s="55">
        <v>46177</v>
      </c>
      <c r="C37" s="52">
        <v>5859</v>
      </c>
      <c r="D37" s="52" t="s">
        <v>484</v>
      </c>
      <c r="E37" s="51">
        <v>5000</v>
      </c>
      <c r="F37" s="51">
        <v>40000</v>
      </c>
      <c r="G37" s="51">
        <v>410000</v>
      </c>
    </row>
    <row r="38" spans="1:7" x14ac:dyDescent="0.35">
      <c r="A38" s="52">
        <v>9</v>
      </c>
      <c r="B38" s="55">
        <v>46147</v>
      </c>
      <c r="C38" s="52">
        <v>1380</v>
      </c>
      <c r="D38" s="52" t="s">
        <v>484</v>
      </c>
      <c r="E38" s="51">
        <v>5000</v>
      </c>
      <c r="F38" s="51">
        <v>45000</v>
      </c>
      <c r="G38" s="51">
        <v>405000</v>
      </c>
    </row>
    <row r="39" spans="1:7" x14ac:dyDescent="0.35">
      <c r="A39" s="52">
        <v>10</v>
      </c>
      <c r="B39" s="55">
        <v>46148</v>
      </c>
      <c r="C39" s="52">
        <v>1566</v>
      </c>
      <c r="D39" s="52" t="s">
        <v>484</v>
      </c>
      <c r="E39" s="51">
        <v>5000</v>
      </c>
      <c r="F39" s="51">
        <v>50000</v>
      </c>
      <c r="G39" s="51">
        <v>400000</v>
      </c>
    </row>
    <row r="40" spans="1:7" x14ac:dyDescent="0.35">
      <c r="A40" s="52">
        <v>11</v>
      </c>
      <c r="B40" s="55">
        <v>46210</v>
      </c>
      <c r="C40" s="52">
        <v>1772</v>
      </c>
      <c r="D40" s="52" t="s">
        <v>484</v>
      </c>
      <c r="E40" s="51">
        <v>5000</v>
      </c>
      <c r="F40" s="51">
        <v>55000</v>
      </c>
      <c r="G40" s="51">
        <v>395000</v>
      </c>
    </row>
    <row r="41" spans="1:7" x14ac:dyDescent="0.35">
      <c r="A41" s="52">
        <v>12</v>
      </c>
      <c r="B41" s="55">
        <v>46364</v>
      </c>
      <c r="C41" s="52">
        <v>3778</v>
      </c>
      <c r="D41" s="52" t="s">
        <v>484</v>
      </c>
      <c r="E41" s="51">
        <v>5000</v>
      </c>
      <c r="F41" s="51">
        <v>60000</v>
      </c>
      <c r="G41" s="51">
        <v>390000</v>
      </c>
    </row>
    <row r="42" spans="1:7" x14ac:dyDescent="0.35">
      <c r="A42" s="52">
        <v>13</v>
      </c>
      <c r="B42" s="55">
        <v>46274</v>
      </c>
      <c r="C42" s="52">
        <v>2030</v>
      </c>
      <c r="D42" s="52" t="s">
        <v>505</v>
      </c>
      <c r="E42" s="51">
        <v>5000</v>
      </c>
      <c r="F42" s="51">
        <v>65000</v>
      </c>
      <c r="G42" s="51">
        <v>385000</v>
      </c>
    </row>
    <row r="43" spans="1:7" x14ac:dyDescent="0.35">
      <c r="A43" s="52"/>
      <c r="B43" s="52"/>
      <c r="C43" s="52"/>
      <c r="D43" s="52" t="s">
        <v>511</v>
      </c>
      <c r="E43" s="51">
        <v>65000</v>
      </c>
      <c r="F43" s="51">
        <v>65000</v>
      </c>
      <c r="G43" s="51">
        <v>385000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25" workbookViewId="0">
      <selection activeCell="F2" sqref="F2"/>
    </sheetView>
  </sheetViews>
  <sheetFormatPr defaultRowHeight="14.5" x14ac:dyDescent="0.35"/>
  <cols>
    <col min="1" max="1" width="9.453125" bestFit="1" customWidth="1"/>
    <col min="3" max="3" width="9.90625" customWidth="1"/>
    <col min="4" max="4" width="15" customWidth="1"/>
    <col min="5" max="5" width="20.6328125" bestFit="1" customWidth="1"/>
    <col min="6" max="6" width="19.36328125" customWidth="1"/>
    <col min="7" max="7" width="26.90625" customWidth="1"/>
    <col min="8" max="8" width="13.26953125" customWidth="1"/>
  </cols>
  <sheetData>
    <row r="1" spans="1:6" ht="18.5" x14ac:dyDescent="0.45">
      <c r="A1" s="4" t="s">
        <v>222</v>
      </c>
      <c r="B1" s="4"/>
      <c r="C1" s="4"/>
      <c r="D1" s="5"/>
      <c r="E1" s="4"/>
      <c r="F1" s="4"/>
    </row>
    <row r="2" spans="1:6" ht="18.5" x14ac:dyDescent="0.45">
      <c r="A2" s="4" t="s">
        <v>223</v>
      </c>
      <c r="B2" s="4"/>
      <c r="C2" s="4"/>
      <c r="D2" s="5"/>
      <c r="E2" s="4"/>
      <c r="F2" s="4"/>
    </row>
    <row r="3" spans="1:6" ht="18.5" x14ac:dyDescent="0.45">
      <c r="A3" s="4" t="s">
        <v>224</v>
      </c>
      <c r="B3" s="4"/>
      <c r="C3" s="4"/>
      <c r="D3" s="5"/>
      <c r="E3" s="4"/>
      <c r="F3" s="4"/>
    </row>
    <row r="4" spans="1:6" ht="18.5" x14ac:dyDescent="0.45">
      <c r="A4" s="4" t="s">
        <v>227</v>
      </c>
      <c r="B4" s="4"/>
      <c r="C4" s="4"/>
      <c r="D4" s="5"/>
      <c r="E4" s="4"/>
      <c r="F4" s="4"/>
    </row>
    <row r="5" spans="1:6" ht="18.5" x14ac:dyDescent="0.45">
      <c r="A5" s="4" t="s">
        <v>225</v>
      </c>
      <c r="B5" s="4"/>
      <c r="C5" s="4"/>
      <c r="D5" s="5"/>
      <c r="E5" s="4"/>
      <c r="F5" s="4"/>
    </row>
    <row r="6" spans="1:6" ht="18.5" x14ac:dyDescent="0.45">
      <c r="A6" s="4" t="s">
        <v>226</v>
      </c>
      <c r="B6" s="4"/>
      <c r="C6" s="4"/>
      <c r="D6" s="4" t="s">
        <v>162</v>
      </c>
      <c r="E6" s="4"/>
      <c r="F6" s="4"/>
    </row>
    <row r="7" spans="1:6" x14ac:dyDescent="0.35">
      <c r="A7" s="36" t="s">
        <v>0</v>
      </c>
      <c r="B7" s="36" t="s">
        <v>1</v>
      </c>
      <c r="C7" s="36" t="s">
        <v>2</v>
      </c>
      <c r="D7" s="36" t="s">
        <v>3</v>
      </c>
      <c r="E7" s="36" t="s">
        <v>4</v>
      </c>
      <c r="F7" s="36" t="s">
        <v>5</v>
      </c>
    </row>
    <row r="8" spans="1:6" x14ac:dyDescent="0.35">
      <c r="A8" s="37">
        <v>44660</v>
      </c>
      <c r="B8" s="25">
        <v>221</v>
      </c>
      <c r="C8" s="25" t="s">
        <v>22</v>
      </c>
      <c r="D8" s="38">
        <v>10000</v>
      </c>
      <c r="E8" s="38">
        <v>10000</v>
      </c>
      <c r="F8" s="38">
        <v>185000</v>
      </c>
    </row>
    <row r="9" spans="1:6" x14ac:dyDescent="0.35">
      <c r="A9" s="37">
        <v>45173</v>
      </c>
      <c r="B9" s="25">
        <v>1049</v>
      </c>
      <c r="C9" s="25" t="s">
        <v>22</v>
      </c>
      <c r="D9" s="38">
        <v>10000</v>
      </c>
      <c r="E9" s="38">
        <f>SUM(E8+D9)</f>
        <v>20000</v>
      </c>
      <c r="F9" s="38">
        <f>F8-D9</f>
        <v>175000</v>
      </c>
    </row>
    <row r="10" spans="1:6" x14ac:dyDescent="0.35">
      <c r="A10" s="25" t="s">
        <v>209</v>
      </c>
      <c r="B10" s="25">
        <v>641</v>
      </c>
      <c r="C10" s="25" t="s">
        <v>22</v>
      </c>
      <c r="D10" s="38">
        <v>10000</v>
      </c>
      <c r="E10" s="38">
        <f t="shared" ref="E10:E25" si="0">SUM(E9+D10)</f>
        <v>30000</v>
      </c>
      <c r="F10" s="38">
        <f t="shared" ref="F10:F25" si="1">F9-D10</f>
        <v>165000</v>
      </c>
    </row>
    <row r="11" spans="1:6" x14ac:dyDescent="0.35">
      <c r="A11" s="25" t="s">
        <v>210</v>
      </c>
      <c r="B11" s="25">
        <v>2603</v>
      </c>
      <c r="C11" s="25" t="s">
        <v>22</v>
      </c>
      <c r="D11" s="38">
        <v>20000</v>
      </c>
      <c r="E11" s="38">
        <f t="shared" si="0"/>
        <v>50000</v>
      </c>
      <c r="F11" s="38">
        <f t="shared" si="1"/>
        <v>145000</v>
      </c>
    </row>
    <row r="12" spans="1:6" x14ac:dyDescent="0.35">
      <c r="A12" s="37">
        <v>45176</v>
      </c>
      <c r="B12" s="25">
        <v>3139</v>
      </c>
      <c r="C12" s="25" t="s">
        <v>22</v>
      </c>
      <c r="D12" s="38">
        <v>20000</v>
      </c>
      <c r="E12" s="38">
        <f t="shared" si="0"/>
        <v>70000</v>
      </c>
      <c r="F12" s="38">
        <f t="shared" si="1"/>
        <v>125000</v>
      </c>
    </row>
    <row r="13" spans="1:6" x14ac:dyDescent="0.35">
      <c r="A13" s="25" t="s">
        <v>211</v>
      </c>
      <c r="B13" s="25">
        <v>4552</v>
      </c>
      <c r="C13" s="25" t="s">
        <v>22</v>
      </c>
      <c r="D13" s="38">
        <v>10000</v>
      </c>
      <c r="E13" s="38">
        <f t="shared" si="0"/>
        <v>80000</v>
      </c>
      <c r="F13" s="38">
        <f t="shared" si="1"/>
        <v>115000</v>
      </c>
    </row>
    <row r="14" spans="1:6" x14ac:dyDescent="0.35">
      <c r="A14" s="25" t="s">
        <v>228</v>
      </c>
      <c r="B14" s="25">
        <v>5269</v>
      </c>
      <c r="C14" s="25" t="s">
        <v>22</v>
      </c>
      <c r="D14" s="38">
        <v>10000</v>
      </c>
      <c r="E14" s="38">
        <f t="shared" si="0"/>
        <v>90000</v>
      </c>
      <c r="F14" s="38">
        <f t="shared" si="1"/>
        <v>105000</v>
      </c>
    </row>
    <row r="15" spans="1:6" x14ac:dyDescent="0.35">
      <c r="A15" s="37">
        <v>44997</v>
      </c>
      <c r="B15" s="25">
        <v>6070</v>
      </c>
      <c r="C15" s="25" t="s">
        <v>22</v>
      </c>
      <c r="D15" s="38">
        <v>10000</v>
      </c>
      <c r="E15" s="38">
        <f t="shared" si="0"/>
        <v>100000</v>
      </c>
      <c r="F15" s="38">
        <f t="shared" si="1"/>
        <v>95000</v>
      </c>
    </row>
    <row r="16" spans="1:6" x14ac:dyDescent="0.35">
      <c r="A16" s="37">
        <v>45566</v>
      </c>
      <c r="B16" s="25">
        <v>6070</v>
      </c>
      <c r="C16" s="25" t="s">
        <v>22</v>
      </c>
      <c r="D16" s="38">
        <v>10000</v>
      </c>
      <c r="E16" s="38">
        <f t="shared" si="0"/>
        <v>110000</v>
      </c>
      <c r="F16" s="38">
        <f t="shared" si="1"/>
        <v>85000</v>
      </c>
    </row>
    <row r="17" spans="1:9" x14ac:dyDescent="0.35">
      <c r="A17" s="25" t="s">
        <v>213</v>
      </c>
      <c r="B17" s="25">
        <v>7493</v>
      </c>
      <c r="C17" s="25" t="s">
        <v>22</v>
      </c>
      <c r="D17" s="38">
        <v>10000</v>
      </c>
      <c r="E17" s="38">
        <f t="shared" si="0"/>
        <v>120000</v>
      </c>
      <c r="F17" s="38">
        <f t="shared" si="1"/>
        <v>75000</v>
      </c>
    </row>
    <row r="18" spans="1:9" x14ac:dyDescent="0.35">
      <c r="A18" s="37">
        <v>45386</v>
      </c>
      <c r="B18" s="25">
        <v>8092</v>
      </c>
      <c r="C18" s="25" t="s">
        <v>22</v>
      </c>
      <c r="D18" s="38">
        <v>10000</v>
      </c>
      <c r="E18" s="38">
        <f t="shared" si="0"/>
        <v>130000</v>
      </c>
      <c r="F18" s="38">
        <f t="shared" si="1"/>
        <v>65000</v>
      </c>
    </row>
    <row r="19" spans="1:9" x14ac:dyDescent="0.35">
      <c r="A19" s="25" t="s">
        <v>216</v>
      </c>
      <c r="B19" s="25">
        <v>6729</v>
      </c>
      <c r="C19" s="25" t="s">
        <v>22</v>
      </c>
      <c r="D19" s="38">
        <v>10000</v>
      </c>
      <c r="E19" s="38">
        <f t="shared" si="0"/>
        <v>140000</v>
      </c>
      <c r="F19" s="38">
        <f t="shared" si="1"/>
        <v>55000</v>
      </c>
    </row>
    <row r="20" spans="1:9" x14ac:dyDescent="0.35">
      <c r="A20" s="25" t="s">
        <v>62</v>
      </c>
      <c r="B20" s="25">
        <v>8762</v>
      </c>
      <c r="C20" s="25" t="s">
        <v>22</v>
      </c>
      <c r="D20" s="38">
        <v>10000</v>
      </c>
      <c r="E20" s="38">
        <f t="shared" si="0"/>
        <v>150000</v>
      </c>
      <c r="F20" s="38">
        <f t="shared" si="1"/>
        <v>45000</v>
      </c>
    </row>
    <row r="21" spans="1:9" x14ac:dyDescent="0.35">
      <c r="A21" s="25" t="s">
        <v>229</v>
      </c>
      <c r="B21" s="25">
        <v>9696</v>
      </c>
      <c r="C21" s="25" t="s">
        <v>22</v>
      </c>
      <c r="D21" s="38">
        <v>10000</v>
      </c>
      <c r="E21" s="38">
        <f t="shared" si="0"/>
        <v>160000</v>
      </c>
      <c r="F21" s="38">
        <f t="shared" si="1"/>
        <v>35000</v>
      </c>
    </row>
    <row r="22" spans="1:9" x14ac:dyDescent="0.35">
      <c r="A22" s="37">
        <v>45544</v>
      </c>
      <c r="B22" s="25">
        <v>10644</v>
      </c>
      <c r="C22" s="25" t="s">
        <v>22</v>
      </c>
      <c r="D22" s="38">
        <v>10000</v>
      </c>
      <c r="E22" s="38">
        <f t="shared" si="0"/>
        <v>170000</v>
      </c>
      <c r="F22" s="38">
        <f t="shared" si="1"/>
        <v>25000</v>
      </c>
    </row>
    <row r="23" spans="1:9" x14ac:dyDescent="0.35">
      <c r="A23" s="25" t="s">
        <v>218</v>
      </c>
      <c r="B23" s="25">
        <v>10244</v>
      </c>
      <c r="C23" s="25" t="s">
        <v>22</v>
      </c>
      <c r="D23" s="38">
        <v>10000</v>
      </c>
      <c r="E23" s="38">
        <f t="shared" si="0"/>
        <v>180000</v>
      </c>
      <c r="F23" s="38">
        <f t="shared" si="1"/>
        <v>15000</v>
      </c>
    </row>
    <row r="24" spans="1:9" x14ac:dyDescent="0.35">
      <c r="A24" s="25" t="s">
        <v>219</v>
      </c>
      <c r="B24" s="25">
        <v>12516</v>
      </c>
      <c r="C24" s="25" t="s">
        <v>22</v>
      </c>
      <c r="D24" s="38">
        <v>10000</v>
      </c>
      <c r="E24" s="38">
        <f t="shared" si="0"/>
        <v>190000</v>
      </c>
      <c r="F24" s="38">
        <f t="shared" si="1"/>
        <v>5000</v>
      </c>
    </row>
    <row r="25" spans="1:9" x14ac:dyDescent="0.35">
      <c r="A25" s="37">
        <v>45809</v>
      </c>
      <c r="B25" s="25">
        <v>12933</v>
      </c>
      <c r="C25" s="25" t="s">
        <v>22</v>
      </c>
      <c r="D25" s="38">
        <v>10000</v>
      </c>
      <c r="E25" s="38">
        <f t="shared" si="0"/>
        <v>200000</v>
      </c>
      <c r="F25" s="38">
        <f t="shared" si="1"/>
        <v>-5000</v>
      </c>
    </row>
    <row r="26" spans="1:9" x14ac:dyDescent="0.35">
      <c r="B26" t="s">
        <v>220</v>
      </c>
    </row>
    <row r="27" spans="1:9" x14ac:dyDescent="0.35">
      <c r="B27" t="s">
        <v>221</v>
      </c>
    </row>
    <row r="29" spans="1:9" x14ac:dyDescent="0.35">
      <c r="A29" s="5" t="s">
        <v>498</v>
      </c>
      <c r="B29" s="5" t="s">
        <v>0</v>
      </c>
      <c r="C29" s="5" t="s">
        <v>499</v>
      </c>
      <c r="D29" s="5" t="s">
        <v>500</v>
      </c>
      <c r="E29" s="5" t="s">
        <v>501</v>
      </c>
      <c r="F29" s="5" t="s">
        <v>502</v>
      </c>
      <c r="G29" s="5" t="s">
        <v>503</v>
      </c>
      <c r="H29" s="5"/>
      <c r="I29" s="5"/>
    </row>
    <row r="30" spans="1:9" x14ac:dyDescent="0.35">
      <c r="A30">
        <v>1</v>
      </c>
      <c r="B30" t="s">
        <v>504</v>
      </c>
      <c r="C30">
        <v>3413</v>
      </c>
      <c r="D30" t="s">
        <v>505</v>
      </c>
      <c r="E30" s="9">
        <v>5000</v>
      </c>
      <c r="F30" s="9">
        <v>5000</v>
      </c>
      <c r="G30" s="9">
        <v>445000</v>
      </c>
    </row>
    <row r="31" spans="1:9" x14ac:dyDescent="0.35">
      <c r="A31">
        <v>2</v>
      </c>
      <c r="B31" t="s">
        <v>506</v>
      </c>
      <c r="C31">
        <v>3218</v>
      </c>
      <c r="D31" t="s">
        <v>265</v>
      </c>
      <c r="E31" s="9">
        <v>5000</v>
      </c>
      <c r="F31" s="9">
        <v>10000</v>
      </c>
      <c r="G31" s="9">
        <v>440000</v>
      </c>
    </row>
    <row r="32" spans="1:9" x14ac:dyDescent="0.35">
      <c r="A32">
        <v>3</v>
      </c>
      <c r="B32" t="s">
        <v>507</v>
      </c>
      <c r="C32">
        <v>3357</v>
      </c>
      <c r="D32" t="s">
        <v>265</v>
      </c>
      <c r="E32" s="9">
        <v>5000</v>
      </c>
      <c r="F32" s="9">
        <v>15000</v>
      </c>
      <c r="G32" s="9">
        <v>435000</v>
      </c>
    </row>
    <row r="33" spans="1:7" x14ac:dyDescent="0.35">
      <c r="A33">
        <v>4</v>
      </c>
      <c r="B33" t="s">
        <v>103</v>
      </c>
      <c r="C33">
        <v>3867</v>
      </c>
      <c r="D33" t="s">
        <v>505</v>
      </c>
      <c r="E33" s="9">
        <v>5000</v>
      </c>
      <c r="F33" s="9">
        <v>20000</v>
      </c>
      <c r="G33" s="9">
        <v>430000</v>
      </c>
    </row>
    <row r="34" spans="1:7" x14ac:dyDescent="0.35">
      <c r="A34">
        <v>5</v>
      </c>
      <c r="B34" t="s">
        <v>508</v>
      </c>
      <c r="C34">
        <v>5188</v>
      </c>
      <c r="D34" t="s">
        <v>505</v>
      </c>
      <c r="E34" s="9">
        <v>5000</v>
      </c>
      <c r="F34" s="9">
        <v>25000</v>
      </c>
      <c r="G34" s="9">
        <v>425000</v>
      </c>
    </row>
    <row r="35" spans="1:7" x14ac:dyDescent="0.35">
      <c r="A35">
        <v>6</v>
      </c>
      <c r="B35" t="s">
        <v>509</v>
      </c>
      <c r="C35">
        <v>5397</v>
      </c>
      <c r="D35" t="s">
        <v>505</v>
      </c>
      <c r="E35" s="9">
        <v>5000</v>
      </c>
      <c r="F35" s="9">
        <v>30000</v>
      </c>
      <c r="G35" s="9">
        <v>420000</v>
      </c>
    </row>
    <row r="36" spans="1:7" x14ac:dyDescent="0.35">
      <c r="A36">
        <v>7</v>
      </c>
      <c r="B36" s="8">
        <v>46115</v>
      </c>
      <c r="C36">
        <v>5636</v>
      </c>
      <c r="D36" t="s">
        <v>484</v>
      </c>
      <c r="E36" s="9">
        <v>5000</v>
      </c>
      <c r="F36" s="9">
        <v>35000</v>
      </c>
      <c r="G36" s="9">
        <v>415000</v>
      </c>
    </row>
    <row r="37" spans="1:7" x14ac:dyDescent="0.35">
      <c r="A37">
        <v>8</v>
      </c>
      <c r="B37" s="8">
        <v>46177</v>
      </c>
      <c r="C37">
        <v>5859</v>
      </c>
      <c r="D37" t="s">
        <v>484</v>
      </c>
      <c r="E37" s="9">
        <v>5000</v>
      </c>
      <c r="F37" s="9">
        <v>40000</v>
      </c>
      <c r="G37" s="9">
        <v>410000</v>
      </c>
    </row>
    <row r="38" spans="1:7" x14ac:dyDescent="0.35">
      <c r="A38">
        <v>9</v>
      </c>
      <c r="B38" s="8">
        <v>46147</v>
      </c>
      <c r="C38">
        <v>1379</v>
      </c>
      <c r="D38" t="s">
        <v>484</v>
      </c>
      <c r="E38" s="9">
        <v>5000</v>
      </c>
      <c r="F38" s="9">
        <v>45000</v>
      </c>
      <c r="G38" s="9">
        <v>405000</v>
      </c>
    </row>
    <row r="39" spans="1:7" x14ac:dyDescent="0.35">
      <c r="A39">
        <v>10</v>
      </c>
      <c r="B39" s="8">
        <v>46148</v>
      </c>
      <c r="C39">
        <v>1565</v>
      </c>
      <c r="D39" t="s">
        <v>484</v>
      </c>
      <c r="E39" s="9">
        <v>5000</v>
      </c>
      <c r="F39" s="9">
        <v>50000</v>
      </c>
      <c r="G39" s="9">
        <v>400000</v>
      </c>
    </row>
    <row r="40" spans="1:7" x14ac:dyDescent="0.35">
      <c r="A40">
        <v>11</v>
      </c>
      <c r="B40" s="8">
        <v>46210</v>
      </c>
      <c r="C40">
        <v>1771</v>
      </c>
      <c r="D40" t="s">
        <v>484</v>
      </c>
      <c r="E40" s="9">
        <v>5000</v>
      </c>
      <c r="F40" s="9">
        <v>55000</v>
      </c>
      <c r="G40" s="9">
        <v>395000</v>
      </c>
    </row>
    <row r="41" spans="1:7" x14ac:dyDescent="0.35">
      <c r="A41">
        <v>12</v>
      </c>
      <c r="B41" t="s">
        <v>510</v>
      </c>
      <c r="C41">
        <v>3777</v>
      </c>
      <c r="D41" t="s">
        <v>484</v>
      </c>
      <c r="E41" s="9">
        <v>5000</v>
      </c>
      <c r="F41" s="9">
        <v>60000</v>
      </c>
      <c r="G41" s="9">
        <v>390000</v>
      </c>
    </row>
    <row r="42" spans="1:7" x14ac:dyDescent="0.35">
      <c r="A42">
        <v>13</v>
      </c>
      <c r="B42" s="8">
        <v>46274</v>
      </c>
      <c r="C42">
        <v>2029</v>
      </c>
      <c r="D42" t="s">
        <v>265</v>
      </c>
      <c r="E42" s="9">
        <v>5000</v>
      </c>
      <c r="F42" s="9">
        <v>65000</v>
      </c>
      <c r="G42" s="9">
        <v>385000</v>
      </c>
    </row>
    <row r="43" spans="1:7" x14ac:dyDescent="0.35">
      <c r="D43" t="s">
        <v>511</v>
      </c>
      <c r="E43" s="9">
        <v>65000</v>
      </c>
      <c r="F43" s="9">
        <v>65000</v>
      </c>
      <c r="G43" s="9">
        <v>385000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H9" sqref="H9"/>
    </sheetView>
  </sheetViews>
  <sheetFormatPr defaultRowHeight="14.5" x14ac:dyDescent="0.35"/>
  <cols>
    <col min="1" max="1" width="9.453125" bestFit="1" customWidth="1"/>
    <col min="3" max="3" width="9.6328125" customWidth="1"/>
    <col min="6" max="6" width="10.7265625" customWidth="1"/>
  </cols>
  <sheetData>
    <row r="1" spans="1:6" ht="18.5" x14ac:dyDescent="0.45">
      <c r="A1" s="4" t="s">
        <v>230</v>
      </c>
      <c r="B1" s="4"/>
      <c r="C1" s="4"/>
      <c r="D1" s="5"/>
      <c r="E1" s="4"/>
      <c r="F1" s="4"/>
    </row>
    <row r="2" spans="1:6" ht="18.5" x14ac:dyDescent="0.45">
      <c r="A2" s="4" t="s">
        <v>231</v>
      </c>
      <c r="B2" s="4"/>
      <c r="C2" s="4"/>
      <c r="D2" s="5"/>
      <c r="E2" s="4"/>
      <c r="F2" s="4"/>
    </row>
    <row r="3" spans="1:6" ht="18.5" x14ac:dyDescent="0.45">
      <c r="A3" s="4" t="s">
        <v>232</v>
      </c>
      <c r="B3" s="4"/>
      <c r="C3" s="4"/>
      <c r="D3" s="5"/>
      <c r="E3" s="4"/>
      <c r="F3" s="4"/>
    </row>
    <row r="4" spans="1:6" ht="18.5" x14ac:dyDescent="0.45">
      <c r="A4" s="4" t="s">
        <v>234</v>
      </c>
      <c r="B4" s="4"/>
      <c r="C4" s="4"/>
      <c r="D4" s="5"/>
      <c r="E4" s="4"/>
      <c r="F4" s="4"/>
    </row>
    <row r="5" spans="1:6" ht="18.5" x14ac:dyDescent="0.45">
      <c r="A5" s="4" t="s">
        <v>225</v>
      </c>
      <c r="B5" s="4"/>
      <c r="C5" s="4"/>
      <c r="D5" s="5"/>
      <c r="E5" s="4"/>
      <c r="F5" s="4"/>
    </row>
    <row r="6" spans="1:6" ht="18.5" x14ac:dyDescent="0.45">
      <c r="A6" s="4" t="s">
        <v>233</v>
      </c>
      <c r="B6" s="4"/>
      <c r="C6" s="4"/>
      <c r="D6" s="4" t="s">
        <v>162</v>
      </c>
      <c r="E6" s="4"/>
      <c r="F6" s="4"/>
    </row>
    <row r="7" spans="1:6" x14ac:dyDescent="0.35">
      <c r="A7" s="36" t="s">
        <v>0</v>
      </c>
      <c r="B7" s="36" t="s">
        <v>1</v>
      </c>
      <c r="C7" s="36" t="s">
        <v>2</v>
      </c>
      <c r="D7" s="36" t="s">
        <v>3</v>
      </c>
      <c r="E7" s="36" t="s">
        <v>4</v>
      </c>
      <c r="F7" s="36" t="s">
        <v>5</v>
      </c>
    </row>
    <row r="8" spans="1:6" x14ac:dyDescent="0.35">
      <c r="A8" s="8">
        <v>44874</v>
      </c>
      <c r="B8">
        <v>233</v>
      </c>
      <c r="C8" t="s">
        <v>215</v>
      </c>
      <c r="D8" s="9">
        <v>10000</v>
      </c>
      <c r="E8" s="9">
        <v>10000</v>
      </c>
      <c r="F8" s="9">
        <v>200000</v>
      </c>
    </row>
    <row r="9" spans="1:6" x14ac:dyDescent="0.35">
      <c r="A9" t="s">
        <v>209</v>
      </c>
      <c r="B9">
        <v>2488</v>
      </c>
      <c r="C9" t="s">
        <v>215</v>
      </c>
      <c r="D9" s="9">
        <v>10000</v>
      </c>
      <c r="E9" s="9">
        <f>SUM(E8+D9)</f>
        <v>20000</v>
      </c>
      <c r="F9" s="9">
        <f>F8-D9</f>
        <v>190000</v>
      </c>
    </row>
    <row r="10" spans="1:6" x14ac:dyDescent="0.35">
      <c r="A10" s="8">
        <v>45173</v>
      </c>
      <c r="B10">
        <v>1056</v>
      </c>
      <c r="C10" t="s">
        <v>215</v>
      </c>
      <c r="D10" s="9">
        <v>10000</v>
      </c>
      <c r="E10" s="9">
        <f t="shared" ref="E10:E20" si="0">SUM(E9+D10)</f>
        <v>30000</v>
      </c>
      <c r="F10" s="9">
        <f t="shared" ref="F10:F25" si="1">F9-D10</f>
        <v>180000</v>
      </c>
    </row>
    <row r="11" spans="1:6" x14ac:dyDescent="0.35">
      <c r="A11" t="s">
        <v>210</v>
      </c>
      <c r="B11">
        <v>645</v>
      </c>
      <c r="C11" t="s">
        <v>215</v>
      </c>
      <c r="D11" s="9">
        <v>20000</v>
      </c>
      <c r="E11" s="9">
        <f t="shared" si="0"/>
        <v>50000</v>
      </c>
      <c r="F11" s="9">
        <f t="shared" si="1"/>
        <v>160000</v>
      </c>
    </row>
    <row r="12" spans="1:6" x14ac:dyDescent="0.35">
      <c r="A12" s="8">
        <v>45176</v>
      </c>
      <c r="B12">
        <v>2605</v>
      </c>
      <c r="C12" t="s">
        <v>215</v>
      </c>
      <c r="D12" s="9">
        <v>20000</v>
      </c>
      <c r="E12" s="9">
        <f t="shared" si="0"/>
        <v>70000</v>
      </c>
      <c r="F12" s="9">
        <f t="shared" si="1"/>
        <v>140000</v>
      </c>
    </row>
    <row r="13" spans="1:6" x14ac:dyDescent="0.35">
      <c r="A13" t="s">
        <v>211</v>
      </c>
      <c r="B13">
        <v>3143</v>
      </c>
      <c r="C13" t="s">
        <v>215</v>
      </c>
      <c r="D13" s="9">
        <v>10000</v>
      </c>
      <c r="E13" s="9">
        <f t="shared" si="0"/>
        <v>80000</v>
      </c>
      <c r="F13" s="9">
        <f t="shared" si="1"/>
        <v>130000</v>
      </c>
    </row>
    <row r="14" spans="1:6" x14ac:dyDescent="0.35">
      <c r="A14" s="8" t="s">
        <v>228</v>
      </c>
      <c r="B14">
        <v>4554</v>
      </c>
      <c r="C14" t="s">
        <v>215</v>
      </c>
      <c r="D14" s="9">
        <v>10000</v>
      </c>
      <c r="E14" s="9">
        <f t="shared" si="0"/>
        <v>90000</v>
      </c>
      <c r="F14" s="9">
        <f t="shared" si="1"/>
        <v>120000</v>
      </c>
    </row>
    <row r="15" spans="1:6" x14ac:dyDescent="0.35">
      <c r="A15" s="8">
        <v>44997</v>
      </c>
      <c r="B15">
        <v>5270</v>
      </c>
      <c r="C15" t="s">
        <v>215</v>
      </c>
      <c r="D15" s="9">
        <v>10000</v>
      </c>
      <c r="E15" s="9">
        <f t="shared" si="0"/>
        <v>100000</v>
      </c>
      <c r="F15" s="9">
        <f t="shared" si="1"/>
        <v>110000</v>
      </c>
    </row>
    <row r="16" spans="1:6" x14ac:dyDescent="0.35">
      <c r="A16" s="8">
        <v>45566</v>
      </c>
      <c r="B16">
        <v>6069</v>
      </c>
      <c r="C16" t="s">
        <v>215</v>
      </c>
      <c r="D16" s="9">
        <v>10000</v>
      </c>
      <c r="E16" s="9">
        <f t="shared" si="0"/>
        <v>110000</v>
      </c>
      <c r="F16" s="9">
        <f t="shared" si="1"/>
        <v>100000</v>
      </c>
    </row>
    <row r="17" spans="1:6" x14ac:dyDescent="0.35">
      <c r="A17" t="s">
        <v>216</v>
      </c>
      <c r="B17">
        <v>6728</v>
      </c>
      <c r="C17" t="s">
        <v>215</v>
      </c>
      <c r="D17" s="9">
        <v>10000</v>
      </c>
      <c r="E17" s="9">
        <f t="shared" si="0"/>
        <v>120000</v>
      </c>
      <c r="F17" s="9">
        <f t="shared" si="1"/>
        <v>90000</v>
      </c>
    </row>
    <row r="18" spans="1:6" x14ac:dyDescent="0.35">
      <c r="A18" s="8" t="s">
        <v>213</v>
      </c>
      <c r="B18">
        <v>7492</v>
      </c>
      <c r="C18" t="s">
        <v>215</v>
      </c>
      <c r="D18" s="9">
        <v>10000</v>
      </c>
      <c r="E18" s="9">
        <f t="shared" si="0"/>
        <v>130000</v>
      </c>
      <c r="F18" s="9">
        <f t="shared" si="1"/>
        <v>80000</v>
      </c>
    </row>
    <row r="19" spans="1:6" x14ac:dyDescent="0.35">
      <c r="A19" s="8" t="s">
        <v>214</v>
      </c>
      <c r="B19">
        <v>12932</v>
      </c>
      <c r="C19" t="s">
        <v>215</v>
      </c>
      <c r="D19" s="9">
        <v>10000</v>
      </c>
      <c r="E19" s="9">
        <f t="shared" si="0"/>
        <v>140000</v>
      </c>
      <c r="F19" s="9">
        <f t="shared" si="1"/>
        <v>70000</v>
      </c>
    </row>
    <row r="20" spans="1:6" x14ac:dyDescent="0.35">
      <c r="A20" s="8" t="s">
        <v>235</v>
      </c>
      <c r="B20">
        <v>8761</v>
      </c>
      <c r="C20" t="s">
        <v>215</v>
      </c>
      <c r="D20" s="9">
        <v>10000</v>
      </c>
      <c r="E20" s="9">
        <f t="shared" si="0"/>
        <v>150000</v>
      </c>
      <c r="F20" s="9">
        <f t="shared" si="1"/>
        <v>60000</v>
      </c>
    </row>
    <row r="21" spans="1:6" x14ac:dyDescent="0.35">
      <c r="A21" s="8" t="s">
        <v>229</v>
      </c>
      <c r="B21">
        <v>9695</v>
      </c>
      <c r="C21" t="s">
        <v>215</v>
      </c>
      <c r="D21" s="9">
        <v>10000</v>
      </c>
      <c r="E21" s="9">
        <f>SUM(E20+D21)</f>
        <v>160000</v>
      </c>
      <c r="F21" s="9">
        <f t="shared" si="1"/>
        <v>50000</v>
      </c>
    </row>
    <row r="22" spans="1:6" x14ac:dyDescent="0.35">
      <c r="A22" s="8">
        <v>45544</v>
      </c>
      <c r="B22">
        <v>10643</v>
      </c>
      <c r="C22" t="s">
        <v>215</v>
      </c>
      <c r="D22" s="9">
        <v>10000</v>
      </c>
      <c r="E22" s="9">
        <f>SUM(E21+D22)</f>
        <v>170000</v>
      </c>
      <c r="F22" s="9">
        <f t="shared" si="1"/>
        <v>40000</v>
      </c>
    </row>
    <row r="23" spans="1:6" x14ac:dyDescent="0.35">
      <c r="A23" s="8" t="s">
        <v>218</v>
      </c>
      <c r="B23">
        <v>10241</v>
      </c>
      <c r="C23" t="s">
        <v>215</v>
      </c>
      <c r="D23" s="9">
        <v>10000</v>
      </c>
      <c r="E23" s="9">
        <f t="shared" ref="E23:E25" si="2">SUM(E22+D23)</f>
        <v>180000</v>
      </c>
      <c r="F23" s="9">
        <f t="shared" si="1"/>
        <v>30000</v>
      </c>
    </row>
    <row r="24" spans="1:6" x14ac:dyDescent="0.35">
      <c r="A24" s="8" t="s">
        <v>219</v>
      </c>
      <c r="B24">
        <v>12515</v>
      </c>
      <c r="C24" t="s">
        <v>215</v>
      </c>
      <c r="D24" s="9">
        <v>10000</v>
      </c>
      <c r="E24" s="9">
        <f t="shared" si="2"/>
        <v>190000</v>
      </c>
      <c r="F24" s="9">
        <f t="shared" si="1"/>
        <v>20000</v>
      </c>
    </row>
    <row r="25" spans="1:6" x14ac:dyDescent="0.35">
      <c r="A25" s="8">
        <v>45809</v>
      </c>
      <c r="B25">
        <v>12932</v>
      </c>
      <c r="C25" t="s">
        <v>215</v>
      </c>
      <c r="D25" s="9">
        <v>10000</v>
      </c>
      <c r="E25" s="9">
        <f t="shared" si="2"/>
        <v>200000</v>
      </c>
      <c r="F25" s="9">
        <f t="shared" si="1"/>
        <v>10000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17" workbookViewId="0">
      <selection activeCell="C26" sqref="C26"/>
    </sheetView>
  </sheetViews>
  <sheetFormatPr defaultRowHeight="14.5" x14ac:dyDescent="0.35"/>
  <cols>
    <col min="1" max="1" width="9.90625" customWidth="1"/>
    <col min="3" max="3" width="13.26953125" customWidth="1"/>
    <col min="4" max="4" width="9.08984375" customWidth="1"/>
    <col min="5" max="5" width="9.1796875" customWidth="1"/>
    <col min="6" max="6" width="10.6328125" customWidth="1"/>
  </cols>
  <sheetData>
    <row r="1" spans="1:6" ht="18.5" x14ac:dyDescent="0.45">
      <c r="A1" s="4" t="s">
        <v>236</v>
      </c>
      <c r="B1" s="4"/>
      <c r="C1" s="4"/>
      <c r="D1" s="5"/>
      <c r="E1" s="4"/>
      <c r="F1" s="4"/>
    </row>
    <row r="2" spans="1:6" ht="18.5" x14ac:dyDescent="0.45">
      <c r="A2" s="4" t="s">
        <v>237</v>
      </c>
      <c r="B2" s="4"/>
      <c r="C2" s="4"/>
      <c r="D2" s="5"/>
      <c r="E2" s="4"/>
      <c r="F2" s="4"/>
    </row>
    <row r="3" spans="1:6" ht="18.5" x14ac:dyDescent="0.45">
      <c r="A3" s="4" t="s">
        <v>238</v>
      </c>
      <c r="B3" s="4"/>
      <c r="C3" s="4"/>
      <c r="D3" s="5"/>
      <c r="E3" s="4"/>
      <c r="F3" s="4"/>
    </row>
    <row r="4" spans="1:6" ht="18.5" x14ac:dyDescent="0.45">
      <c r="A4" s="4" t="s">
        <v>241</v>
      </c>
      <c r="B4" s="4"/>
      <c r="C4" s="4"/>
      <c r="D4" s="5"/>
      <c r="E4" s="4"/>
      <c r="F4" s="4"/>
    </row>
    <row r="5" spans="1:6" ht="18.5" x14ac:dyDescent="0.45">
      <c r="A5" s="4" t="s">
        <v>225</v>
      </c>
      <c r="B5" s="4"/>
      <c r="C5" s="4"/>
      <c r="D5" s="5"/>
      <c r="E5" s="4"/>
      <c r="F5" s="4"/>
    </row>
    <row r="6" spans="1:6" ht="18.5" x14ac:dyDescent="0.45">
      <c r="A6" s="4" t="s">
        <v>239</v>
      </c>
      <c r="B6" s="4"/>
      <c r="C6" s="4"/>
      <c r="D6" s="4" t="s">
        <v>240</v>
      </c>
      <c r="E6" s="4"/>
      <c r="F6" s="4"/>
    </row>
    <row r="7" spans="1:6" x14ac:dyDescent="0.35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</row>
    <row r="8" spans="1:6" x14ac:dyDescent="0.35">
      <c r="A8" s="39" t="s">
        <v>242</v>
      </c>
      <c r="B8" s="39">
        <v>35</v>
      </c>
      <c r="C8" s="39" t="s">
        <v>248</v>
      </c>
      <c r="D8" s="40">
        <v>200000</v>
      </c>
      <c r="E8" s="40">
        <v>200000</v>
      </c>
      <c r="F8" s="40">
        <v>150000</v>
      </c>
    </row>
    <row r="9" spans="1:6" x14ac:dyDescent="0.35">
      <c r="A9" s="39" t="s">
        <v>243</v>
      </c>
      <c r="B9" s="39">
        <v>37</v>
      </c>
      <c r="C9" s="39" t="s">
        <v>22</v>
      </c>
      <c r="D9" s="39">
        <v>12500</v>
      </c>
      <c r="E9" s="40">
        <f>SUM(E8+D9)</f>
        <v>212500</v>
      </c>
      <c r="F9" s="40">
        <f>F8-D9</f>
        <v>137500</v>
      </c>
    </row>
    <row r="10" spans="1:6" x14ac:dyDescent="0.35">
      <c r="A10" s="39" t="s">
        <v>244</v>
      </c>
      <c r="B10" s="39">
        <v>1381</v>
      </c>
      <c r="C10" s="39" t="s">
        <v>22</v>
      </c>
      <c r="D10" s="39">
        <v>12500</v>
      </c>
      <c r="E10" s="40">
        <f t="shared" ref="E10:E20" si="0">SUM(E9+D10)</f>
        <v>225000</v>
      </c>
      <c r="F10" s="40">
        <f t="shared" ref="F10:F20" si="1">F9-D10</f>
        <v>125000</v>
      </c>
    </row>
    <row r="11" spans="1:6" x14ac:dyDescent="0.35">
      <c r="A11" s="39" t="s">
        <v>245</v>
      </c>
      <c r="B11" s="39">
        <v>191</v>
      </c>
      <c r="C11" s="39" t="s">
        <v>22</v>
      </c>
      <c r="D11" s="39">
        <v>12500</v>
      </c>
      <c r="E11" s="40">
        <f t="shared" si="0"/>
        <v>237500</v>
      </c>
      <c r="F11" s="40">
        <f t="shared" si="1"/>
        <v>112500</v>
      </c>
    </row>
    <row r="12" spans="1:6" x14ac:dyDescent="0.35">
      <c r="A12" s="41">
        <v>45053</v>
      </c>
      <c r="B12" s="39">
        <v>2131</v>
      </c>
      <c r="C12" s="39" t="s">
        <v>22</v>
      </c>
      <c r="D12" s="39">
        <v>12500</v>
      </c>
      <c r="E12" s="40">
        <f t="shared" si="0"/>
        <v>250000</v>
      </c>
      <c r="F12" s="40">
        <f t="shared" si="1"/>
        <v>100000</v>
      </c>
    </row>
    <row r="13" spans="1:6" x14ac:dyDescent="0.35">
      <c r="A13" s="39" t="s">
        <v>246</v>
      </c>
      <c r="B13" s="39">
        <v>2535</v>
      </c>
      <c r="C13" s="39" t="s">
        <v>22</v>
      </c>
      <c r="D13" s="39">
        <v>12500</v>
      </c>
      <c r="E13" s="40">
        <f t="shared" si="0"/>
        <v>262500</v>
      </c>
      <c r="F13" s="40">
        <f t="shared" si="1"/>
        <v>87500</v>
      </c>
    </row>
    <row r="14" spans="1:6" x14ac:dyDescent="0.35">
      <c r="A14" s="41">
        <v>45085</v>
      </c>
      <c r="B14" s="39">
        <v>2256</v>
      </c>
      <c r="C14" s="39" t="s">
        <v>22</v>
      </c>
      <c r="D14" s="39">
        <v>12500</v>
      </c>
      <c r="E14" s="40">
        <f t="shared" si="0"/>
        <v>275000</v>
      </c>
      <c r="F14" s="40">
        <f t="shared" si="1"/>
        <v>75000</v>
      </c>
    </row>
    <row r="15" spans="1:6" x14ac:dyDescent="0.35">
      <c r="A15" s="41">
        <v>45208</v>
      </c>
      <c r="B15" s="39">
        <v>3510</v>
      </c>
      <c r="C15" s="39" t="s">
        <v>22</v>
      </c>
      <c r="D15" s="39">
        <v>12500</v>
      </c>
      <c r="E15" s="40">
        <f t="shared" si="0"/>
        <v>287500</v>
      </c>
      <c r="F15" s="40">
        <f t="shared" si="1"/>
        <v>62500</v>
      </c>
    </row>
    <row r="16" spans="1:6" x14ac:dyDescent="0.35">
      <c r="A16" s="41">
        <v>45148</v>
      </c>
      <c r="B16" s="39">
        <v>4117</v>
      </c>
      <c r="C16" s="39" t="s">
        <v>22</v>
      </c>
      <c r="D16" s="39">
        <v>12500</v>
      </c>
      <c r="E16" s="40">
        <f t="shared" si="0"/>
        <v>300000</v>
      </c>
      <c r="F16" s="40">
        <f t="shared" si="1"/>
        <v>50000</v>
      </c>
    </row>
    <row r="17" spans="1:6" x14ac:dyDescent="0.35">
      <c r="A17" s="41">
        <v>45180</v>
      </c>
      <c r="B17" s="39">
        <v>4759</v>
      </c>
      <c r="C17" s="39" t="s">
        <v>22</v>
      </c>
      <c r="D17" s="39">
        <v>12500</v>
      </c>
      <c r="E17" s="40">
        <f t="shared" si="0"/>
        <v>312500</v>
      </c>
      <c r="F17" s="40">
        <f t="shared" si="1"/>
        <v>37500</v>
      </c>
    </row>
    <row r="18" spans="1:6" x14ac:dyDescent="0.35">
      <c r="A18" s="39" t="s">
        <v>247</v>
      </c>
      <c r="B18" s="39">
        <v>5670</v>
      </c>
      <c r="C18" s="39" t="s">
        <v>22</v>
      </c>
      <c r="D18" s="39">
        <v>12500</v>
      </c>
      <c r="E18" s="40">
        <f t="shared" si="0"/>
        <v>325000</v>
      </c>
      <c r="F18" s="40">
        <f t="shared" si="1"/>
        <v>25000</v>
      </c>
    </row>
    <row r="19" spans="1:6" x14ac:dyDescent="0.35">
      <c r="A19" s="41">
        <v>45540</v>
      </c>
      <c r="B19" s="39">
        <v>8368</v>
      </c>
      <c r="C19" s="39" t="s">
        <v>22</v>
      </c>
      <c r="D19" s="39">
        <v>12500</v>
      </c>
      <c r="E19" s="40">
        <f t="shared" si="0"/>
        <v>337500</v>
      </c>
      <c r="F19" s="40">
        <f t="shared" si="1"/>
        <v>12500</v>
      </c>
    </row>
    <row r="20" spans="1:6" x14ac:dyDescent="0.35">
      <c r="A20" s="39" t="s">
        <v>249</v>
      </c>
      <c r="B20" s="39">
        <v>9247</v>
      </c>
      <c r="C20" s="39" t="s">
        <v>22</v>
      </c>
      <c r="D20" s="39">
        <v>12500</v>
      </c>
      <c r="E20" s="40">
        <f t="shared" si="0"/>
        <v>350000</v>
      </c>
      <c r="F20" s="40">
        <f t="shared" si="1"/>
        <v>0</v>
      </c>
    </row>
    <row r="21" spans="1:6" ht="18.5" x14ac:dyDescent="0.45">
      <c r="A21" s="4" t="s">
        <v>221</v>
      </c>
      <c r="B21" s="4"/>
      <c r="C21" s="4"/>
    </row>
    <row r="22" spans="1:6" x14ac:dyDescent="0.35">
      <c r="A22" s="25" t="s">
        <v>454</v>
      </c>
      <c r="B22" s="1">
        <v>3120</v>
      </c>
      <c r="C22" s="1" t="s">
        <v>281</v>
      </c>
      <c r="D22" s="38">
        <v>10000</v>
      </c>
      <c r="E22" s="38">
        <v>10000</v>
      </c>
      <c r="F22" s="38">
        <v>440000</v>
      </c>
    </row>
    <row r="23" spans="1:6" x14ac:dyDescent="0.35">
      <c r="A23" s="25" t="s">
        <v>455</v>
      </c>
      <c r="B23" s="1">
        <v>3427</v>
      </c>
      <c r="C23" s="1" t="s">
        <v>281</v>
      </c>
      <c r="D23" s="38">
        <v>10000</v>
      </c>
      <c r="E23" s="38">
        <f t="shared" ref="E23:E32" si="2">E22+D23</f>
        <v>20000</v>
      </c>
      <c r="F23" s="38">
        <f t="shared" ref="F23:F32" si="3">F22-D23</f>
        <v>430000</v>
      </c>
    </row>
    <row r="24" spans="1:6" x14ac:dyDescent="0.35">
      <c r="A24" s="25" t="s">
        <v>456</v>
      </c>
      <c r="B24" s="1">
        <v>3584</v>
      </c>
      <c r="C24" s="1" t="s">
        <v>281</v>
      </c>
      <c r="D24" s="38">
        <v>10000</v>
      </c>
      <c r="E24" s="38">
        <f t="shared" si="2"/>
        <v>30000</v>
      </c>
      <c r="F24" s="38">
        <f t="shared" si="3"/>
        <v>420000</v>
      </c>
    </row>
    <row r="25" spans="1:6" x14ac:dyDescent="0.35">
      <c r="A25" s="25" t="s">
        <v>457</v>
      </c>
      <c r="B25" s="1">
        <v>3396</v>
      </c>
      <c r="C25" s="1" t="s">
        <v>281</v>
      </c>
      <c r="D25" s="38">
        <v>10000</v>
      </c>
      <c r="E25" s="38">
        <f t="shared" si="2"/>
        <v>40000</v>
      </c>
      <c r="F25" s="38">
        <f t="shared" si="3"/>
        <v>410000</v>
      </c>
    </row>
    <row r="26" spans="1:6" x14ac:dyDescent="0.35">
      <c r="A26" s="25" t="s">
        <v>458</v>
      </c>
      <c r="B26" s="1">
        <v>5002</v>
      </c>
      <c r="C26" s="1" t="s">
        <v>281</v>
      </c>
      <c r="D26" s="38">
        <v>10000</v>
      </c>
      <c r="E26" s="38">
        <f t="shared" si="2"/>
        <v>50000</v>
      </c>
      <c r="F26" s="38">
        <f t="shared" si="3"/>
        <v>400000</v>
      </c>
    </row>
    <row r="27" spans="1:6" x14ac:dyDescent="0.35">
      <c r="A27" s="25" t="s">
        <v>459</v>
      </c>
      <c r="B27" s="1">
        <v>5158</v>
      </c>
      <c r="C27" s="1" t="s">
        <v>281</v>
      </c>
      <c r="D27" s="38">
        <v>10000</v>
      </c>
      <c r="E27" s="38">
        <f t="shared" si="2"/>
        <v>60000</v>
      </c>
      <c r="F27" s="38">
        <f t="shared" si="3"/>
        <v>390000</v>
      </c>
    </row>
    <row r="28" spans="1:6" x14ac:dyDescent="0.35">
      <c r="A28" s="25" t="s">
        <v>460</v>
      </c>
      <c r="B28" s="1">
        <v>5415</v>
      </c>
      <c r="C28" s="1" t="s">
        <v>281</v>
      </c>
      <c r="D28" s="38">
        <v>10000</v>
      </c>
      <c r="E28" s="38">
        <f t="shared" si="2"/>
        <v>70000</v>
      </c>
      <c r="F28" s="38">
        <f t="shared" si="3"/>
        <v>380000</v>
      </c>
    </row>
    <row r="29" spans="1:6" x14ac:dyDescent="0.35">
      <c r="A29" s="37">
        <v>46025</v>
      </c>
      <c r="B29" s="1">
        <v>5617</v>
      </c>
      <c r="C29" s="1" t="s">
        <v>281</v>
      </c>
      <c r="D29" s="38">
        <v>20000</v>
      </c>
      <c r="E29" s="38">
        <f t="shared" si="2"/>
        <v>90000</v>
      </c>
      <c r="F29" s="38">
        <f t="shared" si="3"/>
        <v>360000</v>
      </c>
    </row>
    <row r="30" spans="1:6" x14ac:dyDescent="0.35">
      <c r="A30" s="37">
        <v>46330</v>
      </c>
      <c r="B30" s="1">
        <v>5901</v>
      </c>
      <c r="C30" s="1" t="s">
        <v>281</v>
      </c>
      <c r="D30" s="38">
        <v>20000</v>
      </c>
      <c r="E30" s="38">
        <f t="shared" si="2"/>
        <v>110000</v>
      </c>
      <c r="F30" s="38">
        <f t="shared" si="3"/>
        <v>340000</v>
      </c>
    </row>
    <row r="31" spans="1:6" x14ac:dyDescent="0.35">
      <c r="A31" s="37">
        <v>46118</v>
      </c>
      <c r="B31" s="1">
        <v>1560</v>
      </c>
      <c r="C31" s="1" t="s">
        <v>281</v>
      </c>
      <c r="D31" s="38">
        <v>20000</v>
      </c>
      <c r="E31" s="38">
        <f t="shared" si="2"/>
        <v>130000</v>
      </c>
      <c r="F31" s="38">
        <f t="shared" si="3"/>
        <v>320000</v>
      </c>
    </row>
    <row r="32" spans="1:6" x14ac:dyDescent="0.35">
      <c r="A32" s="25" t="s">
        <v>461</v>
      </c>
      <c r="B32" s="1">
        <v>1918</v>
      </c>
      <c r="C32" s="1" t="s">
        <v>281</v>
      </c>
      <c r="D32" s="38">
        <v>20000</v>
      </c>
      <c r="E32" s="38">
        <f t="shared" si="2"/>
        <v>150000</v>
      </c>
      <c r="F32" s="38">
        <f t="shared" si="3"/>
        <v>300000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28" workbookViewId="0">
      <selection sqref="A1:F25"/>
    </sheetView>
  </sheetViews>
  <sheetFormatPr defaultRowHeight="14.5" x14ac:dyDescent="0.35"/>
  <cols>
    <col min="1" max="1" width="11.1796875" customWidth="1"/>
    <col min="3" max="3" width="13.453125" customWidth="1"/>
    <col min="6" max="6" width="13.1796875" customWidth="1"/>
  </cols>
  <sheetData>
    <row r="1" spans="1:6" ht="18.5" x14ac:dyDescent="0.45">
      <c r="A1" s="4" t="s">
        <v>330</v>
      </c>
      <c r="B1" s="4"/>
      <c r="C1" s="4"/>
      <c r="D1" s="5"/>
      <c r="E1" s="4"/>
      <c r="F1" s="4"/>
    </row>
    <row r="2" spans="1:6" ht="18.5" x14ac:dyDescent="0.45">
      <c r="A2" s="4" t="s">
        <v>331</v>
      </c>
      <c r="B2" s="4"/>
      <c r="C2" s="4"/>
      <c r="D2" s="5"/>
      <c r="E2" s="4"/>
      <c r="F2" s="4"/>
    </row>
    <row r="3" spans="1:6" ht="18.5" x14ac:dyDescent="0.45">
      <c r="A3" s="4" t="s">
        <v>332</v>
      </c>
      <c r="B3" s="4"/>
      <c r="C3" s="4"/>
      <c r="D3" s="5"/>
      <c r="E3" s="4"/>
      <c r="F3" s="4"/>
    </row>
    <row r="4" spans="1:6" ht="18.5" x14ac:dyDescent="0.45">
      <c r="A4" s="4" t="s">
        <v>346</v>
      </c>
      <c r="B4" s="4"/>
      <c r="C4" s="4"/>
      <c r="D4" s="5"/>
      <c r="E4" s="4"/>
      <c r="F4" s="4"/>
    </row>
    <row r="5" spans="1:6" ht="18.5" x14ac:dyDescent="0.45">
      <c r="A5" s="4" t="s">
        <v>225</v>
      </c>
      <c r="B5" s="4"/>
      <c r="C5" s="4"/>
      <c r="D5" s="5"/>
      <c r="E5" s="4"/>
      <c r="F5" s="4"/>
    </row>
    <row r="6" spans="1:6" ht="18.5" x14ac:dyDescent="0.45">
      <c r="A6" s="4" t="s">
        <v>333</v>
      </c>
      <c r="B6" s="4"/>
      <c r="C6" s="4"/>
      <c r="D6" s="4" t="s">
        <v>162</v>
      </c>
      <c r="E6" s="4"/>
      <c r="F6" s="4"/>
    </row>
    <row r="7" spans="1:6" x14ac:dyDescent="0.35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</row>
    <row r="8" spans="1:6" x14ac:dyDescent="0.35">
      <c r="A8" t="s">
        <v>334</v>
      </c>
      <c r="B8">
        <v>1442</v>
      </c>
      <c r="C8" t="s">
        <v>265</v>
      </c>
      <c r="D8" s="9">
        <v>10000</v>
      </c>
      <c r="E8" s="9">
        <v>10000</v>
      </c>
      <c r="F8" s="9">
        <v>240000</v>
      </c>
    </row>
    <row r="9" spans="1:6" x14ac:dyDescent="0.35">
      <c r="A9" t="s">
        <v>335</v>
      </c>
      <c r="B9">
        <v>1230</v>
      </c>
      <c r="C9" t="s">
        <v>265</v>
      </c>
      <c r="D9" s="9">
        <v>10000</v>
      </c>
      <c r="E9" s="9">
        <f>E8+D9</f>
        <v>20000</v>
      </c>
      <c r="F9" s="9">
        <f>F8-D9</f>
        <v>230000</v>
      </c>
    </row>
    <row r="10" spans="1:6" x14ac:dyDescent="0.35">
      <c r="A10" s="8" t="s">
        <v>336</v>
      </c>
      <c r="B10">
        <v>2182</v>
      </c>
      <c r="C10" t="s">
        <v>265</v>
      </c>
      <c r="D10" s="9">
        <v>10000</v>
      </c>
      <c r="E10" s="9">
        <f t="shared" ref="E10:E24" si="0">E9+D10</f>
        <v>30000</v>
      </c>
      <c r="F10" s="9">
        <f t="shared" ref="F10:F24" si="1">F9-D10</f>
        <v>220000</v>
      </c>
    </row>
    <row r="11" spans="1:6" x14ac:dyDescent="0.35">
      <c r="A11" t="s">
        <v>210</v>
      </c>
      <c r="B11">
        <v>631</v>
      </c>
      <c r="C11" t="s">
        <v>265</v>
      </c>
      <c r="D11" s="9">
        <v>10000</v>
      </c>
      <c r="E11" s="9">
        <f t="shared" si="0"/>
        <v>40000</v>
      </c>
      <c r="F11" s="9">
        <f t="shared" si="1"/>
        <v>210000</v>
      </c>
    </row>
    <row r="12" spans="1:6" x14ac:dyDescent="0.35">
      <c r="A12" t="s">
        <v>155</v>
      </c>
      <c r="B12">
        <v>2786</v>
      </c>
      <c r="C12" t="s">
        <v>265</v>
      </c>
      <c r="D12" s="9">
        <v>10000</v>
      </c>
      <c r="E12" s="9">
        <f t="shared" si="0"/>
        <v>50000</v>
      </c>
      <c r="F12" s="9">
        <f t="shared" si="1"/>
        <v>200000</v>
      </c>
    </row>
    <row r="13" spans="1:6" x14ac:dyDescent="0.35">
      <c r="A13" t="s">
        <v>337</v>
      </c>
      <c r="B13">
        <v>3266</v>
      </c>
      <c r="C13" t="s">
        <v>265</v>
      </c>
      <c r="D13" s="9">
        <v>10000</v>
      </c>
      <c r="E13" s="9">
        <f t="shared" si="0"/>
        <v>60000</v>
      </c>
      <c r="F13" s="9">
        <f t="shared" si="1"/>
        <v>190000</v>
      </c>
    </row>
    <row r="14" spans="1:6" x14ac:dyDescent="0.35">
      <c r="A14" s="8">
        <v>45148</v>
      </c>
      <c r="B14">
        <v>4099</v>
      </c>
      <c r="C14" t="s">
        <v>265</v>
      </c>
      <c r="D14" s="9">
        <v>20000</v>
      </c>
      <c r="E14" s="9">
        <f t="shared" si="0"/>
        <v>80000</v>
      </c>
      <c r="F14" s="9">
        <f t="shared" si="1"/>
        <v>170000</v>
      </c>
    </row>
    <row r="15" spans="1:6" x14ac:dyDescent="0.35">
      <c r="A15" t="s">
        <v>247</v>
      </c>
      <c r="B15">
        <v>5665</v>
      </c>
      <c r="C15" t="s">
        <v>265</v>
      </c>
      <c r="D15" s="9">
        <v>20000</v>
      </c>
      <c r="E15" s="9">
        <f t="shared" si="0"/>
        <v>100000</v>
      </c>
      <c r="F15" s="9">
        <f t="shared" si="1"/>
        <v>150000</v>
      </c>
    </row>
    <row r="16" spans="1:6" x14ac:dyDescent="0.35">
      <c r="A16" t="s">
        <v>338</v>
      </c>
      <c r="B16">
        <v>6209</v>
      </c>
      <c r="C16" t="s">
        <v>265</v>
      </c>
      <c r="D16" s="9">
        <v>20000</v>
      </c>
      <c r="E16" s="9">
        <f t="shared" si="0"/>
        <v>120000</v>
      </c>
      <c r="F16" s="9">
        <f t="shared" si="1"/>
        <v>130000</v>
      </c>
    </row>
    <row r="17" spans="1:6" x14ac:dyDescent="0.35">
      <c r="A17" t="s">
        <v>339</v>
      </c>
      <c r="B17">
        <v>6660</v>
      </c>
      <c r="C17" t="s">
        <v>265</v>
      </c>
      <c r="D17" s="9">
        <v>10000</v>
      </c>
      <c r="E17" s="9">
        <f t="shared" si="0"/>
        <v>130000</v>
      </c>
      <c r="F17" s="9">
        <f t="shared" si="1"/>
        <v>120000</v>
      </c>
    </row>
    <row r="18" spans="1:6" x14ac:dyDescent="0.35">
      <c r="A18" t="s">
        <v>340</v>
      </c>
      <c r="B18">
        <v>7427</v>
      </c>
      <c r="C18" t="s">
        <v>265</v>
      </c>
      <c r="D18" s="9">
        <v>10000</v>
      </c>
      <c r="E18" s="9">
        <f t="shared" si="0"/>
        <v>140000</v>
      </c>
      <c r="F18" s="9">
        <f t="shared" si="1"/>
        <v>110000</v>
      </c>
    </row>
    <row r="19" spans="1:6" x14ac:dyDescent="0.35">
      <c r="A19" t="s">
        <v>341</v>
      </c>
      <c r="B19">
        <v>8017</v>
      </c>
      <c r="C19" t="s">
        <v>265</v>
      </c>
      <c r="D19" s="9">
        <v>10000</v>
      </c>
      <c r="E19" s="9">
        <f t="shared" si="0"/>
        <v>150000</v>
      </c>
      <c r="F19" s="9">
        <f t="shared" si="1"/>
        <v>100000</v>
      </c>
    </row>
    <row r="20" spans="1:6" x14ac:dyDescent="0.35">
      <c r="A20" t="s">
        <v>342</v>
      </c>
      <c r="B20">
        <v>8626</v>
      </c>
      <c r="C20" t="s">
        <v>265</v>
      </c>
      <c r="D20" s="9">
        <v>10000</v>
      </c>
      <c r="E20" s="9">
        <f t="shared" si="0"/>
        <v>160000</v>
      </c>
      <c r="F20" s="9">
        <f t="shared" si="1"/>
        <v>90000</v>
      </c>
    </row>
    <row r="21" spans="1:6" x14ac:dyDescent="0.35">
      <c r="A21" t="s">
        <v>343</v>
      </c>
      <c r="B21">
        <v>9274</v>
      </c>
      <c r="C21" t="s">
        <v>265</v>
      </c>
      <c r="D21" s="9">
        <v>10000</v>
      </c>
      <c r="E21" s="9">
        <f t="shared" si="0"/>
        <v>170000</v>
      </c>
      <c r="F21" s="9">
        <f t="shared" si="1"/>
        <v>80000</v>
      </c>
    </row>
    <row r="22" spans="1:6" x14ac:dyDescent="0.35">
      <c r="A22" s="8">
        <v>45604</v>
      </c>
      <c r="B22">
        <v>11065</v>
      </c>
      <c r="C22" t="s">
        <v>265</v>
      </c>
      <c r="D22" s="9">
        <v>20000</v>
      </c>
      <c r="E22" s="9">
        <f t="shared" si="0"/>
        <v>190000</v>
      </c>
      <c r="F22" s="9">
        <f t="shared" si="1"/>
        <v>60000</v>
      </c>
    </row>
    <row r="23" spans="1:6" x14ac:dyDescent="0.35">
      <c r="A23" t="s">
        <v>344</v>
      </c>
      <c r="B23">
        <v>10296</v>
      </c>
      <c r="C23" t="s">
        <v>265</v>
      </c>
      <c r="D23" s="9">
        <v>10000</v>
      </c>
      <c r="E23" s="9">
        <f t="shared" si="0"/>
        <v>200000</v>
      </c>
      <c r="F23" s="9">
        <f t="shared" si="1"/>
        <v>50000</v>
      </c>
    </row>
    <row r="24" spans="1:6" x14ac:dyDescent="0.35">
      <c r="A24" t="s">
        <v>345</v>
      </c>
      <c r="B24">
        <v>12628</v>
      </c>
      <c r="C24" t="s">
        <v>265</v>
      </c>
      <c r="D24" s="9">
        <v>10000</v>
      </c>
      <c r="E24" s="9">
        <f t="shared" si="0"/>
        <v>210000</v>
      </c>
      <c r="F24" s="9">
        <f t="shared" si="1"/>
        <v>40000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A7" sqref="A7:F7"/>
    </sheetView>
  </sheetViews>
  <sheetFormatPr defaultRowHeight="14.5" x14ac:dyDescent="0.35"/>
  <cols>
    <col min="6" max="6" width="10.6328125" customWidth="1"/>
  </cols>
  <sheetData>
    <row r="1" spans="1:6" ht="18.5" x14ac:dyDescent="0.45">
      <c r="A1" s="4" t="s">
        <v>347</v>
      </c>
      <c r="B1" s="4"/>
      <c r="C1" s="4"/>
      <c r="D1" s="5"/>
      <c r="E1" s="4"/>
      <c r="F1" s="4"/>
    </row>
    <row r="2" spans="1:6" ht="18.5" x14ac:dyDescent="0.45">
      <c r="A2" s="4" t="s">
        <v>331</v>
      </c>
      <c r="B2" s="4"/>
      <c r="C2" s="4"/>
      <c r="D2" s="5"/>
      <c r="E2" s="4"/>
      <c r="F2" s="4"/>
    </row>
    <row r="3" spans="1:6" ht="18.5" x14ac:dyDescent="0.45">
      <c r="A3" s="4" t="s">
        <v>189</v>
      </c>
      <c r="B3" s="4"/>
      <c r="C3" s="4"/>
      <c r="D3" s="5"/>
      <c r="E3" s="4"/>
      <c r="F3" s="4"/>
    </row>
    <row r="4" spans="1:6" ht="18.5" x14ac:dyDescent="0.45">
      <c r="A4" s="4" t="s">
        <v>346</v>
      </c>
      <c r="B4" s="4"/>
      <c r="C4" s="4"/>
      <c r="D4" s="5"/>
      <c r="E4" s="4"/>
      <c r="F4" s="4"/>
    </row>
    <row r="5" spans="1:6" ht="18.5" x14ac:dyDescent="0.45">
      <c r="A5" s="4" t="s">
        <v>225</v>
      </c>
      <c r="B5" s="4"/>
      <c r="C5" s="4"/>
      <c r="D5" s="5"/>
      <c r="E5" s="4"/>
      <c r="F5" s="4"/>
    </row>
    <row r="6" spans="1:6" ht="18.5" x14ac:dyDescent="0.45">
      <c r="A6" s="4" t="s">
        <v>348</v>
      </c>
      <c r="B6" s="4"/>
      <c r="C6" s="4"/>
      <c r="D6" s="4" t="s">
        <v>162</v>
      </c>
      <c r="E6" s="4"/>
      <c r="F6" s="4"/>
    </row>
    <row r="7" spans="1:6" x14ac:dyDescent="0.35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</row>
    <row r="8" spans="1:6" x14ac:dyDescent="0.35">
      <c r="A8" t="s">
        <v>334</v>
      </c>
      <c r="B8">
        <v>1441</v>
      </c>
      <c r="C8" t="s">
        <v>265</v>
      </c>
      <c r="D8" s="9">
        <v>10000</v>
      </c>
      <c r="E8" s="9">
        <v>10000</v>
      </c>
      <c r="F8" s="9">
        <v>240000</v>
      </c>
    </row>
    <row r="9" spans="1:6" x14ac:dyDescent="0.35">
      <c r="A9" t="s">
        <v>335</v>
      </c>
      <c r="B9">
        <v>1230</v>
      </c>
      <c r="C9" t="s">
        <v>265</v>
      </c>
      <c r="D9" s="9">
        <v>10000</v>
      </c>
      <c r="E9" s="9">
        <f>E8+D9</f>
        <v>20000</v>
      </c>
      <c r="F9" s="9">
        <f>F8-D9</f>
        <v>230000</v>
      </c>
    </row>
    <row r="10" spans="1:6" x14ac:dyDescent="0.35">
      <c r="A10" s="8" t="s">
        <v>336</v>
      </c>
      <c r="B10">
        <v>2183</v>
      </c>
      <c r="C10" t="s">
        <v>265</v>
      </c>
      <c r="D10" s="9">
        <v>10000</v>
      </c>
      <c r="E10" s="9">
        <f t="shared" ref="E10:E24" si="0">E9+D10</f>
        <v>30000</v>
      </c>
      <c r="F10" s="9">
        <f t="shared" ref="F10:F24" si="1">F9-D10</f>
        <v>220000</v>
      </c>
    </row>
    <row r="11" spans="1:6" x14ac:dyDescent="0.35">
      <c r="A11" t="s">
        <v>210</v>
      </c>
      <c r="B11">
        <v>630</v>
      </c>
      <c r="C11" t="s">
        <v>265</v>
      </c>
      <c r="D11" s="9">
        <v>10000</v>
      </c>
      <c r="E11" s="9">
        <f t="shared" si="0"/>
        <v>40000</v>
      </c>
      <c r="F11" s="9">
        <f t="shared" si="1"/>
        <v>210000</v>
      </c>
    </row>
    <row r="12" spans="1:6" x14ac:dyDescent="0.35">
      <c r="A12" t="s">
        <v>155</v>
      </c>
      <c r="B12">
        <v>2785</v>
      </c>
      <c r="C12" t="s">
        <v>265</v>
      </c>
      <c r="D12" s="9">
        <v>10000</v>
      </c>
      <c r="E12" s="9">
        <f t="shared" si="0"/>
        <v>50000</v>
      </c>
      <c r="F12" s="9">
        <f t="shared" si="1"/>
        <v>200000</v>
      </c>
    </row>
    <row r="13" spans="1:6" x14ac:dyDescent="0.35">
      <c r="A13" t="s">
        <v>337</v>
      </c>
      <c r="B13">
        <v>8265</v>
      </c>
      <c r="C13" t="s">
        <v>265</v>
      </c>
      <c r="D13" s="9">
        <v>10000</v>
      </c>
      <c r="E13" s="9">
        <f t="shared" si="0"/>
        <v>60000</v>
      </c>
      <c r="F13" s="9">
        <f t="shared" si="1"/>
        <v>190000</v>
      </c>
    </row>
    <row r="14" spans="1:6" x14ac:dyDescent="0.35">
      <c r="A14" s="8">
        <v>45148</v>
      </c>
      <c r="B14">
        <v>4100</v>
      </c>
      <c r="C14" t="s">
        <v>265</v>
      </c>
      <c r="D14" s="9">
        <v>20000</v>
      </c>
      <c r="E14" s="9">
        <f t="shared" si="0"/>
        <v>80000</v>
      </c>
      <c r="F14" s="9">
        <f t="shared" si="1"/>
        <v>170000</v>
      </c>
    </row>
    <row r="15" spans="1:6" x14ac:dyDescent="0.35">
      <c r="A15" t="s">
        <v>247</v>
      </c>
      <c r="B15">
        <v>5664</v>
      </c>
      <c r="C15" t="s">
        <v>265</v>
      </c>
      <c r="D15" s="9">
        <v>20000</v>
      </c>
      <c r="E15" s="9">
        <f t="shared" si="0"/>
        <v>100000</v>
      </c>
      <c r="F15" s="9">
        <f t="shared" si="1"/>
        <v>150000</v>
      </c>
    </row>
    <row r="16" spans="1:6" x14ac:dyDescent="0.35">
      <c r="A16" t="s">
        <v>338</v>
      </c>
      <c r="B16">
        <v>6208</v>
      </c>
      <c r="C16" t="s">
        <v>265</v>
      </c>
      <c r="D16" s="9">
        <v>20000</v>
      </c>
      <c r="E16" s="9">
        <f t="shared" si="0"/>
        <v>120000</v>
      </c>
      <c r="F16" s="9">
        <f t="shared" si="1"/>
        <v>130000</v>
      </c>
    </row>
    <row r="17" spans="1:6" x14ac:dyDescent="0.35">
      <c r="A17" t="s">
        <v>339</v>
      </c>
      <c r="B17">
        <v>6659</v>
      </c>
      <c r="C17" t="s">
        <v>265</v>
      </c>
      <c r="D17" s="9">
        <v>20000</v>
      </c>
      <c r="E17" s="9">
        <f t="shared" si="0"/>
        <v>140000</v>
      </c>
      <c r="F17" s="9">
        <f t="shared" si="1"/>
        <v>110000</v>
      </c>
    </row>
    <row r="18" spans="1:6" x14ac:dyDescent="0.35">
      <c r="A18" t="s">
        <v>340</v>
      </c>
      <c r="B18">
        <v>7428</v>
      </c>
      <c r="C18" t="s">
        <v>265</v>
      </c>
      <c r="D18" s="9">
        <v>10000</v>
      </c>
      <c r="E18" s="9">
        <f t="shared" si="0"/>
        <v>150000</v>
      </c>
      <c r="F18" s="9">
        <f t="shared" si="1"/>
        <v>100000</v>
      </c>
    </row>
    <row r="19" spans="1:6" x14ac:dyDescent="0.35">
      <c r="A19" t="s">
        <v>341</v>
      </c>
      <c r="B19">
        <v>8016</v>
      </c>
      <c r="C19" t="s">
        <v>265</v>
      </c>
      <c r="D19" s="9">
        <v>10000</v>
      </c>
      <c r="E19" s="9">
        <f t="shared" si="0"/>
        <v>160000</v>
      </c>
      <c r="F19" s="9">
        <f t="shared" si="1"/>
        <v>90000</v>
      </c>
    </row>
    <row r="20" spans="1:6" x14ac:dyDescent="0.35">
      <c r="A20" t="s">
        <v>342</v>
      </c>
      <c r="B20">
        <v>8625</v>
      </c>
      <c r="C20" t="s">
        <v>265</v>
      </c>
      <c r="D20" s="9">
        <v>10000</v>
      </c>
      <c r="E20" s="9">
        <f t="shared" si="0"/>
        <v>170000</v>
      </c>
      <c r="F20" s="9">
        <f t="shared" si="1"/>
        <v>80000</v>
      </c>
    </row>
    <row r="21" spans="1:6" x14ac:dyDescent="0.35">
      <c r="A21" t="s">
        <v>343</v>
      </c>
      <c r="B21">
        <v>9275</v>
      </c>
      <c r="C21" t="s">
        <v>265</v>
      </c>
      <c r="D21" s="9">
        <v>10000</v>
      </c>
      <c r="E21" s="9">
        <f t="shared" si="0"/>
        <v>180000</v>
      </c>
      <c r="F21" s="9">
        <f t="shared" si="1"/>
        <v>70000</v>
      </c>
    </row>
    <row r="22" spans="1:6" x14ac:dyDescent="0.35">
      <c r="A22" s="8">
        <v>45604</v>
      </c>
      <c r="B22">
        <v>10295</v>
      </c>
      <c r="C22" t="s">
        <v>265</v>
      </c>
      <c r="D22" s="9">
        <v>20000</v>
      </c>
      <c r="E22" s="9">
        <f t="shared" si="0"/>
        <v>200000</v>
      </c>
      <c r="F22" s="9">
        <f t="shared" si="1"/>
        <v>50000</v>
      </c>
    </row>
    <row r="23" spans="1:6" x14ac:dyDescent="0.35">
      <c r="A23" t="s">
        <v>344</v>
      </c>
      <c r="B23">
        <v>10296</v>
      </c>
      <c r="C23" t="s">
        <v>265</v>
      </c>
      <c r="D23" s="9">
        <v>10000</v>
      </c>
      <c r="E23" s="9">
        <f t="shared" si="0"/>
        <v>210000</v>
      </c>
      <c r="F23" s="9">
        <f t="shared" si="1"/>
        <v>40000</v>
      </c>
    </row>
    <row r="24" spans="1:6" x14ac:dyDescent="0.35">
      <c r="A24" t="s">
        <v>345</v>
      </c>
      <c r="B24">
        <v>12627</v>
      </c>
      <c r="C24" t="s">
        <v>265</v>
      </c>
      <c r="D24" s="9">
        <v>10000</v>
      </c>
      <c r="E24" s="9">
        <f t="shared" si="0"/>
        <v>220000</v>
      </c>
      <c r="F24" s="9">
        <f t="shared" si="1"/>
        <v>30000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25" workbookViewId="0">
      <selection activeCell="F31" sqref="F31"/>
    </sheetView>
  </sheetViews>
  <sheetFormatPr defaultRowHeight="14.5" x14ac:dyDescent="0.35"/>
  <cols>
    <col min="1" max="1" width="10" customWidth="1"/>
    <col min="3" max="3" width="16.36328125" customWidth="1"/>
    <col min="4" max="4" width="11.6328125" customWidth="1"/>
    <col min="5" max="5" width="11" customWidth="1"/>
    <col min="6" max="6" width="10.90625" customWidth="1"/>
  </cols>
  <sheetData>
    <row r="1" spans="1:6" ht="18.5" x14ac:dyDescent="0.45">
      <c r="A1" s="4" t="s">
        <v>349</v>
      </c>
      <c r="B1" s="4" t="s">
        <v>355</v>
      </c>
      <c r="C1" s="4"/>
      <c r="D1" s="4"/>
    </row>
    <row r="2" spans="1:6" ht="18.5" x14ac:dyDescent="0.45">
      <c r="A2" s="4" t="s">
        <v>350</v>
      </c>
      <c r="B2" s="4" t="s">
        <v>356</v>
      </c>
      <c r="C2" s="4"/>
      <c r="D2" s="4"/>
    </row>
    <row r="3" spans="1:6" ht="18.5" x14ac:dyDescent="0.45">
      <c r="A3" s="4" t="s">
        <v>351</v>
      </c>
      <c r="B3" s="4" t="s">
        <v>357</v>
      </c>
      <c r="C3" s="4"/>
      <c r="D3" s="4"/>
    </row>
    <row r="4" spans="1:6" ht="18.5" x14ac:dyDescent="0.45">
      <c r="A4" s="4" t="s">
        <v>352</v>
      </c>
      <c r="B4" s="4" t="s">
        <v>359</v>
      </c>
      <c r="C4" s="4"/>
      <c r="D4" s="4"/>
    </row>
    <row r="5" spans="1:6" ht="18.5" x14ac:dyDescent="0.45">
      <c r="A5" s="4" t="s">
        <v>353</v>
      </c>
      <c r="B5" s="4" t="s">
        <v>358</v>
      </c>
      <c r="C5" s="4"/>
      <c r="D5" s="4"/>
    </row>
    <row r="6" spans="1:6" ht="18.5" x14ac:dyDescent="0.45">
      <c r="A6" s="4" t="s">
        <v>354</v>
      </c>
      <c r="B6" s="4">
        <v>5863</v>
      </c>
      <c r="C6" s="4"/>
      <c r="D6" s="4"/>
    </row>
    <row r="8" spans="1:6" x14ac:dyDescent="0.35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</row>
    <row r="9" spans="1:6" x14ac:dyDescent="0.35">
      <c r="A9" t="s">
        <v>360</v>
      </c>
      <c r="B9">
        <v>12751</v>
      </c>
      <c r="C9" t="s">
        <v>495</v>
      </c>
      <c r="D9" s="9">
        <v>100000</v>
      </c>
      <c r="E9" s="9">
        <v>100000</v>
      </c>
      <c r="F9" s="9">
        <v>600000</v>
      </c>
    </row>
    <row r="10" spans="1:6" x14ac:dyDescent="0.35">
      <c r="A10" t="s">
        <v>361</v>
      </c>
      <c r="B10">
        <v>12900</v>
      </c>
      <c r="C10" t="s">
        <v>294</v>
      </c>
      <c r="D10" s="9">
        <v>10000</v>
      </c>
      <c r="E10" s="9">
        <f t="shared" ref="E10:E26" si="0">E9+D10</f>
        <v>110000</v>
      </c>
      <c r="F10" s="9">
        <f t="shared" ref="F10:F26" si="1">F9-D10</f>
        <v>590000</v>
      </c>
    </row>
    <row r="11" spans="1:6" x14ac:dyDescent="0.35">
      <c r="A11" t="s">
        <v>361</v>
      </c>
      <c r="B11">
        <v>12907</v>
      </c>
      <c r="C11" t="s">
        <v>294</v>
      </c>
      <c r="D11" s="9">
        <v>10000</v>
      </c>
      <c r="E11" s="9">
        <f t="shared" si="0"/>
        <v>120000</v>
      </c>
      <c r="F11" s="9">
        <f t="shared" si="1"/>
        <v>580000</v>
      </c>
    </row>
    <row r="12" spans="1:6" x14ac:dyDescent="0.35">
      <c r="A12" t="s">
        <v>362</v>
      </c>
      <c r="B12">
        <v>9609</v>
      </c>
      <c r="C12" t="s">
        <v>294</v>
      </c>
      <c r="D12" s="9">
        <v>10000</v>
      </c>
      <c r="E12" s="9">
        <f t="shared" si="0"/>
        <v>130000</v>
      </c>
      <c r="F12" s="9">
        <f t="shared" si="1"/>
        <v>570000</v>
      </c>
    </row>
    <row r="13" spans="1:6" x14ac:dyDescent="0.35">
      <c r="A13" t="s">
        <v>363</v>
      </c>
      <c r="B13">
        <v>10053</v>
      </c>
      <c r="C13" t="s">
        <v>294</v>
      </c>
      <c r="D13" s="9">
        <v>10000</v>
      </c>
      <c r="E13" s="9">
        <f t="shared" si="0"/>
        <v>140000</v>
      </c>
      <c r="F13" s="9">
        <f t="shared" si="1"/>
        <v>560000</v>
      </c>
    </row>
    <row r="14" spans="1:6" x14ac:dyDescent="0.35">
      <c r="A14" t="s">
        <v>364</v>
      </c>
      <c r="B14">
        <v>10350</v>
      </c>
      <c r="C14" t="s">
        <v>294</v>
      </c>
      <c r="D14" s="9">
        <v>10000</v>
      </c>
      <c r="E14" s="9">
        <f t="shared" si="0"/>
        <v>150000</v>
      </c>
      <c r="F14" s="9">
        <f t="shared" si="1"/>
        <v>550000</v>
      </c>
    </row>
    <row r="15" spans="1:6" x14ac:dyDescent="0.35">
      <c r="A15" t="s">
        <v>365</v>
      </c>
      <c r="B15">
        <v>12038</v>
      </c>
      <c r="C15" t="s">
        <v>294</v>
      </c>
      <c r="D15" s="9">
        <v>10000</v>
      </c>
      <c r="E15" s="9">
        <f t="shared" si="0"/>
        <v>160000</v>
      </c>
      <c r="F15" s="9">
        <f t="shared" si="1"/>
        <v>540000</v>
      </c>
    </row>
    <row r="16" spans="1:6" x14ac:dyDescent="0.35">
      <c r="A16" t="s">
        <v>366</v>
      </c>
      <c r="B16">
        <v>12429</v>
      </c>
      <c r="C16" t="s">
        <v>294</v>
      </c>
      <c r="D16" s="9">
        <v>10000</v>
      </c>
      <c r="E16" s="9">
        <f t="shared" si="0"/>
        <v>170000</v>
      </c>
      <c r="F16" s="9">
        <f t="shared" si="1"/>
        <v>530000</v>
      </c>
    </row>
    <row r="17" spans="1:6" x14ac:dyDescent="0.35">
      <c r="A17" t="s">
        <v>367</v>
      </c>
      <c r="B17">
        <v>12617</v>
      </c>
      <c r="C17" t="s">
        <v>294</v>
      </c>
      <c r="D17" s="9">
        <v>10000</v>
      </c>
      <c r="E17" s="9">
        <f t="shared" si="0"/>
        <v>180000</v>
      </c>
      <c r="F17" s="9">
        <f t="shared" si="1"/>
        <v>520000</v>
      </c>
    </row>
    <row r="18" spans="1:6" x14ac:dyDescent="0.35">
      <c r="A18" t="s">
        <v>368</v>
      </c>
      <c r="B18">
        <v>13715</v>
      </c>
      <c r="C18" t="s">
        <v>294</v>
      </c>
      <c r="D18" s="9">
        <v>10000</v>
      </c>
      <c r="E18" s="9">
        <f t="shared" si="0"/>
        <v>190000</v>
      </c>
      <c r="F18" s="9">
        <f t="shared" si="1"/>
        <v>510000</v>
      </c>
    </row>
    <row r="19" spans="1:6" x14ac:dyDescent="0.35">
      <c r="A19" t="s">
        <v>369</v>
      </c>
      <c r="B19">
        <v>13908</v>
      </c>
      <c r="C19" t="s">
        <v>294</v>
      </c>
      <c r="D19" s="9">
        <v>10000</v>
      </c>
      <c r="E19" s="9">
        <f t="shared" si="0"/>
        <v>200000</v>
      </c>
      <c r="F19" s="9">
        <f t="shared" si="1"/>
        <v>500000</v>
      </c>
    </row>
    <row r="20" spans="1:6" x14ac:dyDescent="0.35">
      <c r="A20" t="s">
        <v>431</v>
      </c>
      <c r="C20" t="s">
        <v>294</v>
      </c>
      <c r="D20" s="9">
        <v>10000</v>
      </c>
      <c r="E20" s="9">
        <f>E19+D20</f>
        <v>210000</v>
      </c>
      <c r="F20" s="9">
        <f>F19-D20</f>
        <v>490000</v>
      </c>
    </row>
    <row r="21" spans="1:6" x14ac:dyDescent="0.35">
      <c r="A21" t="s">
        <v>370</v>
      </c>
      <c r="B21">
        <v>12126</v>
      </c>
      <c r="C21" t="s">
        <v>294</v>
      </c>
      <c r="D21" s="9">
        <v>10000</v>
      </c>
      <c r="E21" s="9">
        <f>E20+D21</f>
        <v>220000</v>
      </c>
      <c r="F21" s="9">
        <f>F20-D21</f>
        <v>480000</v>
      </c>
    </row>
    <row r="22" spans="1:6" x14ac:dyDescent="0.35">
      <c r="A22" t="s">
        <v>371</v>
      </c>
      <c r="B22">
        <v>12130</v>
      </c>
      <c r="C22" t="s">
        <v>294</v>
      </c>
      <c r="D22" s="9">
        <v>20000</v>
      </c>
      <c r="E22" s="9">
        <f t="shared" si="0"/>
        <v>240000</v>
      </c>
      <c r="F22" s="9">
        <f t="shared" si="1"/>
        <v>460000</v>
      </c>
    </row>
    <row r="23" spans="1:6" x14ac:dyDescent="0.35">
      <c r="A23" t="s">
        <v>372</v>
      </c>
      <c r="B23">
        <v>12716</v>
      </c>
      <c r="C23" t="s">
        <v>294</v>
      </c>
      <c r="D23" s="9">
        <v>10000</v>
      </c>
      <c r="E23" s="9">
        <f t="shared" si="0"/>
        <v>250000</v>
      </c>
      <c r="F23" s="9">
        <f t="shared" si="1"/>
        <v>450000</v>
      </c>
    </row>
    <row r="24" spans="1:6" x14ac:dyDescent="0.35">
      <c r="A24" t="s">
        <v>373</v>
      </c>
      <c r="B24">
        <v>13994</v>
      </c>
      <c r="C24" t="s">
        <v>294</v>
      </c>
      <c r="D24" s="9">
        <v>10000</v>
      </c>
      <c r="E24" s="9">
        <f t="shared" si="0"/>
        <v>260000</v>
      </c>
      <c r="F24" s="9">
        <f t="shared" si="1"/>
        <v>440000</v>
      </c>
    </row>
    <row r="25" spans="1:6" x14ac:dyDescent="0.35">
      <c r="A25" t="s">
        <v>374</v>
      </c>
      <c r="B25">
        <v>13413</v>
      </c>
      <c r="C25" t="s">
        <v>294</v>
      </c>
      <c r="D25" s="9">
        <v>10000</v>
      </c>
      <c r="E25" s="9">
        <f t="shared" si="0"/>
        <v>270000</v>
      </c>
      <c r="F25" s="9">
        <f t="shared" si="1"/>
        <v>430000</v>
      </c>
    </row>
    <row r="26" spans="1:6" x14ac:dyDescent="0.35">
      <c r="A26" t="s">
        <v>375</v>
      </c>
      <c r="B26">
        <v>13421</v>
      </c>
      <c r="C26" t="s">
        <v>294</v>
      </c>
      <c r="D26" s="9">
        <v>10000</v>
      </c>
      <c r="E26" s="9">
        <f t="shared" si="0"/>
        <v>280000</v>
      </c>
      <c r="F26" s="9">
        <f t="shared" si="1"/>
        <v>420000</v>
      </c>
    </row>
    <row r="27" spans="1:6" x14ac:dyDescent="0.35">
      <c r="A27" t="s">
        <v>430</v>
      </c>
      <c r="B27">
        <v>1343</v>
      </c>
      <c r="C27" t="s">
        <v>294</v>
      </c>
      <c r="D27" s="9">
        <v>10000</v>
      </c>
      <c r="E27" s="9">
        <f>E26+D27</f>
        <v>290000</v>
      </c>
      <c r="F27" s="9">
        <f>F26-D27</f>
        <v>410000</v>
      </c>
    </row>
    <row r="28" spans="1:6" x14ac:dyDescent="0.35">
      <c r="A28" t="s">
        <v>420</v>
      </c>
      <c r="B28">
        <v>1557</v>
      </c>
      <c r="C28" t="s">
        <v>294</v>
      </c>
      <c r="D28" s="9">
        <v>10000</v>
      </c>
      <c r="E28" s="9">
        <f>E27+D28</f>
        <v>300000</v>
      </c>
      <c r="F28" s="9">
        <f>F27-D28</f>
        <v>400000</v>
      </c>
    </row>
    <row r="29" spans="1:6" x14ac:dyDescent="0.35">
      <c r="A29" s="8">
        <v>46031</v>
      </c>
      <c r="B29">
        <v>1878</v>
      </c>
      <c r="C29" t="s">
        <v>294</v>
      </c>
      <c r="D29" s="9">
        <v>10000</v>
      </c>
      <c r="E29" s="9">
        <f>E28+D29</f>
        <v>310000</v>
      </c>
      <c r="F29" s="9">
        <f>F28-D29</f>
        <v>390000</v>
      </c>
    </row>
    <row r="30" spans="1:6" x14ac:dyDescent="0.35">
      <c r="A30" s="8">
        <v>46063</v>
      </c>
      <c r="B30">
        <v>2146</v>
      </c>
      <c r="C30" t="s">
        <v>496</v>
      </c>
      <c r="D30" s="9">
        <v>10000</v>
      </c>
      <c r="E30" s="9">
        <f>E29+D30</f>
        <v>320000</v>
      </c>
      <c r="F30" s="9">
        <f>F29-D30</f>
        <v>380000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C26" sqref="C26:C27"/>
    </sheetView>
  </sheetViews>
  <sheetFormatPr defaultRowHeight="14.5" x14ac:dyDescent="0.35"/>
  <sheetData>
    <row r="1" spans="1:6" x14ac:dyDescent="0.35">
      <c r="A1" t="s">
        <v>349</v>
      </c>
      <c r="B1" t="s">
        <v>380</v>
      </c>
    </row>
    <row r="2" spans="1:6" x14ac:dyDescent="0.35">
      <c r="A2" t="s">
        <v>350</v>
      </c>
      <c r="B2" t="s">
        <v>381</v>
      </c>
    </row>
    <row r="3" spans="1:6" x14ac:dyDescent="0.35">
      <c r="A3" t="s">
        <v>353</v>
      </c>
      <c r="B3" t="s">
        <v>382</v>
      </c>
    </row>
    <row r="4" spans="1:6" x14ac:dyDescent="0.35">
      <c r="A4" t="s">
        <v>379</v>
      </c>
      <c r="B4" t="s">
        <v>383</v>
      </c>
    </row>
    <row r="5" spans="1:6" x14ac:dyDescent="0.35">
      <c r="A5" t="s">
        <v>377</v>
      </c>
      <c r="B5" t="s">
        <v>432</v>
      </c>
    </row>
    <row r="6" spans="1:6" x14ac:dyDescent="0.35">
      <c r="A6" t="s">
        <v>354</v>
      </c>
      <c r="B6">
        <v>5889</v>
      </c>
    </row>
    <row r="8" spans="1:6" x14ac:dyDescent="0.35">
      <c r="A8" s="7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</row>
    <row r="9" spans="1:6" x14ac:dyDescent="0.35">
      <c r="A9" t="s">
        <v>384</v>
      </c>
      <c r="B9">
        <v>228</v>
      </c>
      <c r="C9" t="s">
        <v>402</v>
      </c>
      <c r="D9" s="9">
        <v>5000</v>
      </c>
      <c r="E9" s="9">
        <v>5000</v>
      </c>
      <c r="F9" s="9">
        <v>645000</v>
      </c>
    </row>
    <row r="10" spans="1:6" x14ac:dyDescent="0.35">
      <c r="A10" t="s">
        <v>385</v>
      </c>
      <c r="B10">
        <v>3083</v>
      </c>
      <c r="C10" t="s">
        <v>403</v>
      </c>
      <c r="D10" s="9">
        <v>25000</v>
      </c>
      <c r="E10" s="9">
        <v>100000</v>
      </c>
      <c r="F10" s="9">
        <v>550000</v>
      </c>
    </row>
    <row r="11" spans="1:6" x14ac:dyDescent="0.35">
      <c r="A11" t="s">
        <v>386</v>
      </c>
      <c r="B11">
        <v>5175</v>
      </c>
      <c r="C11" t="s">
        <v>404</v>
      </c>
      <c r="D11" s="9">
        <v>30000</v>
      </c>
      <c r="E11" s="9">
        <f t="shared" ref="E11:E26" si="0">E10+D11</f>
        <v>130000</v>
      </c>
      <c r="F11" s="9">
        <f t="shared" ref="F11:F26" si="1">F10-D11</f>
        <v>520000</v>
      </c>
    </row>
    <row r="12" spans="1:6" x14ac:dyDescent="0.35">
      <c r="A12" t="s">
        <v>387</v>
      </c>
      <c r="B12">
        <v>5487</v>
      </c>
      <c r="C12" t="s">
        <v>404</v>
      </c>
      <c r="D12" s="9">
        <v>20000</v>
      </c>
      <c r="E12" s="9">
        <f t="shared" si="0"/>
        <v>150000</v>
      </c>
      <c r="F12" s="9">
        <f t="shared" si="1"/>
        <v>500000</v>
      </c>
    </row>
    <row r="13" spans="1:6" x14ac:dyDescent="0.35">
      <c r="A13" t="s">
        <v>388</v>
      </c>
      <c r="B13">
        <v>7171</v>
      </c>
      <c r="C13" t="s">
        <v>404</v>
      </c>
      <c r="D13" s="9">
        <v>10000</v>
      </c>
      <c r="E13" s="9">
        <f t="shared" si="0"/>
        <v>160000</v>
      </c>
      <c r="F13" s="9">
        <f t="shared" si="1"/>
        <v>490000</v>
      </c>
    </row>
    <row r="14" spans="1:6" x14ac:dyDescent="0.35">
      <c r="A14" t="s">
        <v>389</v>
      </c>
      <c r="B14">
        <v>7222</v>
      </c>
      <c r="C14" t="s">
        <v>404</v>
      </c>
      <c r="D14" s="9">
        <v>10000</v>
      </c>
      <c r="E14" s="9">
        <f t="shared" si="0"/>
        <v>170000</v>
      </c>
      <c r="F14" s="9">
        <f t="shared" si="1"/>
        <v>480000</v>
      </c>
    </row>
    <row r="15" spans="1:6" x14ac:dyDescent="0.35">
      <c r="A15" t="s">
        <v>390</v>
      </c>
      <c r="B15">
        <v>8856</v>
      </c>
      <c r="C15" t="s">
        <v>404</v>
      </c>
      <c r="D15" s="9">
        <v>30000</v>
      </c>
      <c r="E15" s="9">
        <f t="shared" si="0"/>
        <v>200000</v>
      </c>
      <c r="F15" s="9">
        <f t="shared" si="1"/>
        <v>450000</v>
      </c>
    </row>
    <row r="16" spans="1:6" x14ac:dyDescent="0.35">
      <c r="A16" t="s">
        <v>391</v>
      </c>
      <c r="B16">
        <v>9430</v>
      </c>
      <c r="C16" t="s">
        <v>404</v>
      </c>
      <c r="D16" s="9">
        <v>10000</v>
      </c>
      <c r="E16" s="9">
        <f t="shared" si="0"/>
        <v>210000</v>
      </c>
      <c r="F16" s="9">
        <f t="shared" si="1"/>
        <v>440000</v>
      </c>
    </row>
    <row r="17" spans="1:6" x14ac:dyDescent="0.35">
      <c r="A17" t="s">
        <v>392</v>
      </c>
      <c r="B17">
        <v>11439</v>
      </c>
      <c r="C17" t="s">
        <v>404</v>
      </c>
      <c r="D17" s="9">
        <v>30000</v>
      </c>
      <c r="E17" s="9">
        <f t="shared" si="0"/>
        <v>240000</v>
      </c>
      <c r="F17" s="9">
        <f t="shared" si="1"/>
        <v>410000</v>
      </c>
    </row>
    <row r="18" spans="1:6" x14ac:dyDescent="0.35">
      <c r="A18" t="s">
        <v>393</v>
      </c>
      <c r="B18">
        <v>12013</v>
      </c>
      <c r="C18" t="s">
        <v>404</v>
      </c>
      <c r="D18" s="9">
        <v>10000</v>
      </c>
      <c r="E18" s="9">
        <f t="shared" si="0"/>
        <v>250000</v>
      </c>
      <c r="F18" s="9">
        <f t="shared" si="1"/>
        <v>400000</v>
      </c>
    </row>
    <row r="19" spans="1:6" x14ac:dyDescent="0.35">
      <c r="A19" t="s">
        <v>394</v>
      </c>
      <c r="B19">
        <v>12014</v>
      </c>
      <c r="C19" t="s">
        <v>404</v>
      </c>
      <c r="D19" s="9">
        <v>20000</v>
      </c>
      <c r="E19" s="9">
        <f t="shared" si="0"/>
        <v>270000</v>
      </c>
      <c r="F19" s="9">
        <f t="shared" si="1"/>
        <v>380000</v>
      </c>
    </row>
    <row r="20" spans="1:6" x14ac:dyDescent="0.35">
      <c r="A20" t="s">
        <v>395</v>
      </c>
      <c r="B20">
        <v>12015</v>
      </c>
      <c r="C20" t="s">
        <v>404</v>
      </c>
      <c r="D20" s="9">
        <v>10000</v>
      </c>
      <c r="E20" s="9">
        <f t="shared" si="0"/>
        <v>280000</v>
      </c>
      <c r="F20" s="9">
        <f t="shared" si="1"/>
        <v>370000</v>
      </c>
    </row>
    <row r="21" spans="1:6" x14ac:dyDescent="0.35">
      <c r="A21" t="s">
        <v>396</v>
      </c>
      <c r="B21">
        <v>10095</v>
      </c>
      <c r="C21" t="s">
        <v>404</v>
      </c>
      <c r="D21" s="9">
        <v>25000</v>
      </c>
      <c r="E21" s="9">
        <f t="shared" si="0"/>
        <v>305000</v>
      </c>
      <c r="F21" s="9">
        <f t="shared" si="1"/>
        <v>345000</v>
      </c>
    </row>
    <row r="22" spans="1:6" x14ac:dyDescent="0.35">
      <c r="A22" t="s">
        <v>397</v>
      </c>
      <c r="B22">
        <v>12019</v>
      </c>
      <c r="C22" t="s">
        <v>404</v>
      </c>
      <c r="D22" s="9">
        <v>30000</v>
      </c>
      <c r="E22" s="9">
        <f t="shared" si="0"/>
        <v>335000</v>
      </c>
      <c r="F22" s="9">
        <f t="shared" si="1"/>
        <v>315000</v>
      </c>
    </row>
    <row r="23" spans="1:6" x14ac:dyDescent="0.35">
      <c r="A23" t="s">
        <v>398</v>
      </c>
      <c r="B23">
        <v>12947</v>
      </c>
      <c r="C23" t="s">
        <v>404</v>
      </c>
      <c r="D23" s="9">
        <v>10000</v>
      </c>
      <c r="E23" s="9">
        <f t="shared" si="0"/>
        <v>345000</v>
      </c>
      <c r="F23" s="9">
        <f t="shared" si="1"/>
        <v>305000</v>
      </c>
    </row>
    <row r="24" spans="1:6" x14ac:dyDescent="0.35">
      <c r="A24" t="s">
        <v>399</v>
      </c>
      <c r="B24">
        <v>12709</v>
      </c>
      <c r="C24" t="s">
        <v>404</v>
      </c>
      <c r="D24" s="9">
        <v>10000</v>
      </c>
      <c r="E24" s="9">
        <f t="shared" si="0"/>
        <v>355000</v>
      </c>
      <c r="F24" s="9">
        <f t="shared" si="1"/>
        <v>295000</v>
      </c>
    </row>
    <row r="25" spans="1:6" x14ac:dyDescent="0.35">
      <c r="A25" t="s">
        <v>400</v>
      </c>
      <c r="B25">
        <v>13081</v>
      </c>
      <c r="C25" t="s">
        <v>404</v>
      </c>
      <c r="D25" s="9">
        <v>20000</v>
      </c>
      <c r="E25" s="9">
        <f t="shared" si="0"/>
        <v>375000</v>
      </c>
      <c r="F25" s="9">
        <f t="shared" si="1"/>
        <v>275000</v>
      </c>
    </row>
    <row r="26" spans="1:6" x14ac:dyDescent="0.35">
      <c r="A26" t="s">
        <v>401</v>
      </c>
      <c r="B26">
        <v>13525</v>
      </c>
      <c r="C26" t="s">
        <v>404</v>
      </c>
      <c r="D26" s="9">
        <v>40000</v>
      </c>
      <c r="E26" s="9">
        <f t="shared" si="0"/>
        <v>415000</v>
      </c>
      <c r="F26" s="9">
        <f t="shared" si="1"/>
        <v>235000</v>
      </c>
    </row>
    <row r="27" spans="1:6" x14ac:dyDescent="0.35">
      <c r="A27" t="s">
        <v>433</v>
      </c>
      <c r="B27">
        <v>1586</v>
      </c>
      <c r="C27" t="s">
        <v>404</v>
      </c>
      <c r="D27" s="9">
        <v>20000</v>
      </c>
      <c r="E27" s="9">
        <f>E26+D27</f>
        <v>435000</v>
      </c>
      <c r="F27" s="9">
        <f>F26-D27</f>
        <v>215000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C3" sqref="C3"/>
    </sheetView>
  </sheetViews>
  <sheetFormatPr defaultRowHeight="14.5" x14ac:dyDescent="0.35"/>
  <cols>
    <col min="1" max="1" width="17" customWidth="1"/>
    <col min="2" max="2" width="13.26953125" customWidth="1"/>
    <col min="3" max="3" width="15.26953125" customWidth="1"/>
    <col min="4" max="4" width="20.453125" customWidth="1"/>
    <col min="5" max="5" width="18.90625" customWidth="1"/>
    <col min="6" max="6" width="13.1796875" customWidth="1"/>
    <col min="7" max="7" width="13.26953125" customWidth="1"/>
  </cols>
  <sheetData>
    <row r="1" spans="1:11" x14ac:dyDescent="0.35">
      <c r="A1" t="s">
        <v>520</v>
      </c>
      <c r="B1" t="s">
        <v>512</v>
      </c>
      <c r="D1" t="s">
        <v>513</v>
      </c>
      <c r="E1">
        <v>5871</v>
      </c>
    </row>
    <row r="2" spans="1:11" x14ac:dyDescent="0.35">
      <c r="A2" t="s">
        <v>514</v>
      </c>
      <c r="B2" t="s">
        <v>515</v>
      </c>
      <c r="D2" t="s">
        <v>516</v>
      </c>
      <c r="E2" s="9">
        <v>450000</v>
      </c>
    </row>
    <row r="3" spans="1:11" x14ac:dyDescent="0.35">
      <c r="A3" t="s">
        <v>517</v>
      </c>
      <c r="B3" t="s">
        <v>518</v>
      </c>
      <c r="D3" t="s">
        <v>519</v>
      </c>
      <c r="E3" s="9">
        <v>385000</v>
      </c>
      <c r="K3" t="s">
        <v>521</v>
      </c>
    </row>
    <row r="5" spans="1:11" x14ac:dyDescent="0.35">
      <c r="A5" s="63" t="s">
        <v>0</v>
      </c>
      <c r="B5" s="63" t="s">
        <v>499</v>
      </c>
      <c r="C5" s="63" t="s">
        <v>500</v>
      </c>
      <c r="D5" s="63" t="s">
        <v>501</v>
      </c>
      <c r="E5" s="63" t="s">
        <v>502</v>
      </c>
      <c r="F5" s="63" t="s">
        <v>503</v>
      </c>
      <c r="G5" s="5"/>
      <c r="H5" s="5"/>
    </row>
    <row r="6" spans="1:11" x14ac:dyDescent="0.35">
      <c r="A6" s="52" t="s">
        <v>504</v>
      </c>
      <c r="B6" s="52">
        <v>3415</v>
      </c>
      <c r="C6" s="52" t="s">
        <v>505</v>
      </c>
      <c r="D6" s="51">
        <v>5000</v>
      </c>
      <c r="E6" s="51">
        <v>5000</v>
      </c>
      <c r="F6" s="51">
        <v>445000</v>
      </c>
    </row>
    <row r="7" spans="1:11" x14ac:dyDescent="0.35">
      <c r="A7" s="52" t="s">
        <v>506</v>
      </c>
      <c r="B7" s="52">
        <v>3220</v>
      </c>
      <c r="C7" s="52" t="s">
        <v>265</v>
      </c>
      <c r="D7" s="51">
        <v>5000</v>
      </c>
      <c r="E7" s="51">
        <v>10000</v>
      </c>
      <c r="F7" s="51">
        <v>440000</v>
      </c>
    </row>
    <row r="8" spans="1:11" x14ac:dyDescent="0.35">
      <c r="A8" s="52" t="s">
        <v>507</v>
      </c>
      <c r="B8" s="52">
        <v>3359</v>
      </c>
      <c r="C8" s="52" t="s">
        <v>505</v>
      </c>
      <c r="D8" s="51">
        <v>5000</v>
      </c>
      <c r="E8" s="51">
        <v>15000</v>
      </c>
      <c r="F8" s="51">
        <v>435000</v>
      </c>
    </row>
    <row r="9" spans="1:11" x14ac:dyDescent="0.35">
      <c r="A9" s="52" t="s">
        <v>103</v>
      </c>
      <c r="B9" s="52">
        <v>3869</v>
      </c>
      <c r="C9" s="52" t="s">
        <v>265</v>
      </c>
      <c r="D9" s="51">
        <v>5000</v>
      </c>
      <c r="E9" s="51">
        <v>20000</v>
      </c>
      <c r="F9" s="51">
        <v>430000</v>
      </c>
    </row>
    <row r="10" spans="1:11" x14ac:dyDescent="0.35">
      <c r="A10" s="52" t="s">
        <v>508</v>
      </c>
      <c r="B10" s="52">
        <v>5181</v>
      </c>
      <c r="C10" s="52" t="s">
        <v>505</v>
      </c>
      <c r="D10" s="51">
        <v>5000</v>
      </c>
      <c r="E10" s="51">
        <v>25000</v>
      </c>
      <c r="F10" s="51">
        <v>425000</v>
      </c>
    </row>
    <row r="11" spans="1:11" x14ac:dyDescent="0.35">
      <c r="A11" s="52" t="s">
        <v>509</v>
      </c>
      <c r="B11" s="52">
        <v>5401</v>
      </c>
      <c r="C11" s="52" t="s">
        <v>505</v>
      </c>
      <c r="D11" s="51">
        <v>5000</v>
      </c>
      <c r="E11" s="51">
        <v>30000</v>
      </c>
      <c r="F11" s="51">
        <v>420000</v>
      </c>
    </row>
    <row r="12" spans="1:11" x14ac:dyDescent="0.35">
      <c r="A12" s="55">
        <v>46115</v>
      </c>
      <c r="B12" s="52">
        <v>5640</v>
      </c>
      <c r="C12" s="52" t="s">
        <v>505</v>
      </c>
      <c r="D12" s="51">
        <v>5000</v>
      </c>
      <c r="E12" s="51">
        <v>35000</v>
      </c>
      <c r="F12" s="51">
        <v>415000</v>
      </c>
    </row>
    <row r="13" spans="1:11" x14ac:dyDescent="0.35">
      <c r="A13" s="55">
        <v>46177</v>
      </c>
      <c r="B13" s="52">
        <v>5862</v>
      </c>
      <c r="C13" s="52" t="s">
        <v>484</v>
      </c>
      <c r="D13" s="51">
        <v>5000</v>
      </c>
      <c r="E13" s="51">
        <v>40000</v>
      </c>
      <c r="F13" s="51">
        <v>410000</v>
      </c>
    </row>
    <row r="14" spans="1:11" x14ac:dyDescent="0.35">
      <c r="A14" s="55">
        <v>46147</v>
      </c>
      <c r="B14" s="52">
        <v>1383</v>
      </c>
      <c r="C14" s="52" t="s">
        <v>484</v>
      </c>
      <c r="D14" s="51">
        <v>5000</v>
      </c>
      <c r="E14" s="51">
        <v>45000</v>
      </c>
      <c r="F14" s="51">
        <v>405000</v>
      </c>
    </row>
    <row r="15" spans="1:11" x14ac:dyDescent="0.35">
      <c r="A15" s="55">
        <v>46148</v>
      </c>
      <c r="B15" s="52">
        <v>1569</v>
      </c>
      <c r="C15" s="52" t="s">
        <v>484</v>
      </c>
      <c r="D15" s="51">
        <v>5000</v>
      </c>
      <c r="E15" s="51">
        <v>50000</v>
      </c>
      <c r="F15" s="51">
        <v>400000</v>
      </c>
    </row>
    <row r="16" spans="1:11" x14ac:dyDescent="0.35">
      <c r="A16" s="55">
        <v>46210</v>
      </c>
      <c r="B16" s="52">
        <v>1775</v>
      </c>
      <c r="C16" s="52" t="s">
        <v>484</v>
      </c>
      <c r="D16" s="51">
        <v>5000</v>
      </c>
      <c r="E16" s="51">
        <v>55000</v>
      </c>
      <c r="F16" s="51">
        <v>395000</v>
      </c>
    </row>
    <row r="17" spans="1:6" x14ac:dyDescent="0.35">
      <c r="A17" s="52" t="s">
        <v>510</v>
      </c>
      <c r="B17" s="52">
        <v>3781</v>
      </c>
      <c r="C17" s="52" t="s">
        <v>484</v>
      </c>
      <c r="D17" s="51">
        <v>5000</v>
      </c>
      <c r="E17" s="51">
        <v>60000</v>
      </c>
      <c r="F17" s="51">
        <v>390000</v>
      </c>
    </row>
    <row r="18" spans="1:6" x14ac:dyDescent="0.35">
      <c r="A18" s="55">
        <v>46274</v>
      </c>
      <c r="B18" s="52">
        <v>2033</v>
      </c>
      <c r="C18" s="52" t="s">
        <v>484</v>
      </c>
      <c r="D18" s="51">
        <v>5000</v>
      </c>
      <c r="E18" s="51">
        <v>65000</v>
      </c>
      <c r="F18" s="51">
        <v>385000</v>
      </c>
    </row>
    <row r="19" spans="1:6" x14ac:dyDescent="0.35">
      <c r="A19" s="52"/>
      <c r="B19" s="52"/>
      <c r="C19" s="52" t="s">
        <v>511</v>
      </c>
      <c r="D19" s="51">
        <v>65000</v>
      </c>
      <c r="E19" s="51">
        <v>65000</v>
      </c>
      <c r="F19" s="51">
        <v>385000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L-5877</vt:lpstr>
      <vt:lpstr>L-5844</vt:lpstr>
      <vt:lpstr>L-5849</vt:lpstr>
      <vt:lpstr>L-5842</vt:lpstr>
      <vt:lpstr>L-5841</vt:lpstr>
      <vt:lpstr>L-5801</vt:lpstr>
      <vt:lpstr>L-5843</vt:lpstr>
      <vt:lpstr>L-5854</vt:lpstr>
      <vt:lpstr>L-5853</vt:lpstr>
      <vt:lpstr>L-5874</vt:lpstr>
      <vt:lpstr>L-5876</vt:lpstr>
      <vt:lpstr>L-5800</vt:lpstr>
      <vt:lpstr>L-5881</vt:lpstr>
      <vt:lpstr>L-5890</vt:lpstr>
      <vt:lpstr>L-5892</vt:lpstr>
      <vt:lpstr>L-5894</vt:lpstr>
      <vt:lpstr>L-5860</vt:lpstr>
      <vt:lpstr>L-5861</vt:lpstr>
      <vt:lpstr>L-5862</vt:lpstr>
      <vt:lpstr>L-5878</vt:lpstr>
      <vt:lpstr>L-5864</vt:lpstr>
      <vt:lpstr>L-5870</vt:lpstr>
      <vt:lpstr>L-5869</vt:lpstr>
      <vt:lpstr>L-5868</vt:lpstr>
      <vt:lpstr>L-5865</vt:lpstr>
      <vt:lpstr>L-5872</vt:lpstr>
      <vt:lpstr>L-5873</vt:lpstr>
      <vt:lpstr>L-5863</vt:lpstr>
      <vt:lpstr>L-5889</vt:lpstr>
      <vt:lpstr>L-5871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2026-02-22T00:59:40Z</dcterms:created>
  <dcterms:modified xsi:type="dcterms:W3CDTF">2026-10-10T13:43:18Z</dcterms:modified>
</cp:coreProperties>
</file>