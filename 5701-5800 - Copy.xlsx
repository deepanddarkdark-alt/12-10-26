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-110" yWindow="-110" windowWidth="19420" windowHeight="10420" firstSheet="18" activeTab="24"/>
  </bookViews>
  <sheets>
    <sheet name="L-5769" sheetId="1" r:id="rId1"/>
    <sheet name="L-5701" sheetId="12" r:id="rId2"/>
    <sheet name="L-5714" sheetId="29" r:id="rId3"/>
    <sheet name="L-5715" sheetId="28" r:id="rId4"/>
    <sheet name="L-5716" sheetId="27" r:id="rId5"/>
    <sheet name="L-5765" sheetId="20" r:id="rId6"/>
    <sheet name="L-5766" sheetId="21" r:id="rId7"/>
    <sheet name="L-5702" sheetId="13" r:id="rId8"/>
    <sheet name="L-5739" sheetId="30" r:id="rId9"/>
    <sheet name="L-5784" sheetId="6" r:id="rId10"/>
    <sheet name="L-5760" sheetId="7" r:id="rId11"/>
    <sheet name="L-5788" sheetId="15" r:id="rId12"/>
    <sheet name="L-5786" sheetId="16" r:id="rId13"/>
    <sheet name="L-5799" sheetId="2" r:id="rId14"/>
    <sheet name="L-5783" sheetId="3" r:id="rId15"/>
    <sheet name="L-5776" sheetId="8" r:id="rId16"/>
    <sheet name="L-5782" sheetId="4" r:id="rId17"/>
    <sheet name="L-5789" sheetId="5" r:id="rId18"/>
    <sheet name="L-5705" sheetId="23" r:id="rId19"/>
    <sheet name="L-5704" sheetId="24" r:id="rId20"/>
    <sheet name="L-5775" sheetId="9" r:id="rId21"/>
    <sheet name="L-5773" sheetId="10" r:id="rId22"/>
    <sheet name="L-5774" sheetId="11" r:id="rId23"/>
    <sheet name="L-5787" sheetId="14" r:id="rId24"/>
    <sheet name="L-5706" sheetId="31" r:id="rId25"/>
    <sheet name="L-5711" sheetId="17" r:id="rId26"/>
    <sheet name="L-5708" sheetId="18" r:id="rId27"/>
    <sheet name="L-4934" sheetId="22" r:id="rId28"/>
    <sheet name="L-5779" sheetId="19" r:id="rId29"/>
    <sheet name="L-5754" sheetId="25" r:id="rId30"/>
    <sheet name="L-5785" sheetId="32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31" l="1"/>
  <c r="E24" i="31"/>
  <c r="F39" i="5"/>
  <c r="E39" i="5"/>
  <c r="F39" i="15"/>
  <c r="E39" i="15"/>
  <c r="F31" i="14"/>
  <c r="F30" i="14"/>
  <c r="E31" i="14"/>
  <c r="E30" i="14"/>
  <c r="F32" i="16"/>
  <c r="F31" i="16"/>
  <c r="E32" i="16"/>
  <c r="E31" i="16"/>
  <c r="F47" i="6"/>
  <c r="E47" i="6"/>
  <c r="F39" i="30"/>
  <c r="F40" i="30" s="1"/>
  <c r="F41" i="30" s="1"/>
  <c r="F42" i="30" s="1"/>
  <c r="F43" i="30" s="1"/>
  <c r="F44" i="30" s="1"/>
  <c r="F45" i="30" s="1"/>
  <c r="F38" i="30"/>
  <c r="F37" i="30"/>
  <c r="F36" i="30"/>
  <c r="F35" i="30"/>
  <c r="F34" i="30"/>
  <c r="F33" i="30"/>
  <c r="F32" i="30"/>
  <c r="F31" i="30"/>
  <c r="F30" i="30"/>
  <c r="F29" i="30"/>
  <c r="F28" i="30"/>
  <c r="F27" i="30"/>
  <c r="E39" i="30"/>
  <c r="E40" i="30" s="1"/>
  <c r="E41" i="30" s="1"/>
  <c r="E42" i="30" s="1"/>
  <c r="E43" i="30" s="1"/>
  <c r="E44" i="30" s="1"/>
  <c r="E45" i="30" s="1"/>
  <c r="E38" i="30"/>
  <c r="E37" i="30"/>
  <c r="E36" i="30"/>
  <c r="E35" i="30"/>
  <c r="E34" i="30"/>
  <c r="E33" i="30"/>
  <c r="E32" i="30"/>
  <c r="E31" i="30"/>
  <c r="E30" i="30"/>
  <c r="E29" i="30"/>
  <c r="E28" i="30"/>
  <c r="E27" i="30"/>
  <c r="F26" i="30"/>
  <c r="F25" i="30"/>
  <c r="F24" i="30"/>
  <c r="F23" i="30"/>
  <c r="F22" i="30"/>
  <c r="F21" i="30"/>
  <c r="F20" i="30"/>
  <c r="F19" i="30"/>
  <c r="F18" i="30"/>
  <c r="F17" i="30"/>
  <c r="E26" i="30"/>
  <c r="E25" i="30"/>
  <c r="E24" i="30"/>
  <c r="E23" i="30"/>
  <c r="E22" i="30"/>
  <c r="E21" i="30"/>
  <c r="E20" i="30"/>
  <c r="E19" i="30"/>
  <c r="E18" i="30"/>
  <c r="E17" i="30"/>
  <c r="F23" i="31"/>
  <c r="E23" i="31"/>
  <c r="F38" i="15"/>
  <c r="F37" i="15"/>
  <c r="E38" i="15"/>
  <c r="E37" i="15"/>
  <c r="F16" i="1"/>
  <c r="F15" i="1"/>
  <c r="E16" i="1"/>
  <c r="E15" i="1"/>
  <c r="E38" i="17"/>
  <c r="F37" i="17"/>
  <c r="F36" i="17"/>
  <c r="F35" i="17"/>
  <c r="F34" i="17"/>
  <c r="F33" i="17"/>
  <c r="E37" i="17"/>
  <c r="E36" i="17"/>
  <c r="E35" i="17"/>
  <c r="E34" i="17"/>
  <c r="E33" i="17"/>
  <c r="F43" i="2"/>
  <c r="E43" i="2"/>
  <c r="F42" i="2"/>
  <c r="E42" i="2"/>
  <c r="F22" i="31"/>
  <c r="E22" i="31"/>
  <c r="F46" i="6"/>
  <c r="E46" i="6"/>
  <c r="F38" i="5"/>
  <c r="E38" i="5"/>
  <c r="F47" i="4"/>
  <c r="F46" i="4"/>
  <c r="F45" i="4"/>
  <c r="F44" i="4"/>
  <c r="F43" i="4"/>
  <c r="E47" i="4"/>
  <c r="E46" i="4"/>
  <c r="E45" i="4"/>
  <c r="E44" i="4"/>
  <c r="E43" i="4"/>
  <c r="F42" i="4"/>
  <c r="F41" i="4"/>
  <c r="F40" i="4"/>
  <c r="F39" i="4"/>
  <c r="F38" i="4"/>
  <c r="F37" i="4"/>
  <c r="F36" i="4"/>
  <c r="F35" i="4"/>
  <c r="F34" i="4"/>
  <c r="F33" i="4"/>
  <c r="E42" i="4"/>
  <c r="E41" i="4"/>
  <c r="E40" i="4"/>
  <c r="E39" i="4"/>
  <c r="E38" i="4"/>
  <c r="E37" i="4"/>
  <c r="E36" i="4"/>
  <c r="E35" i="4"/>
  <c r="E34" i="4"/>
  <c r="E33" i="4"/>
  <c r="F47" i="3"/>
  <c r="F46" i="3"/>
  <c r="F45" i="3"/>
  <c r="F44" i="3"/>
  <c r="F43" i="3"/>
  <c r="F42" i="3"/>
  <c r="E47" i="3"/>
  <c r="E46" i="3"/>
  <c r="E45" i="3"/>
  <c r="E44" i="3"/>
  <c r="E43" i="3"/>
  <c r="E42" i="3"/>
  <c r="F41" i="3"/>
  <c r="F40" i="3"/>
  <c r="F39" i="3"/>
  <c r="F38" i="3"/>
  <c r="F37" i="3"/>
  <c r="F36" i="3"/>
  <c r="F35" i="3"/>
  <c r="F34" i="3"/>
  <c r="F33" i="3"/>
  <c r="E41" i="3"/>
  <c r="E40" i="3"/>
  <c r="E39" i="3"/>
  <c r="E38" i="3"/>
  <c r="E37" i="3"/>
  <c r="E36" i="3"/>
  <c r="E35" i="3"/>
  <c r="E34" i="3"/>
  <c r="E33" i="3"/>
  <c r="F15" i="23"/>
  <c r="E15" i="23"/>
  <c r="F16" i="24"/>
  <c r="E16" i="24"/>
  <c r="F24" i="25"/>
  <c r="E24" i="25"/>
  <c r="F45" i="6"/>
  <c r="E45" i="6"/>
  <c r="F37" i="5"/>
  <c r="E37" i="5"/>
  <c r="F15" i="24"/>
  <c r="E15" i="24"/>
  <c r="F14" i="23"/>
  <c r="E14" i="23"/>
  <c r="F22" i="28"/>
  <c r="E22" i="28"/>
  <c r="F22" i="27"/>
  <c r="E22" i="27"/>
  <c r="F22" i="29"/>
  <c r="E22" i="29"/>
  <c r="F21" i="31"/>
  <c r="E21" i="31"/>
  <c r="F44" i="6"/>
  <c r="F43" i="6"/>
  <c r="E44" i="6"/>
  <c r="E43" i="6"/>
  <c r="F36" i="15"/>
  <c r="E36" i="15"/>
  <c r="F29" i="14"/>
  <c r="E29" i="14"/>
  <c r="F30" i="16"/>
  <c r="E30" i="16"/>
  <c r="F36" i="5"/>
  <c r="E36" i="5"/>
  <c r="F21" i="28"/>
  <c r="E21" i="28"/>
  <c r="F21" i="29"/>
  <c r="E21" i="29"/>
  <c r="F41" i="2"/>
  <c r="F40" i="2"/>
  <c r="E41" i="2"/>
  <c r="E40" i="2"/>
  <c r="F21" i="27"/>
  <c r="E21" i="27"/>
  <c r="F23" i="25"/>
  <c r="F22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F20" i="31"/>
  <c r="E20" i="31"/>
  <c r="F13" i="23"/>
  <c r="F14" i="24"/>
  <c r="F19" i="31"/>
  <c r="F18" i="31"/>
  <c r="F17" i="31"/>
  <c r="F16" i="31"/>
  <c r="F15" i="31"/>
  <c r="F14" i="31"/>
  <c r="F13" i="31"/>
  <c r="F12" i="31"/>
  <c r="F11" i="31"/>
  <c r="F10" i="31"/>
  <c r="E19" i="31"/>
  <c r="E18" i="31"/>
  <c r="E17" i="31"/>
  <c r="E16" i="31"/>
  <c r="E15" i="31"/>
  <c r="E14" i="31"/>
  <c r="E13" i="31"/>
  <c r="E12" i="31"/>
  <c r="E11" i="31"/>
  <c r="E10" i="31"/>
  <c r="F29" i="16"/>
  <c r="E29" i="16"/>
  <c r="F35" i="15" l="1"/>
  <c r="E35" i="15"/>
  <c r="F28" i="14"/>
  <c r="E28" i="14"/>
  <c r="F14" i="1"/>
  <c r="F13" i="1"/>
  <c r="E14" i="1"/>
  <c r="F12" i="1"/>
  <c r="F10" i="30"/>
  <c r="F11" i="30"/>
  <c r="F12" i="30"/>
  <c r="E10" i="30"/>
  <c r="E11" i="30" s="1"/>
  <c r="E12" i="30" s="1"/>
  <c r="F9" i="30"/>
  <c r="E9" i="30"/>
  <c r="F9" i="29" l="1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E9" i="29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F10" i="28"/>
  <c r="F11" i="28" s="1"/>
  <c r="F12" i="28" s="1"/>
  <c r="F13" i="28" s="1"/>
  <c r="F14" i="28" s="1"/>
  <c r="F15" i="28" s="1"/>
  <c r="F16" i="28" s="1"/>
  <c r="F17" i="28" s="1"/>
  <c r="F18" i="28" s="1"/>
  <c r="F19" i="28" s="1"/>
  <c r="F20" i="28" s="1"/>
  <c r="E10" i="28"/>
  <c r="E11" i="28" s="1"/>
  <c r="E12" i="28" s="1"/>
  <c r="E13" i="28" s="1"/>
  <c r="E14" i="28" s="1"/>
  <c r="E15" i="28" s="1"/>
  <c r="E16" i="28" s="1"/>
  <c r="E17" i="28" s="1"/>
  <c r="E18" i="28" s="1"/>
  <c r="E19" i="28" s="1"/>
  <c r="E20" i="28" s="1"/>
  <c r="F9" i="28"/>
  <c r="E9" i="28"/>
  <c r="F19" i="27"/>
  <c r="F20" i="27" s="1"/>
  <c r="E19" i="27"/>
  <c r="E20" i="27" s="1"/>
  <c r="F10" i="27"/>
  <c r="F11" i="27" s="1"/>
  <c r="F12" i="27" s="1"/>
  <c r="F13" i="27" s="1"/>
  <c r="F14" i="27" s="1"/>
  <c r="F15" i="27" s="1"/>
  <c r="F16" i="27" s="1"/>
  <c r="F17" i="27" s="1"/>
  <c r="F18" i="27" s="1"/>
  <c r="E10" i="27"/>
  <c r="E11" i="27" s="1"/>
  <c r="E12" i="27" s="1"/>
  <c r="E13" i="27" s="1"/>
  <c r="E14" i="27" s="1"/>
  <c r="E15" i="27" s="1"/>
  <c r="E16" i="27" s="1"/>
  <c r="E17" i="27" s="1"/>
  <c r="E18" i="27" s="1"/>
  <c r="F9" i="27"/>
  <c r="E9" i="27"/>
  <c r="E10" i="24" l="1"/>
  <c r="E11" i="24" s="1"/>
  <c r="E12" i="24" s="1"/>
  <c r="E13" i="24" s="1"/>
  <c r="F9" i="24"/>
  <c r="F10" i="24" s="1"/>
  <c r="F11" i="24" s="1"/>
  <c r="F12" i="24" s="1"/>
  <c r="F13" i="24" s="1"/>
  <c r="E9" i="24"/>
  <c r="F10" i="23" l="1"/>
  <c r="F11" i="23" s="1"/>
  <c r="F12" i="23" s="1"/>
  <c r="E10" i="23"/>
  <c r="E11" i="23" s="1"/>
  <c r="E12" i="23" s="1"/>
  <c r="F9" i="23"/>
  <c r="E9" i="23"/>
  <c r="F35" i="5"/>
  <c r="E35" i="5"/>
  <c r="F10" i="21"/>
  <c r="F11" i="21" s="1"/>
  <c r="F12" i="21" s="1"/>
  <c r="F13" i="21" s="1"/>
  <c r="F14" i="21" s="1"/>
  <c r="E10" i="21"/>
  <c r="E11" i="21" s="1"/>
  <c r="E12" i="21" s="1"/>
  <c r="E13" i="21" s="1"/>
  <c r="E14" i="21" s="1"/>
  <c r="E15" i="21" s="1"/>
  <c r="F9" i="21"/>
  <c r="E9" i="21"/>
  <c r="F19" i="20"/>
  <c r="F20" i="20" s="1"/>
  <c r="F21" i="20" s="1"/>
  <c r="F22" i="20" s="1"/>
  <c r="F23" i="20" s="1"/>
  <c r="F24" i="20" s="1"/>
  <c r="F25" i="20" s="1"/>
  <c r="F26" i="20" s="1"/>
  <c r="F27" i="20" s="1"/>
  <c r="E19" i="20"/>
  <c r="E20" i="20" s="1"/>
  <c r="E21" i="20" s="1"/>
  <c r="E22" i="20" s="1"/>
  <c r="E23" i="20" s="1"/>
  <c r="E24" i="20" s="1"/>
  <c r="E25" i="20" s="1"/>
  <c r="E26" i="20" s="1"/>
  <c r="E27" i="20" s="1"/>
  <c r="F10" i="20"/>
  <c r="F11" i="20"/>
  <c r="F12" i="20"/>
  <c r="F13" i="20"/>
  <c r="F14" i="20" s="1"/>
  <c r="F15" i="20" s="1"/>
  <c r="F16" i="20" s="1"/>
  <c r="F17" i="20" s="1"/>
  <c r="F18" i="20" s="1"/>
  <c r="E10" i="20"/>
  <c r="E11" i="20"/>
  <c r="E12" i="20"/>
  <c r="E13" i="20"/>
  <c r="E14" i="20" s="1"/>
  <c r="E15" i="20" s="1"/>
  <c r="E16" i="20" s="1"/>
  <c r="E17" i="20" s="1"/>
  <c r="E18" i="20" s="1"/>
  <c r="F9" i="20"/>
  <c r="E9" i="20"/>
  <c r="F42" i="6"/>
  <c r="E42" i="6"/>
  <c r="F10" i="18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E10" i="18"/>
  <c r="E11" i="18"/>
  <c r="E12" i="18"/>
  <c r="E13" i="18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F9" i="18"/>
  <c r="E9" i="18"/>
  <c r="F19" i="17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E19" i="17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11" i="17"/>
  <c r="E12" i="17" s="1"/>
  <c r="E13" i="17" s="1"/>
  <c r="E14" i="17" s="1"/>
  <c r="E15" i="17" s="1"/>
  <c r="E16" i="17" s="1"/>
  <c r="E17" i="17" s="1"/>
  <c r="E18" i="17" s="1"/>
  <c r="F11" i="17"/>
  <c r="F12" i="17" s="1"/>
  <c r="F13" i="17" s="1"/>
  <c r="F14" i="17" s="1"/>
  <c r="F15" i="17" s="1"/>
  <c r="F16" i="17" s="1"/>
  <c r="F17" i="17" s="1"/>
  <c r="F18" i="17" s="1"/>
  <c r="F10" i="17"/>
  <c r="E10" i="17"/>
  <c r="F9" i="17"/>
  <c r="E9" i="17"/>
  <c r="F19" i="16"/>
  <c r="F20" i="16" s="1"/>
  <c r="F21" i="16" s="1"/>
  <c r="F22" i="16" s="1"/>
  <c r="F23" i="16" s="1"/>
  <c r="F24" i="16" s="1"/>
  <c r="F25" i="16" s="1"/>
  <c r="F26" i="16" s="1"/>
  <c r="F27" i="16" s="1"/>
  <c r="F28" i="16" s="1"/>
  <c r="E19" i="16"/>
  <c r="E20" i="16" s="1"/>
  <c r="E21" i="16" s="1"/>
  <c r="E22" i="16" s="1"/>
  <c r="E23" i="16" s="1"/>
  <c r="E24" i="16" s="1"/>
  <c r="E25" i="16" s="1"/>
  <c r="E26" i="16" s="1"/>
  <c r="E27" i="16" s="1"/>
  <c r="E28" i="16" s="1"/>
  <c r="F10" i="16"/>
  <c r="F11" i="16" s="1"/>
  <c r="F12" i="16" s="1"/>
  <c r="F13" i="16" s="1"/>
  <c r="F14" i="16" s="1"/>
  <c r="F15" i="16" s="1"/>
  <c r="F16" i="16" s="1"/>
  <c r="F17" i="16" s="1"/>
  <c r="F18" i="16" s="1"/>
  <c r="E10" i="16"/>
  <c r="E11" i="16" s="1"/>
  <c r="E12" i="16" s="1"/>
  <c r="E13" i="16" s="1"/>
  <c r="E14" i="16" s="1"/>
  <c r="E15" i="16" s="1"/>
  <c r="E16" i="16" s="1"/>
  <c r="E17" i="16" s="1"/>
  <c r="E18" i="16" s="1"/>
  <c r="F9" i="16"/>
  <c r="E9" i="16"/>
  <c r="F19" i="15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E19" i="15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F10" i="15"/>
  <c r="F11" i="15" s="1"/>
  <c r="F12" i="15" s="1"/>
  <c r="F13" i="15" s="1"/>
  <c r="F14" i="15" s="1"/>
  <c r="F15" i="15" s="1"/>
  <c r="F16" i="15" s="1"/>
  <c r="F17" i="15" s="1"/>
  <c r="F18" i="15" s="1"/>
  <c r="E10" i="15"/>
  <c r="E11" i="15"/>
  <c r="E12" i="15"/>
  <c r="E13" i="15"/>
  <c r="E14" i="15" s="1"/>
  <c r="E15" i="15" s="1"/>
  <c r="E16" i="15" s="1"/>
  <c r="E17" i="15" s="1"/>
  <c r="E18" i="15" s="1"/>
  <c r="F9" i="15"/>
  <c r="E9" i="15"/>
  <c r="F19" i="14"/>
  <c r="F20" i="14" s="1"/>
  <c r="F21" i="14" s="1"/>
  <c r="F22" i="14" s="1"/>
  <c r="F23" i="14" s="1"/>
  <c r="F24" i="14" s="1"/>
  <c r="F25" i="14" s="1"/>
  <c r="F26" i="14" s="1"/>
  <c r="F27" i="14" s="1"/>
  <c r="E19" i="14"/>
  <c r="E20" i="14" s="1"/>
  <c r="E21" i="14" s="1"/>
  <c r="E22" i="14" s="1"/>
  <c r="E23" i="14" s="1"/>
  <c r="E24" i="14" s="1"/>
  <c r="E25" i="14" s="1"/>
  <c r="E26" i="14" s="1"/>
  <c r="E27" i="14" s="1"/>
  <c r="F10" i="14"/>
  <c r="F11" i="14" s="1"/>
  <c r="F12" i="14" s="1"/>
  <c r="F13" i="14" s="1"/>
  <c r="F14" i="14" s="1"/>
  <c r="F15" i="14" s="1"/>
  <c r="F16" i="14" s="1"/>
  <c r="F17" i="14" s="1"/>
  <c r="F18" i="14" s="1"/>
  <c r="E10" i="14"/>
  <c r="E11" i="14" s="1"/>
  <c r="E12" i="14" s="1"/>
  <c r="E13" i="14" s="1"/>
  <c r="E14" i="14" s="1"/>
  <c r="E15" i="14" s="1"/>
  <c r="E16" i="14" s="1"/>
  <c r="E17" i="14" s="1"/>
  <c r="E18" i="14" s="1"/>
  <c r="F9" i="14"/>
  <c r="E9" i="14"/>
  <c r="F39" i="2"/>
  <c r="E39" i="2"/>
  <c r="F9" i="1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E9" i="1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F34" i="5"/>
  <c r="E34" i="5"/>
  <c r="F10" i="10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E10" i="10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F19" i="9"/>
  <c r="F20" i="9"/>
  <c r="F21" i="9"/>
  <c r="F22" i="9"/>
  <c r="F23" i="9" s="1"/>
  <c r="F24" i="9" s="1"/>
  <c r="F25" i="9" s="1"/>
  <c r="E19" i="9"/>
  <c r="E20" i="9" s="1"/>
  <c r="E21" i="9" s="1"/>
  <c r="E22" i="9" s="1"/>
  <c r="E23" i="9" s="1"/>
  <c r="E24" i="9" s="1"/>
  <c r="E25" i="9" s="1"/>
  <c r="F10" i="9"/>
  <c r="F11" i="9" s="1"/>
  <c r="F12" i="9" s="1"/>
  <c r="F13" i="9" s="1"/>
  <c r="F14" i="9" s="1"/>
  <c r="F15" i="9" s="1"/>
  <c r="F16" i="9" s="1"/>
  <c r="F17" i="9" s="1"/>
  <c r="F18" i="9" s="1"/>
  <c r="F9" i="9"/>
  <c r="E10" i="9"/>
  <c r="E11" i="9"/>
  <c r="E12" i="9" s="1"/>
  <c r="E13" i="9" s="1"/>
  <c r="E14" i="9" s="1"/>
  <c r="E15" i="9" s="1"/>
  <c r="E16" i="9" s="1"/>
  <c r="E17" i="9" s="1"/>
  <c r="E18" i="9" s="1"/>
  <c r="E9" i="9"/>
  <c r="F19" i="8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E19" i="8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F10" i="8"/>
  <c r="F11" i="8" s="1"/>
  <c r="F12" i="8" s="1"/>
  <c r="F13" i="8" s="1"/>
  <c r="F14" i="8" s="1"/>
  <c r="F15" i="8" s="1"/>
  <c r="F16" i="8" s="1"/>
  <c r="F17" i="8" s="1"/>
  <c r="F18" i="8" s="1"/>
  <c r="E10" i="8"/>
  <c r="E11" i="8" s="1"/>
  <c r="E12" i="8" s="1"/>
  <c r="E13" i="8" s="1"/>
  <c r="E14" i="8" s="1"/>
  <c r="E15" i="8" s="1"/>
  <c r="E16" i="8" s="1"/>
  <c r="E17" i="8" s="1"/>
  <c r="E18" i="8" s="1"/>
  <c r="F9" i="8"/>
  <c r="E9" i="8"/>
  <c r="F19" i="7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18" i="7"/>
  <c r="E18" i="7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F9" i="7"/>
  <c r="F10" i="7" s="1"/>
  <c r="F11" i="7" s="1"/>
  <c r="F12" i="7" s="1"/>
  <c r="F13" i="7" s="1"/>
  <c r="F14" i="7" s="1"/>
  <c r="F15" i="7" s="1"/>
  <c r="F16" i="7" s="1"/>
  <c r="F17" i="7" s="1"/>
  <c r="E9" i="7"/>
  <c r="E10" i="7" s="1"/>
  <c r="E11" i="7" s="1"/>
  <c r="E12" i="7" s="1"/>
  <c r="E13" i="7" s="1"/>
  <c r="E14" i="7" s="1"/>
  <c r="E15" i="7" s="1"/>
  <c r="E16" i="7" s="1"/>
  <c r="E17" i="7" s="1"/>
  <c r="F19" i="6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E19" i="6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13" i="1"/>
  <c r="F19" i="5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E19" i="5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F10" i="5"/>
  <c r="F11" i="5" s="1"/>
  <c r="F12" i="5" s="1"/>
  <c r="F13" i="5" s="1"/>
  <c r="F14" i="5" s="1"/>
  <c r="F15" i="5" s="1"/>
  <c r="F16" i="5" s="1"/>
  <c r="F17" i="5" s="1"/>
  <c r="F18" i="5" s="1"/>
  <c r="E10" i="5"/>
  <c r="E11" i="5" s="1"/>
  <c r="E12" i="5" s="1"/>
  <c r="E13" i="5" s="1"/>
  <c r="E14" i="5" s="1"/>
  <c r="E15" i="5" s="1"/>
  <c r="E16" i="5" s="1"/>
  <c r="E17" i="5" s="1"/>
  <c r="E18" i="5" s="1"/>
  <c r="F9" i="5"/>
  <c r="E9" i="5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</calcChain>
</file>

<file path=xl/sharedStrings.xml><?xml version="1.0" encoding="utf-8"?>
<sst xmlns="http://schemas.openxmlformats.org/spreadsheetml/2006/main" count="1442" uniqueCount="512">
  <si>
    <t>Date</t>
  </si>
  <si>
    <t>R.NO</t>
  </si>
  <si>
    <t>Description</t>
  </si>
  <si>
    <t>Amount Rec</t>
  </si>
  <si>
    <t>Total Rec</t>
  </si>
  <si>
    <t>Amount Due</t>
  </si>
  <si>
    <t>Name : Kousar Parveen</t>
  </si>
  <si>
    <t>Father Name : Kamran</t>
  </si>
  <si>
    <t>CNIC #42401-9042325-0</t>
  </si>
  <si>
    <t>Contact # 03188343474</t>
  </si>
  <si>
    <t>Plot No : 5769</t>
  </si>
  <si>
    <t>Cost :600,000</t>
  </si>
  <si>
    <t>22/9/2025</t>
  </si>
  <si>
    <t>28/10/2025</t>
  </si>
  <si>
    <t>26/11/2025</t>
  </si>
  <si>
    <t>26/1/2026</t>
  </si>
  <si>
    <t>17/2/2026</t>
  </si>
  <si>
    <t>Booking</t>
  </si>
  <si>
    <t>instalment</t>
  </si>
  <si>
    <t>Name : Naveed Ahmed</t>
  </si>
  <si>
    <t>Father Name : Basheer Ahmed</t>
  </si>
  <si>
    <t>CNIC #31301-0607702-3</t>
  </si>
  <si>
    <t>Contact # 03162682816</t>
  </si>
  <si>
    <t>Plot No : 5799</t>
  </si>
  <si>
    <t>14/11/2023</t>
  </si>
  <si>
    <t>20/12/2023</t>
  </si>
  <si>
    <t>13/2/2024</t>
  </si>
  <si>
    <t>13/5/2024</t>
  </si>
  <si>
    <t>12/7//2024</t>
  </si>
  <si>
    <t>Token site</t>
  </si>
  <si>
    <t>Res BOOKING</t>
  </si>
  <si>
    <t>Instalment</t>
  </si>
  <si>
    <t>13/10/2024</t>
  </si>
  <si>
    <t>Name : M.Ubair Naseem</t>
  </si>
  <si>
    <t>Father Name : M.Naseem</t>
  </si>
  <si>
    <t>CNIC #42401-7669968-9</t>
  </si>
  <si>
    <t>Contact # 03323110736</t>
  </si>
  <si>
    <t>Plot No : 5783</t>
  </si>
  <si>
    <t>Cost :390,000</t>
  </si>
  <si>
    <t>21/1/2023</t>
  </si>
  <si>
    <t>29/4/2023</t>
  </si>
  <si>
    <t>20/5/2023</t>
  </si>
  <si>
    <t>15/7/2023</t>
  </si>
  <si>
    <t>14/8/2023</t>
  </si>
  <si>
    <t>17/9/2023</t>
  </si>
  <si>
    <t>Adj Rehman</t>
  </si>
  <si>
    <t>Name : Rizwan Khan</t>
  </si>
  <si>
    <t>Father Name : M.Ilyas</t>
  </si>
  <si>
    <t>CNIC #42401-3028086-9</t>
  </si>
  <si>
    <t>Contact # 03085137232</t>
  </si>
  <si>
    <t>Plot No : 5782</t>
  </si>
  <si>
    <t>19/11/2022</t>
  </si>
  <si>
    <t>instament</t>
  </si>
  <si>
    <t>13/8/2024</t>
  </si>
  <si>
    <t>Name : Gul Noor</t>
  </si>
  <si>
    <t>Father Name : Muhammad Idress</t>
  </si>
  <si>
    <t>CNIC #42401-4730895-2</t>
  </si>
  <si>
    <t>Contact # 03122183070</t>
  </si>
  <si>
    <t>Plot No : 5789</t>
  </si>
  <si>
    <t>23/1/2024</t>
  </si>
  <si>
    <t>15/4/2024</t>
  </si>
  <si>
    <t>14/7/2024</t>
  </si>
  <si>
    <t>RES Booking</t>
  </si>
  <si>
    <t>19/1/2025</t>
  </si>
  <si>
    <t>13/4/2025</t>
  </si>
  <si>
    <t>20/6/2025</t>
  </si>
  <si>
    <t>15/8/2025</t>
  </si>
  <si>
    <t>14/9/2025</t>
  </si>
  <si>
    <t>23/11/2025</t>
  </si>
  <si>
    <t>14/12/2025</t>
  </si>
  <si>
    <t>18/1/2026</t>
  </si>
  <si>
    <t>15/2/2026</t>
  </si>
  <si>
    <t>19/3/2026</t>
  </si>
  <si>
    <t>29/3/2026</t>
  </si>
  <si>
    <t>Name : Muhammad Akram</t>
  </si>
  <si>
    <t>Father Name :Muhammad Ismail</t>
  </si>
  <si>
    <t>CNIC #42401-3135498-3</t>
  </si>
  <si>
    <t xml:space="preserve">Contact # </t>
  </si>
  <si>
    <t>Plot No : 5784</t>
  </si>
  <si>
    <t>Cost :650,000</t>
  </si>
  <si>
    <t>THIS FILE IS TRANSFERRED TO;</t>
  </si>
  <si>
    <t>Name : Shumaila Kanwal</t>
  </si>
  <si>
    <t>Father Name :Muhammad Shoaib</t>
  </si>
  <si>
    <t>CNIC ;34402-9720659-8</t>
  </si>
  <si>
    <t>Contact # 03032760510</t>
  </si>
  <si>
    <t>DETAIL OF TRANSFERRED</t>
  </si>
  <si>
    <t>27/2/2024</t>
  </si>
  <si>
    <t>20/8/2024</t>
  </si>
  <si>
    <t>Token</t>
  </si>
  <si>
    <t>28/11/2024</t>
  </si>
  <si>
    <t>21/12/2024</t>
  </si>
  <si>
    <t>23/4/2024</t>
  </si>
  <si>
    <t>31/5/2025</t>
  </si>
  <si>
    <t>16/7/2025</t>
  </si>
  <si>
    <t>26/8/2025</t>
  </si>
  <si>
    <t>21/9/2025</t>
  </si>
  <si>
    <t>21/10/2025</t>
  </si>
  <si>
    <t>25/11/2025</t>
  </si>
  <si>
    <t>23/12/2025</t>
  </si>
  <si>
    <t>25/1/2026</t>
  </si>
  <si>
    <t>26/2/2026</t>
  </si>
  <si>
    <t>28/3/2026</t>
  </si>
  <si>
    <t>DEALER;Attaullah</t>
  </si>
  <si>
    <t>TRANSFER CHARGES ;30,000</t>
  </si>
  <si>
    <t>Name : Muhammad Akmal</t>
  </si>
  <si>
    <t>Father Name :Malik Rahim Baksh</t>
  </si>
  <si>
    <t>CNIC #42401-7567333-1</t>
  </si>
  <si>
    <t>Contact # 03063002759</t>
  </si>
  <si>
    <t>Plot No : 5760</t>
  </si>
  <si>
    <t>Cost :400,000</t>
  </si>
  <si>
    <t>14/5/2023</t>
  </si>
  <si>
    <t>15/10/2023</t>
  </si>
  <si>
    <t>14/1/2024</t>
  </si>
  <si>
    <t>15/10/2024</t>
  </si>
  <si>
    <t>Amount Rec2</t>
  </si>
  <si>
    <t>Name : Amjad ALI</t>
  </si>
  <si>
    <t>Father Name : Muhammad Khan</t>
  </si>
  <si>
    <t>CNIC #42401-1951441-7</t>
  </si>
  <si>
    <t>Plot No : 5776</t>
  </si>
  <si>
    <t>Cost :450,000</t>
  </si>
  <si>
    <t>31/3/2022</t>
  </si>
  <si>
    <t>21/2/2023</t>
  </si>
  <si>
    <t>15/3/2023</t>
  </si>
  <si>
    <t>15/4/2023</t>
  </si>
  <si>
    <t>28/5/2023</t>
  </si>
  <si>
    <t>23/6/2023</t>
  </si>
  <si>
    <t>13/8/2023</t>
  </si>
  <si>
    <t>14/9/2023</t>
  </si>
  <si>
    <t>17/10/2023</t>
  </si>
  <si>
    <t xml:space="preserve">ADJ </t>
  </si>
  <si>
    <t>adjustment</t>
  </si>
  <si>
    <t>15/11/2023</t>
  </si>
  <si>
    <t>14/12/2023</t>
  </si>
  <si>
    <t>20/1/2024</t>
  </si>
  <si>
    <t>15/2/2024</t>
  </si>
  <si>
    <r>
      <t>20/3/202</t>
    </r>
    <r>
      <rPr>
        <u/>
        <sz val="11"/>
        <color theme="1"/>
        <rFont val="Calibri"/>
        <family val="2"/>
        <scheme val="minor"/>
      </rPr>
      <t>4</t>
    </r>
  </si>
  <si>
    <t>14/4/2024</t>
  </si>
  <si>
    <r>
      <t>17/5/202</t>
    </r>
    <r>
      <rPr>
        <u/>
        <sz val="11"/>
        <color theme="1"/>
        <rFont val="Calibri"/>
        <family val="2"/>
        <scheme val="minor"/>
      </rPr>
      <t>4</t>
    </r>
  </si>
  <si>
    <t>13/6/2024</t>
  </si>
  <si>
    <t>21/10/2024</t>
  </si>
  <si>
    <t>18/11/2024</t>
  </si>
  <si>
    <t>15/12/2024</t>
  </si>
  <si>
    <r>
      <t>15/6/202</t>
    </r>
    <r>
      <rPr>
        <strike/>
        <sz val="11"/>
        <color theme="1"/>
        <rFont val="Calibri"/>
        <family val="2"/>
        <scheme val="minor"/>
      </rPr>
      <t>5</t>
    </r>
  </si>
  <si>
    <t>DEVELOPMENT CONTINUE</t>
  </si>
  <si>
    <t>Name : Fahad Jamal</t>
  </si>
  <si>
    <t>Father Name :M.Jamal</t>
  </si>
  <si>
    <t>CNIC #42101-2928794-3</t>
  </si>
  <si>
    <t>Plot No : 5775</t>
  </si>
  <si>
    <t>Code Num;CQW8873859</t>
  </si>
  <si>
    <t>27/2/2023</t>
  </si>
  <si>
    <t>21/5/2023</t>
  </si>
  <si>
    <t>22/8/2023</t>
  </si>
  <si>
    <t>29/10/2023</t>
  </si>
  <si>
    <t>21/2/2024</t>
  </si>
  <si>
    <t>21/3/2024</t>
  </si>
  <si>
    <t>24/4/2024</t>
  </si>
  <si>
    <t>28/5/2024</t>
  </si>
  <si>
    <t>20/7/2024</t>
  </si>
  <si>
    <t>17/10/2024</t>
  </si>
  <si>
    <t>29/11/2024</t>
  </si>
  <si>
    <t>5000 ADJUST AGAINST DEVELOPMENT</t>
  </si>
  <si>
    <t>Name : Naveed Hassan</t>
  </si>
  <si>
    <t>Father Name ; Mushtaq Ahmed</t>
  </si>
  <si>
    <t>CNIC #42401-923737-1</t>
  </si>
  <si>
    <t>Plot No : 5773</t>
  </si>
  <si>
    <t>Code Num;CQW8873856</t>
  </si>
  <si>
    <t>Plot No : 5774</t>
  </si>
  <si>
    <t>Father Name :M. Jamal Uddin Baqai</t>
  </si>
  <si>
    <t>CNIC # 42101-2928794-3</t>
  </si>
  <si>
    <t>Cost : 400,000</t>
  </si>
  <si>
    <t>21/5/2024</t>
  </si>
  <si>
    <t>Code Num;CQW8873857</t>
  </si>
  <si>
    <t>Code Num;CQW8873878</t>
  </si>
  <si>
    <t>Name : Syed Adnan Ali</t>
  </si>
  <si>
    <t>Father Name : Syed khalid Ali</t>
  </si>
  <si>
    <t>CNIC #42201-1567916-9</t>
  </si>
  <si>
    <t>Contact # 03160540090</t>
  </si>
  <si>
    <t>Plot No : 5701</t>
  </si>
  <si>
    <t>Cost :300,000</t>
  </si>
  <si>
    <t>Code Num;CHE7325882</t>
  </si>
  <si>
    <t>Res Booking</t>
  </si>
  <si>
    <t>Partial Payment</t>
  </si>
  <si>
    <t>nill</t>
  </si>
  <si>
    <t>Plot No : 5702</t>
  </si>
  <si>
    <t>14/10/2024</t>
  </si>
  <si>
    <t>24/11/2024</t>
  </si>
  <si>
    <t xml:space="preserve">Token </t>
  </si>
  <si>
    <t>Prtial pay</t>
  </si>
  <si>
    <t>Nill</t>
  </si>
  <si>
    <t>Name : Abdul Malik</t>
  </si>
  <si>
    <t>Father Name :Noor Muhammad</t>
  </si>
  <si>
    <t>CNIC # 36603-8518411-9</t>
  </si>
  <si>
    <t>Plot No : 5787</t>
  </si>
  <si>
    <t>Cost : 650,000</t>
  </si>
  <si>
    <t>Contact # 03009046166</t>
  </si>
  <si>
    <t>Code Num;CEE1906806</t>
  </si>
  <si>
    <t>17/4/2024</t>
  </si>
  <si>
    <t>23/2/2025</t>
  </si>
  <si>
    <t>16/3/2025</t>
  </si>
  <si>
    <t>15/4/2025</t>
  </si>
  <si>
    <t>18/5/2025</t>
  </si>
  <si>
    <t>15/7/2025</t>
  </si>
  <si>
    <t>17/8/2025</t>
  </si>
  <si>
    <t>17/9/2025</t>
  </si>
  <si>
    <t>16/10/2025</t>
  </si>
  <si>
    <t>15/12/2025</t>
  </si>
  <si>
    <t>16/1/2026</t>
  </si>
  <si>
    <t>18/2/2026</t>
  </si>
  <si>
    <t>24/3/2026</t>
  </si>
  <si>
    <t>15/4/2026</t>
  </si>
  <si>
    <t>Father Name :Nazar Muhammad</t>
  </si>
  <si>
    <t>Plot No : 5788</t>
  </si>
  <si>
    <t>Cost : 600,000</t>
  </si>
  <si>
    <t>Code Num;CKK0703556</t>
  </si>
  <si>
    <t>17/5/2023</t>
  </si>
  <si>
    <t>18/6/2023</t>
  </si>
  <si>
    <t>18/7/2023</t>
  </si>
  <si>
    <t>27/8/2023</t>
  </si>
  <si>
    <t>18/9/2023</t>
  </si>
  <si>
    <t>20/10/2023</t>
  </si>
  <si>
    <t>22/8/2024</t>
  </si>
  <si>
    <t>19/9/2024</t>
  </si>
  <si>
    <t>17/11/2024</t>
  </si>
  <si>
    <t>installment</t>
  </si>
  <si>
    <t>15/1/2025</t>
  </si>
  <si>
    <t>16/2/2025</t>
  </si>
  <si>
    <t>23/3/2025</t>
  </si>
  <si>
    <t>29/4/2025</t>
  </si>
  <si>
    <t>16/6/2025</t>
  </si>
  <si>
    <t>Name : Arsalan Shahzad</t>
  </si>
  <si>
    <t>Father Name :Muhammad Ajmal Shahzad</t>
  </si>
  <si>
    <t>CNIC # 36603-4147928-1</t>
  </si>
  <si>
    <t>Contact # 03366281337</t>
  </si>
  <si>
    <t>Plot No : 5786</t>
  </si>
  <si>
    <t>Code Num;BGL8184172</t>
  </si>
  <si>
    <t>14/8/2024</t>
  </si>
  <si>
    <t>15/2/2023</t>
  </si>
  <si>
    <t>17/3/2023</t>
  </si>
  <si>
    <t>13/11/2025</t>
  </si>
  <si>
    <t>13/2/2026</t>
  </si>
  <si>
    <t>18/4/2026</t>
  </si>
  <si>
    <t>Code Num;CBA3094406</t>
  </si>
  <si>
    <t>19/4/2026</t>
  </si>
  <si>
    <t>Development</t>
  </si>
  <si>
    <t>INSTALLMENT AND DEVELOPMENT BOTH CLEAR</t>
  </si>
  <si>
    <t>Name : Babar</t>
  </si>
  <si>
    <t>Father Name :Akhter Ali</t>
  </si>
  <si>
    <t>CNIC # 42101-6912779-3</t>
  </si>
  <si>
    <t>Contact # 03102834784</t>
  </si>
  <si>
    <t>Plot No : 5711</t>
  </si>
  <si>
    <t>Code Num;CLD1686615</t>
  </si>
  <si>
    <t>26/7/2023</t>
  </si>
  <si>
    <t>27/1/2023</t>
  </si>
  <si>
    <t>24/9/2023</t>
  </si>
  <si>
    <t>24/3/2023</t>
  </si>
  <si>
    <t>InstaLLment</t>
  </si>
  <si>
    <t>16/4/2024</t>
  </si>
  <si>
    <t>30/7/2024</t>
  </si>
  <si>
    <t>14/9/2024</t>
  </si>
  <si>
    <t>14/12/2024</t>
  </si>
  <si>
    <t>17/5/2024</t>
  </si>
  <si>
    <t>Name : M.Rashid khan</t>
  </si>
  <si>
    <t>Father Name :M. Anwar Khan</t>
  </si>
  <si>
    <t>CNIC # 42401-1795901-5</t>
  </si>
  <si>
    <t>Contact # 03122573733</t>
  </si>
  <si>
    <t>Plot No : 5708</t>
  </si>
  <si>
    <t>Code Num;CMS7927293</t>
  </si>
  <si>
    <t>23/8/2022</t>
  </si>
  <si>
    <t>28/1/2024</t>
  </si>
  <si>
    <t>25/3/2024</t>
  </si>
  <si>
    <t>25/4/2024</t>
  </si>
  <si>
    <t>26/5/2024</t>
  </si>
  <si>
    <t>27/6/2024</t>
  </si>
  <si>
    <t>27/7/2024</t>
  </si>
  <si>
    <t>31/8/2024</t>
  </si>
  <si>
    <t>29/9/2024</t>
  </si>
  <si>
    <t>23/10/2024</t>
  </si>
  <si>
    <t>30/11/2024</t>
  </si>
  <si>
    <t>24/12/2024</t>
  </si>
  <si>
    <t>29/1/2025</t>
  </si>
  <si>
    <t>Intallment</t>
  </si>
  <si>
    <t>Adjustmnt</t>
  </si>
  <si>
    <t>NILL</t>
  </si>
  <si>
    <t>26/10/2025</t>
  </si>
  <si>
    <t>DEVEOPMENT</t>
  </si>
  <si>
    <t>Name : Arsalan</t>
  </si>
  <si>
    <t>Father Name :Dilshad Ahmed</t>
  </si>
  <si>
    <t>CNIC # 42401-9510813-1</t>
  </si>
  <si>
    <t>Contact # 03092337948</t>
  </si>
  <si>
    <t>Plot No : 5779</t>
  </si>
  <si>
    <t>20/8/2025</t>
  </si>
  <si>
    <t>Res booking</t>
  </si>
  <si>
    <t>developmnt</t>
  </si>
  <si>
    <t>Code Num;CCT8771558</t>
  </si>
  <si>
    <t>28/4/2026</t>
  </si>
  <si>
    <t>Code Num;CVG6349227</t>
  </si>
  <si>
    <t>Name : Akbari Bano</t>
  </si>
  <si>
    <t>Father Name : Muhammad Ibrahim</t>
  </si>
  <si>
    <t>CNIC #42401-8686496-0</t>
  </si>
  <si>
    <t>Contact # 03102622941</t>
  </si>
  <si>
    <t>Plot No : 5765</t>
  </si>
  <si>
    <t>Code Num;CNQ3907973</t>
  </si>
  <si>
    <t>24/12/2023</t>
  </si>
  <si>
    <t>17/3/2024</t>
  </si>
  <si>
    <t>28/4/2024</t>
  </si>
  <si>
    <t>21/7/2024</t>
  </si>
  <si>
    <t>18/8/2024</t>
  </si>
  <si>
    <t>22/9/2024</t>
  </si>
  <si>
    <t>22/12/2024</t>
  </si>
  <si>
    <t>Al REH Adjustm</t>
  </si>
  <si>
    <t>Installment</t>
  </si>
  <si>
    <t>24/7/2025</t>
  </si>
  <si>
    <t>30/11/2025</t>
  </si>
  <si>
    <t>30/12/2025</t>
  </si>
  <si>
    <t>DEVELOPMENT</t>
  </si>
  <si>
    <t>Plot No : 5766</t>
  </si>
  <si>
    <t>Code Num;CQD5319089</t>
  </si>
  <si>
    <t>23/6/2024</t>
  </si>
  <si>
    <t>Al Reh Adj</t>
  </si>
  <si>
    <t>30/4/2026</t>
  </si>
  <si>
    <t>Developmment</t>
  </si>
  <si>
    <t>INSTALLMENT AND DVELOPMENT BOTH CLEAR</t>
  </si>
  <si>
    <t>Name : Muhmmad Sharjeel</t>
  </si>
  <si>
    <t>Father Name :Muhammad Mushtaq</t>
  </si>
  <si>
    <t>CNIC # 42301-7985518-1</t>
  </si>
  <si>
    <t>Code Num;CNL6597852</t>
  </si>
  <si>
    <t>25/4/2026</t>
  </si>
  <si>
    <t>GIFTED FILE TO SIR JAMEEL</t>
  </si>
  <si>
    <t>Code Num;AAN6404466</t>
  </si>
  <si>
    <t>Code Num;AFA1774342</t>
  </si>
  <si>
    <t>Code Num;CEB0566593</t>
  </si>
  <si>
    <t>Name : Awal khan</t>
  </si>
  <si>
    <t>Father Name : Gul Sher khan</t>
  </si>
  <si>
    <t>CNIC #42301-0188873-7</t>
  </si>
  <si>
    <t>Code Num;</t>
  </si>
  <si>
    <t>Contact # 03022298492</t>
  </si>
  <si>
    <t>Plot No : 5705</t>
  </si>
  <si>
    <t>Cost :750,000</t>
  </si>
  <si>
    <t xml:space="preserve">Cottage Adj </t>
  </si>
  <si>
    <t>Name : Asad Gull</t>
  </si>
  <si>
    <t>Father Name : Shahid Gull</t>
  </si>
  <si>
    <t>CNIC #42301-6529176-3</t>
  </si>
  <si>
    <t>Contact # 03013771263</t>
  </si>
  <si>
    <t>Plot No : 5704</t>
  </si>
  <si>
    <t>28/11/2025</t>
  </si>
  <si>
    <t>9/1/20026</t>
  </si>
  <si>
    <t>Plot No : 4934</t>
  </si>
  <si>
    <t>Code Num;CNB8170044</t>
  </si>
  <si>
    <t>Name : Muhammad Yaseen Khan</t>
  </si>
  <si>
    <t>Father Name : Muhammad Saleem Khan</t>
  </si>
  <si>
    <t>CNIC #42501-7059047-7</t>
  </si>
  <si>
    <t>Contact # 03171253741</t>
  </si>
  <si>
    <t>Plot No : 5716</t>
  </si>
  <si>
    <t>Code Num;BXD3600129</t>
  </si>
  <si>
    <t xml:space="preserve">AL REHMAN ADJUSTMENT </t>
  </si>
  <si>
    <t>13/3/2023</t>
  </si>
  <si>
    <t>14/4/2023</t>
  </si>
  <si>
    <t>29/8/2025</t>
  </si>
  <si>
    <t>13/12/2025</t>
  </si>
  <si>
    <t>23/1/2026</t>
  </si>
  <si>
    <t>Name : M.Yameen Khan</t>
  </si>
  <si>
    <t>CNIC #42501-7048692-7</t>
  </si>
  <si>
    <t>Contact # 03222721843</t>
  </si>
  <si>
    <t>Plot No : 5715</t>
  </si>
  <si>
    <t>Code Num;CPK7635733</t>
  </si>
  <si>
    <t>Name :Fahim Ahmed</t>
  </si>
  <si>
    <t>Father Name : Shafiq Ahmed</t>
  </si>
  <si>
    <t>CNIC #31201-527684-1</t>
  </si>
  <si>
    <t>Contact # 03192434584</t>
  </si>
  <si>
    <t>Plot No : 5714</t>
  </si>
  <si>
    <t>Code Num;CQG8908576</t>
  </si>
  <si>
    <t>Name : Rana Saddam Ejaz</t>
  </si>
  <si>
    <t>Father Name : Eja Ahmed</t>
  </si>
  <si>
    <t>CNIC #42201-1239534-3</t>
  </si>
  <si>
    <t>Contact # 03092959233</t>
  </si>
  <si>
    <t>Plot No : 5739</t>
  </si>
  <si>
    <t>Cost :435,000</t>
  </si>
  <si>
    <t>Code Num;BAU8441064</t>
  </si>
  <si>
    <t>14/3/2023</t>
  </si>
  <si>
    <t>15/6/2023</t>
  </si>
  <si>
    <t>4//9/2023</t>
  </si>
  <si>
    <t>Code Num;CKL1024429</t>
  </si>
  <si>
    <t>15/5/2026</t>
  </si>
  <si>
    <t>17/5/2026</t>
  </si>
  <si>
    <t>Code Num;BHY3847568</t>
  </si>
  <si>
    <t>NAME:</t>
  </si>
  <si>
    <t>F\NAME:</t>
  </si>
  <si>
    <t>CONTACT NO:</t>
  </si>
  <si>
    <t>CNIC:</t>
  </si>
  <si>
    <t>CODE:</t>
  </si>
  <si>
    <t>PLOT NO:</t>
  </si>
  <si>
    <t>MEHAK</t>
  </si>
  <si>
    <t>MUHAMMAD RAFIQ</t>
  </si>
  <si>
    <t>0315-2997508</t>
  </si>
  <si>
    <t>42401-218824-6</t>
  </si>
  <si>
    <t>CGW4801976</t>
  </si>
  <si>
    <t>01\07\025</t>
  </si>
  <si>
    <t>15\08\025</t>
  </si>
  <si>
    <t>28\09\025</t>
  </si>
  <si>
    <t>14\10\025</t>
  </si>
  <si>
    <t>07\11\025</t>
  </si>
  <si>
    <t>21\12\025</t>
  </si>
  <si>
    <t>11\01\026</t>
  </si>
  <si>
    <t>14\02\026</t>
  </si>
  <si>
    <t>14\03\026</t>
  </si>
  <si>
    <t>08\04\026</t>
  </si>
  <si>
    <t>19\05\026</t>
  </si>
  <si>
    <t>RESIDENTIAL BOOKING</t>
  </si>
  <si>
    <t>INSTALLMENT</t>
  </si>
  <si>
    <t>8\6\26</t>
  </si>
  <si>
    <t>7\6\26</t>
  </si>
  <si>
    <t>ARSHAD ALI</t>
  </si>
  <si>
    <t>GULAM MUSTAFA</t>
  </si>
  <si>
    <t>0333-3678258</t>
  </si>
  <si>
    <t>31302-6798671-9</t>
  </si>
  <si>
    <t>CUC0970590</t>
  </si>
  <si>
    <t>21\1\24</t>
  </si>
  <si>
    <t>14\2\24</t>
  </si>
  <si>
    <t>10\3\24</t>
  </si>
  <si>
    <t>5\6\24</t>
  </si>
  <si>
    <t>7\7\24</t>
  </si>
  <si>
    <t>6\10\24</t>
  </si>
  <si>
    <t>13\11\24</t>
  </si>
  <si>
    <t>12\1\25</t>
  </si>
  <si>
    <t>18\2\25</t>
  </si>
  <si>
    <t>2\5\25</t>
  </si>
  <si>
    <t>29\6\25</t>
  </si>
  <si>
    <t xml:space="preserve">TOKEN </t>
  </si>
  <si>
    <t>RESIDENTAIL BOOKING</t>
  </si>
  <si>
    <t>PARTIALL PAYMENT</t>
  </si>
  <si>
    <t>16\8\25</t>
  </si>
  <si>
    <t>10\9\25</t>
  </si>
  <si>
    <t>23\11\25</t>
  </si>
  <si>
    <t>6\6\26</t>
  </si>
  <si>
    <t>9\6\26</t>
  </si>
  <si>
    <t>9\5\26</t>
  </si>
  <si>
    <t>14\6\26</t>
  </si>
  <si>
    <t>18\6\26</t>
  </si>
  <si>
    <t>23\5\26</t>
  </si>
  <si>
    <t>27\6\26</t>
  </si>
  <si>
    <t>5\7\026</t>
  </si>
  <si>
    <t>DEVELOPMENT COUNTNUIE</t>
  </si>
  <si>
    <t>11\7\26</t>
  </si>
  <si>
    <t>11\726</t>
  </si>
  <si>
    <t>12\7\26</t>
  </si>
  <si>
    <t>CEQ4454089</t>
  </si>
  <si>
    <t>ATU0276631</t>
  </si>
  <si>
    <t>22\7\26</t>
  </si>
  <si>
    <t>25\7\26</t>
  </si>
  <si>
    <t>DEVELOMENT CONTINUE</t>
  </si>
  <si>
    <t>DEVELOMENT COST# 450,000</t>
  </si>
  <si>
    <t>21/5/25</t>
  </si>
  <si>
    <t>14/6/25</t>
  </si>
  <si>
    <t>13/7/25</t>
  </si>
  <si>
    <t>14/9/25</t>
  </si>
  <si>
    <t>13/12/25</t>
  </si>
  <si>
    <t>14/2/26</t>
  </si>
  <si>
    <t>development</t>
  </si>
  <si>
    <t>14/6/26</t>
  </si>
  <si>
    <t>DEVELOPEMNT CONTINUE</t>
  </si>
  <si>
    <t>15/8/26</t>
  </si>
  <si>
    <t>16/8/26</t>
  </si>
  <si>
    <t>21/12/25</t>
  </si>
  <si>
    <t>20/1/26</t>
  </si>
  <si>
    <t>23/2/26</t>
  </si>
  <si>
    <t>20/3/26</t>
  </si>
  <si>
    <t>20/4/26</t>
  </si>
  <si>
    <t>24/5/26</t>
  </si>
  <si>
    <t xml:space="preserve">development </t>
  </si>
  <si>
    <t>22/8/26</t>
  </si>
  <si>
    <t>19/7/26</t>
  </si>
  <si>
    <t>DEVELOPMENT NILL</t>
  </si>
  <si>
    <t xml:space="preserve">FILE TRANSFER M. QASEEM TO BILAL AHMED </t>
  </si>
  <si>
    <t>Plot No : 5785</t>
  </si>
  <si>
    <t>23/8/26</t>
  </si>
  <si>
    <t>AL REH BOOKING</t>
  </si>
  <si>
    <t>SOBHO INST</t>
  </si>
  <si>
    <t xml:space="preserve">DEVELOPMENT NILL </t>
  </si>
  <si>
    <t xml:space="preserve">Name :BILAL AHMED </t>
  </si>
  <si>
    <t>Father Name :MUHAMMAD HASHIM</t>
  </si>
  <si>
    <t>CNIC # 42401-5861153-9</t>
  </si>
  <si>
    <t>Contact # 0342-2349336</t>
  </si>
  <si>
    <t>Code Num;BNA5516264</t>
  </si>
  <si>
    <t>16/7/26</t>
  </si>
  <si>
    <t>24/8/26</t>
  </si>
  <si>
    <t>17/4/24</t>
  </si>
  <si>
    <t>13/5/24</t>
  </si>
  <si>
    <t>19/10/24</t>
  </si>
  <si>
    <t>28/11/24</t>
  </si>
  <si>
    <t>16/12/24</t>
  </si>
  <si>
    <t xml:space="preserve">DEVELOPMENT </t>
  </si>
  <si>
    <t>16/2/25</t>
  </si>
  <si>
    <t>13/3/25</t>
  </si>
  <si>
    <t>17/5/25</t>
  </si>
  <si>
    <t>16/6/25</t>
  </si>
  <si>
    <t>27/7/25</t>
  </si>
  <si>
    <t>20/8/25</t>
  </si>
  <si>
    <t>15/9/25</t>
  </si>
  <si>
    <t>19/10/25</t>
  </si>
  <si>
    <t>20/11/25</t>
  </si>
  <si>
    <t>17/12/25</t>
  </si>
  <si>
    <t>17/1/26</t>
  </si>
  <si>
    <t>29/3/26</t>
  </si>
  <si>
    <t>23/4/26</t>
  </si>
  <si>
    <t>22/6/26</t>
  </si>
  <si>
    <t>15/9/26</t>
  </si>
  <si>
    <t>19/9/26</t>
  </si>
  <si>
    <t>16/9/26</t>
  </si>
  <si>
    <t>…/F\f</t>
  </si>
  <si>
    <t xml:space="preserve">dsssssssssssssssssssssssssssssssssssssssssssssxxccvz| ||||||||||||||||||||||||vvvvvv~                 </t>
  </si>
  <si>
    <t>M</t>
  </si>
  <si>
    <t>COST# 700,000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</si>
</sst>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6E3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14" fontId="0" fillId="0" borderId="0" xfId="0" applyNumberFormat="1"/>
    <xf numFmtId="3" fontId="0" fillId="0" borderId="0" xfId="0" applyNumberFormat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4" fontId="0" fillId="0" borderId="1" xfId="0" applyNumberFormat="1" applyBorder="1"/>
    <xf numFmtId="14" fontId="0" fillId="0" borderId="1" xfId="0" applyNumberFormat="1" applyBorder="1" applyAlignment="1">
      <alignment wrapText="1"/>
    </xf>
    <xf numFmtId="0" fontId="3" fillId="0" borderId="0" xfId="0" applyFont="1"/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3" fontId="0" fillId="0" borderId="3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3" fontId="0" fillId="0" borderId="8" xfId="0" applyNumberFormat="1" applyBorder="1" applyAlignment="1">
      <alignment horizontal="left"/>
    </xf>
    <xf numFmtId="3" fontId="0" fillId="0" borderId="9" xfId="0" applyNumberFormat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/>
    <xf numFmtId="0" fontId="6" fillId="0" borderId="1" xfId="0" applyFont="1" applyBorder="1"/>
    <xf numFmtId="14" fontId="0" fillId="0" borderId="0" xfId="0" applyNumberFormat="1" applyAlignment="1">
      <alignment horizontal="left"/>
    </xf>
    <xf numFmtId="17" fontId="0" fillId="0" borderId="0" xfId="0" applyNumberFormat="1"/>
    <xf numFmtId="0" fontId="7" fillId="0" borderId="0" xfId="0" applyFont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3" borderId="0" xfId="0" applyFont="1" applyFill="1"/>
    <xf numFmtId="0" fontId="1" fillId="4" borderId="1" xfId="0" applyFont="1" applyFill="1" applyBorder="1"/>
    <xf numFmtId="3" fontId="6" fillId="3" borderId="0" xfId="0" applyNumberFormat="1" applyFont="1" applyFill="1"/>
    <xf numFmtId="0" fontId="0" fillId="0" borderId="10" xfId="0" applyBorder="1"/>
    <xf numFmtId="0" fontId="1" fillId="5" borderId="1" xfId="0" applyFont="1" applyFill="1" applyBorder="1"/>
    <xf numFmtId="0" fontId="0" fillId="3" borderId="0" xfId="0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20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7:F28" totalsRowShown="0" headerRowDxfId="19" headerRowBorderDxfId="18" tableBorderDxfId="17" totalsRowBorderDxfId="16">
  <autoFilter ref="A7:F28"/>
  <tableColumns count="6">
    <tableColumn id="1" name="Date" dataDxfId="15"/>
    <tableColumn id="2" name="R.NO" dataDxfId="14"/>
    <tableColumn id="3" name="Description" dataDxfId="13"/>
    <tableColumn id="4" name="Amount Rec" dataDxfId="12"/>
    <tableColumn id="5" name="Amount Rec2" dataDxfId="11">
      <calculatedColumnFormula>SUM(E7+D8)</calculatedColumnFormula>
    </tableColumn>
    <tableColumn id="6" name="Amount Due" dataDxfId="10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7:F29" totalsRowShown="0" headerRowDxfId="9" headerRowBorderDxfId="8" tableBorderDxfId="7" totalsRowBorderDxfId="6">
  <autoFilter ref="A7:F29"/>
  <tableColumns count="6">
    <tableColumn id="1" name="Date" dataDxfId="5"/>
    <tableColumn id="2" name="R.NO" dataDxfId="4"/>
    <tableColumn id="3" name="Description" dataDxfId="3"/>
    <tableColumn id="4" name="Amount Rec" dataDxfId="2"/>
    <tableColumn id="5" name="Amount Rec2" dataDxfId="1">
      <calculatedColumnFormula>SUM(E7+D8)</calculatedColumnFormula>
    </tableColumn>
    <tableColumn id="6" name="Amount Due" dataDxfId="0">
      <calculatedColumnFormula>F7-D8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F17" sqref="F17"/>
    </sheetView>
  </sheetViews>
  <sheetFormatPr defaultRowHeight="14.5" x14ac:dyDescent="0.35"/>
  <cols>
    <col min="1" max="1" width="9.81640625" customWidth="1"/>
    <col min="3" max="3" width="10.26953125" bestFit="1" customWidth="1"/>
    <col min="4" max="4" width="15.26953125" bestFit="1" customWidth="1"/>
    <col min="6" max="6" width="11.36328125" bestFit="1" customWidth="1"/>
  </cols>
  <sheetData>
    <row r="1" spans="1:6" ht="18.5" x14ac:dyDescent="0.45">
      <c r="A1" s="1" t="s">
        <v>6</v>
      </c>
      <c r="B1" s="1"/>
      <c r="C1" s="1"/>
      <c r="D1" s="1"/>
      <c r="E1" s="1"/>
      <c r="F1" s="1"/>
    </row>
    <row r="2" spans="1:6" ht="18.5" x14ac:dyDescent="0.45">
      <c r="A2" s="1" t="s">
        <v>7</v>
      </c>
      <c r="B2" s="1"/>
      <c r="C2" s="1"/>
      <c r="D2" s="1"/>
      <c r="E2" s="1"/>
      <c r="F2" s="1"/>
    </row>
    <row r="3" spans="1:6" ht="18.5" x14ac:dyDescent="0.45">
      <c r="A3" s="1" t="s">
        <v>8</v>
      </c>
      <c r="B3" s="1"/>
      <c r="C3" s="1"/>
      <c r="D3" s="1"/>
      <c r="E3" s="1"/>
      <c r="F3" s="1"/>
    </row>
    <row r="4" spans="1:6" ht="18.5" x14ac:dyDescent="0.45">
      <c r="A4" s="1" t="s">
        <v>381</v>
      </c>
      <c r="B4" s="1"/>
      <c r="C4" s="1"/>
      <c r="D4" s="1"/>
      <c r="E4" s="1"/>
      <c r="F4" s="1"/>
    </row>
    <row r="5" spans="1:6" ht="18.5" x14ac:dyDescent="0.45">
      <c r="A5" s="1" t="s">
        <v>9</v>
      </c>
      <c r="B5" s="1"/>
      <c r="C5" s="1"/>
      <c r="D5" s="1"/>
      <c r="E5" s="1"/>
      <c r="F5" s="1"/>
    </row>
    <row r="6" spans="1:6" ht="18.5" x14ac:dyDescent="0.45">
      <c r="A6" s="1" t="s">
        <v>10</v>
      </c>
      <c r="B6" s="1"/>
      <c r="C6" s="1"/>
      <c r="D6" s="1" t="s">
        <v>11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2" t="s">
        <v>12</v>
      </c>
      <c r="B8" s="2">
        <v>13964</v>
      </c>
      <c r="C8" s="2" t="s">
        <v>17</v>
      </c>
      <c r="D8" s="3">
        <v>150000</v>
      </c>
      <c r="E8" s="3">
        <v>150000</v>
      </c>
      <c r="F8" s="3">
        <v>450000</v>
      </c>
    </row>
    <row r="9" spans="1:6" x14ac:dyDescent="0.35">
      <c r="A9" s="2" t="s">
        <v>13</v>
      </c>
      <c r="B9" s="2">
        <v>13596</v>
      </c>
      <c r="C9" s="2" t="s">
        <v>18</v>
      </c>
      <c r="D9" s="3">
        <v>40000</v>
      </c>
      <c r="E9" s="3">
        <v>190000</v>
      </c>
      <c r="F9" s="3">
        <v>410000</v>
      </c>
    </row>
    <row r="10" spans="1:6" x14ac:dyDescent="0.35">
      <c r="A10" s="2" t="s">
        <v>14</v>
      </c>
      <c r="B10" s="2">
        <v>13204</v>
      </c>
      <c r="C10" s="2" t="s">
        <v>18</v>
      </c>
      <c r="D10" s="3">
        <v>40000</v>
      </c>
      <c r="E10" s="3">
        <v>230000</v>
      </c>
      <c r="F10" s="3">
        <v>370000</v>
      </c>
    </row>
    <row r="11" spans="1:6" x14ac:dyDescent="0.35">
      <c r="A11" s="2" t="s">
        <v>15</v>
      </c>
      <c r="B11" s="2">
        <v>12278</v>
      </c>
      <c r="C11" s="2" t="s">
        <v>18</v>
      </c>
      <c r="D11" s="3">
        <v>40000</v>
      </c>
      <c r="E11" s="3">
        <v>270000</v>
      </c>
      <c r="F11" s="3">
        <v>330000</v>
      </c>
    </row>
    <row r="12" spans="1:6" x14ac:dyDescent="0.35">
      <c r="A12" s="2" t="s">
        <v>16</v>
      </c>
      <c r="B12" s="2">
        <v>12512</v>
      </c>
      <c r="C12" s="2" t="s">
        <v>18</v>
      </c>
      <c r="D12" s="3">
        <v>20000</v>
      </c>
      <c r="E12" s="3">
        <v>290000</v>
      </c>
      <c r="F12" s="3">
        <f>F11-D12</f>
        <v>310000</v>
      </c>
    </row>
    <row r="13" spans="1:6" x14ac:dyDescent="0.35">
      <c r="A13" s="2" t="s">
        <v>73</v>
      </c>
      <c r="B13" s="2">
        <v>13972</v>
      </c>
      <c r="C13" s="2" t="s">
        <v>18</v>
      </c>
      <c r="D13" s="3">
        <v>20000</v>
      </c>
      <c r="E13" s="3">
        <f>SUM(E12+D13)</f>
        <v>310000</v>
      </c>
      <c r="F13" s="3">
        <f>F12-D13</f>
        <v>290000</v>
      </c>
    </row>
    <row r="14" spans="1:6" x14ac:dyDescent="0.35">
      <c r="A14" s="2" t="s">
        <v>382</v>
      </c>
      <c r="B14" s="2">
        <v>13374</v>
      </c>
      <c r="C14" s="2" t="s">
        <v>18</v>
      </c>
      <c r="D14" s="3">
        <v>20000</v>
      </c>
      <c r="E14" s="3">
        <f>SUM(E13+D14)</f>
        <v>330000</v>
      </c>
      <c r="F14" s="3">
        <f>F13-D14</f>
        <v>270000</v>
      </c>
    </row>
    <row r="15" spans="1:6" x14ac:dyDescent="0.35">
      <c r="A15" s="38" t="s">
        <v>470</v>
      </c>
      <c r="B15" s="38">
        <v>1541</v>
      </c>
      <c r="C15" s="2" t="s">
        <v>18</v>
      </c>
      <c r="D15" s="5">
        <v>20000</v>
      </c>
      <c r="E15" s="5">
        <f>E14+D15</f>
        <v>350000</v>
      </c>
      <c r="F15" s="5">
        <f>F14-D15</f>
        <v>250000</v>
      </c>
    </row>
    <row r="16" spans="1:6" x14ac:dyDescent="0.35">
      <c r="A16" s="38" t="s">
        <v>469</v>
      </c>
      <c r="B16" s="38">
        <v>1853</v>
      </c>
      <c r="C16" s="2" t="s">
        <v>18</v>
      </c>
      <c r="D16" s="5">
        <v>19000</v>
      </c>
      <c r="E16" s="5">
        <f>E15+D16</f>
        <v>369000</v>
      </c>
      <c r="F16" s="5">
        <f>F15-D16</f>
        <v>231000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C20" sqref="C20"/>
    </sheetView>
  </sheetViews>
  <sheetFormatPr defaultRowHeight="14.5" x14ac:dyDescent="0.35"/>
  <cols>
    <col min="1" max="1" width="9.453125" bestFit="1" customWidth="1"/>
    <col min="3" max="3" width="14.6328125" customWidth="1"/>
  </cols>
  <sheetData>
    <row r="1" spans="1:6" ht="18.5" x14ac:dyDescent="0.45">
      <c r="A1" s="1" t="s">
        <v>173</v>
      </c>
      <c r="B1" s="1"/>
      <c r="C1" s="1"/>
      <c r="D1" s="1"/>
      <c r="E1" s="1"/>
      <c r="F1" s="1"/>
    </row>
    <row r="2" spans="1:6" ht="18.5" x14ac:dyDescent="0.45">
      <c r="A2" s="1" t="s">
        <v>174</v>
      </c>
      <c r="B2" s="1"/>
      <c r="C2" s="1"/>
      <c r="D2" s="1"/>
      <c r="E2" s="1"/>
      <c r="F2" s="1"/>
    </row>
    <row r="3" spans="1:6" ht="18.5" x14ac:dyDescent="0.45">
      <c r="A3" s="1" t="s">
        <v>175</v>
      </c>
      <c r="B3" s="1"/>
      <c r="C3" s="1"/>
      <c r="D3" s="1"/>
      <c r="E3" s="1"/>
      <c r="F3" s="1"/>
    </row>
    <row r="4" spans="1:6" ht="18.5" x14ac:dyDescent="0.45">
      <c r="A4" s="1" t="s">
        <v>179</v>
      </c>
      <c r="B4" s="1"/>
      <c r="C4" s="1"/>
      <c r="D4" s="1"/>
      <c r="E4" s="1"/>
      <c r="F4" s="1"/>
    </row>
    <row r="5" spans="1:6" ht="18.5" x14ac:dyDescent="0.45">
      <c r="A5" s="1" t="s">
        <v>176</v>
      </c>
      <c r="B5" s="1"/>
      <c r="C5" s="1"/>
      <c r="D5" s="1"/>
      <c r="E5" s="1"/>
      <c r="F5" s="1"/>
    </row>
    <row r="6" spans="1:6" ht="18.5" x14ac:dyDescent="0.45">
      <c r="A6" s="1" t="s">
        <v>177</v>
      </c>
      <c r="B6" s="1"/>
      <c r="C6" s="1"/>
      <c r="D6" s="1" t="s">
        <v>178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4">
        <v>45301</v>
      </c>
      <c r="B8">
        <v>11684</v>
      </c>
      <c r="C8" t="s">
        <v>180</v>
      </c>
      <c r="D8" s="5">
        <v>150000</v>
      </c>
      <c r="E8" s="5">
        <v>150000</v>
      </c>
      <c r="F8" s="5">
        <v>150000</v>
      </c>
    </row>
    <row r="9" spans="1:6" x14ac:dyDescent="0.35">
      <c r="A9" s="4">
        <v>45393</v>
      </c>
      <c r="B9">
        <v>12450</v>
      </c>
      <c r="C9" t="s">
        <v>181</v>
      </c>
      <c r="D9" s="5">
        <v>150000</v>
      </c>
      <c r="E9" s="5">
        <v>300000</v>
      </c>
      <c r="F9" t="s">
        <v>182</v>
      </c>
    </row>
    <row r="10" spans="1:6" x14ac:dyDescent="0.35">
      <c r="A10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opLeftCell="A17" workbookViewId="0">
      <selection activeCell="F23" sqref="F23"/>
    </sheetView>
  </sheetViews>
  <sheetFormatPr defaultRowHeight="14.5" x14ac:dyDescent="0.35"/>
  <sheetData>
    <row r="1" spans="1:6" ht="18.5" x14ac:dyDescent="0.45">
      <c r="A1" s="1" t="s">
        <v>365</v>
      </c>
      <c r="B1" s="1"/>
      <c r="C1" s="1"/>
      <c r="D1" s="1"/>
      <c r="E1" s="1"/>
      <c r="F1" s="1"/>
    </row>
    <row r="2" spans="1:6" ht="18.5" x14ac:dyDescent="0.45">
      <c r="A2" s="1" t="s">
        <v>366</v>
      </c>
      <c r="B2" s="1"/>
      <c r="C2" s="1"/>
      <c r="D2" s="1"/>
      <c r="E2" s="1"/>
      <c r="F2" s="1"/>
    </row>
    <row r="3" spans="1:6" ht="18.5" x14ac:dyDescent="0.45">
      <c r="A3" s="1" t="s">
        <v>367</v>
      </c>
      <c r="B3" s="1"/>
      <c r="C3" s="1"/>
      <c r="D3" s="1"/>
      <c r="E3" s="1"/>
      <c r="F3" s="1"/>
    </row>
    <row r="4" spans="1:6" ht="18.5" x14ac:dyDescent="0.45">
      <c r="A4" s="1" t="s">
        <v>370</v>
      </c>
      <c r="B4" s="1"/>
      <c r="C4" s="1"/>
      <c r="D4" s="1"/>
      <c r="E4" s="1"/>
      <c r="F4" s="1"/>
    </row>
    <row r="5" spans="1:6" ht="18.5" x14ac:dyDescent="0.45">
      <c r="A5" s="1" t="s">
        <v>368</v>
      </c>
      <c r="B5" s="1"/>
      <c r="C5" s="1"/>
      <c r="D5" s="1"/>
      <c r="E5" s="1"/>
      <c r="F5" s="1"/>
    </row>
    <row r="6" spans="1:6" ht="18.5" x14ac:dyDescent="0.45">
      <c r="A6" s="1" t="s">
        <v>369</v>
      </c>
      <c r="B6" s="1"/>
      <c r="C6" s="1"/>
      <c r="D6" s="1" t="s">
        <v>109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ht="18.5" x14ac:dyDescent="0.45">
      <c r="A8" s="1" t="s">
        <v>354</v>
      </c>
      <c r="D8" s="5">
        <v>150000</v>
      </c>
      <c r="E8" s="5">
        <v>150000</v>
      </c>
      <c r="F8" s="5">
        <v>250000</v>
      </c>
    </row>
    <row r="9" spans="1:6" x14ac:dyDescent="0.35">
      <c r="A9" t="s">
        <v>355</v>
      </c>
      <c r="B9">
        <v>2337</v>
      </c>
      <c r="C9" t="s">
        <v>31</v>
      </c>
      <c r="D9" s="5">
        <v>10000</v>
      </c>
      <c r="E9" s="5">
        <f>E8+D9</f>
        <v>160000</v>
      </c>
      <c r="F9" s="5">
        <f>F8-D9</f>
        <v>240000</v>
      </c>
    </row>
    <row r="10" spans="1:6" x14ac:dyDescent="0.35">
      <c r="A10" t="s">
        <v>356</v>
      </c>
      <c r="B10">
        <v>11324</v>
      </c>
      <c r="C10" t="s">
        <v>31</v>
      </c>
      <c r="D10" s="5">
        <v>10000</v>
      </c>
      <c r="E10" s="5">
        <f t="shared" ref="E10:E20" si="0">E9+D10</f>
        <v>170000</v>
      </c>
      <c r="F10" s="5">
        <f t="shared" ref="F10:F20" si="1">F9-D10</f>
        <v>230000</v>
      </c>
    </row>
    <row r="11" spans="1:6" x14ac:dyDescent="0.35">
      <c r="A11" t="s">
        <v>215</v>
      </c>
      <c r="B11">
        <v>935</v>
      </c>
      <c r="C11" t="s">
        <v>31</v>
      </c>
      <c r="D11" s="5">
        <v>30000</v>
      </c>
      <c r="E11" s="5">
        <f t="shared" si="0"/>
        <v>200000</v>
      </c>
      <c r="F11" s="5">
        <f t="shared" si="1"/>
        <v>200000</v>
      </c>
    </row>
    <row r="12" spans="1:6" x14ac:dyDescent="0.35">
      <c r="A12" t="s">
        <v>357</v>
      </c>
      <c r="B12">
        <v>12577</v>
      </c>
      <c r="C12" t="s">
        <v>31</v>
      </c>
      <c r="D12" s="5">
        <v>30000</v>
      </c>
      <c r="E12" s="5">
        <f t="shared" si="0"/>
        <v>230000</v>
      </c>
      <c r="F12" s="5">
        <f t="shared" si="1"/>
        <v>170000</v>
      </c>
    </row>
    <row r="13" spans="1:6" x14ac:dyDescent="0.35">
      <c r="A13" s="4">
        <v>45971</v>
      </c>
      <c r="B13">
        <v>13764</v>
      </c>
      <c r="C13" t="s">
        <v>31</v>
      </c>
      <c r="D13" s="5">
        <v>10000</v>
      </c>
      <c r="E13" s="5">
        <f t="shared" si="0"/>
        <v>240000</v>
      </c>
      <c r="F13" s="5">
        <f t="shared" si="1"/>
        <v>160000</v>
      </c>
    </row>
    <row r="14" spans="1:6" x14ac:dyDescent="0.35">
      <c r="A14" s="4">
        <v>45941</v>
      </c>
      <c r="B14">
        <v>13310</v>
      </c>
      <c r="C14" t="s">
        <v>31</v>
      </c>
      <c r="D14" s="5">
        <v>10000</v>
      </c>
      <c r="E14" s="5">
        <f t="shared" si="0"/>
        <v>250000</v>
      </c>
      <c r="F14" s="5">
        <f t="shared" si="1"/>
        <v>150000</v>
      </c>
    </row>
    <row r="15" spans="1:6" x14ac:dyDescent="0.35">
      <c r="A15" t="s">
        <v>358</v>
      </c>
      <c r="B15">
        <v>13764</v>
      </c>
      <c r="C15" t="s">
        <v>31</v>
      </c>
      <c r="D15" s="5">
        <v>10000</v>
      </c>
      <c r="E15" s="5">
        <f t="shared" si="0"/>
        <v>260000</v>
      </c>
      <c r="F15" s="5">
        <f t="shared" si="1"/>
        <v>140000</v>
      </c>
    </row>
    <row r="16" spans="1:6" x14ac:dyDescent="0.35">
      <c r="A16" s="4">
        <v>46296</v>
      </c>
      <c r="B16">
        <v>12065</v>
      </c>
      <c r="C16" t="s">
        <v>31</v>
      </c>
      <c r="D16" s="5">
        <v>10000</v>
      </c>
      <c r="E16" s="5">
        <f t="shared" si="0"/>
        <v>270000</v>
      </c>
      <c r="F16" s="5">
        <f t="shared" si="1"/>
        <v>130000</v>
      </c>
    </row>
    <row r="17" spans="1:6" x14ac:dyDescent="0.35">
      <c r="A17" t="s">
        <v>359</v>
      </c>
      <c r="B17">
        <v>12246</v>
      </c>
      <c r="C17" t="s">
        <v>31</v>
      </c>
      <c r="D17" s="5">
        <v>10000</v>
      </c>
      <c r="E17" s="5">
        <f t="shared" si="0"/>
        <v>280000</v>
      </c>
      <c r="F17" s="5">
        <f t="shared" si="1"/>
        <v>120000</v>
      </c>
    </row>
    <row r="18" spans="1:6" x14ac:dyDescent="0.35">
      <c r="A18" s="4">
        <v>46298</v>
      </c>
      <c r="B18">
        <v>12803</v>
      </c>
      <c r="C18" t="s">
        <v>31</v>
      </c>
      <c r="D18" s="5">
        <v>10000</v>
      </c>
      <c r="E18" s="5">
        <f t="shared" si="0"/>
        <v>290000</v>
      </c>
      <c r="F18" s="5">
        <f t="shared" si="1"/>
        <v>110000</v>
      </c>
    </row>
    <row r="19" spans="1:6" x14ac:dyDescent="0.35">
      <c r="A19" s="4">
        <v>46360</v>
      </c>
      <c r="B19">
        <v>123803</v>
      </c>
      <c r="C19" t="s">
        <v>31</v>
      </c>
      <c r="D19" s="5">
        <v>10000</v>
      </c>
      <c r="E19" s="5">
        <f t="shared" si="0"/>
        <v>300000</v>
      </c>
      <c r="F19" s="5">
        <f t="shared" si="1"/>
        <v>100000</v>
      </c>
    </row>
    <row r="20" spans="1:6" x14ac:dyDescent="0.35">
      <c r="A20" s="4">
        <v>46331</v>
      </c>
      <c r="B20">
        <v>13335</v>
      </c>
      <c r="C20" t="s">
        <v>31</v>
      </c>
      <c r="D20" s="5">
        <v>10000</v>
      </c>
      <c r="E20" s="5">
        <f t="shared" si="0"/>
        <v>310000</v>
      </c>
      <c r="F20" s="5">
        <f t="shared" si="1"/>
        <v>90000</v>
      </c>
    </row>
    <row r="21" spans="1:6" x14ac:dyDescent="0.35">
      <c r="A21" t="s">
        <v>434</v>
      </c>
      <c r="B21">
        <v>13570</v>
      </c>
      <c r="C21" t="s">
        <v>31</v>
      </c>
      <c r="D21" s="5">
        <v>10000</v>
      </c>
      <c r="E21" s="5">
        <f>E20+D21</f>
        <v>320000</v>
      </c>
      <c r="F21" s="5">
        <f>F20-D21</f>
        <v>80000</v>
      </c>
    </row>
    <row r="22" spans="1:6" x14ac:dyDescent="0.35">
      <c r="A22" t="s">
        <v>442</v>
      </c>
      <c r="B22">
        <v>1448</v>
      </c>
      <c r="C22" t="s">
        <v>31</v>
      </c>
      <c r="D22" s="5">
        <v>10000</v>
      </c>
      <c r="E22" s="5">
        <f>E21+D22</f>
        <v>330000</v>
      </c>
      <c r="F22" s="5">
        <f>F21-D22</f>
        <v>70000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opLeftCell="A17" workbookViewId="0">
      <selection activeCell="F23" sqref="F23"/>
    </sheetView>
  </sheetViews>
  <sheetFormatPr defaultRowHeight="14.5" x14ac:dyDescent="0.35"/>
  <sheetData>
    <row r="1" spans="1:6" ht="18.5" x14ac:dyDescent="0.45">
      <c r="A1" s="1" t="s">
        <v>360</v>
      </c>
      <c r="B1" s="1"/>
      <c r="C1" s="1"/>
      <c r="D1" s="1"/>
      <c r="E1" s="1"/>
      <c r="F1" s="1"/>
    </row>
    <row r="2" spans="1:6" ht="18.5" x14ac:dyDescent="0.45">
      <c r="A2" s="1" t="s">
        <v>349</v>
      </c>
      <c r="B2" s="1"/>
      <c r="C2" s="1"/>
      <c r="D2" s="1"/>
      <c r="E2" s="1"/>
      <c r="F2" s="1"/>
    </row>
    <row r="3" spans="1:6" ht="18.5" x14ac:dyDescent="0.45">
      <c r="A3" s="1" t="s">
        <v>361</v>
      </c>
      <c r="B3" s="1"/>
      <c r="C3" s="1"/>
      <c r="D3" s="1"/>
      <c r="E3" s="1"/>
      <c r="F3" s="1"/>
    </row>
    <row r="4" spans="1:6" ht="18.5" x14ac:dyDescent="0.45">
      <c r="A4" s="1" t="s">
        <v>364</v>
      </c>
      <c r="B4" s="1"/>
      <c r="C4" s="1"/>
      <c r="D4" s="1"/>
      <c r="E4" s="1"/>
      <c r="F4" s="1"/>
    </row>
    <row r="5" spans="1:6" ht="18.5" x14ac:dyDescent="0.45">
      <c r="A5" s="1" t="s">
        <v>362</v>
      </c>
      <c r="B5" s="1"/>
      <c r="C5" s="1"/>
      <c r="D5" s="1"/>
      <c r="E5" s="1"/>
      <c r="F5" s="1"/>
    </row>
    <row r="6" spans="1:6" ht="18.5" x14ac:dyDescent="0.45">
      <c r="A6" s="1" t="s">
        <v>363</v>
      </c>
      <c r="B6" s="1"/>
      <c r="C6" s="1"/>
      <c r="D6" s="1" t="s">
        <v>109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ht="18.5" x14ac:dyDescent="0.45">
      <c r="A8" s="1" t="s">
        <v>354</v>
      </c>
      <c r="D8" s="5">
        <v>150000</v>
      </c>
      <c r="E8" s="5">
        <v>150000</v>
      </c>
      <c r="F8" s="5">
        <v>250000</v>
      </c>
    </row>
    <row r="9" spans="1:6" x14ac:dyDescent="0.35">
      <c r="A9" t="s">
        <v>355</v>
      </c>
      <c r="B9">
        <v>2337</v>
      </c>
      <c r="C9" t="s">
        <v>31</v>
      </c>
      <c r="D9" s="5">
        <v>10000</v>
      </c>
      <c r="E9" s="5">
        <f>E8+D9</f>
        <v>160000</v>
      </c>
      <c r="F9" s="5">
        <f>F8-D9</f>
        <v>240000</v>
      </c>
    </row>
    <row r="10" spans="1:6" x14ac:dyDescent="0.35">
      <c r="A10" t="s">
        <v>356</v>
      </c>
      <c r="B10">
        <v>1132</v>
      </c>
      <c r="C10" t="s">
        <v>31</v>
      </c>
      <c r="D10" s="5">
        <v>10000</v>
      </c>
      <c r="E10" s="5">
        <f t="shared" ref="E10:E20" si="0">E9+D10</f>
        <v>170000</v>
      </c>
      <c r="F10" s="5">
        <f t="shared" ref="F10:F20" si="1">F9-D10</f>
        <v>230000</v>
      </c>
    </row>
    <row r="11" spans="1:6" x14ac:dyDescent="0.35">
      <c r="A11" t="s">
        <v>215</v>
      </c>
      <c r="B11">
        <v>934</v>
      </c>
      <c r="C11" t="s">
        <v>31</v>
      </c>
      <c r="D11" s="5">
        <v>30000</v>
      </c>
      <c r="E11" s="5">
        <f t="shared" si="0"/>
        <v>200000</v>
      </c>
      <c r="F11" s="5">
        <f t="shared" si="1"/>
        <v>200000</v>
      </c>
    </row>
    <row r="12" spans="1:6" x14ac:dyDescent="0.35">
      <c r="A12" t="s">
        <v>357</v>
      </c>
      <c r="B12">
        <v>12578</v>
      </c>
      <c r="C12" t="s">
        <v>31</v>
      </c>
      <c r="D12" s="5">
        <v>30000</v>
      </c>
      <c r="E12" s="5">
        <f t="shared" si="0"/>
        <v>230000</v>
      </c>
      <c r="F12" s="5">
        <f t="shared" si="1"/>
        <v>170000</v>
      </c>
    </row>
    <row r="13" spans="1:6" x14ac:dyDescent="0.35">
      <c r="A13" s="4">
        <v>45971</v>
      </c>
      <c r="B13">
        <v>13765</v>
      </c>
      <c r="C13" t="s">
        <v>31</v>
      </c>
      <c r="D13" s="5">
        <v>10000</v>
      </c>
      <c r="E13" s="5">
        <f t="shared" si="0"/>
        <v>240000</v>
      </c>
      <c r="F13" s="5">
        <f t="shared" si="1"/>
        <v>160000</v>
      </c>
    </row>
    <row r="14" spans="1:6" x14ac:dyDescent="0.35">
      <c r="A14" s="4">
        <v>45941</v>
      </c>
      <c r="B14">
        <v>13313</v>
      </c>
      <c r="C14" t="s">
        <v>31</v>
      </c>
      <c r="D14" s="5">
        <v>10000</v>
      </c>
      <c r="E14" s="5">
        <f t="shared" si="0"/>
        <v>250000</v>
      </c>
      <c r="F14" s="5">
        <f t="shared" si="1"/>
        <v>150000</v>
      </c>
    </row>
    <row r="15" spans="1:6" x14ac:dyDescent="0.35">
      <c r="A15" t="s">
        <v>358</v>
      </c>
      <c r="B15">
        <v>13184</v>
      </c>
      <c r="C15" t="s">
        <v>31</v>
      </c>
      <c r="D15" s="5">
        <v>10000</v>
      </c>
      <c r="E15" s="5">
        <f t="shared" si="0"/>
        <v>260000</v>
      </c>
      <c r="F15" s="5">
        <f t="shared" si="1"/>
        <v>140000</v>
      </c>
    </row>
    <row r="16" spans="1:6" x14ac:dyDescent="0.35">
      <c r="A16" s="4">
        <v>46296</v>
      </c>
      <c r="B16">
        <v>12064</v>
      </c>
      <c r="C16" t="s">
        <v>31</v>
      </c>
      <c r="D16" s="5">
        <v>10000</v>
      </c>
      <c r="E16" s="5">
        <f t="shared" si="0"/>
        <v>270000</v>
      </c>
      <c r="F16" s="5">
        <f t="shared" si="1"/>
        <v>130000</v>
      </c>
    </row>
    <row r="17" spans="1:6" x14ac:dyDescent="0.35">
      <c r="A17" t="s">
        <v>359</v>
      </c>
      <c r="B17">
        <v>12245</v>
      </c>
      <c r="C17" t="s">
        <v>31</v>
      </c>
      <c r="D17" s="5">
        <v>10000</v>
      </c>
      <c r="E17" s="5">
        <f t="shared" si="0"/>
        <v>280000</v>
      </c>
      <c r="F17" s="5">
        <f t="shared" si="1"/>
        <v>120000</v>
      </c>
    </row>
    <row r="18" spans="1:6" x14ac:dyDescent="0.35">
      <c r="A18" s="4">
        <v>46298</v>
      </c>
      <c r="B18">
        <v>12804</v>
      </c>
      <c r="C18" t="s">
        <v>31</v>
      </c>
      <c r="D18" s="5">
        <v>10000</v>
      </c>
      <c r="E18" s="5">
        <f t="shared" si="0"/>
        <v>290000</v>
      </c>
      <c r="F18" s="5">
        <f t="shared" si="1"/>
        <v>110000</v>
      </c>
    </row>
    <row r="19" spans="1:6" x14ac:dyDescent="0.35">
      <c r="A19" s="4">
        <v>46360</v>
      </c>
      <c r="B19">
        <v>13253</v>
      </c>
      <c r="C19" t="s">
        <v>31</v>
      </c>
      <c r="D19" s="5">
        <v>10000</v>
      </c>
      <c r="E19" s="5">
        <f t="shared" si="0"/>
        <v>300000</v>
      </c>
      <c r="F19" s="5">
        <f t="shared" si="1"/>
        <v>100000</v>
      </c>
    </row>
    <row r="20" spans="1:6" x14ac:dyDescent="0.35">
      <c r="A20" s="4">
        <v>46331</v>
      </c>
      <c r="B20">
        <v>13334</v>
      </c>
      <c r="C20" t="s">
        <v>31</v>
      </c>
      <c r="D20" s="5">
        <v>10000</v>
      </c>
      <c r="E20" s="5">
        <f t="shared" si="0"/>
        <v>310000</v>
      </c>
      <c r="F20" s="5">
        <f t="shared" si="1"/>
        <v>90000</v>
      </c>
    </row>
    <row r="21" spans="1:6" x14ac:dyDescent="0.35">
      <c r="A21" t="s">
        <v>434</v>
      </c>
      <c r="B21">
        <v>13571</v>
      </c>
      <c r="C21" t="s">
        <v>31</v>
      </c>
      <c r="D21" s="5">
        <v>10000</v>
      </c>
      <c r="E21" s="5">
        <f>E20+D21</f>
        <v>320000</v>
      </c>
      <c r="F21" s="5">
        <f>F20-D21</f>
        <v>80000</v>
      </c>
    </row>
    <row r="22" spans="1:6" x14ac:dyDescent="0.35">
      <c r="A22" t="s">
        <v>443</v>
      </c>
      <c r="B22">
        <v>1446</v>
      </c>
      <c r="C22" t="s">
        <v>31</v>
      </c>
      <c r="D22" s="5">
        <v>10000</v>
      </c>
      <c r="E22" s="5">
        <f>E21+D22</f>
        <v>330000</v>
      </c>
      <c r="F22" s="5">
        <f>F21-D22</f>
        <v>70000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opLeftCell="A5" workbookViewId="0">
      <selection activeCell="F23" sqref="F23"/>
    </sheetView>
  </sheetViews>
  <sheetFormatPr defaultRowHeight="14.5" x14ac:dyDescent="0.35"/>
  <cols>
    <col min="1" max="1" width="10.08984375" customWidth="1"/>
    <col min="3" max="3" width="10.7265625" customWidth="1"/>
  </cols>
  <sheetData>
    <row r="1" spans="1:6" ht="18.5" x14ac:dyDescent="0.45">
      <c r="A1" s="1" t="s">
        <v>348</v>
      </c>
      <c r="B1" s="1"/>
      <c r="C1" s="1"/>
      <c r="D1" s="1"/>
      <c r="E1" s="1"/>
      <c r="F1" s="1"/>
    </row>
    <row r="2" spans="1:6" ht="18.5" x14ac:dyDescent="0.45">
      <c r="A2" s="1" t="s">
        <v>349</v>
      </c>
      <c r="B2" s="1"/>
      <c r="C2" s="1"/>
      <c r="D2" s="1"/>
      <c r="E2" s="1"/>
      <c r="F2" s="1"/>
    </row>
    <row r="3" spans="1:6" ht="18.5" x14ac:dyDescent="0.45">
      <c r="A3" s="1" t="s">
        <v>350</v>
      </c>
      <c r="B3" s="1"/>
      <c r="C3" s="1"/>
      <c r="D3" s="1"/>
      <c r="E3" s="1"/>
      <c r="F3" s="1"/>
    </row>
    <row r="4" spans="1:6" ht="18.5" x14ac:dyDescent="0.45">
      <c r="A4" s="1" t="s">
        <v>353</v>
      </c>
      <c r="B4" s="1"/>
      <c r="C4" s="1"/>
      <c r="D4" s="1"/>
      <c r="E4" s="1"/>
      <c r="F4" s="1"/>
    </row>
    <row r="5" spans="1:6" ht="18.5" x14ac:dyDescent="0.45">
      <c r="A5" s="1" t="s">
        <v>351</v>
      </c>
      <c r="B5" s="1"/>
      <c r="C5" s="1"/>
      <c r="D5" s="1"/>
      <c r="E5" s="1"/>
      <c r="F5" s="1"/>
    </row>
    <row r="6" spans="1:6" ht="18.5" x14ac:dyDescent="0.45">
      <c r="A6" s="1" t="s">
        <v>352</v>
      </c>
      <c r="B6" s="1"/>
      <c r="C6" s="1"/>
      <c r="D6" s="1" t="s">
        <v>109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ht="18.5" x14ac:dyDescent="0.45">
      <c r="A8" s="1" t="s">
        <v>354</v>
      </c>
      <c r="D8" s="5">
        <v>150000</v>
      </c>
      <c r="E8" s="5">
        <v>150000</v>
      </c>
      <c r="F8" s="5">
        <v>250000</v>
      </c>
    </row>
    <row r="9" spans="1:6" x14ac:dyDescent="0.35">
      <c r="A9" t="s">
        <v>355</v>
      </c>
      <c r="B9">
        <v>2338</v>
      </c>
      <c r="C9" t="s">
        <v>31</v>
      </c>
      <c r="D9" s="5">
        <v>10000</v>
      </c>
      <c r="E9" s="5">
        <f>E8+D9</f>
        <v>160000</v>
      </c>
      <c r="F9" s="5">
        <f>F8-D9</f>
        <v>240000</v>
      </c>
    </row>
    <row r="10" spans="1:6" x14ac:dyDescent="0.35">
      <c r="A10" t="s">
        <v>356</v>
      </c>
      <c r="B10">
        <v>1133</v>
      </c>
      <c r="C10" t="s">
        <v>31</v>
      </c>
      <c r="D10" s="5">
        <v>10000</v>
      </c>
      <c r="E10" s="5">
        <f t="shared" ref="E10:E20" si="0">E9+D10</f>
        <v>170000</v>
      </c>
      <c r="F10" s="5">
        <f t="shared" ref="F10:F20" si="1">F9-D10</f>
        <v>230000</v>
      </c>
    </row>
    <row r="11" spans="1:6" x14ac:dyDescent="0.35">
      <c r="A11" t="s">
        <v>215</v>
      </c>
      <c r="B11">
        <v>933</v>
      </c>
      <c r="C11" t="s">
        <v>31</v>
      </c>
      <c r="D11" s="5">
        <v>30000</v>
      </c>
      <c r="E11" s="5">
        <f t="shared" si="0"/>
        <v>200000</v>
      </c>
      <c r="F11" s="5">
        <f t="shared" si="1"/>
        <v>200000</v>
      </c>
    </row>
    <row r="12" spans="1:6" x14ac:dyDescent="0.35">
      <c r="A12" t="s">
        <v>357</v>
      </c>
      <c r="B12">
        <v>12579</v>
      </c>
      <c r="C12" t="s">
        <v>31</v>
      </c>
      <c r="D12" s="5">
        <v>30000</v>
      </c>
      <c r="E12" s="5">
        <f t="shared" si="0"/>
        <v>230000</v>
      </c>
      <c r="F12" s="5">
        <f t="shared" si="1"/>
        <v>170000</v>
      </c>
    </row>
    <row r="13" spans="1:6" x14ac:dyDescent="0.35">
      <c r="A13" s="4">
        <v>45971</v>
      </c>
      <c r="B13">
        <v>13766</v>
      </c>
      <c r="C13" t="s">
        <v>31</v>
      </c>
      <c r="D13" s="5">
        <v>10000</v>
      </c>
      <c r="E13" s="5">
        <f t="shared" si="0"/>
        <v>240000</v>
      </c>
      <c r="F13" s="5">
        <f t="shared" si="1"/>
        <v>160000</v>
      </c>
    </row>
    <row r="14" spans="1:6" x14ac:dyDescent="0.35">
      <c r="A14" s="4">
        <v>45941</v>
      </c>
      <c r="B14">
        <v>13314</v>
      </c>
      <c r="C14" t="s">
        <v>31</v>
      </c>
      <c r="D14" s="5">
        <v>10000</v>
      </c>
      <c r="E14" s="5">
        <f t="shared" si="0"/>
        <v>250000</v>
      </c>
      <c r="F14" s="5">
        <f t="shared" si="1"/>
        <v>150000</v>
      </c>
    </row>
    <row r="15" spans="1:6" x14ac:dyDescent="0.35">
      <c r="A15" t="s">
        <v>358</v>
      </c>
      <c r="B15">
        <v>13183</v>
      </c>
      <c r="C15" t="s">
        <v>31</v>
      </c>
      <c r="D15" s="5">
        <v>10000</v>
      </c>
      <c r="E15" s="5">
        <f t="shared" si="0"/>
        <v>260000</v>
      </c>
      <c r="F15" s="5">
        <f t="shared" si="1"/>
        <v>140000</v>
      </c>
    </row>
    <row r="16" spans="1:6" x14ac:dyDescent="0.35">
      <c r="A16" s="4">
        <v>46296</v>
      </c>
      <c r="B16">
        <v>12065</v>
      </c>
      <c r="C16" t="s">
        <v>31</v>
      </c>
      <c r="D16" s="5">
        <v>10000</v>
      </c>
      <c r="E16" s="5">
        <f t="shared" si="0"/>
        <v>270000</v>
      </c>
      <c r="F16" s="5">
        <f t="shared" si="1"/>
        <v>130000</v>
      </c>
    </row>
    <row r="17" spans="1:6" x14ac:dyDescent="0.35">
      <c r="A17" t="s">
        <v>359</v>
      </c>
      <c r="B17">
        <v>12246</v>
      </c>
      <c r="C17" t="s">
        <v>31</v>
      </c>
      <c r="D17" s="5">
        <v>10000</v>
      </c>
      <c r="E17" s="5">
        <f t="shared" si="0"/>
        <v>280000</v>
      </c>
      <c r="F17" s="5">
        <f t="shared" si="1"/>
        <v>120000</v>
      </c>
    </row>
    <row r="18" spans="1:6" x14ac:dyDescent="0.35">
      <c r="A18" s="4">
        <v>46298</v>
      </c>
      <c r="B18">
        <v>12805</v>
      </c>
      <c r="C18" t="s">
        <v>31</v>
      </c>
      <c r="D18" s="5">
        <v>10000</v>
      </c>
      <c r="E18" s="5">
        <f t="shared" si="0"/>
        <v>290000</v>
      </c>
      <c r="F18" s="5">
        <f t="shared" si="1"/>
        <v>110000</v>
      </c>
    </row>
    <row r="19" spans="1:6" x14ac:dyDescent="0.35">
      <c r="A19" s="4">
        <v>46360</v>
      </c>
      <c r="B19">
        <v>13254</v>
      </c>
      <c r="C19" t="s">
        <v>31</v>
      </c>
      <c r="D19" s="5">
        <v>10000</v>
      </c>
      <c r="E19" s="5">
        <f t="shared" si="0"/>
        <v>300000</v>
      </c>
      <c r="F19" s="5">
        <f t="shared" si="1"/>
        <v>100000</v>
      </c>
    </row>
    <row r="20" spans="1:6" x14ac:dyDescent="0.35">
      <c r="A20" s="4">
        <v>46331</v>
      </c>
      <c r="B20">
        <v>13335</v>
      </c>
      <c r="C20" t="s">
        <v>31</v>
      </c>
      <c r="D20" s="5">
        <v>10000</v>
      </c>
      <c r="E20" s="5">
        <f t="shared" si="0"/>
        <v>310000</v>
      </c>
      <c r="F20" s="5">
        <f t="shared" si="1"/>
        <v>90000</v>
      </c>
    </row>
    <row r="21" spans="1:6" x14ac:dyDescent="0.35">
      <c r="A21" t="s">
        <v>434</v>
      </c>
      <c r="B21">
        <v>13572</v>
      </c>
      <c r="C21" t="s">
        <v>31</v>
      </c>
      <c r="D21" s="5">
        <v>10000</v>
      </c>
      <c r="E21" s="5">
        <f>E20+D21</f>
        <v>320000</v>
      </c>
      <c r="F21" s="5">
        <f>F20-D21</f>
        <v>80000</v>
      </c>
    </row>
    <row r="22" spans="1:6" x14ac:dyDescent="0.35">
      <c r="A22" t="s">
        <v>442</v>
      </c>
      <c r="B22">
        <v>1447</v>
      </c>
      <c r="C22" t="s">
        <v>31</v>
      </c>
      <c r="D22" s="5">
        <v>10000</v>
      </c>
      <c r="E22" s="5">
        <f>E21+D22</f>
        <v>330000</v>
      </c>
      <c r="F22" s="5">
        <f>F21-D22</f>
        <v>70000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sqref="A1:G37"/>
    </sheetView>
  </sheetViews>
  <sheetFormatPr defaultRowHeight="14.5" x14ac:dyDescent="0.35"/>
  <cols>
    <col min="1" max="1" width="12.1796875" customWidth="1"/>
    <col min="3" max="3" width="13.36328125" customWidth="1"/>
  </cols>
  <sheetData>
    <row r="1" spans="1:6" ht="18.5" x14ac:dyDescent="0.45">
      <c r="A1" s="1" t="s">
        <v>296</v>
      </c>
      <c r="B1" s="1"/>
      <c r="C1" s="1"/>
      <c r="D1" s="1"/>
      <c r="E1" s="1"/>
      <c r="F1" s="1"/>
    </row>
    <row r="2" spans="1:6" ht="18.5" x14ac:dyDescent="0.45">
      <c r="A2" s="1" t="s">
        <v>297</v>
      </c>
      <c r="B2" s="1"/>
      <c r="C2" s="1"/>
      <c r="D2" s="1"/>
      <c r="E2" s="1"/>
      <c r="F2" s="1"/>
    </row>
    <row r="3" spans="1:6" ht="18.5" x14ac:dyDescent="0.45">
      <c r="A3" s="1" t="s">
        <v>298</v>
      </c>
      <c r="B3" s="1"/>
      <c r="C3" s="1"/>
      <c r="D3" s="1"/>
      <c r="E3" s="1"/>
      <c r="F3" s="1"/>
    </row>
    <row r="4" spans="1:6" ht="18.5" x14ac:dyDescent="0.45">
      <c r="A4" s="1" t="s">
        <v>301</v>
      </c>
      <c r="B4" s="1"/>
      <c r="C4" s="1"/>
      <c r="D4" s="1"/>
      <c r="E4" s="1"/>
      <c r="F4" s="1"/>
    </row>
    <row r="5" spans="1:6" ht="18.5" x14ac:dyDescent="0.45">
      <c r="A5" s="1" t="s">
        <v>299</v>
      </c>
      <c r="B5" s="1"/>
      <c r="C5" s="1"/>
      <c r="D5" s="1"/>
      <c r="E5" s="1"/>
      <c r="F5" s="1"/>
    </row>
    <row r="6" spans="1:6" ht="18.5" x14ac:dyDescent="0.45">
      <c r="A6" s="1" t="s">
        <v>300</v>
      </c>
      <c r="B6" s="1"/>
      <c r="C6" s="1"/>
      <c r="D6" s="1" t="s">
        <v>11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t="s">
        <v>302</v>
      </c>
      <c r="B8">
        <v>5788</v>
      </c>
      <c r="C8" t="s">
        <v>309</v>
      </c>
      <c r="D8" s="5">
        <v>300000</v>
      </c>
      <c r="E8" s="5">
        <v>300000</v>
      </c>
      <c r="F8" s="5">
        <v>300000</v>
      </c>
    </row>
    <row r="9" spans="1:6" x14ac:dyDescent="0.35">
      <c r="A9" t="s">
        <v>302</v>
      </c>
      <c r="B9">
        <v>5789</v>
      </c>
      <c r="C9" t="s">
        <v>310</v>
      </c>
      <c r="D9">
        <v>75000</v>
      </c>
      <c r="E9" s="5">
        <f>SUM(E8+D9)</f>
        <v>375000</v>
      </c>
      <c r="F9" s="5">
        <f>F8-D9</f>
        <v>225000</v>
      </c>
    </row>
    <row r="10" spans="1:6" x14ac:dyDescent="0.35">
      <c r="A10" t="s">
        <v>112</v>
      </c>
      <c r="B10">
        <v>6176</v>
      </c>
      <c r="C10" t="s">
        <v>310</v>
      </c>
      <c r="D10" s="5">
        <v>10000</v>
      </c>
      <c r="E10" s="5">
        <f t="shared" ref="E10:E27" si="0">SUM(E9+D10)</f>
        <v>385000</v>
      </c>
      <c r="F10" s="5">
        <f t="shared" ref="F10:F27" si="1">F9-D10</f>
        <v>215000</v>
      </c>
    </row>
    <row r="11" spans="1:6" x14ac:dyDescent="0.35">
      <c r="A11" t="s">
        <v>134</v>
      </c>
      <c r="B11">
        <v>7179</v>
      </c>
      <c r="C11" t="s">
        <v>310</v>
      </c>
      <c r="D11" s="5">
        <v>10000</v>
      </c>
      <c r="E11" s="5">
        <f t="shared" si="0"/>
        <v>395000</v>
      </c>
      <c r="F11" s="5">
        <f t="shared" si="1"/>
        <v>205000</v>
      </c>
    </row>
    <row r="12" spans="1:6" x14ac:dyDescent="0.35">
      <c r="A12" t="s">
        <v>303</v>
      </c>
      <c r="B12">
        <v>7431</v>
      </c>
      <c r="C12" t="s">
        <v>310</v>
      </c>
      <c r="D12" s="5">
        <v>10000</v>
      </c>
      <c r="E12" s="5">
        <f t="shared" si="0"/>
        <v>405000</v>
      </c>
      <c r="F12" s="5">
        <f t="shared" si="1"/>
        <v>195000</v>
      </c>
    </row>
    <row r="13" spans="1:6" x14ac:dyDescent="0.35">
      <c r="A13" t="s">
        <v>304</v>
      </c>
      <c r="B13">
        <v>8138</v>
      </c>
      <c r="C13" t="s">
        <v>310</v>
      </c>
      <c r="D13" s="5">
        <v>10000</v>
      </c>
      <c r="E13" s="5">
        <f t="shared" si="0"/>
        <v>415000</v>
      </c>
      <c r="F13" s="5">
        <f t="shared" si="1"/>
        <v>185000</v>
      </c>
    </row>
    <row r="14" spans="1:6" x14ac:dyDescent="0.35">
      <c r="A14" t="s">
        <v>305</v>
      </c>
      <c r="B14">
        <v>9730</v>
      </c>
      <c r="C14" t="s">
        <v>310</v>
      </c>
      <c r="D14" s="5">
        <v>10000</v>
      </c>
      <c r="E14" s="5">
        <f t="shared" si="0"/>
        <v>425000</v>
      </c>
      <c r="F14" s="5">
        <f t="shared" si="1"/>
        <v>175000</v>
      </c>
    </row>
    <row r="15" spans="1:6" x14ac:dyDescent="0.35">
      <c r="A15" t="s">
        <v>306</v>
      </c>
      <c r="B15">
        <v>11205</v>
      </c>
      <c r="C15" t="s">
        <v>310</v>
      </c>
      <c r="D15" s="5">
        <v>10000</v>
      </c>
      <c r="E15" s="5">
        <f t="shared" si="0"/>
        <v>435000</v>
      </c>
      <c r="F15" s="5">
        <f t="shared" si="1"/>
        <v>165000</v>
      </c>
    </row>
    <row r="16" spans="1:6" x14ac:dyDescent="0.35">
      <c r="A16" t="s">
        <v>307</v>
      </c>
      <c r="B16">
        <v>10877</v>
      </c>
      <c r="C16" t="s">
        <v>310</v>
      </c>
      <c r="D16" s="5">
        <v>10000</v>
      </c>
      <c r="E16" s="5">
        <f t="shared" si="0"/>
        <v>445000</v>
      </c>
      <c r="F16" s="5">
        <f t="shared" si="1"/>
        <v>155000</v>
      </c>
    </row>
    <row r="17" spans="1:6" x14ac:dyDescent="0.35">
      <c r="A17" s="4">
        <v>45576</v>
      </c>
      <c r="B17">
        <v>11992</v>
      </c>
      <c r="C17" t="s">
        <v>310</v>
      </c>
      <c r="D17" s="5">
        <v>20000</v>
      </c>
      <c r="E17" s="5">
        <f t="shared" si="0"/>
        <v>465000</v>
      </c>
      <c r="F17" s="5">
        <f t="shared" si="1"/>
        <v>135000</v>
      </c>
    </row>
    <row r="18" spans="1:6" x14ac:dyDescent="0.35">
      <c r="A18" t="s">
        <v>308</v>
      </c>
      <c r="B18">
        <v>12717</v>
      </c>
      <c r="C18" t="s">
        <v>310</v>
      </c>
      <c r="D18" s="5">
        <v>10000</v>
      </c>
      <c r="E18" s="5">
        <f t="shared" si="0"/>
        <v>475000</v>
      </c>
      <c r="F18" s="5">
        <f t="shared" si="1"/>
        <v>125000</v>
      </c>
    </row>
    <row r="19" spans="1:6" x14ac:dyDescent="0.35">
      <c r="A19" t="s">
        <v>63</v>
      </c>
      <c r="B19">
        <v>9057</v>
      </c>
      <c r="C19" t="s">
        <v>310</v>
      </c>
      <c r="D19" s="5">
        <v>10000</v>
      </c>
      <c r="E19" s="5">
        <f t="shared" si="0"/>
        <v>485000</v>
      </c>
      <c r="F19" s="5">
        <f t="shared" si="1"/>
        <v>115000</v>
      </c>
    </row>
    <row r="20" spans="1:6" x14ac:dyDescent="0.35">
      <c r="A20" s="4">
        <v>45903</v>
      </c>
      <c r="B20">
        <v>9689</v>
      </c>
      <c r="C20" t="s">
        <v>310</v>
      </c>
      <c r="D20" s="5">
        <v>20000</v>
      </c>
      <c r="E20" s="5">
        <f t="shared" si="0"/>
        <v>505000</v>
      </c>
      <c r="F20" s="5">
        <f t="shared" si="1"/>
        <v>95000</v>
      </c>
    </row>
    <row r="21" spans="1:6" x14ac:dyDescent="0.35">
      <c r="A21" s="4">
        <v>45966</v>
      </c>
      <c r="B21">
        <v>10941</v>
      </c>
      <c r="C21" t="s">
        <v>310</v>
      </c>
      <c r="D21" s="5">
        <v>20000</v>
      </c>
      <c r="E21" s="5">
        <f t="shared" si="0"/>
        <v>525000</v>
      </c>
      <c r="F21" s="5">
        <f t="shared" si="1"/>
        <v>75000</v>
      </c>
    </row>
    <row r="22" spans="1:6" x14ac:dyDescent="0.35">
      <c r="A22" t="s">
        <v>311</v>
      </c>
      <c r="B22">
        <v>12286</v>
      </c>
      <c r="C22" t="s">
        <v>310</v>
      </c>
      <c r="D22" s="5">
        <v>20000</v>
      </c>
      <c r="E22" s="5">
        <f t="shared" si="0"/>
        <v>545000</v>
      </c>
      <c r="F22" s="5">
        <f t="shared" si="1"/>
        <v>55000</v>
      </c>
    </row>
    <row r="23" spans="1:6" x14ac:dyDescent="0.35">
      <c r="A23" s="4">
        <v>45847</v>
      </c>
      <c r="B23">
        <v>12652</v>
      </c>
      <c r="C23" t="s">
        <v>310</v>
      </c>
      <c r="D23" s="5">
        <v>20000</v>
      </c>
      <c r="E23" s="5">
        <f t="shared" si="0"/>
        <v>565000</v>
      </c>
      <c r="F23" s="5">
        <f t="shared" si="1"/>
        <v>35000</v>
      </c>
    </row>
    <row r="24" spans="1:6" x14ac:dyDescent="0.35">
      <c r="A24" t="s">
        <v>283</v>
      </c>
      <c r="B24">
        <v>13571</v>
      </c>
      <c r="C24" t="s">
        <v>310</v>
      </c>
      <c r="D24" s="5">
        <v>10000</v>
      </c>
      <c r="E24" s="5">
        <f t="shared" si="0"/>
        <v>575000</v>
      </c>
      <c r="F24" s="5">
        <f t="shared" si="1"/>
        <v>25000</v>
      </c>
    </row>
    <row r="25" spans="1:6" x14ac:dyDescent="0.35">
      <c r="A25" t="s">
        <v>312</v>
      </c>
      <c r="B25">
        <v>13247</v>
      </c>
      <c r="C25" t="s">
        <v>310</v>
      </c>
      <c r="D25" s="5">
        <v>10000</v>
      </c>
      <c r="E25" s="5">
        <f t="shared" si="0"/>
        <v>585000</v>
      </c>
      <c r="F25" s="5">
        <f t="shared" si="1"/>
        <v>15000</v>
      </c>
    </row>
    <row r="26" spans="1:6" x14ac:dyDescent="0.35">
      <c r="A26" t="s">
        <v>313</v>
      </c>
      <c r="B26">
        <v>13851</v>
      </c>
      <c r="C26" t="s">
        <v>310</v>
      </c>
      <c r="D26" s="5">
        <v>10000</v>
      </c>
      <c r="E26" s="5">
        <f t="shared" si="0"/>
        <v>595000</v>
      </c>
      <c r="F26" s="5">
        <f t="shared" si="1"/>
        <v>5000</v>
      </c>
    </row>
    <row r="27" spans="1:6" x14ac:dyDescent="0.35">
      <c r="A27" s="4">
        <v>46327</v>
      </c>
      <c r="B27">
        <v>12094</v>
      </c>
      <c r="C27" t="s">
        <v>310</v>
      </c>
      <c r="D27" s="5">
        <v>5000</v>
      </c>
      <c r="E27" s="5">
        <f t="shared" si="0"/>
        <v>600000</v>
      </c>
      <c r="F27" s="5">
        <f t="shared" si="1"/>
        <v>0</v>
      </c>
    </row>
    <row r="29" spans="1:6" x14ac:dyDescent="0.35">
      <c r="A29" s="4"/>
      <c r="D29" s="5"/>
      <c r="E29" s="5"/>
    </row>
    <row r="31" spans="1:6" ht="21" x14ac:dyDescent="0.5">
      <c r="A31" s="31"/>
      <c r="B31" s="31"/>
      <c r="C31" s="31"/>
      <c r="D31" s="31"/>
      <c r="E31" s="31"/>
      <c r="F31" s="31"/>
    </row>
    <row r="32" spans="1:6" ht="18.5" x14ac:dyDescent="0.45">
      <c r="A32" s="35" t="s">
        <v>471</v>
      </c>
      <c r="B32" s="35"/>
    </row>
    <row r="34" spans="1:6" x14ac:dyDescent="0.35">
      <c r="A34" s="4">
        <v>46327</v>
      </c>
      <c r="B34">
        <v>5284</v>
      </c>
      <c r="C34" t="s">
        <v>314</v>
      </c>
      <c r="D34" s="5">
        <v>200000</v>
      </c>
      <c r="E34" s="5">
        <v>200000</v>
      </c>
      <c r="F34" t="s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opLeftCell="A5" workbookViewId="0">
      <selection activeCell="I8" sqref="I8"/>
    </sheetView>
  </sheetViews>
  <sheetFormatPr defaultRowHeight="14.5" x14ac:dyDescent="0.35"/>
  <cols>
    <col min="1" max="1" width="11.6328125" customWidth="1"/>
    <col min="3" max="3" width="10" customWidth="1"/>
    <col min="6" max="6" width="11.1796875" customWidth="1"/>
  </cols>
  <sheetData>
    <row r="1" spans="1:6" ht="18.5" x14ac:dyDescent="0.45">
      <c r="A1" s="1" t="s">
        <v>296</v>
      </c>
      <c r="B1" s="1"/>
      <c r="C1" s="1"/>
      <c r="D1" s="1"/>
      <c r="E1" s="1"/>
      <c r="F1" s="1"/>
    </row>
    <row r="2" spans="1:6" ht="18.5" x14ac:dyDescent="0.45">
      <c r="A2" s="1" t="s">
        <v>297</v>
      </c>
      <c r="B2" s="1"/>
      <c r="C2" s="1"/>
      <c r="D2" s="1"/>
      <c r="E2" s="1"/>
      <c r="F2" s="1"/>
    </row>
    <row r="3" spans="1:6" ht="18.5" x14ac:dyDescent="0.45">
      <c r="A3" s="1" t="s">
        <v>298</v>
      </c>
      <c r="B3" s="1"/>
      <c r="C3" s="1"/>
      <c r="D3" s="1"/>
      <c r="E3" s="1"/>
      <c r="F3" s="1"/>
    </row>
    <row r="4" spans="1:6" ht="18.5" x14ac:dyDescent="0.45">
      <c r="A4" s="1" t="s">
        <v>316</v>
      </c>
      <c r="B4" s="1"/>
      <c r="C4" s="1"/>
      <c r="D4" s="1"/>
      <c r="E4" s="1"/>
      <c r="F4" s="1"/>
    </row>
    <row r="5" spans="1:6" ht="18.5" x14ac:dyDescent="0.45">
      <c r="A5" s="1" t="s">
        <v>299</v>
      </c>
      <c r="B5" s="1"/>
      <c r="C5" s="1"/>
      <c r="D5" s="1"/>
      <c r="E5" s="1"/>
      <c r="F5" s="1"/>
    </row>
    <row r="6" spans="1:6" ht="18.5" x14ac:dyDescent="0.45">
      <c r="A6" s="1" t="s">
        <v>315</v>
      </c>
      <c r="B6" s="1"/>
      <c r="C6" s="1"/>
      <c r="D6" s="1" t="s">
        <v>11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t="s">
        <v>302</v>
      </c>
      <c r="B8">
        <v>5790</v>
      </c>
      <c r="C8" t="s">
        <v>318</v>
      </c>
      <c r="D8" s="5">
        <v>300000</v>
      </c>
      <c r="E8" s="5">
        <v>300000</v>
      </c>
      <c r="F8" s="5">
        <v>300000</v>
      </c>
    </row>
    <row r="9" spans="1:6" x14ac:dyDescent="0.35">
      <c r="A9" t="s">
        <v>302</v>
      </c>
      <c r="B9">
        <v>5791</v>
      </c>
      <c r="C9" t="s">
        <v>18</v>
      </c>
      <c r="D9">
        <v>75000</v>
      </c>
      <c r="E9" s="5">
        <f>SUM(E8+D9)</f>
        <v>375000</v>
      </c>
      <c r="F9" s="5">
        <f>F8-D9</f>
        <v>225000</v>
      </c>
    </row>
    <row r="10" spans="1:6" x14ac:dyDescent="0.35">
      <c r="A10" t="s">
        <v>112</v>
      </c>
      <c r="B10">
        <v>6175</v>
      </c>
      <c r="C10" t="s">
        <v>18</v>
      </c>
      <c r="D10" s="5">
        <v>10000</v>
      </c>
      <c r="E10" s="5">
        <f t="shared" ref="E10:E15" si="0">SUM(E9+D10)</f>
        <v>385000</v>
      </c>
      <c r="F10" s="5">
        <f t="shared" ref="F10:F14" si="1">F9-D10</f>
        <v>215000</v>
      </c>
    </row>
    <row r="11" spans="1:6" x14ac:dyDescent="0.35">
      <c r="A11" t="s">
        <v>134</v>
      </c>
      <c r="B11">
        <v>7180</v>
      </c>
      <c r="C11" t="s">
        <v>18</v>
      </c>
      <c r="D11" s="5">
        <v>10000</v>
      </c>
      <c r="E11" s="5">
        <f t="shared" si="0"/>
        <v>395000</v>
      </c>
      <c r="F11" s="5">
        <f t="shared" si="1"/>
        <v>205000</v>
      </c>
    </row>
    <row r="12" spans="1:6" x14ac:dyDescent="0.35">
      <c r="A12" t="s">
        <v>303</v>
      </c>
      <c r="B12">
        <v>7432</v>
      </c>
      <c r="C12" t="s">
        <v>18</v>
      </c>
      <c r="D12" s="5">
        <v>10000</v>
      </c>
      <c r="E12" s="5">
        <f t="shared" si="0"/>
        <v>405000</v>
      </c>
      <c r="F12" s="5">
        <f t="shared" si="1"/>
        <v>195000</v>
      </c>
    </row>
    <row r="13" spans="1:6" x14ac:dyDescent="0.35">
      <c r="A13" t="s">
        <v>304</v>
      </c>
      <c r="B13">
        <v>8187</v>
      </c>
      <c r="C13" t="s">
        <v>18</v>
      </c>
      <c r="D13" s="5">
        <v>10000</v>
      </c>
      <c r="E13" s="5">
        <f t="shared" si="0"/>
        <v>415000</v>
      </c>
      <c r="F13" s="5">
        <f t="shared" si="1"/>
        <v>185000</v>
      </c>
    </row>
    <row r="14" spans="1:6" x14ac:dyDescent="0.35">
      <c r="A14" t="s">
        <v>271</v>
      </c>
      <c r="B14">
        <v>8721</v>
      </c>
      <c r="C14" t="s">
        <v>18</v>
      </c>
      <c r="D14" s="5">
        <v>70000</v>
      </c>
      <c r="E14" s="5">
        <f t="shared" si="0"/>
        <v>485000</v>
      </c>
      <c r="F14" s="5">
        <f t="shared" si="1"/>
        <v>115000</v>
      </c>
    </row>
    <row r="15" spans="1:6" x14ac:dyDescent="0.35">
      <c r="A15" t="s">
        <v>317</v>
      </c>
      <c r="B15">
        <v>9254</v>
      </c>
      <c r="C15" t="s">
        <v>18</v>
      </c>
      <c r="D15" s="5">
        <v>60000</v>
      </c>
      <c r="E15" s="5">
        <f t="shared" si="0"/>
        <v>545000</v>
      </c>
      <c r="F15" s="5" t="s">
        <v>282</v>
      </c>
    </row>
    <row r="17" spans="1:6" x14ac:dyDescent="0.35">
      <c r="A17" t="s">
        <v>319</v>
      </c>
      <c r="B17">
        <v>1343</v>
      </c>
      <c r="C17" t="s">
        <v>320</v>
      </c>
      <c r="E17" s="5">
        <v>150000</v>
      </c>
      <c r="F17" t="s">
        <v>282</v>
      </c>
    </row>
    <row r="18" spans="1:6" ht="18.5" x14ac:dyDescent="0.45">
      <c r="A18" s="14" t="s">
        <v>321</v>
      </c>
      <c r="B18" s="14"/>
      <c r="C18" s="14"/>
      <c r="D18" s="14"/>
      <c r="E18" s="14"/>
      <c r="F18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3" sqref="E3"/>
    </sheetView>
  </sheetViews>
  <sheetFormatPr defaultRowHeight="14.5" x14ac:dyDescent="0.35"/>
  <cols>
    <col min="3" max="3" width="10.90625" customWidth="1"/>
    <col min="6" max="6" width="10.90625" customWidth="1"/>
  </cols>
  <sheetData>
    <row r="1" spans="1:6" ht="18.5" x14ac:dyDescent="0.45">
      <c r="A1" s="1" t="s">
        <v>173</v>
      </c>
      <c r="B1" s="1"/>
      <c r="C1" s="1"/>
      <c r="D1" s="1"/>
      <c r="E1" s="1"/>
      <c r="F1" s="1"/>
    </row>
    <row r="2" spans="1:6" ht="18.5" x14ac:dyDescent="0.45">
      <c r="A2" s="1" t="s">
        <v>174</v>
      </c>
      <c r="B2" s="1"/>
      <c r="C2" s="1"/>
      <c r="D2" s="1"/>
      <c r="E2" s="1"/>
      <c r="F2" s="1"/>
    </row>
    <row r="3" spans="1:6" ht="18.5" x14ac:dyDescent="0.45">
      <c r="A3" s="1" t="s">
        <v>175</v>
      </c>
      <c r="B3" s="1"/>
      <c r="C3" s="1"/>
      <c r="D3" s="1"/>
      <c r="E3" s="1"/>
      <c r="F3" s="1"/>
    </row>
    <row r="4" spans="1:6" ht="18.5" x14ac:dyDescent="0.45">
      <c r="A4" s="1" t="s">
        <v>347</v>
      </c>
      <c r="B4" s="1"/>
      <c r="C4" s="1"/>
      <c r="D4" s="1"/>
      <c r="E4" s="1"/>
      <c r="F4" s="1"/>
    </row>
    <row r="5" spans="1:6" ht="18.5" x14ac:dyDescent="0.45">
      <c r="A5" s="1" t="s">
        <v>176</v>
      </c>
      <c r="B5" s="1"/>
      <c r="C5" s="1"/>
      <c r="D5" s="1"/>
      <c r="E5" s="1"/>
      <c r="F5" s="1"/>
    </row>
    <row r="6" spans="1:6" ht="18.5" x14ac:dyDescent="0.45">
      <c r="A6" s="1" t="s">
        <v>183</v>
      </c>
      <c r="B6" s="1"/>
      <c r="C6" s="1"/>
      <c r="D6" s="1" t="s">
        <v>178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t="s">
        <v>32</v>
      </c>
      <c r="B8">
        <v>8</v>
      </c>
      <c r="C8" t="s">
        <v>186</v>
      </c>
      <c r="D8" s="5">
        <v>10000</v>
      </c>
      <c r="E8" s="5">
        <v>10000</v>
      </c>
      <c r="F8" s="5">
        <v>290000</v>
      </c>
    </row>
    <row r="9" spans="1:6" x14ac:dyDescent="0.35">
      <c r="A9" t="s">
        <v>184</v>
      </c>
      <c r="B9">
        <v>11685</v>
      </c>
      <c r="C9" t="s">
        <v>180</v>
      </c>
      <c r="D9" s="5">
        <v>150000</v>
      </c>
      <c r="E9" s="5">
        <v>160000</v>
      </c>
      <c r="F9" s="5">
        <v>140000</v>
      </c>
    </row>
    <row r="10" spans="1:6" x14ac:dyDescent="0.35">
      <c r="A10" t="s">
        <v>185</v>
      </c>
      <c r="B10">
        <v>12451</v>
      </c>
      <c r="C10" t="s">
        <v>187</v>
      </c>
      <c r="D10" s="5">
        <v>90000</v>
      </c>
      <c r="E10" s="5">
        <v>250000</v>
      </c>
      <c r="F10" s="5">
        <v>50000</v>
      </c>
    </row>
    <row r="11" spans="1:6" x14ac:dyDescent="0.35">
      <c r="A11" s="4">
        <v>45691</v>
      </c>
      <c r="B11">
        <v>9598</v>
      </c>
      <c r="C11" t="s">
        <v>187</v>
      </c>
      <c r="D11" s="5">
        <v>50000</v>
      </c>
      <c r="E11" s="5">
        <v>300000</v>
      </c>
      <c r="F11" t="s">
        <v>188</v>
      </c>
    </row>
    <row r="12" spans="1:6" ht="18.5" x14ac:dyDescent="0.45">
      <c r="A12" s="14" t="s">
        <v>143</v>
      </c>
      <c r="B12" s="14"/>
      <c r="C12" s="14"/>
      <c r="D12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7" zoomScaleNormal="100" workbookViewId="0">
      <selection activeCell="A16" sqref="A16:F45"/>
    </sheetView>
  </sheetViews>
  <sheetFormatPr defaultRowHeight="14.5" x14ac:dyDescent="0.35"/>
  <cols>
    <col min="1" max="1" width="11.453125" customWidth="1"/>
    <col min="3" max="3" width="14.1796875" customWidth="1"/>
    <col min="4" max="4" width="10.81640625" customWidth="1"/>
    <col min="5" max="5" width="9.6328125" customWidth="1"/>
    <col min="6" max="6" width="11.54296875" customWidth="1"/>
  </cols>
  <sheetData>
    <row r="1" spans="1:6" ht="18.5" x14ac:dyDescent="0.45">
      <c r="A1" s="1" t="s">
        <v>371</v>
      </c>
      <c r="B1" s="1"/>
      <c r="C1" s="1"/>
      <c r="D1" s="1"/>
      <c r="E1" s="1"/>
      <c r="F1" s="1"/>
    </row>
    <row r="2" spans="1:6" ht="18.5" x14ac:dyDescent="0.45">
      <c r="A2" s="1" t="s">
        <v>372</v>
      </c>
      <c r="B2" s="1"/>
      <c r="C2" s="1"/>
      <c r="D2" s="1"/>
      <c r="E2" s="1"/>
      <c r="F2" s="1"/>
    </row>
    <row r="3" spans="1:6" ht="18.5" x14ac:dyDescent="0.45">
      <c r="A3" s="1" t="s">
        <v>373</v>
      </c>
      <c r="B3" s="1"/>
      <c r="C3" s="1"/>
      <c r="D3" s="1"/>
      <c r="E3" s="1"/>
      <c r="F3" s="1"/>
    </row>
    <row r="4" spans="1:6" ht="18.5" x14ac:dyDescent="0.45">
      <c r="A4" s="1" t="s">
        <v>377</v>
      </c>
      <c r="B4" s="1"/>
      <c r="C4" s="1"/>
      <c r="D4" s="1"/>
      <c r="E4" s="1"/>
      <c r="F4" s="1"/>
    </row>
    <row r="5" spans="1:6" ht="18.5" x14ac:dyDescent="0.45">
      <c r="A5" s="1" t="s">
        <v>374</v>
      </c>
      <c r="B5" s="1"/>
      <c r="C5" s="1"/>
      <c r="D5" s="1"/>
      <c r="E5" s="1"/>
      <c r="F5" s="1"/>
    </row>
    <row r="6" spans="1:6" ht="18.5" x14ac:dyDescent="0.45">
      <c r="A6" s="1" t="s">
        <v>375</v>
      </c>
      <c r="B6" s="1"/>
      <c r="C6" s="1"/>
      <c r="D6" s="1" t="s">
        <v>376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4">
        <v>44176</v>
      </c>
      <c r="B8">
        <v>2947</v>
      </c>
      <c r="C8" t="s">
        <v>45</v>
      </c>
      <c r="D8" s="5">
        <v>310000</v>
      </c>
      <c r="E8" s="5">
        <v>310000</v>
      </c>
      <c r="F8" s="5">
        <v>125000</v>
      </c>
    </row>
    <row r="9" spans="1:6" x14ac:dyDescent="0.35">
      <c r="A9" t="s">
        <v>378</v>
      </c>
      <c r="B9">
        <v>2382</v>
      </c>
      <c r="C9" t="s">
        <v>31</v>
      </c>
      <c r="D9" s="5">
        <v>28000</v>
      </c>
      <c r="E9" s="5">
        <f>E8+D9</f>
        <v>338000</v>
      </c>
      <c r="F9" s="5">
        <f>F8-D9</f>
        <v>97000</v>
      </c>
    </row>
    <row r="10" spans="1:6" x14ac:dyDescent="0.35">
      <c r="A10" t="s">
        <v>379</v>
      </c>
      <c r="B10">
        <v>548</v>
      </c>
      <c r="C10" t="s">
        <v>31</v>
      </c>
      <c r="D10" s="5">
        <v>28000</v>
      </c>
      <c r="E10" s="5">
        <f t="shared" ref="E10:E12" si="0">E9+D10</f>
        <v>366000</v>
      </c>
      <c r="F10" s="5">
        <f t="shared" ref="F10:F12" si="1">F9-D10</f>
        <v>69000</v>
      </c>
    </row>
    <row r="11" spans="1:6" x14ac:dyDescent="0.35">
      <c r="A11" t="s">
        <v>380</v>
      </c>
      <c r="B11">
        <v>3384</v>
      </c>
      <c r="C11" t="s">
        <v>31</v>
      </c>
      <c r="D11" s="5">
        <v>42000</v>
      </c>
      <c r="E11" s="5">
        <f t="shared" si="0"/>
        <v>408000</v>
      </c>
      <c r="F11" s="5">
        <f t="shared" si="1"/>
        <v>27000</v>
      </c>
    </row>
    <row r="12" spans="1:6" x14ac:dyDescent="0.35">
      <c r="A12" s="4">
        <v>45210</v>
      </c>
      <c r="B12">
        <v>4769</v>
      </c>
      <c r="C12" t="s">
        <v>31</v>
      </c>
      <c r="D12" s="5">
        <v>27000</v>
      </c>
      <c r="E12" s="5">
        <f t="shared" si="0"/>
        <v>435000</v>
      </c>
      <c r="F12" s="5">
        <f t="shared" si="1"/>
        <v>0</v>
      </c>
    </row>
    <row r="14" spans="1:6" ht="18.5" x14ac:dyDescent="0.45">
      <c r="A14" s="35" t="s">
        <v>143</v>
      </c>
      <c r="B14" s="35"/>
      <c r="C14" s="35"/>
      <c r="D14" s="14"/>
      <c r="E14" s="14"/>
      <c r="F14" s="14"/>
    </row>
    <row r="15" spans="1:6" x14ac:dyDescent="0.35">
      <c r="A15" s="28" t="s">
        <v>0</v>
      </c>
      <c r="B15" s="28" t="s">
        <v>1</v>
      </c>
      <c r="C15" s="28" t="s">
        <v>2</v>
      </c>
      <c r="D15" s="28" t="s">
        <v>3</v>
      </c>
      <c r="E15" s="28" t="s">
        <v>4</v>
      </c>
      <c r="F15" s="28" t="s">
        <v>5</v>
      </c>
    </row>
    <row r="16" spans="1:6" x14ac:dyDescent="0.35">
      <c r="A16" s="7">
        <v>45414</v>
      </c>
      <c r="B16" s="2">
        <v>110</v>
      </c>
      <c r="C16" s="2" t="s">
        <v>490</v>
      </c>
      <c r="D16" s="3">
        <v>20000</v>
      </c>
      <c r="E16" s="3">
        <v>20000</v>
      </c>
      <c r="F16" s="3">
        <v>430000</v>
      </c>
    </row>
    <row r="17" spans="1:6" x14ac:dyDescent="0.35">
      <c r="A17" s="7">
        <v>45538</v>
      </c>
      <c r="B17" s="2">
        <v>168</v>
      </c>
      <c r="C17" s="2" t="s">
        <v>490</v>
      </c>
      <c r="D17" s="3">
        <v>10000</v>
      </c>
      <c r="E17" s="3">
        <f t="shared" ref="E17:E26" si="2">E16+D17</f>
        <v>30000</v>
      </c>
      <c r="F17" s="3">
        <f t="shared" ref="F17:F26" si="3">F16-D17</f>
        <v>420000</v>
      </c>
    </row>
    <row r="18" spans="1:6" x14ac:dyDescent="0.35">
      <c r="A18" s="6" t="s">
        <v>485</v>
      </c>
      <c r="B18" s="2">
        <v>231</v>
      </c>
      <c r="C18" s="2" t="s">
        <v>490</v>
      </c>
      <c r="D18" s="3">
        <v>10000</v>
      </c>
      <c r="E18" s="3">
        <f t="shared" si="2"/>
        <v>40000</v>
      </c>
      <c r="F18" s="3">
        <f t="shared" si="3"/>
        <v>410000</v>
      </c>
    </row>
    <row r="19" spans="1:6" x14ac:dyDescent="0.35">
      <c r="A19" s="6" t="s">
        <v>486</v>
      </c>
      <c r="B19" s="2">
        <v>290</v>
      </c>
      <c r="C19" s="2" t="s">
        <v>490</v>
      </c>
      <c r="D19" s="3">
        <v>10000</v>
      </c>
      <c r="E19" s="3">
        <f t="shared" si="2"/>
        <v>50000</v>
      </c>
      <c r="F19" s="3">
        <f t="shared" si="3"/>
        <v>400000</v>
      </c>
    </row>
    <row r="20" spans="1:6" x14ac:dyDescent="0.35">
      <c r="A20" s="7">
        <v>45449</v>
      </c>
      <c r="B20" s="2">
        <v>35</v>
      </c>
      <c r="C20" s="2" t="s">
        <v>490</v>
      </c>
      <c r="D20" s="3">
        <v>10000</v>
      </c>
      <c r="E20" s="3">
        <f t="shared" si="2"/>
        <v>60000</v>
      </c>
      <c r="F20" s="3">
        <f t="shared" si="3"/>
        <v>390000</v>
      </c>
    </row>
    <row r="21" spans="1:6" x14ac:dyDescent="0.35">
      <c r="A21" s="7">
        <v>45603</v>
      </c>
      <c r="B21" s="2">
        <v>3</v>
      </c>
      <c r="C21" s="2" t="s">
        <v>490</v>
      </c>
      <c r="D21" s="3">
        <v>25000</v>
      </c>
      <c r="E21" s="3">
        <f t="shared" si="2"/>
        <v>85000</v>
      </c>
      <c r="F21" s="3">
        <f t="shared" si="3"/>
        <v>365000</v>
      </c>
    </row>
    <row r="22" spans="1:6" x14ac:dyDescent="0.35">
      <c r="A22" s="7">
        <v>45512</v>
      </c>
      <c r="B22" s="2">
        <v>147</v>
      </c>
      <c r="C22" s="2" t="s">
        <v>490</v>
      </c>
      <c r="D22" s="3">
        <v>10000</v>
      </c>
      <c r="E22" s="3">
        <f t="shared" si="2"/>
        <v>95000</v>
      </c>
      <c r="F22" s="3">
        <f t="shared" si="3"/>
        <v>355000</v>
      </c>
    </row>
    <row r="23" spans="1:6" x14ac:dyDescent="0.35">
      <c r="A23" s="6" t="s">
        <v>487</v>
      </c>
      <c r="B23" s="2">
        <v>388</v>
      </c>
      <c r="C23" s="2" t="s">
        <v>490</v>
      </c>
      <c r="D23" s="3">
        <v>10000</v>
      </c>
      <c r="E23" s="3">
        <f t="shared" si="2"/>
        <v>105000</v>
      </c>
      <c r="F23" s="3">
        <f t="shared" si="3"/>
        <v>345000</v>
      </c>
    </row>
    <row r="24" spans="1:6" x14ac:dyDescent="0.35">
      <c r="A24" s="6" t="s">
        <v>488</v>
      </c>
      <c r="B24" s="2">
        <v>265</v>
      </c>
      <c r="C24" s="2" t="s">
        <v>490</v>
      </c>
      <c r="D24" s="3">
        <v>10000</v>
      </c>
      <c r="E24" s="3">
        <f t="shared" si="2"/>
        <v>115000</v>
      </c>
      <c r="F24" s="3">
        <f t="shared" si="3"/>
        <v>335000</v>
      </c>
    </row>
    <row r="25" spans="1:6" x14ac:dyDescent="0.35">
      <c r="A25" s="6" t="s">
        <v>489</v>
      </c>
      <c r="B25" s="2">
        <v>517</v>
      </c>
      <c r="C25" s="2" t="s">
        <v>490</v>
      </c>
      <c r="D25" s="3">
        <v>10000</v>
      </c>
      <c r="E25" s="3">
        <f t="shared" si="2"/>
        <v>125000</v>
      </c>
      <c r="F25" s="3">
        <f t="shared" si="3"/>
        <v>325000</v>
      </c>
    </row>
    <row r="26" spans="1:6" x14ac:dyDescent="0.35">
      <c r="A26" s="7">
        <v>45658</v>
      </c>
      <c r="B26" s="2">
        <v>571</v>
      </c>
      <c r="C26" s="2" t="s">
        <v>490</v>
      </c>
      <c r="D26" s="3">
        <v>10000</v>
      </c>
      <c r="E26" s="3">
        <f t="shared" si="2"/>
        <v>135000</v>
      </c>
      <c r="F26" s="3">
        <f t="shared" si="3"/>
        <v>315000</v>
      </c>
    </row>
    <row r="27" spans="1:6" x14ac:dyDescent="0.35">
      <c r="A27" s="6" t="s">
        <v>491</v>
      </c>
      <c r="B27" s="2">
        <v>953</v>
      </c>
      <c r="C27" s="2" t="s">
        <v>490</v>
      </c>
      <c r="D27" s="3">
        <v>10000</v>
      </c>
      <c r="E27" s="3">
        <f t="shared" ref="E27:E45" si="4">E26+D27</f>
        <v>145000</v>
      </c>
      <c r="F27" s="3">
        <f t="shared" ref="F27:F45" si="5">F26-D27</f>
        <v>305000</v>
      </c>
    </row>
    <row r="28" spans="1:6" x14ac:dyDescent="0.35">
      <c r="A28" s="6" t="s">
        <v>492</v>
      </c>
      <c r="B28" s="2">
        <v>9754</v>
      </c>
      <c r="C28" s="2" t="s">
        <v>490</v>
      </c>
      <c r="D28" s="3">
        <v>10000</v>
      </c>
      <c r="E28" s="3">
        <f t="shared" si="4"/>
        <v>155000</v>
      </c>
      <c r="F28" s="3">
        <f t="shared" si="5"/>
        <v>295000</v>
      </c>
    </row>
    <row r="29" spans="1:6" x14ac:dyDescent="0.35">
      <c r="A29" s="12">
        <v>45965</v>
      </c>
      <c r="B29" s="2">
        <v>745</v>
      </c>
      <c r="C29" s="2" t="s">
        <v>490</v>
      </c>
      <c r="D29" s="3">
        <v>10000</v>
      </c>
      <c r="E29" s="3">
        <f t="shared" si="4"/>
        <v>165000</v>
      </c>
      <c r="F29" s="3">
        <f t="shared" si="5"/>
        <v>285000</v>
      </c>
    </row>
    <row r="30" spans="1:6" x14ac:dyDescent="0.35">
      <c r="A30" s="6" t="s">
        <v>493</v>
      </c>
      <c r="B30" s="2">
        <v>10808</v>
      </c>
      <c r="C30" s="2" t="s">
        <v>490</v>
      </c>
      <c r="D30" s="3">
        <v>10000</v>
      </c>
      <c r="E30" s="3">
        <f t="shared" si="4"/>
        <v>175000</v>
      </c>
      <c r="F30" s="3">
        <f t="shared" si="5"/>
        <v>275000</v>
      </c>
    </row>
    <row r="31" spans="1:6" x14ac:dyDescent="0.35">
      <c r="A31" s="6" t="s">
        <v>494</v>
      </c>
      <c r="B31" s="2">
        <v>698</v>
      </c>
      <c r="C31" s="2" t="s">
        <v>490</v>
      </c>
      <c r="D31" s="3">
        <v>10000</v>
      </c>
      <c r="E31" s="3">
        <f t="shared" si="4"/>
        <v>185000</v>
      </c>
      <c r="F31" s="3">
        <f t="shared" si="5"/>
        <v>265000</v>
      </c>
    </row>
    <row r="32" spans="1:6" x14ac:dyDescent="0.35">
      <c r="A32" s="6" t="s">
        <v>495</v>
      </c>
      <c r="B32" s="2">
        <v>3176</v>
      </c>
      <c r="C32" s="2" t="s">
        <v>490</v>
      </c>
      <c r="D32" s="3">
        <v>10000</v>
      </c>
      <c r="E32" s="3">
        <f t="shared" si="4"/>
        <v>195000</v>
      </c>
      <c r="F32" s="3">
        <f t="shared" si="5"/>
        <v>255000</v>
      </c>
    </row>
    <row r="33" spans="1:6" x14ac:dyDescent="0.35">
      <c r="A33" s="6" t="s">
        <v>496</v>
      </c>
      <c r="B33" s="2">
        <v>3998</v>
      </c>
      <c r="C33" s="2" t="s">
        <v>490</v>
      </c>
      <c r="D33" s="3">
        <v>10000</v>
      </c>
      <c r="E33" s="3">
        <f t="shared" si="4"/>
        <v>205000</v>
      </c>
      <c r="F33" s="3">
        <f t="shared" si="5"/>
        <v>245000</v>
      </c>
    </row>
    <row r="34" spans="1:6" x14ac:dyDescent="0.35">
      <c r="A34" s="6" t="s">
        <v>497</v>
      </c>
      <c r="B34" s="2">
        <v>3549</v>
      </c>
      <c r="C34" s="2" t="s">
        <v>490</v>
      </c>
      <c r="D34" s="3">
        <v>10000</v>
      </c>
      <c r="E34" s="3">
        <f t="shared" si="4"/>
        <v>215000</v>
      </c>
      <c r="F34" s="3">
        <f t="shared" si="5"/>
        <v>235000</v>
      </c>
    </row>
    <row r="35" spans="1:6" x14ac:dyDescent="0.35">
      <c r="A35" s="6" t="s">
        <v>498</v>
      </c>
      <c r="B35" s="2">
        <v>3343</v>
      </c>
      <c r="C35" s="2" t="s">
        <v>490</v>
      </c>
      <c r="D35" s="3">
        <v>10000</v>
      </c>
      <c r="E35" s="3">
        <f t="shared" si="4"/>
        <v>225000</v>
      </c>
      <c r="F35" s="3">
        <f t="shared" si="5"/>
        <v>225000</v>
      </c>
    </row>
    <row r="36" spans="1:6" x14ac:dyDescent="0.35">
      <c r="A36" s="6" t="s">
        <v>499</v>
      </c>
      <c r="B36" s="2">
        <v>3836</v>
      </c>
      <c r="C36" s="2" t="s">
        <v>490</v>
      </c>
      <c r="D36" s="3">
        <v>10000</v>
      </c>
      <c r="E36" s="3">
        <f t="shared" si="4"/>
        <v>235000</v>
      </c>
      <c r="F36" s="3">
        <f t="shared" si="5"/>
        <v>215000</v>
      </c>
    </row>
    <row r="37" spans="1:6" x14ac:dyDescent="0.35">
      <c r="A37" s="6" t="s">
        <v>500</v>
      </c>
      <c r="B37" s="2">
        <v>5108</v>
      </c>
      <c r="C37" s="2" t="s">
        <v>490</v>
      </c>
      <c r="D37" s="3">
        <v>10000</v>
      </c>
      <c r="E37" s="3">
        <f t="shared" si="4"/>
        <v>245000</v>
      </c>
      <c r="F37" s="3">
        <f t="shared" si="5"/>
        <v>205000</v>
      </c>
    </row>
    <row r="38" spans="1:6" x14ac:dyDescent="0.35">
      <c r="A38" s="6" t="s">
        <v>501</v>
      </c>
      <c r="B38" s="2">
        <v>5318</v>
      </c>
      <c r="C38" s="2" t="s">
        <v>490</v>
      </c>
      <c r="D38" s="3">
        <v>10000</v>
      </c>
      <c r="E38" s="3">
        <f t="shared" si="4"/>
        <v>255000</v>
      </c>
      <c r="F38" s="3">
        <f t="shared" si="5"/>
        <v>195000</v>
      </c>
    </row>
    <row r="39" spans="1:6" x14ac:dyDescent="0.35">
      <c r="A39" s="6" t="s">
        <v>502</v>
      </c>
      <c r="B39" s="2">
        <v>5808</v>
      </c>
      <c r="C39" s="2" t="s">
        <v>490</v>
      </c>
      <c r="D39" s="3">
        <v>20000</v>
      </c>
      <c r="E39" s="3">
        <f t="shared" si="4"/>
        <v>275000</v>
      </c>
      <c r="F39" s="3">
        <f t="shared" si="5"/>
        <v>175000</v>
      </c>
    </row>
    <row r="40" spans="1:6" x14ac:dyDescent="0.35">
      <c r="A40" s="6" t="s">
        <v>503</v>
      </c>
      <c r="B40" s="2">
        <v>1308</v>
      </c>
      <c r="C40" s="2" t="s">
        <v>490</v>
      </c>
      <c r="D40" s="3">
        <v>10000</v>
      </c>
      <c r="E40" s="3">
        <f t="shared" si="4"/>
        <v>285000</v>
      </c>
      <c r="F40" s="3">
        <f t="shared" si="5"/>
        <v>165000</v>
      </c>
    </row>
    <row r="41" spans="1:6" x14ac:dyDescent="0.35">
      <c r="A41" s="12">
        <v>46331</v>
      </c>
      <c r="B41" s="2">
        <v>1443</v>
      </c>
      <c r="C41" s="2" t="s">
        <v>490</v>
      </c>
      <c r="D41" s="3">
        <v>10000</v>
      </c>
      <c r="E41" s="3">
        <f t="shared" si="4"/>
        <v>295000</v>
      </c>
      <c r="F41" s="3">
        <f t="shared" si="5"/>
        <v>155000</v>
      </c>
    </row>
    <row r="42" spans="1:6" x14ac:dyDescent="0.35">
      <c r="A42" s="6" t="s">
        <v>504</v>
      </c>
      <c r="B42" s="2">
        <v>1708</v>
      </c>
      <c r="C42" s="2" t="s">
        <v>490</v>
      </c>
      <c r="D42" s="3">
        <v>10000</v>
      </c>
      <c r="E42" s="3">
        <f t="shared" si="4"/>
        <v>305000</v>
      </c>
      <c r="F42" s="3">
        <f t="shared" si="5"/>
        <v>145000</v>
      </c>
    </row>
    <row r="43" spans="1:6" x14ac:dyDescent="0.35">
      <c r="A43" s="6" t="s">
        <v>483</v>
      </c>
      <c r="B43" s="2">
        <v>1864</v>
      </c>
      <c r="C43" s="2" t="s">
        <v>490</v>
      </c>
      <c r="D43" s="3">
        <v>10000</v>
      </c>
      <c r="E43" s="3">
        <f t="shared" si="4"/>
        <v>315000</v>
      </c>
      <c r="F43" s="3">
        <f t="shared" si="5"/>
        <v>135000</v>
      </c>
    </row>
    <row r="44" spans="1:6" x14ac:dyDescent="0.35">
      <c r="A44" s="6" t="s">
        <v>461</v>
      </c>
      <c r="B44" s="2">
        <v>1943</v>
      </c>
      <c r="C44" s="2" t="s">
        <v>490</v>
      </c>
      <c r="D44" s="3">
        <v>10000</v>
      </c>
      <c r="E44" s="3">
        <f t="shared" si="4"/>
        <v>325000</v>
      </c>
      <c r="F44" s="3">
        <f t="shared" si="5"/>
        <v>125000</v>
      </c>
    </row>
    <row r="45" spans="1:6" x14ac:dyDescent="0.35">
      <c r="A45" s="6" t="s">
        <v>505</v>
      </c>
      <c r="B45" s="2">
        <v>2086</v>
      </c>
      <c r="C45" s="2" t="s">
        <v>490</v>
      </c>
      <c r="D45" s="3">
        <v>5000</v>
      </c>
      <c r="E45" s="3">
        <f t="shared" si="4"/>
        <v>330000</v>
      </c>
      <c r="F45" s="3">
        <f t="shared" si="5"/>
        <v>120000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41" workbookViewId="0">
      <selection activeCell="F48" sqref="F48"/>
    </sheetView>
  </sheetViews>
  <sheetFormatPr defaultRowHeight="14.5" x14ac:dyDescent="0.35"/>
  <cols>
    <col min="1" max="1" width="9.453125" bestFit="1" customWidth="1"/>
    <col min="3" max="3" width="12.08984375" customWidth="1"/>
    <col min="6" max="6" width="11.54296875" customWidth="1"/>
  </cols>
  <sheetData>
    <row r="1" spans="1:6" ht="18.5" x14ac:dyDescent="0.45">
      <c r="A1" s="1" t="s">
        <v>74</v>
      </c>
      <c r="B1" s="1"/>
      <c r="C1" s="1"/>
      <c r="D1" s="1"/>
      <c r="E1" s="1"/>
      <c r="F1" s="1"/>
    </row>
    <row r="2" spans="1:6" ht="18.5" x14ac:dyDescent="0.45">
      <c r="A2" s="1" t="s">
        <v>75</v>
      </c>
      <c r="B2" s="1"/>
      <c r="C2" s="1"/>
      <c r="D2" s="1"/>
      <c r="E2" s="1"/>
      <c r="F2" s="1"/>
    </row>
    <row r="3" spans="1:6" ht="18.5" x14ac:dyDescent="0.45">
      <c r="A3" s="1" t="s">
        <v>76</v>
      </c>
      <c r="B3" s="1"/>
      <c r="C3" s="1"/>
      <c r="D3" s="1"/>
      <c r="E3" s="1"/>
      <c r="F3" s="1"/>
    </row>
    <row r="4" spans="1:6" ht="18.5" x14ac:dyDescent="0.45">
      <c r="A4" s="1" t="s">
        <v>295</v>
      </c>
      <c r="B4" s="1"/>
      <c r="C4" s="1"/>
      <c r="D4" s="1"/>
      <c r="E4" s="1"/>
      <c r="F4" s="1"/>
    </row>
    <row r="5" spans="1:6" ht="18.5" x14ac:dyDescent="0.45">
      <c r="A5" s="1" t="s">
        <v>102</v>
      </c>
      <c r="B5" s="1"/>
      <c r="C5" s="1"/>
      <c r="D5" s="1"/>
      <c r="E5" s="1"/>
      <c r="F5" s="1"/>
    </row>
    <row r="6" spans="1:6" ht="18.5" x14ac:dyDescent="0.45">
      <c r="A6" s="1" t="s">
        <v>77</v>
      </c>
      <c r="B6" s="1"/>
      <c r="C6" s="1"/>
      <c r="D6" s="1"/>
      <c r="E6" s="1"/>
      <c r="F6" s="1"/>
    </row>
    <row r="7" spans="1:6" ht="18.5" x14ac:dyDescent="0.45">
      <c r="A7" s="1" t="s">
        <v>78</v>
      </c>
      <c r="B7" s="1"/>
      <c r="C7" s="1"/>
      <c r="D7" s="1" t="s">
        <v>79</v>
      </c>
      <c r="E7" s="1"/>
      <c r="F7" s="1"/>
    </row>
    <row r="8" spans="1:6" ht="18.5" x14ac:dyDescent="0.45">
      <c r="A8" s="11" t="s">
        <v>80</v>
      </c>
      <c r="B8" s="11"/>
      <c r="C8" s="11"/>
      <c r="D8" s="11"/>
      <c r="E8" s="9"/>
      <c r="F8" s="9"/>
    </row>
    <row r="9" spans="1:6" ht="18.5" x14ac:dyDescent="0.45">
      <c r="A9" s="11" t="s">
        <v>85</v>
      </c>
      <c r="B9" s="11"/>
      <c r="C9" s="11"/>
      <c r="D9" s="11"/>
      <c r="E9" s="9"/>
      <c r="F9" s="9"/>
    </row>
    <row r="10" spans="1:6" ht="18.5" x14ac:dyDescent="0.45">
      <c r="A10" s="11" t="s">
        <v>103</v>
      </c>
      <c r="B10" s="11"/>
      <c r="C10" s="11"/>
      <c r="D10" s="11"/>
      <c r="E10" s="9"/>
      <c r="F10" s="9"/>
    </row>
    <row r="11" spans="1:6" ht="18.5" x14ac:dyDescent="0.45">
      <c r="A11" s="1" t="s">
        <v>81</v>
      </c>
      <c r="B11" s="1"/>
      <c r="C11" s="1"/>
      <c r="D11" s="1"/>
      <c r="E11" s="1"/>
      <c r="F11" s="10"/>
    </row>
    <row r="12" spans="1:6" ht="18.5" x14ac:dyDescent="0.45">
      <c r="A12" s="1" t="s">
        <v>82</v>
      </c>
      <c r="B12" s="1"/>
      <c r="C12" s="1"/>
      <c r="D12" s="1"/>
      <c r="E12" s="1"/>
    </row>
    <row r="13" spans="1:6" ht="18.5" x14ac:dyDescent="0.45">
      <c r="A13" s="1" t="s">
        <v>83</v>
      </c>
      <c r="B13" s="1"/>
      <c r="C13" s="1"/>
      <c r="D13" s="1"/>
      <c r="E13" s="1"/>
    </row>
    <row r="14" spans="1:6" ht="18.5" x14ac:dyDescent="0.45">
      <c r="A14" s="1" t="s">
        <v>295</v>
      </c>
      <c r="B14" s="1"/>
      <c r="C14" s="1"/>
      <c r="D14" s="1"/>
      <c r="E14" s="1"/>
    </row>
    <row r="15" spans="1:6" ht="18.5" x14ac:dyDescent="0.45">
      <c r="A15" s="1" t="s">
        <v>84</v>
      </c>
      <c r="B15" s="1"/>
      <c r="C15" s="1"/>
      <c r="D15" s="1"/>
      <c r="E15" s="1"/>
    </row>
    <row r="16" spans="1:6" ht="18.5" x14ac:dyDescent="0.45">
      <c r="A16" s="1" t="s">
        <v>78</v>
      </c>
      <c r="B16" s="1"/>
      <c r="C16" s="1"/>
      <c r="D16" s="1" t="s">
        <v>79</v>
      </c>
      <c r="E16" s="1"/>
    </row>
    <row r="17" spans="1:6" x14ac:dyDescent="0.3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</row>
    <row r="18" spans="1:6" x14ac:dyDescent="0.35">
      <c r="A18" s="12">
        <v>45084</v>
      </c>
      <c r="B18" s="2">
        <v>220</v>
      </c>
      <c r="C18" s="2" t="s">
        <v>88</v>
      </c>
      <c r="D18" s="3">
        <v>10000</v>
      </c>
      <c r="E18" s="3">
        <v>10000</v>
      </c>
      <c r="F18" s="3">
        <v>640000</v>
      </c>
    </row>
    <row r="19" spans="1:6" x14ac:dyDescent="0.35">
      <c r="A19" s="12">
        <v>45267</v>
      </c>
      <c r="B19" s="2">
        <v>2731</v>
      </c>
      <c r="C19" s="2" t="s">
        <v>62</v>
      </c>
      <c r="D19" s="3">
        <v>70000</v>
      </c>
      <c r="E19" s="3">
        <f>SUM(E18+D19)</f>
        <v>80000</v>
      </c>
      <c r="F19" s="3">
        <f>F18-D19</f>
        <v>570000</v>
      </c>
    </row>
    <row r="20" spans="1:6" x14ac:dyDescent="0.35">
      <c r="A20" s="12">
        <v>45353</v>
      </c>
      <c r="B20" s="2">
        <v>6507</v>
      </c>
      <c r="C20" s="2" t="s">
        <v>18</v>
      </c>
      <c r="D20" s="3">
        <v>50000</v>
      </c>
      <c r="E20" s="3">
        <f t="shared" ref="E20:E42" si="0">SUM(E19+D20)</f>
        <v>130000</v>
      </c>
      <c r="F20" s="3">
        <f t="shared" ref="F20:F42" si="1">F19-D20</f>
        <v>520000</v>
      </c>
    </row>
    <row r="21" spans="1:6" x14ac:dyDescent="0.35">
      <c r="A21" s="2" t="s">
        <v>86</v>
      </c>
      <c r="B21" s="2">
        <v>6820</v>
      </c>
      <c r="C21" s="2" t="s">
        <v>18</v>
      </c>
      <c r="D21" s="3">
        <v>20000</v>
      </c>
      <c r="E21" s="3">
        <f t="shared" si="0"/>
        <v>150000</v>
      </c>
      <c r="F21" s="3">
        <f t="shared" si="1"/>
        <v>500000</v>
      </c>
    </row>
    <row r="22" spans="1:6" x14ac:dyDescent="0.35">
      <c r="A22" s="12">
        <v>45538</v>
      </c>
      <c r="B22" s="2">
        <v>6972</v>
      </c>
      <c r="C22" s="2" t="s">
        <v>18</v>
      </c>
      <c r="D22" s="3">
        <v>10000</v>
      </c>
      <c r="E22" s="3">
        <f t="shared" si="0"/>
        <v>160000</v>
      </c>
      <c r="F22" s="3">
        <f t="shared" si="1"/>
        <v>490000</v>
      </c>
    </row>
    <row r="23" spans="1:6" x14ac:dyDescent="0.35">
      <c r="A23" s="12">
        <v>45508</v>
      </c>
      <c r="B23" s="2">
        <v>7757</v>
      </c>
      <c r="C23" s="2" t="s">
        <v>18</v>
      </c>
      <c r="D23" s="3">
        <v>10000</v>
      </c>
      <c r="E23" s="3">
        <f t="shared" si="0"/>
        <v>170000</v>
      </c>
      <c r="F23" s="3">
        <f t="shared" si="1"/>
        <v>480000</v>
      </c>
    </row>
    <row r="24" spans="1:6" x14ac:dyDescent="0.35">
      <c r="A24" s="12">
        <v>45540</v>
      </c>
      <c r="B24" s="2">
        <v>8863</v>
      </c>
      <c r="C24" s="2" t="s">
        <v>18</v>
      </c>
      <c r="D24" s="3">
        <v>10000</v>
      </c>
      <c r="E24" s="3">
        <f t="shared" si="0"/>
        <v>180000</v>
      </c>
      <c r="F24" s="3">
        <f t="shared" si="1"/>
        <v>470000</v>
      </c>
    </row>
    <row r="25" spans="1:6" x14ac:dyDescent="0.35">
      <c r="A25" s="12">
        <v>45571</v>
      </c>
      <c r="B25" s="2">
        <v>8958</v>
      </c>
      <c r="C25" s="2" t="s">
        <v>18</v>
      </c>
      <c r="D25" s="3">
        <v>10000</v>
      </c>
      <c r="E25" s="3">
        <f t="shared" si="0"/>
        <v>190000</v>
      </c>
      <c r="F25" s="3">
        <f t="shared" si="1"/>
        <v>460000</v>
      </c>
    </row>
    <row r="26" spans="1:6" x14ac:dyDescent="0.35">
      <c r="A26" s="12">
        <v>45603</v>
      </c>
      <c r="B26" s="2">
        <v>9513</v>
      </c>
      <c r="C26" s="2" t="s">
        <v>18</v>
      </c>
      <c r="D26" s="3">
        <v>10000</v>
      </c>
      <c r="E26" s="3">
        <f t="shared" si="0"/>
        <v>200000</v>
      </c>
      <c r="F26" s="3">
        <f t="shared" si="1"/>
        <v>450000</v>
      </c>
    </row>
    <row r="27" spans="1:6" x14ac:dyDescent="0.35">
      <c r="A27" s="2" t="s">
        <v>87</v>
      </c>
      <c r="B27" s="2">
        <v>11292</v>
      </c>
      <c r="C27" s="2" t="s">
        <v>18</v>
      </c>
      <c r="D27" s="3">
        <v>10000</v>
      </c>
      <c r="E27" s="3">
        <f t="shared" si="0"/>
        <v>210000</v>
      </c>
      <c r="F27" s="3">
        <f t="shared" si="1"/>
        <v>440000</v>
      </c>
    </row>
    <row r="28" spans="1:6" x14ac:dyDescent="0.35">
      <c r="A28" s="12">
        <v>45514</v>
      </c>
      <c r="B28" s="2">
        <v>11488</v>
      </c>
      <c r="C28" s="2" t="s">
        <v>18</v>
      </c>
      <c r="D28" s="3">
        <v>10000</v>
      </c>
      <c r="E28" s="3">
        <f t="shared" si="0"/>
        <v>220000</v>
      </c>
      <c r="F28" s="3">
        <f t="shared" si="1"/>
        <v>430000</v>
      </c>
    </row>
    <row r="29" spans="1:6" x14ac:dyDescent="0.35">
      <c r="A29" s="2" t="s">
        <v>89</v>
      </c>
      <c r="B29" s="2">
        <v>12505</v>
      </c>
      <c r="C29" s="2" t="s">
        <v>18</v>
      </c>
      <c r="D29" s="3">
        <v>10000</v>
      </c>
      <c r="E29" s="3">
        <f t="shared" si="0"/>
        <v>230000</v>
      </c>
      <c r="F29" s="3">
        <f t="shared" si="1"/>
        <v>420000</v>
      </c>
    </row>
    <row r="30" spans="1:6" x14ac:dyDescent="0.35">
      <c r="A30" s="2" t="s">
        <v>90</v>
      </c>
      <c r="B30" s="2">
        <v>12696</v>
      </c>
      <c r="C30" s="2" t="s">
        <v>18</v>
      </c>
      <c r="D30" s="3">
        <v>15000</v>
      </c>
      <c r="E30" s="3">
        <f t="shared" si="0"/>
        <v>245000</v>
      </c>
      <c r="F30" s="3">
        <f t="shared" si="1"/>
        <v>405000</v>
      </c>
    </row>
    <row r="31" spans="1:6" x14ac:dyDescent="0.35">
      <c r="A31" s="2" t="s">
        <v>91</v>
      </c>
      <c r="B31" s="2">
        <v>10034</v>
      </c>
      <c r="C31" s="2" t="s">
        <v>18</v>
      </c>
      <c r="D31" s="3">
        <v>30000</v>
      </c>
      <c r="E31" s="3">
        <f t="shared" si="0"/>
        <v>275000</v>
      </c>
      <c r="F31" s="3">
        <f t="shared" si="1"/>
        <v>375000</v>
      </c>
    </row>
    <row r="32" spans="1:6" x14ac:dyDescent="0.35">
      <c r="A32" s="2" t="s">
        <v>92</v>
      </c>
      <c r="B32" s="2">
        <v>10419</v>
      </c>
      <c r="C32" s="2" t="s">
        <v>18</v>
      </c>
      <c r="D32" s="3">
        <v>10000</v>
      </c>
      <c r="E32" s="3">
        <f t="shared" si="0"/>
        <v>285000</v>
      </c>
      <c r="F32" s="3">
        <f t="shared" si="1"/>
        <v>365000</v>
      </c>
    </row>
    <row r="33" spans="1:6" x14ac:dyDescent="0.35">
      <c r="A33" s="2" t="s">
        <v>93</v>
      </c>
      <c r="B33" s="2">
        <v>12886</v>
      </c>
      <c r="C33" s="2" t="s">
        <v>18</v>
      </c>
      <c r="D33" s="3">
        <v>20000</v>
      </c>
      <c r="E33" s="3">
        <f t="shared" si="0"/>
        <v>305000</v>
      </c>
      <c r="F33" s="3">
        <f t="shared" si="1"/>
        <v>345000</v>
      </c>
    </row>
    <row r="34" spans="1:6" x14ac:dyDescent="0.35">
      <c r="A34" s="2" t="s">
        <v>94</v>
      </c>
      <c r="B34" s="2">
        <v>12546</v>
      </c>
      <c r="C34" s="2" t="s">
        <v>18</v>
      </c>
      <c r="D34" s="3">
        <v>10000</v>
      </c>
      <c r="E34" s="3">
        <f t="shared" si="0"/>
        <v>315000</v>
      </c>
      <c r="F34" s="3">
        <f t="shared" si="1"/>
        <v>335000</v>
      </c>
    </row>
    <row r="35" spans="1:6" x14ac:dyDescent="0.35">
      <c r="A35" s="2" t="s">
        <v>95</v>
      </c>
      <c r="B35" s="2">
        <v>13936</v>
      </c>
      <c r="C35" s="2" t="s">
        <v>18</v>
      </c>
      <c r="D35" s="3">
        <v>10000</v>
      </c>
      <c r="E35" s="3">
        <f t="shared" si="0"/>
        <v>325000</v>
      </c>
      <c r="F35" s="3">
        <f t="shared" si="1"/>
        <v>325000</v>
      </c>
    </row>
    <row r="36" spans="1:6" x14ac:dyDescent="0.35">
      <c r="A36" s="2" t="s">
        <v>96</v>
      </c>
      <c r="B36" s="2">
        <v>13536</v>
      </c>
      <c r="C36" s="2" t="s">
        <v>18</v>
      </c>
      <c r="D36" s="3">
        <v>10000</v>
      </c>
      <c r="E36" s="3">
        <f t="shared" si="0"/>
        <v>335000</v>
      </c>
      <c r="F36" s="3">
        <f t="shared" si="1"/>
        <v>315000</v>
      </c>
    </row>
    <row r="37" spans="1:6" x14ac:dyDescent="0.35">
      <c r="A37" s="2" t="s">
        <v>97</v>
      </c>
      <c r="B37" s="2">
        <v>13096</v>
      </c>
      <c r="C37" s="2" t="s">
        <v>18</v>
      </c>
      <c r="D37" s="3">
        <v>10000</v>
      </c>
      <c r="E37" s="3">
        <f t="shared" si="0"/>
        <v>345000</v>
      </c>
      <c r="F37" s="3">
        <f t="shared" si="1"/>
        <v>305000</v>
      </c>
    </row>
    <row r="38" spans="1:6" x14ac:dyDescent="0.35">
      <c r="A38" s="2" t="s">
        <v>98</v>
      </c>
      <c r="B38" s="2">
        <v>133810</v>
      </c>
      <c r="C38" s="2" t="s">
        <v>18</v>
      </c>
      <c r="D38" s="3">
        <v>10000</v>
      </c>
      <c r="E38" s="3">
        <f t="shared" si="0"/>
        <v>355000</v>
      </c>
      <c r="F38" s="3">
        <f t="shared" si="1"/>
        <v>295000</v>
      </c>
    </row>
    <row r="39" spans="1:6" x14ac:dyDescent="0.35">
      <c r="A39" s="2" t="s">
        <v>99</v>
      </c>
      <c r="B39" s="2">
        <v>12260</v>
      </c>
      <c r="C39" s="2" t="s">
        <v>18</v>
      </c>
      <c r="D39" s="3">
        <v>10000</v>
      </c>
      <c r="E39" s="3">
        <f t="shared" si="0"/>
        <v>365000</v>
      </c>
      <c r="F39" s="3">
        <f t="shared" si="1"/>
        <v>285000</v>
      </c>
    </row>
    <row r="40" spans="1:6" x14ac:dyDescent="0.35">
      <c r="A40" s="2" t="s">
        <v>100</v>
      </c>
      <c r="B40" s="2">
        <v>12592</v>
      </c>
      <c r="C40" s="2" t="s">
        <v>18</v>
      </c>
      <c r="D40" s="3">
        <v>10000</v>
      </c>
      <c r="E40" s="3">
        <f t="shared" si="0"/>
        <v>375000</v>
      </c>
      <c r="F40" s="3">
        <f t="shared" si="1"/>
        <v>275000</v>
      </c>
    </row>
    <row r="41" spans="1:6" x14ac:dyDescent="0.35">
      <c r="A41" s="2" t="s">
        <v>101</v>
      </c>
      <c r="B41" s="2">
        <v>13977</v>
      </c>
      <c r="C41" s="2" t="s">
        <v>18</v>
      </c>
      <c r="D41" s="3">
        <v>10000</v>
      </c>
      <c r="E41" s="3">
        <f t="shared" si="0"/>
        <v>385000</v>
      </c>
      <c r="F41" s="3">
        <f t="shared" si="1"/>
        <v>265000</v>
      </c>
    </row>
    <row r="42" spans="1:6" x14ac:dyDescent="0.35">
      <c r="A42" s="2" t="s">
        <v>294</v>
      </c>
      <c r="B42" s="2">
        <v>13082</v>
      </c>
      <c r="C42" s="2" t="s">
        <v>18</v>
      </c>
      <c r="D42" s="3">
        <v>10000</v>
      </c>
      <c r="E42" s="3">
        <f t="shared" si="0"/>
        <v>395000</v>
      </c>
      <c r="F42" s="3">
        <f t="shared" si="1"/>
        <v>255000</v>
      </c>
    </row>
    <row r="43" spans="1:6" x14ac:dyDescent="0.35">
      <c r="A43" s="2" t="s">
        <v>438</v>
      </c>
      <c r="B43" s="2">
        <v>13460</v>
      </c>
      <c r="C43" s="2" t="s">
        <v>18</v>
      </c>
      <c r="D43" s="3">
        <v>10000</v>
      </c>
      <c r="E43" s="3">
        <f>E42+D43</f>
        <v>405000</v>
      </c>
      <c r="F43" s="3">
        <f>F42-D43</f>
        <v>245000</v>
      </c>
    </row>
    <row r="44" spans="1:6" x14ac:dyDescent="0.35">
      <c r="A44" s="2" t="s">
        <v>439</v>
      </c>
      <c r="B44" s="2">
        <v>1329</v>
      </c>
      <c r="C44" s="2" t="s">
        <v>18</v>
      </c>
      <c r="D44" s="3">
        <v>10000</v>
      </c>
      <c r="E44" s="3">
        <f>E43+D44</f>
        <v>415000</v>
      </c>
      <c r="F44" s="3">
        <f>F43-D44</f>
        <v>235000</v>
      </c>
    </row>
    <row r="45" spans="1:6" x14ac:dyDescent="0.35">
      <c r="A45" s="2" t="s">
        <v>447</v>
      </c>
      <c r="B45" s="2">
        <v>1567</v>
      </c>
      <c r="C45" s="2" t="s">
        <v>18</v>
      </c>
      <c r="D45" s="3">
        <v>10000</v>
      </c>
      <c r="E45" s="3">
        <f>E44+D45</f>
        <v>425000</v>
      </c>
      <c r="F45" s="3">
        <f>F44-D45</f>
        <v>225000</v>
      </c>
    </row>
    <row r="46" spans="1:6" x14ac:dyDescent="0.35">
      <c r="A46" s="2" t="s">
        <v>461</v>
      </c>
      <c r="B46" s="2">
        <v>1828</v>
      </c>
      <c r="C46" s="2" t="s">
        <v>18</v>
      </c>
      <c r="D46" s="3">
        <v>10000</v>
      </c>
      <c r="E46" s="3">
        <f>E45+D46</f>
        <v>435000</v>
      </c>
      <c r="F46" s="3">
        <f>F45-D46</f>
        <v>215000</v>
      </c>
    </row>
    <row r="47" spans="1:6" x14ac:dyDescent="0.35">
      <c r="A47" s="38" t="s">
        <v>506</v>
      </c>
      <c r="B47" s="38">
        <v>2096</v>
      </c>
      <c r="C47" s="2" t="s">
        <v>18</v>
      </c>
      <c r="D47" s="3">
        <v>10000</v>
      </c>
      <c r="E47" s="5">
        <f>E46+D47</f>
        <v>445000</v>
      </c>
      <c r="F47" s="5">
        <f>F46-D47</f>
        <v>205000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17" zoomScale="104" zoomScaleNormal="104" zoomScalePageLayoutView="95" workbookViewId="0">
      <selection activeCell="C33" sqref="C33"/>
    </sheetView>
  </sheetViews>
  <sheetFormatPr defaultRowHeight="14.5" x14ac:dyDescent="0.35"/>
  <cols>
    <col min="1" max="1" width="10.453125" bestFit="1" customWidth="1"/>
    <col min="3" max="3" width="12.36328125" customWidth="1"/>
    <col min="6" max="6" width="10.54296875" customWidth="1"/>
  </cols>
  <sheetData>
    <row r="1" spans="1:6" ht="18.5" x14ac:dyDescent="0.45">
      <c r="A1" s="1" t="s">
        <v>104</v>
      </c>
      <c r="B1" s="1"/>
      <c r="C1" s="1"/>
      <c r="D1" s="1"/>
      <c r="E1" s="1"/>
      <c r="F1" s="1"/>
    </row>
    <row r="2" spans="1:6" ht="18.5" x14ac:dyDescent="0.45">
      <c r="A2" s="1" t="s">
        <v>105</v>
      </c>
      <c r="B2" s="1"/>
      <c r="C2" s="1"/>
      <c r="D2" s="1"/>
      <c r="E2" s="1"/>
      <c r="F2" s="1"/>
    </row>
    <row r="3" spans="1:6" ht="18.5" x14ac:dyDescent="0.45">
      <c r="A3" s="1" t="s">
        <v>106</v>
      </c>
      <c r="B3" s="1"/>
      <c r="C3" s="1"/>
      <c r="D3" s="1"/>
      <c r="E3" s="1"/>
      <c r="F3" s="1"/>
    </row>
    <row r="4" spans="1:6" ht="18.5" x14ac:dyDescent="0.45">
      <c r="A4" s="1" t="s">
        <v>384</v>
      </c>
      <c r="B4" s="1"/>
      <c r="C4" s="1"/>
      <c r="D4" s="1"/>
      <c r="E4" s="1"/>
      <c r="F4" s="1"/>
    </row>
    <row r="5" spans="1:6" ht="18.5" x14ac:dyDescent="0.45">
      <c r="A5" s="1" t="s">
        <v>107</v>
      </c>
      <c r="B5" s="1"/>
      <c r="C5" s="1"/>
      <c r="D5" s="1"/>
      <c r="E5" s="1"/>
      <c r="F5" s="1"/>
    </row>
    <row r="6" spans="1:6" ht="18.5" x14ac:dyDescent="0.45">
      <c r="A6" s="1" t="s">
        <v>108</v>
      </c>
      <c r="B6" s="1"/>
      <c r="C6" s="1"/>
      <c r="D6" s="1" t="s">
        <v>109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3</v>
      </c>
      <c r="F7" s="2" t="s">
        <v>5</v>
      </c>
    </row>
    <row r="8" spans="1:6" x14ac:dyDescent="0.35">
      <c r="A8" s="12">
        <v>44867</v>
      </c>
      <c r="B8" s="2">
        <v>1196</v>
      </c>
      <c r="C8" s="2" t="s">
        <v>31</v>
      </c>
      <c r="D8" s="3">
        <v>10000</v>
      </c>
      <c r="E8" s="3">
        <v>10000</v>
      </c>
      <c r="F8" s="3">
        <v>250000</v>
      </c>
    </row>
    <row r="9" spans="1:6" x14ac:dyDescent="0.35">
      <c r="A9" s="13">
        <v>44875</v>
      </c>
      <c r="B9" s="2">
        <v>1874</v>
      </c>
      <c r="C9" s="2" t="s">
        <v>45</v>
      </c>
      <c r="D9" s="3">
        <v>20000</v>
      </c>
      <c r="E9" s="3">
        <f>SUM(E8+D9)</f>
        <v>30000</v>
      </c>
      <c r="F9" s="3">
        <f>F8-D9</f>
        <v>230000</v>
      </c>
    </row>
    <row r="10" spans="1:6" x14ac:dyDescent="0.35">
      <c r="A10" s="12">
        <v>45081</v>
      </c>
      <c r="B10" s="2">
        <v>1875</v>
      </c>
      <c r="C10" s="2" t="s">
        <v>31</v>
      </c>
      <c r="D10" s="3">
        <v>10000</v>
      </c>
      <c r="E10" s="3">
        <f t="shared" ref="E10:E30" si="0">SUM(E9+D10)</f>
        <v>40000</v>
      </c>
      <c r="F10" s="3">
        <f t="shared" ref="F10:F30" si="1">F9-D10</f>
        <v>220000</v>
      </c>
    </row>
    <row r="11" spans="1:6" x14ac:dyDescent="0.35">
      <c r="A11" s="2" t="s">
        <v>110</v>
      </c>
      <c r="B11" s="2">
        <v>1566</v>
      </c>
      <c r="C11" s="2" t="s">
        <v>31</v>
      </c>
      <c r="D11" s="3">
        <v>10000</v>
      </c>
      <c r="E11" s="3">
        <f t="shared" si="0"/>
        <v>50000</v>
      </c>
      <c r="F11" s="3">
        <f t="shared" si="1"/>
        <v>210000</v>
      </c>
    </row>
    <row r="12" spans="1:6" x14ac:dyDescent="0.35">
      <c r="A12" s="12">
        <v>45022</v>
      </c>
      <c r="B12" s="2">
        <v>276</v>
      </c>
      <c r="C12" s="2" t="s">
        <v>31</v>
      </c>
      <c r="D12" s="3">
        <v>10000</v>
      </c>
      <c r="E12" s="3">
        <f t="shared" si="0"/>
        <v>60000</v>
      </c>
      <c r="F12" s="3">
        <f t="shared" si="1"/>
        <v>200000</v>
      </c>
    </row>
    <row r="13" spans="1:6" x14ac:dyDescent="0.35">
      <c r="A13" s="12">
        <v>45115</v>
      </c>
      <c r="B13" s="2">
        <v>2267</v>
      </c>
      <c r="C13" s="2" t="s">
        <v>31</v>
      </c>
      <c r="D13" s="3">
        <v>10000</v>
      </c>
      <c r="E13" s="3">
        <f t="shared" si="0"/>
        <v>70000</v>
      </c>
      <c r="F13" s="3">
        <f t="shared" si="1"/>
        <v>190000</v>
      </c>
    </row>
    <row r="14" spans="1:6" x14ac:dyDescent="0.35">
      <c r="A14" s="12">
        <v>45208</v>
      </c>
      <c r="B14" s="2">
        <v>3501</v>
      </c>
      <c r="C14" s="2" t="s">
        <v>31</v>
      </c>
      <c r="D14" s="3">
        <v>15000</v>
      </c>
      <c r="E14" s="3">
        <f t="shared" si="0"/>
        <v>85000</v>
      </c>
      <c r="F14" s="3">
        <f t="shared" si="1"/>
        <v>175000</v>
      </c>
    </row>
    <row r="15" spans="1:6" x14ac:dyDescent="0.35">
      <c r="A15" s="2" t="s">
        <v>111</v>
      </c>
      <c r="B15" s="2">
        <v>4292</v>
      </c>
      <c r="C15" s="2" t="s">
        <v>31</v>
      </c>
      <c r="D15" s="3">
        <v>15000</v>
      </c>
      <c r="E15" s="3">
        <f t="shared" si="0"/>
        <v>100000</v>
      </c>
      <c r="F15" s="3">
        <f t="shared" si="1"/>
        <v>160000</v>
      </c>
    </row>
    <row r="16" spans="1:6" x14ac:dyDescent="0.35">
      <c r="A16" s="12">
        <v>45242</v>
      </c>
      <c r="B16" s="2">
        <v>5490</v>
      </c>
      <c r="C16" s="2" t="s">
        <v>31</v>
      </c>
      <c r="D16" s="3">
        <v>15000</v>
      </c>
      <c r="E16" s="3">
        <f t="shared" si="0"/>
        <v>115000</v>
      </c>
      <c r="F16" s="3">
        <f t="shared" si="1"/>
        <v>145000</v>
      </c>
    </row>
    <row r="17" spans="1:6" x14ac:dyDescent="0.35">
      <c r="A17" s="2" t="s">
        <v>112</v>
      </c>
      <c r="B17" s="2">
        <v>8160</v>
      </c>
      <c r="C17" s="2" t="s">
        <v>31</v>
      </c>
      <c r="D17" s="3">
        <v>15000</v>
      </c>
      <c r="E17" s="3">
        <f t="shared" si="0"/>
        <v>130000</v>
      </c>
      <c r="F17" s="3">
        <f t="shared" si="1"/>
        <v>130000</v>
      </c>
    </row>
    <row r="18" spans="1:6" x14ac:dyDescent="0.35">
      <c r="A18" s="12">
        <v>45598</v>
      </c>
      <c r="B18" s="2">
        <v>7037</v>
      </c>
      <c r="C18" s="2" t="s">
        <v>31</v>
      </c>
      <c r="D18" s="3">
        <v>10000</v>
      </c>
      <c r="E18" s="3">
        <f t="shared" si="0"/>
        <v>140000</v>
      </c>
      <c r="F18" s="3">
        <f t="shared" si="1"/>
        <v>120000</v>
      </c>
    </row>
    <row r="19" spans="1:6" x14ac:dyDescent="0.35">
      <c r="A19" s="12">
        <v>45568</v>
      </c>
      <c r="B19" s="2">
        <v>7209</v>
      </c>
      <c r="C19" s="2" t="s">
        <v>31</v>
      </c>
      <c r="D19" s="3">
        <v>10000</v>
      </c>
      <c r="E19" s="3">
        <f t="shared" si="0"/>
        <v>150000</v>
      </c>
      <c r="F19" s="3">
        <f t="shared" si="1"/>
        <v>110000</v>
      </c>
    </row>
    <row r="20" spans="1:6" x14ac:dyDescent="0.35">
      <c r="A20" s="12">
        <v>45477</v>
      </c>
      <c r="B20" s="2">
        <v>7738</v>
      </c>
      <c r="C20" s="2" t="s">
        <v>31</v>
      </c>
      <c r="D20" s="3">
        <v>10000</v>
      </c>
      <c r="E20" s="3">
        <f t="shared" si="0"/>
        <v>160000</v>
      </c>
      <c r="F20" s="3">
        <f t="shared" si="1"/>
        <v>100000</v>
      </c>
    </row>
    <row r="21" spans="1:6" x14ac:dyDescent="0.35">
      <c r="A21" s="12">
        <v>45448</v>
      </c>
      <c r="B21" s="2">
        <v>8273</v>
      </c>
      <c r="C21" s="2" t="s">
        <v>31</v>
      </c>
      <c r="D21" s="3">
        <v>10000</v>
      </c>
      <c r="E21" s="3">
        <f t="shared" si="0"/>
        <v>170000</v>
      </c>
      <c r="F21" s="3">
        <f t="shared" si="1"/>
        <v>90000</v>
      </c>
    </row>
    <row r="22" spans="1:6" x14ac:dyDescent="0.35">
      <c r="A22" s="12">
        <v>45541</v>
      </c>
      <c r="B22" s="2">
        <v>8912</v>
      </c>
      <c r="C22" s="2" t="s">
        <v>31</v>
      </c>
      <c r="D22" s="3">
        <v>10000</v>
      </c>
      <c r="E22" s="3">
        <f t="shared" si="0"/>
        <v>180000</v>
      </c>
      <c r="F22" s="3">
        <f t="shared" si="1"/>
        <v>80000</v>
      </c>
    </row>
    <row r="23" spans="1:6" x14ac:dyDescent="0.35">
      <c r="A23" s="12">
        <v>45603</v>
      </c>
      <c r="B23" s="2">
        <v>9500</v>
      </c>
      <c r="C23" s="2" t="s">
        <v>31</v>
      </c>
      <c r="D23" s="3">
        <v>10000</v>
      </c>
      <c r="E23" s="3">
        <f t="shared" si="0"/>
        <v>190000</v>
      </c>
      <c r="F23" s="3">
        <f t="shared" si="1"/>
        <v>70000</v>
      </c>
    </row>
    <row r="24" spans="1:6" x14ac:dyDescent="0.35">
      <c r="A24" s="12">
        <v>45482</v>
      </c>
      <c r="B24" s="2">
        <v>10571</v>
      </c>
      <c r="C24" s="2" t="s">
        <v>31</v>
      </c>
      <c r="D24" s="3">
        <v>15000</v>
      </c>
      <c r="E24" s="3">
        <f t="shared" si="0"/>
        <v>205000</v>
      </c>
      <c r="F24" s="3">
        <f t="shared" si="1"/>
        <v>55000</v>
      </c>
    </row>
    <row r="25" spans="1:6" x14ac:dyDescent="0.35">
      <c r="A25" s="2" t="s">
        <v>113</v>
      </c>
      <c r="B25" s="2">
        <v>11686</v>
      </c>
      <c r="C25" s="2" t="s">
        <v>31</v>
      </c>
      <c r="D25" s="3">
        <v>15000</v>
      </c>
      <c r="E25" s="3">
        <f t="shared" si="0"/>
        <v>220000</v>
      </c>
      <c r="F25" s="3">
        <f t="shared" si="1"/>
        <v>40000</v>
      </c>
    </row>
    <row r="26" spans="1:6" x14ac:dyDescent="0.35">
      <c r="A26" s="12">
        <v>45546</v>
      </c>
      <c r="B26" s="2">
        <v>11941</v>
      </c>
      <c r="C26" s="2" t="s">
        <v>31</v>
      </c>
      <c r="D26" s="3">
        <v>10000</v>
      </c>
      <c r="E26" s="3">
        <f t="shared" si="0"/>
        <v>230000</v>
      </c>
      <c r="F26" s="3">
        <f t="shared" si="1"/>
        <v>30000</v>
      </c>
    </row>
    <row r="27" spans="1:6" x14ac:dyDescent="0.35">
      <c r="A27" s="12">
        <v>45809</v>
      </c>
      <c r="B27" s="2">
        <v>12918</v>
      </c>
      <c r="C27" s="2" t="s">
        <v>31</v>
      </c>
      <c r="D27" s="3">
        <v>15000</v>
      </c>
      <c r="E27" s="3">
        <f t="shared" si="0"/>
        <v>245000</v>
      </c>
      <c r="F27" s="3">
        <f t="shared" si="1"/>
        <v>15000</v>
      </c>
    </row>
    <row r="28" spans="1:6" x14ac:dyDescent="0.35">
      <c r="A28" s="12">
        <v>45963</v>
      </c>
      <c r="B28" s="2">
        <v>9338</v>
      </c>
      <c r="C28" s="2" t="s">
        <v>31</v>
      </c>
      <c r="D28" s="3">
        <v>5000</v>
      </c>
      <c r="E28" s="3">
        <f t="shared" si="0"/>
        <v>250000</v>
      </c>
      <c r="F28" s="3">
        <f t="shared" si="1"/>
        <v>10000</v>
      </c>
    </row>
    <row r="29" spans="1:6" x14ac:dyDescent="0.35">
      <c r="A29" s="12">
        <v>45903</v>
      </c>
      <c r="B29" s="2">
        <v>9673</v>
      </c>
      <c r="C29" s="2" t="s">
        <v>31</v>
      </c>
      <c r="D29" s="3">
        <v>5000</v>
      </c>
      <c r="E29" s="3">
        <f t="shared" si="0"/>
        <v>255000</v>
      </c>
      <c r="F29" s="3">
        <f t="shared" si="1"/>
        <v>5000</v>
      </c>
    </row>
    <row r="30" spans="1:6" x14ac:dyDescent="0.35">
      <c r="A30" s="12">
        <v>45996</v>
      </c>
      <c r="B30" s="2">
        <v>10944</v>
      </c>
      <c r="C30" s="2" t="s">
        <v>31</v>
      </c>
      <c r="D30" s="3">
        <v>5000</v>
      </c>
      <c r="E30" s="3">
        <f t="shared" si="0"/>
        <v>260000</v>
      </c>
      <c r="F30" s="3">
        <f t="shared" si="1"/>
        <v>0</v>
      </c>
    </row>
    <row r="32" spans="1:6" x14ac:dyDescent="0.35">
      <c r="C32" t="s">
        <v>441</v>
      </c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29" workbookViewId="0">
      <selection activeCell="F40" sqref="F40"/>
    </sheetView>
  </sheetViews>
  <sheetFormatPr defaultRowHeight="14.5" x14ac:dyDescent="0.35"/>
  <cols>
    <col min="1" max="1" width="10" customWidth="1"/>
    <col min="3" max="3" width="15.453125" customWidth="1"/>
    <col min="4" max="4" width="10.90625" customWidth="1"/>
    <col min="5" max="5" width="10.7265625" customWidth="1"/>
    <col min="6" max="6" width="11.6328125" customWidth="1"/>
  </cols>
  <sheetData>
    <row r="1" spans="1:6" ht="18.5" x14ac:dyDescent="0.45">
      <c r="A1" s="1" t="s">
        <v>189</v>
      </c>
      <c r="B1" s="1"/>
      <c r="C1" s="1"/>
      <c r="D1" s="27"/>
      <c r="E1" s="1"/>
      <c r="F1" s="1"/>
    </row>
    <row r="2" spans="1:6" ht="18.5" x14ac:dyDescent="0.45">
      <c r="A2" s="1" t="s">
        <v>210</v>
      </c>
      <c r="B2" s="1"/>
      <c r="C2" s="1"/>
      <c r="D2" s="27"/>
      <c r="E2" s="1"/>
      <c r="F2" s="1"/>
    </row>
    <row r="3" spans="1:6" ht="18.5" x14ac:dyDescent="0.45">
      <c r="A3" s="1" t="s">
        <v>191</v>
      </c>
      <c r="B3" s="1"/>
      <c r="C3" s="1"/>
      <c r="D3" s="27"/>
      <c r="E3" s="1"/>
      <c r="F3" s="1"/>
    </row>
    <row r="4" spans="1:6" ht="18.5" x14ac:dyDescent="0.45">
      <c r="A4" s="1" t="s">
        <v>213</v>
      </c>
      <c r="B4" s="1"/>
      <c r="C4" s="1"/>
      <c r="D4" s="27"/>
      <c r="E4" s="1"/>
      <c r="F4" s="1"/>
    </row>
    <row r="5" spans="1:6" ht="18.5" x14ac:dyDescent="0.45">
      <c r="A5" s="1" t="s">
        <v>194</v>
      </c>
      <c r="B5" s="1"/>
      <c r="C5" s="1"/>
      <c r="D5" s="27"/>
      <c r="E5" s="1"/>
      <c r="F5" s="1"/>
    </row>
    <row r="6" spans="1:6" ht="18.5" x14ac:dyDescent="0.45">
      <c r="A6" s="1" t="s">
        <v>211</v>
      </c>
      <c r="B6" s="1"/>
      <c r="C6" s="1"/>
      <c r="D6" s="1" t="s">
        <v>212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s="2" t="s">
        <v>110</v>
      </c>
      <c r="B8" s="2">
        <v>290</v>
      </c>
      <c r="C8" s="2" t="s">
        <v>186</v>
      </c>
      <c r="D8" s="3">
        <v>10000</v>
      </c>
      <c r="E8" s="3">
        <v>10000</v>
      </c>
      <c r="F8" s="3">
        <v>590000</v>
      </c>
    </row>
    <row r="9" spans="1:6" x14ac:dyDescent="0.35">
      <c r="A9" s="2" t="s">
        <v>214</v>
      </c>
      <c r="B9" s="2">
        <v>848</v>
      </c>
      <c r="C9" s="2" t="s">
        <v>180</v>
      </c>
      <c r="D9" s="3">
        <v>140000</v>
      </c>
      <c r="E9" s="3">
        <f>SUM(E8+D9)</f>
        <v>150000</v>
      </c>
      <c r="F9" s="3">
        <f>F8-D9</f>
        <v>450000</v>
      </c>
    </row>
    <row r="10" spans="1:6" x14ac:dyDescent="0.35">
      <c r="A10" s="2" t="s">
        <v>215</v>
      </c>
      <c r="B10" s="2">
        <v>928</v>
      </c>
      <c r="C10" s="2" t="s">
        <v>223</v>
      </c>
      <c r="D10" s="3">
        <v>10000</v>
      </c>
      <c r="E10" s="3">
        <f t="shared" ref="E10:E35" si="0">SUM(E9+D10)</f>
        <v>160000</v>
      </c>
      <c r="F10" s="3">
        <f t="shared" ref="F10:F35" si="1">F9-D10</f>
        <v>440000</v>
      </c>
    </row>
    <row r="11" spans="1:6" x14ac:dyDescent="0.35">
      <c r="A11" s="2" t="s">
        <v>216</v>
      </c>
      <c r="B11" s="2">
        <v>2859</v>
      </c>
      <c r="C11" s="2" t="s">
        <v>223</v>
      </c>
      <c r="D11" s="3">
        <v>10000</v>
      </c>
      <c r="E11" s="3">
        <f t="shared" si="0"/>
        <v>170000</v>
      </c>
      <c r="F11" s="3">
        <f t="shared" si="1"/>
        <v>430000</v>
      </c>
    </row>
    <row r="12" spans="1:6" x14ac:dyDescent="0.35">
      <c r="A12" s="2" t="s">
        <v>217</v>
      </c>
      <c r="B12" s="2">
        <v>3274</v>
      </c>
      <c r="C12" s="2" t="s">
        <v>223</v>
      </c>
      <c r="D12" s="3">
        <v>10000</v>
      </c>
      <c r="E12" s="3">
        <f t="shared" si="0"/>
        <v>180000</v>
      </c>
      <c r="F12" s="3">
        <f t="shared" si="1"/>
        <v>420000</v>
      </c>
    </row>
    <row r="13" spans="1:6" x14ac:dyDescent="0.35">
      <c r="A13" s="2" t="s">
        <v>218</v>
      </c>
      <c r="B13" s="2">
        <v>3704</v>
      </c>
      <c r="C13" s="2" t="s">
        <v>223</v>
      </c>
      <c r="D13" s="3">
        <v>10000</v>
      </c>
      <c r="E13" s="3">
        <f t="shared" si="0"/>
        <v>190000</v>
      </c>
      <c r="F13" s="3">
        <f t="shared" si="1"/>
        <v>410000</v>
      </c>
    </row>
    <row r="14" spans="1:6" x14ac:dyDescent="0.35">
      <c r="A14" s="2" t="s">
        <v>219</v>
      </c>
      <c r="B14" s="2">
        <v>4429</v>
      </c>
      <c r="C14" s="2" t="s">
        <v>223</v>
      </c>
      <c r="D14" s="3">
        <v>10000</v>
      </c>
      <c r="E14" s="3">
        <f t="shared" si="0"/>
        <v>200000</v>
      </c>
      <c r="F14" s="3">
        <f t="shared" si="1"/>
        <v>400000</v>
      </c>
    </row>
    <row r="15" spans="1:6" x14ac:dyDescent="0.35">
      <c r="A15" s="12">
        <v>45298</v>
      </c>
      <c r="B15" s="2">
        <v>9348</v>
      </c>
      <c r="C15" s="2" t="s">
        <v>223</v>
      </c>
      <c r="D15" s="3">
        <v>90000</v>
      </c>
      <c r="E15" s="3">
        <f t="shared" si="0"/>
        <v>290000</v>
      </c>
      <c r="F15" s="3">
        <f t="shared" si="1"/>
        <v>310000</v>
      </c>
    </row>
    <row r="16" spans="1:6" x14ac:dyDescent="0.35">
      <c r="A16" s="2" t="s">
        <v>220</v>
      </c>
      <c r="B16" s="2">
        <v>11284</v>
      </c>
      <c r="C16" s="2" t="s">
        <v>223</v>
      </c>
      <c r="D16" s="3">
        <v>10000</v>
      </c>
      <c r="E16" s="3">
        <f t="shared" si="0"/>
        <v>300000</v>
      </c>
      <c r="F16" s="3">
        <f t="shared" si="1"/>
        <v>300000</v>
      </c>
    </row>
    <row r="17" spans="1:6" x14ac:dyDescent="0.35">
      <c r="A17" s="2" t="s">
        <v>221</v>
      </c>
      <c r="B17" s="2">
        <v>10835</v>
      </c>
      <c r="C17" s="2" t="s">
        <v>223</v>
      </c>
      <c r="D17" s="3">
        <v>10000</v>
      </c>
      <c r="E17" s="3">
        <f t="shared" si="0"/>
        <v>310000</v>
      </c>
      <c r="F17" s="3">
        <f t="shared" si="1"/>
        <v>290000</v>
      </c>
    </row>
    <row r="18" spans="1:6" x14ac:dyDescent="0.35">
      <c r="A18" s="2" t="s">
        <v>222</v>
      </c>
      <c r="B18" s="2">
        <v>12120</v>
      </c>
      <c r="C18" s="2" t="s">
        <v>223</v>
      </c>
      <c r="D18" s="3">
        <v>10000</v>
      </c>
      <c r="E18" s="3">
        <f t="shared" si="0"/>
        <v>320000</v>
      </c>
      <c r="F18" s="3">
        <f t="shared" si="1"/>
        <v>280000</v>
      </c>
    </row>
    <row r="19" spans="1:6" x14ac:dyDescent="0.35">
      <c r="A19" s="2" t="s">
        <v>141</v>
      </c>
      <c r="B19" s="2">
        <v>12619</v>
      </c>
      <c r="C19" s="2" t="s">
        <v>223</v>
      </c>
      <c r="D19" s="3">
        <v>10000</v>
      </c>
      <c r="E19" s="3">
        <f t="shared" si="0"/>
        <v>330000</v>
      </c>
      <c r="F19" s="3">
        <f t="shared" si="1"/>
        <v>270000</v>
      </c>
    </row>
    <row r="20" spans="1:6" x14ac:dyDescent="0.35">
      <c r="A20" s="2" t="s">
        <v>224</v>
      </c>
      <c r="B20" s="2">
        <v>9018</v>
      </c>
      <c r="C20" s="2" t="s">
        <v>223</v>
      </c>
      <c r="D20" s="3">
        <v>10000</v>
      </c>
      <c r="E20" s="3">
        <f t="shared" si="0"/>
        <v>340000</v>
      </c>
      <c r="F20" s="3">
        <f t="shared" si="1"/>
        <v>260000</v>
      </c>
    </row>
    <row r="21" spans="1:6" x14ac:dyDescent="0.35">
      <c r="A21" s="2" t="s">
        <v>225</v>
      </c>
      <c r="B21" s="2">
        <v>9416</v>
      </c>
      <c r="C21" s="2" t="s">
        <v>223</v>
      </c>
      <c r="D21" s="3">
        <v>10000</v>
      </c>
      <c r="E21" s="3">
        <f t="shared" si="0"/>
        <v>350000</v>
      </c>
      <c r="F21" s="3">
        <f t="shared" si="1"/>
        <v>250000</v>
      </c>
    </row>
    <row r="22" spans="1:6" x14ac:dyDescent="0.35">
      <c r="A22" s="2" t="s">
        <v>226</v>
      </c>
      <c r="B22" s="2">
        <v>9867</v>
      </c>
      <c r="C22" s="2" t="s">
        <v>223</v>
      </c>
      <c r="D22" s="3">
        <v>10000</v>
      </c>
      <c r="E22" s="3">
        <f t="shared" si="0"/>
        <v>360000</v>
      </c>
      <c r="F22" s="3">
        <f t="shared" si="1"/>
        <v>240000</v>
      </c>
    </row>
    <row r="23" spans="1:6" x14ac:dyDescent="0.35">
      <c r="A23" s="2" t="s">
        <v>227</v>
      </c>
      <c r="B23" s="2">
        <v>10080</v>
      </c>
      <c r="C23" s="2" t="s">
        <v>223</v>
      </c>
      <c r="D23" s="3">
        <v>10000</v>
      </c>
      <c r="E23" s="3">
        <f t="shared" si="0"/>
        <v>370000</v>
      </c>
      <c r="F23" s="3">
        <f t="shared" si="1"/>
        <v>230000</v>
      </c>
    </row>
    <row r="24" spans="1:6" x14ac:dyDescent="0.35">
      <c r="A24" s="2" t="s">
        <v>200</v>
      </c>
      <c r="B24" s="2">
        <v>10691</v>
      </c>
      <c r="C24" s="2" t="s">
        <v>223</v>
      </c>
      <c r="D24" s="3">
        <v>10000</v>
      </c>
      <c r="E24" s="3">
        <f t="shared" si="0"/>
        <v>380000</v>
      </c>
      <c r="F24" s="3">
        <f t="shared" si="1"/>
        <v>220000</v>
      </c>
    </row>
    <row r="25" spans="1:6" x14ac:dyDescent="0.35">
      <c r="A25" s="2" t="s">
        <v>228</v>
      </c>
      <c r="B25" s="2">
        <v>9977</v>
      </c>
      <c r="C25" s="2" t="s">
        <v>223</v>
      </c>
      <c r="D25" s="3">
        <v>10000</v>
      </c>
      <c r="E25" s="3">
        <f t="shared" si="0"/>
        <v>390000</v>
      </c>
      <c r="F25" s="3">
        <f t="shared" si="1"/>
        <v>210000</v>
      </c>
    </row>
    <row r="26" spans="1:6" x14ac:dyDescent="0.35">
      <c r="A26" s="2" t="s">
        <v>201</v>
      </c>
      <c r="B26" s="2">
        <v>10080</v>
      </c>
      <c r="C26" s="2" t="s">
        <v>223</v>
      </c>
      <c r="D26" s="3">
        <v>10000</v>
      </c>
      <c r="E26" s="3">
        <f t="shared" si="0"/>
        <v>400000</v>
      </c>
      <c r="F26" s="3">
        <f t="shared" si="1"/>
        <v>200000</v>
      </c>
    </row>
    <row r="27" spans="1:6" x14ac:dyDescent="0.35">
      <c r="A27" s="2" t="s">
        <v>202</v>
      </c>
      <c r="B27" s="2">
        <v>12963</v>
      </c>
      <c r="C27" s="2" t="s">
        <v>223</v>
      </c>
      <c r="D27" s="3">
        <v>10000</v>
      </c>
      <c r="E27" s="3">
        <f t="shared" si="0"/>
        <v>410000</v>
      </c>
      <c r="F27" s="3">
        <f t="shared" si="1"/>
        <v>190000</v>
      </c>
    </row>
    <row r="28" spans="1:6" x14ac:dyDescent="0.35">
      <c r="A28" s="2" t="s">
        <v>203</v>
      </c>
      <c r="B28" s="2">
        <v>12793</v>
      </c>
      <c r="C28" s="2" t="s">
        <v>223</v>
      </c>
      <c r="D28" s="3">
        <v>10000</v>
      </c>
      <c r="E28" s="3">
        <f t="shared" si="0"/>
        <v>420000</v>
      </c>
      <c r="F28" s="3">
        <f t="shared" si="1"/>
        <v>180000</v>
      </c>
    </row>
    <row r="29" spans="1:6" x14ac:dyDescent="0.35">
      <c r="A29" s="2" t="s">
        <v>204</v>
      </c>
      <c r="B29" s="2">
        <v>13640</v>
      </c>
      <c r="C29" s="2" t="s">
        <v>223</v>
      </c>
      <c r="D29" s="3">
        <v>10000</v>
      </c>
      <c r="E29" s="3">
        <f t="shared" si="0"/>
        <v>430000</v>
      </c>
      <c r="F29" s="3">
        <f t="shared" si="1"/>
        <v>170000</v>
      </c>
    </row>
    <row r="30" spans="1:6" x14ac:dyDescent="0.35">
      <c r="A30" s="2" t="s">
        <v>205</v>
      </c>
      <c r="B30" s="2">
        <v>12620</v>
      </c>
      <c r="C30" s="2" t="s">
        <v>223</v>
      </c>
      <c r="D30" s="3">
        <v>10000</v>
      </c>
      <c r="E30" s="3">
        <f t="shared" si="0"/>
        <v>440000</v>
      </c>
      <c r="F30" s="3">
        <f t="shared" si="1"/>
        <v>160000</v>
      </c>
    </row>
    <row r="31" spans="1:6" x14ac:dyDescent="0.35">
      <c r="A31" s="2" t="s">
        <v>206</v>
      </c>
      <c r="B31" s="2">
        <v>12153</v>
      </c>
      <c r="C31" s="2" t="s">
        <v>223</v>
      </c>
      <c r="D31" s="3">
        <v>10000</v>
      </c>
      <c r="E31" s="3">
        <f t="shared" si="0"/>
        <v>450000</v>
      </c>
      <c r="F31" s="3">
        <f t="shared" si="1"/>
        <v>150000</v>
      </c>
    </row>
    <row r="32" spans="1:6" x14ac:dyDescent="0.35">
      <c r="A32" s="2" t="s">
        <v>207</v>
      </c>
      <c r="B32" s="2">
        <v>12515</v>
      </c>
      <c r="C32" s="2" t="s">
        <v>223</v>
      </c>
      <c r="D32" s="3">
        <v>10000</v>
      </c>
      <c r="E32" s="3">
        <f t="shared" si="0"/>
        <v>460000</v>
      </c>
      <c r="F32" s="3">
        <f t="shared" si="1"/>
        <v>140000</v>
      </c>
    </row>
    <row r="33" spans="1:6" x14ac:dyDescent="0.35">
      <c r="A33" s="2" t="s">
        <v>208</v>
      </c>
      <c r="B33" s="2">
        <v>13945</v>
      </c>
      <c r="C33" s="2" t="s">
        <v>223</v>
      </c>
      <c r="D33" s="3">
        <v>10000</v>
      </c>
      <c r="E33" s="3">
        <f t="shared" si="0"/>
        <v>470000</v>
      </c>
      <c r="F33" s="3">
        <f t="shared" si="1"/>
        <v>130000</v>
      </c>
    </row>
    <row r="34" spans="1:6" x14ac:dyDescent="0.35">
      <c r="A34" s="2" t="s">
        <v>209</v>
      </c>
      <c r="B34" s="2">
        <v>13295</v>
      </c>
      <c r="C34" s="2" t="s">
        <v>223</v>
      </c>
      <c r="D34" s="3">
        <v>10000</v>
      </c>
      <c r="E34" s="3">
        <f t="shared" si="0"/>
        <v>480000</v>
      </c>
      <c r="F34" s="3">
        <f t="shared" si="1"/>
        <v>120000</v>
      </c>
    </row>
    <row r="35" spans="1:6" x14ac:dyDescent="0.35">
      <c r="A35" s="2" t="s">
        <v>383</v>
      </c>
      <c r="B35" s="2">
        <v>13396</v>
      </c>
      <c r="C35" s="2" t="s">
        <v>223</v>
      </c>
      <c r="D35" s="3">
        <v>10000</v>
      </c>
      <c r="E35" s="3">
        <f t="shared" si="0"/>
        <v>490000</v>
      </c>
      <c r="F35" s="3">
        <f t="shared" si="1"/>
        <v>110000</v>
      </c>
    </row>
    <row r="36" spans="1:6" x14ac:dyDescent="0.35">
      <c r="A36" s="2" t="s">
        <v>437</v>
      </c>
      <c r="B36" s="2">
        <v>13676</v>
      </c>
      <c r="C36" s="2" t="s">
        <v>223</v>
      </c>
      <c r="D36" s="3">
        <v>10000</v>
      </c>
      <c r="E36" s="3">
        <f>E35+D36</f>
        <v>500000</v>
      </c>
      <c r="F36" s="3">
        <f>F35-D36</f>
        <v>100000</v>
      </c>
    </row>
    <row r="37" spans="1:6" x14ac:dyDescent="0.35">
      <c r="A37" s="2" t="s">
        <v>483</v>
      </c>
      <c r="B37" s="2">
        <v>1513</v>
      </c>
      <c r="C37" s="2" t="s">
        <v>223</v>
      </c>
      <c r="D37" s="3">
        <v>10000</v>
      </c>
      <c r="E37" s="3">
        <f>E36+D37</f>
        <v>510000</v>
      </c>
      <c r="F37" s="3">
        <f>F36-D37</f>
        <v>90000</v>
      </c>
    </row>
    <row r="38" spans="1:6" x14ac:dyDescent="0.35">
      <c r="A38" s="2" t="s">
        <v>484</v>
      </c>
      <c r="B38" s="2">
        <v>1858</v>
      </c>
      <c r="C38" s="2" t="s">
        <v>223</v>
      </c>
      <c r="D38" s="3">
        <v>10000</v>
      </c>
      <c r="E38" s="3">
        <f>E37+D38</f>
        <v>520000</v>
      </c>
      <c r="F38" s="3">
        <f>F37-D38</f>
        <v>80000</v>
      </c>
    </row>
    <row r="39" spans="1:6" x14ac:dyDescent="0.35">
      <c r="A39" s="38" t="s">
        <v>507</v>
      </c>
      <c r="B39" s="38">
        <v>2086</v>
      </c>
      <c r="C39" s="2" t="s">
        <v>223</v>
      </c>
      <c r="D39" s="3">
        <v>10000</v>
      </c>
      <c r="E39" s="5">
        <f>E38+D39</f>
        <v>530000</v>
      </c>
      <c r="F39" s="5">
        <f>F38-D39</f>
        <v>70000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topLeftCell="A21" workbookViewId="0">
      <selection activeCell="D33" sqref="D33"/>
    </sheetView>
  </sheetViews>
  <sheetFormatPr defaultRowHeight="14.5" x14ac:dyDescent="0.35"/>
  <cols>
    <col min="1" max="1" width="11.36328125" customWidth="1"/>
    <col min="2" max="2" width="10.08984375" customWidth="1"/>
    <col min="3" max="3" width="12.08984375" customWidth="1"/>
    <col min="4" max="4" width="11.7265625" customWidth="1"/>
    <col min="5" max="5" width="10.6328125" customWidth="1"/>
    <col min="6" max="6" width="11.36328125" customWidth="1"/>
  </cols>
  <sheetData>
    <row r="1" spans="1:6" ht="18.5" x14ac:dyDescent="0.45">
      <c r="A1" s="1" t="s">
        <v>229</v>
      </c>
      <c r="B1" s="1"/>
      <c r="C1" s="1"/>
      <c r="D1" s="27"/>
      <c r="E1" s="1"/>
      <c r="F1" s="1"/>
    </row>
    <row r="2" spans="1:6" ht="18.5" x14ac:dyDescent="0.45">
      <c r="A2" s="1" t="s">
        <v>230</v>
      </c>
      <c r="B2" s="1"/>
      <c r="C2" s="1"/>
      <c r="D2" s="27"/>
      <c r="E2" s="1"/>
      <c r="F2" s="1"/>
    </row>
    <row r="3" spans="1:6" ht="18.5" x14ac:dyDescent="0.45">
      <c r="A3" s="1" t="s">
        <v>231</v>
      </c>
      <c r="B3" s="1"/>
      <c r="C3" s="1"/>
      <c r="D3" s="27"/>
      <c r="E3" s="1"/>
      <c r="F3" s="1"/>
    </row>
    <row r="4" spans="1:6" ht="18.5" x14ac:dyDescent="0.45">
      <c r="A4" s="1" t="s">
        <v>234</v>
      </c>
      <c r="B4" s="1"/>
      <c r="C4" s="1"/>
      <c r="D4" s="27"/>
      <c r="E4" s="1"/>
      <c r="F4" s="1"/>
    </row>
    <row r="5" spans="1:6" ht="18.5" x14ac:dyDescent="0.45">
      <c r="A5" s="1" t="s">
        <v>232</v>
      </c>
      <c r="B5" s="1"/>
      <c r="C5" s="1"/>
      <c r="D5" s="27"/>
      <c r="E5" s="1"/>
      <c r="F5" s="1"/>
    </row>
    <row r="6" spans="1:6" ht="18.5" x14ac:dyDescent="0.45">
      <c r="A6" s="1" t="s">
        <v>233</v>
      </c>
      <c r="B6" s="1"/>
      <c r="C6" s="1"/>
      <c r="D6" s="1" t="s">
        <v>193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t="s">
        <v>235</v>
      </c>
      <c r="B8">
        <v>11125</v>
      </c>
      <c r="C8" t="s">
        <v>180</v>
      </c>
      <c r="D8" s="5">
        <v>150000</v>
      </c>
      <c r="E8" s="5">
        <v>150000</v>
      </c>
      <c r="F8" s="5">
        <v>500000</v>
      </c>
    </row>
    <row r="9" spans="1:6" x14ac:dyDescent="0.35">
      <c r="A9" t="s">
        <v>221</v>
      </c>
      <c r="B9">
        <v>10834</v>
      </c>
      <c r="C9" t="s">
        <v>223</v>
      </c>
      <c r="D9" s="5">
        <v>10000</v>
      </c>
      <c r="E9" s="5">
        <f>SUM(E8+D9)</f>
        <v>160000</v>
      </c>
      <c r="F9" s="5">
        <f>F8-D9</f>
        <v>490000</v>
      </c>
    </row>
    <row r="10" spans="1:6" x14ac:dyDescent="0.35">
      <c r="A10" t="s">
        <v>113</v>
      </c>
      <c r="B10">
        <v>380</v>
      </c>
      <c r="C10" t="s">
        <v>223</v>
      </c>
      <c r="D10" s="5">
        <v>10000</v>
      </c>
      <c r="E10" s="5">
        <f t="shared" ref="E10:E29" si="0">SUM(E9+D10)</f>
        <v>170000</v>
      </c>
      <c r="F10" s="5">
        <f t="shared" ref="F10:F29" si="1">F9-D10</f>
        <v>480000</v>
      </c>
    </row>
    <row r="11" spans="1:6" x14ac:dyDescent="0.35">
      <c r="A11" t="s">
        <v>222</v>
      </c>
      <c r="B11">
        <v>12118</v>
      </c>
      <c r="C11" t="s">
        <v>223</v>
      </c>
      <c r="D11" s="5">
        <v>10000</v>
      </c>
      <c r="E11" s="5">
        <f t="shared" si="0"/>
        <v>180000</v>
      </c>
      <c r="F11" s="5">
        <f t="shared" si="1"/>
        <v>470000</v>
      </c>
    </row>
    <row r="12" spans="1:6" x14ac:dyDescent="0.35">
      <c r="A12" t="s">
        <v>141</v>
      </c>
      <c r="B12">
        <v>12620</v>
      </c>
      <c r="C12" t="s">
        <v>223</v>
      </c>
      <c r="D12" s="5">
        <v>10000</v>
      </c>
      <c r="E12" s="5">
        <f t="shared" si="0"/>
        <v>190000</v>
      </c>
      <c r="F12" s="5">
        <f t="shared" si="1"/>
        <v>460000</v>
      </c>
    </row>
    <row r="13" spans="1:6" x14ac:dyDescent="0.35">
      <c r="A13" t="s">
        <v>224</v>
      </c>
      <c r="B13">
        <v>9017</v>
      </c>
      <c r="C13" t="s">
        <v>223</v>
      </c>
      <c r="D13" s="5">
        <v>10000</v>
      </c>
      <c r="E13" s="5">
        <f t="shared" si="0"/>
        <v>200000</v>
      </c>
      <c r="F13" s="5">
        <f t="shared" si="1"/>
        <v>450000</v>
      </c>
    </row>
    <row r="14" spans="1:6" x14ac:dyDescent="0.35">
      <c r="A14" t="s">
        <v>225</v>
      </c>
      <c r="B14">
        <v>9415</v>
      </c>
      <c r="C14" t="s">
        <v>223</v>
      </c>
      <c r="D14" s="5">
        <v>10000</v>
      </c>
      <c r="E14" s="5">
        <f t="shared" si="0"/>
        <v>210000</v>
      </c>
      <c r="F14" s="5">
        <f t="shared" si="1"/>
        <v>440000</v>
      </c>
    </row>
    <row r="15" spans="1:6" x14ac:dyDescent="0.35">
      <c r="A15" t="s">
        <v>198</v>
      </c>
      <c r="B15">
        <v>9791</v>
      </c>
      <c r="C15" t="s">
        <v>223</v>
      </c>
      <c r="D15" s="5">
        <v>10000</v>
      </c>
      <c r="E15" s="5">
        <f t="shared" si="0"/>
        <v>220000</v>
      </c>
      <c r="F15" s="5">
        <f t="shared" si="1"/>
        <v>430000</v>
      </c>
    </row>
    <row r="16" spans="1:6" x14ac:dyDescent="0.35">
      <c r="A16" t="s">
        <v>199</v>
      </c>
      <c r="B16">
        <v>10916</v>
      </c>
      <c r="C16" t="s">
        <v>223</v>
      </c>
      <c r="D16" s="5">
        <v>10000</v>
      </c>
      <c r="E16" s="5">
        <f t="shared" si="0"/>
        <v>230000</v>
      </c>
      <c r="F16" s="5">
        <f t="shared" si="1"/>
        <v>420000</v>
      </c>
    </row>
    <row r="17" spans="1:6" x14ac:dyDescent="0.35">
      <c r="A17" t="s">
        <v>200</v>
      </c>
      <c r="B17">
        <v>10690</v>
      </c>
      <c r="C17" t="s">
        <v>223</v>
      </c>
      <c r="D17" s="5">
        <v>10000</v>
      </c>
      <c r="E17" s="5">
        <f t="shared" si="0"/>
        <v>240000</v>
      </c>
      <c r="F17" s="5">
        <f t="shared" si="1"/>
        <v>410000</v>
      </c>
    </row>
    <row r="18" spans="1:6" x14ac:dyDescent="0.35">
      <c r="A18" t="s">
        <v>228</v>
      </c>
      <c r="B18">
        <v>9978</v>
      </c>
      <c r="C18" t="s">
        <v>223</v>
      </c>
      <c r="D18" s="5">
        <v>10000</v>
      </c>
      <c r="E18" s="5">
        <f t="shared" si="0"/>
        <v>250000</v>
      </c>
      <c r="F18" s="5">
        <f t="shared" si="1"/>
        <v>400000</v>
      </c>
    </row>
    <row r="19" spans="1:6" x14ac:dyDescent="0.35">
      <c r="A19" t="s">
        <v>236</v>
      </c>
      <c r="B19">
        <v>12865</v>
      </c>
      <c r="C19" t="s">
        <v>223</v>
      </c>
      <c r="D19" s="5">
        <v>10000</v>
      </c>
      <c r="E19" s="5">
        <f t="shared" si="0"/>
        <v>260000</v>
      </c>
      <c r="F19" s="5">
        <f t="shared" si="1"/>
        <v>390000</v>
      </c>
    </row>
    <row r="20" spans="1:6" x14ac:dyDescent="0.35">
      <c r="A20" t="s">
        <v>237</v>
      </c>
      <c r="B20">
        <v>12965</v>
      </c>
      <c r="C20" t="s">
        <v>223</v>
      </c>
      <c r="D20" s="5">
        <v>10000</v>
      </c>
      <c r="E20" s="5">
        <f t="shared" si="0"/>
        <v>270000</v>
      </c>
      <c r="F20" s="5">
        <f t="shared" si="1"/>
        <v>380000</v>
      </c>
    </row>
    <row r="21" spans="1:6" x14ac:dyDescent="0.35">
      <c r="A21" t="s">
        <v>203</v>
      </c>
      <c r="B21">
        <v>12791</v>
      </c>
      <c r="C21" t="s">
        <v>223</v>
      </c>
      <c r="D21" s="5">
        <v>10000</v>
      </c>
      <c r="E21" s="5">
        <f t="shared" si="0"/>
        <v>280000</v>
      </c>
      <c r="F21" s="5">
        <f t="shared" si="1"/>
        <v>370000</v>
      </c>
    </row>
    <row r="22" spans="1:6" x14ac:dyDescent="0.35">
      <c r="A22" t="s">
        <v>204</v>
      </c>
      <c r="B22">
        <v>13642</v>
      </c>
      <c r="C22" t="s">
        <v>223</v>
      </c>
      <c r="D22" s="5">
        <v>10000</v>
      </c>
      <c r="E22" s="5">
        <f t="shared" si="0"/>
        <v>290000</v>
      </c>
      <c r="F22" s="5">
        <f t="shared" si="1"/>
        <v>360000</v>
      </c>
    </row>
    <row r="23" spans="1:6" x14ac:dyDescent="0.35">
      <c r="A23" t="s">
        <v>238</v>
      </c>
      <c r="B23">
        <v>13078</v>
      </c>
      <c r="C23" t="s">
        <v>223</v>
      </c>
      <c r="D23" s="5">
        <v>10000</v>
      </c>
      <c r="E23" s="5">
        <f t="shared" si="0"/>
        <v>300000</v>
      </c>
      <c r="F23" s="5">
        <f t="shared" si="1"/>
        <v>350000</v>
      </c>
    </row>
    <row r="24" spans="1:6" x14ac:dyDescent="0.35">
      <c r="A24" t="s">
        <v>205</v>
      </c>
      <c r="B24">
        <v>12618</v>
      </c>
      <c r="C24" t="s">
        <v>223</v>
      </c>
      <c r="D24" s="5">
        <v>10000</v>
      </c>
      <c r="E24" s="5">
        <f t="shared" si="0"/>
        <v>310000</v>
      </c>
      <c r="F24" s="5">
        <f t="shared" si="1"/>
        <v>340000</v>
      </c>
    </row>
    <row r="25" spans="1:6" x14ac:dyDescent="0.35">
      <c r="A25" t="s">
        <v>206</v>
      </c>
      <c r="B25">
        <v>12155</v>
      </c>
      <c r="C25" t="s">
        <v>223</v>
      </c>
      <c r="D25" s="5">
        <v>10000</v>
      </c>
      <c r="E25" s="5">
        <f t="shared" si="0"/>
        <v>320000</v>
      </c>
      <c r="F25" s="5">
        <f t="shared" si="1"/>
        <v>330000</v>
      </c>
    </row>
    <row r="26" spans="1:6" x14ac:dyDescent="0.35">
      <c r="A26" t="s">
        <v>239</v>
      </c>
      <c r="B26">
        <v>12517</v>
      </c>
      <c r="C26" t="s">
        <v>223</v>
      </c>
      <c r="D26" s="5">
        <v>10000</v>
      </c>
      <c r="E26" s="5">
        <f t="shared" si="0"/>
        <v>330000</v>
      </c>
      <c r="F26" s="5">
        <f t="shared" si="1"/>
        <v>320000</v>
      </c>
    </row>
    <row r="27" spans="1:6" x14ac:dyDescent="0.35">
      <c r="A27" t="s">
        <v>208</v>
      </c>
      <c r="B27">
        <v>13943</v>
      </c>
      <c r="C27" t="s">
        <v>223</v>
      </c>
      <c r="D27" s="5">
        <v>10000</v>
      </c>
      <c r="E27" s="5">
        <f t="shared" si="0"/>
        <v>340000</v>
      </c>
      <c r="F27" s="5">
        <f t="shared" si="1"/>
        <v>310000</v>
      </c>
    </row>
    <row r="28" spans="1:6" x14ac:dyDescent="0.35">
      <c r="A28" t="s">
        <v>240</v>
      </c>
      <c r="B28">
        <v>13014</v>
      </c>
      <c r="C28" t="s">
        <v>223</v>
      </c>
      <c r="D28" s="5">
        <v>10000</v>
      </c>
      <c r="E28" s="5">
        <f t="shared" si="0"/>
        <v>350000</v>
      </c>
      <c r="F28" s="5">
        <f t="shared" si="1"/>
        <v>300000</v>
      </c>
    </row>
    <row r="29" spans="1:6" x14ac:dyDescent="0.35">
      <c r="A29" t="s">
        <v>383</v>
      </c>
      <c r="B29">
        <v>13394</v>
      </c>
      <c r="C29" t="s">
        <v>223</v>
      </c>
      <c r="D29" s="5">
        <v>10000</v>
      </c>
      <c r="E29" s="5">
        <f t="shared" si="0"/>
        <v>360000</v>
      </c>
      <c r="F29" s="5">
        <f t="shared" si="1"/>
        <v>290000</v>
      </c>
    </row>
    <row r="30" spans="1:6" x14ac:dyDescent="0.35">
      <c r="A30" t="s">
        <v>437</v>
      </c>
      <c r="B30">
        <v>13674</v>
      </c>
      <c r="C30" t="s">
        <v>223</v>
      </c>
      <c r="D30" s="5">
        <v>10000</v>
      </c>
      <c r="E30" s="5">
        <f>E29+D30</f>
        <v>370000</v>
      </c>
      <c r="F30" s="5">
        <f>F29-D30</f>
        <v>280000</v>
      </c>
    </row>
    <row r="31" spans="1:6" x14ac:dyDescent="0.35">
      <c r="A31" t="s">
        <v>483</v>
      </c>
      <c r="B31">
        <v>1511</v>
      </c>
      <c r="C31" t="s">
        <v>223</v>
      </c>
      <c r="D31" s="5">
        <v>10000</v>
      </c>
      <c r="E31" s="5">
        <f>E30+D31</f>
        <v>380000</v>
      </c>
      <c r="F31" s="5">
        <f>F30-D31</f>
        <v>270000</v>
      </c>
    </row>
    <row r="32" spans="1:6" x14ac:dyDescent="0.35">
      <c r="A32" t="s">
        <v>507</v>
      </c>
      <c r="B32">
        <v>2084</v>
      </c>
      <c r="C32" t="s">
        <v>223</v>
      </c>
      <c r="D32" s="5">
        <v>20000</v>
      </c>
      <c r="E32" s="5">
        <f>E31+D32</f>
        <v>400000</v>
      </c>
      <c r="F32" s="5">
        <f>F31-D32</f>
        <v>250000</v>
      </c>
    </row>
    <row r="141" spans="6:6" x14ac:dyDescent="0.35">
      <c r="F141" t="s">
        <v>509</v>
      </c>
    </row>
    <row r="142" spans="6:6" x14ac:dyDescent="0.35">
      <c r="F142" t="s">
        <v>508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29" workbookViewId="0">
      <selection activeCell="G37" sqref="G37"/>
    </sheetView>
  </sheetViews>
  <sheetFormatPr defaultRowHeight="14.5" x14ac:dyDescent="0.35"/>
  <cols>
    <col min="1" max="1" width="10.453125" bestFit="1" customWidth="1"/>
    <col min="3" max="3" width="14.453125" customWidth="1"/>
    <col min="4" max="4" width="15.26953125" bestFit="1" customWidth="1"/>
    <col min="6" max="6" width="11.36328125" bestFit="1" customWidth="1"/>
  </cols>
  <sheetData>
    <row r="1" spans="1:6" ht="18.5" x14ac:dyDescent="0.45">
      <c r="A1" s="1" t="s">
        <v>19</v>
      </c>
      <c r="B1" s="1"/>
      <c r="C1" s="1"/>
      <c r="D1" s="1"/>
      <c r="E1" s="1"/>
      <c r="F1" s="1"/>
    </row>
    <row r="2" spans="1:6" ht="18.5" x14ac:dyDescent="0.45">
      <c r="A2" s="1" t="s">
        <v>20</v>
      </c>
      <c r="B2" s="1"/>
      <c r="C2" s="1"/>
      <c r="D2" s="1"/>
      <c r="E2" s="1"/>
      <c r="F2" s="1"/>
    </row>
    <row r="3" spans="1:6" ht="18.5" x14ac:dyDescent="0.45">
      <c r="A3" s="1" t="s">
        <v>21</v>
      </c>
      <c r="B3" s="1"/>
      <c r="C3" s="1"/>
      <c r="D3" s="1"/>
      <c r="E3" s="1"/>
      <c r="F3" s="1"/>
    </row>
    <row r="4" spans="1:6" ht="18.5" x14ac:dyDescent="0.45">
      <c r="A4" s="1" t="s">
        <v>172</v>
      </c>
      <c r="B4" s="1"/>
      <c r="C4" s="1"/>
      <c r="D4" s="1"/>
      <c r="E4" s="1"/>
      <c r="F4" s="1"/>
    </row>
    <row r="5" spans="1:6" ht="18.5" x14ac:dyDescent="0.45">
      <c r="A5" s="1" t="s">
        <v>22</v>
      </c>
      <c r="B5" s="1"/>
      <c r="C5" s="1"/>
      <c r="D5" s="1"/>
      <c r="E5" s="1"/>
      <c r="F5" s="1"/>
    </row>
    <row r="6" spans="1:6" ht="18.5" x14ac:dyDescent="0.45">
      <c r="A6" s="1" t="s">
        <v>23</v>
      </c>
      <c r="B6" s="1"/>
      <c r="C6" s="1"/>
      <c r="D6" s="1" t="s">
        <v>11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29">
        <v>45269</v>
      </c>
      <c r="B8" s="9">
        <v>162</v>
      </c>
      <c r="C8" s="9" t="s">
        <v>29</v>
      </c>
      <c r="D8" s="10">
        <v>20000</v>
      </c>
      <c r="E8" s="10">
        <v>20000</v>
      </c>
      <c r="F8" s="10">
        <v>590000</v>
      </c>
    </row>
    <row r="9" spans="1:6" x14ac:dyDescent="0.35">
      <c r="A9" s="29">
        <v>45269</v>
      </c>
      <c r="B9" s="9">
        <v>3579</v>
      </c>
      <c r="C9" s="9" t="s">
        <v>30</v>
      </c>
      <c r="D9" s="10">
        <v>140000</v>
      </c>
      <c r="E9" s="10">
        <f>SUM(E8+D9)</f>
        <v>160000</v>
      </c>
      <c r="F9" s="10">
        <f>F8-D9</f>
        <v>450000</v>
      </c>
    </row>
    <row r="10" spans="1:6" x14ac:dyDescent="0.35">
      <c r="A10" s="9" t="s">
        <v>24</v>
      </c>
      <c r="B10" s="9">
        <v>4894</v>
      </c>
      <c r="C10" s="9" t="s">
        <v>31</v>
      </c>
      <c r="D10" s="10">
        <v>10000</v>
      </c>
      <c r="E10" s="10">
        <f t="shared" ref="E10:E39" si="0">SUM(E9+D10)</f>
        <v>170000</v>
      </c>
      <c r="F10" s="10">
        <f t="shared" ref="F10:F39" si="1">F9-D10</f>
        <v>440000</v>
      </c>
    </row>
    <row r="11" spans="1:6" x14ac:dyDescent="0.35">
      <c r="A11" s="9" t="s">
        <v>25</v>
      </c>
      <c r="B11" s="9">
        <v>5790</v>
      </c>
      <c r="C11" s="9" t="s">
        <v>31</v>
      </c>
      <c r="D11" s="10">
        <v>20000</v>
      </c>
      <c r="E11" s="10">
        <f t="shared" si="0"/>
        <v>190000</v>
      </c>
      <c r="F11" s="10">
        <f t="shared" si="1"/>
        <v>420000</v>
      </c>
    </row>
    <row r="12" spans="1:6" x14ac:dyDescent="0.35">
      <c r="A12" s="29">
        <v>45597</v>
      </c>
      <c r="B12" s="9">
        <v>6099</v>
      </c>
      <c r="C12" s="9" t="s">
        <v>31</v>
      </c>
      <c r="D12" s="10">
        <v>10000</v>
      </c>
      <c r="E12" s="10">
        <f t="shared" si="0"/>
        <v>200000</v>
      </c>
      <c r="F12" s="10">
        <f t="shared" si="1"/>
        <v>410000</v>
      </c>
    </row>
    <row r="13" spans="1:6" x14ac:dyDescent="0.35">
      <c r="A13" s="9" t="s">
        <v>26</v>
      </c>
      <c r="B13" s="9">
        <v>7128</v>
      </c>
      <c r="C13" s="9" t="s">
        <v>31</v>
      </c>
      <c r="D13" s="10">
        <v>10000</v>
      </c>
      <c r="E13" s="10">
        <f t="shared" si="0"/>
        <v>210000</v>
      </c>
      <c r="F13" s="10">
        <f t="shared" si="1"/>
        <v>400000</v>
      </c>
    </row>
    <row r="14" spans="1:6" x14ac:dyDescent="0.35">
      <c r="A14" s="29">
        <v>45599</v>
      </c>
      <c r="B14" s="9">
        <v>7278</v>
      </c>
      <c r="C14" s="9" t="s">
        <v>31</v>
      </c>
      <c r="D14" s="10">
        <v>10000</v>
      </c>
      <c r="E14" s="10">
        <f t="shared" si="0"/>
        <v>220000</v>
      </c>
      <c r="F14" s="10">
        <f t="shared" si="1"/>
        <v>390000</v>
      </c>
    </row>
    <row r="15" spans="1:6" x14ac:dyDescent="0.35">
      <c r="A15" s="29">
        <v>45447</v>
      </c>
      <c r="B15" s="9">
        <v>7689</v>
      </c>
      <c r="C15" s="9" t="s">
        <v>31</v>
      </c>
      <c r="D15" s="10">
        <v>10000</v>
      </c>
      <c r="E15" s="10">
        <f t="shared" si="0"/>
        <v>230000</v>
      </c>
      <c r="F15" s="10">
        <f t="shared" si="1"/>
        <v>380000</v>
      </c>
    </row>
    <row r="16" spans="1:6" x14ac:dyDescent="0.35">
      <c r="A16" s="9" t="s">
        <v>27</v>
      </c>
      <c r="B16" s="9">
        <v>8470</v>
      </c>
      <c r="C16" s="9" t="s">
        <v>31</v>
      </c>
      <c r="D16" s="10">
        <v>10000</v>
      </c>
      <c r="E16" s="10">
        <f t="shared" si="0"/>
        <v>240000</v>
      </c>
      <c r="F16" s="10">
        <f t="shared" si="1"/>
        <v>370000</v>
      </c>
    </row>
    <row r="17" spans="1:6" x14ac:dyDescent="0.35">
      <c r="A17" s="29">
        <v>45632</v>
      </c>
      <c r="B17" s="9">
        <v>9026</v>
      </c>
      <c r="C17" s="9" t="s">
        <v>31</v>
      </c>
      <c r="D17" s="10">
        <v>10000</v>
      </c>
      <c r="E17" s="10">
        <f t="shared" si="0"/>
        <v>250000</v>
      </c>
      <c r="F17" s="10">
        <f t="shared" si="1"/>
        <v>360000</v>
      </c>
    </row>
    <row r="18" spans="1:6" x14ac:dyDescent="0.35">
      <c r="A18" s="9" t="s">
        <v>28</v>
      </c>
      <c r="B18" s="9">
        <v>9537</v>
      </c>
      <c r="C18" s="9" t="s">
        <v>31</v>
      </c>
      <c r="D18" s="10">
        <v>10000</v>
      </c>
      <c r="E18" s="10">
        <f t="shared" si="0"/>
        <v>260000</v>
      </c>
      <c r="F18" s="10">
        <f t="shared" si="1"/>
        <v>350000</v>
      </c>
    </row>
    <row r="19" spans="1:6" x14ac:dyDescent="0.35">
      <c r="A19" s="29">
        <v>45446</v>
      </c>
      <c r="B19" s="9">
        <v>10463</v>
      </c>
      <c r="C19" s="9" t="s">
        <v>31</v>
      </c>
      <c r="D19" s="10">
        <v>10000</v>
      </c>
      <c r="E19" s="10">
        <f t="shared" si="0"/>
        <v>270000</v>
      </c>
      <c r="F19" s="10">
        <f t="shared" si="1"/>
        <v>340000</v>
      </c>
    </row>
    <row r="20" spans="1:6" x14ac:dyDescent="0.35">
      <c r="A20" s="29">
        <v>45513</v>
      </c>
      <c r="B20" s="9">
        <v>10599</v>
      </c>
      <c r="C20" s="9" t="s">
        <v>31</v>
      </c>
      <c r="D20" s="10">
        <v>10000</v>
      </c>
      <c r="E20" s="10">
        <f t="shared" si="0"/>
        <v>280000</v>
      </c>
      <c r="F20" s="10">
        <f t="shared" si="1"/>
        <v>330000</v>
      </c>
    </row>
    <row r="21" spans="1:6" x14ac:dyDescent="0.35">
      <c r="A21" s="9" t="s">
        <v>32</v>
      </c>
      <c r="B21" s="9">
        <v>11632</v>
      </c>
      <c r="C21" s="9" t="s">
        <v>31</v>
      </c>
      <c r="D21" s="10">
        <v>10000</v>
      </c>
      <c r="E21" s="10">
        <f t="shared" si="0"/>
        <v>290000</v>
      </c>
      <c r="F21" s="10">
        <f t="shared" si="1"/>
        <v>320000</v>
      </c>
    </row>
    <row r="22" spans="1:6" x14ac:dyDescent="0.35">
      <c r="A22" s="29">
        <v>45515</v>
      </c>
      <c r="B22" s="9">
        <v>11936</v>
      </c>
      <c r="C22" s="9" t="s">
        <v>31</v>
      </c>
      <c r="D22" s="10">
        <v>10000</v>
      </c>
      <c r="E22" s="10">
        <f t="shared" si="0"/>
        <v>300000</v>
      </c>
      <c r="F22" s="10">
        <f t="shared" si="1"/>
        <v>310000</v>
      </c>
    </row>
    <row r="23" spans="1:6" x14ac:dyDescent="0.35">
      <c r="A23" s="29">
        <v>45608</v>
      </c>
      <c r="B23" s="9">
        <v>12336</v>
      </c>
      <c r="C23" s="9" t="s">
        <v>31</v>
      </c>
      <c r="D23" s="10">
        <v>10000</v>
      </c>
      <c r="E23" s="10">
        <f t="shared" si="0"/>
        <v>310000</v>
      </c>
      <c r="F23" s="10">
        <f t="shared" si="1"/>
        <v>300000</v>
      </c>
    </row>
    <row r="24" spans="1:6" x14ac:dyDescent="0.35">
      <c r="A24" s="29">
        <v>45931</v>
      </c>
      <c r="B24" s="9">
        <v>12993</v>
      </c>
      <c r="C24" s="9" t="s">
        <v>31</v>
      </c>
      <c r="D24" s="10">
        <v>10000</v>
      </c>
      <c r="E24" s="10">
        <f t="shared" si="0"/>
        <v>320000</v>
      </c>
      <c r="F24" s="10">
        <f t="shared" si="1"/>
        <v>290000</v>
      </c>
    </row>
    <row r="25" spans="1:6" x14ac:dyDescent="0.35">
      <c r="A25" s="29">
        <v>45963</v>
      </c>
      <c r="B25" s="9">
        <v>10344</v>
      </c>
      <c r="C25" s="9" t="s">
        <v>31</v>
      </c>
      <c r="D25" s="10">
        <v>10000</v>
      </c>
      <c r="E25" s="10">
        <f t="shared" si="0"/>
        <v>330000</v>
      </c>
      <c r="F25" s="10">
        <f t="shared" si="1"/>
        <v>280000</v>
      </c>
    </row>
    <row r="26" spans="1:6" x14ac:dyDescent="0.35">
      <c r="A26" s="29">
        <v>45811</v>
      </c>
      <c r="B26" s="9">
        <v>10345</v>
      </c>
      <c r="C26" s="9" t="s">
        <v>31</v>
      </c>
      <c r="D26" s="10">
        <v>10000</v>
      </c>
      <c r="E26" s="10">
        <f t="shared" si="0"/>
        <v>340000</v>
      </c>
      <c r="F26" s="10">
        <f t="shared" si="1"/>
        <v>270000</v>
      </c>
    </row>
    <row r="27" spans="1:6" x14ac:dyDescent="0.35">
      <c r="A27" s="29">
        <v>45965</v>
      </c>
      <c r="B27" s="9">
        <v>10346</v>
      </c>
      <c r="C27" s="9" t="s">
        <v>31</v>
      </c>
      <c r="D27" s="10">
        <v>10000</v>
      </c>
      <c r="E27" s="10">
        <f t="shared" si="0"/>
        <v>350000</v>
      </c>
      <c r="F27" s="10">
        <f t="shared" si="1"/>
        <v>260000</v>
      </c>
    </row>
    <row r="28" spans="1:6" x14ac:dyDescent="0.35">
      <c r="A28" s="29">
        <v>45813</v>
      </c>
      <c r="B28" s="9">
        <v>10347</v>
      </c>
      <c r="C28" s="9" t="s">
        <v>31</v>
      </c>
      <c r="D28" s="10">
        <v>10000</v>
      </c>
      <c r="E28" s="10">
        <f t="shared" si="0"/>
        <v>360000</v>
      </c>
      <c r="F28" s="10">
        <f t="shared" si="1"/>
        <v>250000</v>
      </c>
    </row>
    <row r="29" spans="1:6" x14ac:dyDescent="0.35">
      <c r="A29" s="29">
        <v>45912</v>
      </c>
      <c r="B29" s="9">
        <v>13122</v>
      </c>
      <c r="C29" s="9" t="s">
        <v>31</v>
      </c>
      <c r="D29" s="10">
        <v>10000</v>
      </c>
      <c r="E29" s="10">
        <f t="shared" si="0"/>
        <v>370000</v>
      </c>
      <c r="F29" s="10">
        <f t="shared" si="1"/>
        <v>240000</v>
      </c>
    </row>
    <row r="30" spans="1:6" x14ac:dyDescent="0.35">
      <c r="A30" s="29">
        <v>45969</v>
      </c>
      <c r="B30" s="9">
        <v>12498</v>
      </c>
      <c r="C30" s="9" t="s">
        <v>31</v>
      </c>
      <c r="D30" s="10">
        <v>10000</v>
      </c>
      <c r="E30" s="10">
        <f t="shared" si="0"/>
        <v>380000</v>
      </c>
      <c r="F30" s="10">
        <f t="shared" si="1"/>
        <v>230000</v>
      </c>
    </row>
    <row r="31" spans="1:6" x14ac:dyDescent="0.35">
      <c r="A31" s="29">
        <v>45876</v>
      </c>
      <c r="B31" s="9">
        <v>12823</v>
      </c>
      <c r="C31" s="9" t="s">
        <v>31</v>
      </c>
      <c r="D31" s="10">
        <v>10000</v>
      </c>
      <c r="E31" s="10">
        <f t="shared" si="0"/>
        <v>390000</v>
      </c>
      <c r="F31" s="10">
        <f t="shared" si="1"/>
        <v>220000</v>
      </c>
    </row>
    <row r="32" spans="1:6" x14ac:dyDescent="0.35">
      <c r="A32" s="29">
        <v>45847</v>
      </c>
      <c r="B32" s="9">
        <v>12659</v>
      </c>
      <c r="C32" s="9" t="s">
        <v>31</v>
      </c>
      <c r="D32" s="10">
        <v>10000</v>
      </c>
      <c r="E32" s="10">
        <f t="shared" si="0"/>
        <v>400000</v>
      </c>
      <c r="F32" s="10">
        <f t="shared" si="1"/>
        <v>210000</v>
      </c>
    </row>
    <row r="33" spans="1:6" x14ac:dyDescent="0.35">
      <c r="A33" s="29">
        <v>45910</v>
      </c>
      <c r="B33" s="9">
        <v>13729</v>
      </c>
      <c r="C33" s="9" t="s">
        <v>31</v>
      </c>
      <c r="D33" s="10">
        <v>10000</v>
      </c>
      <c r="E33" s="10">
        <f t="shared" si="0"/>
        <v>410000</v>
      </c>
      <c r="F33" s="10">
        <f t="shared" si="1"/>
        <v>200000</v>
      </c>
    </row>
    <row r="34" spans="1:6" x14ac:dyDescent="0.35">
      <c r="A34" s="29">
        <v>45849</v>
      </c>
      <c r="B34" s="9">
        <v>13447</v>
      </c>
      <c r="C34" s="9" t="s">
        <v>31</v>
      </c>
      <c r="D34" s="10">
        <v>10000</v>
      </c>
      <c r="E34" s="10">
        <f t="shared" si="0"/>
        <v>420000</v>
      </c>
      <c r="F34" s="10">
        <f t="shared" si="1"/>
        <v>190000</v>
      </c>
    </row>
    <row r="35" spans="1:6" x14ac:dyDescent="0.35">
      <c r="A35" s="29">
        <v>45912</v>
      </c>
      <c r="B35" s="9">
        <v>13121</v>
      </c>
      <c r="C35" s="9" t="s">
        <v>31</v>
      </c>
      <c r="D35" s="10">
        <v>10000</v>
      </c>
      <c r="E35" s="10">
        <f t="shared" si="0"/>
        <v>430000</v>
      </c>
      <c r="F35" s="10">
        <f t="shared" si="1"/>
        <v>180000</v>
      </c>
    </row>
    <row r="36" spans="1:6" x14ac:dyDescent="0.35">
      <c r="A36" s="29">
        <v>46266</v>
      </c>
      <c r="B36" s="9">
        <v>12034</v>
      </c>
      <c r="C36" s="9" t="s">
        <v>31</v>
      </c>
      <c r="D36" s="10">
        <v>10000</v>
      </c>
      <c r="E36" s="10">
        <f t="shared" si="0"/>
        <v>440000</v>
      </c>
      <c r="F36" s="10">
        <f t="shared" si="1"/>
        <v>170000</v>
      </c>
    </row>
    <row r="37" spans="1:6" x14ac:dyDescent="0.35">
      <c r="A37" s="29">
        <v>46297</v>
      </c>
      <c r="B37" s="9">
        <v>12421</v>
      </c>
      <c r="C37" s="9" t="s">
        <v>31</v>
      </c>
      <c r="D37" s="10">
        <v>10000</v>
      </c>
      <c r="E37" s="10">
        <f t="shared" si="0"/>
        <v>450000</v>
      </c>
      <c r="F37" s="10">
        <f t="shared" si="1"/>
        <v>160000</v>
      </c>
    </row>
    <row r="38" spans="1:6" x14ac:dyDescent="0.35">
      <c r="A38" s="29">
        <v>46237</v>
      </c>
      <c r="B38" s="9">
        <v>12767</v>
      </c>
      <c r="C38" s="9" t="s">
        <v>31</v>
      </c>
      <c r="D38" s="10">
        <v>10000</v>
      </c>
      <c r="E38" s="10">
        <f t="shared" si="0"/>
        <v>460000</v>
      </c>
      <c r="F38" s="10">
        <f t="shared" si="1"/>
        <v>150000</v>
      </c>
    </row>
    <row r="39" spans="1:6" x14ac:dyDescent="0.35">
      <c r="A39" s="29">
        <v>46238</v>
      </c>
      <c r="B39" s="9">
        <v>13175</v>
      </c>
      <c r="C39" s="9" t="s">
        <v>31</v>
      </c>
      <c r="D39" s="10">
        <v>10000</v>
      </c>
      <c r="E39" s="10">
        <f t="shared" si="0"/>
        <v>470000</v>
      </c>
      <c r="F39" s="10">
        <f t="shared" si="1"/>
        <v>140000</v>
      </c>
    </row>
    <row r="40" spans="1:6" x14ac:dyDescent="0.35">
      <c r="A40" t="s">
        <v>435</v>
      </c>
      <c r="B40" s="9">
        <v>12959</v>
      </c>
      <c r="C40" s="9" t="s">
        <v>31</v>
      </c>
      <c r="D40" s="10">
        <v>10000</v>
      </c>
      <c r="E40" s="10">
        <f>E39+D40</f>
        <v>480000</v>
      </c>
      <c r="F40" s="10">
        <f>F39-D40</f>
        <v>130000</v>
      </c>
    </row>
    <row r="41" spans="1:6" x14ac:dyDescent="0.35">
      <c r="A41" t="s">
        <v>434</v>
      </c>
      <c r="B41" s="9">
        <v>13573</v>
      </c>
      <c r="C41" s="9" t="s">
        <v>31</v>
      </c>
      <c r="D41" s="10">
        <v>10000</v>
      </c>
      <c r="E41" s="10">
        <f>E40+D41</f>
        <v>490000</v>
      </c>
      <c r="F41" s="10">
        <f>F40-D41</f>
        <v>120000</v>
      </c>
    </row>
    <row r="42" spans="1:6" x14ac:dyDescent="0.35">
      <c r="A42" s="29">
        <v>46210</v>
      </c>
      <c r="B42" s="9">
        <v>1413</v>
      </c>
      <c r="C42" s="9" t="s">
        <v>31</v>
      </c>
      <c r="D42" s="10">
        <v>10000</v>
      </c>
      <c r="E42" s="10">
        <f>E41+D42</f>
        <v>500000</v>
      </c>
      <c r="F42" s="10">
        <f>F41-D42</f>
        <v>110000</v>
      </c>
    </row>
    <row r="43" spans="1:6" x14ac:dyDescent="0.35">
      <c r="A43" s="29">
        <v>46303</v>
      </c>
      <c r="B43" s="9">
        <v>1718</v>
      </c>
      <c r="C43" s="9" t="s">
        <v>31</v>
      </c>
      <c r="D43" s="10">
        <v>10000</v>
      </c>
      <c r="E43" s="10">
        <f>E42+D43</f>
        <v>510000</v>
      </c>
      <c r="F43" s="10">
        <f>F42-D43</f>
        <v>100000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39" workbookViewId="0">
      <selection activeCell="C34" sqref="C34"/>
    </sheetView>
  </sheetViews>
  <sheetFormatPr defaultRowHeight="14.5" x14ac:dyDescent="0.35"/>
  <cols>
    <col min="1" max="1" width="10.453125" bestFit="1" customWidth="1"/>
    <col min="3" max="3" width="12.7265625" customWidth="1"/>
    <col min="4" max="5" width="10.1796875" customWidth="1"/>
    <col min="6" max="6" width="10.54296875" customWidth="1"/>
  </cols>
  <sheetData>
    <row r="1" spans="1:6" ht="18.5" x14ac:dyDescent="0.45">
      <c r="A1" s="1" t="s">
        <v>33</v>
      </c>
      <c r="B1" s="1"/>
      <c r="C1" s="1"/>
      <c r="D1" s="1"/>
      <c r="E1" s="1"/>
      <c r="F1" s="1"/>
    </row>
    <row r="2" spans="1:6" ht="18.5" x14ac:dyDescent="0.45">
      <c r="A2" s="1" t="s">
        <v>34</v>
      </c>
      <c r="B2" s="1"/>
      <c r="C2" s="1"/>
      <c r="D2" s="1"/>
      <c r="E2" s="1"/>
      <c r="F2" s="1"/>
    </row>
    <row r="3" spans="1:6" ht="18.5" x14ac:dyDescent="0.45">
      <c r="A3" s="1" t="s">
        <v>35</v>
      </c>
      <c r="B3" s="1"/>
      <c r="C3" s="1"/>
      <c r="D3" s="1"/>
      <c r="E3" s="1"/>
      <c r="F3" s="1"/>
    </row>
    <row r="4" spans="1:6" ht="18.5" x14ac:dyDescent="0.45">
      <c r="A4" s="1" t="s">
        <v>329</v>
      </c>
      <c r="B4" s="1"/>
      <c r="C4" s="1"/>
      <c r="D4" s="1"/>
      <c r="E4" s="1"/>
      <c r="F4" s="1"/>
    </row>
    <row r="5" spans="1:6" ht="18.5" x14ac:dyDescent="0.45">
      <c r="A5" s="1" t="s">
        <v>36</v>
      </c>
      <c r="B5" s="1"/>
      <c r="C5" s="1"/>
      <c r="D5" s="1"/>
      <c r="E5" s="1"/>
      <c r="F5" s="1"/>
    </row>
    <row r="6" spans="1:6" ht="18.5" x14ac:dyDescent="0.45">
      <c r="A6" s="1" t="s">
        <v>37</v>
      </c>
      <c r="B6" s="1"/>
      <c r="C6" s="1"/>
      <c r="D6" s="1" t="s">
        <v>38</v>
      </c>
      <c r="E6" s="1"/>
      <c r="F6" s="1"/>
    </row>
    <row r="7" spans="1:6" x14ac:dyDescent="0.35">
      <c r="A7" s="24" t="s">
        <v>0</v>
      </c>
      <c r="B7" s="25" t="s">
        <v>1</v>
      </c>
      <c r="C7" s="25" t="s">
        <v>2</v>
      </c>
      <c r="D7" s="18" t="s">
        <v>3</v>
      </c>
      <c r="E7" s="18" t="s">
        <v>114</v>
      </c>
      <c r="F7" s="19" t="s">
        <v>5</v>
      </c>
    </row>
    <row r="8" spans="1:6" x14ac:dyDescent="0.35">
      <c r="A8" s="16">
        <v>44750</v>
      </c>
      <c r="B8" s="6">
        <v>183</v>
      </c>
      <c r="C8" s="6" t="s">
        <v>18</v>
      </c>
      <c r="D8" s="8">
        <v>10000</v>
      </c>
      <c r="E8" s="8">
        <v>10000</v>
      </c>
      <c r="F8" s="17">
        <v>220000</v>
      </c>
    </row>
    <row r="9" spans="1:6" x14ac:dyDescent="0.35">
      <c r="A9" s="16">
        <v>44843</v>
      </c>
      <c r="B9" s="6">
        <v>172</v>
      </c>
      <c r="C9" s="6" t="s">
        <v>18</v>
      </c>
      <c r="D9" s="8">
        <v>10000</v>
      </c>
      <c r="E9" s="8">
        <f>SUM(E8+D9)</f>
        <v>20000</v>
      </c>
      <c r="F9" s="17">
        <f>F8-D9</f>
        <v>210000</v>
      </c>
    </row>
    <row r="10" spans="1:6" x14ac:dyDescent="0.35">
      <c r="A10" s="15" t="s">
        <v>39</v>
      </c>
      <c r="B10" s="6">
        <v>2589</v>
      </c>
      <c r="C10" s="6" t="s">
        <v>18</v>
      </c>
      <c r="D10" s="8">
        <v>30000</v>
      </c>
      <c r="E10" s="8">
        <f t="shared" ref="E10:E28" si="0">SUM(E9+D10)</f>
        <v>50000</v>
      </c>
      <c r="F10" s="17">
        <f t="shared" ref="F10:F28" si="1">F9-D10</f>
        <v>180000</v>
      </c>
    </row>
    <row r="11" spans="1:6" x14ac:dyDescent="0.35">
      <c r="A11" s="16">
        <v>45263</v>
      </c>
      <c r="B11" s="6">
        <v>1548</v>
      </c>
      <c r="C11" s="6" t="s">
        <v>18</v>
      </c>
      <c r="D11" s="8">
        <v>10000</v>
      </c>
      <c r="E11" s="8">
        <f t="shared" si="0"/>
        <v>60000</v>
      </c>
      <c r="F11" s="17">
        <f t="shared" si="1"/>
        <v>170000</v>
      </c>
    </row>
    <row r="12" spans="1:6" x14ac:dyDescent="0.35">
      <c r="A12" s="15" t="s">
        <v>40</v>
      </c>
      <c r="B12" s="6">
        <v>1343</v>
      </c>
      <c r="C12" s="6" t="s">
        <v>18</v>
      </c>
      <c r="D12" s="8">
        <v>10000</v>
      </c>
      <c r="E12" s="8">
        <f t="shared" si="0"/>
        <v>70000</v>
      </c>
      <c r="F12" s="17">
        <f t="shared" si="1"/>
        <v>160000</v>
      </c>
    </row>
    <row r="13" spans="1:6" x14ac:dyDescent="0.35">
      <c r="A13" s="15" t="s">
        <v>41</v>
      </c>
      <c r="B13" s="6">
        <v>611</v>
      </c>
      <c r="C13" s="6" t="s">
        <v>18</v>
      </c>
      <c r="D13" s="8">
        <v>10000</v>
      </c>
      <c r="E13" s="8">
        <f t="shared" si="0"/>
        <v>80000</v>
      </c>
      <c r="F13" s="17">
        <f t="shared" si="1"/>
        <v>150000</v>
      </c>
    </row>
    <row r="14" spans="1:6" x14ac:dyDescent="0.35">
      <c r="A14" s="16">
        <v>45205</v>
      </c>
      <c r="B14" s="6">
        <v>418</v>
      </c>
      <c r="C14" s="6" t="s">
        <v>18</v>
      </c>
      <c r="D14" s="8">
        <v>10000</v>
      </c>
      <c r="E14" s="8">
        <f t="shared" si="0"/>
        <v>90000</v>
      </c>
      <c r="F14" s="17">
        <f t="shared" si="1"/>
        <v>140000</v>
      </c>
    </row>
    <row r="15" spans="1:6" x14ac:dyDescent="0.35">
      <c r="A15" s="16">
        <v>45211</v>
      </c>
      <c r="B15" s="6">
        <v>421</v>
      </c>
      <c r="C15" s="6" t="s">
        <v>45</v>
      </c>
      <c r="D15" s="8">
        <v>10000</v>
      </c>
      <c r="E15" s="8">
        <f t="shared" si="0"/>
        <v>100000</v>
      </c>
      <c r="F15" s="17">
        <f t="shared" si="1"/>
        <v>130000</v>
      </c>
    </row>
    <row r="16" spans="1:6" x14ac:dyDescent="0.35">
      <c r="A16" s="15" t="s">
        <v>42</v>
      </c>
      <c r="B16" s="6">
        <v>2288</v>
      </c>
      <c r="C16" s="6" t="s">
        <v>18</v>
      </c>
      <c r="D16" s="8">
        <v>10000</v>
      </c>
      <c r="E16" s="8">
        <f t="shared" si="0"/>
        <v>110000</v>
      </c>
      <c r="F16" s="17">
        <f t="shared" si="1"/>
        <v>120000</v>
      </c>
    </row>
    <row r="17" spans="1:6" x14ac:dyDescent="0.35">
      <c r="A17" s="15" t="s">
        <v>43</v>
      </c>
      <c r="B17" s="6">
        <v>2438</v>
      </c>
      <c r="C17" s="6" t="s">
        <v>18</v>
      </c>
      <c r="D17" s="8">
        <v>10000</v>
      </c>
      <c r="E17" s="8">
        <f t="shared" si="0"/>
        <v>120000</v>
      </c>
      <c r="F17" s="17">
        <f t="shared" si="1"/>
        <v>110000</v>
      </c>
    </row>
    <row r="18" spans="1:6" x14ac:dyDescent="0.35">
      <c r="A18" s="15" t="s">
        <v>44</v>
      </c>
      <c r="B18" s="6">
        <v>3688</v>
      </c>
      <c r="C18" s="6" t="s">
        <v>18</v>
      </c>
      <c r="D18" s="8">
        <v>10000</v>
      </c>
      <c r="E18" s="8">
        <f t="shared" si="0"/>
        <v>130000</v>
      </c>
      <c r="F18" s="17">
        <f t="shared" si="1"/>
        <v>100000</v>
      </c>
    </row>
    <row r="19" spans="1:6" x14ac:dyDescent="0.35">
      <c r="A19" s="16">
        <v>45117</v>
      </c>
      <c r="B19" s="6">
        <v>4063</v>
      </c>
      <c r="C19" s="6" t="s">
        <v>18</v>
      </c>
      <c r="D19" s="8">
        <v>10000</v>
      </c>
      <c r="E19" s="8">
        <f t="shared" si="0"/>
        <v>140000</v>
      </c>
      <c r="F19" s="17">
        <f t="shared" si="1"/>
        <v>90000</v>
      </c>
    </row>
    <row r="20" spans="1:6" x14ac:dyDescent="0.35">
      <c r="A20" s="16">
        <v>45241</v>
      </c>
      <c r="B20" s="6">
        <v>4798</v>
      </c>
      <c r="C20" s="6" t="s">
        <v>18</v>
      </c>
      <c r="D20" s="8">
        <v>10000</v>
      </c>
      <c r="E20" s="8">
        <f t="shared" si="0"/>
        <v>150000</v>
      </c>
      <c r="F20" s="17">
        <f t="shared" si="1"/>
        <v>80000</v>
      </c>
    </row>
    <row r="21" spans="1:6" x14ac:dyDescent="0.35">
      <c r="A21" s="16">
        <v>45181</v>
      </c>
      <c r="B21" s="6">
        <v>5393</v>
      </c>
      <c r="C21" s="6" t="s">
        <v>18</v>
      </c>
      <c r="D21" s="8">
        <v>10000</v>
      </c>
      <c r="E21" s="8">
        <f t="shared" si="0"/>
        <v>160000</v>
      </c>
      <c r="F21" s="17">
        <f t="shared" si="1"/>
        <v>70000</v>
      </c>
    </row>
    <row r="22" spans="1:6" x14ac:dyDescent="0.35">
      <c r="A22" s="16">
        <v>45444</v>
      </c>
      <c r="B22" s="6">
        <v>5926</v>
      </c>
      <c r="C22" s="6" t="s">
        <v>18</v>
      </c>
      <c r="D22" s="8">
        <v>10000</v>
      </c>
      <c r="E22" s="8">
        <f t="shared" si="0"/>
        <v>170000</v>
      </c>
      <c r="F22" s="17">
        <f t="shared" si="1"/>
        <v>60000</v>
      </c>
    </row>
    <row r="23" spans="1:6" x14ac:dyDescent="0.35">
      <c r="A23" s="16">
        <v>45567</v>
      </c>
      <c r="B23" s="6">
        <v>7028</v>
      </c>
      <c r="C23" s="6" t="s">
        <v>18</v>
      </c>
      <c r="D23" s="8">
        <v>10000</v>
      </c>
      <c r="E23" s="8">
        <f t="shared" si="0"/>
        <v>180000</v>
      </c>
      <c r="F23" s="17">
        <f t="shared" si="1"/>
        <v>50000</v>
      </c>
    </row>
    <row r="24" spans="1:6" x14ac:dyDescent="0.35">
      <c r="A24" s="16">
        <v>45568</v>
      </c>
      <c r="B24" s="6">
        <v>7244</v>
      </c>
      <c r="C24" s="6" t="s">
        <v>18</v>
      </c>
      <c r="D24" s="8">
        <v>10000</v>
      </c>
      <c r="E24" s="8">
        <f t="shared" si="0"/>
        <v>190000</v>
      </c>
      <c r="F24" s="17">
        <f t="shared" si="1"/>
        <v>40000</v>
      </c>
    </row>
    <row r="25" spans="1:6" x14ac:dyDescent="0.35">
      <c r="A25" s="16">
        <v>45508</v>
      </c>
      <c r="B25" s="6">
        <v>7763</v>
      </c>
      <c r="C25" s="6" t="s">
        <v>18</v>
      </c>
      <c r="D25" s="8">
        <v>10000</v>
      </c>
      <c r="E25" s="8">
        <f t="shared" si="0"/>
        <v>200000</v>
      </c>
      <c r="F25" s="17">
        <f t="shared" si="1"/>
        <v>30000</v>
      </c>
    </row>
    <row r="26" spans="1:6" x14ac:dyDescent="0.35">
      <c r="A26" s="16">
        <v>45601</v>
      </c>
      <c r="B26" s="6">
        <v>8405</v>
      </c>
      <c r="C26" s="6" t="s">
        <v>18</v>
      </c>
      <c r="D26" s="8">
        <v>10000</v>
      </c>
      <c r="E26" s="8">
        <f t="shared" si="0"/>
        <v>210000</v>
      </c>
      <c r="F26" s="17">
        <f t="shared" si="1"/>
        <v>20000</v>
      </c>
    </row>
    <row r="27" spans="1:6" x14ac:dyDescent="0.35">
      <c r="A27" s="16">
        <v>45602</v>
      </c>
      <c r="B27" s="6">
        <v>9023</v>
      </c>
      <c r="C27" s="6" t="s">
        <v>18</v>
      </c>
      <c r="D27" s="8">
        <v>10000</v>
      </c>
      <c r="E27" s="8">
        <f t="shared" si="0"/>
        <v>220000</v>
      </c>
      <c r="F27" s="17">
        <f t="shared" si="1"/>
        <v>10000</v>
      </c>
    </row>
    <row r="28" spans="1:6" x14ac:dyDescent="0.35">
      <c r="A28" s="20">
        <v>45511</v>
      </c>
      <c r="B28" s="21">
        <v>9454</v>
      </c>
      <c r="C28" s="21" t="s">
        <v>18</v>
      </c>
      <c r="D28" s="22">
        <v>10000</v>
      </c>
      <c r="E28" s="22">
        <f t="shared" si="0"/>
        <v>230000</v>
      </c>
      <c r="F28" s="23">
        <f t="shared" si="1"/>
        <v>0</v>
      </c>
    </row>
    <row r="30" spans="1:6" ht="18.5" x14ac:dyDescent="0.45">
      <c r="A30" s="1" t="s">
        <v>449</v>
      </c>
      <c r="B30" s="1"/>
      <c r="C30" s="1"/>
      <c r="D30" s="14"/>
      <c r="E30" s="14"/>
      <c r="F30" s="14"/>
    </row>
    <row r="31" spans="1:6" ht="18.5" x14ac:dyDescent="0.45">
      <c r="A31" t="s">
        <v>450</v>
      </c>
      <c r="B31" s="14"/>
      <c r="C31" s="14"/>
      <c r="D31" s="14"/>
    </row>
    <row r="32" spans="1:6" x14ac:dyDescent="0.35">
      <c r="A32" s="32" t="s">
        <v>451</v>
      </c>
      <c r="B32" s="32">
        <v>790</v>
      </c>
      <c r="C32" s="32" t="s">
        <v>457</v>
      </c>
      <c r="D32" s="33">
        <v>5000</v>
      </c>
      <c r="E32" s="33">
        <v>5000</v>
      </c>
      <c r="F32" s="33">
        <v>445000</v>
      </c>
    </row>
    <row r="33" spans="1:6" x14ac:dyDescent="0.35">
      <c r="A33" s="32" t="s">
        <v>452</v>
      </c>
      <c r="B33" s="32">
        <v>675</v>
      </c>
      <c r="C33" s="32" t="s">
        <v>457</v>
      </c>
      <c r="D33" s="33">
        <v>5000</v>
      </c>
      <c r="E33" s="33">
        <f t="shared" ref="E33:E45" si="2">E32+D33</f>
        <v>10000</v>
      </c>
      <c r="F33" s="33">
        <f t="shared" ref="F33:F41" si="3">F32-D33</f>
        <v>440000</v>
      </c>
    </row>
    <row r="34" spans="1:6" x14ac:dyDescent="0.35">
      <c r="A34" s="32" t="s">
        <v>453</v>
      </c>
      <c r="B34" s="32">
        <v>3068</v>
      </c>
      <c r="C34" s="32" t="s">
        <v>457</v>
      </c>
      <c r="D34" s="33">
        <v>5000</v>
      </c>
      <c r="E34" s="33">
        <f t="shared" si="2"/>
        <v>15000</v>
      </c>
      <c r="F34" s="33">
        <f t="shared" si="3"/>
        <v>435000</v>
      </c>
    </row>
    <row r="35" spans="1:6" x14ac:dyDescent="0.35">
      <c r="A35" s="34">
        <v>45938</v>
      </c>
      <c r="B35" s="32">
        <v>3934</v>
      </c>
      <c r="C35" s="32" t="s">
        <v>457</v>
      </c>
      <c r="D35" s="33">
        <v>5000</v>
      </c>
      <c r="E35" s="33">
        <f t="shared" si="2"/>
        <v>20000</v>
      </c>
      <c r="F35" s="33">
        <f t="shared" si="3"/>
        <v>430000</v>
      </c>
    </row>
    <row r="36" spans="1:6" x14ac:dyDescent="0.35">
      <c r="A36" s="32" t="s">
        <v>454</v>
      </c>
      <c r="B36" s="32">
        <v>3530</v>
      </c>
      <c r="C36" s="32" t="s">
        <v>457</v>
      </c>
      <c r="D36" s="33">
        <v>5000</v>
      </c>
      <c r="E36" s="33">
        <f t="shared" si="2"/>
        <v>25000</v>
      </c>
      <c r="F36" s="33">
        <f t="shared" si="3"/>
        <v>425000</v>
      </c>
    </row>
    <row r="37" spans="1:6" x14ac:dyDescent="0.35">
      <c r="A37" s="34">
        <v>46001</v>
      </c>
      <c r="B37" s="32">
        <v>3304</v>
      </c>
      <c r="C37" s="32" t="s">
        <v>457</v>
      </c>
      <c r="D37" s="33">
        <v>5000</v>
      </c>
      <c r="E37" s="33">
        <f t="shared" si="2"/>
        <v>30000</v>
      </c>
      <c r="F37" s="33">
        <f t="shared" si="3"/>
        <v>420000</v>
      </c>
    </row>
    <row r="38" spans="1:6" x14ac:dyDescent="0.35">
      <c r="A38" s="34">
        <v>45911</v>
      </c>
      <c r="B38" s="32">
        <v>3669</v>
      </c>
      <c r="C38" s="32" t="s">
        <v>457</v>
      </c>
      <c r="D38" s="33">
        <v>5000</v>
      </c>
      <c r="E38" s="33">
        <f t="shared" si="2"/>
        <v>35000</v>
      </c>
      <c r="F38" s="33">
        <f t="shared" si="3"/>
        <v>415000</v>
      </c>
    </row>
    <row r="39" spans="1:6" x14ac:dyDescent="0.35">
      <c r="A39" s="32" t="s">
        <v>455</v>
      </c>
      <c r="B39" s="32">
        <v>5078</v>
      </c>
      <c r="C39" s="32" t="s">
        <v>457</v>
      </c>
      <c r="D39" s="33">
        <v>5000</v>
      </c>
      <c r="E39" s="33">
        <f t="shared" si="2"/>
        <v>40000</v>
      </c>
      <c r="F39" s="33">
        <f t="shared" si="3"/>
        <v>410000</v>
      </c>
    </row>
    <row r="40" spans="1:6" x14ac:dyDescent="0.35">
      <c r="A40" s="34">
        <v>46327</v>
      </c>
      <c r="B40" s="32">
        <v>5268</v>
      </c>
      <c r="C40" s="32" t="s">
        <v>457</v>
      </c>
      <c r="D40" s="33">
        <v>5000</v>
      </c>
      <c r="E40" s="33">
        <f t="shared" si="2"/>
        <v>45000</v>
      </c>
      <c r="F40" s="33">
        <f t="shared" si="3"/>
        <v>405000</v>
      </c>
    </row>
    <row r="41" spans="1:6" x14ac:dyDescent="0.35">
      <c r="A41" s="32" t="s">
        <v>456</v>
      </c>
      <c r="B41" s="32">
        <v>5515</v>
      </c>
      <c r="C41" s="32" t="s">
        <v>457</v>
      </c>
      <c r="D41" s="33">
        <v>5000</v>
      </c>
      <c r="E41" s="33">
        <f t="shared" si="2"/>
        <v>50000</v>
      </c>
      <c r="F41" s="33">
        <f t="shared" si="3"/>
        <v>400000</v>
      </c>
    </row>
    <row r="42" spans="1:6" x14ac:dyDescent="0.35">
      <c r="A42" s="34">
        <v>46329</v>
      </c>
      <c r="B42" s="32">
        <v>5703</v>
      </c>
      <c r="C42" s="32" t="s">
        <v>457</v>
      </c>
      <c r="D42" s="33">
        <v>5000</v>
      </c>
      <c r="E42" s="33">
        <f t="shared" si="2"/>
        <v>55000</v>
      </c>
      <c r="F42" s="33">
        <f t="shared" ref="F42:F47" si="4">F41-D42</f>
        <v>395000</v>
      </c>
    </row>
    <row r="43" spans="1:6" x14ac:dyDescent="0.35">
      <c r="A43" s="34">
        <v>46116</v>
      </c>
      <c r="B43" s="32">
        <v>5828</v>
      </c>
      <c r="C43" s="32" t="s">
        <v>457</v>
      </c>
      <c r="D43" s="33">
        <v>5000</v>
      </c>
      <c r="E43" s="33">
        <f t="shared" si="2"/>
        <v>60000</v>
      </c>
      <c r="F43" s="33">
        <f t="shared" si="4"/>
        <v>390000</v>
      </c>
    </row>
    <row r="44" spans="1:6" x14ac:dyDescent="0.35">
      <c r="A44" s="34">
        <v>46270</v>
      </c>
      <c r="B44" s="32">
        <v>1412</v>
      </c>
      <c r="C44" s="32" t="s">
        <v>457</v>
      </c>
      <c r="D44" s="33">
        <v>5000</v>
      </c>
      <c r="E44" s="33">
        <f t="shared" si="2"/>
        <v>65000</v>
      </c>
      <c r="F44" s="33">
        <f t="shared" si="4"/>
        <v>385000</v>
      </c>
    </row>
    <row r="45" spans="1:6" x14ac:dyDescent="0.35">
      <c r="A45" s="32" t="s">
        <v>458</v>
      </c>
      <c r="B45" s="32">
        <v>1647</v>
      </c>
      <c r="C45" s="32" t="s">
        <v>457</v>
      </c>
      <c r="D45" s="33">
        <v>5000</v>
      </c>
      <c r="E45" s="33">
        <f t="shared" si="2"/>
        <v>70000</v>
      </c>
      <c r="F45" s="33">
        <f t="shared" si="4"/>
        <v>380000</v>
      </c>
    </row>
    <row r="46" spans="1:6" x14ac:dyDescent="0.35">
      <c r="A46" s="34">
        <v>46333</v>
      </c>
      <c r="B46" s="32">
        <v>1808</v>
      </c>
      <c r="C46" s="32" t="s">
        <v>457</v>
      </c>
      <c r="D46" s="33">
        <v>5000</v>
      </c>
      <c r="E46" s="33">
        <f>E45+D46</f>
        <v>75000</v>
      </c>
      <c r="F46" s="33">
        <f t="shared" si="4"/>
        <v>375000</v>
      </c>
    </row>
    <row r="47" spans="1:6" x14ac:dyDescent="0.35">
      <c r="A47" s="34">
        <v>46273</v>
      </c>
      <c r="B47" s="32">
        <v>3751</v>
      </c>
      <c r="C47" s="32" t="s">
        <v>457</v>
      </c>
      <c r="D47" s="33">
        <v>5000</v>
      </c>
      <c r="E47" s="33">
        <f>E46+D47</f>
        <v>80000</v>
      </c>
      <c r="F47" s="33">
        <f t="shared" si="4"/>
        <v>370000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I17" sqref="I17"/>
    </sheetView>
  </sheetViews>
  <sheetFormatPr defaultRowHeight="14.5" x14ac:dyDescent="0.35"/>
  <cols>
    <col min="1" max="1" width="9.453125" bestFit="1" customWidth="1"/>
    <col min="3" max="3" width="11.453125" customWidth="1"/>
    <col min="6" max="6" width="12.08984375" customWidth="1"/>
  </cols>
  <sheetData>
    <row r="1" spans="1:6" ht="18.5" x14ac:dyDescent="0.45">
      <c r="A1" s="1" t="s">
        <v>115</v>
      </c>
      <c r="B1" s="1"/>
      <c r="C1" s="1"/>
      <c r="D1" s="1"/>
      <c r="E1" s="1"/>
      <c r="F1" s="1"/>
    </row>
    <row r="2" spans="1:6" ht="18.5" x14ac:dyDescent="0.45">
      <c r="A2" s="1" t="s">
        <v>116</v>
      </c>
      <c r="B2" s="1"/>
      <c r="C2" s="1"/>
      <c r="D2" s="1"/>
      <c r="E2" s="1"/>
      <c r="F2" s="1"/>
    </row>
    <row r="3" spans="1:6" ht="18.5" x14ac:dyDescent="0.45">
      <c r="A3" s="1" t="s">
        <v>117</v>
      </c>
      <c r="B3" s="1"/>
      <c r="C3" s="1"/>
      <c r="D3" s="1"/>
      <c r="E3" s="1"/>
      <c r="F3" s="1"/>
    </row>
    <row r="4" spans="1:6" ht="18.5" x14ac:dyDescent="0.45">
      <c r="A4" s="1" t="s">
        <v>241</v>
      </c>
      <c r="B4" s="1"/>
      <c r="C4" s="1"/>
      <c r="D4" s="1"/>
      <c r="E4" s="1"/>
      <c r="F4" s="1"/>
    </row>
    <row r="5" spans="1:6" ht="18.5" x14ac:dyDescent="0.45">
      <c r="A5" s="1" t="s">
        <v>77</v>
      </c>
      <c r="B5" s="1"/>
      <c r="C5" s="1"/>
      <c r="D5" s="1"/>
      <c r="E5" s="1"/>
      <c r="F5" s="1"/>
    </row>
    <row r="6" spans="1:6" ht="18.5" x14ac:dyDescent="0.45">
      <c r="A6" s="1" t="s">
        <v>118</v>
      </c>
      <c r="B6" s="1"/>
      <c r="C6" s="1"/>
      <c r="D6" s="1" t="s">
        <v>119</v>
      </c>
      <c r="E6" s="1"/>
      <c r="F6" s="1"/>
    </row>
    <row r="7" spans="1:6" x14ac:dyDescent="0.35">
      <c r="A7" s="24" t="s">
        <v>0</v>
      </c>
      <c r="B7" s="25" t="s">
        <v>1</v>
      </c>
      <c r="C7" s="25" t="s">
        <v>2</v>
      </c>
      <c r="D7" s="18" t="s">
        <v>3</v>
      </c>
      <c r="E7" s="18" t="s">
        <v>114</v>
      </c>
      <c r="F7" s="19" t="s">
        <v>5</v>
      </c>
    </row>
    <row r="8" spans="1:6" x14ac:dyDescent="0.35">
      <c r="A8" t="s">
        <v>120</v>
      </c>
      <c r="B8">
        <v>969</v>
      </c>
      <c r="C8" t="s">
        <v>129</v>
      </c>
      <c r="D8" s="5">
        <v>110000</v>
      </c>
      <c r="E8" s="5">
        <v>110000</v>
      </c>
      <c r="F8" s="5">
        <v>340000</v>
      </c>
    </row>
    <row r="9" spans="1:6" x14ac:dyDescent="0.35">
      <c r="A9" s="4">
        <v>44873</v>
      </c>
      <c r="B9">
        <v>968</v>
      </c>
      <c r="C9" t="s">
        <v>31</v>
      </c>
      <c r="D9" s="5">
        <v>20000</v>
      </c>
      <c r="E9" s="5">
        <f>SUM(E8+D9)</f>
        <v>130000</v>
      </c>
      <c r="F9" s="5">
        <f>F8-D9</f>
        <v>320000</v>
      </c>
    </row>
    <row r="10" spans="1:6" x14ac:dyDescent="0.35">
      <c r="A10" t="s">
        <v>121</v>
      </c>
      <c r="B10">
        <v>2540</v>
      </c>
      <c r="C10" t="s">
        <v>31</v>
      </c>
      <c r="D10" s="5">
        <v>10000</v>
      </c>
      <c r="E10" s="5">
        <f t="shared" ref="E10:E34" si="0">SUM(E9+D10)</f>
        <v>140000</v>
      </c>
      <c r="F10" s="5">
        <f t="shared" ref="F10:F34" si="1">F9-D10</f>
        <v>310000</v>
      </c>
    </row>
    <row r="11" spans="1:6" x14ac:dyDescent="0.35">
      <c r="A11" t="s">
        <v>120</v>
      </c>
      <c r="B11">
        <v>2221</v>
      </c>
      <c r="C11" t="s">
        <v>130</v>
      </c>
      <c r="D11" s="5">
        <v>30000</v>
      </c>
      <c r="E11" s="5">
        <f t="shared" si="0"/>
        <v>170000</v>
      </c>
      <c r="F11" s="5">
        <f t="shared" si="1"/>
        <v>280000</v>
      </c>
    </row>
    <row r="12" spans="1:6" x14ac:dyDescent="0.35">
      <c r="A12" t="s">
        <v>122</v>
      </c>
      <c r="B12">
        <v>2236</v>
      </c>
      <c r="C12" t="s">
        <v>31</v>
      </c>
      <c r="D12" s="5">
        <v>10000</v>
      </c>
      <c r="E12" s="5">
        <f t="shared" si="0"/>
        <v>180000</v>
      </c>
      <c r="F12" s="5">
        <f t="shared" si="1"/>
        <v>270000</v>
      </c>
    </row>
    <row r="13" spans="1:6" x14ac:dyDescent="0.35">
      <c r="A13" t="s">
        <v>123</v>
      </c>
      <c r="B13">
        <v>1041</v>
      </c>
      <c r="C13" t="s">
        <v>31</v>
      </c>
      <c r="D13" s="5">
        <v>10000</v>
      </c>
      <c r="E13" s="5">
        <f t="shared" si="0"/>
        <v>190000</v>
      </c>
      <c r="F13" s="5">
        <f t="shared" si="1"/>
        <v>260000</v>
      </c>
    </row>
    <row r="14" spans="1:6" x14ac:dyDescent="0.35">
      <c r="A14" t="s">
        <v>124</v>
      </c>
      <c r="B14">
        <v>172</v>
      </c>
      <c r="C14" t="s">
        <v>31</v>
      </c>
      <c r="D14" s="5">
        <v>10000</v>
      </c>
      <c r="E14" s="5">
        <f t="shared" si="0"/>
        <v>200000</v>
      </c>
      <c r="F14" s="5">
        <f t="shared" si="1"/>
        <v>250000</v>
      </c>
    </row>
    <row r="15" spans="1:6" x14ac:dyDescent="0.35">
      <c r="A15" t="s">
        <v>125</v>
      </c>
      <c r="B15">
        <v>993</v>
      </c>
      <c r="C15" t="s">
        <v>31</v>
      </c>
      <c r="D15" s="5">
        <v>10000</v>
      </c>
      <c r="E15" s="5">
        <f t="shared" si="0"/>
        <v>210000</v>
      </c>
      <c r="F15" s="5">
        <f t="shared" si="1"/>
        <v>240000</v>
      </c>
    </row>
    <row r="16" spans="1:6" x14ac:dyDescent="0.35">
      <c r="A16" t="s">
        <v>126</v>
      </c>
      <c r="B16">
        <v>2425</v>
      </c>
      <c r="C16" t="s">
        <v>31</v>
      </c>
      <c r="D16" s="5">
        <v>10000</v>
      </c>
      <c r="E16" s="5">
        <f t="shared" si="0"/>
        <v>220000</v>
      </c>
      <c r="F16" s="5">
        <f t="shared" si="1"/>
        <v>230000</v>
      </c>
    </row>
    <row r="17" spans="1:6" x14ac:dyDescent="0.35">
      <c r="A17" t="s">
        <v>127</v>
      </c>
      <c r="B17">
        <v>3623</v>
      </c>
      <c r="C17" t="s">
        <v>31</v>
      </c>
      <c r="D17" s="5">
        <v>20000</v>
      </c>
      <c r="E17" s="5">
        <f t="shared" si="0"/>
        <v>240000</v>
      </c>
      <c r="F17" s="5">
        <f t="shared" si="1"/>
        <v>210000</v>
      </c>
    </row>
    <row r="18" spans="1:6" x14ac:dyDescent="0.35">
      <c r="A18" t="s">
        <v>128</v>
      </c>
      <c r="B18">
        <v>4390</v>
      </c>
      <c r="C18" t="s">
        <v>31</v>
      </c>
      <c r="D18" s="5">
        <v>10000</v>
      </c>
      <c r="E18" s="5">
        <f t="shared" si="0"/>
        <v>250000</v>
      </c>
      <c r="F18" s="5">
        <f t="shared" si="1"/>
        <v>200000</v>
      </c>
    </row>
    <row r="19" spans="1:6" x14ac:dyDescent="0.35">
      <c r="A19" t="s">
        <v>131</v>
      </c>
      <c r="B19">
        <v>4945</v>
      </c>
      <c r="C19" t="s">
        <v>31</v>
      </c>
      <c r="D19" s="5">
        <v>10000</v>
      </c>
      <c r="E19" s="5">
        <f t="shared" si="0"/>
        <v>260000</v>
      </c>
      <c r="F19" s="5">
        <f t="shared" si="1"/>
        <v>190000</v>
      </c>
    </row>
    <row r="20" spans="1:6" x14ac:dyDescent="0.35">
      <c r="A20" t="s">
        <v>132</v>
      </c>
      <c r="B20">
        <v>5569</v>
      </c>
      <c r="C20" t="s">
        <v>31</v>
      </c>
      <c r="D20" s="5">
        <v>10000</v>
      </c>
      <c r="E20" s="5">
        <f t="shared" si="0"/>
        <v>270000</v>
      </c>
      <c r="F20" s="5">
        <f t="shared" si="1"/>
        <v>180000</v>
      </c>
    </row>
    <row r="21" spans="1:6" x14ac:dyDescent="0.35">
      <c r="A21" t="s">
        <v>133</v>
      </c>
      <c r="B21">
        <v>6343</v>
      </c>
      <c r="C21" t="s">
        <v>31</v>
      </c>
      <c r="D21" s="5">
        <v>10000</v>
      </c>
      <c r="E21" s="5">
        <f t="shared" si="0"/>
        <v>280000</v>
      </c>
      <c r="F21" s="5">
        <f t="shared" si="1"/>
        <v>170000</v>
      </c>
    </row>
    <row r="22" spans="1:6" x14ac:dyDescent="0.35">
      <c r="A22" t="s">
        <v>134</v>
      </c>
      <c r="B22">
        <v>7178</v>
      </c>
      <c r="C22" t="s">
        <v>31</v>
      </c>
      <c r="D22" s="5">
        <v>10000</v>
      </c>
      <c r="E22" s="5">
        <f t="shared" si="0"/>
        <v>290000</v>
      </c>
      <c r="F22" s="5">
        <f t="shared" si="1"/>
        <v>160000</v>
      </c>
    </row>
    <row r="23" spans="1:6" x14ac:dyDescent="0.35">
      <c r="A23" t="s">
        <v>135</v>
      </c>
      <c r="B23">
        <v>7470</v>
      </c>
      <c r="C23" t="s">
        <v>31</v>
      </c>
      <c r="D23" s="5">
        <v>10000</v>
      </c>
      <c r="E23" s="5">
        <f t="shared" si="0"/>
        <v>300000</v>
      </c>
      <c r="F23" s="5">
        <f t="shared" si="1"/>
        <v>150000</v>
      </c>
    </row>
    <row r="24" spans="1:6" x14ac:dyDescent="0.35">
      <c r="A24" t="s">
        <v>136</v>
      </c>
      <c r="B24">
        <v>9058</v>
      </c>
      <c r="C24" t="s">
        <v>31</v>
      </c>
      <c r="D24" s="5">
        <v>10000</v>
      </c>
      <c r="E24" s="5">
        <f t="shared" si="0"/>
        <v>310000</v>
      </c>
      <c r="F24" s="5">
        <f t="shared" si="1"/>
        <v>140000</v>
      </c>
    </row>
    <row r="25" spans="1:6" x14ac:dyDescent="0.35">
      <c r="A25" t="s">
        <v>137</v>
      </c>
      <c r="B25">
        <v>8569</v>
      </c>
      <c r="C25" t="s">
        <v>31</v>
      </c>
      <c r="D25" s="5">
        <v>10000</v>
      </c>
      <c r="E25" s="5">
        <f t="shared" si="0"/>
        <v>320000</v>
      </c>
      <c r="F25" s="5">
        <f t="shared" si="1"/>
        <v>130000</v>
      </c>
    </row>
    <row r="26" spans="1:6" x14ac:dyDescent="0.35">
      <c r="A26" t="s">
        <v>138</v>
      </c>
      <c r="B26">
        <v>9059</v>
      </c>
      <c r="C26" t="s">
        <v>31</v>
      </c>
      <c r="D26" s="5">
        <v>10000</v>
      </c>
      <c r="E26" s="5">
        <f t="shared" si="0"/>
        <v>330000</v>
      </c>
      <c r="F26" s="5">
        <f t="shared" si="1"/>
        <v>120000</v>
      </c>
    </row>
    <row r="27" spans="1:6" x14ac:dyDescent="0.35">
      <c r="A27" t="s">
        <v>87</v>
      </c>
      <c r="B27">
        <v>10610</v>
      </c>
      <c r="C27" t="s">
        <v>31</v>
      </c>
      <c r="D27" s="5">
        <v>10000</v>
      </c>
      <c r="E27" s="5">
        <f t="shared" si="0"/>
        <v>340000</v>
      </c>
      <c r="F27" s="5">
        <f t="shared" si="1"/>
        <v>110000</v>
      </c>
    </row>
    <row r="28" spans="1:6" x14ac:dyDescent="0.35">
      <c r="A28" s="4">
        <v>45513</v>
      </c>
      <c r="B28">
        <v>10611</v>
      </c>
      <c r="C28" t="s">
        <v>31</v>
      </c>
      <c r="D28" s="5">
        <v>20000</v>
      </c>
      <c r="E28" s="5">
        <f t="shared" si="0"/>
        <v>360000</v>
      </c>
      <c r="F28" s="5">
        <f t="shared" si="1"/>
        <v>90000</v>
      </c>
    </row>
    <row r="29" spans="1:6" x14ac:dyDescent="0.35">
      <c r="A29" t="s">
        <v>139</v>
      </c>
      <c r="B29">
        <v>10313</v>
      </c>
      <c r="C29" t="s">
        <v>31</v>
      </c>
      <c r="D29" s="5">
        <v>10000</v>
      </c>
      <c r="E29" s="5">
        <f t="shared" si="0"/>
        <v>370000</v>
      </c>
      <c r="F29" s="5">
        <f t="shared" si="1"/>
        <v>80000</v>
      </c>
    </row>
    <row r="30" spans="1:6" x14ac:dyDescent="0.35">
      <c r="A30" t="s">
        <v>140</v>
      </c>
      <c r="B30">
        <v>12147</v>
      </c>
      <c r="C30" t="s">
        <v>31</v>
      </c>
      <c r="D30" s="5">
        <v>10000</v>
      </c>
      <c r="E30" s="5">
        <f t="shared" si="0"/>
        <v>380000</v>
      </c>
      <c r="F30" s="5">
        <f t="shared" si="1"/>
        <v>70000</v>
      </c>
    </row>
    <row r="31" spans="1:6" x14ac:dyDescent="0.35">
      <c r="A31" t="s">
        <v>141</v>
      </c>
      <c r="B31">
        <v>12147</v>
      </c>
      <c r="C31" t="s">
        <v>31</v>
      </c>
      <c r="D31" s="5">
        <v>10000</v>
      </c>
      <c r="E31" s="5">
        <f t="shared" si="0"/>
        <v>390000</v>
      </c>
      <c r="F31" s="5">
        <f t="shared" si="1"/>
        <v>60000</v>
      </c>
    </row>
    <row r="32" spans="1:6" x14ac:dyDescent="0.35">
      <c r="A32" s="4">
        <v>45993</v>
      </c>
      <c r="B32">
        <v>9374</v>
      </c>
      <c r="C32" t="s">
        <v>31</v>
      </c>
      <c r="D32" s="5">
        <v>20000</v>
      </c>
      <c r="E32" s="5">
        <f t="shared" si="0"/>
        <v>410000</v>
      </c>
      <c r="F32" s="5">
        <f t="shared" si="1"/>
        <v>40000</v>
      </c>
    </row>
    <row r="33" spans="1:6" x14ac:dyDescent="0.35">
      <c r="A33" t="s">
        <v>64</v>
      </c>
      <c r="B33">
        <v>10148</v>
      </c>
      <c r="C33" t="s">
        <v>31</v>
      </c>
      <c r="D33" s="5">
        <v>20000</v>
      </c>
      <c r="E33" s="5">
        <f t="shared" si="0"/>
        <v>430000</v>
      </c>
      <c r="F33" s="5">
        <f t="shared" si="1"/>
        <v>20000</v>
      </c>
    </row>
    <row r="34" spans="1:6" x14ac:dyDescent="0.35">
      <c r="A34" t="s">
        <v>142</v>
      </c>
      <c r="B34">
        <v>9960</v>
      </c>
      <c r="C34" t="s">
        <v>31</v>
      </c>
      <c r="D34" s="5">
        <v>20000</v>
      </c>
      <c r="E34" s="5">
        <f t="shared" si="0"/>
        <v>450000</v>
      </c>
      <c r="F34" s="5">
        <f t="shared" si="1"/>
        <v>0</v>
      </c>
    </row>
    <row r="36" spans="1:6" x14ac:dyDescent="0.35">
      <c r="A36" t="s">
        <v>242</v>
      </c>
      <c r="B36">
        <v>5488</v>
      </c>
      <c r="C36" t="s">
        <v>243</v>
      </c>
      <c r="D36" s="5">
        <v>130000</v>
      </c>
      <c r="E36" s="5">
        <v>130000</v>
      </c>
      <c r="F36" t="s">
        <v>188</v>
      </c>
    </row>
    <row r="37" spans="1:6" ht="18.5" x14ac:dyDescent="0.45">
      <c r="A37" s="14" t="s">
        <v>244</v>
      </c>
      <c r="B37" s="14"/>
      <c r="C37" s="14"/>
      <c r="D37" s="14"/>
      <c r="E37" s="14"/>
      <c r="F37" s="1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34" workbookViewId="0">
      <selection activeCell="C46" sqref="C46"/>
    </sheetView>
  </sheetViews>
  <sheetFormatPr defaultRowHeight="14.5" x14ac:dyDescent="0.35"/>
  <cols>
    <col min="1" max="1" width="10.453125" bestFit="1" customWidth="1"/>
    <col min="3" max="3" width="14.08984375" customWidth="1"/>
    <col min="4" max="4" width="8.26953125" customWidth="1"/>
    <col min="5" max="5" width="9.08984375" customWidth="1"/>
    <col min="6" max="6" width="9.453125" customWidth="1"/>
  </cols>
  <sheetData>
    <row r="1" spans="1:6" ht="18.5" x14ac:dyDescent="0.45">
      <c r="A1" s="1" t="s">
        <v>46</v>
      </c>
      <c r="B1" s="1"/>
      <c r="C1" s="1"/>
      <c r="D1" s="1"/>
      <c r="E1" s="1"/>
      <c r="F1" s="1"/>
    </row>
    <row r="2" spans="1:6" ht="18.5" x14ac:dyDescent="0.45">
      <c r="A2" s="1" t="s">
        <v>47</v>
      </c>
      <c r="B2" s="1"/>
      <c r="C2" s="1"/>
      <c r="D2" s="1"/>
      <c r="E2" s="1"/>
      <c r="F2" s="1"/>
    </row>
    <row r="3" spans="1:6" ht="18.5" x14ac:dyDescent="0.45">
      <c r="A3" s="1" t="s">
        <v>48</v>
      </c>
      <c r="B3" s="1"/>
      <c r="C3" s="1"/>
      <c r="D3" s="1"/>
      <c r="E3" s="1"/>
      <c r="F3" s="1"/>
    </row>
    <row r="4" spans="1:6" ht="18.5" x14ac:dyDescent="0.45">
      <c r="A4" s="1" t="s">
        <v>328</v>
      </c>
      <c r="B4" s="1"/>
      <c r="C4" s="1"/>
      <c r="D4" s="1"/>
      <c r="E4" s="1"/>
      <c r="F4" s="1"/>
    </row>
    <row r="5" spans="1:6" ht="18.5" x14ac:dyDescent="0.45">
      <c r="A5" s="1" t="s">
        <v>49</v>
      </c>
      <c r="B5" s="1"/>
      <c r="C5" s="1"/>
      <c r="D5" s="1"/>
      <c r="E5" s="1"/>
      <c r="F5" s="1"/>
    </row>
    <row r="6" spans="1:6" ht="18.5" x14ac:dyDescent="0.45">
      <c r="A6" s="1" t="s">
        <v>50</v>
      </c>
      <c r="B6" s="1"/>
      <c r="C6" s="1"/>
      <c r="D6" s="1" t="s">
        <v>38</v>
      </c>
      <c r="E6" s="1"/>
      <c r="F6" s="1"/>
    </row>
    <row r="7" spans="1:6" x14ac:dyDescent="0.35">
      <c r="A7" s="24" t="s">
        <v>0</v>
      </c>
      <c r="B7" s="25" t="s">
        <v>1</v>
      </c>
      <c r="C7" s="25" t="s">
        <v>2</v>
      </c>
      <c r="D7" s="18" t="s">
        <v>3</v>
      </c>
      <c r="E7" s="18" t="s">
        <v>114</v>
      </c>
      <c r="F7" s="19" t="s">
        <v>5</v>
      </c>
    </row>
    <row r="8" spans="1:6" x14ac:dyDescent="0.35">
      <c r="A8" s="16">
        <v>44750</v>
      </c>
      <c r="B8" s="6">
        <v>182</v>
      </c>
      <c r="C8" s="6" t="s">
        <v>52</v>
      </c>
      <c r="D8" s="8">
        <v>10000</v>
      </c>
      <c r="E8" s="8">
        <v>10000</v>
      </c>
      <c r="F8" s="17">
        <v>240000</v>
      </c>
    </row>
    <row r="9" spans="1:6" x14ac:dyDescent="0.35">
      <c r="A9" s="16">
        <v>44843</v>
      </c>
      <c r="B9" s="6">
        <v>174</v>
      </c>
      <c r="C9" s="6" t="s">
        <v>52</v>
      </c>
      <c r="D9" s="8">
        <v>10000</v>
      </c>
      <c r="E9" s="8">
        <f>SUM(E8+D9)</f>
        <v>20000</v>
      </c>
      <c r="F9" s="17">
        <f>F8-D9</f>
        <v>230000</v>
      </c>
    </row>
    <row r="10" spans="1:6" x14ac:dyDescent="0.35">
      <c r="A10" s="15" t="s">
        <v>51</v>
      </c>
      <c r="B10" s="6">
        <v>1545</v>
      </c>
      <c r="C10" s="6" t="s">
        <v>45</v>
      </c>
      <c r="D10" s="8">
        <v>40000</v>
      </c>
      <c r="E10" s="8">
        <f t="shared" ref="E10:E29" si="0">SUM(E9+D10)</f>
        <v>60000</v>
      </c>
      <c r="F10" s="17">
        <f t="shared" ref="F10:F29" si="1">F9-D10</f>
        <v>190000</v>
      </c>
    </row>
    <row r="11" spans="1:6" x14ac:dyDescent="0.35">
      <c r="A11" s="16">
        <v>45263</v>
      </c>
      <c r="B11" s="6">
        <v>1546</v>
      </c>
      <c r="C11" s="6" t="s">
        <v>52</v>
      </c>
      <c r="D11" s="8">
        <v>10000</v>
      </c>
      <c r="E11" s="8">
        <f t="shared" si="0"/>
        <v>70000</v>
      </c>
      <c r="F11" s="17">
        <f t="shared" si="1"/>
        <v>180000</v>
      </c>
    </row>
    <row r="12" spans="1:6" x14ac:dyDescent="0.35">
      <c r="A12" s="15" t="s">
        <v>40</v>
      </c>
      <c r="B12" s="6">
        <v>1344</v>
      </c>
      <c r="C12" s="6" t="s">
        <v>52</v>
      </c>
      <c r="D12" s="8">
        <v>10000</v>
      </c>
      <c r="E12" s="8">
        <f t="shared" si="0"/>
        <v>80000</v>
      </c>
      <c r="F12" s="17">
        <f t="shared" si="1"/>
        <v>170000</v>
      </c>
    </row>
    <row r="13" spans="1:6" x14ac:dyDescent="0.35">
      <c r="A13" s="15" t="s">
        <v>41</v>
      </c>
      <c r="B13" s="6">
        <v>613</v>
      </c>
      <c r="C13" s="6" t="s">
        <v>52</v>
      </c>
      <c r="D13" s="8">
        <v>10000</v>
      </c>
      <c r="E13" s="8">
        <f t="shared" si="0"/>
        <v>90000</v>
      </c>
      <c r="F13" s="17">
        <f t="shared" si="1"/>
        <v>160000</v>
      </c>
    </row>
    <row r="14" spans="1:6" x14ac:dyDescent="0.35">
      <c r="A14" s="16">
        <v>45205</v>
      </c>
      <c r="B14" s="6">
        <v>420</v>
      </c>
      <c r="C14" s="6" t="s">
        <v>52</v>
      </c>
      <c r="D14" s="8">
        <v>10000</v>
      </c>
      <c r="E14" s="8">
        <f t="shared" si="0"/>
        <v>100000</v>
      </c>
      <c r="F14" s="17">
        <f t="shared" si="1"/>
        <v>150000</v>
      </c>
    </row>
    <row r="15" spans="1:6" x14ac:dyDescent="0.35">
      <c r="A15" s="15" t="s">
        <v>42</v>
      </c>
      <c r="B15" s="6">
        <v>2787</v>
      </c>
      <c r="C15" s="6" t="s">
        <v>52</v>
      </c>
      <c r="D15" s="8">
        <v>10000</v>
      </c>
      <c r="E15" s="8">
        <f t="shared" si="0"/>
        <v>110000</v>
      </c>
      <c r="F15" s="17">
        <f t="shared" si="1"/>
        <v>140000</v>
      </c>
    </row>
    <row r="16" spans="1:6" x14ac:dyDescent="0.35">
      <c r="A16" s="15" t="s">
        <v>43</v>
      </c>
      <c r="B16" s="6">
        <v>2439</v>
      </c>
      <c r="C16" s="6" t="s">
        <v>52</v>
      </c>
      <c r="D16" s="8">
        <v>10000</v>
      </c>
      <c r="E16" s="8">
        <f t="shared" si="0"/>
        <v>120000</v>
      </c>
      <c r="F16" s="17">
        <f t="shared" si="1"/>
        <v>130000</v>
      </c>
    </row>
    <row r="17" spans="1:6" x14ac:dyDescent="0.35">
      <c r="A17" s="15" t="s">
        <v>44</v>
      </c>
      <c r="B17" s="6">
        <v>3086</v>
      </c>
      <c r="C17" s="6" t="s">
        <v>52</v>
      </c>
      <c r="D17" s="8">
        <v>10000</v>
      </c>
      <c r="E17" s="8">
        <f t="shared" si="0"/>
        <v>130000</v>
      </c>
      <c r="F17" s="17">
        <f t="shared" si="1"/>
        <v>120000</v>
      </c>
    </row>
    <row r="18" spans="1:6" x14ac:dyDescent="0.35">
      <c r="A18" s="16">
        <v>45117</v>
      </c>
      <c r="B18" s="6">
        <v>4064</v>
      </c>
      <c r="C18" s="6" t="s">
        <v>52</v>
      </c>
      <c r="D18" s="8">
        <v>10000</v>
      </c>
      <c r="E18" s="8">
        <f t="shared" si="0"/>
        <v>140000</v>
      </c>
      <c r="F18" s="17">
        <f t="shared" si="1"/>
        <v>110000</v>
      </c>
    </row>
    <row r="19" spans="1:6" x14ac:dyDescent="0.35">
      <c r="A19" s="16">
        <v>45241</v>
      </c>
      <c r="B19" s="6">
        <v>4796</v>
      </c>
      <c r="C19" s="6" t="s">
        <v>52</v>
      </c>
      <c r="D19" s="8">
        <v>10000</v>
      </c>
      <c r="E19" s="8">
        <f t="shared" si="0"/>
        <v>150000</v>
      </c>
      <c r="F19" s="17">
        <f t="shared" si="1"/>
        <v>100000</v>
      </c>
    </row>
    <row r="20" spans="1:6" x14ac:dyDescent="0.35">
      <c r="A20" s="16">
        <v>45181</v>
      </c>
      <c r="B20" s="6">
        <v>5391</v>
      </c>
      <c r="C20" s="6" t="s">
        <v>52</v>
      </c>
      <c r="D20" s="8">
        <v>10000</v>
      </c>
      <c r="E20" s="8">
        <f t="shared" si="0"/>
        <v>160000</v>
      </c>
      <c r="F20" s="17">
        <f t="shared" si="1"/>
        <v>90000</v>
      </c>
    </row>
    <row r="21" spans="1:6" x14ac:dyDescent="0.35">
      <c r="A21" s="16">
        <v>45444</v>
      </c>
      <c r="B21" s="6">
        <v>5925</v>
      </c>
      <c r="C21" s="6" t="s">
        <v>52</v>
      </c>
      <c r="D21" s="8">
        <v>10000</v>
      </c>
      <c r="E21" s="8">
        <f t="shared" si="0"/>
        <v>170000</v>
      </c>
      <c r="F21" s="17">
        <f t="shared" si="1"/>
        <v>80000</v>
      </c>
    </row>
    <row r="22" spans="1:6" x14ac:dyDescent="0.35">
      <c r="A22" s="16">
        <v>45567</v>
      </c>
      <c r="B22" s="6">
        <v>7029</v>
      </c>
      <c r="C22" s="6" t="s">
        <v>52</v>
      </c>
      <c r="D22" s="8">
        <v>10000</v>
      </c>
      <c r="E22" s="8">
        <f t="shared" si="0"/>
        <v>180000</v>
      </c>
      <c r="F22" s="17">
        <f t="shared" si="1"/>
        <v>70000</v>
      </c>
    </row>
    <row r="23" spans="1:6" x14ac:dyDescent="0.35">
      <c r="A23" s="16">
        <v>45568</v>
      </c>
      <c r="B23" s="6">
        <v>7242</v>
      </c>
      <c r="C23" s="6" t="s">
        <v>52</v>
      </c>
      <c r="D23" s="8">
        <v>10000</v>
      </c>
      <c r="E23" s="8">
        <f t="shared" si="0"/>
        <v>190000</v>
      </c>
      <c r="F23" s="17">
        <f t="shared" si="1"/>
        <v>60000</v>
      </c>
    </row>
    <row r="24" spans="1:6" x14ac:dyDescent="0.35">
      <c r="A24" s="16">
        <v>45508</v>
      </c>
      <c r="B24" s="6">
        <v>7764</v>
      </c>
      <c r="C24" s="6" t="s">
        <v>52</v>
      </c>
      <c r="D24" s="8">
        <v>10000</v>
      </c>
      <c r="E24" s="8">
        <f t="shared" si="0"/>
        <v>200000</v>
      </c>
      <c r="F24" s="17">
        <f t="shared" si="1"/>
        <v>50000</v>
      </c>
    </row>
    <row r="25" spans="1:6" x14ac:dyDescent="0.35">
      <c r="A25" s="16">
        <v>45601</v>
      </c>
      <c r="B25" s="6">
        <v>8404</v>
      </c>
      <c r="C25" s="6" t="s">
        <v>52</v>
      </c>
      <c r="D25" s="8">
        <v>10000</v>
      </c>
      <c r="E25" s="8">
        <f t="shared" si="0"/>
        <v>210000</v>
      </c>
      <c r="F25" s="17">
        <f t="shared" si="1"/>
        <v>40000</v>
      </c>
    </row>
    <row r="26" spans="1:6" x14ac:dyDescent="0.35">
      <c r="A26" s="16">
        <v>45602</v>
      </c>
      <c r="B26" s="6">
        <v>9022</v>
      </c>
      <c r="C26" s="6" t="s">
        <v>52</v>
      </c>
      <c r="D26" s="8">
        <v>10000</v>
      </c>
      <c r="E26" s="8">
        <f t="shared" si="0"/>
        <v>220000</v>
      </c>
      <c r="F26" s="17">
        <f t="shared" si="1"/>
        <v>30000</v>
      </c>
    </row>
    <row r="27" spans="1:6" x14ac:dyDescent="0.35">
      <c r="A27" s="16">
        <v>45511</v>
      </c>
      <c r="B27" s="6">
        <v>9452</v>
      </c>
      <c r="C27" s="6" t="s">
        <v>52</v>
      </c>
      <c r="D27" s="8">
        <v>10000</v>
      </c>
      <c r="E27" s="8">
        <f t="shared" si="0"/>
        <v>230000</v>
      </c>
      <c r="F27" s="17">
        <f t="shared" si="1"/>
        <v>20000</v>
      </c>
    </row>
    <row r="28" spans="1:6" x14ac:dyDescent="0.35">
      <c r="A28" s="15" t="s">
        <v>53</v>
      </c>
      <c r="B28" s="6">
        <v>11110</v>
      </c>
      <c r="C28" s="6" t="s">
        <v>52</v>
      </c>
      <c r="D28" s="8">
        <v>10000</v>
      </c>
      <c r="E28" s="8">
        <f t="shared" si="0"/>
        <v>240000</v>
      </c>
      <c r="F28" s="17">
        <f t="shared" si="1"/>
        <v>10000</v>
      </c>
    </row>
    <row r="29" spans="1:6" x14ac:dyDescent="0.35">
      <c r="A29" s="20">
        <v>45605</v>
      </c>
      <c r="B29" s="21">
        <v>370</v>
      </c>
      <c r="C29" s="21" t="s">
        <v>52</v>
      </c>
      <c r="D29" s="22">
        <v>10000</v>
      </c>
      <c r="E29" s="22">
        <f t="shared" si="0"/>
        <v>250000</v>
      </c>
      <c r="F29" s="23">
        <f t="shared" si="1"/>
        <v>0</v>
      </c>
    </row>
    <row r="31" spans="1:6" ht="18.5" x14ac:dyDescent="0.45">
      <c r="A31" s="1" t="s">
        <v>459</v>
      </c>
      <c r="B31" s="1"/>
      <c r="C31" s="1"/>
      <c r="D31" s="14"/>
      <c r="E31" s="14"/>
      <c r="F31" s="14"/>
    </row>
    <row r="32" spans="1:6" x14ac:dyDescent="0.35">
      <c r="A32" s="6" t="s">
        <v>451</v>
      </c>
      <c r="B32" s="2">
        <v>792</v>
      </c>
      <c r="C32" s="2" t="s">
        <v>314</v>
      </c>
      <c r="D32" s="3">
        <v>5000</v>
      </c>
      <c r="E32" s="3">
        <v>5000</v>
      </c>
      <c r="F32" s="3">
        <v>445000</v>
      </c>
    </row>
    <row r="33" spans="1:6" x14ac:dyDescent="0.35">
      <c r="A33" s="6" t="s">
        <v>452</v>
      </c>
      <c r="B33" s="2">
        <v>677</v>
      </c>
      <c r="C33" s="2" t="s">
        <v>314</v>
      </c>
      <c r="D33" s="3">
        <v>5000</v>
      </c>
      <c r="E33" s="3">
        <f t="shared" ref="E33:E47" si="2">E32+D33</f>
        <v>10000</v>
      </c>
      <c r="F33" s="3">
        <f t="shared" ref="F33:F47" si="3">F32-D33</f>
        <v>440000</v>
      </c>
    </row>
    <row r="34" spans="1:6" x14ac:dyDescent="0.35">
      <c r="A34" s="6" t="s">
        <v>453</v>
      </c>
      <c r="B34" s="2">
        <v>3087</v>
      </c>
      <c r="C34" s="2" t="s">
        <v>314</v>
      </c>
      <c r="D34" s="3">
        <v>5000</v>
      </c>
      <c r="E34" s="3">
        <f t="shared" si="2"/>
        <v>15000</v>
      </c>
      <c r="F34" s="3">
        <f t="shared" si="3"/>
        <v>435000</v>
      </c>
    </row>
    <row r="35" spans="1:6" x14ac:dyDescent="0.35">
      <c r="A35" s="7">
        <v>45938</v>
      </c>
      <c r="B35" s="2">
        <v>3935</v>
      </c>
      <c r="C35" s="2" t="s">
        <v>314</v>
      </c>
      <c r="D35" s="3">
        <v>5000</v>
      </c>
      <c r="E35" s="3">
        <f t="shared" si="2"/>
        <v>20000</v>
      </c>
      <c r="F35" s="3">
        <f t="shared" si="3"/>
        <v>430000</v>
      </c>
    </row>
    <row r="36" spans="1:6" x14ac:dyDescent="0.35">
      <c r="A36" s="6" t="s">
        <v>454</v>
      </c>
      <c r="B36" s="2">
        <v>3529</v>
      </c>
      <c r="C36" s="2" t="s">
        <v>314</v>
      </c>
      <c r="D36" s="3">
        <v>5000</v>
      </c>
      <c r="E36" s="3">
        <f t="shared" si="2"/>
        <v>25000</v>
      </c>
      <c r="F36" s="3">
        <f t="shared" si="3"/>
        <v>425000</v>
      </c>
    </row>
    <row r="37" spans="1:6" x14ac:dyDescent="0.35">
      <c r="A37" s="7">
        <v>46001</v>
      </c>
      <c r="B37" s="2">
        <v>3303</v>
      </c>
      <c r="C37" s="2" t="s">
        <v>314</v>
      </c>
      <c r="D37" s="3">
        <v>5000</v>
      </c>
      <c r="E37" s="3">
        <f t="shared" si="2"/>
        <v>30000</v>
      </c>
      <c r="F37" s="3">
        <f t="shared" si="3"/>
        <v>420000</v>
      </c>
    </row>
    <row r="38" spans="1:6" x14ac:dyDescent="0.35">
      <c r="A38" s="7">
        <v>45911</v>
      </c>
      <c r="B38" s="2">
        <v>3669</v>
      </c>
      <c r="C38" s="2" t="s">
        <v>314</v>
      </c>
      <c r="D38" s="3">
        <v>5000</v>
      </c>
      <c r="E38" s="3">
        <f t="shared" si="2"/>
        <v>35000</v>
      </c>
      <c r="F38" s="3">
        <f t="shared" si="3"/>
        <v>415000</v>
      </c>
    </row>
    <row r="39" spans="1:6" x14ac:dyDescent="0.35">
      <c r="A39" s="6" t="s">
        <v>455</v>
      </c>
      <c r="B39" s="2">
        <v>5076</v>
      </c>
      <c r="C39" s="2" t="s">
        <v>314</v>
      </c>
      <c r="D39" s="3">
        <v>5000</v>
      </c>
      <c r="E39" s="3">
        <f t="shared" si="2"/>
        <v>40000</v>
      </c>
      <c r="F39" s="3">
        <f t="shared" si="3"/>
        <v>410000</v>
      </c>
    </row>
    <row r="40" spans="1:6" x14ac:dyDescent="0.35">
      <c r="A40" s="7">
        <v>46327</v>
      </c>
      <c r="B40" s="2">
        <v>5267</v>
      </c>
      <c r="C40" s="2" t="s">
        <v>314</v>
      </c>
      <c r="D40" s="3">
        <v>5000</v>
      </c>
      <c r="E40" s="3">
        <f t="shared" si="2"/>
        <v>45000</v>
      </c>
      <c r="F40" s="3">
        <f t="shared" si="3"/>
        <v>405000</v>
      </c>
    </row>
    <row r="41" spans="1:6" x14ac:dyDescent="0.35">
      <c r="A41" s="6" t="s">
        <v>456</v>
      </c>
      <c r="B41" s="2">
        <v>5516</v>
      </c>
      <c r="C41" s="2" t="s">
        <v>314</v>
      </c>
      <c r="D41" s="3">
        <v>5000</v>
      </c>
      <c r="E41" s="3">
        <f t="shared" si="2"/>
        <v>50000</v>
      </c>
      <c r="F41" s="3">
        <f t="shared" si="3"/>
        <v>400000</v>
      </c>
    </row>
    <row r="42" spans="1:6" x14ac:dyDescent="0.35">
      <c r="A42" s="7">
        <v>46329</v>
      </c>
      <c r="B42" s="2">
        <v>5702</v>
      </c>
      <c r="C42" s="2" t="s">
        <v>314</v>
      </c>
      <c r="D42" s="3">
        <v>5000</v>
      </c>
      <c r="E42" s="3">
        <f t="shared" si="2"/>
        <v>55000</v>
      </c>
      <c r="F42" s="3">
        <f t="shared" si="3"/>
        <v>395000</v>
      </c>
    </row>
    <row r="43" spans="1:6" x14ac:dyDescent="0.35">
      <c r="A43" s="12">
        <v>46116</v>
      </c>
      <c r="B43" s="2">
        <v>5829</v>
      </c>
      <c r="C43" s="2" t="s">
        <v>314</v>
      </c>
      <c r="D43" s="3">
        <v>5000</v>
      </c>
      <c r="E43" s="3">
        <f t="shared" si="2"/>
        <v>60000</v>
      </c>
      <c r="F43" s="3">
        <f t="shared" si="3"/>
        <v>390000</v>
      </c>
    </row>
    <row r="44" spans="1:6" x14ac:dyDescent="0.35">
      <c r="A44" s="12">
        <v>46270</v>
      </c>
      <c r="B44" s="2">
        <v>1413</v>
      </c>
      <c r="C44" s="2" t="s">
        <v>314</v>
      </c>
      <c r="D44" s="3">
        <v>5000</v>
      </c>
      <c r="E44" s="3">
        <f t="shared" si="2"/>
        <v>65000</v>
      </c>
      <c r="F44" s="3">
        <f t="shared" si="3"/>
        <v>385000</v>
      </c>
    </row>
    <row r="45" spans="1:6" x14ac:dyDescent="0.35">
      <c r="A45" s="2" t="s">
        <v>458</v>
      </c>
      <c r="B45" s="2">
        <v>1646</v>
      </c>
      <c r="C45" s="2" t="s">
        <v>314</v>
      </c>
      <c r="D45" s="3">
        <v>5000</v>
      </c>
      <c r="E45" s="3">
        <f t="shared" si="2"/>
        <v>70000</v>
      </c>
      <c r="F45" s="3">
        <f t="shared" si="3"/>
        <v>380000</v>
      </c>
    </row>
    <row r="46" spans="1:6" x14ac:dyDescent="0.35">
      <c r="A46" s="12">
        <v>46333</v>
      </c>
      <c r="B46" s="2">
        <v>1809</v>
      </c>
      <c r="C46" s="2" t="s">
        <v>314</v>
      </c>
      <c r="D46" s="3">
        <v>5000</v>
      </c>
      <c r="E46" s="3">
        <f t="shared" si="2"/>
        <v>75000</v>
      </c>
      <c r="F46" s="3">
        <f t="shared" si="3"/>
        <v>375000</v>
      </c>
    </row>
    <row r="47" spans="1:6" x14ac:dyDescent="0.35">
      <c r="A47" s="12">
        <v>46273</v>
      </c>
      <c r="B47" s="2">
        <v>3752</v>
      </c>
      <c r="C47" s="2" t="s">
        <v>314</v>
      </c>
      <c r="D47" s="3">
        <v>5000</v>
      </c>
      <c r="E47" s="3">
        <f t="shared" si="2"/>
        <v>80000</v>
      </c>
      <c r="F47" s="3">
        <f t="shared" si="3"/>
        <v>370000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selection activeCell="K34" sqref="K34"/>
    </sheetView>
  </sheetViews>
  <sheetFormatPr defaultRowHeight="14.5" x14ac:dyDescent="0.35"/>
  <cols>
    <col min="1" max="1" width="10.453125" bestFit="1" customWidth="1"/>
    <col min="3" max="3" width="11.90625" customWidth="1"/>
    <col min="6" max="6" width="11.36328125" customWidth="1"/>
  </cols>
  <sheetData>
    <row r="1" spans="1:6" ht="18.5" x14ac:dyDescent="0.45">
      <c r="A1" s="1" t="s">
        <v>54</v>
      </c>
      <c r="B1" s="1"/>
      <c r="C1" s="1"/>
      <c r="D1" s="1"/>
      <c r="E1" s="1"/>
      <c r="F1" s="1"/>
    </row>
    <row r="2" spans="1:6" ht="18.5" x14ac:dyDescent="0.45">
      <c r="A2" s="1" t="s">
        <v>55</v>
      </c>
      <c r="B2" s="1"/>
      <c r="C2" s="1"/>
      <c r="D2" s="1"/>
      <c r="E2" s="1"/>
      <c r="F2" s="1"/>
    </row>
    <row r="3" spans="1:6" ht="18.5" x14ac:dyDescent="0.45">
      <c r="A3" s="1" t="s">
        <v>56</v>
      </c>
      <c r="B3" s="1"/>
      <c r="C3" s="1"/>
      <c r="D3" s="1"/>
      <c r="E3" s="1"/>
      <c r="F3" s="1"/>
    </row>
    <row r="4" spans="1:6" ht="18.5" x14ac:dyDescent="0.45">
      <c r="A4" s="1" t="s">
        <v>330</v>
      </c>
      <c r="B4" s="1"/>
      <c r="C4" s="1"/>
      <c r="D4" s="1"/>
      <c r="E4" s="1"/>
      <c r="F4" s="1"/>
    </row>
    <row r="5" spans="1:6" ht="18.5" x14ac:dyDescent="0.45">
      <c r="A5" s="1" t="s">
        <v>57</v>
      </c>
      <c r="B5" s="1"/>
      <c r="C5" s="1"/>
      <c r="D5" s="1"/>
      <c r="E5" s="1"/>
      <c r="F5" s="1"/>
    </row>
    <row r="6" spans="1:6" ht="18.5" x14ac:dyDescent="0.45">
      <c r="A6" s="1" t="s">
        <v>58</v>
      </c>
      <c r="B6" s="1"/>
      <c r="C6" s="1"/>
      <c r="D6" s="1" t="s">
        <v>11</v>
      </c>
      <c r="E6" s="1"/>
      <c r="F6" s="1"/>
    </row>
    <row r="7" spans="1:6" x14ac:dyDescent="0.35">
      <c r="A7" s="6" t="s">
        <v>0</v>
      </c>
      <c r="B7" s="6" t="s">
        <v>1</v>
      </c>
      <c r="C7" s="6" t="s">
        <v>2</v>
      </c>
      <c r="D7" s="6" t="s">
        <v>3</v>
      </c>
      <c r="E7" s="6" t="s">
        <v>3</v>
      </c>
      <c r="F7" s="6" t="s">
        <v>5</v>
      </c>
    </row>
    <row r="8" spans="1:6" x14ac:dyDescent="0.35">
      <c r="A8" s="7">
        <v>45211</v>
      </c>
      <c r="B8" s="6">
        <v>5447</v>
      </c>
      <c r="C8" s="6" t="s">
        <v>62</v>
      </c>
      <c r="D8" s="8">
        <v>100000</v>
      </c>
      <c r="E8" s="8">
        <v>100000</v>
      </c>
      <c r="F8" s="8">
        <v>500000</v>
      </c>
    </row>
    <row r="9" spans="1:6" x14ac:dyDescent="0.35">
      <c r="A9" s="7">
        <v>45211</v>
      </c>
      <c r="B9" s="6">
        <v>5448</v>
      </c>
      <c r="C9" s="6" t="s">
        <v>18</v>
      </c>
      <c r="D9" s="6">
        <v>7000</v>
      </c>
      <c r="E9" s="8">
        <f>SUM(E8+D9)</f>
        <v>107000</v>
      </c>
      <c r="F9" s="8">
        <f>F8-D9</f>
        <v>493000</v>
      </c>
    </row>
    <row r="10" spans="1:6" x14ac:dyDescent="0.35">
      <c r="A10" s="6" t="s">
        <v>59</v>
      </c>
      <c r="B10" s="6">
        <v>6396</v>
      </c>
      <c r="C10" s="6" t="s">
        <v>18</v>
      </c>
      <c r="D10" s="6">
        <v>7000</v>
      </c>
      <c r="E10" s="8">
        <f t="shared" ref="E10:E35" si="0">SUM(E9+D10)</f>
        <v>114000</v>
      </c>
      <c r="F10" s="8">
        <f t="shared" ref="F10:F35" si="1">F9-D10</f>
        <v>486000</v>
      </c>
    </row>
    <row r="11" spans="1:6" x14ac:dyDescent="0.35">
      <c r="A11" s="7">
        <v>45568</v>
      </c>
      <c r="B11" s="6">
        <v>7245</v>
      </c>
      <c r="C11" s="6" t="s">
        <v>18</v>
      </c>
      <c r="D11" s="6">
        <v>7000</v>
      </c>
      <c r="E11" s="8">
        <f t="shared" si="0"/>
        <v>121000</v>
      </c>
      <c r="F11" s="8">
        <f t="shared" si="1"/>
        <v>479000</v>
      </c>
    </row>
    <row r="12" spans="1:6" x14ac:dyDescent="0.35">
      <c r="A12" s="7">
        <v>45295</v>
      </c>
      <c r="B12" s="6">
        <v>7646</v>
      </c>
      <c r="C12" s="6" t="s">
        <v>18</v>
      </c>
      <c r="D12" s="6">
        <v>7000</v>
      </c>
      <c r="E12" s="8">
        <f t="shared" si="0"/>
        <v>128000</v>
      </c>
      <c r="F12" s="8">
        <f t="shared" si="1"/>
        <v>472000</v>
      </c>
    </row>
    <row r="13" spans="1:6" x14ac:dyDescent="0.35">
      <c r="A13" s="6" t="s">
        <v>60</v>
      </c>
      <c r="B13" s="6">
        <v>7863</v>
      </c>
      <c r="C13" s="6" t="s">
        <v>18</v>
      </c>
      <c r="D13" s="6">
        <v>7000</v>
      </c>
      <c r="E13" s="8">
        <f t="shared" si="0"/>
        <v>135000</v>
      </c>
      <c r="F13" s="8">
        <f t="shared" si="1"/>
        <v>465000</v>
      </c>
    </row>
    <row r="14" spans="1:6" x14ac:dyDescent="0.35">
      <c r="A14" s="7">
        <v>45417</v>
      </c>
      <c r="B14" s="6">
        <v>8264</v>
      </c>
      <c r="C14" s="6" t="s">
        <v>18</v>
      </c>
      <c r="D14" s="6">
        <v>7000</v>
      </c>
      <c r="E14" s="8">
        <f t="shared" si="0"/>
        <v>142000</v>
      </c>
      <c r="F14" s="8">
        <f t="shared" si="1"/>
        <v>458000</v>
      </c>
    </row>
    <row r="15" spans="1:6" x14ac:dyDescent="0.35">
      <c r="A15" s="6" t="s">
        <v>61</v>
      </c>
      <c r="B15" s="6">
        <v>9616</v>
      </c>
      <c r="C15" s="6" t="s">
        <v>18</v>
      </c>
      <c r="D15" s="8">
        <v>14000</v>
      </c>
      <c r="E15" s="8">
        <f t="shared" si="0"/>
        <v>156000</v>
      </c>
      <c r="F15" s="8">
        <f t="shared" si="1"/>
        <v>444000</v>
      </c>
    </row>
    <row r="16" spans="1:6" x14ac:dyDescent="0.35">
      <c r="A16" s="7">
        <v>45604</v>
      </c>
      <c r="B16" s="6">
        <v>11087</v>
      </c>
      <c r="C16" s="6" t="s">
        <v>18</v>
      </c>
      <c r="D16" s="6">
        <v>7000</v>
      </c>
      <c r="E16" s="8">
        <f t="shared" si="0"/>
        <v>163000</v>
      </c>
      <c r="F16" s="8">
        <f t="shared" si="1"/>
        <v>437000</v>
      </c>
    </row>
    <row r="17" spans="1:6" x14ac:dyDescent="0.35">
      <c r="A17" s="7">
        <v>45576</v>
      </c>
      <c r="B17" s="6">
        <v>11969</v>
      </c>
      <c r="C17" s="6" t="s">
        <v>18</v>
      </c>
      <c r="D17" s="8">
        <v>14000</v>
      </c>
      <c r="E17" s="8">
        <f t="shared" si="0"/>
        <v>177000</v>
      </c>
      <c r="F17" s="8">
        <f t="shared" si="1"/>
        <v>423000</v>
      </c>
    </row>
    <row r="18" spans="1:6" x14ac:dyDescent="0.35">
      <c r="A18" s="7">
        <v>45455</v>
      </c>
      <c r="B18" s="6">
        <v>12203</v>
      </c>
      <c r="C18" s="6" t="s">
        <v>18</v>
      </c>
      <c r="D18" s="8">
        <v>14000</v>
      </c>
      <c r="E18" s="8">
        <f t="shared" si="0"/>
        <v>191000</v>
      </c>
      <c r="F18" s="8">
        <f t="shared" si="1"/>
        <v>409000</v>
      </c>
    </row>
    <row r="19" spans="1:6" x14ac:dyDescent="0.35">
      <c r="A19" s="6" t="s">
        <v>63</v>
      </c>
      <c r="B19" s="6">
        <v>9054</v>
      </c>
      <c r="C19" s="6" t="s">
        <v>18</v>
      </c>
      <c r="D19" s="8">
        <v>7000</v>
      </c>
      <c r="E19" s="8">
        <f t="shared" si="0"/>
        <v>198000</v>
      </c>
      <c r="F19" s="8">
        <f t="shared" si="1"/>
        <v>402000</v>
      </c>
    </row>
    <row r="20" spans="1:6" x14ac:dyDescent="0.35">
      <c r="A20" s="7">
        <v>45902</v>
      </c>
      <c r="B20" s="6">
        <v>9289</v>
      </c>
      <c r="C20" s="6" t="s">
        <v>18</v>
      </c>
      <c r="D20" s="8">
        <v>7000</v>
      </c>
      <c r="E20" s="8">
        <f t="shared" si="0"/>
        <v>205000</v>
      </c>
      <c r="F20" s="8">
        <f t="shared" si="1"/>
        <v>395000</v>
      </c>
    </row>
    <row r="21" spans="1:6" x14ac:dyDescent="0.35">
      <c r="A21" s="7">
        <v>45691</v>
      </c>
      <c r="B21" s="6">
        <v>9593</v>
      </c>
      <c r="C21" s="6" t="s">
        <v>18</v>
      </c>
      <c r="D21" s="8">
        <v>7000</v>
      </c>
      <c r="E21" s="8">
        <f t="shared" si="0"/>
        <v>212000</v>
      </c>
      <c r="F21" s="8">
        <f t="shared" si="1"/>
        <v>388000</v>
      </c>
    </row>
    <row r="22" spans="1:6" x14ac:dyDescent="0.35">
      <c r="A22" s="6" t="s">
        <v>64</v>
      </c>
      <c r="B22" s="6">
        <v>10157</v>
      </c>
      <c r="C22" s="6" t="s">
        <v>18</v>
      </c>
      <c r="D22" s="8">
        <v>7000</v>
      </c>
      <c r="E22" s="8">
        <f t="shared" si="0"/>
        <v>219000</v>
      </c>
      <c r="F22" s="8">
        <f t="shared" si="1"/>
        <v>381000</v>
      </c>
    </row>
    <row r="23" spans="1:6" x14ac:dyDescent="0.35">
      <c r="A23" s="7">
        <v>45966</v>
      </c>
      <c r="B23" s="6">
        <v>10934</v>
      </c>
      <c r="C23" s="6" t="s">
        <v>18</v>
      </c>
      <c r="D23" s="8">
        <v>7000</v>
      </c>
      <c r="E23" s="8">
        <f t="shared" si="0"/>
        <v>226000</v>
      </c>
      <c r="F23" s="8">
        <f t="shared" si="1"/>
        <v>374000</v>
      </c>
    </row>
    <row r="24" spans="1:6" x14ac:dyDescent="0.35">
      <c r="A24" s="6" t="s">
        <v>65</v>
      </c>
      <c r="B24" s="6">
        <v>10496</v>
      </c>
      <c r="C24" s="6" t="s">
        <v>18</v>
      </c>
      <c r="D24" s="8">
        <v>7000</v>
      </c>
      <c r="E24" s="8">
        <f t="shared" si="0"/>
        <v>233000</v>
      </c>
      <c r="F24" s="8">
        <f t="shared" si="1"/>
        <v>367000</v>
      </c>
    </row>
    <row r="25" spans="1:6" x14ac:dyDescent="0.35">
      <c r="A25" s="7">
        <v>45784</v>
      </c>
      <c r="B25" s="6">
        <v>12065</v>
      </c>
      <c r="C25" s="6" t="s">
        <v>18</v>
      </c>
      <c r="D25" s="8">
        <v>7000</v>
      </c>
      <c r="E25" s="8">
        <f t="shared" si="0"/>
        <v>240000</v>
      </c>
      <c r="F25" s="8">
        <f t="shared" si="1"/>
        <v>360000</v>
      </c>
    </row>
    <row r="26" spans="1:6" x14ac:dyDescent="0.35">
      <c r="A26" s="6" t="s">
        <v>66</v>
      </c>
      <c r="B26" s="6">
        <v>12923</v>
      </c>
      <c r="C26" s="6" t="s">
        <v>18</v>
      </c>
      <c r="D26" s="8">
        <v>7000</v>
      </c>
      <c r="E26" s="8">
        <f t="shared" si="0"/>
        <v>247000</v>
      </c>
      <c r="F26" s="8">
        <f t="shared" si="1"/>
        <v>353000</v>
      </c>
    </row>
    <row r="27" spans="1:6" x14ac:dyDescent="0.35">
      <c r="A27" s="7" t="s">
        <v>67</v>
      </c>
      <c r="B27" s="6">
        <v>12752</v>
      </c>
      <c r="C27" s="6" t="s">
        <v>18</v>
      </c>
      <c r="D27" s="8">
        <v>7000</v>
      </c>
      <c r="E27" s="8">
        <f t="shared" si="0"/>
        <v>254000</v>
      </c>
      <c r="F27" s="8">
        <f t="shared" si="1"/>
        <v>346000</v>
      </c>
    </row>
    <row r="28" spans="1:6" x14ac:dyDescent="0.35">
      <c r="A28" s="7">
        <v>46001</v>
      </c>
      <c r="B28" s="6">
        <v>13779</v>
      </c>
      <c r="C28" s="6" t="s">
        <v>18</v>
      </c>
      <c r="D28" s="8">
        <v>7000</v>
      </c>
      <c r="E28" s="8">
        <f t="shared" si="0"/>
        <v>261000</v>
      </c>
      <c r="F28" s="8">
        <f t="shared" si="1"/>
        <v>339000</v>
      </c>
    </row>
    <row r="29" spans="1:6" x14ac:dyDescent="0.35">
      <c r="A29" s="7" t="s">
        <v>68</v>
      </c>
      <c r="B29" s="6">
        <v>13085</v>
      </c>
      <c r="C29" s="6" t="s">
        <v>18</v>
      </c>
      <c r="D29" s="8">
        <v>7000</v>
      </c>
      <c r="E29" s="8">
        <f t="shared" si="0"/>
        <v>268000</v>
      </c>
      <c r="F29" s="8">
        <f t="shared" si="1"/>
        <v>332000</v>
      </c>
    </row>
    <row r="30" spans="1:6" x14ac:dyDescent="0.35">
      <c r="A30" s="7" t="s">
        <v>69</v>
      </c>
      <c r="B30" s="6">
        <v>12605</v>
      </c>
      <c r="C30" s="6" t="s">
        <v>18</v>
      </c>
      <c r="D30" s="8">
        <v>7000</v>
      </c>
      <c r="E30" s="8">
        <f t="shared" si="0"/>
        <v>275000</v>
      </c>
      <c r="F30" s="8">
        <f t="shared" si="1"/>
        <v>325000</v>
      </c>
    </row>
    <row r="31" spans="1:6" x14ac:dyDescent="0.35">
      <c r="A31" s="7" t="s">
        <v>70</v>
      </c>
      <c r="B31" s="6">
        <v>12183</v>
      </c>
      <c r="C31" s="6" t="s">
        <v>18</v>
      </c>
      <c r="D31" s="8">
        <v>7000</v>
      </c>
      <c r="E31" s="8">
        <f t="shared" si="0"/>
        <v>282000</v>
      </c>
      <c r="F31" s="8">
        <f t="shared" si="1"/>
        <v>318000</v>
      </c>
    </row>
    <row r="32" spans="1:6" x14ac:dyDescent="0.35">
      <c r="A32" s="7" t="s">
        <v>71</v>
      </c>
      <c r="B32" s="6">
        <v>12480</v>
      </c>
      <c r="C32" s="6" t="s">
        <v>18</v>
      </c>
      <c r="D32" s="8">
        <v>7000</v>
      </c>
      <c r="E32" s="8">
        <f t="shared" si="0"/>
        <v>289000</v>
      </c>
      <c r="F32" s="8">
        <f t="shared" si="1"/>
        <v>311000</v>
      </c>
    </row>
    <row r="33" spans="1:11" x14ac:dyDescent="0.35">
      <c r="A33" s="7" t="s">
        <v>72</v>
      </c>
      <c r="B33" s="6">
        <v>13922</v>
      </c>
      <c r="C33" s="6" t="s">
        <v>18</v>
      </c>
      <c r="D33" s="8">
        <v>7000</v>
      </c>
      <c r="E33" s="8">
        <f t="shared" si="0"/>
        <v>296000</v>
      </c>
      <c r="F33" s="8">
        <f t="shared" si="1"/>
        <v>304000</v>
      </c>
    </row>
    <row r="34" spans="1:11" x14ac:dyDescent="0.35">
      <c r="A34" s="12">
        <v>46116</v>
      </c>
      <c r="B34" s="6">
        <v>13125</v>
      </c>
      <c r="C34" s="6" t="s">
        <v>18</v>
      </c>
      <c r="D34" s="8">
        <v>7000</v>
      </c>
      <c r="E34" s="8">
        <f t="shared" si="0"/>
        <v>303000</v>
      </c>
      <c r="F34" s="8">
        <f t="shared" si="1"/>
        <v>297000</v>
      </c>
      <c r="K34" t="s">
        <v>510</v>
      </c>
    </row>
    <row r="35" spans="1:11" x14ac:dyDescent="0.35">
      <c r="A35" s="12">
        <v>46300</v>
      </c>
      <c r="B35" s="6">
        <v>13312</v>
      </c>
      <c r="C35" s="6" t="s">
        <v>18</v>
      </c>
      <c r="D35" s="8">
        <v>7000</v>
      </c>
      <c r="E35" s="8">
        <f t="shared" si="0"/>
        <v>310000</v>
      </c>
      <c r="F35" s="8">
        <f t="shared" si="1"/>
        <v>290000</v>
      </c>
    </row>
    <row r="36" spans="1:11" x14ac:dyDescent="0.35">
      <c r="A36" s="7" t="s">
        <v>436</v>
      </c>
      <c r="B36" s="6">
        <v>13632</v>
      </c>
      <c r="C36" s="6" t="s">
        <v>18</v>
      </c>
      <c r="D36" s="8">
        <v>7000</v>
      </c>
      <c r="E36" s="8">
        <f>E35+D36</f>
        <v>317000</v>
      </c>
      <c r="F36" s="8">
        <f>F35-D36</f>
        <v>283000</v>
      </c>
    </row>
    <row r="37" spans="1:11" x14ac:dyDescent="0.35">
      <c r="A37" s="7" t="s">
        <v>444</v>
      </c>
      <c r="B37" s="6">
        <v>1466</v>
      </c>
      <c r="C37" s="6" t="s">
        <v>18</v>
      </c>
      <c r="D37" s="8">
        <v>7000</v>
      </c>
      <c r="E37" s="8">
        <f>E36+D37</f>
        <v>324000</v>
      </c>
      <c r="F37" s="8">
        <f>F36-D37</f>
        <v>276000</v>
      </c>
    </row>
    <row r="38" spans="1:11" x14ac:dyDescent="0.35">
      <c r="A38" s="6" t="s">
        <v>460</v>
      </c>
      <c r="B38" s="6">
        <v>1771</v>
      </c>
      <c r="C38" s="6" t="s">
        <v>18</v>
      </c>
      <c r="D38" s="8">
        <v>7000</v>
      </c>
      <c r="E38" s="8">
        <f>E37+D38</f>
        <v>331000</v>
      </c>
      <c r="F38" s="8">
        <f>F37-D38</f>
        <v>269000</v>
      </c>
    </row>
    <row r="39" spans="1:11" x14ac:dyDescent="0.35">
      <c r="A39" s="29">
        <v>46182</v>
      </c>
      <c r="B39" s="9">
        <v>1925</v>
      </c>
      <c r="C39" s="6" t="s">
        <v>18</v>
      </c>
      <c r="D39" s="8">
        <v>7000</v>
      </c>
      <c r="E39" s="10">
        <f>E38+D39</f>
        <v>338000</v>
      </c>
      <c r="F39" s="10">
        <f>F38-D39</f>
        <v>262000</v>
      </c>
    </row>
    <row r="40" spans="1:11" x14ac:dyDescent="0.35">
      <c r="A40" s="9"/>
      <c r="B40" s="9"/>
      <c r="C40" s="9"/>
      <c r="D40" s="9"/>
      <c r="E40" s="9"/>
      <c r="F40" s="9"/>
    </row>
    <row r="41" spans="1:11" x14ac:dyDescent="0.35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C11" sqref="C11"/>
    </sheetView>
  </sheetViews>
  <sheetFormatPr defaultRowHeight="14.5" x14ac:dyDescent="0.35"/>
  <cols>
    <col min="1" max="1" width="9.453125" bestFit="1" customWidth="1"/>
    <col min="3" max="3" width="13.36328125" customWidth="1"/>
  </cols>
  <sheetData>
    <row r="1" spans="1:6" ht="18.5" x14ac:dyDescent="0.45">
      <c r="A1" s="1" t="s">
        <v>331</v>
      </c>
      <c r="B1" s="1"/>
      <c r="C1" s="1"/>
      <c r="D1" s="1"/>
      <c r="E1" s="1"/>
      <c r="F1" s="1"/>
    </row>
    <row r="2" spans="1:6" ht="18.5" x14ac:dyDescent="0.45">
      <c r="A2" s="1" t="s">
        <v>332</v>
      </c>
      <c r="B2" s="1"/>
      <c r="C2" s="1"/>
      <c r="D2" s="1"/>
      <c r="E2" s="1"/>
      <c r="F2" s="1"/>
    </row>
    <row r="3" spans="1:6" ht="18.5" x14ac:dyDescent="0.45">
      <c r="A3" s="1" t="s">
        <v>333</v>
      </c>
      <c r="B3" s="1"/>
      <c r="C3" s="1"/>
      <c r="D3" s="1"/>
      <c r="E3" s="1"/>
      <c r="F3" s="1"/>
    </row>
    <row r="4" spans="1:6" ht="18.5" x14ac:dyDescent="0.45">
      <c r="A4" s="1" t="s">
        <v>334</v>
      </c>
      <c r="B4" s="1" t="s">
        <v>446</v>
      </c>
      <c r="C4" s="1"/>
      <c r="D4" s="1"/>
      <c r="E4" s="1"/>
      <c r="F4" s="1"/>
    </row>
    <row r="5" spans="1:6" ht="18.5" x14ac:dyDescent="0.45">
      <c r="A5" s="1" t="s">
        <v>335</v>
      </c>
      <c r="B5" s="1"/>
      <c r="C5" s="1"/>
      <c r="D5" s="1"/>
      <c r="E5" s="1"/>
      <c r="F5" s="1"/>
    </row>
    <row r="6" spans="1:6" ht="18.5" x14ac:dyDescent="0.45">
      <c r="A6" s="1" t="s">
        <v>336</v>
      </c>
      <c r="B6" s="1"/>
      <c r="C6" s="1"/>
      <c r="D6" s="1" t="s">
        <v>337</v>
      </c>
      <c r="E6" s="1"/>
      <c r="F6" s="1"/>
    </row>
    <row r="7" spans="1:6" x14ac:dyDescent="0.35">
      <c r="A7" s="6" t="s">
        <v>0</v>
      </c>
      <c r="B7" s="6" t="s">
        <v>1</v>
      </c>
      <c r="C7" s="6" t="s">
        <v>2</v>
      </c>
      <c r="D7" s="6" t="s">
        <v>3</v>
      </c>
      <c r="E7" s="6" t="s">
        <v>3</v>
      </c>
      <c r="F7" s="6" t="s">
        <v>5</v>
      </c>
    </row>
    <row r="8" spans="1:6" x14ac:dyDescent="0.35">
      <c r="A8" s="12">
        <v>46266</v>
      </c>
      <c r="B8" s="2">
        <v>12032</v>
      </c>
      <c r="C8" s="2" t="s">
        <v>338</v>
      </c>
      <c r="D8" s="3">
        <v>480000</v>
      </c>
      <c r="E8" s="3">
        <v>480000</v>
      </c>
      <c r="F8" s="3">
        <v>270000</v>
      </c>
    </row>
    <row r="9" spans="1:6" x14ac:dyDescent="0.35">
      <c r="A9" s="12">
        <v>46266</v>
      </c>
      <c r="B9" s="2">
        <v>12033</v>
      </c>
      <c r="C9" s="2" t="s">
        <v>31</v>
      </c>
      <c r="D9" s="3">
        <v>20000</v>
      </c>
      <c r="E9" s="3">
        <f>E8+D9</f>
        <v>500000</v>
      </c>
      <c r="F9" s="3">
        <f>F8-D9</f>
        <v>250000</v>
      </c>
    </row>
    <row r="10" spans="1:6" x14ac:dyDescent="0.35">
      <c r="A10" s="12">
        <v>46056</v>
      </c>
      <c r="B10" s="2">
        <v>12721</v>
      </c>
      <c r="C10" s="2" t="s">
        <v>31</v>
      </c>
      <c r="D10" s="3">
        <v>10000</v>
      </c>
      <c r="E10" s="3">
        <f t="shared" ref="E10:E12" si="0">E9+D10</f>
        <v>510000</v>
      </c>
      <c r="F10" s="3">
        <f t="shared" ref="F10:F12" si="1">F9-D10</f>
        <v>240000</v>
      </c>
    </row>
    <row r="11" spans="1:6" x14ac:dyDescent="0.35">
      <c r="A11" s="12">
        <v>46238</v>
      </c>
      <c r="B11" s="2">
        <v>13179</v>
      </c>
      <c r="C11" s="2" t="s">
        <v>31</v>
      </c>
      <c r="D11" s="3">
        <v>10000</v>
      </c>
      <c r="E11" s="3">
        <f t="shared" si="0"/>
        <v>520000</v>
      </c>
      <c r="F11" s="3">
        <f t="shared" si="1"/>
        <v>230000</v>
      </c>
    </row>
    <row r="12" spans="1:6" x14ac:dyDescent="0.35">
      <c r="A12" s="12">
        <v>46300</v>
      </c>
      <c r="B12" s="2">
        <v>12987</v>
      </c>
      <c r="C12" s="2" t="s">
        <v>31</v>
      </c>
      <c r="D12" s="3">
        <v>10000</v>
      </c>
      <c r="E12" s="3">
        <f t="shared" si="0"/>
        <v>530000</v>
      </c>
      <c r="F12" s="3">
        <f t="shared" si="1"/>
        <v>220000</v>
      </c>
    </row>
    <row r="13" spans="1:6" x14ac:dyDescent="0.35">
      <c r="A13" s="2" t="s">
        <v>409</v>
      </c>
      <c r="B13" s="2">
        <v>13541</v>
      </c>
      <c r="C13" s="2" t="s">
        <v>31</v>
      </c>
      <c r="D13" s="3">
        <v>10000</v>
      </c>
      <c r="E13" s="3">
        <v>540000</v>
      </c>
      <c r="F13" s="3">
        <f>F12-D13</f>
        <v>210000</v>
      </c>
    </row>
    <row r="14" spans="1:6" x14ac:dyDescent="0.35">
      <c r="A14" s="2" t="s">
        <v>444</v>
      </c>
      <c r="B14" s="2">
        <v>1458</v>
      </c>
      <c r="C14" s="2" t="s">
        <v>31</v>
      </c>
      <c r="D14" s="3">
        <v>10000</v>
      </c>
      <c r="E14" s="3">
        <f>E13+D14</f>
        <v>550000</v>
      </c>
      <c r="F14" s="3">
        <f>F13-D14</f>
        <v>200000</v>
      </c>
    </row>
    <row r="15" spans="1:6" x14ac:dyDescent="0.35">
      <c r="A15" s="12">
        <v>46273</v>
      </c>
      <c r="B15" s="2">
        <v>1689</v>
      </c>
      <c r="C15" s="2" t="s">
        <v>31</v>
      </c>
      <c r="D15" s="3">
        <v>10000</v>
      </c>
      <c r="E15" s="3">
        <f>E14+D15</f>
        <v>560000</v>
      </c>
      <c r="F15" s="3">
        <f>F14-D15</f>
        <v>190000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F13" sqref="F13"/>
    </sheetView>
  </sheetViews>
  <sheetFormatPr defaultRowHeight="14.5" x14ac:dyDescent="0.35"/>
  <cols>
    <col min="1" max="1" width="9.453125" bestFit="1" customWidth="1"/>
    <col min="3" max="3" width="11.26953125" customWidth="1"/>
    <col min="6" max="6" width="11.453125" customWidth="1"/>
  </cols>
  <sheetData>
    <row r="1" spans="1:6" ht="18.5" x14ac:dyDescent="0.45">
      <c r="A1" s="1" t="s">
        <v>339</v>
      </c>
      <c r="B1" s="1"/>
      <c r="C1" s="1"/>
      <c r="D1" s="1"/>
      <c r="E1" s="1"/>
      <c r="F1" s="1"/>
    </row>
    <row r="2" spans="1:6" ht="18.5" x14ac:dyDescent="0.45">
      <c r="A2" s="1" t="s">
        <v>340</v>
      </c>
      <c r="B2" s="1"/>
      <c r="C2" s="1"/>
      <c r="D2" s="1"/>
      <c r="E2" s="1"/>
      <c r="F2" s="1"/>
    </row>
    <row r="3" spans="1:6" ht="18.5" x14ac:dyDescent="0.45">
      <c r="A3" s="1" t="s">
        <v>341</v>
      </c>
      <c r="B3" s="1"/>
      <c r="C3" s="1"/>
      <c r="D3" s="1"/>
      <c r="E3" s="1"/>
      <c r="F3" s="1"/>
    </row>
    <row r="4" spans="1:6" ht="18.5" x14ac:dyDescent="0.45">
      <c r="A4" s="1" t="s">
        <v>334</v>
      </c>
      <c r="B4" s="1" t="s">
        <v>445</v>
      </c>
      <c r="C4" s="1"/>
      <c r="D4" s="1"/>
      <c r="E4" s="1"/>
      <c r="F4" s="1"/>
    </row>
    <row r="5" spans="1:6" ht="18.5" x14ac:dyDescent="0.45">
      <c r="A5" s="1" t="s">
        <v>342</v>
      </c>
      <c r="B5" s="1"/>
      <c r="C5" s="1"/>
      <c r="D5" s="1"/>
      <c r="E5" s="1"/>
      <c r="F5" s="1"/>
    </row>
    <row r="6" spans="1:6" ht="18.5" x14ac:dyDescent="0.45">
      <c r="A6" s="1" t="s">
        <v>343</v>
      </c>
      <c r="B6" s="1"/>
      <c r="C6" s="1"/>
      <c r="D6" s="1" t="s">
        <v>337</v>
      </c>
      <c r="E6" s="1"/>
      <c r="F6" s="1"/>
    </row>
    <row r="7" spans="1:6" x14ac:dyDescent="0.35">
      <c r="A7" s="6" t="s">
        <v>0</v>
      </c>
      <c r="B7" s="6" t="s">
        <v>1</v>
      </c>
      <c r="C7" s="6" t="s">
        <v>2</v>
      </c>
      <c r="D7" s="6" t="s">
        <v>3</v>
      </c>
      <c r="E7" s="6" t="s">
        <v>3</v>
      </c>
      <c r="F7" s="6" t="s">
        <v>5</v>
      </c>
    </row>
    <row r="8" spans="1:6" x14ac:dyDescent="0.35">
      <c r="A8" s="12" t="s">
        <v>344</v>
      </c>
      <c r="B8" s="2">
        <v>13226</v>
      </c>
      <c r="C8" s="2" t="s">
        <v>338</v>
      </c>
      <c r="D8" s="3">
        <v>440000</v>
      </c>
      <c r="E8" s="3">
        <v>440000</v>
      </c>
      <c r="F8" s="3">
        <v>310000</v>
      </c>
    </row>
    <row r="9" spans="1:6" x14ac:dyDescent="0.35">
      <c r="A9" s="12" t="s">
        <v>344</v>
      </c>
      <c r="B9" s="2">
        <v>13227</v>
      </c>
      <c r="C9" s="2" t="s">
        <v>31</v>
      </c>
      <c r="D9" s="3">
        <v>20000</v>
      </c>
      <c r="E9" s="3">
        <f>E8+D9</f>
        <v>460000</v>
      </c>
      <c r="F9" s="3">
        <f>F8-D9</f>
        <v>290000</v>
      </c>
    </row>
    <row r="10" spans="1:6" x14ac:dyDescent="0.35">
      <c r="A10" s="12" t="s">
        <v>345</v>
      </c>
      <c r="B10" s="2">
        <v>12031</v>
      </c>
      <c r="C10" s="2" t="s">
        <v>31</v>
      </c>
      <c r="D10" s="3">
        <v>20000</v>
      </c>
      <c r="E10" s="3">
        <f t="shared" ref="E10:E13" si="0">E9+D10</f>
        <v>480000</v>
      </c>
      <c r="F10" s="3">
        <f t="shared" ref="F10:F13" si="1">F9-D10</f>
        <v>270000</v>
      </c>
    </row>
    <row r="11" spans="1:6" x14ac:dyDescent="0.35">
      <c r="A11" s="12">
        <v>46056</v>
      </c>
      <c r="B11" s="2">
        <v>12720</v>
      </c>
      <c r="C11" s="2" t="s">
        <v>31</v>
      </c>
      <c r="D11" s="3">
        <v>10000</v>
      </c>
      <c r="E11" s="3">
        <f t="shared" si="0"/>
        <v>490000</v>
      </c>
      <c r="F11" s="3">
        <f t="shared" si="1"/>
        <v>260000</v>
      </c>
    </row>
    <row r="12" spans="1:6" x14ac:dyDescent="0.35">
      <c r="A12" s="12">
        <v>46238</v>
      </c>
      <c r="B12" s="2">
        <v>13180</v>
      </c>
      <c r="C12" s="2" t="s">
        <v>31</v>
      </c>
      <c r="D12" s="3">
        <v>10000</v>
      </c>
      <c r="E12" s="3">
        <f t="shared" si="0"/>
        <v>500000</v>
      </c>
      <c r="F12" s="3">
        <f t="shared" si="1"/>
        <v>250000</v>
      </c>
    </row>
    <row r="13" spans="1:6" x14ac:dyDescent="0.35">
      <c r="A13" s="12">
        <v>46300</v>
      </c>
      <c r="B13" s="2">
        <v>12982</v>
      </c>
      <c r="C13" s="2" t="s">
        <v>31</v>
      </c>
      <c r="D13" s="3">
        <v>10000</v>
      </c>
      <c r="E13" s="3">
        <f t="shared" si="0"/>
        <v>510000</v>
      </c>
      <c r="F13" s="3">
        <f t="shared" si="1"/>
        <v>240000</v>
      </c>
    </row>
    <row r="14" spans="1:6" x14ac:dyDescent="0.35">
      <c r="A14" s="2" t="s">
        <v>409</v>
      </c>
      <c r="B14" s="2">
        <v>13542</v>
      </c>
      <c r="C14" s="2" t="s">
        <v>31</v>
      </c>
      <c r="D14" s="3">
        <v>10000</v>
      </c>
      <c r="E14" s="3">
        <v>520000</v>
      </c>
      <c r="F14" s="3">
        <f>F13-D14</f>
        <v>230000</v>
      </c>
    </row>
    <row r="15" spans="1:6" x14ac:dyDescent="0.35">
      <c r="A15" s="2" t="s">
        <v>444</v>
      </c>
      <c r="B15" s="2">
        <v>1457</v>
      </c>
      <c r="C15" s="2" t="s">
        <v>31</v>
      </c>
      <c r="D15" s="3">
        <v>10000</v>
      </c>
      <c r="E15" s="3">
        <f>E14+D15</f>
        <v>530000</v>
      </c>
      <c r="F15" s="3">
        <f>F14-D15</f>
        <v>220000</v>
      </c>
    </row>
    <row r="16" spans="1:6" x14ac:dyDescent="0.35">
      <c r="A16" s="12">
        <v>46273</v>
      </c>
      <c r="B16" s="2">
        <v>1690</v>
      </c>
      <c r="C16" s="2" t="s">
        <v>31</v>
      </c>
      <c r="D16" s="3">
        <v>10000</v>
      </c>
      <c r="E16" s="3">
        <f>E15+D16</f>
        <v>540000</v>
      </c>
      <c r="F16" s="3">
        <f>F15-D16</f>
        <v>210000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H11" sqref="H11"/>
    </sheetView>
  </sheetViews>
  <sheetFormatPr defaultRowHeight="14.5" x14ac:dyDescent="0.35"/>
  <cols>
    <col min="1" max="1" width="9.453125" bestFit="1" customWidth="1"/>
    <col min="3" max="3" width="12.26953125" customWidth="1"/>
    <col min="6" max="6" width="11.08984375" customWidth="1"/>
  </cols>
  <sheetData>
    <row r="1" spans="1:6" ht="18.5" x14ac:dyDescent="0.45">
      <c r="A1" s="1" t="s">
        <v>144</v>
      </c>
      <c r="B1" s="1"/>
      <c r="C1" s="1"/>
      <c r="D1" s="1"/>
      <c r="E1" s="1"/>
      <c r="F1" s="1"/>
    </row>
    <row r="2" spans="1:6" ht="18.5" x14ac:dyDescent="0.45">
      <c r="A2" s="1" t="s">
        <v>145</v>
      </c>
      <c r="B2" s="1"/>
      <c r="C2" s="1"/>
      <c r="D2" s="1"/>
      <c r="E2" s="1"/>
      <c r="F2" s="1"/>
    </row>
    <row r="3" spans="1:6" ht="18.5" x14ac:dyDescent="0.45">
      <c r="A3" s="1" t="s">
        <v>146</v>
      </c>
      <c r="B3" s="1"/>
      <c r="C3" s="1"/>
      <c r="D3" s="1"/>
      <c r="E3" s="1"/>
      <c r="F3" s="1"/>
    </row>
    <row r="4" spans="1:6" ht="18.5" x14ac:dyDescent="0.45">
      <c r="A4" s="1" t="s">
        <v>148</v>
      </c>
      <c r="B4" s="1"/>
      <c r="C4" s="1"/>
      <c r="D4" s="1"/>
      <c r="E4" s="1"/>
      <c r="F4" s="1"/>
    </row>
    <row r="5" spans="1:6" ht="18.5" x14ac:dyDescent="0.45">
      <c r="A5" s="1" t="s">
        <v>77</v>
      </c>
      <c r="B5" s="1"/>
      <c r="C5" s="1"/>
      <c r="D5" s="1"/>
      <c r="E5" s="1"/>
      <c r="F5" s="1"/>
    </row>
    <row r="6" spans="1:6" ht="18.5" x14ac:dyDescent="0.45">
      <c r="A6" s="1" t="s">
        <v>147</v>
      </c>
      <c r="B6" s="1"/>
      <c r="C6" s="1"/>
      <c r="D6" s="1" t="s">
        <v>109</v>
      </c>
      <c r="E6" s="1"/>
      <c r="F6" s="1"/>
    </row>
    <row r="7" spans="1:6" x14ac:dyDescent="0.35">
      <c r="A7" s="6" t="s">
        <v>0</v>
      </c>
      <c r="B7" s="6" t="s">
        <v>1</v>
      </c>
      <c r="C7" s="6" t="s">
        <v>2</v>
      </c>
      <c r="D7" s="6" t="s">
        <v>3</v>
      </c>
      <c r="E7" s="6" t="s">
        <v>3</v>
      </c>
      <c r="F7" s="6" t="s">
        <v>5</v>
      </c>
    </row>
    <row r="8" spans="1:6" x14ac:dyDescent="0.35">
      <c r="A8" s="4">
        <v>44874</v>
      </c>
      <c r="B8">
        <v>224</v>
      </c>
      <c r="C8" t="s">
        <v>31</v>
      </c>
      <c r="D8" s="5">
        <v>10000</v>
      </c>
      <c r="E8" s="5">
        <v>10000</v>
      </c>
      <c r="F8" s="5">
        <v>200000</v>
      </c>
    </row>
    <row r="9" spans="1:6" x14ac:dyDescent="0.35">
      <c r="A9" t="s">
        <v>149</v>
      </c>
      <c r="B9">
        <v>2489</v>
      </c>
      <c r="C9" t="s">
        <v>31</v>
      </c>
      <c r="D9" s="5">
        <v>10000</v>
      </c>
      <c r="E9" s="5">
        <f>SUM(E8+D9)</f>
        <v>20000</v>
      </c>
      <c r="F9" s="5">
        <f>F8-D9</f>
        <v>190000</v>
      </c>
    </row>
    <row r="10" spans="1:6" x14ac:dyDescent="0.35">
      <c r="A10" s="4">
        <v>45173</v>
      </c>
      <c r="B10">
        <v>1057</v>
      </c>
      <c r="C10" t="s">
        <v>31</v>
      </c>
      <c r="D10" s="5">
        <v>10000</v>
      </c>
      <c r="E10" s="5">
        <f t="shared" ref="E10:E25" si="0">SUM(E9+D10)</f>
        <v>30000</v>
      </c>
      <c r="F10" s="5">
        <f t="shared" ref="F10:F25" si="1">F9-D10</f>
        <v>180000</v>
      </c>
    </row>
    <row r="11" spans="1:6" x14ac:dyDescent="0.35">
      <c r="A11" t="s">
        <v>150</v>
      </c>
      <c r="B11">
        <v>646</v>
      </c>
      <c r="C11" t="s">
        <v>31</v>
      </c>
      <c r="D11" s="5">
        <v>20000</v>
      </c>
      <c r="E11" s="5">
        <f t="shared" si="0"/>
        <v>50000</v>
      </c>
      <c r="F11" s="5">
        <f t="shared" si="1"/>
        <v>160000</v>
      </c>
    </row>
    <row r="12" spans="1:6" x14ac:dyDescent="0.35">
      <c r="A12" s="4">
        <v>45176</v>
      </c>
      <c r="B12">
        <v>2606</v>
      </c>
      <c r="C12" t="s">
        <v>31</v>
      </c>
      <c r="D12" s="5">
        <v>20000</v>
      </c>
      <c r="E12" s="5">
        <f t="shared" si="0"/>
        <v>70000</v>
      </c>
      <c r="F12" s="5">
        <f t="shared" si="1"/>
        <v>140000</v>
      </c>
    </row>
    <row r="13" spans="1:6" x14ac:dyDescent="0.35">
      <c r="A13" t="s">
        <v>151</v>
      </c>
      <c r="B13">
        <v>3141</v>
      </c>
      <c r="C13" t="s">
        <v>31</v>
      </c>
      <c r="D13" s="5">
        <v>10000</v>
      </c>
      <c r="E13" s="5">
        <f t="shared" si="0"/>
        <v>80000</v>
      </c>
      <c r="F13" s="5">
        <f t="shared" si="1"/>
        <v>130000</v>
      </c>
    </row>
    <row r="14" spans="1:6" x14ac:dyDescent="0.35">
      <c r="A14" s="4" t="s">
        <v>152</v>
      </c>
      <c r="B14">
        <v>4555</v>
      </c>
      <c r="C14" t="s">
        <v>31</v>
      </c>
      <c r="D14" s="5">
        <v>10000</v>
      </c>
      <c r="E14" s="5">
        <f t="shared" si="0"/>
        <v>90000</v>
      </c>
      <c r="F14" s="5">
        <f t="shared" si="1"/>
        <v>120000</v>
      </c>
    </row>
    <row r="15" spans="1:6" x14ac:dyDescent="0.35">
      <c r="A15" s="4">
        <v>44997</v>
      </c>
      <c r="B15">
        <v>5271</v>
      </c>
      <c r="C15" t="s">
        <v>31</v>
      </c>
      <c r="D15" s="5">
        <v>10000</v>
      </c>
      <c r="E15" s="5">
        <f t="shared" si="0"/>
        <v>100000</v>
      </c>
      <c r="F15" s="5">
        <f t="shared" si="1"/>
        <v>110000</v>
      </c>
    </row>
    <row r="16" spans="1:6" x14ac:dyDescent="0.35">
      <c r="A16" s="4">
        <v>45566</v>
      </c>
      <c r="B16">
        <v>6068</v>
      </c>
      <c r="C16" t="s">
        <v>31</v>
      </c>
      <c r="D16" s="5">
        <v>10000</v>
      </c>
      <c r="E16" s="5">
        <f t="shared" si="0"/>
        <v>110000</v>
      </c>
      <c r="F16" s="5">
        <f t="shared" si="1"/>
        <v>100000</v>
      </c>
    </row>
    <row r="17" spans="1:6" x14ac:dyDescent="0.35">
      <c r="A17" t="s">
        <v>153</v>
      </c>
      <c r="B17">
        <v>6734</v>
      </c>
      <c r="C17" t="s">
        <v>31</v>
      </c>
      <c r="D17" s="5">
        <v>10000</v>
      </c>
      <c r="E17" s="5">
        <f t="shared" si="0"/>
        <v>120000</v>
      </c>
      <c r="F17" s="5">
        <f t="shared" si="1"/>
        <v>90000</v>
      </c>
    </row>
    <row r="18" spans="1:6" x14ac:dyDescent="0.35">
      <c r="A18" s="4" t="s">
        <v>154</v>
      </c>
      <c r="B18">
        <v>7491</v>
      </c>
      <c r="C18" t="s">
        <v>31</v>
      </c>
      <c r="D18" s="5">
        <v>10000</v>
      </c>
      <c r="E18" s="5">
        <f t="shared" si="0"/>
        <v>130000</v>
      </c>
      <c r="F18" s="5">
        <f t="shared" si="1"/>
        <v>80000</v>
      </c>
    </row>
    <row r="19" spans="1:6" x14ac:dyDescent="0.35">
      <c r="A19" s="4" t="s">
        <v>155</v>
      </c>
      <c r="B19">
        <v>8090</v>
      </c>
      <c r="C19" t="s">
        <v>31</v>
      </c>
      <c r="D19" s="5">
        <v>10000</v>
      </c>
      <c r="E19" s="5">
        <f t="shared" si="0"/>
        <v>140000</v>
      </c>
      <c r="F19" s="5">
        <f t="shared" si="1"/>
        <v>70000</v>
      </c>
    </row>
    <row r="20" spans="1:6" x14ac:dyDescent="0.35">
      <c r="A20" s="4" t="s">
        <v>156</v>
      </c>
      <c r="B20">
        <v>8760</v>
      </c>
      <c r="C20" t="s">
        <v>31</v>
      </c>
      <c r="D20" s="5">
        <v>10000</v>
      </c>
      <c r="E20" s="5">
        <f t="shared" si="0"/>
        <v>150000</v>
      </c>
      <c r="F20" s="5">
        <f t="shared" si="1"/>
        <v>60000</v>
      </c>
    </row>
    <row r="21" spans="1:6" x14ac:dyDescent="0.35">
      <c r="A21" s="4" t="s">
        <v>157</v>
      </c>
      <c r="B21">
        <v>9694</v>
      </c>
      <c r="C21" t="s">
        <v>31</v>
      </c>
      <c r="D21" s="5">
        <v>10000</v>
      </c>
      <c r="E21" s="5">
        <f t="shared" si="0"/>
        <v>160000</v>
      </c>
      <c r="F21" s="5">
        <f t="shared" si="1"/>
        <v>50000</v>
      </c>
    </row>
    <row r="22" spans="1:6" x14ac:dyDescent="0.35">
      <c r="A22" s="4">
        <v>45544</v>
      </c>
      <c r="B22">
        <v>10842</v>
      </c>
      <c r="C22" t="s">
        <v>31</v>
      </c>
      <c r="D22" s="5">
        <v>10000</v>
      </c>
      <c r="E22" s="5">
        <f t="shared" si="0"/>
        <v>170000</v>
      </c>
      <c r="F22" s="5">
        <f t="shared" si="1"/>
        <v>40000</v>
      </c>
    </row>
    <row r="23" spans="1:6" x14ac:dyDescent="0.35">
      <c r="A23" s="4" t="s">
        <v>158</v>
      </c>
      <c r="B23">
        <v>10242</v>
      </c>
      <c r="C23" t="s">
        <v>31</v>
      </c>
      <c r="D23" s="5">
        <v>10000</v>
      </c>
      <c r="E23" s="5">
        <f t="shared" si="0"/>
        <v>180000</v>
      </c>
      <c r="F23" s="5">
        <f t="shared" si="1"/>
        <v>30000</v>
      </c>
    </row>
    <row r="24" spans="1:6" x14ac:dyDescent="0.35">
      <c r="A24" s="4" t="s">
        <v>159</v>
      </c>
      <c r="B24">
        <v>128513</v>
      </c>
      <c r="C24" t="s">
        <v>31</v>
      </c>
      <c r="D24" s="5">
        <v>10000</v>
      </c>
      <c r="E24" s="5">
        <f t="shared" si="0"/>
        <v>190000</v>
      </c>
      <c r="F24" s="5">
        <f t="shared" si="1"/>
        <v>20000</v>
      </c>
    </row>
    <row r="25" spans="1:6" x14ac:dyDescent="0.35">
      <c r="A25" s="4">
        <v>45809</v>
      </c>
      <c r="B25">
        <v>12931</v>
      </c>
      <c r="C25" t="s">
        <v>31</v>
      </c>
      <c r="D25" s="5">
        <v>10000</v>
      </c>
      <c r="E25" s="5">
        <f t="shared" si="0"/>
        <v>200000</v>
      </c>
      <c r="F25" s="5">
        <f t="shared" si="1"/>
        <v>10000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J16" sqref="J16"/>
    </sheetView>
  </sheetViews>
  <sheetFormatPr defaultRowHeight="14.5" x14ac:dyDescent="0.35"/>
  <cols>
    <col min="1" max="1" width="9.453125" bestFit="1" customWidth="1"/>
    <col min="6" max="6" width="10.90625" customWidth="1"/>
  </cols>
  <sheetData>
    <row r="1" spans="1:6" ht="18.5" x14ac:dyDescent="0.45">
      <c r="A1" s="1" t="s">
        <v>161</v>
      </c>
      <c r="B1" s="1"/>
      <c r="C1" s="1"/>
      <c r="D1" s="1"/>
      <c r="E1" s="1"/>
      <c r="F1" s="1"/>
    </row>
    <row r="2" spans="1:6" ht="18.5" x14ac:dyDescent="0.45">
      <c r="A2" s="1" t="s">
        <v>162</v>
      </c>
      <c r="B2" s="1"/>
      <c r="C2" s="1"/>
      <c r="D2" s="1"/>
      <c r="E2" s="1"/>
      <c r="F2" s="1"/>
    </row>
    <row r="3" spans="1:6" ht="18.5" x14ac:dyDescent="0.45">
      <c r="A3" s="1" t="s">
        <v>163</v>
      </c>
      <c r="B3" s="1"/>
      <c r="C3" s="1"/>
      <c r="D3" s="1"/>
      <c r="E3" s="1"/>
      <c r="F3" s="1"/>
    </row>
    <row r="4" spans="1:6" ht="18.5" x14ac:dyDescent="0.45">
      <c r="A4" s="1" t="s">
        <v>165</v>
      </c>
      <c r="B4" s="1"/>
      <c r="C4" s="1"/>
      <c r="D4" s="1"/>
      <c r="E4" s="1"/>
      <c r="F4" s="1"/>
    </row>
    <row r="5" spans="1:6" ht="18.5" x14ac:dyDescent="0.45">
      <c r="A5" s="1" t="s">
        <v>77</v>
      </c>
      <c r="B5" s="1"/>
      <c r="C5" s="1"/>
      <c r="D5" s="1"/>
      <c r="E5" s="1"/>
      <c r="F5" s="1"/>
    </row>
    <row r="6" spans="1:6" ht="18.5" x14ac:dyDescent="0.45">
      <c r="A6" s="1" t="s">
        <v>164</v>
      </c>
      <c r="B6" s="1"/>
      <c r="C6" s="1"/>
      <c r="D6" s="1" t="s">
        <v>109</v>
      </c>
      <c r="E6" s="1"/>
      <c r="F6" s="1"/>
    </row>
    <row r="7" spans="1:6" x14ac:dyDescent="0.35">
      <c r="A7" s="9"/>
      <c r="B7" s="9"/>
      <c r="C7" s="9"/>
      <c r="D7" s="9"/>
      <c r="E7" s="9"/>
      <c r="F7" s="9"/>
    </row>
    <row r="8" spans="1:6" x14ac:dyDescent="0.35">
      <c r="A8" s="26" t="s">
        <v>0</v>
      </c>
      <c r="B8" s="26" t="s">
        <v>1</v>
      </c>
      <c r="C8" s="26" t="s">
        <v>2</v>
      </c>
      <c r="D8" s="26" t="s">
        <v>3</v>
      </c>
      <c r="E8" s="26" t="s">
        <v>4</v>
      </c>
      <c r="F8" s="26" t="s">
        <v>5</v>
      </c>
    </row>
    <row r="9" spans="1:6" x14ac:dyDescent="0.35">
      <c r="A9" s="7">
        <v>44874</v>
      </c>
      <c r="B9" s="6">
        <v>219</v>
      </c>
      <c r="C9" s="6" t="s">
        <v>18</v>
      </c>
      <c r="D9" s="8">
        <v>10000</v>
      </c>
      <c r="E9" s="8">
        <v>10000</v>
      </c>
      <c r="F9" s="8">
        <v>185000</v>
      </c>
    </row>
    <row r="10" spans="1:6" x14ac:dyDescent="0.35">
      <c r="A10" s="7">
        <v>45173</v>
      </c>
      <c r="B10" s="6">
        <v>1051</v>
      </c>
      <c r="C10" s="6" t="s">
        <v>18</v>
      </c>
      <c r="D10" s="8">
        <v>10000</v>
      </c>
      <c r="E10" s="8">
        <f>SUM(E9+D10)</f>
        <v>20000</v>
      </c>
      <c r="F10" s="8">
        <f>F9-D10</f>
        <v>175000</v>
      </c>
    </row>
    <row r="11" spans="1:6" x14ac:dyDescent="0.35">
      <c r="A11" s="6" t="s">
        <v>149</v>
      </c>
      <c r="B11" s="6">
        <v>2485</v>
      </c>
      <c r="C11" s="6" t="s">
        <v>18</v>
      </c>
      <c r="D11" s="8">
        <v>10000</v>
      </c>
      <c r="E11" s="8">
        <f t="shared" ref="E11:E26" si="0">SUM(E10+D11)</f>
        <v>30000</v>
      </c>
      <c r="F11" s="8">
        <f t="shared" ref="F11:F26" si="1">F10-D11</f>
        <v>165000</v>
      </c>
    </row>
    <row r="12" spans="1:6" x14ac:dyDescent="0.35">
      <c r="A12" s="6" t="s">
        <v>150</v>
      </c>
      <c r="B12" s="6">
        <v>642</v>
      </c>
      <c r="C12" s="6" t="s">
        <v>18</v>
      </c>
      <c r="D12" s="8">
        <v>20000</v>
      </c>
      <c r="E12" s="8">
        <f t="shared" si="0"/>
        <v>50000</v>
      </c>
      <c r="F12" s="8">
        <f t="shared" si="1"/>
        <v>145000</v>
      </c>
    </row>
    <row r="13" spans="1:6" x14ac:dyDescent="0.35">
      <c r="A13" s="7">
        <v>45176</v>
      </c>
      <c r="B13" s="6">
        <v>2602</v>
      </c>
      <c r="C13" s="6" t="s">
        <v>18</v>
      </c>
      <c r="D13" s="8">
        <v>20000</v>
      </c>
      <c r="E13" s="8">
        <f t="shared" si="0"/>
        <v>70000</v>
      </c>
      <c r="F13" s="8">
        <f t="shared" si="1"/>
        <v>125000</v>
      </c>
    </row>
    <row r="14" spans="1:6" x14ac:dyDescent="0.35">
      <c r="A14" s="6" t="s">
        <v>151</v>
      </c>
      <c r="B14" s="6">
        <v>3140</v>
      </c>
      <c r="C14" s="6" t="s">
        <v>18</v>
      </c>
      <c r="D14" s="8">
        <v>10000</v>
      </c>
      <c r="E14" s="8">
        <f t="shared" si="0"/>
        <v>80000</v>
      </c>
      <c r="F14" s="8">
        <f t="shared" si="1"/>
        <v>115000</v>
      </c>
    </row>
    <row r="15" spans="1:6" x14ac:dyDescent="0.35">
      <c r="A15" s="6" t="s">
        <v>152</v>
      </c>
      <c r="B15" s="6">
        <v>4551</v>
      </c>
      <c r="C15" s="6" t="s">
        <v>18</v>
      </c>
      <c r="D15" s="8">
        <v>10000</v>
      </c>
      <c r="E15" s="8">
        <f t="shared" si="0"/>
        <v>90000</v>
      </c>
      <c r="F15" s="8">
        <f t="shared" si="1"/>
        <v>105000</v>
      </c>
    </row>
    <row r="16" spans="1:6" x14ac:dyDescent="0.35">
      <c r="A16" s="7">
        <v>44997</v>
      </c>
      <c r="B16" s="6">
        <v>5273</v>
      </c>
      <c r="C16" s="6" t="s">
        <v>18</v>
      </c>
      <c r="D16" s="8">
        <v>10000</v>
      </c>
      <c r="E16" s="8">
        <f t="shared" si="0"/>
        <v>100000</v>
      </c>
      <c r="F16" s="8">
        <f t="shared" si="1"/>
        <v>95000</v>
      </c>
    </row>
    <row r="17" spans="1:6" x14ac:dyDescent="0.35">
      <c r="A17" s="7">
        <v>45566</v>
      </c>
      <c r="B17" s="6">
        <v>6045</v>
      </c>
      <c r="C17" s="6" t="s">
        <v>18</v>
      </c>
      <c r="D17" s="8">
        <v>10000</v>
      </c>
      <c r="E17" s="8">
        <f t="shared" si="0"/>
        <v>110000</v>
      </c>
      <c r="F17" s="8">
        <f t="shared" si="1"/>
        <v>85000</v>
      </c>
    </row>
    <row r="18" spans="1:6" x14ac:dyDescent="0.35">
      <c r="A18" s="6" t="s">
        <v>154</v>
      </c>
      <c r="B18" s="6">
        <v>7489</v>
      </c>
      <c r="C18" s="6" t="s">
        <v>18</v>
      </c>
      <c r="D18" s="8">
        <v>10000</v>
      </c>
      <c r="E18" s="8">
        <f t="shared" si="0"/>
        <v>120000</v>
      </c>
      <c r="F18" s="8">
        <f t="shared" si="1"/>
        <v>75000</v>
      </c>
    </row>
    <row r="19" spans="1:6" x14ac:dyDescent="0.35">
      <c r="A19" s="7">
        <v>45386</v>
      </c>
      <c r="B19" s="6">
        <v>6732</v>
      </c>
      <c r="C19" s="6" t="s">
        <v>18</v>
      </c>
      <c r="D19" s="8">
        <v>10000</v>
      </c>
      <c r="E19" s="8">
        <f t="shared" si="0"/>
        <v>130000</v>
      </c>
      <c r="F19" s="8">
        <f t="shared" si="1"/>
        <v>65000</v>
      </c>
    </row>
    <row r="20" spans="1:6" x14ac:dyDescent="0.35">
      <c r="A20" s="6" t="s">
        <v>153</v>
      </c>
      <c r="B20" s="6">
        <v>6732</v>
      </c>
      <c r="C20" s="6" t="s">
        <v>18</v>
      </c>
      <c r="D20" s="8">
        <v>10000</v>
      </c>
      <c r="E20" s="8">
        <f t="shared" si="0"/>
        <v>140000</v>
      </c>
      <c r="F20" s="8">
        <f t="shared" si="1"/>
        <v>55000</v>
      </c>
    </row>
    <row r="21" spans="1:6" x14ac:dyDescent="0.35">
      <c r="A21" s="6" t="s">
        <v>156</v>
      </c>
      <c r="B21" s="6">
        <v>8758</v>
      </c>
      <c r="C21" s="6" t="s">
        <v>18</v>
      </c>
      <c r="D21" s="8">
        <v>10000</v>
      </c>
      <c r="E21" s="8">
        <f t="shared" si="0"/>
        <v>150000</v>
      </c>
      <c r="F21" s="8">
        <f t="shared" si="1"/>
        <v>45000</v>
      </c>
    </row>
    <row r="22" spans="1:6" x14ac:dyDescent="0.35">
      <c r="A22" s="6" t="s">
        <v>157</v>
      </c>
      <c r="B22" s="6">
        <v>9692</v>
      </c>
      <c r="C22" s="6" t="s">
        <v>18</v>
      </c>
      <c r="D22" s="8">
        <v>10000</v>
      </c>
      <c r="E22" s="8">
        <f t="shared" si="0"/>
        <v>160000</v>
      </c>
      <c r="F22" s="8">
        <f t="shared" si="1"/>
        <v>35000</v>
      </c>
    </row>
    <row r="23" spans="1:6" x14ac:dyDescent="0.35">
      <c r="A23" s="7">
        <v>45544</v>
      </c>
      <c r="B23" s="6">
        <v>10648</v>
      </c>
      <c r="C23" s="6" t="s">
        <v>18</v>
      </c>
      <c r="D23" s="8">
        <v>10000</v>
      </c>
      <c r="E23" s="8">
        <f t="shared" si="0"/>
        <v>170000</v>
      </c>
      <c r="F23" s="8">
        <f t="shared" si="1"/>
        <v>25000</v>
      </c>
    </row>
    <row r="24" spans="1:6" x14ac:dyDescent="0.35">
      <c r="A24" s="6" t="s">
        <v>158</v>
      </c>
      <c r="B24" s="6">
        <v>10240</v>
      </c>
      <c r="C24" s="6" t="s">
        <v>18</v>
      </c>
      <c r="D24" s="8">
        <v>10000</v>
      </c>
      <c r="E24" s="8">
        <f t="shared" si="0"/>
        <v>180000</v>
      </c>
      <c r="F24" s="8">
        <f t="shared" si="1"/>
        <v>15000</v>
      </c>
    </row>
    <row r="25" spans="1:6" x14ac:dyDescent="0.35">
      <c r="A25" s="6" t="s">
        <v>159</v>
      </c>
      <c r="B25" s="6">
        <v>12511</v>
      </c>
      <c r="C25" s="6" t="s">
        <v>18</v>
      </c>
      <c r="D25" s="8">
        <v>10000</v>
      </c>
      <c r="E25" s="8">
        <f t="shared" si="0"/>
        <v>190000</v>
      </c>
      <c r="F25" s="8">
        <f t="shared" si="1"/>
        <v>5000</v>
      </c>
    </row>
    <row r="26" spans="1:6" x14ac:dyDescent="0.35">
      <c r="A26" s="7">
        <v>45809</v>
      </c>
      <c r="B26" s="6">
        <v>12929</v>
      </c>
      <c r="C26" s="6" t="s">
        <v>18</v>
      </c>
      <c r="D26" s="8">
        <v>10000</v>
      </c>
      <c r="E26" s="8">
        <f t="shared" si="0"/>
        <v>200000</v>
      </c>
      <c r="F26" s="8">
        <f t="shared" si="1"/>
        <v>-5000</v>
      </c>
    </row>
    <row r="27" spans="1:6" x14ac:dyDescent="0.35">
      <c r="B27" t="s">
        <v>160</v>
      </c>
    </row>
    <row r="28" spans="1:6" x14ac:dyDescent="0.35">
      <c r="B28" t="s">
        <v>143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sqref="A1:G7"/>
    </sheetView>
  </sheetViews>
  <sheetFormatPr defaultRowHeight="14.5" x14ac:dyDescent="0.35"/>
  <sheetData>
    <row r="1" spans="1:6" ht="18.5" x14ac:dyDescent="0.45">
      <c r="A1" s="1" t="s">
        <v>144</v>
      </c>
      <c r="B1" s="1"/>
      <c r="C1" s="1"/>
      <c r="D1" s="27"/>
      <c r="E1" s="1"/>
      <c r="F1" s="1"/>
    </row>
    <row r="2" spans="1:6" ht="18.5" x14ac:dyDescent="0.45">
      <c r="A2" s="1" t="s">
        <v>167</v>
      </c>
      <c r="B2" s="1"/>
      <c r="C2" s="1"/>
      <c r="D2" s="27"/>
      <c r="E2" s="1"/>
      <c r="F2" s="1"/>
    </row>
    <row r="3" spans="1:6" ht="18.5" x14ac:dyDescent="0.45">
      <c r="A3" s="1" t="s">
        <v>168</v>
      </c>
      <c r="B3" s="1"/>
      <c r="C3" s="1"/>
      <c r="D3" s="27"/>
      <c r="E3" s="1"/>
      <c r="F3" s="1"/>
    </row>
    <row r="4" spans="1:6" ht="18.5" x14ac:dyDescent="0.45">
      <c r="A4" s="1" t="s">
        <v>171</v>
      </c>
      <c r="B4" s="1"/>
      <c r="C4" s="1"/>
      <c r="D4" s="27"/>
      <c r="E4" s="1"/>
      <c r="F4" s="1"/>
    </row>
    <row r="5" spans="1:6" ht="18.5" x14ac:dyDescent="0.45">
      <c r="A5" s="1" t="s">
        <v>77</v>
      </c>
      <c r="B5" s="1"/>
      <c r="C5" s="1"/>
      <c r="D5" s="27"/>
      <c r="E5" s="1"/>
      <c r="F5" s="1"/>
    </row>
    <row r="6" spans="1:6" ht="18.5" x14ac:dyDescent="0.45">
      <c r="A6" s="1" t="s">
        <v>166</v>
      </c>
      <c r="B6" s="1"/>
      <c r="C6" s="1"/>
      <c r="D6" s="1" t="s">
        <v>169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s="4">
        <v>44874</v>
      </c>
      <c r="B8">
        <v>233</v>
      </c>
      <c r="C8" t="s">
        <v>31</v>
      </c>
      <c r="D8" s="5">
        <v>10000</v>
      </c>
      <c r="E8" s="5">
        <v>10000</v>
      </c>
      <c r="F8" s="5">
        <v>200000</v>
      </c>
    </row>
    <row r="9" spans="1:6" x14ac:dyDescent="0.35">
      <c r="A9" t="s">
        <v>149</v>
      </c>
      <c r="B9">
        <v>2488</v>
      </c>
      <c r="C9" t="s">
        <v>31</v>
      </c>
      <c r="D9" s="5">
        <v>10000</v>
      </c>
      <c r="E9" s="5">
        <f>SUM(E8+D9)</f>
        <v>20000</v>
      </c>
      <c r="F9" s="5">
        <f>F8-D9</f>
        <v>190000</v>
      </c>
    </row>
    <row r="10" spans="1:6" x14ac:dyDescent="0.35">
      <c r="A10" s="4">
        <v>45173</v>
      </c>
      <c r="B10">
        <v>1056</v>
      </c>
      <c r="C10" t="s">
        <v>31</v>
      </c>
      <c r="D10" s="5">
        <v>10000</v>
      </c>
      <c r="E10" s="5">
        <f t="shared" ref="E10:E20" si="0">SUM(E9+D10)</f>
        <v>30000</v>
      </c>
      <c r="F10" s="5">
        <f t="shared" ref="F10:F25" si="1">F9-D10</f>
        <v>180000</v>
      </c>
    </row>
    <row r="11" spans="1:6" x14ac:dyDescent="0.35">
      <c r="A11" t="s">
        <v>150</v>
      </c>
      <c r="B11">
        <v>645</v>
      </c>
      <c r="C11" t="s">
        <v>31</v>
      </c>
      <c r="D11" s="5">
        <v>20000</v>
      </c>
      <c r="E11" s="5">
        <f t="shared" si="0"/>
        <v>50000</v>
      </c>
      <c r="F11" s="5">
        <f t="shared" si="1"/>
        <v>160000</v>
      </c>
    </row>
    <row r="12" spans="1:6" x14ac:dyDescent="0.35">
      <c r="A12" s="4">
        <v>45176</v>
      </c>
      <c r="B12">
        <v>2605</v>
      </c>
      <c r="C12" t="s">
        <v>31</v>
      </c>
      <c r="D12" s="5">
        <v>20000</v>
      </c>
      <c r="E12" s="5">
        <f t="shared" si="0"/>
        <v>70000</v>
      </c>
      <c r="F12" s="5">
        <f t="shared" si="1"/>
        <v>140000</v>
      </c>
    </row>
    <row r="13" spans="1:6" x14ac:dyDescent="0.35">
      <c r="A13" t="s">
        <v>151</v>
      </c>
      <c r="B13">
        <v>3143</v>
      </c>
      <c r="C13" t="s">
        <v>31</v>
      </c>
      <c r="D13" s="5">
        <v>10000</v>
      </c>
      <c r="E13" s="5">
        <f t="shared" si="0"/>
        <v>80000</v>
      </c>
      <c r="F13" s="5">
        <f t="shared" si="1"/>
        <v>130000</v>
      </c>
    </row>
    <row r="14" spans="1:6" x14ac:dyDescent="0.35">
      <c r="A14" s="4" t="s">
        <v>152</v>
      </c>
      <c r="B14">
        <v>4554</v>
      </c>
      <c r="C14" t="s">
        <v>31</v>
      </c>
      <c r="D14" s="5">
        <v>10000</v>
      </c>
      <c r="E14" s="5">
        <f t="shared" si="0"/>
        <v>90000</v>
      </c>
      <c r="F14" s="5">
        <f t="shared" si="1"/>
        <v>120000</v>
      </c>
    </row>
    <row r="15" spans="1:6" x14ac:dyDescent="0.35">
      <c r="A15" s="4">
        <v>44997</v>
      </c>
      <c r="B15">
        <v>5270</v>
      </c>
      <c r="C15" t="s">
        <v>31</v>
      </c>
      <c r="D15" s="5">
        <v>10000</v>
      </c>
      <c r="E15" s="5">
        <f t="shared" si="0"/>
        <v>100000</v>
      </c>
      <c r="F15" s="5">
        <f t="shared" si="1"/>
        <v>110000</v>
      </c>
    </row>
    <row r="16" spans="1:6" x14ac:dyDescent="0.35">
      <c r="A16" s="4">
        <v>45566</v>
      </c>
      <c r="B16">
        <v>6069</v>
      </c>
      <c r="C16" t="s">
        <v>31</v>
      </c>
      <c r="D16" s="5">
        <v>10000</v>
      </c>
      <c r="E16" s="5">
        <f t="shared" si="0"/>
        <v>110000</v>
      </c>
      <c r="F16" s="5">
        <f t="shared" si="1"/>
        <v>100000</v>
      </c>
    </row>
    <row r="17" spans="1:6" x14ac:dyDescent="0.35">
      <c r="A17" t="s">
        <v>153</v>
      </c>
      <c r="B17">
        <v>6728</v>
      </c>
      <c r="C17" t="s">
        <v>31</v>
      </c>
      <c r="D17" s="5">
        <v>10000</v>
      </c>
      <c r="E17" s="5">
        <f t="shared" si="0"/>
        <v>120000</v>
      </c>
      <c r="F17" s="5">
        <f t="shared" si="1"/>
        <v>90000</v>
      </c>
    </row>
    <row r="18" spans="1:6" x14ac:dyDescent="0.35">
      <c r="A18" s="4" t="s">
        <v>154</v>
      </c>
      <c r="B18">
        <v>7492</v>
      </c>
      <c r="C18" t="s">
        <v>31</v>
      </c>
      <c r="D18" s="5">
        <v>10000</v>
      </c>
      <c r="E18" s="5">
        <f t="shared" si="0"/>
        <v>130000</v>
      </c>
      <c r="F18" s="5">
        <f t="shared" si="1"/>
        <v>80000</v>
      </c>
    </row>
    <row r="19" spans="1:6" x14ac:dyDescent="0.35">
      <c r="A19" s="4" t="s">
        <v>155</v>
      </c>
      <c r="B19">
        <v>12932</v>
      </c>
      <c r="C19" t="s">
        <v>31</v>
      </c>
      <c r="D19" s="5">
        <v>10000</v>
      </c>
      <c r="E19" s="5">
        <f t="shared" si="0"/>
        <v>140000</v>
      </c>
      <c r="F19" s="5">
        <f t="shared" si="1"/>
        <v>70000</v>
      </c>
    </row>
    <row r="20" spans="1:6" x14ac:dyDescent="0.35">
      <c r="A20" s="4" t="s">
        <v>170</v>
      </c>
      <c r="B20">
        <v>8761</v>
      </c>
      <c r="C20" t="s">
        <v>31</v>
      </c>
      <c r="D20" s="5">
        <v>10000</v>
      </c>
      <c r="E20" s="5">
        <f t="shared" si="0"/>
        <v>150000</v>
      </c>
      <c r="F20" s="5">
        <f t="shared" si="1"/>
        <v>60000</v>
      </c>
    </row>
    <row r="21" spans="1:6" x14ac:dyDescent="0.35">
      <c r="A21" s="4" t="s">
        <v>157</v>
      </c>
      <c r="B21">
        <v>9695</v>
      </c>
      <c r="C21" t="s">
        <v>31</v>
      </c>
      <c r="D21" s="5">
        <v>10000</v>
      </c>
      <c r="E21" s="5">
        <f>SUM(E20+D21)</f>
        <v>160000</v>
      </c>
      <c r="F21" s="5">
        <f t="shared" si="1"/>
        <v>50000</v>
      </c>
    </row>
    <row r="22" spans="1:6" x14ac:dyDescent="0.35">
      <c r="A22" s="4">
        <v>45544</v>
      </c>
      <c r="B22">
        <v>10643</v>
      </c>
      <c r="C22" t="s">
        <v>31</v>
      </c>
      <c r="D22" s="5">
        <v>10000</v>
      </c>
      <c r="E22" s="5">
        <f>SUM(E21+D22)</f>
        <v>170000</v>
      </c>
      <c r="F22" s="5">
        <f t="shared" si="1"/>
        <v>40000</v>
      </c>
    </row>
    <row r="23" spans="1:6" x14ac:dyDescent="0.35">
      <c r="A23" s="4" t="s">
        <v>158</v>
      </c>
      <c r="B23">
        <v>10241</v>
      </c>
      <c r="C23" t="s">
        <v>31</v>
      </c>
      <c r="D23" s="5">
        <v>10000</v>
      </c>
      <c r="E23" s="5">
        <f t="shared" ref="E23:E25" si="2">SUM(E22+D23)</f>
        <v>180000</v>
      </c>
      <c r="F23" s="5">
        <f t="shared" si="1"/>
        <v>30000</v>
      </c>
    </row>
    <row r="24" spans="1:6" x14ac:dyDescent="0.35">
      <c r="A24" s="4" t="s">
        <v>159</v>
      </c>
      <c r="B24">
        <v>12515</v>
      </c>
      <c r="C24" t="s">
        <v>31</v>
      </c>
      <c r="D24" s="5">
        <v>10000</v>
      </c>
      <c r="E24" s="5">
        <f t="shared" si="2"/>
        <v>190000</v>
      </c>
      <c r="F24" s="5">
        <f t="shared" si="1"/>
        <v>20000</v>
      </c>
    </row>
    <row r="25" spans="1:6" x14ac:dyDescent="0.35">
      <c r="A25" s="4">
        <v>45809</v>
      </c>
      <c r="B25">
        <v>12932</v>
      </c>
      <c r="C25" t="s">
        <v>31</v>
      </c>
      <c r="D25" s="5">
        <v>10000</v>
      </c>
      <c r="E25" s="5">
        <f t="shared" si="2"/>
        <v>200000</v>
      </c>
      <c r="F25" s="5">
        <f t="shared" si="1"/>
        <v>10000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21" workbookViewId="0">
      <selection activeCell="D32" sqref="D32"/>
    </sheetView>
  </sheetViews>
  <sheetFormatPr defaultRowHeight="14.5" x14ac:dyDescent="0.35"/>
  <cols>
    <col min="1" max="1" width="9.453125" bestFit="1" customWidth="1"/>
    <col min="3" max="3" width="11.26953125" customWidth="1"/>
    <col min="4" max="4" width="10.08984375" customWidth="1"/>
    <col min="5" max="5" width="10.1796875" customWidth="1"/>
    <col min="6" max="6" width="9.81640625" customWidth="1"/>
  </cols>
  <sheetData>
    <row r="1" spans="1:6" ht="18.5" x14ac:dyDescent="0.45">
      <c r="A1" s="1" t="s">
        <v>189</v>
      </c>
      <c r="B1" s="1"/>
      <c r="C1" s="1"/>
      <c r="D1" s="27"/>
      <c r="E1" s="1"/>
      <c r="F1" s="1"/>
    </row>
    <row r="2" spans="1:6" ht="18.5" x14ac:dyDescent="0.45">
      <c r="A2" s="1" t="s">
        <v>190</v>
      </c>
      <c r="B2" s="1"/>
      <c r="C2" s="1"/>
      <c r="D2" s="27"/>
      <c r="E2" s="1"/>
      <c r="F2" s="1"/>
    </row>
    <row r="3" spans="1:6" ht="18.5" x14ac:dyDescent="0.45">
      <c r="A3" s="1" t="s">
        <v>191</v>
      </c>
      <c r="B3" s="1"/>
      <c r="C3" s="1"/>
      <c r="D3" s="27"/>
      <c r="E3" s="1"/>
      <c r="F3" s="1"/>
    </row>
    <row r="4" spans="1:6" ht="18.5" x14ac:dyDescent="0.45">
      <c r="A4" s="1" t="s">
        <v>195</v>
      </c>
      <c r="B4" s="1"/>
      <c r="C4" s="1"/>
      <c r="D4" s="27"/>
      <c r="E4" s="1"/>
      <c r="F4" s="1"/>
    </row>
    <row r="5" spans="1:6" ht="18.5" x14ac:dyDescent="0.45">
      <c r="A5" s="1" t="s">
        <v>194</v>
      </c>
      <c r="B5" s="1"/>
      <c r="C5" s="1"/>
      <c r="D5" s="27"/>
      <c r="E5" s="1"/>
      <c r="F5" s="1"/>
    </row>
    <row r="6" spans="1:6" ht="18.5" x14ac:dyDescent="0.45">
      <c r="A6" s="1" t="s">
        <v>192</v>
      </c>
      <c r="B6" s="1"/>
      <c r="C6" s="1"/>
      <c r="D6" s="1" t="s">
        <v>193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s="4">
        <v>45298</v>
      </c>
      <c r="B8">
        <v>9350</v>
      </c>
      <c r="C8" t="s">
        <v>180</v>
      </c>
      <c r="D8" s="5">
        <v>150000</v>
      </c>
      <c r="E8" s="5">
        <v>150000</v>
      </c>
      <c r="F8" s="5">
        <v>500000</v>
      </c>
    </row>
    <row r="9" spans="1:6" x14ac:dyDescent="0.35">
      <c r="A9" s="4">
        <v>45574</v>
      </c>
      <c r="B9">
        <v>10669</v>
      </c>
      <c r="C9" t="s">
        <v>18</v>
      </c>
      <c r="D9" s="5">
        <v>20000</v>
      </c>
      <c r="E9" s="5">
        <f>SUM(E8+D9)</f>
        <v>170000</v>
      </c>
      <c r="F9" s="5">
        <f>F8-D9</f>
        <v>480000</v>
      </c>
    </row>
    <row r="10" spans="1:6" x14ac:dyDescent="0.35">
      <c r="A10" t="s">
        <v>113</v>
      </c>
      <c r="B10">
        <v>379</v>
      </c>
      <c r="C10" t="s">
        <v>18</v>
      </c>
      <c r="D10" s="5">
        <v>10000</v>
      </c>
      <c r="E10" s="5">
        <f t="shared" ref="E10:E28" si="0">SUM(E9+D10)</f>
        <v>180000</v>
      </c>
      <c r="F10" s="5">
        <f t="shared" ref="F10:F28" si="1">F9-D10</f>
        <v>470000</v>
      </c>
    </row>
    <row r="11" spans="1:6" x14ac:dyDescent="0.35">
      <c r="A11" t="s">
        <v>196</v>
      </c>
      <c r="B11">
        <v>12169</v>
      </c>
      <c r="C11" t="s">
        <v>18</v>
      </c>
      <c r="D11" s="5">
        <v>10000</v>
      </c>
      <c r="E11" s="5">
        <f t="shared" si="0"/>
        <v>190000</v>
      </c>
      <c r="F11" s="5">
        <f t="shared" si="1"/>
        <v>460000</v>
      </c>
    </row>
    <row r="12" spans="1:6" x14ac:dyDescent="0.35">
      <c r="A12" t="s">
        <v>141</v>
      </c>
      <c r="B12">
        <v>12621</v>
      </c>
      <c r="C12" t="s">
        <v>18</v>
      </c>
      <c r="D12" s="5">
        <v>10000</v>
      </c>
      <c r="E12" s="5">
        <f t="shared" si="0"/>
        <v>200000</v>
      </c>
      <c r="F12" s="5">
        <f t="shared" si="1"/>
        <v>450000</v>
      </c>
    </row>
    <row r="13" spans="1:6" x14ac:dyDescent="0.35">
      <c r="A13" t="s">
        <v>63</v>
      </c>
      <c r="B13">
        <v>9067</v>
      </c>
      <c r="C13" t="s">
        <v>18</v>
      </c>
      <c r="D13" s="5">
        <v>10000</v>
      </c>
      <c r="E13" s="5">
        <f t="shared" si="0"/>
        <v>210000</v>
      </c>
      <c r="F13" s="5">
        <f t="shared" si="1"/>
        <v>440000</v>
      </c>
    </row>
    <row r="14" spans="1:6" x14ac:dyDescent="0.35">
      <c r="A14" t="s">
        <v>197</v>
      </c>
      <c r="B14">
        <v>9513</v>
      </c>
      <c r="C14" t="s">
        <v>18</v>
      </c>
      <c r="D14" s="5">
        <v>10000</v>
      </c>
      <c r="E14" s="5">
        <f t="shared" si="0"/>
        <v>220000</v>
      </c>
      <c r="F14" s="5">
        <f t="shared" si="1"/>
        <v>430000</v>
      </c>
    </row>
    <row r="15" spans="1:6" x14ac:dyDescent="0.35">
      <c r="A15" t="s">
        <v>198</v>
      </c>
      <c r="B15">
        <v>9792</v>
      </c>
      <c r="C15" t="s">
        <v>18</v>
      </c>
      <c r="D15" s="5">
        <v>10000</v>
      </c>
      <c r="E15" s="5">
        <f t="shared" si="0"/>
        <v>230000</v>
      </c>
      <c r="F15" s="5">
        <f t="shared" si="1"/>
        <v>420000</v>
      </c>
    </row>
    <row r="16" spans="1:6" x14ac:dyDescent="0.35">
      <c r="A16" t="s">
        <v>199</v>
      </c>
      <c r="B16">
        <v>10192</v>
      </c>
      <c r="C16" t="s">
        <v>18</v>
      </c>
      <c r="D16" s="5">
        <v>10000</v>
      </c>
      <c r="E16" s="5">
        <f t="shared" si="0"/>
        <v>240000</v>
      </c>
      <c r="F16" s="5">
        <f t="shared" si="1"/>
        <v>410000</v>
      </c>
    </row>
    <row r="17" spans="1:6" x14ac:dyDescent="0.35">
      <c r="A17" t="s">
        <v>200</v>
      </c>
      <c r="B17">
        <v>10692</v>
      </c>
      <c r="C17" t="s">
        <v>18</v>
      </c>
      <c r="D17" s="5">
        <v>10000</v>
      </c>
      <c r="E17" s="5">
        <f t="shared" si="0"/>
        <v>250000</v>
      </c>
      <c r="F17" s="5">
        <f t="shared" si="1"/>
        <v>400000</v>
      </c>
    </row>
    <row r="18" spans="1:6" x14ac:dyDescent="0.35">
      <c r="A18" t="s">
        <v>201</v>
      </c>
      <c r="B18">
        <v>12867</v>
      </c>
      <c r="C18" t="s">
        <v>18</v>
      </c>
      <c r="D18" s="5">
        <v>10000</v>
      </c>
      <c r="E18" s="5">
        <f t="shared" si="0"/>
        <v>260000</v>
      </c>
      <c r="F18" s="5">
        <f t="shared" si="1"/>
        <v>390000</v>
      </c>
    </row>
    <row r="19" spans="1:6" x14ac:dyDescent="0.35">
      <c r="A19" t="s">
        <v>202</v>
      </c>
      <c r="B19">
        <v>12964</v>
      </c>
      <c r="C19" t="s">
        <v>18</v>
      </c>
      <c r="D19" s="5">
        <v>10000</v>
      </c>
      <c r="E19" s="5">
        <f t="shared" si="0"/>
        <v>270000</v>
      </c>
      <c r="F19" s="5">
        <f t="shared" si="1"/>
        <v>380000</v>
      </c>
    </row>
    <row r="20" spans="1:6" x14ac:dyDescent="0.35">
      <c r="A20" t="s">
        <v>203</v>
      </c>
      <c r="B20">
        <v>12790</v>
      </c>
      <c r="C20" t="s">
        <v>18</v>
      </c>
      <c r="D20" s="5">
        <v>10000</v>
      </c>
      <c r="E20" s="5">
        <f t="shared" si="0"/>
        <v>280000</v>
      </c>
      <c r="F20" s="5">
        <f t="shared" si="1"/>
        <v>370000</v>
      </c>
    </row>
    <row r="21" spans="1:6" x14ac:dyDescent="0.35">
      <c r="A21" t="s">
        <v>204</v>
      </c>
      <c r="B21">
        <v>13641</v>
      </c>
      <c r="C21" t="s">
        <v>18</v>
      </c>
      <c r="D21" s="5">
        <v>10000</v>
      </c>
      <c r="E21" s="5">
        <f t="shared" si="0"/>
        <v>290000</v>
      </c>
      <c r="F21" s="5">
        <f t="shared" si="1"/>
        <v>360000</v>
      </c>
    </row>
    <row r="22" spans="1:6" x14ac:dyDescent="0.35">
      <c r="A22" t="s">
        <v>68</v>
      </c>
      <c r="B22">
        <v>13077</v>
      </c>
      <c r="C22" t="s">
        <v>18</v>
      </c>
      <c r="D22" s="5">
        <v>10000</v>
      </c>
      <c r="E22" s="5">
        <f t="shared" si="0"/>
        <v>300000</v>
      </c>
      <c r="F22" s="5">
        <f t="shared" si="1"/>
        <v>350000</v>
      </c>
    </row>
    <row r="23" spans="1:6" x14ac:dyDescent="0.35">
      <c r="A23" t="s">
        <v>205</v>
      </c>
      <c r="B23">
        <v>12619</v>
      </c>
      <c r="C23" t="s">
        <v>18</v>
      </c>
      <c r="D23" s="5">
        <v>10000</v>
      </c>
      <c r="E23" s="5">
        <f t="shared" si="0"/>
        <v>310000</v>
      </c>
      <c r="F23" s="5">
        <f t="shared" si="1"/>
        <v>340000</v>
      </c>
    </row>
    <row r="24" spans="1:6" x14ac:dyDescent="0.35">
      <c r="A24" t="s">
        <v>206</v>
      </c>
      <c r="B24">
        <v>12154</v>
      </c>
      <c r="C24" t="s">
        <v>18</v>
      </c>
      <c r="D24" s="5">
        <v>10000</v>
      </c>
      <c r="E24" s="5">
        <f t="shared" si="0"/>
        <v>320000</v>
      </c>
      <c r="F24" s="5">
        <f t="shared" si="1"/>
        <v>330000</v>
      </c>
    </row>
    <row r="25" spans="1:6" x14ac:dyDescent="0.35">
      <c r="A25" t="s">
        <v>207</v>
      </c>
      <c r="B25">
        <v>12516</v>
      </c>
      <c r="C25" t="s">
        <v>18</v>
      </c>
      <c r="D25" s="5">
        <v>10000</v>
      </c>
      <c r="E25" s="5">
        <f t="shared" si="0"/>
        <v>330000</v>
      </c>
      <c r="F25" s="5">
        <f t="shared" si="1"/>
        <v>320000</v>
      </c>
    </row>
    <row r="26" spans="1:6" x14ac:dyDescent="0.35">
      <c r="A26" t="s">
        <v>208</v>
      </c>
      <c r="B26">
        <v>13944</v>
      </c>
      <c r="C26" t="s">
        <v>18</v>
      </c>
      <c r="D26" s="5">
        <v>10000</v>
      </c>
      <c r="E26" s="5">
        <f t="shared" si="0"/>
        <v>340000</v>
      </c>
      <c r="F26" s="5">
        <f t="shared" si="1"/>
        <v>310000</v>
      </c>
    </row>
    <row r="27" spans="1:6" x14ac:dyDescent="0.35">
      <c r="A27" t="s">
        <v>209</v>
      </c>
      <c r="B27">
        <v>13294</v>
      </c>
      <c r="C27" t="s">
        <v>18</v>
      </c>
      <c r="D27" s="5">
        <v>10000</v>
      </c>
      <c r="E27" s="5">
        <f t="shared" si="0"/>
        <v>350000</v>
      </c>
      <c r="F27" s="5">
        <f t="shared" si="1"/>
        <v>300000</v>
      </c>
    </row>
    <row r="28" spans="1:6" x14ac:dyDescent="0.35">
      <c r="A28" t="s">
        <v>383</v>
      </c>
      <c r="B28">
        <v>5787</v>
      </c>
      <c r="C28" t="s">
        <v>18</v>
      </c>
      <c r="D28" s="5">
        <v>10000</v>
      </c>
      <c r="E28" s="5">
        <f t="shared" si="0"/>
        <v>360000</v>
      </c>
      <c r="F28" s="5">
        <f t="shared" si="1"/>
        <v>290000</v>
      </c>
    </row>
    <row r="29" spans="1:6" x14ac:dyDescent="0.35">
      <c r="A29" t="s">
        <v>437</v>
      </c>
      <c r="B29">
        <v>13675</v>
      </c>
      <c r="C29" t="s">
        <v>18</v>
      </c>
      <c r="D29" s="5">
        <v>10000</v>
      </c>
      <c r="E29" s="5">
        <f>E28+D29</f>
        <v>370000</v>
      </c>
      <c r="F29" s="5">
        <f>F28-D29</f>
        <v>280000</v>
      </c>
    </row>
    <row r="30" spans="1:6" x14ac:dyDescent="0.35">
      <c r="A30" t="s">
        <v>483</v>
      </c>
      <c r="B30">
        <v>1512</v>
      </c>
      <c r="C30" t="s">
        <v>18</v>
      </c>
      <c r="D30" s="5">
        <v>10000</v>
      </c>
      <c r="E30" s="5">
        <f>E29+D30</f>
        <v>380000</v>
      </c>
      <c r="F30" s="5">
        <f>F29-D30</f>
        <v>270000</v>
      </c>
    </row>
    <row r="31" spans="1:6" x14ac:dyDescent="0.35">
      <c r="A31" t="s">
        <v>507</v>
      </c>
      <c r="B31">
        <v>2085</v>
      </c>
      <c r="C31" t="s">
        <v>18</v>
      </c>
      <c r="D31" s="5">
        <v>20000</v>
      </c>
      <c r="E31" s="5">
        <f>E30+D31</f>
        <v>400000</v>
      </c>
      <c r="F31" s="5">
        <f>F30-D31</f>
        <v>250000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topLeftCell="A13" workbookViewId="0">
      <selection activeCell="C18" sqref="C18"/>
    </sheetView>
  </sheetViews>
  <sheetFormatPr defaultRowHeight="14.5" x14ac:dyDescent="0.35"/>
  <cols>
    <col min="1" max="1" width="11.6328125" customWidth="1"/>
    <col min="3" max="3" width="14.7265625" customWidth="1"/>
    <col min="4" max="4" width="15.26953125" customWidth="1"/>
    <col min="5" max="5" width="10.7265625" customWidth="1"/>
    <col min="6" max="6" width="14.1796875" customWidth="1"/>
  </cols>
  <sheetData>
    <row r="1" spans="1:7" ht="18.5" x14ac:dyDescent="0.45">
      <c r="A1" s="1" t="s">
        <v>385</v>
      </c>
      <c r="B1" s="1" t="s">
        <v>391</v>
      </c>
      <c r="C1" s="1"/>
      <c r="D1" s="1"/>
      <c r="E1" s="1"/>
      <c r="F1" s="1"/>
      <c r="G1" s="1"/>
    </row>
    <row r="2" spans="1:7" ht="18.5" x14ac:dyDescent="0.45">
      <c r="A2" s="1" t="s">
        <v>386</v>
      </c>
      <c r="B2" s="1" t="s">
        <v>392</v>
      </c>
      <c r="C2" s="1"/>
      <c r="D2" s="1"/>
      <c r="E2" s="1"/>
      <c r="F2" s="1"/>
      <c r="G2" s="1"/>
    </row>
    <row r="3" spans="1:7" ht="18.5" x14ac:dyDescent="0.45">
      <c r="A3" s="1" t="s">
        <v>387</v>
      </c>
      <c r="B3" s="1" t="s">
        <v>393</v>
      </c>
      <c r="C3" s="1"/>
      <c r="D3" s="1"/>
      <c r="E3" s="1"/>
      <c r="F3" s="1"/>
      <c r="G3" s="1"/>
    </row>
    <row r="4" spans="1:7" ht="18.5" x14ac:dyDescent="0.45">
      <c r="A4" s="1" t="s">
        <v>388</v>
      </c>
      <c r="B4" s="1" t="s">
        <v>394</v>
      </c>
      <c r="C4" s="1"/>
      <c r="D4" s="1"/>
      <c r="E4" s="1"/>
      <c r="F4" s="1"/>
      <c r="G4" s="1"/>
    </row>
    <row r="5" spans="1:7" ht="18.5" x14ac:dyDescent="0.45">
      <c r="A5" s="1" t="s">
        <v>389</v>
      </c>
      <c r="B5" s="1" t="s">
        <v>395</v>
      </c>
      <c r="C5" s="1"/>
      <c r="D5" s="1"/>
      <c r="E5" s="1"/>
      <c r="F5" s="1"/>
      <c r="G5" s="1"/>
    </row>
    <row r="6" spans="1:7" ht="18.5" x14ac:dyDescent="0.45">
      <c r="A6" s="1" t="s">
        <v>390</v>
      </c>
      <c r="B6" s="1">
        <v>5706</v>
      </c>
      <c r="C6" s="1"/>
      <c r="D6" s="1" t="s">
        <v>511</v>
      </c>
      <c r="E6" s="1"/>
      <c r="F6" s="1"/>
      <c r="G6" s="1"/>
    </row>
    <row r="7" spans="1:7" ht="18.5" x14ac:dyDescent="0.45">
      <c r="A7" s="1"/>
      <c r="B7" s="1"/>
      <c r="C7" s="1"/>
      <c r="D7" s="1"/>
      <c r="E7" s="1"/>
      <c r="F7" s="1"/>
      <c r="G7" s="1"/>
    </row>
    <row r="8" spans="1:7" ht="18.5" x14ac:dyDescent="0.45">
      <c r="A8" s="44" t="s">
        <v>0</v>
      </c>
      <c r="B8" s="44" t="s">
        <v>1</v>
      </c>
      <c r="C8" s="44" t="s">
        <v>2</v>
      </c>
      <c r="D8" s="44" t="s">
        <v>3</v>
      </c>
      <c r="E8" s="44" t="s">
        <v>4</v>
      </c>
      <c r="F8" s="44" t="s">
        <v>5</v>
      </c>
      <c r="G8" s="1"/>
    </row>
    <row r="9" spans="1:7" x14ac:dyDescent="0.35">
      <c r="A9" t="s">
        <v>396</v>
      </c>
      <c r="B9">
        <v>12030</v>
      </c>
      <c r="C9" t="s">
        <v>407</v>
      </c>
      <c r="D9" s="43">
        <v>30000</v>
      </c>
      <c r="E9" s="43">
        <v>30000</v>
      </c>
      <c r="F9" s="43">
        <v>670000</v>
      </c>
    </row>
    <row r="10" spans="1:7" x14ac:dyDescent="0.35">
      <c r="A10" t="s">
        <v>397</v>
      </c>
      <c r="B10">
        <v>12929</v>
      </c>
      <c r="C10" t="s">
        <v>408</v>
      </c>
      <c r="D10" s="43">
        <v>10000</v>
      </c>
      <c r="E10" s="43">
        <f t="shared" ref="E10:E19" si="0">E9+D10</f>
        <v>40000</v>
      </c>
      <c r="F10" s="43">
        <f t="shared" ref="F10:F19" si="1">F9-D10</f>
        <v>660000</v>
      </c>
    </row>
    <row r="11" spans="1:7" x14ac:dyDescent="0.35">
      <c r="A11" t="s">
        <v>398</v>
      </c>
      <c r="B11">
        <v>13834</v>
      </c>
      <c r="C11" t="s">
        <v>408</v>
      </c>
      <c r="D11" s="43">
        <v>10000</v>
      </c>
      <c r="E11" s="43">
        <f t="shared" si="0"/>
        <v>50000</v>
      </c>
      <c r="F11" s="43">
        <f t="shared" si="1"/>
        <v>650000</v>
      </c>
    </row>
    <row r="12" spans="1:7" x14ac:dyDescent="0.35">
      <c r="A12" t="s">
        <v>399</v>
      </c>
      <c r="B12">
        <v>13613</v>
      </c>
      <c r="C12" t="s">
        <v>408</v>
      </c>
      <c r="D12" s="43">
        <v>10000</v>
      </c>
      <c r="E12" s="43">
        <f t="shared" si="0"/>
        <v>60000</v>
      </c>
      <c r="F12" s="43">
        <f t="shared" si="1"/>
        <v>640000</v>
      </c>
    </row>
    <row r="13" spans="1:7" x14ac:dyDescent="0.35">
      <c r="A13" t="s">
        <v>400</v>
      </c>
      <c r="B13">
        <v>13455</v>
      </c>
      <c r="C13" t="s">
        <v>408</v>
      </c>
      <c r="D13" s="43">
        <v>10000</v>
      </c>
      <c r="E13" s="43">
        <f t="shared" si="0"/>
        <v>70000</v>
      </c>
      <c r="F13" s="43">
        <f t="shared" si="1"/>
        <v>630000</v>
      </c>
    </row>
    <row r="14" spans="1:7" x14ac:dyDescent="0.35">
      <c r="A14" t="s">
        <v>401</v>
      </c>
      <c r="B14">
        <v>12991</v>
      </c>
      <c r="C14" t="s">
        <v>408</v>
      </c>
      <c r="D14" s="43">
        <v>10000</v>
      </c>
      <c r="E14" s="43">
        <f t="shared" si="0"/>
        <v>80000</v>
      </c>
      <c r="F14" s="43">
        <f t="shared" si="1"/>
        <v>620000</v>
      </c>
    </row>
    <row r="15" spans="1:7" x14ac:dyDescent="0.35">
      <c r="A15" t="s">
        <v>402</v>
      </c>
      <c r="B15">
        <v>12095</v>
      </c>
      <c r="C15" t="s">
        <v>408</v>
      </c>
      <c r="D15" s="43">
        <v>10000</v>
      </c>
      <c r="E15" s="43">
        <f t="shared" si="0"/>
        <v>90000</v>
      </c>
      <c r="F15" s="43">
        <f t="shared" si="1"/>
        <v>610000</v>
      </c>
    </row>
    <row r="16" spans="1:7" x14ac:dyDescent="0.35">
      <c r="A16" t="s">
        <v>403</v>
      </c>
      <c r="B16">
        <v>12462</v>
      </c>
      <c r="C16" t="s">
        <v>408</v>
      </c>
      <c r="D16" s="43">
        <v>10000</v>
      </c>
      <c r="E16" s="43">
        <f t="shared" si="0"/>
        <v>100000</v>
      </c>
      <c r="F16" s="43">
        <f t="shared" si="1"/>
        <v>600000</v>
      </c>
    </row>
    <row r="17" spans="1:6" x14ac:dyDescent="0.35">
      <c r="A17" t="s">
        <v>404</v>
      </c>
      <c r="B17">
        <v>12859</v>
      </c>
      <c r="C17" t="s">
        <v>408</v>
      </c>
      <c r="D17" s="43">
        <v>10000</v>
      </c>
      <c r="E17" s="43">
        <f t="shared" si="0"/>
        <v>110000</v>
      </c>
      <c r="F17" s="43">
        <f t="shared" si="1"/>
        <v>590000</v>
      </c>
    </row>
    <row r="18" spans="1:6" x14ac:dyDescent="0.35">
      <c r="A18" t="s">
        <v>405</v>
      </c>
      <c r="B18">
        <v>13177</v>
      </c>
      <c r="C18" t="s">
        <v>408</v>
      </c>
      <c r="D18" s="43">
        <v>10000</v>
      </c>
      <c r="E18" s="43">
        <f t="shared" si="0"/>
        <v>120000</v>
      </c>
      <c r="F18" s="43">
        <f t="shared" si="1"/>
        <v>580000</v>
      </c>
    </row>
    <row r="19" spans="1:6" x14ac:dyDescent="0.35">
      <c r="A19" t="s">
        <v>406</v>
      </c>
      <c r="B19">
        <v>13430</v>
      </c>
      <c r="C19" t="s">
        <v>408</v>
      </c>
      <c r="D19" s="43">
        <v>10000</v>
      </c>
      <c r="E19" s="43">
        <f t="shared" si="0"/>
        <v>130000</v>
      </c>
      <c r="F19" s="43">
        <f t="shared" si="1"/>
        <v>570000</v>
      </c>
    </row>
    <row r="20" spans="1:6" x14ac:dyDescent="0.35">
      <c r="A20" t="s">
        <v>410</v>
      </c>
      <c r="B20">
        <v>13533</v>
      </c>
      <c r="C20" t="s">
        <v>408</v>
      </c>
      <c r="D20" s="43">
        <v>10000</v>
      </c>
      <c r="E20" s="43">
        <f>E19+D20</f>
        <v>140000</v>
      </c>
      <c r="F20" s="43">
        <f>F19-D20</f>
        <v>560000</v>
      </c>
    </row>
    <row r="21" spans="1:6" x14ac:dyDescent="0.35">
      <c r="A21" t="s">
        <v>440</v>
      </c>
      <c r="B21">
        <v>1404</v>
      </c>
      <c r="C21" t="s">
        <v>408</v>
      </c>
      <c r="D21" s="43">
        <v>10000</v>
      </c>
      <c r="E21" s="43">
        <f>E20+D21</f>
        <v>150000</v>
      </c>
      <c r="F21" s="43">
        <f>F20-D21</f>
        <v>550000</v>
      </c>
    </row>
    <row r="22" spans="1:6" x14ac:dyDescent="0.35">
      <c r="A22" s="4">
        <v>46273</v>
      </c>
      <c r="B22">
        <v>1706</v>
      </c>
      <c r="C22" t="s">
        <v>408</v>
      </c>
      <c r="D22" s="43">
        <v>10000</v>
      </c>
      <c r="E22" s="43">
        <f>E21+D22</f>
        <v>160000</v>
      </c>
      <c r="F22" s="43">
        <f>F21-D22</f>
        <v>540000</v>
      </c>
    </row>
    <row r="23" spans="1:6" x14ac:dyDescent="0.35">
      <c r="A23" s="4">
        <v>46274</v>
      </c>
      <c r="B23">
        <v>1946</v>
      </c>
      <c r="C23" t="s">
        <v>408</v>
      </c>
      <c r="D23" s="43">
        <v>10000</v>
      </c>
      <c r="E23" s="43">
        <f>E22+D23</f>
        <v>170000</v>
      </c>
      <c r="F23" s="43">
        <f>F22-D23</f>
        <v>530000</v>
      </c>
    </row>
    <row r="24" spans="1:6" x14ac:dyDescent="0.35">
      <c r="A24" s="4">
        <v>46091</v>
      </c>
      <c r="B24">
        <v>2151</v>
      </c>
      <c r="C24" t="s">
        <v>408</v>
      </c>
      <c r="D24" s="5">
        <v>10000</v>
      </c>
      <c r="E24" s="5">
        <f>E23+D24</f>
        <v>180000</v>
      </c>
      <c r="F24" s="5">
        <f>F23-D24</f>
        <v>520000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25" workbookViewId="0">
      <selection activeCell="F38" sqref="F38"/>
    </sheetView>
  </sheetViews>
  <sheetFormatPr defaultRowHeight="14.5" x14ac:dyDescent="0.35"/>
  <cols>
    <col min="1" max="1" width="10.453125" bestFit="1" customWidth="1"/>
    <col min="3" max="3" width="13.90625" customWidth="1"/>
    <col min="4" max="4" width="14" customWidth="1"/>
    <col min="5" max="5" width="12.7265625" customWidth="1"/>
    <col min="6" max="6" width="14" customWidth="1"/>
  </cols>
  <sheetData>
    <row r="1" spans="1:6" ht="18.5" x14ac:dyDescent="0.45">
      <c r="A1" s="1" t="s">
        <v>245</v>
      </c>
      <c r="B1" s="1"/>
      <c r="C1" s="1"/>
      <c r="D1" s="27"/>
      <c r="E1" s="1"/>
      <c r="F1" s="1"/>
    </row>
    <row r="2" spans="1:6" ht="18.5" x14ac:dyDescent="0.45">
      <c r="A2" s="1" t="s">
        <v>246</v>
      </c>
      <c r="B2" s="1"/>
      <c r="C2" s="1"/>
      <c r="D2" s="27"/>
      <c r="E2" s="1"/>
      <c r="F2" s="1"/>
    </row>
    <row r="3" spans="1:6" ht="18.5" x14ac:dyDescent="0.45">
      <c r="A3" s="1" t="s">
        <v>247</v>
      </c>
      <c r="B3" s="1"/>
      <c r="C3" s="1"/>
      <c r="D3" s="27"/>
      <c r="E3" s="1"/>
      <c r="F3" s="1"/>
    </row>
    <row r="4" spans="1:6" ht="18.5" x14ac:dyDescent="0.45">
      <c r="A4" s="1" t="s">
        <v>250</v>
      </c>
      <c r="B4" s="1"/>
      <c r="C4" s="1"/>
      <c r="D4" s="27"/>
      <c r="E4" s="1"/>
      <c r="F4" s="1"/>
    </row>
    <row r="5" spans="1:6" ht="18.5" x14ac:dyDescent="0.45">
      <c r="A5" s="1" t="s">
        <v>248</v>
      </c>
      <c r="B5" s="1"/>
      <c r="C5" s="1"/>
      <c r="D5" s="27"/>
      <c r="E5" s="1"/>
      <c r="F5" s="1"/>
    </row>
    <row r="6" spans="1:6" ht="18.5" x14ac:dyDescent="0.45">
      <c r="A6" s="1" t="s">
        <v>249</v>
      </c>
      <c r="B6" s="1"/>
      <c r="C6" s="1"/>
      <c r="D6" s="1" t="s">
        <v>169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s="4">
        <v>44600</v>
      </c>
      <c r="B8">
        <v>114</v>
      </c>
      <c r="C8" t="s">
        <v>255</v>
      </c>
      <c r="D8" s="5">
        <v>10000</v>
      </c>
      <c r="E8" s="5">
        <v>10000</v>
      </c>
      <c r="F8" s="5">
        <v>260000</v>
      </c>
    </row>
    <row r="9" spans="1:6" x14ac:dyDescent="0.35">
      <c r="A9" s="4">
        <v>45173</v>
      </c>
      <c r="B9">
        <v>1029</v>
      </c>
      <c r="C9" t="s">
        <v>255</v>
      </c>
      <c r="D9" s="5">
        <v>10000</v>
      </c>
      <c r="E9" s="5">
        <f>SUM(E8+D9)</f>
        <v>20000</v>
      </c>
      <c r="F9" s="5">
        <f>F8-D9</f>
        <v>250000</v>
      </c>
    </row>
    <row r="10" spans="1:6" x14ac:dyDescent="0.35">
      <c r="A10" s="4">
        <v>45050</v>
      </c>
      <c r="B10">
        <v>1030</v>
      </c>
      <c r="C10" t="s">
        <v>255</v>
      </c>
      <c r="D10" s="5">
        <v>10000</v>
      </c>
      <c r="E10" s="5">
        <f>SUM(E9+D10)</f>
        <v>30000</v>
      </c>
      <c r="F10" s="5">
        <f>F9-D10</f>
        <v>240000</v>
      </c>
    </row>
    <row r="11" spans="1:6" x14ac:dyDescent="0.35">
      <c r="A11" t="s">
        <v>251</v>
      </c>
      <c r="B11">
        <v>2973</v>
      </c>
      <c r="C11" t="s">
        <v>255</v>
      </c>
      <c r="D11" s="5">
        <v>10000</v>
      </c>
      <c r="E11" s="5">
        <f t="shared" ref="E11:E29" si="0">SUM(E10+D11)</f>
        <v>40000</v>
      </c>
      <c r="F11" s="5">
        <f t="shared" ref="F11:F29" si="1">F10-D11</f>
        <v>230000</v>
      </c>
    </row>
    <row r="12" spans="1:6" x14ac:dyDescent="0.35">
      <c r="A12" t="s">
        <v>252</v>
      </c>
      <c r="B12">
        <v>2513</v>
      </c>
      <c r="C12" t="s">
        <v>255</v>
      </c>
      <c r="D12" s="5">
        <v>10000</v>
      </c>
      <c r="E12" s="5">
        <f t="shared" si="0"/>
        <v>50000</v>
      </c>
      <c r="F12" s="5">
        <f t="shared" si="1"/>
        <v>220000</v>
      </c>
    </row>
    <row r="13" spans="1:6" x14ac:dyDescent="0.35">
      <c r="A13" t="s">
        <v>253</v>
      </c>
      <c r="B13">
        <v>3888</v>
      </c>
      <c r="C13" t="s">
        <v>255</v>
      </c>
      <c r="D13" s="5">
        <v>10000</v>
      </c>
      <c r="E13" s="5">
        <f t="shared" si="0"/>
        <v>60000</v>
      </c>
      <c r="F13" s="5">
        <f t="shared" si="1"/>
        <v>210000</v>
      </c>
    </row>
    <row r="14" spans="1:6" x14ac:dyDescent="0.35">
      <c r="A14" s="4">
        <v>45271</v>
      </c>
      <c r="B14">
        <v>4845</v>
      </c>
      <c r="C14" t="s">
        <v>255</v>
      </c>
      <c r="D14" s="5">
        <v>20000</v>
      </c>
      <c r="E14" s="5">
        <f t="shared" si="0"/>
        <v>80000</v>
      </c>
      <c r="F14" s="5">
        <f t="shared" si="1"/>
        <v>190000</v>
      </c>
    </row>
    <row r="15" spans="1:6" x14ac:dyDescent="0.35">
      <c r="A15" s="4">
        <v>45211</v>
      </c>
      <c r="B15">
        <v>5411</v>
      </c>
      <c r="C15" t="s">
        <v>255</v>
      </c>
      <c r="D15" s="5">
        <v>20000</v>
      </c>
      <c r="E15" s="5">
        <f t="shared" si="0"/>
        <v>100000</v>
      </c>
      <c r="F15" s="5">
        <f t="shared" si="1"/>
        <v>170000</v>
      </c>
    </row>
    <row r="16" spans="1:6" x14ac:dyDescent="0.35">
      <c r="A16" s="4">
        <v>45200</v>
      </c>
      <c r="B16">
        <v>6054</v>
      </c>
      <c r="C16" t="s">
        <v>255</v>
      </c>
      <c r="D16" s="5">
        <v>20000</v>
      </c>
      <c r="E16" s="5">
        <f t="shared" si="0"/>
        <v>120000</v>
      </c>
      <c r="F16" s="5">
        <f t="shared" si="1"/>
        <v>150000</v>
      </c>
    </row>
    <row r="17" spans="1:6" x14ac:dyDescent="0.35">
      <c r="A17" s="4">
        <v>45232</v>
      </c>
      <c r="B17">
        <v>7058</v>
      </c>
      <c r="C17" t="s">
        <v>255</v>
      </c>
      <c r="D17" s="5">
        <v>20000</v>
      </c>
      <c r="E17" s="5">
        <f t="shared" si="0"/>
        <v>140000</v>
      </c>
      <c r="F17" s="5">
        <f t="shared" si="1"/>
        <v>130000</v>
      </c>
    </row>
    <row r="18" spans="1:6" x14ac:dyDescent="0.35">
      <c r="A18" t="s">
        <v>254</v>
      </c>
      <c r="B18">
        <v>7541</v>
      </c>
      <c r="C18" t="s">
        <v>255</v>
      </c>
      <c r="D18" s="5">
        <v>10000</v>
      </c>
      <c r="E18" s="5">
        <f t="shared" si="0"/>
        <v>150000</v>
      </c>
      <c r="F18" s="5">
        <f t="shared" si="1"/>
        <v>120000</v>
      </c>
    </row>
    <row r="19" spans="1:6" x14ac:dyDescent="0.35">
      <c r="A19" t="s">
        <v>256</v>
      </c>
      <c r="B19">
        <v>7867</v>
      </c>
      <c r="C19" t="s">
        <v>255</v>
      </c>
      <c r="D19" s="5">
        <v>10000</v>
      </c>
      <c r="E19" s="5">
        <f t="shared" si="0"/>
        <v>160000</v>
      </c>
      <c r="F19" s="5">
        <f t="shared" si="1"/>
        <v>110000</v>
      </c>
    </row>
    <row r="20" spans="1:6" x14ac:dyDescent="0.35">
      <c r="A20" s="4">
        <v>45631</v>
      </c>
      <c r="B20">
        <v>8433</v>
      </c>
      <c r="C20" t="s">
        <v>255</v>
      </c>
      <c r="D20" s="5">
        <v>15000</v>
      </c>
      <c r="E20" s="5">
        <f t="shared" si="0"/>
        <v>175000</v>
      </c>
      <c r="F20" s="5">
        <f t="shared" si="1"/>
        <v>95000</v>
      </c>
    </row>
    <row r="21" spans="1:6" x14ac:dyDescent="0.35">
      <c r="A21" s="4">
        <v>45602</v>
      </c>
      <c r="B21">
        <v>8979</v>
      </c>
      <c r="C21" t="s">
        <v>255</v>
      </c>
      <c r="D21" s="5">
        <v>15000</v>
      </c>
      <c r="E21" s="5">
        <f t="shared" si="0"/>
        <v>190000</v>
      </c>
      <c r="F21" s="5">
        <f t="shared" si="1"/>
        <v>80000</v>
      </c>
    </row>
    <row r="22" spans="1:6" x14ac:dyDescent="0.35">
      <c r="A22" t="s">
        <v>257</v>
      </c>
      <c r="B22">
        <v>9797</v>
      </c>
      <c r="C22" t="s">
        <v>255</v>
      </c>
      <c r="D22" s="5">
        <v>10000</v>
      </c>
      <c r="E22" s="5">
        <f t="shared" si="0"/>
        <v>200000</v>
      </c>
      <c r="F22" s="5">
        <f t="shared" si="1"/>
        <v>70000</v>
      </c>
    </row>
    <row r="23" spans="1:6" x14ac:dyDescent="0.35">
      <c r="A23" t="s">
        <v>87</v>
      </c>
      <c r="B23">
        <v>11234</v>
      </c>
      <c r="C23" t="s">
        <v>255</v>
      </c>
      <c r="D23" s="5">
        <v>10000</v>
      </c>
      <c r="E23" s="5">
        <f t="shared" si="0"/>
        <v>210000</v>
      </c>
      <c r="F23" s="5">
        <f t="shared" si="1"/>
        <v>60000</v>
      </c>
    </row>
    <row r="24" spans="1:6" x14ac:dyDescent="0.35">
      <c r="A24" t="s">
        <v>258</v>
      </c>
      <c r="B24">
        <v>10829</v>
      </c>
      <c r="C24" t="s">
        <v>255</v>
      </c>
      <c r="D24" s="5">
        <v>10000</v>
      </c>
      <c r="E24" s="5">
        <f t="shared" si="0"/>
        <v>220000</v>
      </c>
      <c r="F24" s="5">
        <f t="shared" si="1"/>
        <v>50000</v>
      </c>
    </row>
    <row r="25" spans="1:6" x14ac:dyDescent="0.35">
      <c r="A25" t="s">
        <v>32</v>
      </c>
      <c r="B25">
        <v>11621</v>
      </c>
      <c r="C25" t="s">
        <v>255</v>
      </c>
      <c r="D25" s="5">
        <v>10000</v>
      </c>
      <c r="E25" s="5">
        <f t="shared" si="0"/>
        <v>230000</v>
      </c>
      <c r="F25" s="5">
        <f t="shared" si="1"/>
        <v>40000</v>
      </c>
    </row>
    <row r="26" spans="1:6" x14ac:dyDescent="0.35">
      <c r="A26" t="s">
        <v>140</v>
      </c>
      <c r="B26">
        <v>10668</v>
      </c>
      <c r="C26" t="s">
        <v>255</v>
      </c>
      <c r="D26" s="5">
        <v>10000</v>
      </c>
      <c r="E26" s="5">
        <f t="shared" si="0"/>
        <v>240000</v>
      </c>
      <c r="F26" s="5">
        <f t="shared" si="1"/>
        <v>30000</v>
      </c>
    </row>
    <row r="27" spans="1:6" x14ac:dyDescent="0.35">
      <c r="A27" t="s">
        <v>259</v>
      </c>
      <c r="B27">
        <v>10669</v>
      </c>
      <c r="C27" t="s">
        <v>255</v>
      </c>
      <c r="D27" s="5">
        <v>10000</v>
      </c>
      <c r="E27" s="5">
        <f t="shared" si="0"/>
        <v>250000</v>
      </c>
      <c r="F27" s="5">
        <f t="shared" si="1"/>
        <v>20000</v>
      </c>
    </row>
    <row r="28" spans="1:6" x14ac:dyDescent="0.35">
      <c r="A28" s="4">
        <v>45474</v>
      </c>
      <c r="B28">
        <v>10670</v>
      </c>
      <c r="C28" t="s">
        <v>255</v>
      </c>
      <c r="D28" s="5">
        <v>10000</v>
      </c>
      <c r="E28" s="5">
        <f t="shared" si="0"/>
        <v>260000</v>
      </c>
      <c r="F28" s="5">
        <f t="shared" si="1"/>
        <v>10000</v>
      </c>
    </row>
    <row r="29" spans="1:6" x14ac:dyDescent="0.35">
      <c r="A29" t="s">
        <v>260</v>
      </c>
      <c r="B29">
        <v>10667</v>
      </c>
      <c r="C29" t="s">
        <v>255</v>
      </c>
      <c r="D29" s="5">
        <v>10000</v>
      </c>
      <c r="E29" s="5">
        <f t="shared" si="0"/>
        <v>270000</v>
      </c>
      <c r="F29" s="5">
        <f t="shared" si="1"/>
        <v>0</v>
      </c>
    </row>
    <row r="30" spans="1:6" ht="18.5" x14ac:dyDescent="0.45">
      <c r="A30" s="35" t="s">
        <v>143</v>
      </c>
      <c r="B30" s="35"/>
      <c r="C30" s="35"/>
      <c r="D30" s="14"/>
    </row>
    <row r="31" spans="1:6" ht="18.5" x14ac:dyDescent="0.45">
      <c r="A31" s="36" t="s">
        <v>0</v>
      </c>
      <c r="B31" s="36" t="s">
        <v>1</v>
      </c>
      <c r="C31" s="36" t="s">
        <v>2</v>
      </c>
      <c r="D31" s="36" t="s">
        <v>3</v>
      </c>
      <c r="E31" s="36" t="s">
        <v>4</v>
      </c>
      <c r="F31" s="36" t="s">
        <v>5</v>
      </c>
    </row>
    <row r="32" spans="1:6" x14ac:dyDescent="0.35">
      <c r="A32" t="s">
        <v>462</v>
      </c>
      <c r="B32">
        <v>5126</v>
      </c>
      <c r="C32" t="s">
        <v>468</v>
      </c>
      <c r="D32" s="5">
        <v>10000</v>
      </c>
      <c r="E32" s="5">
        <v>10000</v>
      </c>
      <c r="F32" s="5">
        <v>440000</v>
      </c>
    </row>
    <row r="33" spans="1:6" x14ac:dyDescent="0.35">
      <c r="A33" t="s">
        <v>463</v>
      </c>
      <c r="B33">
        <v>5350</v>
      </c>
      <c r="C33" t="s">
        <v>468</v>
      </c>
      <c r="D33" s="5">
        <v>5000</v>
      </c>
      <c r="E33" s="5">
        <f t="shared" ref="E33:E38" si="2">E32+D33</f>
        <v>15000</v>
      </c>
      <c r="F33" s="5">
        <f>F32-D33</f>
        <v>435000</v>
      </c>
    </row>
    <row r="34" spans="1:6" x14ac:dyDescent="0.35">
      <c r="A34" t="s">
        <v>464</v>
      </c>
      <c r="B34">
        <v>5581</v>
      </c>
      <c r="C34" t="s">
        <v>468</v>
      </c>
      <c r="D34" s="5">
        <v>5000</v>
      </c>
      <c r="E34" s="5">
        <f t="shared" si="2"/>
        <v>20000</v>
      </c>
      <c r="F34" s="5">
        <f>F33-D34</f>
        <v>430000</v>
      </c>
    </row>
    <row r="35" spans="1:6" x14ac:dyDescent="0.35">
      <c r="A35" t="s">
        <v>465</v>
      </c>
      <c r="B35">
        <v>5769</v>
      </c>
      <c r="C35" t="s">
        <v>468</v>
      </c>
      <c r="D35" s="5">
        <v>5000</v>
      </c>
      <c r="E35" s="5">
        <f t="shared" si="2"/>
        <v>25000</v>
      </c>
      <c r="F35" s="5">
        <f>F34-D35</f>
        <v>425000</v>
      </c>
    </row>
    <row r="36" spans="1:6" x14ac:dyDescent="0.35">
      <c r="A36" t="s">
        <v>466</v>
      </c>
      <c r="B36">
        <v>5992</v>
      </c>
      <c r="C36" t="s">
        <v>468</v>
      </c>
      <c r="D36" s="5">
        <v>5000</v>
      </c>
      <c r="E36" s="5">
        <f t="shared" si="2"/>
        <v>30000</v>
      </c>
      <c r="F36" s="5">
        <f>F35-D36</f>
        <v>420000</v>
      </c>
    </row>
    <row r="37" spans="1:6" x14ac:dyDescent="0.35">
      <c r="A37" t="s">
        <v>467</v>
      </c>
      <c r="B37">
        <v>1534</v>
      </c>
      <c r="C37" t="s">
        <v>468</v>
      </c>
      <c r="D37" s="5">
        <v>130000</v>
      </c>
      <c r="E37" s="5">
        <f t="shared" si="2"/>
        <v>160000</v>
      </c>
      <c r="F37" s="5">
        <f>F36-D37</f>
        <v>290000</v>
      </c>
    </row>
    <row r="38" spans="1:6" x14ac:dyDescent="0.35">
      <c r="A38" t="s">
        <v>469</v>
      </c>
      <c r="B38">
        <v>1971</v>
      </c>
      <c r="C38" t="s">
        <v>468</v>
      </c>
      <c r="D38" s="5">
        <v>20000</v>
      </c>
      <c r="E38" s="5">
        <f t="shared" si="2"/>
        <v>180000</v>
      </c>
      <c r="F38" s="37" t="s">
        <v>282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E11" sqref="E11"/>
    </sheetView>
  </sheetViews>
  <sheetFormatPr defaultRowHeight="14.5" x14ac:dyDescent="0.35"/>
  <cols>
    <col min="1" max="1" width="10.453125" customWidth="1"/>
    <col min="3" max="3" width="12.26953125" customWidth="1"/>
    <col min="4" max="4" width="12.1796875" customWidth="1"/>
    <col min="5" max="5" width="10.6328125" customWidth="1"/>
    <col min="6" max="6" width="11.81640625" customWidth="1"/>
  </cols>
  <sheetData>
    <row r="1" spans="1:6" ht="18.5" x14ac:dyDescent="0.45">
      <c r="A1" s="1" t="s">
        <v>261</v>
      </c>
      <c r="B1" s="1"/>
      <c r="C1" s="1"/>
      <c r="D1" s="27"/>
      <c r="E1" s="1"/>
      <c r="F1" s="1"/>
    </row>
    <row r="2" spans="1:6" ht="18.5" x14ac:dyDescent="0.45">
      <c r="A2" s="1" t="s">
        <v>262</v>
      </c>
      <c r="B2" s="1"/>
      <c r="C2" s="1"/>
      <c r="D2" s="27"/>
      <c r="E2" s="1"/>
      <c r="F2" s="1"/>
    </row>
    <row r="3" spans="1:6" ht="18.5" x14ac:dyDescent="0.45">
      <c r="A3" s="1" t="s">
        <v>263</v>
      </c>
      <c r="B3" s="1"/>
      <c r="C3" s="1"/>
      <c r="D3" s="27"/>
      <c r="E3" s="1"/>
      <c r="F3" s="1"/>
    </row>
    <row r="4" spans="1:6" ht="18.5" x14ac:dyDescent="0.45">
      <c r="A4" s="1" t="s">
        <v>266</v>
      </c>
      <c r="B4" s="1"/>
      <c r="C4" s="1"/>
      <c r="D4" s="27"/>
      <c r="E4" s="1"/>
      <c r="F4" s="1"/>
    </row>
    <row r="5" spans="1:6" ht="18.5" x14ac:dyDescent="0.45">
      <c r="A5" s="1" t="s">
        <v>264</v>
      </c>
      <c r="B5" s="1"/>
      <c r="C5" s="1"/>
      <c r="D5" s="27"/>
      <c r="E5" s="1"/>
      <c r="F5" s="1"/>
    </row>
    <row r="6" spans="1:6" ht="18.5" x14ac:dyDescent="0.45">
      <c r="A6" s="1" t="s">
        <v>265</v>
      </c>
      <c r="B6" s="1"/>
      <c r="C6" s="1"/>
      <c r="D6" s="1" t="s">
        <v>169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t="s">
        <v>267</v>
      </c>
      <c r="B8">
        <v>113</v>
      </c>
      <c r="C8" t="s">
        <v>280</v>
      </c>
      <c r="D8" s="5">
        <v>10000</v>
      </c>
      <c r="E8" s="5">
        <v>10000</v>
      </c>
      <c r="F8" s="5">
        <v>240000</v>
      </c>
    </row>
    <row r="9" spans="1:6" x14ac:dyDescent="0.35">
      <c r="A9" s="4">
        <v>45050</v>
      </c>
      <c r="B9">
        <v>1165</v>
      </c>
      <c r="C9" t="s">
        <v>223</v>
      </c>
      <c r="D9" s="5">
        <v>20000</v>
      </c>
      <c r="E9" s="5">
        <f>SUM(E8+D9)</f>
        <v>30000</v>
      </c>
      <c r="F9" s="5">
        <f>F8-D9</f>
        <v>220000</v>
      </c>
    </row>
    <row r="10" spans="1:6" x14ac:dyDescent="0.35">
      <c r="A10" s="30">
        <v>44866</v>
      </c>
      <c r="B10">
        <v>1160</v>
      </c>
      <c r="C10" t="s">
        <v>281</v>
      </c>
      <c r="D10" s="5">
        <v>10000</v>
      </c>
      <c r="E10" s="5">
        <f t="shared" ref="E10:E29" si="0">SUM(E9+D10)</f>
        <v>40000</v>
      </c>
      <c r="F10" s="5">
        <f t="shared" ref="F10:F28" si="1">F9-D10</f>
        <v>210000</v>
      </c>
    </row>
    <row r="11" spans="1:6" x14ac:dyDescent="0.35">
      <c r="A11" s="30">
        <v>45047</v>
      </c>
      <c r="B11">
        <v>221</v>
      </c>
      <c r="C11" t="s">
        <v>223</v>
      </c>
      <c r="D11" s="5">
        <v>10000</v>
      </c>
      <c r="E11" s="5">
        <f t="shared" si="0"/>
        <v>50000</v>
      </c>
      <c r="F11" s="5">
        <f t="shared" si="1"/>
        <v>200000</v>
      </c>
    </row>
    <row r="12" spans="1:6" x14ac:dyDescent="0.35">
      <c r="A12" s="30">
        <v>45108</v>
      </c>
      <c r="B12">
        <v>2973</v>
      </c>
      <c r="C12" t="s">
        <v>223</v>
      </c>
      <c r="D12" s="5">
        <v>10000</v>
      </c>
      <c r="E12" s="5">
        <f t="shared" si="0"/>
        <v>60000</v>
      </c>
      <c r="F12" s="5">
        <f t="shared" si="1"/>
        <v>190000</v>
      </c>
    </row>
    <row r="13" spans="1:6" x14ac:dyDescent="0.35">
      <c r="A13" s="30">
        <v>45139</v>
      </c>
      <c r="B13">
        <v>3811</v>
      </c>
      <c r="C13" t="s">
        <v>223</v>
      </c>
      <c r="D13" s="5">
        <v>10000</v>
      </c>
      <c r="E13" s="5">
        <f t="shared" si="0"/>
        <v>70000</v>
      </c>
      <c r="F13" s="5">
        <f t="shared" si="1"/>
        <v>180000</v>
      </c>
    </row>
    <row r="14" spans="1:6" x14ac:dyDescent="0.35">
      <c r="A14" s="30">
        <v>45170</v>
      </c>
      <c r="B14">
        <v>5156</v>
      </c>
      <c r="C14" t="s">
        <v>223</v>
      </c>
      <c r="D14" s="5">
        <v>10000</v>
      </c>
      <c r="E14" s="5">
        <f t="shared" si="0"/>
        <v>80000</v>
      </c>
      <c r="F14" s="5">
        <f t="shared" si="1"/>
        <v>170000</v>
      </c>
    </row>
    <row r="15" spans="1:6" x14ac:dyDescent="0.35">
      <c r="A15" s="30">
        <v>45200</v>
      </c>
      <c r="B15">
        <v>5157</v>
      </c>
      <c r="C15" t="s">
        <v>223</v>
      </c>
      <c r="D15" s="5">
        <v>10000</v>
      </c>
      <c r="E15" s="5">
        <f t="shared" si="0"/>
        <v>90000</v>
      </c>
      <c r="F15" s="5">
        <f t="shared" si="1"/>
        <v>160000</v>
      </c>
    </row>
    <row r="16" spans="1:6" x14ac:dyDescent="0.35">
      <c r="A16" s="30">
        <v>45231</v>
      </c>
      <c r="B16">
        <v>5821</v>
      </c>
      <c r="C16" t="s">
        <v>223</v>
      </c>
      <c r="D16" s="5">
        <v>15000</v>
      </c>
      <c r="E16" s="5">
        <f t="shared" si="0"/>
        <v>105000</v>
      </c>
      <c r="F16" s="5">
        <f t="shared" si="1"/>
        <v>145000</v>
      </c>
    </row>
    <row r="17" spans="1:6" x14ac:dyDescent="0.35">
      <c r="A17" s="30">
        <v>45261</v>
      </c>
      <c r="B17">
        <v>6472</v>
      </c>
      <c r="C17" t="s">
        <v>223</v>
      </c>
      <c r="D17" s="5">
        <v>15000</v>
      </c>
      <c r="E17" s="5">
        <f t="shared" si="0"/>
        <v>120000</v>
      </c>
      <c r="F17" s="5">
        <f t="shared" si="1"/>
        <v>130000</v>
      </c>
    </row>
    <row r="18" spans="1:6" x14ac:dyDescent="0.35">
      <c r="A18" t="s">
        <v>268</v>
      </c>
      <c r="B18">
        <v>6840</v>
      </c>
      <c r="C18" t="s">
        <v>223</v>
      </c>
      <c r="D18" s="5">
        <v>10000</v>
      </c>
      <c r="E18" s="5">
        <f t="shared" si="0"/>
        <v>130000</v>
      </c>
      <c r="F18" s="5">
        <f t="shared" si="1"/>
        <v>120000</v>
      </c>
    </row>
    <row r="19" spans="1:6" x14ac:dyDescent="0.35">
      <c r="A19" t="s">
        <v>269</v>
      </c>
      <c r="B19">
        <v>7560</v>
      </c>
      <c r="C19" t="s">
        <v>223</v>
      </c>
      <c r="D19" s="5">
        <v>10000</v>
      </c>
      <c r="E19" s="5">
        <f t="shared" si="0"/>
        <v>140000</v>
      </c>
      <c r="F19" s="5">
        <f t="shared" si="1"/>
        <v>110000</v>
      </c>
    </row>
    <row r="20" spans="1:6" x14ac:dyDescent="0.35">
      <c r="A20" t="s">
        <v>270</v>
      </c>
      <c r="B20">
        <v>8107</v>
      </c>
      <c r="C20" t="s">
        <v>223</v>
      </c>
      <c r="D20" s="5">
        <v>10000</v>
      </c>
      <c r="E20" s="5">
        <f t="shared" si="0"/>
        <v>150000</v>
      </c>
      <c r="F20" s="5">
        <f t="shared" si="1"/>
        <v>100000</v>
      </c>
    </row>
    <row r="21" spans="1:6" x14ac:dyDescent="0.35">
      <c r="A21" t="s">
        <v>271</v>
      </c>
      <c r="B21">
        <v>8787</v>
      </c>
      <c r="C21" t="s">
        <v>223</v>
      </c>
      <c r="D21" s="5">
        <v>10000</v>
      </c>
      <c r="E21" s="5">
        <f t="shared" si="0"/>
        <v>160000</v>
      </c>
      <c r="F21" s="5">
        <f t="shared" si="1"/>
        <v>90000</v>
      </c>
    </row>
    <row r="22" spans="1:6" x14ac:dyDescent="0.35">
      <c r="A22" t="s">
        <v>272</v>
      </c>
      <c r="B22">
        <v>9783</v>
      </c>
      <c r="C22" t="s">
        <v>223</v>
      </c>
      <c r="D22" s="5">
        <v>10000</v>
      </c>
      <c r="E22" s="5">
        <f t="shared" si="0"/>
        <v>170000</v>
      </c>
      <c r="F22" s="5">
        <f t="shared" si="1"/>
        <v>80000</v>
      </c>
    </row>
    <row r="23" spans="1:6" x14ac:dyDescent="0.35">
      <c r="A23" t="s">
        <v>273</v>
      </c>
      <c r="B23">
        <v>9783</v>
      </c>
      <c r="C23" t="s">
        <v>223</v>
      </c>
      <c r="D23" s="5">
        <v>10000</v>
      </c>
      <c r="E23" s="5">
        <f t="shared" si="0"/>
        <v>180000</v>
      </c>
      <c r="F23" s="5">
        <f t="shared" si="1"/>
        <v>70000</v>
      </c>
    </row>
    <row r="24" spans="1:6" x14ac:dyDescent="0.35">
      <c r="A24" t="s">
        <v>274</v>
      </c>
      <c r="B24">
        <v>10150</v>
      </c>
      <c r="C24" t="s">
        <v>223</v>
      </c>
      <c r="D24" s="5">
        <v>10000</v>
      </c>
      <c r="E24" s="5">
        <f t="shared" si="0"/>
        <v>190000</v>
      </c>
      <c r="F24" s="5">
        <f t="shared" si="1"/>
        <v>60000</v>
      </c>
    </row>
    <row r="25" spans="1:6" x14ac:dyDescent="0.35">
      <c r="A25" t="s">
        <v>275</v>
      </c>
      <c r="B25">
        <v>10151</v>
      </c>
      <c r="C25" t="s">
        <v>223</v>
      </c>
      <c r="D25" s="5">
        <v>10000</v>
      </c>
      <c r="E25" s="5">
        <f t="shared" si="0"/>
        <v>200000</v>
      </c>
      <c r="F25" s="5">
        <f t="shared" si="1"/>
        <v>50000</v>
      </c>
    </row>
    <row r="26" spans="1:6" x14ac:dyDescent="0.35">
      <c r="A26" t="s">
        <v>276</v>
      </c>
      <c r="B26">
        <v>11510</v>
      </c>
      <c r="C26" t="s">
        <v>223</v>
      </c>
      <c r="D26" s="5">
        <v>10000</v>
      </c>
      <c r="E26" s="5">
        <f t="shared" si="0"/>
        <v>210000</v>
      </c>
      <c r="F26" s="5">
        <f t="shared" si="1"/>
        <v>40000</v>
      </c>
    </row>
    <row r="27" spans="1:6" x14ac:dyDescent="0.35">
      <c r="A27" t="s">
        <v>277</v>
      </c>
      <c r="B27">
        <v>12534</v>
      </c>
      <c r="C27" t="s">
        <v>223</v>
      </c>
      <c r="D27" s="5">
        <v>10000</v>
      </c>
      <c r="E27" s="5">
        <f t="shared" si="0"/>
        <v>220000</v>
      </c>
      <c r="F27" s="5">
        <f t="shared" si="1"/>
        <v>30000</v>
      </c>
    </row>
    <row r="28" spans="1:6" x14ac:dyDescent="0.35">
      <c r="A28" t="s">
        <v>278</v>
      </c>
      <c r="B28">
        <v>12816</v>
      </c>
      <c r="C28" t="s">
        <v>223</v>
      </c>
      <c r="D28" s="5">
        <v>10000</v>
      </c>
      <c r="E28" s="5">
        <f t="shared" si="0"/>
        <v>230000</v>
      </c>
      <c r="F28" s="5">
        <f t="shared" si="1"/>
        <v>20000</v>
      </c>
    </row>
    <row r="29" spans="1:6" x14ac:dyDescent="0.35">
      <c r="A29" t="s">
        <v>279</v>
      </c>
      <c r="B29">
        <v>9154</v>
      </c>
      <c r="C29" t="s">
        <v>223</v>
      </c>
      <c r="D29" s="5">
        <v>10000</v>
      </c>
      <c r="E29" s="5">
        <f t="shared" si="0"/>
        <v>240000</v>
      </c>
      <c r="F29" s="5" t="s">
        <v>282</v>
      </c>
    </row>
    <row r="31" spans="1:6" x14ac:dyDescent="0.35">
      <c r="A31" t="s">
        <v>283</v>
      </c>
      <c r="B31">
        <v>3399</v>
      </c>
      <c r="C31" t="s">
        <v>284</v>
      </c>
      <c r="D31" s="5">
        <v>180000</v>
      </c>
      <c r="E31" s="5">
        <v>180000</v>
      </c>
      <c r="F31" t="s">
        <v>282</v>
      </c>
    </row>
    <row r="32" spans="1:6" ht="18.5" x14ac:dyDescent="0.45">
      <c r="A32" s="14" t="s">
        <v>244</v>
      </c>
      <c r="B32" s="14"/>
      <c r="C32" s="14"/>
      <c r="D32" s="14"/>
      <c r="E32" s="14"/>
      <c r="F32" s="1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J15" sqref="J15"/>
    </sheetView>
  </sheetViews>
  <sheetFormatPr defaultRowHeight="14.5" x14ac:dyDescent="0.35"/>
  <cols>
    <col min="1" max="1" width="9.26953125" customWidth="1"/>
    <col min="3" max="3" width="12.6328125" customWidth="1"/>
    <col min="6" max="6" width="11.453125" customWidth="1"/>
  </cols>
  <sheetData>
    <row r="1" spans="1:6" ht="18.5" x14ac:dyDescent="0.45">
      <c r="A1" s="1" t="s">
        <v>322</v>
      </c>
      <c r="B1" s="1"/>
      <c r="C1" s="1"/>
      <c r="D1" s="27"/>
      <c r="E1" s="1"/>
      <c r="F1" s="1"/>
    </row>
    <row r="2" spans="1:6" ht="18.5" x14ac:dyDescent="0.45">
      <c r="A2" s="1" t="s">
        <v>323</v>
      </c>
      <c r="B2" s="1"/>
      <c r="C2" s="1"/>
      <c r="D2" s="27"/>
      <c r="E2" s="1"/>
      <c r="F2" s="1"/>
    </row>
    <row r="3" spans="1:6" ht="18.5" x14ac:dyDescent="0.45">
      <c r="A3" s="1" t="s">
        <v>324</v>
      </c>
      <c r="B3" s="1"/>
      <c r="C3" s="1"/>
      <c r="D3" s="27"/>
      <c r="E3" s="1"/>
      <c r="F3" s="1"/>
    </row>
    <row r="4" spans="1:6" ht="18.5" x14ac:dyDescent="0.45">
      <c r="A4" s="1" t="s">
        <v>325</v>
      </c>
      <c r="B4" s="1"/>
      <c r="C4" s="1"/>
      <c r="D4" s="27"/>
      <c r="E4" s="1"/>
      <c r="F4" s="1"/>
    </row>
    <row r="5" spans="1:6" ht="18.5" x14ac:dyDescent="0.45">
      <c r="A5" s="1" t="s">
        <v>77</v>
      </c>
      <c r="B5" s="1"/>
      <c r="C5" s="1"/>
      <c r="D5" s="27"/>
      <c r="E5" s="1"/>
      <c r="F5" s="1"/>
    </row>
    <row r="6" spans="1:6" ht="18.5" x14ac:dyDescent="0.45">
      <c r="A6" s="1" t="s">
        <v>346</v>
      </c>
      <c r="B6" s="1"/>
      <c r="C6" s="1"/>
      <c r="D6" s="1" t="s">
        <v>212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t="s">
        <v>326</v>
      </c>
      <c r="B8">
        <v>12912</v>
      </c>
      <c r="C8" t="s">
        <v>310</v>
      </c>
      <c r="D8" s="5">
        <v>600000</v>
      </c>
      <c r="E8" s="5">
        <v>600000</v>
      </c>
      <c r="F8" t="s">
        <v>188</v>
      </c>
    </row>
    <row r="9" spans="1:6" x14ac:dyDescent="0.35">
      <c r="A9" t="s">
        <v>326</v>
      </c>
      <c r="B9">
        <v>1352</v>
      </c>
      <c r="C9" t="s">
        <v>243</v>
      </c>
      <c r="D9" s="5">
        <v>550000</v>
      </c>
      <c r="E9" s="5">
        <v>550000</v>
      </c>
      <c r="F9" t="s">
        <v>188</v>
      </c>
    </row>
    <row r="10" spans="1:6" ht="18.5" x14ac:dyDescent="0.45">
      <c r="A10" s="14" t="s">
        <v>327</v>
      </c>
      <c r="B10" s="14"/>
      <c r="C10" s="14"/>
      <c r="D10" s="14"/>
      <c r="E10" s="14"/>
      <c r="F10" s="1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sqref="A1:G7"/>
    </sheetView>
  </sheetViews>
  <sheetFormatPr defaultRowHeight="14.5" x14ac:dyDescent="0.35"/>
  <cols>
    <col min="3" max="3" width="13.453125" customWidth="1"/>
  </cols>
  <sheetData>
    <row r="1" spans="1:6" ht="18.5" x14ac:dyDescent="0.45">
      <c r="A1" s="1" t="s">
        <v>285</v>
      </c>
      <c r="B1" s="1"/>
      <c r="C1" s="1"/>
      <c r="D1" s="27"/>
      <c r="E1" s="1"/>
      <c r="F1" s="1"/>
    </row>
    <row r="2" spans="1:6" ht="18.5" x14ac:dyDescent="0.45">
      <c r="A2" s="1" t="s">
        <v>286</v>
      </c>
      <c r="B2" s="1"/>
      <c r="C2" s="1"/>
      <c r="D2" s="27"/>
      <c r="E2" s="1"/>
      <c r="F2" s="1"/>
    </row>
    <row r="3" spans="1:6" ht="18.5" x14ac:dyDescent="0.45">
      <c r="A3" s="1" t="s">
        <v>287</v>
      </c>
      <c r="B3" s="1"/>
      <c r="C3" s="1"/>
      <c r="D3" s="27"/>
      <c r="E3" s="1"/>
      <c r="F3" s="1"/>
    </row>
    <row r="4" spans="1:6" ht="18.5" x14ac:dyDescent="0.45">
      <c r="A4" s="1" t="s">
        <v>293</v>
      </c>
      <c r="B4" s="1"/>
      <c r="C4" s="1"/>
      <c r="D4" s="27"/>
      <c r="E4" s="1"/>
      <c r="F4" s="1"/>
    </row>
    <row r="5" spans="1:6" ht="18.5" x14ac:dyDescent="0.45">
      <c r="A5" s="1" t="s">
        <v>288</v>
      </c>
      <c r="B5" s="1"/>
      <c r="C5" s="1"/>
      <c r="D5" s="27"/>
      <c r="E5" s="1"/>
      <c r="F5" s="1"/>
    </row>
    <row r="6" spans="1:6" ht="18.5" x14ac:dyDescent="0.45">
      <c r="A6" s="1" t="s">
        <v>289</v>
      </c>
      <c r="B6" s="1"/>
      <c r="C6" s="1"/>
      <c r="D6" s="1" t="s">
        <v>212</v>
      </c>
      <c r="E6" s="1"/>
      <c r="F6" s="1"/>
    </row>
    <row r="7" spans="1:6" x14ac:dyDescent="0.35">
      <c r="A7" s="28" t="s">
        <v>0</v>
      </c>
      <c r="B7" s="28" t="s">
        <v>1</v>
      </c>
      <c r="C7" s="28" t="s">
        <v>2</v>
      </c>
      <c r="D7" s="28" t="s">
        <v>3</v>
      </c>
      <c r="E7" s="28" t="s">
        <v>4</v>
      </c>
      <c r="F7" s="28" t="s">
        <v>5</v>
      </c>
    </row>
    <row r="8" spans="1:6" x14ac:dyDescent="0.35">
      <c r="A8" t="s">
        <v>40</v>
      </c>
      <c r="B8">
        <v>282</v>
      </c>
      <c r="C8" t="s">
        <v>88</v>
      </c>
      <c r="D8" s="5">
        <v>10000</v>
      </c>
      <c r="E8" s="5">
        <v>10000</v>
      </c>
      <c r="F8" s="5">
        <v>590000</v>
      </c>
    </row>
    <row r="9" spans="1:6" x14ac:dyDescent="0.35">
      <c r="A9" s="4">
        <v>45047</v>
      </c>
      <c r="B9">
        <v>1395</v>
      </c>
      <c r="C9" t="s">
        <v>291</v>
      </c>
      <c r="D9" s="5">
        <v>590000</v>
      </c>
      <c r="E9" s="5">
        <v>600000</v>
      </c>
      <c r="F9" t="s">
        <v>182</v>
      </c>
    </row>
    <row r="10" spans="1:6" x14ac:dyDescent="0.35">
      <c r="A10" t="s">
        <v>290</v>
      </c>
      <c r="B10">
        <v>3999</v>
      </c>
      <c r="C10" t="s">
        <v>292</v>
      </c>
      <c r="D10" s="5">
        <v>150000</v>
      </c>
      <c r="E10" s="5">
        <v>150000</v>
      </c>
      <c r="F10" t="s">
        <v>182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F25" sqref="F25"/>
    </sheetView>
  </sheetViews>
  <sheetFormatPr defaultRowHeight="14.5" x14ac:dyDescent="0.35"/>
  <sheetData>
    <row r="1" spans="1:6" x14ac:dyDescent="0.35">
      <c r="A1" t="s">
        <v>385</v>
      </c>
      <c r="B1" t="s">
        <v>411</v>
      </c>
    </row>
    <row r="2" spans="1:6" x14ac:dyDescent="0.35">
      <c r="A2" t="s">
        <v>386</v>
      </c>
      <c r="B2" t="s">
        <v>412</v>
      </c>
    </row>
    <row r="3" spans="1:6" x14ac:dyDescent="0.35">
      <c r="A3" t="s">
        <v>387</v>
      </c>
      <c r="B3" t="s">
        <v>413</v>
      </c>
    </row>
    <row r="4" spans="1:6" x14ac:dyDescent="0.35">
      <c r="A4" t="s">
        <v>388</v>
      </c>
      <c r="B4" t="s">
        <v>414</v>
      </c>
    </row>
    <row r="5" spans="1:6" x14ac:dyDescent="0.35">
      <c r="A5" t="s">
        <v>389</v>
      </c>
      <c r="B5" t="s">
        <v>415</v>
      </c>
    </row>
    <row r="6" spans="1:6" x14ac:dyDescent="0.35">
      <c r="A6" t="s">
        <v>390</v>
      </c>
      <c r="B6">
        <v>5754</v>
      </c>
    </row>
    <row r="8" spans="1:6" x14ac:dyDescent="0.35">
      <c r="A8" s="28" t="s">
        <v>0</v>
      </c>
      <c r="B8" s="28" t="s">
        <v>1</v>
      </c>
      <c r="C8" s="28" t="s">
        <v>2</v>
      </c>
      <c r="D8" s="28" t="s">
        <v>3</v>
      </c>
      <c r="E8" s="28" t="s">
        <v>4</v>
      </c>
      <c r="F8" s="28" t="s">
        <v>5</v>
      </c>
    </row>
    <row r="9" spans="1:6" x14ac:dyDescent="0.35">
      <c r="A9" t="s">
        <v>416</v>
      </c>
      <c r="B9">
        <v>286</v>
      </c>
      <c r="C9" t="s">
        <v>427</v>
      </c>
      <c r="D9" s="5">
        <v>10000</v>
      </c>
      <c r="E9" s="5">
        <v>10000</v>
      </c>
      <c r="F9" s="5">
        <v>590000</v>
      </c>
    </row>
    <row r="10" spans="1:6" x14ac:dyDescent="0.35">
      <c r="A10" t="s">
        <v>417</v>
      </c>
      <c r="B10">
        <v>7172</v>
      </c>
      <c r="C10" t="s">
        <v>428</v>
      </c>
      <c r="D10" s="5">
        <v>40000</v>
      </c>
      <c r="E10" s="5">
        <f t="shared" ref="E10:E23" si="0">E9+D10</f>
        <v>50000</v>
      </c>
      <c r="F10" s="5">
        <f t="shared" ref="F10:F23" si="1">F9-D10</f>
        <v>550000</v>
      </c>
    </row>
    <row r="11" spans="1:6" x14ac:dyDescent="0.35">
      <c r="A11" t="s">
        <v>418</v>
      </c>
      <c r="B11">
        <v>7225</v>
      </c>
      <c r="C11" t="s">
        <v>429</v>
      </c>
      <c r="D11" s="5">
        <v>50000</v>
      </c>
      <c r="E11" s="5">
        <f t="shared" si="0"/>
        <v>100000</v>
      </c>
      <c r="F11" s="5">
        <f t="shared" si="1"/>
        <v>500000</v>
      </c>
    </row>
    <row r="12" spans="1:6" x14ac:dyDescent="0.35">
      <c r="A12" t="s">
        <v>419</v>
      </c>
      <c r="B12">
        <v>8857</v>
      </c>
      <c r="C12" t="s">
        <v>408</v>
      </c>
      <c r="D12" s="5">
        <v>30000</v>
      </c>
      <c r="E12" s="5">
        <f t="shared" si="0"/>
        <v>130000</v>
      </c>
      <c r="F12" s="5">
        <f t="shared" si="1"/>
        <v>470000</v>
      </c>
    </row>
    <row r="13" spans="1:6" x14ac:dyDescent="0.35">
      <c r="A13" t="s">
        <v>420</v>
      </c>
      <c r="B13">
        <v>9431</v>
      </c>
      <c r="C13" t="s">
        <v>408</v>
      </c>
      <c r="D13" s="5">
        <v>10000</v>
      </c>
      <c r="E13" s="5">
        <f t="shared" si="0"/>
        <v>140000</v>
      </c>
      <c r="F13" s="5">
        <f t="shared" si="1"/>
        <v>460000</v>
      </c>
    </row>
    <row r="14" spans="1:6" x14ac:dyDescent="0.35">
      <c r="A14" t="s">
        <v>421</v>
      </c>
      <c r="B14">
        <v>11439</v>
      </c>
      <c r="C14" t="s">
        <v>408</v>
      </c>
      <c r="D14" s="5">
        <v>30000</v>
      </c>
      <c r="E14" s="5">
        <f t="shared" si="0"/>
        <v>170000</v>
      </c>
      <c r="F14" s="5">
        <f t="shared" si="1"/>
        <v>430000</v>
      </c>
    </row>
    <row r="15" spans="1:6" x14ac:dyDescent="0.35">
      <c r="A15" t="s">
        <v>422</v>
      </c>
      <c r="B15">
        <v>12016</v>
      </c>
      <c r="C15" t="s">
        <v>408</v>
      </c>
      <c r="D15" s="5">
        <v>10000</v>
      </c>
      <c r="E15" s="5">
        <f t="shared" si="0"/>
        <v>180000</v>
      </c>
      <c r="F15" s="5">
        <f t="shared" si="1"/>
        <v>420000</v>
      </c>
    </row>
    <row r="16" spans="1:6" x14ac:dyDescent="0.35">
      <c r="A16" t="s">
        <v>423</v>
      </c>
      <c r="B16">
        <v>12917</v>
      </c>
      <c r="C16" t="s">
        <v>408</v>
      </c>
      <c r="D16" s="5">
        <v>20000</v>
      </c>
      <c r="E16" s="5">
        <f t="shared" si="0"/>
        <v>200000</v>
      </c>
      <c r="F16" s="5">
        <f t="shared" si="1"/>
        <v>400000</v>
      </c>
    </row>
    <row r="17" spans="1:6" x14ac:dyDescent="0.35">
      <c r="A17" t="s">
        <v>424</v>
      </c>
      <c r="B17">
        <v>12018</v>
      </c>
      <c r="C17" t="s">
        <v>408</v>
      </c>
      <c r="D17" s="5">
        <v>10000</v>
      </c>
      <c r="E17" s="5">
        <f t="shared" si="0"/>
        <v>210000</v>
      </c>
      <c r="F17" s="5">
        <f t="shared" si="1"/>
        <v>390000</v>
      </c>
    </row>
    <row r="18" spans="1:6" x14ac:dyDescent="0.35">
      <c r="A18" t="s">
        <v>425</v>
      </c>
      <c r="B18">
        <v>10092</v>
      </c>
      <c r="C18" t="s">
        <v>408</v>
      </c>
      <c r="D18" s="5">
        <v>25000</v>
      </c>
      <c r="E18" s="5">
        <f t="shared" si="0"/>
        <v>235000</v>
      </c>
      <c r="F18" s="5">
        <f t="shared" si="1"/>
        <v>365000</v>
      </c>
    </row>
    <row r="19" spans="1:6" x14ac:dyDescent="0.35">
      <c r="A19" t="s">
        <v>426</v>
      </c>
      <c r="B19">
        <v>12020</v>
      </c>
      <c r="C19" t="s">
        <v>408</v>
      </c>
      <c r="D19" s="5">
        <v>15000</v>
      </c>
      <c r="E19" s="5">
        <f t="shared" si="0"/>
        <v>250000</v>
      </c>
      <c r="F19" s="5">
        <f t="shared" si="1"/>
        <v>350000</v>
      </c>
    </row>
    <row r="20" spans="1:6" x14ac:dyDescent="0.35">
      <c r="A20" t="s">
        <v>430</v>
      </c>
      <c r="B20">
        <v>12946</v>
      </c>
      <c r="C20" t="s">
        <v>408</v>
      </c>
      <c r="D20" s="5">
        <v>10000</v>
      </c>
      <c r="E20" s="5">
        <f t="shared" si="0"/>
        <v>260000</v>
      </c>
      <c r="F20" s="5">
        <f t="shared" si="1"/>
        <v>340000</v>
      </c>
    </row>
    <row r="21" spans="1:6" x14ac:dyDescent="0.35">
      <c r="A21" t="s">
        <v>431</v>
      </c>
      <c r="B21">
        <v>12708</v>
      </c>
      <c r="C21" t="s">
        <v>408</v>
      </c>
      <c r="D21" s="5">
        <v>10000</v>
      </c>
      <c r="E21" s="5">
        <f t="shared" si="0"/>
        <v>270000</v>
      </c>
      <c r="F21" s="5">
        <f t="shared" si="1"/>
        <v>330000</v>
      </c>
    </row>
    <row r="22" spans="1:6" x14ac:dyDescent="0.35">
      <c r="A22" t="s">
        <v>432</v>
      </c>
      <c r="B22">
        <v>13080</v>
      </c>
      <c r="C22" t="s">
        <v>408</v>
      </c>
      <c r="D22" s="5">
        <v>20000</v>
      </c>
      <c r="E22" s="5">
        <f t="shared" si="0"/>
        <v>290000</v>
      </c>
      <c r="F22" s="5">
        <f t="shared" si="1"/>
        <v>310000</v>
      </c>
    </row>
    <row r="23" spans="1:6" x14ac:dyDescent="0.35">
      <c r="A23" t="s">
        <v>433</v>
      </c>
      <c r="B23">
        <v>13524</v>
      </c>
      <c r="C23" t="s">
        <v>408</v>
      </c>
      <c r="D23" s="5">
        <v>40000</v>
      </c>
      <c r="E23" s="5">
        <f t="shared" si="0"/>
        <v>330000</v>
      </c>
      <c r="F23" s="5">
        <f t="shared" si="1"/>
        <v>270000</v>
      </c>
    </row>
    <row r="24" spans="1:6" x14ac:dyDescent="0.35">
      <c r="A24" t="s">
        <v>448</v>
      </c>
      <c r="B24">
        <v>1585</v>
      </c>
      <c r="C24" t="s">
        <v>408</v>
      </c>
      <c r="D24" s="5">
        <v>20000</v>
      </c>
      <c r="E24" s="5">
        <f>E23+D24</f>
        <v>350000</v>
      </c>
      <c r="F24" s="5">
        <f>F23-D24</f>
        <v>250000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I12" sqref="I12"/>
    </sheetView>
  </sheetViews>
  <sheetFormatPr defaultRowHeight="14.5" x14ac:dyDescent="0.35"/>
  <cols>
    <col min="3" max="3" width="15.1796875" customWidth="1"/>
    <col min="4" max="4" width="14.26953125" customWidth="1"/>
    <col min="5" max="5" width="11.54296875" customWidth="1"/>
    <col min="6" max="6" width="14.54296875" bestFit="1" customWidth="1"/>
  </cols>
  <sheetData>
    <row r="1" spans="1:6" ht="18.5" x14ac:dyDescent="0.45">
      <c r="A1" s="1" t="s">
        <v>478</v>
      </c>
      <c r="B1" s="1"/>
      <c r="C1" s="1"/>
      <c r="D1" s="27"/>
      <c r="E1" s="1"/>
      <c r="F1" s="1"/>
    </row>
    <row r="2" spans="1:6" ht="18.5" x14ac:dyDescent="0.45">
      <c r="A2" s="1" t="s">
        <v>479</v>
      </c>
      <c r="B2" s="1"/>
      <c r="C2" s="1"/>
      <c r="D2" s="27"/>
      <c r="E2" s="1" t="s">
        <v>472</v>
      </c>
      <c r="F2" s="1"/>
    </row>
    <row r="3" spans="1:6" ht="18.5" x14ac:dyDescent="0.45">
      <c r="A3" s="1" t="s">
        <v>480</v>
      </c>
      <c r="B3" s="1"/>
      <c r="C3" s="1"/>
      <c r="D3" s="27"/>
      <c r="E3" s="1"/>
      <c r="F3" s="1"/>
    </row>
    <row r="4" spans="1:6" ht="18.5" x14ac:dyDescent="0.45">
      <c r="A4" s="1" t="s">
        <v>482</v>
      </c>
      <c r="B4" s="1"/>
      <c r="C4" s="1"/>
      <c r="D4" s="27"/>
      <c r="E4" s="1"/>
      <c r="F4" s="1"/>
    </row>
    <row r="5" spans="1:6" ht="18.5" x14ac:dyDescent="0.45">
      <c r="A5" s="1" t="s">
        <v>481</v>
      </c>
      <c r="B5" s="1"/>
      <c r="C5" s="1"/>
      <c r="D5" s="27"/>
      <c r="E5" s="1"/>
      <c r="F5" s="1"/>
    </row>
    <row r="6" spans="1:6" ht="18.5" x14ac:dyDescent="0.45">
      <c r="A6" s="1" t="s">
        <v>473</v>
      </c>
      <c r="B6" s="1"/>
      <c r="C6" s="1"/>
      <c r="D6" s="1" t="s">
        <v>212</v>
      </c>
      <c r="E6" s="1"/>
      <c r="F6" s="1"/>
    </row>
    <row r="7" spans="1:6" ht="18.5" x14ac:dyDescent="0.45">
      <c r="A7" s="39" t="s">
        <v>0</v>
      </c>
      <c r="B7" s="39" t="s">
        <v>1</v>
      </c>
      <c r="C7" s="39" t="s">
        <v>2</v>
      </c>
      <c r="D7" s="39" t="s">
        <v>3</v>
      </c>
      <c r="E7" s="39" t="s">
        <v>4</v>
      </c>
      <c r="F7" s="39" t="s">
        <v>5</v>
      </c>
    </row>
    <row r="8" spans="1:6" x14ac:dyDescent="0.35">
      <c r="A8" s="41">
        <v>45021</v>
      </c>
      <c r="B8" s="42">
        <v>1856</v>
      </c>
      <c r="C8" s="42" t="s">
        <v>475</v>
      </c>
      <c r="D8" s="43">
        <v>150000</v>
      </c>
      <c r="E8" s="43">
        <v>150000</v>
      </c>
      <c r="F8" s="43">
        <v>250000</v>
      </c>
    </row>
    <row r="9" spans="1:6" x14ac:dyDescent="0.35">
      <c r="A9" s="42" t="s">
        <v>474</v>
      </c>
      <c r="B9" s="42">
        <v>1857</v>
      </c>
      <c r="C9" s="42" t="s">
        <v>476</v>
      </c>
      <c r="D9" s="43">
        <v>250000</v>
      </c>
      <c r="E9" s="43">
        <v>400000</v>
      </c>
      <c r="F9" s="42" t="s">
        <v>282</v>
      </c>
    </row>
    <row r="11" spans="1:6" ht="18.5" x14ac:dyDescent="0.45">
      <c r="A11" s="35" t="s">
        <v>477</v>
      </c>
      <c r="B11" s="35"/>
      <c r="C11" s="40"/>
    </row>
    <row r="12" spans="1:6" ht="18.5" x14ac:dyDescent="0.45">
      <c r="A12" s="39" t="s">
        <v>0</v>
      </c>
      <c r="B12" s="39" t="s">
        <v>1</v>
      </c>
      <c r="C12" s="39" t="s">
        <v>2</v>
      </c>
      <c r="D12" s="39" t="s">
        <v>3</v>
      </c>
      <c r="E12" s="39" t="s">
        <v>4</v>
      </c>
      <c r="F12" s="39" t="s">
        <v>5</v>
      </c>
    </row>
    <row r="13" spans="1:6" x14ac:dyDescent="0.35">
      <c r="A13" s="42" t="s">
        <v>474</v>
      </c>
      <c r="B13" s="42">
        <v>1972</v>
      </c>
      <c r="C13" s="42" t="s">
        <v>314</v>
      </c>
      <c r="D13" s="43">
        <v>150000</v>
      </c>
      <c r="E13" s="43">
        <v>150000</v>
      </c>
      <c r="F13" s="4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L-5769</vt:lpstr>
      <vt:lpstr>L-5701</vt:lpstr>
      <vt:lpstr>L-5714</vt:lpstr>
      <vt:lpstr>L-5715</vt:lpstr>
      <vt:lpstr>L-5716</vt:lpstr>
      <vt:lpstr>L-5765</vt:lpstr>
      <vt:lpstr>L-5766</vt:lpstr>
      <vt:lpstr>L-5702</vt:lpstr>
      <vt:lpstr>L-5739</vt:lpstr>
      <vt:lpstr>L-5784</vt:lpstr>
      <vt:lpstr>L-5760</vt:lpstr>
      <vt:lpstr>L-5788</vt:lpstr>
      <vt:lpstr>L-5786</vt:lpstr>
      <vt:lpstr>L-5799</vt:lpstr>
      <vt:lpstr>L-5783</vt:lpstr>
      <vt:lpstr>L-5776</vt:lpstr>
      <vt:lpstr>L-5782</vt:lpstr>
      <vt:lpstr>L-5789</vt:lpstr>
      <vt:lpstr>L-5705</vt:lpstr>
      <vt:lpstr>L-5704</vt:lpstr>
      <vt:lpstr>L-5775</vt:lpstr>
      <vt:lpstr>L-5773</vt:lpstr>
      <vt:lpstr>L-5774</vt:lpstr>
      <vt:lpstr>L-5787</vt:lpstr>
      <vt:lpstr>L-5706</vt:lpstr>
      <vt:lpstr>L-5711</vt:lpstr>
      <vt:lpstr>L-5708</vt:lpstr>
      <vt:lpstr>L-4934</vt:lpstr>
      <vt:lpstr>L-5779</vt:lpstr>
      <vt:lpstr>L-5754</vt:lpstr>
      <vt:lpstr>L-5785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2026-02-22T00:59:07Z</dcterms:created>
  <dcterms:modified xsi:type="dcterms:W3CDTF">2026-10-03T10:34:36Z</dcterms:modified>
</cp:coreProperties>
</file>