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LOT-6001-7000\"/>
    </mc:Choice>
  </mc:AlternateContent>
  <xr:revisionPtr revIDLastSave="0" documentId="13_ncr:1_{972766F4-74FE-42D7-B0B4-912C974DA166}" xr6:coauthVersionLast="47" xr6:coauthVersionMax="47" xr10:uidLastSave="{00000000-0000-0000-0000-000000000000}"/>
  <bookViews>
    <workbookView xWindow="-110" yWindow="-110" windowWidth="19420" windowHeight="10420" activeTab="3" xr2:uid="{67A2CB86-7878-4073-B3B9-598F4D4A85E8}"/>
  </bookViews>
  <sheets>
    <sheet name="L-6868" sheetId="1" r:id="rId1"/>
    <sheet name="L-6814" sheetId="6" r:id="rId2"/>
    <sheet name="L-6878" sheetId="3" r:id="rId3"/>
    <sheet name="6867" sheetId="4" r:id="rId4"/>
    <sheet name="l-6803" sheetId="7" r:id="rId5"/>
    <sheet name="L-6804" sheetId="8" r:id="rId6"/>
    <sheet name="L-6879" sheetId="2" r:id="rId7"/>
    <sheet name="L-6880" sheetId="5" r:id="rId8"/>
    <sheet name="L-6805" sheetId="9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9" i="4" l="1"/>
  <c r="F48" i="4"/>
  <c r="F47" i="4"/>
  <c r="F46" i="4"/>
  <c r="F45" i="4"/>
  <c r="F44" i="4"/>
  <c r="F43" i="4"/>
  <c r="F42" i="4"/>
  <c r="E49" i="4"/>
  <c r="E48" i="4"/>
  <c r="E47" i="4"/>
  <c r="E46" i="4"/>
  <c r="E45" i="4"/>
  <c r="E44" i="4"/>
  <c r="E43" i="4"/>
  <c r="E42" i="4"/>
  <c r="F49" i="3"/>
  <c r="E49" i="3"/>
  <c r="F45" i="6"/>
  <c r="E45" i="6"/>
  <c r="F44" i="6"/>
  <c r="E44" i="6"/>
  <c r="F47" i="3"/>
  <c r="E47" i="3"/>
  <c r="F48" i="3"/>
  <c r="E48" i="3"/>
  <c r="F43" i="6"/>
  <c r="F42" i="6"/>
  <c r="E43" i="6"/>
  <c r="E42" i="6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F19" i="8"/>
  <c r="F18" i="8"/>
  <c r="F17" i="8"/>
  <c r="F16" i="8"/>
  <c r="F15" i="8"/>
  <c r="F14" i="8"/>
  <c r="F13" i="8"/>
  <c r="F12" i="8"/>
  <c r="F11" i="8"/>
  <c r="F10" i="8"/>
  <c r="E19" i="8"/>
  <c r="E18" i="8"/>
  <c r="E17" i="8"/>
  <c r="E16" i="8"/>
  <c r="E15" i="8"/>
  <c r="E14" i="8"/>
  <c r="E13" i="8"/>
  <c r="E12" i="8"/>
  <c r="E11" i="8"/>
  <c r="E10" i="8"/>
  <c r="F19" i="7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E19" i="7"/>
  <c r="E20" i="7" s="1"/>
  <c r="E21" i="7" s="1"/>
  <c r="E22" i="7" s="1"/>
  <c r="E23" i="7" s="1"/>
  <c r="E24" i="7" s="1"/>
  <c r="E25" i="7" s="1"/>
  <c r="E26" i="7" s="1"/>
  <c r="E27" i="7" s="1"/>
  <c r="E28" i="7" s="1"/>
  <c r="E29" i="7" s="1"/>
  <c r="E30" i="7" s="1"/>
  <c r="E31" i="7" s="1"/>
  <c r="E32" i="7" s="1"/>
  <c r="E33" i="7" s="1"/>
  <c r="E34" i="7" s="1"/>
  <c r="E35" i="7" s="1"/>
  <c r="E36" i="7" s="1"/>
  <c r="F10" i="7"/>
  <c r="F11" i="7" s="1"/>
  <c r="F12" i="7" s="1"/>
  <c r="F13" i="7" s="1"/>
  <c r="F14" i="7" s="1"/>
  <c r="F15" i="7" s="1"/>
  <c r="F16" i="7" s="1"/>
  <c r="F17" i="7" s="1"/>
  <c r="F18" i="7" s="1"/>
  <c r="E10" i="7"/>
  <c r="E11" i="7"/>
  <c r="E12" i="7"/>
  <c r="E13" i="7"/>
  <c r="E14" i="7" s="1"/>
  <c r="E15" i="7" s="1"/>
  <c r="E16" i="7" s="1"/>
  <c r="E17" i="7" s="1"/>
  <c r="E18" i="7" s="1"/>
  <c r="F9" i="7"/>
  <c r="E9" i="7"/>
  <c r="F19" i="6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F33" i="6" s="1"/>
  <c r="F34" i="6" s="1"/>
  <c r="F35" i="6" s="1"/>
  <c r="F36" i="6" s="1"/>
  <c r="F37" i="6" s="1"/>
  <c r="F38" i="6" s="1"/>
  <c r="F39" i="6" s="1"/>
  <c r="F40" i="6" s="1"/>
  <c r="F41" i="6" s="1"/>
  <c r="E19" i="6"/>
  <c r="E20" i="6" s="1"/>
  <c r="E21" i="6" s="1"/>
  <c r="E22" i="6" s="1"/>
  <c r="E23" i="6" s="1"/>
  <c r="E24" i="6" s="1"/>
  <c r="E25" i="6" s="1"/>
  <c r="E26" i="6" s="1"/>
  <c r="E27" i="6" s="1"/>
  <c r="E28" i="6" s="1"/>
  <c r="E29" i="6" s="1"/>
  <c r="E30" i="6" s="1"/>
  <c r="E31" i="6" s="1"/>
  <c r="E32" i="6" s="1"/>
  <c r="E33" i="6" s="1"/>
  <c r="E34" i="6" s="1"/>
  <c r="E35" i="6" s="1"/>
  <c r="E36" i="6" s="1"/>
  <c r="E37" i="6" s="1"/>
  <c r="E38" i="6" s="1"/>
  <c r="E39" i="6" s="1"/>
  <c r="E40" i="6" s="1"/>
  <c r="E41" i="6" s="1"/>
  <c r="F10" i="6"/>
  <c r="F11" i="6" s="1"/>
  <c r="F12" i="6" s="1"/>
  <c r="F13" i="6" s="1"/>
  <c r="F14" i="6" s="1"/>
  <c r="F15" i="6" s="1"/>
  <c r="F16" i="6" s="1"/>
  <c r="F17" i="6" s="1"/>
  <c r="F18" i="6" s="1"/>
  <c r="E10" i="6"/>
  <c r="E11" i="6" s="1"/>
  <c r="E12" i="6" s="1"/>
  <c r="E13" i="6" s="1"/>
  <c r="E14" i="6" s="1"/>
  <c r="E15" i="6" s="1"/>
  <c r="E16" i="6" s="1"/>
  <c r="E17" i="6" s="1"/>
  <c r="E18" i="6" s="1"/>
  <c r="F9" i="6"/>
  <c r="E9" i="6"/>
  <c r="F9" i="5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E9" i="5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F45" i="2"/>
  <c r="E45" i="2"/>
  <c r="F44" i="2"/>
  <c r="E44" i="2"/>
  <c r="F21" i="4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19" i="4"/>
  <c r="F20" i="4" s="1"/>
  <c r="E21" i="4"/>
  <c r="E22" i="4"/>
  <c r="E23" i="4"/>
  <c r="E24" i="4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19" i="4"/>
  <c r="E20" i="4" s="1"/>
  <c r="F9" i="4"/>
  <c r="F10" i="4" s="1"/>
  <c r="F11" i="4" s="1"/>
  <c r="F12" i="4" s="1"/>
  <c r="F13" i="4" s="1"/>
  <c r="F14" i="4" s="1"/>
  <c r="F15" i="4" s="1"/>
  <c r="F16" i="4" s="1"/>
  <c r="F17" i="4" s="1"/>
  <c r="F18" i="4" s="1"/>
  <c r="E9" i="4"/>
  <c r="E10" i="4" s="1"/>
  <c r="E11" i="4" s="1"/>
  <c r="E12" i="4" s="1"/>
  <c r="E13" i="4" s="1"/>
  <c r="E14" i="4" s="1"/>
  <c r="E15" i="4" s="1"/>
  <c r="E16" i="4" s="1"/>
  <c r="E17" i="4" s="1"/>
  <c r="E18" i="4" s="1"/>
  <c r="F9" i="3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F46" i="3" s="1"/>
  <c r="E9" i="3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F9" i="2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E9" i="2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10" i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F9" i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E9" i="1"/>
</calcChain>
</file>

<file path=xl/sharedStrings.xml><?xml version="1.0" encoding="utf-8"?>
<sst xmlns="http://schemas.openxmlformats.org/spreadsheetml/2006/main" count="615" uniqueCount="214">
  <si>
    <t>Date</t>
  </si>
  <si>
    <t>R.NO</t>
  </si>
  <si>
    <t>Description</t>
  </si>
  <si>
    <t>Amount Rec</t>
  </si>
  <si>
    <t>Total Rec</t>
  </si>
  <si>
    <t>Amount Due</t>
  </si>
  <si>
    <t>Name : Abdul Shakoor Malik</t>
  </si>
  <si>
    <t>Father Name : Abdul Ghafoor Malik</t>
  </si>
  <si>
    <t>CNIC #44204-2299404-7</t>
  </si>
  <si>
    <t>Contact # 03003353047</t>
  </si>
  <si>
    <t>Plot No : 6868</t>
  </si>
  <si>
    <t>Cost :470,000</t>
  </si>
  <si>
    <t>13/3/2022</t>
  </si>
  <si>
    <t>15/9/2022</t>
  </si>
  <si>
    <t>23/3/2023</t>
  </si>
  <si>
    <t>15/5/2023</t>
  </si>
  <si>
    <t>17/7/2023</t>
  </si>
  <si>
    <t>14/9/2023</t>
  </si>
  <si>
    <t>Adj Reh</t>
  </si>
  <si>
    <t>sobho</t>
  </si>
  <si>
    <t>instalment</t>
  </si>
  <si>
    <t>15/2/2024</t>
  </si>
  <si>
    <t>20/4/2024</t>
  </si>
  <si>
    <t>13/5/2024</t>
  </si>
  <si>
    <t>13/6/2024</t>
  </si>
  <si>
    <t>13/7/2024</t>
  </si>
  <si>
    <t>13/8/2024</t>
  </si>
  <si>
    <t>17/11/2025</t>
  </si>
  <si>
    <t>Name : M.Adnan Khan</t>
  </si>
  <si>
    <t>Father Name : Shahab ud din</t>
  </si>
  <si>
    <t>CNIC #42401-2982478-7</t>
  </si>
  <si>
    <t>Contact # 03132336922</t>
  </si>
  <si>
    <t>Plot No : 6879</t>
  </si>
  <si>
    <t>Cost :390,000</t>
  </si>
  <si>
    <t>20/11/22-7/2/23</t>
  </si>
  <si>
    <t xml:space="preserve">Adj Reh </t>
  </si>
  <si>
    <t>30/4/2024</t>
  </si>
  <si>
    <t>14/10/2025</t>
  </si>
  <si>
    <t>Name : Hafiz Abdul Majid Khan</t>
  </si>
  <si>
    <t>CNIC #42401-3542184-7</t>
  </si>
  <si>
    <t>Contact # 03152832233</t>
  </si>
  <si>
    <t>Plot No : 6878</t>
  </si>
  <si>
    <t>Cost :440,000</t>
  </si>
  <si>
    <t>7/2/23-30/11/20</t>
  </si>
  <si>
    <t>sobho Adj</t>
  </si>
  <si>
    <t>Adj REH</t>
  </si>
  <si>
    <t>18/11/2025</t>
  </si>
  <si>
    <t xml:space="preserve">Name :M.Shabbir </t>
  </si>
  <si>
    <t>Father Name : M. Tufail</t>
  </si>
  <si>
    <t>CNIC #42201-0328470-5</t>
  </si>
  <si>
    <t>Contact # 03002996207</t>
  </si>
  <si>
    <t>Plot No : 6867</t>
  </si>
  <si>
    <t>Cost :450,000</t>
  </si>
  <si>
    <t>19/8/2022</t>
  </si>
  <si>
    <t>27/9/2022</t>
  </si>
  <si>
    <t>28/4/2023</t>
  </si>
  <si>
    <t>25/5/2023</t>
  </si>
  <si>
    <t>17/6/2023</t>
  </si>
  <si>
    <t>25/7/2023</t>
  </si>
  <si>
    <t>28/8/2023</t>
  </si>
  <si>
    <t>30/9/2023</t>
  </si>
  <si>
    <t>13/11/2023</t>
  </si>
  <si>
    <t>22/8/2024</t>
  </si>
  <si>
    <t>13/9/2024</t>
  </si>
  <si>
    <t>14/3/2025</t>
  </si>
  <si>
    <t>13/8/2025</t>
  </si>
  <si>
    <t>13/1/2024</t>
  </si>
  <si>
    <t>14/2/2024</t>
  </si>
  <si>
    <t>Development continue</t>
  </si>
  <si>
    <t>Plot No : 6880</t>
  </si>
  <si>
    <t>Code Num;CQW8873879</t>
  </si>
  <si>
    <t>29/11/2020</t>
  </si>
  <si>
    <t>Sobho</t>
  </si>
  <si>
    <t>14/8/2024</t>
  </si>
  <si>
    <t>13/3/2025</t>
  </si>
  <si>
    <t>INSTALLMENT CLEAR</t>
  </si>
  <si>
    <t>DEVELOPMENT CONTINUE</t>
  </si>
  <si>
    <t>DEVELOPMENT</t>
  </si>
  <si>
    <t>NILL</t>
  </si>
  <si>
    <t>INSTALLMENT AND DEVELOPMENT BOTH CLEAR</t>
  </si>
  <si>
    <t>Code Num;CQW8873811</t>
  </si>
  <si>
    <t xml:space="preserve">Name : M. Zeeshan </t>
  </si>
  <si>
    <t>Father Name : M.Ishaq Araen</t>
  </si>
  <si>
    <t>CNIC #45102-3316904-7</t>
  </si>
  <si>
    <t>Contact # 03156910300</t>
  </si>
  <si>
    <t>Plot No : 6814</t>
  </si>
  <si>
    <t>Cost :650,000</t>
  </si>
  <si>
    <t>Code Num;BYH2095478</t>
  </si>
  <si>
    <t>13/3/2023</t>
  </si>
  <si>
    <t>25/9/2023</t>
  </si>
  <si>
    <t xml:space="preserve">Adj </t>
  </si>
  <si>
    <t>13/3/2024</t>
  </si>
  <si>
    <t>24/9/2024</t>
  </si>
  <si>
    <t>13/10/2024</t>
  </si>
  <si>
    <t>20/11/2024</t>
  </si>
  <si>
    <t>19/12/2024</t>
  </si>
  <si>
    <t>30/1/2025</t>
  </si>
  <si>
    <t>15/2/2025</t>
  </si>
  <si>
    <t>21/4/2025</t>
  </si>
  <si>
    <t>20/5/2025</t>
  </si>
  <si>
    <t>24/6/2025</t>
  </si>
  <si>
    <t>20/8/2025</t>
  </si>
  <si>
    <t>22/9/2025</t>
  </si>
  <si>
    <t>21/10/2025</t>
  </si>
  <si>
    <t>23/12/2025</t>
  </si>
  <si>
    <t>20/1/2026</t>
  </si>
  <si>
    <t>20/2/2026</t>
  </si>
  <si>
    <t>17/3/2026</t>
  </si>
  <si>
    <t>18/3/2026</t>
  </si>
  <si>
    <t>Code Num;CLG5387070</t>
  </si>
  <si>
    <t>Name :Tariq Mehmood</t>
  </si>
  <si>
    <t>Father Name ; Sakhi Muhammad</t>
  </si>
  <si>
    <t>CNIC #41304-1928648-5</t>
  </si>
  <si>
    <t>Contact # 03132333620</t>
  </si>
  <si>
    <t>Plot No : 6803</t>
  </si>
  <si>
    <t>Code Num;CEN7632736</t>
  </si>
  <si>
    <t>Installment</t>
  </si>
  <si>
    <t>8//7/2025</t>
  </si>
  <si>
    <t>Developmnt</t>
  </si>
  <si>
    <t>Nill</t>
  </si>
  <si>
    <t>Installment and development both clear</t>
  </si>
  <si>
    <t>NAME:</t>
  </si>
  <si>
    <t>F\NAME:</t>
  </si>
  <si>
    <t>CODE:</t>
  </si>
  <si>
    <t>CONTACT NO:</t>
  </si>
  <si>
    <t>CNIC:</t>
  </si>
  <si>
    <t>PLOT NO:</t>
  </si>
  <si>
    <t>RAJA NAVEED MUSTAFA</t>
  </si>
  <si>
    <t>GULAM MUSTAFA</t>
  </si>
  <si>
    <t>0321-5753450</t>
  </si>
  <si>
    <t>37201-2598824-7</t>
  </si>
  <si>
    <t>CQN0935562</t>
  </si>
  <si>
    <t>22\2\022</t>
  </si>
  <si>
    <t>18\1\023</t>
  </si>
  <si>
    <t>28\4\23</t>
  </si>
  <si>
    <t>1\06\23</t>
  </si>
  <si>
    <t>31\07\023</t>
  </si>
  <si>
    <t>30\8\23</t>
  </si>
  <si>
    <t>30\09\023</t>
  </si>
  <si>
    <t>29\10\23</t>
  </si>
  <si>
    <t>29\11\23</t>
  </si>
  <si>
    <t>30\12\23</t>
  </si>
  <si>
    <t>30\01\024</t>
  </si>
  <si>
    <t>29\02\024</t>
  </si>
  <si>
    <t>30\3\024</t>
  </si>
  <si>
    <t>30\04\024</t>
  </si>
  <si>
    <t>28\05\024</t>
  </si>
  <si>
    <t>29\06\024</t>
  </si>
  <si>
    <t>03\09\024</t>
  </si>
  <si>
    <t>06\08\024</t>
  </si>
  <si>
    <t>3\10\024</t>
  </si>
  <si>
    <t>7\11\024</t>
  </si>
  <si>
    <t>03\12\024</t>
  </si>
  <si>
    <t>05\01\025</t>
  </si>
  <si>
    <t>09\02\025</t>
  </si>
  <si>
    <t>09\03\025</t>
  </si>
  <si>
    <t>12\04\025</t>
  </si>
  <si>
    <t>05\06\025</t>
  </si>
  <si>
    <t>29\11\025</t>
  </si>
  <si>
    <t>28\12\025</t>
  </si>
  <si>
    <t>20\02\026</t>
  </si>
  <si>
    <t>21\05\026</t>
  </si>
  <si>
    <t>INTALLMENT</t>
  </si>
  <si>
    <t>REHMAN ADJUSTMENT</t>
  </si>
  <si>
    <t xml:space="preserve">NIL </t>
  </si>
  <si>
    <t>CINC NO:</t>
  </si>
  <si>
    <t>CODE :</t>
  </si>
  <si>
    <t>CQL3811797</t>
  </si>
  <si>
    <t>27\8\22</t>
  </si>
  <si>
    <t>18\1\23</t>
  </si>
  <si>
    <t>1\6\23</t>
  </si>
  <si>
    <t>31\7\23</t>
  </si>
  <si>
    <t>30\9\23</t>
  </si>
  <si>
    <t>30\1\24</t>
  </si>
  <si>
    <t>INSTALLMENT</t>
  </si>
  <si>
    <t>29\2\24</t>
  </si>
  <si>
    <t>20\3\24</t>
  </si>
  <si>
    <t>30\4\24</t>
  </si>
  <si>
    <t>28\5\24</t>
  </si>
  <si>
    <t>29\6\24</t>
  </si>
  <si>
    <t>6\8\24</t>
  </si>
  <si>
    <t>3\9\24</t>
  </si>
  <si>
    <t>12\10\24</t>
  </si>
  <si>
    <t>7\11\24</t>
  </si>
  <si>
    <t>5\12\24</t>
  </si>
  <si>
    <t>5\1\25</t>
  </si>
  <si>
    <t>9\2\25</t>
  </si>
  <si>
    <t>12\4\25</t>
  </si>
  <si>
    <t>8\8\25</t>
  </si>
  <si>
    <t>25\9\25</t>
  </si>
  <si>
    <t>SYED ZEESHAN ALI</t>
  </si>
  <si>
    <t>SYED KHURSEED ALI</t>
  </si>
  <si>
    <t>0301-1009751</t>
  </si>
  <si>
    <t>42501-5954620-5</t>
  </si>
  <si>
    <t>19\5\26</t>
  </si>
  <si>
    <t>17\6\26</t>
  </si>
  <si>
    <t>CNQ0646652</t>
  </si>
  <si>
    <t>CODE NO:</t>
  </si>
  <si>
    <t>BDE1489512</t>
  </si>
  <si>
    <t>4\5\26</t>
  </si>
  <si>
    <t>20\6\26</t>
  </si>
  <si>
    <t>CJP3938689</t>
  </si>
  <si>
    <t>DEVELOPMENT CLEAR</t>
  </si>
  <si>
    <t>NIL</t>
  </si>
  <si>
    <t>CLEAR NIL</t>
  </si>
  <si>
    <t>Code Num:</t>
  </si>
  <si>
    <t>23\6\26</t>
  </si>
  <si>
    <t>4\7\26</t>
  </si>
  <si>
    <t>BXN3433434</t>
  </si>
  <si>
    <t>16/7/26</t>
  </si>
  <si>
    <t xml:space="preserve">DEVELOPMENT NILL </t>
  </si>
  <si>
    <t>DEVE</t>
  </si>
  <si>
    <t>23/12/25</t>
  </si>
  <si>
    <t>develoemnt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</si>
</sst>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 Light"/>
      <family val="2"/>
      <scheme val="maj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14" fontId="0" fillId="0" borderId="0" xfId="0" applyNumberFormat="1"/>
    <xf numFmtId="3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0" fontId="0" fillId="0" borderId="2" xfId="0" applyBorder="1" applyAlignment="1">
      <alignment horizontal="left"/>
    </xf>
    <xf numFmtId="3" fontId="0" fillId="0" borderId="2" xfId="0" applyNumberFormat="1" applyBorder="1" applyAlignment="1">
      <alignment horizontal="left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left"/>
    </xf>
    <xf numFmtId="0" fontId="4" fillId="0" borderId="0" xfId="0" applyFont="1"/>
    <xf numFmtId="3" fontId="0" fillId="0" borderId="1" xfId="0" applyNumberFormat="1" applyBorder="1"/>
    <xf numFmtId="3" fontId="0" fillId="0" borderId="1" xfId="0" applyNumberFormat="1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6C4DF-769A-48E1-9FAD-855ED6DD284F}">
  <dimension ref="A1:F40"/>
  <sheetViews>
    <sheetView workbookViewId="0">
      <selection activeCell="N9" sqref="N9"/>
    </sheetView>
  </sheetViews>
  <sheetFormatPr defaultRowHeight="14.5" x14ac:dyDescent="0.35"/>
  <cols>
    <col min="1" max="1" width="10.453125" bestFit="1" customWidth="1"/>
    <col min="3" max="3" width="14.81640625" customWidth="1"/>
    <col min="4" max="4" width="15.26953125" bestFit="1" customWidth="1"/>
    <col min="6" max="6" width="11.36328125" bestFit="1" customWidth="1"/>
  </cols>
  <sheetData>
    <row r="1" spans="1:6" ht="18.5" x14ac:dyDescent="0.45">
      <c r="A1" s="1" t="s">
        <v>6</v>
      </c>
      <c r="B1" s="1"/>
      <c r="C1" s="2"/>
      <c r="D1" s="1"/>
      <c r="E1" s="1"/>
      <c r="F1" s="1"/>
    </row>
    <row r="2" spans="1:6" ht="18.5" x14ac:dyDescent="0.45">
      <c r="A2" s="1" t="s">
        <v>7</v>
      </c>
      <c r="C2" s="1"/>
      <c r="D2" s="1"/>
      <c r="E2" s="1"/>
      <c r="F2" s="1"/>
    </row>
    <row r="3" spans="1:6" ht="18.5" x14ac:dyDescent="0.45">
      <c r="A3" s="1" t="s">
        <v>8</v>
      </c>
      <c r="B3" s="1"/>
      <c r="C3" s="1"/>
      <c r="D3" s="1"/>
      <c r="E3" s="1"/>
      <c r="F3" s="1"/>
    </row>
    <row r="4" spans="1:6" ht="18.5" x14ac:dyDescent="0.45">
      <c r="A4" s="1" t="s">
        <v>80</v>
      </c>
      <c r="B4" s="1"/>
      <c r="C4" s="1"/>
      <c r="D4" s="1"/>
      <c r="E4" s="1"/>
      <c r="F4" s="1"/>
    </row>
    <row r="5" spans="1:6" ht="18.5" x14ac:dyDescent="0.45">
      <c r="A5" s="1" t="s">
        <v>9</v>
      </c>
      <c r="B5" s="1"/>
      <c r="C5" s="1"/>
      <c r="D5" s="1"/>
      <c r="E5" s="1"/>
      <c r="F5" s="1"/>
    </row>
    <row r="6" spans="1:6" ht="18.5" x14ac:dyDescent="0.45">
      <c r="A6" s="1" t="s">
        <v>10</v>
      </c>
      <c r="B6" s="1"/>
      <c r="C6" s="1"/>
      <c r="D6" s="1" t="s">
        <v>11</v>
      </c>
      <c r="E6" s="1"/>
      <c r="F6" s="1"/>
    </row>
    <row r="7" spans="1:6" x14ac:dyDescent="0.35">
      <c r="A7" s="3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</row>
    <row r="8" spans="1:6" x14ac:dyDescent="0.35">
      <c r="A8" s="5" t="s">
        <v>12</v>
      </c>
      <c r="B8" s="5">
        <v>1779</v>
      </c>
      <c r="C8" s="5" t="s">
        <v>18</v>
      </c>
      <c r="D8" s="6">
        <v>120000</v>
      </c>
      <c r="E8" s="6">
        <v>120000</v>
      </c>
      <c r="F8" s="6">
        <v>350000</v>
      </c>
    </row>
    <row r="9" spans="1:6" x14ac:dyDescent="0.35">
      <c r="A9" s="5" t="s">
        <v>13</v>
      </c>
      <c r="B9" s="5">
        <v>1604</v>
      </c>
      <c r="C9" s="5" t="s">
        <v>19</v>
      </c>
      <c r="D9" s="6">
        <v>20000</v>
      </c>
      <c r="E9" s="6">
        <f>SUM(E8+D9)</f>
        <v>140000</v>
      </c>
      <c r="F9" s="6">
        <f>F8-D9</f>
        <v>330000</v>
      </c>
    </row>
    <row r="10" spans="1:6" x14ac:dyDescent="0.35">
      <c r="A10" s="5" t="s">
        <v>14</v>
      </c>
      <c r="B10" s="5">
        <v>33</v>
      </c>
      <c r="C10" s="5" t="s">
        <v>20</v>
      </c>
      <c r="D10" s="6">
        <v>10000</v>
      </c>
      <c r="E10" s="6">
        <f t="shared" ref="E10:E38" si="0">SUM(E9+D10)</f>
        <v>150000</v>
      </c>
      <c r="F10" s="6">
        <f t="shared" ref="F10:F38" si="1">F9-D10</f>
        <v>320000</v>
      </c>
    </row>
    <row r="11" spans="1:6" x14ac:dyDescent="0.35">
      <c r="A11" s="5" t="s">
        <v>15</v>
      </c>
      <c r="B11" s="5">
        <v>811</v>
      </c>
      <c r="C11" s="5" t="s">
        <v>20</v>
      </c>
      <c r="D11" s="6">
        <v>10000</v>
      </c>
      <c r="E11" s="6">
        <f t="shared" si="0"/>
        <v>160000</v>
      </c>
      <c r="F11" s="6">
        <f t="shared" si="1"/>
        <v>310000</v>
      </c>
    </row>
    <row r="12" spans="1:6" x14ac:dyDescent="0.35">
      <c r="A12" s="5" t="s">
        <v>16</v>
      </c>
      <c r="B12" s="5">
        <v>2832</v>
      </c>
      <c r="C12" s="5" t="s">
        <v>20</v>
      </c>
      <c r="D12" s="6">
        <v>20000</v>
      </c>
      <c r="E12" s="6">
        <f t="shared" si="0"/>
        <v>180000</v>
      </c>
      <c r="F12" s="6">
        <f t="shared" si="1"/>
        <v>290000</v>
      </c>
    </row>
    <row r="13" spans="1:6" x14ac:dyDescent="0.35">
      <c r="A13" s="7">
        <v>45268</v>
      </c>
      <c r="B13" s="5">
        <v>2385</v>
      </c>
      <c r="C13" s="5" t="s">
        <v>20</v>
      </c>
      <c r="D13" s="6">
        <v>10000</v>
      </c>
      <c r="E13" s="6">
        <f t="shared" si="0"/>
        <v>190000</v>
      </c>
      <c r="F13" s="6">
        <f t="shared" si="1"/>
        <v>280000</v>
      </c>
    </row>
    <row r="14" spans="1:6" x14ac:dyDescent="0.35">
      <c r="A14" s="5" t="s">
        <v>17</v>
      </c>
      <c r="B14" s="5">
        <v>8609</v>
      </c>
      <c r="C14" s="5" t="s">
        <v>20</v>
      </c>
      <c r="D14" s="6">
        <v>10000</v>
      </c>
      <c r="E14" s="6">
        <f t="shared" si="0"/>
        <v>200000</v>
      </c>
      <c r="F14" s="6">
        <f t="shared" si="1"/>
        <v>270000</v>
      </c>
    </row>
    <row r="15" spans="1:6" x14ac:dyDescent="0.35">
      <c r="A15" s="7">
        <v>45209</v>
      </c>
      <c r="B15" s="5">
        <v>4188</v>
      </c>
      <c r="C15" s="5" t="s">
        <v>20</v>
      </c>
      <c r="D15" s="6">
        <v>10000</v>
      </c>
      <c r="E15" s="6">
        <f t="shared" si="0"/>
        <v>210000</v>
      </c>
      <c r="F15" s="6">
        <f t="shared" si="1"/>
        <v>260000</v>
      </c>
    </row>
    <row r="16" spans="1:6" x14ac:dyDescent="0.35">
      <c r="A16" s="7">
        <v>45180</v>
      </c>
      <c r="B16" s="5">
        <v>4742</v>
      </c>
      <c r="C16" s="5" t="s">
        <v>20</v>
      </c>
      <c r="D16" s="6">
        <v>10000</v>
      </c>
      <c r="E16" s="6">
        <f t="shared" si="0"/>
        <v>220000</v>
      </c>
      <c r="F16" s="6">
        <f t="shared" si="1"/>
        <v>250000</v>
      </c>
    </row>
    <row r="17" spans="1:6" x14ac:dyDescent="0.35">
      <c r="A17" s="7">
        <v>45089</v>
      </c>
      <c r="B17" s="5">
        <v>5330</v>
      </c>
      <c r="C17" s="5" t="s">
        <v>20</v>
      </c>
      <c r="D17" s="6">
        <v>10000</v>
      </c>
      <c r="E17" s="6">
        <f t="shared" si="0"/>
        <v>230000</v>
      </c>
      <c r="F17" s="6">
        <f t="shared" si="1"/>
        <v>240000</v>
      </c>
    </row>
    <row r="18" spans="1:6" x14ac:dyDescent="0.35">
      <c r="A18" s="7">
        <v>45505</v>
      </c>
      <c r="B18" s="5">
        <v>6008</v>
      </c>
      <c r="C18" s="5" t="s">
        <v>20</v>
      </c>
      <c r="D18" s="6">
        <v>10000</v>
      </c>
      <c r="E18" s="6">
        <f t="shared" si="0"/>
        <v>240000</v>
      </c>
      <c r="F18" s="6">
        <f t="shared" si="1"/>
        <v>230000</v>
      </c>
    </row>
    <row r="19" spans="1:6" x14ac:dyDescent="0.35">
      <c r="A19" s="5" t="s">
        <v>21</v>
      </c>
      <c r="B19" s="5">
        <v>7189</v>
      </c>
      <c r="C19" s="5" t="s">
        <v>20</v>
      </c>
      <c r="D19" s="6">
        <v>10000</v>
      </c>
      <c r="E19" s="6">
        <f t="shared" si="0"/>
        <v>250000</v>
      </c>
      <c r="F19" s="6">
        <f t="shared" si="1"/>
        <v>220000</v>
      </c>
    </row>
    <row r="20" spans="1:6" x14ac:dyDescent="0.35">
      <c r="A20" s="7">
        <v>45599</v>
      </c>
      <c r="B20" s="5">
        <v>7300</v>
      </c>
      <c r="C20" s="5" t="s">
        <v>20</v>
      </c>
      <c r="D20" s="6">
        <v>10000</v>
      </c>
      <c r="E20" s="6">
        <f t="shared" si="0"/>
        <v>260000</v>
      </c>
      <c r="F20" s="6">
        <f t="shared" si="1"/>
        <v>210000</v>
      </c>
    </row>
    <row r="21" spans="1:6" x14ac:dyDescent="0.35">
      <c r="A21" s="5" t="s">
        <v>22</v>
      </c>
      <c r="B21" s="5">
        <v>7981</v>
      </c>
      <c r="C21" s="5" t="s">
        <v>20</v>
      </c>
      <c r="D21" s="6">
        <v>10000</v>
      </c>
      <c r="E21" s="6">
        <f t="shared" si="0"/>
        <v>270000</v>
      </c>
      <c r="F21" s="6">
        <f t="shared" si="1"/>
        <v>200000</v>
      </c>
    </row>
    <row r="22" spans="1:6" x14ac:dyDescent="0.35">
      <c r="A22" s="5" t="s">
        <v>23</v>
      </c>
      <c r="B22" s="5">
        <v>8488</v>
      </c>
      <c r="C22" s="5" t="s">
        <v>20</v>
      </c>
      <c r="D22" s="6">
        <v>10000</v>
      </c>
      <c r="E22" s="6">
        <f t="shared" si="0"/>
        <v>280000</v>
      </c>
      <c r="F22" s="6">
        <f t="shared" si="1"/>
        <v>190000</v>
      </c>
    </row>
    <row r="23" spans="1:6" x14ac:dyDescent="0.35">
      <c r="A23" s="5" t="s">
        <v>24</v>
      </c>
      <c r="B23" s="5">
        <v>9076</v>
      </c>
      <c r="C23" s="5" t="s">
        <v>20</v>
      </c>
      <c r="D23" s="6">
        <v>10000</v>
      </c>
      <c r="E23" s="6">
        <f t="shared" si="0"/>
        <v>290000</v>
      </c>
      <c r="F23" s="6">
        <f t="shared" si="1"/>
        <v>180000</v>
      </c>
    </row>
    <row r="24" spans="1:6" x14ac:dyDescent="0.35">
      <c r="A24" s="5" t="s">
        <v>25</v>
      </c>
      <c r="B24" s="5">
        <v>9558</v>
      </c>
      <c r="C24" s="5" t="s">
        <v>20</v>
      </c>
      <c r="D24" s="6">
        <v>10000</v>
      </c>
      <c r="E24" s="6">
        <f t="shared" si="0"/>
        <v>300000</v>
      </c>
      <c r="F24" s="6">
        <f t="shared" si="1"/>
        <v>170000</v>
      </c>
    </row>
    <row r="25" spans="1:6" x14ac:dyDescent="0.35">
      <c r="A25" s="5" t="s">
        <v>26</v>
      </c>
      <c r="B25" s="5">
        <v>11515</v>
      </c>
      <c r="C25" s="5" t="s">
        <v>20</v>
      </c>
      <c r="D25" s="6">
        <v>10000</v>
      </c>
      <c r="E25" s="6">
        <f t="shared" si="0"/>
        <v>310000</v>
      </c>
      <c r="F25" s="6">
        <f t="shared" si="1"/>
        <v>160000</v>
      </c>
    </row>
    <row r="26" spans="1:6" x14ac:dyDescent="0.35">
      <c r="A26" s="7">
        <v>45482</v>
      </c>
      <c r="B26" s="5">
        <v>10565</v>
      </c>
      <c r="C26" s="5" t="s">
        <v>20</v>
      </c>
      <c r="D26" s="6">
        <v>10000</v>
      </c>
      <c r="E26" s="6">
        <f t="shared" si="0"/>
        <v>320000</v>
      </c>
      <c r="F26" s="6">
        <f t="shared" si="1"/>
        <v>150000</v>
      </c>
    </row>
    <row r="27" spans="1:6" x14ac:dyDescent="0.35">
      <c r="A27" s="7">
        <v>45545</v>
      </c>
      <c r="B27" s="5">
        <v>11329</v>
      </c>
      <c r="C27" s="5" t="s">
        <v>20</v>
      </c>
      <c r="D27" s="6">
        <v>10000</v>
      </c>
      <c r="E27" s="6">
        <f t="shared" si="0"/>
        <v>330000</v>
      </c>
      <c r="F27" s="6">
        <f t="shared" si="1"/>
        <v>140000</v>
      </c>
    </row>
    <row r="28" spans="1:6" x14ac:dyDescent="0.35">
      <c r="A28" s="7">
        <v>45393</v>
      </c>
      <c r="B28" s="5">
        <v>10123</v>
      </c>
      <c r="C28" s="5" t="s">
        <v>20</v>
      </c>
      <c r="D28" s="6">
        <v>10000</v>
      </c>
      <c r="E28" s="6">
        <f t="shared" si="0"/>
        <v>340000</v>
      </c>
      <c r="F28" s="6">
        <f t="shared" si="1"/>
        <v>130000</v>
      </c>
    </row>
    <row r="29" spans="1:6" x14ac:dyDescent="0.35">
      <c r="A29" s="7">
        <v>45394</v>
      </c>
      <c r="B29" s="5">
        <v>12576</v>
      </c>
      <c r="C29" s="5" t="s">
        <v>20</v>
      </c>
      <c r="D29" s="6">
        <v>10000</v>
      </c>
      <c r="E29" s="6">
        <f t="shared" si="0"/>
        <v>350000</v>
      </c>
      <c r="F29" s="6">
        <f t="shared" si="1"/>
        <v>120000</v>
      </c>
    </row>
    <row r="30" spans="1:6" x14ac:dyDescent="0.35">
      <c r="A30" s="7">
        <v>45717</v>
      </c>
      <c r="B30" s="5">
        <v>10124</v>
      </c>
      <c r="C30" s="5" t="s">
        <v>20</v>
      </c>
      <c r="D30" s="6">
        <v>10000</v>
      </c>
      <c r="E30" s="6">
        <f t="shared" si="0"/>
        <v>360000</v>
      </c>
      <c r="F30" s="6">
        <f t="shared" si="1"/>
        <v>110000</v>
      </c>
    </row>
    <row r="31" spans="1:6" x14ac:dyDescent="0.35">
      <c r="A31" s="7">
        <v>45718</v>
      </c>
      <c r="B31" s="5">
        <v>10125</v>
      </c>
      <c r="C31" s="5" t="s">
        <v>20</v>
      </c>
      <c r="D31" s="6">
        <v>10000</v>
      </c>
      <c r="E31" s="6">
        <f t="shared" si="0"/>
        <v>370000</v>
      </c>
      <c r="F31" s="6">
        <f t="shared" si="1"/>
        <v>100000</v>
      </c>
    </row>
    <row r="32" spans="1:6" x14ac:dyDescent="0.35">
      <c r="A32" s="7">
        <v>45813</v>
      </c>
      <c r="B32" s="5">
        <v>10126</v>
      </c>
      <c r="C32" s="5" t="s">
        <v>20</v>
      </c>
      <c r="D32" s="6">
        <v>10000</v>
      </c>
      <c r="E32" s="6">
        <f t="shared" si="0"/>
        <v>380000</v>
      </c>
      <c r="F32" s="6">
        <f t="shared" si="1"/>
        <v>90000</v>
      </c>
    </row>
    <row r="33" spans="1:6" x14ac:dyDescent="0.35">
      <c r="A33" s="7">
        <v>45842</v>
      </c>
      <c r="B33" s="5">
        <v>9962</v>
      </c>
      <c r="C33" s="5" t="s">
        <v>20</v>
      </c>
      <c r="D33" s="6">
        <v>10000</v>
      </c>
      <c r="E33" s="6">
        <f t="shared" si="0"/>
        <v>390000</v>
      </c>
      <c r="F33" s="6">
        <f t="shared" si="1"/>
        <v>80000</v>
      </c>
    </row>
    <row r="34" spans="1:6" x14ac:dyDescent="0.35">
      <c r="A34" s="5" t="s">
        <v>27</v>
      </c>
      <c r="B34" s="5">
        <v>13026</v>
      </c>
      <c r="C34" s="5" t="s">
        <v>20</v>
      </c>
      <c r="D34" s="6">
        <v>30000</v>
      </c>
      <c r="E34" s="6">
        <f t="shared" si="0"/>
        <v>420000</v>
      </c>
      <c r="F34" s="6">
        <f t="shared" si="1"/>
        <v>50000</v>
      </c>
    </row>
    <row r="35" spans="1:6" x14ac:dyDescent="0.35">
      <c r="A35" s="7">
        <v>45816</v>
      </c>
      <c r="B35" s="5">
        <v>12412</v>
      </c>
      <c r="C35" s="5" t="s">
        <v>20</v>
      </c>
      <c r="D35" s="6">
        <v>10000</v>
      </c>
      <c r="E35" s="6">
        <f t="shared" si="0"/>
        <v>430000</v>
      </c>
      <c r="F35" s="6">
        <f t="shared" si="1"/>
        <v>40000</v>
      </c>
    </row>
    <row r="36" spans="1:6" x14ac:dyDescent="0.35">
      <c r="A36" s="7">
        <v>45819</v>
      </c>
      <c r="B36" s="5">
        <v>13435</v>
      </c>
      <c r="C36" s="5" t="s">
        <v>20</v>
      </c>
      <c r="D36" s="6">
        <v>20000</v>
      </c>
      <c r="E36" s="6">
        <f t="shared" si="0"/>
        <v>450000</v>
      </c>
      <c r="F36" s="6">
        <f t="shared" si="1"/>
        <v>20000</v>
      </c>
    </row>
    <row r="37" spans="1:6" x14ac:dyDescent="0.35">
      <c r="A37" s="7">
        <v>45973</v>
      </c>
      <c r="B37" s="5">
        <v>13156</v>
      </c>
      <c r="C37" s="5" t="s">
        <v>20</v>
      </c>
      <c r="D37" s="6">
        <v>10000</v>
      </c>
      <c r="E37" s="6">
        <f t="shared" si="0"/>
        <v>460000</v>
      </c>
      <c r="F37" s="6">
        <f t="shared" si="1"/>
        <v>10000</v>
      </c>
    </row>
    <row r="38" spans="1:6" x14ac:dyDescent="0.35">
      <c r="A38" s="8">
        <v>45873</v>
      </c>
      <c r="B38" s="17">
        <v>13184</v>
      </c>
      <c r="C38" s="5" t="s">
        <v>20</v>
      </c>
      <c r="D38" s="6">
        <v>10000</v>
      </c>
      <c r="E38" s="6">
        <f t="shared" si="0"/>
        <v>470000</v>
      </c>
      <c r="F38" s="6">
        <f t="shared" si="1"/>
        <v>0</v>
      </c>
    </row>
    <row r="39" spans="1:6" x14ac:dyDescent="0.35">
      <c r="A39" s="8">
        <v>45873</v>
      </c>
      <c r="B39" s="17">
        <v>5882</v>
      </c>
      <c r="C39" s="17" t="s">
        <v>77</v>
      </c>
      <c r="D39" s="9">
        <v>140000</v>
      </c>
      <c r="E39" s="9">
        <v>140000</v>
      </c>
      <c r="F39" t="s">
        <v>78</v>
      </c>
    </row>
    <row r="40" spans="1:6" ht="18.5" x14ac:dyDescent="0.45">
      <c r="A40" s="18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6D0CC-C235-47C7-AD2E-4BF28FD8B32F}">
  <dimension ref="A1:F45"/>
  <sheetViews>
    <sheetView workbookViewId="0">
      <selection activeCell="C23" sqref="C23"/>
    </sheetView>
  </sheetViews>
  <sheetFormatPr defaultRowHeight="14.5" x14ac:dyDescent="0.35"/>
  <cols>
    <col min="1" max="1" width="9.453125" bestFit="1" customWidth="1"/>
    <col min="3" max="3" width="10.90625" customWidth="1"/>
    <col min="6" max="6" width="11.7265625" customWidth="1"/>
  </cols>
  <sheetData>
    <row r="1" spans="1:6" ht="18.5" x14ac:dyDescent="0.45">
      <c r="A1" s="1" t="s">
        <v>81</v>
      </c>
      <c r="B1" s="1"/>
      <c r="C1" s="2"/>
      <c r="D1" s="1"/>
      <c r="E1" s="1"/>
      <c r="F1" s="1"/>
    </row>
    <row r="2" spans="1:6" ht="18.5" x14ac:dyDescent="0.45">
      <c r="A2" s="1" t="s">
        <v>82</v>
      </c>
      <c r="C2" s="1"/>
      <c r="D2" s="1"/>
      <c r="E2" s="1"/>
      <c r="F2" s="1"/>
    </row>
    <row r="3" spans="1:6" ht="18.5" x14ac:dyDescent="0.45">
      <c r="A3" s="1" t="s">
        <v>83</v>
      </c>
      <c r="B3" s="1"/>
      <c r="C3" s="1"/>
      <c r="D3" s="1"/>
      <c r="E3" s="1"/>
      <c r="F3" s="1"/>
    </row>
    <row r="4" spans="1:6" ht="18.5" x14ac:dyDescent="0.45">
      <c r="A4" s="1" t="s">
        <v>87</v>
      </c>
      <c r="B4" s="1" t="s">
        <v>208</v>
      </c>
      <c r="C4" s="1"/>
      <c r="D4" s="1"/>
      <c r="E4" s="1"/>
      <c r="F4" s="1"/>
    </row>
    <row r="5" spans="1:6" ht="18.5" x14ac:dyDescent="0.45">
      <c r="A5" s="1" t="s">
        <v>84</v>
      </c>
      <c r="B5" s="1"/>
      <c r="C5" s="1"/>
      <c r="D5" s="1"/>
      <c r="E5" s="1"/>
      <c r="F5" s="1"/>
    </row>
    <row r="6" spans="1:6" ht="18.5" x14ac:dyDescent="0.45">
      <c r="A6" s="1" t="s">
        <v>85</v>
      </c>
      <c r="B6" s="1"/>
      <c r="C6" s="1"/>
      <c r="D6" s="1" t="s">
        <v>86</v>
      </c>
      <c r="E6" s="1"/>
      <c r="F6" s="1"/>
    </row>
    <row r="7" spans="1:6" x14ac:dyDescent="0.35">
      <c r="A7" s="3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</row>
    <row r="8" spans="1:6" x14ac:dyDescent="0.35">
      <c r="A8" s="11">
        <v>44723</v>
      </c>
      <c r="B8" s="10">
        <v>19</v>
      </c>
      <c r="C8" s="10" t="s">
        <v>90</v>
      </c>
      <c r="D8" s="19">
        <v>60000</v>
      </c>
      <c r="E8" s="19">
        <v>60000</v>
      </c>
      <c r="F8" s="19">
        <v>590000</v>
      </c>
    </row>
    <row r="9" spans="1:6" x14ac:dyDescent="0.35">
      <c r="A9" s="10" t="s">
        <v>88</v>
      </c>
      <c r="B9" s="10">
        <v>2353</v>
      </c>
      <c r="C9" s="10" t="s">
        <v>20</v>
      </c>
      <c r="D9" s="19">
        <v>20000</v>
      </c>
      <c r="E9" s="19">
        <f>SUM(E8+D9)</f>
        <v>80000</v>
      </c>
      <c r="F9" s="19">
        <f>F8-D9</f>
        <v>570000</v>
      </c>
    </row>
    <row r="10" spans="1:6" x14ac:dyDescent="0.35">
      <c r="A10" s="11">
        <v>45142</v>
      </c>
      <c r="B10" s="10">
        <v>1886</v>
      </c>
      <c r="C10" s="10" t="s">
        <v>20</v>
      </c>
      <c r="D10" s="19">
        <v>10000</v>
      </c>
      <c r="E10" s="19">
        <f t="shared" ref="E10:E41" si="0">SUM(E9+D10)</f>
        <v>90000</v>
      </c>
      <c r="F10" s="19">
        <f t="shared" ref="F10:F41" si="1">F9-D10</f>
        <v>560000</v>
      </c>
    </row>
    <row r="11" spans="1:6" x14ac:dyDescent="0.35">
      <c r="A11" s="11">
        <v>45204</v>
      </c>
      <c r="B11" s="10">
        <v>771</v>
      </c>
      <c r="C11" s="10" t="s">
        <v>20</v>
      </c>
      <c r="D11" s="19">
        <v>10000</v>
      </c>
      <c r="E11" s="19">
        <f t="shared" si="0"/>
        <v>100000</v>
      </c>
      <c r="F11" s="19">
        <f t="shared" si="1"/>
        <v>550000</v>
      </c>
    </row>
    <row r="12" spans="1:6" x14ac:dyDescent="0.35">
      <c r="A12" s="11">
        <v>45205</v>
      </c>
      <c r="B12" s="10">
        <v>406</v>
      </c>
      <c r="C12" s="10" t="s">
        <v>20</v>
      </c>
      <c r="D12" s="19">
        <v>10000</v>
      </c>
      <c r="E12" s="19">
        <f t="shared" si="0"/>
        <v>110000</v>
      </c>
      <c r="F12" s="19">
        <f t="shared" si="1"/>
        <v>540000</v>
      </c>
    </row>
    <row r="13" spans="1:6" x14ac:dyDescent="0.35">
      <c r="A13" s="11">
        <v>45206</v>
      </c>
      <c r="B13" s="10">
        <v>2650</v>
      </c>
      <c r="C13" s="10" t="s">
        <v>20</v>
      </c>
      <c r="D13" s="19">
        <v>10000</v>
      </c>
      <c r="E13" s="19">
        <f t="shared" si="0"/>
        <v>120000</v>
      </c>
      <c r="F13" s="19">
        <f t="shared" si="1"/>
        <v>530000</v>
      </c>
    </row>
    <row r="14" spans="1:6" x14ac:dyDescent="0.35">
      <c r="A14" s="10" t="s">
        <v>89</v>
      </c>
      <c r="B14" s="10">
        <v>3921</v>
      </c>
      <c r="C14" s="10" t="s">
        <v>20</v>
      </c>
      <c r="D14" s="19">
        <v>30000</v>
      </c>
      <c r="E14" s="19">
        <f t="shared" si="0"/>
        <v>150000</v>
      </c>
      <c r="F14" s="19">
        <f t="shared" si="1"/>
        <v>500000</v>
      </c>
    </row>
    <row r="15" spans="1:6" x14ac:dyDescent="0.35">
      <c r="A15" s="11">
        <v>45180</v>
      </c>
      <c r="B15" s="10">
        <v>4751</v>
      </c>
      <c r="C15" s="10" t="s">
        <v>20</v>
      </c>
      <c r="D15" s="19">
        <v>10000</v>
      </c>
      <c r="E15" s="19">
        <f t="shared" si="0"/>
        <v>160000</v>
      </c>
      <c r="F15" s="19">
        <f t="shared" si="1"/>
        <v>490000</v>
      </c>
    </row>
    <row r="16" spans="1:6" x14ac:dyDescent="0.35">
      <c r="A16" s="11">
        <v>44969</v>
      </c>
      <c r="B16" s="10">
        <v>5247</v>
      </c>
      <c r="C16" s="10" t="s">
        <v>20</v>
      </c>
      <c r="D16" s="19">
        <v>10000</v>
      </c>
      <c r="E16" s="19">
        <f t="shared" si="0"/>
        <v>170000</v>
      </c>
      <c r="F16" s="19">
        <f t="shared" si="1"/>
        <v>480000</v>
      </c>
    </row>
    <row r="17" spans="1:6" x14ac:dyDescent="0.35">
      <c r="A17" s="11">
        <v>45444</v>
      </c>
      <c r="B17" s="10">
        <v>5938</v>
      </c>
      <c r="C17" s="10" t="s">
        <v>20</v>
      </c>
      <c r="D17" s="19">
        <v>10000</v>
      </c>
      <c r="E17" s="19">
        <f t="shared" si="0"/>
        <v>180000</v>
      </c>
      <c r="F17" s="19">
        <f t="shared" si="1"/>
        <v>470000</v>
      </c>
    </row>
    <row r="18" spans="1:6" x14ac:dyDescent="0.35">
      <c r="A18" s="11">
        <v>45353</v>
      </c>
      <c r="B18" s="10">
        <v>6515</v>
      </c>
      <c r="C18" s="10" t="s">
        <v>20</v>
      </c>
      <c r="D18" s="19">
        <v>10000</v>
      </c>
      <c r="E18" s="19">
        <f t="shared" si="0"/>
        <v>190000</v>
      </c>
      <c r="F18" s="19">
        <f t="shared" si="1"/>
        <v>460000</v>
      </c>
    </row>
    <row r="19" spans="1:6" x14ac:dyDescent="0.35">
      <c r="A19" s="10" t="s">
        <v>91</v>
      </c>
      <c r="B19" s="10">
        <v>7340</v>
      </c>
      <c r="C19" s="10" t="s">
        <v>20</v>
      </c>
      <c r="D19" s="19">
        <v>10000</v>
      </c>
      <c r="E19" s="19">
        <f t="shared" si="0"/>
        <v>200000</v>
      </c>
      <c r="F19" s="19">
        <f t="shared" si="1"/>
        <v>450000</v>
      </c>
    </row>
    <row r="20" spans="1:6" x14ac:dyDescent="0.35">
      <c r="A20" s="11">
        <v>45509</v>
      </c>
      <c r="B20" s="10">
        <v>8333</v>
      </c>
      <c r="C20" s="10" t="s">
        <v>20</v>
      </c>
      <c r="D20" s="19">
        <v>78000</v>
      </c>
      <c r="E20" s="19">
        <f t="shared" si="0"/>
        <v>278000</v>
      </c>
      <c r="F20" s="19">
        <f t="shared" si="1"/>
        <v>372000</v>
      </c>
    </row>
    <row r="21" spans="1:6" x14ac:dyDescent="0.35">
      <c r="A21" s="11">
        <v>45509</v>
      </c>
      <c r="B21" s="10">
        <v>8331</v>
      </c>
      <c r="C21" s="10" t="s">
        <v>20</v>
      </c>
      <c r="D21" s="19">
        <v>10000</v>
      </c>
      <c r="E21" s="19">
        <f t="shared" si="0"/>
        <v>288000</v>
      </c>
      <c r="F21" s="19">
        <f t="shared" si="1"/>
        <v>362000</v>
      </c>
    </row>
    <row r="22" spans="1:6" x14ac:dyDescent="0.35">
      <c r="A22" s="10" t="s">
        <v>92</v>
      </c>
      <c r="B22" s="10">
        <v>10115</v>
      </c>
      <c r="C22" s="10" t="s">
        <v>20</v>
      </c>
      <c r="D22" s="19">
        <v>10000</v>
      </c>
      <c r="E22" s="19">
        <f t="shared" si="0"/>
        <v>298000</v>
      </c>
      <c r="F22" s="19">
        <f t="shared" si="1"/>
        <v>352000</v>
      </c>
    </row>
    <row r="23" spans="1:6" x14ac:dyDescent="0.35">
      <c r="A23" s="10" t="s">
        <v>93</v>
      </c>
      <c r="B23" s="10">
        <v>11627</v>
      </c>
      <c r="C23" s="10" t="s">
        <v>20</v>
      </c>
      <c r="D23" s="19">
        <v>10000</v>
      </c>
      <c r="E23" s="19">
        <f t="shared" si="0"/>
        <v>308000</v>
      </c>
      <c r="F23" s="19">
        <f t="shared" si="1"/>
        <v>342000</v>
      </c>
    </row>
    <row r="24" spans="1:6" x14ac:dyDescent="0.35">
      <c r="A24" s="10" t="s">
        <v>94</v>
      </c>
      <c r="B24" s="10">
        <v>12183</v>
      </c>
      <c r="C24" s="10" t="s">
        <v>20</v>
      </c>
      <c r="D24" s="19">
        <v>10000</v>
      </c>
      <c r="E24" s="19">
        <f t="shared" si="0"/>
        <v>318000</v>
      </c>
      <c r="F24" s="19">
        <f t="shared" si="1"/>
        <v>332000</v>
      </c>
    </row>
    <row r="25" spans="1:6" x14ac:dyDescent="0.35">
      <c r="A25" s="10" t="s">
        <v>95</v>
      </c>
      <c r="B25" s="10">
        <v>12679</v>
      </c>
      <c r="C25" s="10" t="s">
        <v>20</v>
      </c>
      <c r="D25" s="19">
        <v>10000</v>
      </c>
      <c r="E25" s="19">
        <f t="shared" si="0"/>
        <v>328000</v>
      </c>
      <c r="F25" s="19">
        <f t="shared" si="1"/>
        <v>322000</v>
      </c>
    </row>
    <row r="26" spans="1:6" x14ac:dyDescent="0.35">
      <c r="A26" s="10" t="s">
        <v>96</v>
      </c>
      <c r="B26" s="10">
        <v>9168</v>
      </c>
      <c r="C26" s="10" t="s">
        <v>20</v>
      </c>
      <c r="D26" s="19">
        <v>10000</v>
      </c>
      <c r="E26" s="19">
        <f t="shared" si="0"/>
        <v>338000</v>
      </c>
      <c r="F26" s="19">
        <f t="shared" si="1"/>
        <v>312000</v>
      </c>
    </row>
    <row r="27" spans="1:6" x14ac:dyDescent="0.35">
      <c r="A27" s="10" t="s">
        <v>97</v>
      </c>
      <c r="B27" s="10">
        <v>9408</v>
      </c>
      <c r="C27" s="10" t="s">
        <v>20</v>
      </c>
      <c r="D27" s="19">
        <v>10000</v>
      </c>
      <c r="E27" s="19">
        <f t="shared" si="0"/>
        <v>348000</v>
      </c>
      <c r="F27" s="19">
        <f t="shared" si="1"/>
        <v>302000</v>
      </c>
    </row>
    <row r="28" spans="1:6" x14ac:dyDescent="0.35">
      <c r="A28" s="11">
        <v>45841</v>
      </c>
      <c r="B28" s="10">
        <v>9641</v>
      </c>
      <c r="C28" s="10" t="s">
        <v>20</v>
      </c>
      <c r="D28" s="19">
        <v>10000</v>
      </c>
      <c r="E28" s="19">
        <f t="shared" si="0"/>
        <v>358000</v>
      </c>
      <c r="F28" s="19">
        <f t="shared" si="1"/>
        <v>292000</v>
      </c>
    </row>
    <row r="29" spans="1:6" x14ac:dyDescent="0.35">
      <c r="A29" s="10" t="s">
        <v>98</v>
      </c>
      <c r="B29" s="10">
        <v>10001</v>
      </c>
      <c r="C29" s="10" t="s">
        <v>20</v>
      </c>
      <c r="D29" s="19">
        <v>10000</v>
      </c>
      <c r="E29" s="19">
        <f t="shared" si="0"/>
        <v>368000</v>
      </c>
      <c r="F29" s="19">
        <f t="shared" si="1"/>
        <v>282000</v>
      </c>
    </row>
    <row r="30" spans="1:6" x14ac:dyDescent="0.35">
      <c r="A30" s="10" t="s">
        <v>99</v>
      </c>
      <c r="B30" s="10">
        <v>12266</v>
      </c>
      <c r="C30" s="10" t="s">
        <v>20</v>
      </c>
      <c r="D30" s="19">
        <v>10000</v>
      </c>
      <c r="E30" s="19">
        <f t="shared" si="0"/>
        <v>378000</v>
      </c>
      <c r="F30" s="19">
        <f t="shared" si="1"/>
        <v>272000</v>
      </c>
    </row>
    <row r="31" spans="1:6" x14ac:dyDescent="0.35">
      <c r="A31" s="10" t="s">
        <v>100</v>
      </c>
      <c r="B31" s="10">
        <v>12271</v>
      </c>
      <c r="C31" s="10" t="s">
        <v>20</v>
      </c>
      <c r="D31" s="19">
        <v>10000</v>
      </c>
      <c r="E31" s="19">
        <f t="shared" si="0"/>
        <v>388000</v>
      </c>
      <c r="F31" s="19">
        <f t="shared" si="1"/>
        <v>262000</v>
      </c>
    </row>
    <row r="32" spans="1:6" x14ac:dyDescent="0.35">
      <c r="A32" s="11">
        <v>45695</v>
      </c>
      <c r="B32" s="10">
        <v>12243</v>
      </c>
      <c r="C32" s="10" t="s">
        <v>20</v>
      </c>
      <c r="D32" s="19">
        <v>10000</v>
      </c>
      <c r="E32" s="19">
        <f t="shared" si="0"/>
        <v>398000</v>
      </c>
      <c r="F32" s="19">
        <f t="shared" si="1"/>
        <v>252000</v>
      </c>
    </row>
    <row r="33" spans="1:6" x14ac:dyDescent="0.35">
      <c r="A33" s="10" t="s">
        <v>101</v>
      </c>
      <c r="B33" s="10">
        <v>12993</v>
      </c>
      <c r="C33" s="10" t="s">
        <v>20</v>
      </c>
      <c r="D33" s="19">
        <v>10000</v>
      </c>
      <c r="E33" s="19">
        <f t="shared" si="0"/>
        <v>408000</v>
      </c>
      <c r="F33" s="19">
        <f t="shared" si="1"/>
        <v>242000</v>
      </c>
    </row>
    <row r="34" spans="1:6" x14ac:dyDescent="0.35">
      <c r="A34" s="10" t="s">
        <v>102</v>
      </c>
      <c r="B34" s="10">
        <v>13968</v>
      </c>
      <c r="C34" s="10" t="s">
        <v>20</v>
      </c>
      <c r="D34" s="19">
        <v>10000</v>
      </c>
      <c r="E34" s="19">
        <f t="shared" si="0"/>
        <v>418000</v>
      </c>
      <c r="F34" s="19">
        <f t="shared" si="1"/>
        <v>232000</v>
      </c>
    </row>
    <row r="35" spans="1:6" x14ac:dyDescent="0.35">
      <c r="A35" s="10" t="s">
        <v>103</v>
      </c>
      <c r="B35" s="10">
        <v>13521</v>
      </c>
      <c r="C35" s="10" t="s">
        <v>20</v>
      </c>
      <c r="D35" s="19">
        <v>10000</v>
      </c>
      <c r="E35" s="19">
        <f t="shared" si="0"/>
        <v>428000</v>
      </c>
      <c r="F35" s="19">
        <f t="shared" si="1"/>
        <v>222000</v>
      </c>
    </row>
    <row r="36" spans="1:6" x14ac:dyDescent="0.35">
      <c r="A36" s="11">
        <v>45911</v>
      </c>
      <c r="B36" s="10">
        <v>13497</v>
      </c>
      <c r="C36" s="10" t="s">
        <v>20</v>
      </c>
      <c r="D36" s="19">
        <v>10000</v>
      </c>
      <c r="E36" s="19">
        <f t="shared" si="0"/>
        <v>438000</v>
      </c>
      <c r="F36" s="19">
        <f t="shared" si="1"/>
        <v>212000</v>
      </c>
    </row>
    <row r="37" spans="1:6" x14ac:dyDescent="0.35">
      <c r="A37" s="10" t="s">
        <v>104</v>
      </c>
      <c r="B37" s="10">
        <v>13805</v>
      </c>
      <c r="C37" s="10" t="s">
        <v>20</v>
      </c>
      <c r="D37" s="19">
        <v>10000</v>
      </c>
      <c r="E37" s="19">
        <f t="shared" si="0"/>
        <v>448000</v>
      </c>
      <c r="F37" s="19">
        <f t="shared" si="1"/>
        <v>202000</v>
      </c>
    </row>
    <row r="38" spans="1:6" x14ac:dyDescent="0.35">
      <c r="A38" s="10" t="s">
        <v>105</v>
      </c>
      <c r="B38" s="10">
        <v>12217</v>
      </c>
      <c r="C38" s="10" t="s">
        <v>20</v>
      </c>
      <c r="D38" s="19">
        <v>10000</v>
      </c>
      <c r="E38" s="19">
        <f t="shared" si="0"/>
        <v>458000</v>
      </c>
      <c r="F38" s="19">
        <f t="shared" si="1"/>
        <v>192000</v>
      </c>
    </row>
    <row r="39" spans="1:6" x14ac:dyDescent="0.35">
      <c r="A39" s="10" t="s">
        <v>106</v>
      </c>
      <c r="B39" s="10">
        <v>12539</v>
      </c>
      <c r="C39" s="10" t="s">
        <v>20</v>
      </c>
      <c r="D39" s="19">
        <v>10000</v>
      </c>
      <c r="E39" s="19">
        <f t="shared" si="0"/>
        <v>468000</v>
      </c>
      <c r="F39" s="19">
        <f t="shared" si="1"/>
        <v>182000</v>
      </c>
    </row>
    <row r="40" spans="1:6" x14ac:dyDescent="0.35">
      <c r="A40" s="10" t="s">
        <v>107</v>
      </c>
      <c r="B40" s="10">
        <v>12898</v>
      </c>
      <c r="C40" s="10" t="s">
        <v>20</v>
      </c>
      <c r="D40" s="19">
        <v>10000</v>
      </c>
      <c r="E40" s="19">
        <f t="shared" si="0"/>
        <v>478000</v>
      </c>
      <c r="F40" s="19">
        <f t="shared" si="1"/>
        <v>172000</v>
      </c>
    </row>
    <row r="41" spans="1:6" x14ac:dyDescent="0.35">
      <c r="A41" s="11">
        <v>46299</v>
      </c>
      <c r="B41" s="10">
        <v>13202</v>
      </c>
      <c r="C41" s="10" t="s">
        <v>20</v>
      </c>
      <c r="D41" s="19">
        <v>10000</v>
      </c>
      <c r="E41" s="19">
        <f t="shared" si="0"/>
        <v>488000</v>
      </c>
      <c r="F41" s="19">
        <f t="shared" si="1"/>
        <v>162000</v>
      </c>
    </row>
    <row r="42" spans="1:6" x14ac:dyDescent="0.35">
      <c r="A42" s="10" t="s">
        <v>194</v>
      </c>
      <c r="B42" s="10">
        <v>13425</v>
      </c>
      <c r="C42" s="10" t="s">
        <v>20</v>
      </c>
      <c r="D42" s="19">
        <v>10000</v>
      </c>
      <c r="E42" s="19">
        <f>E41+D42</f>
        <v>498000</v>
      </c>
      <c r="F42" s="19">
        <f>F41-D42</f>
        <v>152000</v>
      </c>
    </row>
    <row r="43" spans="1:6" x14ac:dyDescent="0.35">
      <c r="A43" s="10" t="s">
        <v>195</v>
      </c>
      <c r="B43" s="10">
        <v>13669</v>
      </c>
      <c r="C43" s="10" t="s">
        <v>20</v>
      </c>
      <c r="D43" s="19">
        <v>10000</v>
      </c>
      <c r="E43" s="19">
        <f>E42+D43</f>
        <v>508000</v>
      </c>
      <c r="F43" s="19">
        <f>F42-D43</f>
        <v>142000</v>
      </c>
    </row>
    <row r="44" spans="1:6" x14ac:dyDescent="0.35">
      <c r="A44" s="10" t="s">
        <v>207</v>
      </c>
      <c r="B44" s="10">
        <v>1382</v>
      </c>
      <c r="C44" s="10" t="s">
        <v>20</v>
      </c>
      <c r="D44" s="19">
        <v>10000</v>
      </c>
      <c r="E44" s="19">
        <f>E43+D44</f>
        <v>518000</v>
      </c>
      <c r="F44" s="19">
        <f>F43-D44</f>
        <v>132000</v>
      </c>
    </row>
    <row r="45" spans="1:6" x14ac:dyDescent="0.35">
      <c r="A45" s="11">
        <v>46030</v>
      </c>
      <c r="B45" s="10">
        <v>1618</v>
      </c>
      <c r="C45" s="10" t="s">
        <v>20</v>
      </c>
      <c r="D45" s="19">
        <v>10000</v>
      </c>
      <c r="E45" s="19">
        <f>E44+D45</f>
        <v>528000</v>
      </c>
      <c r="F45" s="19">
        <f>F44-D45</f>
        <v>122000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5040D-A7B5-4B72-A40C-2E3662D534D7}">
  <dimension ref="A1:F52"/>
  <sheetViews>
    <sheetView topLeftCell="A41" workbookViewId="0">
      <selection activeCell="C53" sqref="C53"/>
    </sheetView>
  </sheetViews>
  <sheetFormatPr defaultRowHeight="14.5" x14ac:dyDescent="0.35"/>
  <cols>
    <col min="1" max="1" width="15.81640625" customWidth="1"/>
    <col min="3" max="3" width="10.26953125" bestFit="1" customWidth="1"/>
    <col min="4" max="4" width="15.26953125" bestFit="1" customWidth="1"/>
    <col min="6" max="6" width="11.36328125" bestFit="1" customWidth="1"/>
  </cols>
  <sheetData>
    <row r="1" spans="1:6" ht="18.5" x14ac:dyDescent="0.45">
      <c r="A1" s="1" t="s">
        <v>38</v>
      </c>
      <c r="B1" s="1"/>
      <c r="C1" s="2"/>
      <c r="D1" s="1"/>
      <c r="E1" s="1"/>
      <c r="F1" s="1"/>
    </row>
    <row r="2" spans="1:6" ht="18.5" x14ac:dyDescent="0.45">
      <c r="A2" s="1" t="s">
        <v>29</v>
      </c>
      <c r="C2" s="1"/>
      <c r="D2" s="1"/>
      <c r="E2" s="1"/>
      <c r="F2" s="1"/>
    </row>
    <row r="3" spans="1:6" ht="18.5" x14ac:dyDescent="0.45">
      <c r="A3" s="1" t="s">
        <v>39</v>
      </c>
      <c r="B3" s="1"/>
      <c r="C3" s="1"/>
      <c r="D3" s="1"/>
      <c r="E3" s="1"/>
      <c r="F3" s="1"/>
    </row>
    <row r="4" spans="1:6" ht="18.5" x14ac:dyDescent="0.45">
      <c r="A4" s="1" t="s">
        <v>197</v>
      </c>
      <c r="B4" s="1" t="s">
        <v>198</v>
      </c>
      <c r="C4" s="1"/>
      <c r="D4" s="1"/>
      <c r="E4" s="1"/>
      <c r="F4" s="1"/>
    </row>
    <row r="5" spans="1:6" ht="18.5" x14ac:dyDescent="0.45">
      <c r="A5" s="1" t="s">
        <v>40</v>
      </c>
      <c r="B5" s="1"/>
      <c r="C5" s="1"/>
      <c r="D5" s="1"/>
      <c r="E5" s="1"/>
      <c r="F5" s="1"/>
    </row>
    <row r="6" spans="1:6" ht="18.5" x14ac:dyDescent="0.45">
      <c r="A6" s="1" t="s">
        <v>41</v>
      </c>
      <c r="B6" s="1"/>
      <c r="C6" s="1"/>
      <c r="D6" s="1" t="s">
        <v>42</v>
      </c>
      <c r="E6" s="1"/>
      <c r="F6" s="1"/>
    </row>
    <row r="7" spans="1:6" x14ac:dyDescent="0.35">
      <c r="A7" s="3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</row>
    <row r="8" spans="1:6" x14ac:dyDescent="0.35">
      <c r="A8" s="5" t="s">
        <v>13</v>
      </c>
      <c r="B8" s="5">
        <v>1775</v>
      </c>
      <c r="C8" s="5" t="s">
        <v>44</v>
      </c>
      <c r="D8" s="6">
        <v>20000</v>
      </c>
      <c r="E8" s="6">
        <v>20000</v>
      </c>
      <c r="F8" s="6">
        <v>420000</v>
      </c>
    </row>
    <row r="9" spans="1:6" x14ac:dyDescent="0.35">
      <c r="A9" s="5" t="s">
        <v>43</v>
      </c>
      <c r="B9" s="5">
        <v>1775</v>
      </c>
      <c r="C9" s="5" t="s">
        <v>45</v>
      </c>
      <c r="D9" s="6">
        <v>110000</v>
      </c>
      <c r="E9" s="6">
        <f>SUM(E8+D9)</f>
        <v>130000</v>
      </c>
      <c r="F9" s="6">
        <f>F8-D9</f>
        <v>310000</v>
      </c>
    </row>
    <row r="10" spans="1:6" x14ac:dyDescent="0.35">
      <c r="A10" s="7">
        <v>44989</v>
      </c>
      <c r="B10" s="5">
        <v>1776</v>
      </c>
      <c r="C10" s="5" t="s">
        <v>20</v>
      </c>
      <c r="D10" s="6">
        <v>10000</v>
      </c>
      <c r="E10" s="6">
        <f t="shared" ref="E10:E46" si="0">SUM(E9+D10)</f>
        <v>140000</v>
      </c>
      <c r="F10" s="6">
        <f t="shared" ref="F10:F46" si="1">F9-D10</f>
        <v>300000</v>
      </c>
    </row>
    <row r="11" spans="1:6" x14ac:dyDescent="0.35">
      <c r="A11" s="5" t="s">
        <v>15</v>
      </c>
      <c r="B11" s="5">
        <v>813</v>
      </c>
      <c r="C11" s="5" t="s">
        <v>20</v>
      </c>
      <c r="D11" s="6">
        <v>10000</v>
      </c>
      <c r="E11" s="6">
        <f t="shared" si="0"/>
        <v>150000</v>
      </c>
      <c r="F11" s="6">
        <f t="shared" si="1"/>
        <v>290000</v>
      </c>
    </row>
    <row r="12" spans="1:6" x14ac:dyDescent="0.35">
      <c r="A12" s="7">
        <v>45266</v>
      </c>
      <c r="B12" s="5">
        <v>502</v>
      </c>
      <c r="C12" s="5" t="s">
        <v>20</v>
      </c>
      <c r="D12" s="6">
        <v>10000</v>
      </c>
      <c r="E12" s="6">
        <f t="shared" si="0"/>
        <v>160000</v>
      </c>
      <c r="F12" s="6">
        <f t="shared" si="1"/>
        <v>280000</v>
      </c>
    </row>
    <row r="13" spans="1:6" x14ac:dyDescent="0.35">
      <c r="A13" s="5" t="s">
        <v>16</v>
      </c>
      <c r="B13" s="5">
        <v>2838</v>
      </c>
      <c r="C13" s="5" t="s">
        <v>20</v>
      </c>
      <c r="D13" s="6">
        <v>7000</v>
      </c>
      <c r="E13" s="6">
        <f t="shared" si="0"/>
        <v>167000</v>
      </c>
      <c r="F13" s="6">
        <f t="shared" si="1"/>
        <v>273000</v>
      </c>
    </row>
    <row r="14" spans="1:6" x14ac:dyDescent="0.35">
      <c r="A14" s="7">
        <v>45268</v>
      </c>
      <c r="B14" s="5">
        <v>2388</v>
      </c>
      <c r="C14" s="5" t="s">
        <v>20</v>
      </c>
      <c r="D14" s="6">
        <v>7000</v>
      </c>
      <c r="E14" s="6">
        <f t="shared" si="0"/>
        <v>174000</v>
      </c>
      <c r="F14" s="6">
        <f t="shared" si="1"/>
        <v>266000</v>
      </c>
    </row>
    <row r="15" spans="1:6" x14ac:dyDescent="0.35">
      <c r="A15" s="5" t="s">
        <v>17</v>
      </c>
      <c r="B15" s="5">
        <v>3614</v>
      </c>
      <c r="C15" s="5" t="s">
        <v>20</v>
      </c>
      <c r="D15" s="6">
        <v>7000</v>
      </c>
      <c r="E15" s="6">
        <f t="shared" si="0"/>
        <v>181000</v>
      </c>
      <c r="F15" s="6">
        <f t="shared" si="1"/>
        <v>259000</v>
      </c>
    </row>
    <row r="16" spans="1:6" x14ac:dyDescent="0.35">
      <c r="A16" s="7">
        <v>45209</v>
      </c>
      <c r="B16" s="5">
        <v>4190</v>
      </c>
      <c r="C16" s="5" t="s">
        <v>20</v>
      </c>
      <c r="D16" s="6">
        <v>7000</v>
      </c>
      <c r="E16" s="6">
        <f t="shared" si="0"/>
        <v>188000</v>
      </c>
      <c r="F16" s="6">
        <f t="shared" si="1"/>
        <v>252000</v>
      </c>
    </row>
    <row r="17" spans="1:6" x14ac:dyDescent="0.35">
      <c r="A17" s="7">
        <v>45180</v>
      </c>
      <c r="B17" s="5">
        <v>4740</v>
      </c>
      <c r="C17" s="5" t="s">
        <v>20</v>
      </c>
      <c r="D17" s="6">
        <v>7000</v>
      </c>
      <c r="E17" s="6">
        <f t="shared" si="0"/>
        <v>195000</v>
      </c>
      <c r="F17" s="6">
        <f t="shared" si="1"/>
        <v>245000</v>
      </c>
    </row>
    <row r="18" spans="1:6" x14ac:dyDescent="0.35">
      <c r="A18" s="7">
        <v>45089</v>
      </c>
      <c r="B18" s="5">
        <v>5333</v>
      </c>
      <c r="C18" s="5" t="s">
        <v>20</v>
      </c>
      <c r="D18" s="6">
        <v>7000</v>
      </c>
      <c r="E18" s="6">
        <f t="shared" si="0"/>
        <v>202000</v>
      </c>
      <c r="F18" s="6">
        <f t="shared" si="1"/>
        <v>238000</v>
      </c>
    </row>
    <row r="19" spans="1:6" x14ac:dyDescent="0.35">
      <c r="A19" s="7">
        <v>45505</v>
      </c>
      <c r="B19" s="5">
        <v>6009</v>
      </c>
      <c r="C19" s="5" t="s">
        <v>20</v>
      </c>
      <c r="D19" s="6">
        <v>7000</v>
      </c>
      <c r="E19" s="6">
        <f t="shared" si="0"/>
        <v>209000</v>
      </c>
      <c r="F19" s="6">
        <f t="shared" si="1"/>
        <v>231000</v>
      </c>
    </row>
    <row r="20" spans="1:6" x14ac:dyDescent="0.35">
      <c r="A20" s="5" t="s">
        <v>21</v>
      </c>
      <c r="B20" s="5">
        <v>7139</v>
      </c>
      <c r="C20" s="5" t="s">
        <v>20</v>
      </c>
      <c r="D20" s="6">
        <v>7000</v>
      </c>
      <c r="E20" s="6">
        <f t="shared" si="0"/>
        <v>216000</v>
      </c>
      <c r="F20" s="6">
        <f t="shared" si="1"/>
        <v>224000</v>
      </c>
    </row>
    <row r="21" spans="1:6" x14ac:dyDescent="0.35">
      <c r="A21" s="7">
        <v>45599</v>
      </c>
      <c r="B21" s="5">
        <v>7298</v>
      </c>
      <c r="C21" s="5" t="s">
        <v>20</v>
      </c>
      <c r="D21" s="6">
        <v>7000</v>
      </c>
      <c r="E21" s="6">
        <f t="shared" si="0"/>
        <v>223000</v>
      </c>
      <c r="F21" s="6">
        <f t="shared" si="1"/>
        <v>217000</v>
      </c>
    </row>
    <row r="22" spans="1:6" x14ac:dyDescent="0.35">
      <c r="A22" s="5" t="s">
        <v>22</v>
      </c>
      <c r="B22" s="5">
        <v>8167</v>
      </c>
      <c r="C22" s="5" t="s">
        <v>20</v>
      </c>
      <c r="D22" s="6">
        <v>7000</v>
      </c>
      <c r="E22" s="6">
        <f t="shared" si="0"/>
        <v>230000</v>
      </c>
      <c r="F22" s="6">
        <f t="shared" si="1"/>
        <v>210000</v>
      </c>
    </row>
    <row r="23" spans="1:6" x14ac:dyDescent="0.35">
      <c r="A23" s="5" t="s">
        <v>23</v>
      </c>
      <c r="B23" s="5">
        <v>8493</v>
      </c>
      <c r="C23" s="5" t="s">
        <v>20</v>
      </c>
      <c r="D23" s="6">
        <v>7000</v>
      </c>
      <c r="E23" s="6">
        <f t="shared" si="0"/>
        <v>237000</v>
      </c>
      <c r="F23" s="6">
        <f t="shared" si="1"/>
        <v>203000</v>
      </c>
    </row>
    <row r="24" spans="1:6" x14ac:dyDescent="0.35">
      <c r="A24" s="5" t="s">
        <v>24</v>
      </c>
      <c r="B24" s="5">
        <v>9075</v>
      </c>
      <c r="C24" s="5" t="s">
        <v>20</v>
      </c>
      <c r="D24" s="6">
        <v>7000</v>
      </c>
      <c r="E24" s="6">
        <f t="shared" si="0"/>
        <v>244000</v>
      </c>
      <c r="F24" s="6">
        <f t="shared" si="1"/>
        <v>196000</v>
      </c>
    </row>
    <row r="25" spans="1:6" x14ac:dyDescent="0.35">
      <c r="A25" s="5" t="s">
        <v>25</v>
      </c>
      <c r="B25" s="5">
        <v>9564</v>
      </c>
      <c r="C25" s="5" t="s">
        <v>20</v>
      </c>
      <c r="D25" s="6">
        <v>7000</v>
      </c>
      <c r="E25" s="6">
        <f t="shared" si="0"/>
        <v>251000</v>
      </c>
      <c r="F25" s="6">
        <f t="shared" si="1"/>
        <v>189000</v>
      </c>
    </row>
    <row r="26" spans="1:6" x14ac:dyDescent="0.35">
      <c r="A26" s="5" t="s">
        <v>26</v>
      </c>
      <c r="B26" s="5">
        <v>11512</v>
      </c>
      <c r="C26" s="5" t="s">
        <v>20</v>
      </c>
      <c r="D26" s="6">
        <v>7000</v>
      </c>
      <c r="E26" s="6">
        <f t="shared" si="0"/>
        <v>258000</v>
      </c>
      <c r="F26" s="6">
        <f t="shared" si="1"/>
        <v>182000</v>
      </c>
    </row>
    <row r="27" spans="1:6" x14ac:dyDescent="0.35">
      <c r="A27" s="7">
        <v>45574</v>
      </c>
      <c r="B27" s="5">
        <v>10672</v>
      </c>
      <c r="C27" s="5" t="s">
        <v>20</v>
      </c>
      <c r="D27" s="6">
        <v>7000</v>
      </c>
      <c r="E27" s="6">
        <f t="shared" si="0"/>
        <v>265000</v>
      </c>
      <c r="F27" s="6">
        <f t="shared" si="1"/>
        <v>175000</v>
      </c>
    </row>
    <row r="28" spans="1:6" x14ac:dyDescent="0.35">
      <c r="A28" s="7">
        <v>45545</v>
      </c>
      <c r="B28" s="5">
        <v>11334</v>
      </c>
      <c r="C28" s="5" t="s">
        <v>20</v>
      </c>
      <c r="D28" s="6">
        <v>7000</v>
      </c>
      <c r="E28" s="6">
        <f t="shared" si="0"/>
        <v>272000</v>
      </c>
      <c r="F28" s="6">
        <f t="shared" si="1"/>
        <v>168000</v>
      </c>
    </row>
    <row r="29" spans="1:6" x14ac:dyDescent="0.35">
      <c r="A29" s="7">
        <v>45607</v>
      </c>
      <c r="B29" s="5">
        <v>10131</v>
      </c>
      <c r="C29" s="5" t="s">
        <v>20</v>
      </c>
      <c r="D29" s="6">
        <v>7000</v>
      </c>
      <c r="E29" s="6">
        <f t="shared" si="0"/>
        <v>279000</v>
      </c>
      <c r="F29" s="6">
        <f t="shared" si="1"/>
        <v>161000</v>
      </c>
    </row>
    <row r="30" spans="1:6" x14ac:dyDescent="0.35">
      <c r="A30" s="7">
        <v>45424</v>
      </c>
      <c r="B30" s="5">
        <v>12598</v>
      </c>
      <c r="C30" s="5" t="s">
        <v>20</v>
      </c>
      <c r="D30" s="6">
        <v>7000</v>
      </c>
      <c r="E30" s="6">
        <f t="shared" si="0"/>
        <v>286000</v>
      </c>
      <c r="F30" s="6">
        <f t="shared" si="1"/>
        <v>154000</v>
      </c>
    </row>
    <row r="31" spans="1:6" x14ac:dyDescent="0.35">
      <c r="A31" s="7">
        <v>45809</v>
      </c>
      <c r="B31" s="5">
        <v>10132</v>
      </c>
      <c r="C31" s="5" t="s">
        <v>20</v>
      </c>
      <c r="D31" s="6">
        <v>7000</v>
      </c>
      <c r="E31" s="6">
        <f t="shared" si="0"/>
        <v>293000</v>
      </c>
      <c r="F31" s="6">
        <f t="shared" si="1"/>
        <v>147000</v>
      </c>
    </row>
    <row r="32" spans="1:6" x14ac:dyDescent="0.35">
      <c r="A32" s="7">
        <v>45932</v>
      </c>
      <c r="B32" s="5">
        <v>9326</v>
      </c>
      <c r="C32" s="5" t="s">
        <v>20</v>
      </c>
      <c r="D32" s="6">
        <v>7000</v>
      </c>
      <c r="E32" s="6">
        <f t="shared" si="0"/>
        <v>300000</v>
      </c>
      <c r="F32" s="6">
        <f t="shared" si="1"/>
        <v>140000</v>
      </c>
    </row>
    <row r="33" spans="1:6" x14ac:dyDescent="0.35">
      <c r="A33" s="7">
        <v>45811</v>
      </c>
      <c r="B33" s="5">
        <v>10133</v>
      </c>
      <c r="C33" s="5" t="s">
        <v>20</v>
      </c>
      <c r="D33" s="6">
        <v>7000</v>
      </c>
      <c r="E33" s="6">
        <f t="shared" si="0"/>
        <v>307000</v>
      </c>
      <c r="F33" s="6">
        <f t="shared" si="1"/>
        <v>133000</v>
      </c>
    </row>
    <row r="34" spans="1:6" x14ac:dyDescent="0.35">
      <c r="A34" s="7">
        <v>45873</v>
      </c>
      <c r="B34" s="5">
        <v>9976</v>
      </c>
      <c r="C34" s="5" t="s">
        <v>20</v>
      </c>
      <c r="D34" s="6">
        <v>7000</v>
      </c>
      <c r="E34" s="6">
        <f t="shared" si="0"/>
        <v>314000</v>
      </c>
      <c r="F34" s="6">
        <f t="shared" si="1"/>
        <v>126000</v>
      </c>
    </row>
    <row r="35" spans="1:6" x14ac:dyDescent="0.35">
      <c r="A35" s="7">
        <v>45849</v>
      </c>
      <c r="B35" s="5">
        <v>13029</v>
      </c>
      <c r="C35" s="5" t="s">
        <v>20</v>
      </c>
      <c r="D35" s="6">
        <v>14000</v>
      </c>
      <c r="E35" s="6">
        <f t="shared" si="0"/>
        <v>328000</v>
      </c>
      <c r="F35" s="6">
        <f t="shared" si="1"/>
        <v>112000</v>
      </c>
    </row>
    <row r="36" spans="1:6" x14ac:dyDescent="0.35">
      <c r="A36" s="7">
        <v>45876</v>
      </c>
      <c r="B36" s="5">
        <v>12816</v>
      </c>
      <c r="C36" s="5" t="s">
        <v>20</v>
      </c>
      <c r="D36" s="6">
        <v>7000</v>
      </c>
      <c r="E36" s="6">
        <f t="shared" si="0"/>
        <v>335000</v>
      </c>
      <c r="F36" s="6">
        <f t="shared" si="1"/>
        <v>105000</v>
      </c>
    </row>
    <row r="37" spans="1:6" x14ac:dyDescent="0.35">
      <c r="A37" s="7">
        <v>45816</v>
      </c>
      <c r="B37" s="5">
        <v>12415</v>
      </c>
      <c r="C37" s="5" t="s">
        <v>20</v>
      </c>
      <c r="D37" s="6">
        <v>7000</v>
      </c>
      <c r="E37" s="6">
        <f t="shared" si="0"/>
        <v>342000</v>
      </c>
      <c r="F37" s="6">
        <f t="shared" si="1"/>
        <v>98000</v>
      </c>
    </row>
    <row r="38" spans="1:6" x14ac:dyDescent="0.35">
      <c r="A38" s="7">
        <v>45756</v>
      </c>
      <c r="B38" s="5">
        <v>12614</v>
      </c>
      <c r="C38" s="5" t="s">
        <v>20</v>
      </c>
      <c r="D38" s="6">
        <v>7000</v>
      </c>
      <c r="E38" s="6">
        <f t="shared" si="0"/>
        <v>349000</v>
      </c>
      <c r="F38" s="6">
        <f t="shared" si="1"/>
        <v>91000</v>
      </c>
    </row>
    <row r="39" spans="1:6" x14ac:dyDescent="0.35">
      <c r="A39" s="5" t="s">
        <v>37</v>
      </c>
      <c r="B39" s="5">
        <v>13620</v>
      </c>
      <c r="C39" s="5" t="s">
        <v>20</v>
      </c>
      <c r="D39" s="6">
        <v>7000</v>
      </c>
      <c r="E39" s="6">
        <f t="shared" si="0"/>
        <v>356000</v>
      </c>
      <c r="F39" s="6">
        <f t="shared" si="1"/>
        <v>84000</v>
      </c>
    </row>
    <row r="40" spans="1:6" x14ac:dyDescent="0.35">
      <c r="A40" s="7">
        <v>45842</v>
      </c>
      <c r="B40" s="5">
        <v>13449</v>
      </c>
      <c r="C40" s="5" t="s">
        <v>20</v>
      </c>
      <c r="D40" s="6">
        <v>7000</v>
      </c>
      <c r="E40" s="6">
        <f t="shared" si="0"/>
        <v>363000</v>
      </c>
      <c r="F40" s="6">
        <f t="shared" si="1"/>
        <v>77000</v>
      </c>
    </row>
    <row r="41" spans="1:6" x14ac:dyDescent="0.35">
      <c r="A41" s="5" t="s">
        <v>46</v>
      </c>
      <c r="B41" s="5">
        <v>13035</v>
      </c>
      <c r="C41" s="5" t="s">
        <v>20</v>
      </c>
      <c r="D41" s="6">
        <v>21000</v>
      </c>
      <c r="E41" s="6">
        <f t="shared" si="0"/>
        <v>384000</v>
      </c>
      <c r="F41" s="6">
        <f t="shared" si="1"/>
        <v>56000</v>
      </c>
    </row>
    <row r="42" spans="1:6" x14ac:dyDescent="0.35">
      <c r="A42" s="7">
        <v>46003</v>
      </c>
      <c r="B42" s="5">
        <v>13167</v>
      </c>
      <c r="C42" s="5" t="s">
        <v>20</v>
      </c>
      <c r="D42" s="6">
        <v>7000</v>
      </c>
      <c r="E42" s="6">
        <f t="shared" si="0"/>
        <v>391000</v>
      </c>
      <c r="F42" s="6">
        <f t="shared" si="1"/>
        <v>49000</v>
      </c>
    </row>
    <row r="43" spans="1:6" x14ac:dyDescent="0.35">
      <c r="A43" s="7">
        <v>46204</v>
      </c>
      <c r="B43" s="5">
        <v>12012</v>
      </c>
      <c r="C43" s="5" t="s">
        <v>20</v>
      </c>
      <c r="D43" s="6">
        <v>7000</v>
      </c>
      <c r="E43" s="6">
        <f t="shared" si="0"/>
        <v>398000</v>
      </c>
      <c r="F43" s="6">
        <f t="shared" si="1"/>
        <v>42000</v>
      </c>
    </row>
    <row r="44" spans="1:6" x14ac:dyDescent="0.35">
      <c r="A44" s="7">
        <v>46114</v>
      </c>
      <c r="B44" s="5">
        <v>12328</v>
      </c>
      <c r="C44" s="5" t="s">
        <v>20</v>
      </c>
      <c r="D44" s="6">
        <v>7000</v>
      </c>
      <c r="E44" s="6">
        <f t="shared" si="0"/>
        <v>405000</v>
      </c>
      <c r="F44" s="6">
        <f t="shared" si="1"/>
        <v>35000</v>
      </c>
    </row>
    <row r="45" spans="1:6" x14ac:dyDescent="0.35">
      <c r="A45" t="s">
        <v>108</v>
      </c>
      <c r="B45" s="17">
        <v>12328</v>
      </c>
      <c r="C45" s="13" t="s">
        <v>20</v>
      </c>
      <c r="D45" s="14">
        <v>7000</v>
      </c>
      <c r="E45" s="14">
        <f t="shared" si="0"/>
        <v>412000</v>
      </c>
      <c r="F45" s="14">
        <f t="shared" si="1"/>
        <v>28000</v>
      </c>
    </row>
    <row r="46" spans="1:6" x14ac:dyDescent="0.35">
      <c r="A46" s="11">
        <v>46238</v>
      </c>
      <c r="B46" s="5">
        <v>13189</v>
      </c>
      <c r="C46" s="5" t="s">
        <v>20</v>
      </c>
      <c r="D46" s="6">
        <v>7000</v>
      </c>
      <c r="E46" s="6">
        <f t="shared" si="0"/>
        <v>419000</v>
      </c>
      <c r="F46" s="6">
        <f t="shared" si="1"/>
        <v>21000</v>
      </c>
    </row>
    <row r="47" spans="1:6" x14ac:dyDescent="0.35">
      <c r="A47" s="10" t="s">
        <v>199</v>
      </c>
      <c r="B47" s="5">
        <v>12934</v>
      </c>
      <c r="C47" s="5" t="s">
        <v>20</v>
      </c>
      <c r="D47" s="6">
        <v>7000</v>
      </c>
      <c r="E47" s="6">
        <f>E46+D47</f>
        <v>426000</v>
      </c>
      <c r="F47" s="6">
        <f>F46-D47</f>
        <v>14000</v>
      </c>
    </row>
    <row r="48" spans="1:6" x14ac:dyDescent="0.35">
      <c r="A48" s="10" t="s">
        <v>200</v>
      </c>
      <c r="B48" s="5">
        <v>13693</v>
      </c>
      <c r="C48" s="5" t="s">
        <v>20</v>
      </c>
      <c r="D48" s="6">
        <v>7000</v>
      </c>
      <c r="E48" s="6">
        <f>E47+D48</f>
        <v>433000</v>
      </c>
      <c r="F48" s="6">
        <f>F47-D48</f>
        <v>7000</v>
      </c>
    </row>
    <row r="49" spans="1:6" x14ac:dyDescent="0.35">
      <c r="A49" s="10" t="s">
        <v>209</v>
      </c>
      <c r="B49" s="5">
        <v>1510</v>
      </c>
      <c r="C49" s="5" t="s">
        <v>20</v>
      </c>
      <c r="D49" s="20">
        <v>7000</v>
      </c>
      <c r="E49" s="20">
        <f>E48+D49</f>
        <v>440000</v>
      </c>
      <c r="F49" s="20">
        <f>F48-D49</f>
        <v>0</v>
      </c>
    </row>
    <row r="51" spans="1:6" x14ac:dyDescent="0.35">
      <c r="A51" s="21" t="s">
        <v>210</v>
      </c>
    </row>
    <row r="52" spans="1:6" x14ac:dyDescent="0.35">
      <c r="A52" s="10" t="s">
        <v>209</v>
      </c>
      <c r="B52" s="5">
        <v>1860</v>
      </c>
      <c r="C52" s="5" t="s">
        <v>211</v>
      </c>
      <c r="D52" s="19">
        <v>100000</v>
      </c>
      <c r="E52" s="19">
        <v>100000</v>
      </c>
      <c r="F52" s="10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BB76A-B686-48A0-A5E5-34492DF6DAC7}">
  <dimension ref="A1:F49"/>
  <sheetViews>
    <sheetView tabSelected="1" topLeftCell="A37" workbookViewId="0">
      <selection activeCell="A8" sqref="A8:F39"/>
    </sheetView>
  </sheetViews>
  <sheetFormatPr defaultRowHeight="14.5" x14ac:dyDescent="0.35"/>
  <cols>
    <col min="1" max="1" width="10.453125" bestFit="1" customWidth="1"/>
    <col min="3" max="3" width="13.26953125" customWidth="1"/>
    <col min="6" max="6" width="10.453125" customWidth="1"/>
  </cols>
  <sheetData>
    <row r="1" spans="1:6" ht="18.5" x14ac:dyDescent="0.45">
      <c r="A1" s="1" t="s">
        <v>47</v>
      </c>
      <c r="B1" s="1"/>
      <c r="C1" s="2"/>
      <c r="D1" s="1"/>
      <c r="E1" s="1"/>
      <c r="F1" s="1"/>
    </row>
    <row r="2" spans="1:6" ht="18.5" x14ac:dyDescent="0.45">
      <c r="A2" s="1" t="s">
        <v>48</v>
      </c>
      <c r="C2" s="1"/>
      <c r="D2" s="1"/>
      <c r="E2" s="1"/>
      <c r="F2" s="1"/>
    </row>
    <row r="3" spans="1:6" ht="18.5" x14ac:dyDescent="0.45">
      <c r="A3" s="1" t="s">
        <v>49</v>
      </c>
      <c r="B3" s="1"/>
      <c r="C3" s="1"/>
      <c r="D3" s="1"/>
      <c r="E3" s="1"/>
      <c r="F3" s="1"/>
    </row>
    <row r="4" spans="1:6" ht="18.5" x14ac:dyDescent="0.45">
      <c r="A4" s="1" t="s">
        <v>109</v>
      </c>
      <c r="B4" s="1"/>
      <c r="C4" s="1"/>
      <c r="D4" s="1"/>
      <c r="E4" s="1"/>
      <c r="F4" s="1"/>
    </row>
    <row r="5" spans="1:6" ht="18.5" x14ac:dyDescent="0.45">
      <c r="A5" s="1" t="s">
        <v>50</v>
      </c>
      <c r="B5" s="1"/>
      <c r="C5" s="1"/>
      <c r="D5" s="1"/>
      <c r="E5" s="1"/>
      <c r="F5" s="1"/>
    </row>
    <row r="6" spans="1:6" ht="18.5" x14ac:dyDescent="0.45">
      <c r="A6" s="1" t="s">
        <v>51</v>
      </c>
      <c r="B6" s="1"/>
      <c r="C6" s="1"/>
      <c r="D6" s="1" t="s">
        <v>52</v>
      </c>
      <c r="E6" s="1"/>
      <c r="F6" s="1"/>
    </row>
    <row r="7" spans="1:6" x14ac:dyDescent="0.35">
      <c r="A7" s="3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</row>
    <row r="8" spans="1:6" x14ac:dyDescent="0.35">
      <c r="A8" s="10" t="s">
        <v>53</v>
      </c>
      <c r="B8" s="10">
        <v>1153</v>
      </c>
      <c r="C8" s="19" t="s">
        <v>20</v>
      </c>
      <c r="D8" s="19">
        <v>10000</v>
      </c>
      <c r="E8" s="19">
        <v>10000</v>
      </c>
      <c r="F8" s="19">
        <v>320000</v>
      </c>
    </row>
    <row r="9" spans="1:6" x14ac:dyDescent="0.35">
      <c r="A9" s="10" t="s">
        <v>54</v>
      </c>
      <c r="B9" s="10">
        <v>1703</v>
      </c>
      <c r="C9" s="19" t="s">
        <v>20</v>
      </c>
      <c r="D9" s="19">
        <v>10000</v>
      </c>
      <c r="E9" s="19">
        <f>SUM(E8+D9)</f>
        <v>20000</v>
      </c>
      <c r="F9" s="19">
        <f>F8-D9</f>
        <v>310000</v>
      </c>
    </row>
    <row r="10" spans="1:6" x14ac:dyDescent="0.35">
      <c r="A10" s="10" t="s">
        <v>55</v>
      </c>
      <c r="B10" s="10">
        <v>1327</v>
      </c>
      <c r="C10" s="19" t="s">
        <v>20</v>
      </c>
      <c r="D10" s="19">
        <v>20000</v>
      </c>
      <c r="E10" s="19">
        <f t="shared" ref="E10:E39" si="0">SUM(E9+D10)</f>
        <v>40000</v>
      </c>
      <c r="F10" s="19">
        <f t="shared" ref="F10:F39" si="1">F9-D10</f>
        <v>290000</v>
      </c>
    </row>
    <row r="11" spans="1:6" x14ac:dyDescent="0.35">
      <c r="A11" s="10" t="s">
        <v>56</v>
      </c>
      <c r="B11" s="10">
        <v>134</v>
      </c>
      <c r="C11" s="19" t="s">
        <v>20</v>
      </c>
      <c r="D11" s="19">
        <v>10000</v>
      </c>
      <c r="E11" s="19">
        <f t="shared" si="0"/>
        <v>50000</v>
      </c>
      <c r="F11" s="19">
        <f t="shared" si="1"/>
        <v>280000</v>
      </c>
    </row>
    <row r="12" spans="1:6" x14ac:dyDescent="0.35">
      <c r="A12" s="10" t="s">
        <v>57</v>
      </c>
      <c r="B12" s="10">
        <v>591</v>
      </c>
      <c r="C12" s="19" t="s">
        <v>20</v>
      </c>
      <c r="D12" s="19">
        <v>10000</v>
      </c>
      <c r="E12" s="19">
        <f t="shared" si="0"/>
        <v>60000</v>
      </c>
      <c r="F12" s="19">
        <f t="shared" si="1"/>
        <v>270000</v>
      </c>
    </row>
    <row r="13" spans="1:6" x14ac:dyDescent="0.35">
      <c r="A13" s="10" t="s">
        <v>58</v>
      </c>
      <c r="B13" s="10">
        <v>2968</v>
      </c>
      <c r="C13" s="19" t="s">
        <v>20</v>
      </c>
      <c r="D13" s="19">
        <v>10000</v>
      </c>
      <c r="E13" s="19">
        <f t="shared" si="0"/>
        <v>70000</v>
      </c>
      <c r="F13" s="19">
        <f t="shared" si="1"/>
        <v>260000</v>
      </c>
    </row>
    <row r="14" spans="1:6" x14ac:dyDescent="0.35">
      <c r="A14" s="10" t="s">
        <v>59</v>
      </c>
      <c r="B14" s="10">
        <v>3294</v>
      </c>
      <c r="C14" s="19" t="s">
        <v>20</v>
      </c>
      <c r="D14" s="19">
        <v>10000</v>
      </c>
      <c r="E14" s="19">
        <f t="shared" si="0"/>
        <v>80000</v>
      </c>
      <c r="F14" s="19">
        <f t="shared" si="1"/>
        <v>250000</v>
      </c>
    </row>
    <row r="15" spans="1:6" x14ac:dyDescent="0.35">
      <c r="A15" s="10" t="s">
        <v>60</v>
      </c>
      <c r="B15" s="10">
        <v>3870</v>
      </c>
      <c r="C15" s="19" t="s">
        <v>20</v>
      </c>
      <c r="D15" s="19">
        <v>10000</v>
      </c>
      <c r="E15" s="19">
        <f t="shared" si="0"/>
        <v>90000</v>
      </c>
      <c r="F15" s="19">
        <f t="shared" si="1"/>
        <v>240000</v>
      </c>
    </row>
    <row r="16" spans="1:6" x14ac:dyDescent="0.35">
      <c r="A16" s="11">
        <v>45209</v>
      </c>
      <c r="B16" s="10">
        <v>4166</v>
      </c>
      <c r="C16" s="19" t="s">
        <v>20</v>
      </c>
      <c r="D16" s="19">
        <v>10000</v>
      </c>
      <c r="E16" s="19">
        <f t="shared" si="0"/>
        <v>100000</v>
      </c>
      <c r="F16" s="19">
        <f t="shared" si="1"/>
        <v>230000</v>
      </c>
    </row>
    <row r="17" spans="1:6" x14ac:dyDescent="0.35">
      <c r="A17" s="10" t="s">
        <v>61</v>
      </c>
      <c r="B17" s="10">
        <v>4871</v>
      </c>
      <c r="C17" s="19" t="s">
        <v>20</v>
      </c>
      <c r="D17" s="19">
        <v>10000</v>
      </c>
      <c r="E17" s="19">
        <f t="shared" si="0"/>
        <v>110000</v>
      </c>
      <c r="F17" s="19">
        <f t="shared" si="1"/>
        <v>220000</v>
      </c>
    </row>
    <row r="18" spans="1:6" x14ac:dyDescent="0.35">
      <c r="A18" s="11">
        <v>45211</v>
      </c>
      <c r="B18" s="10">
        <v>5446</v>
      </c>
      <c r="C18" s="19" t="s">
        <v>20</v>
      </c>
      <c r="D18" s="19">
        <v>10000</v>
      </c>
      <c r="E18" s="19">
        <f t="shared" si="0"/>
        <v>120000</v>
      </c>
      <c r="F18" s="19">
        <f t="shared" si="1"/>
        <v>210000</v>
      </c>
    </row>
    <row r="19" spans="1:6" x14ac:dyDescent="0.35">
      <c r="A19" s="11" t="s">
        <v>66</v>
      </c>
      <c r="B19" s="10">
        <v>6156</v>
      </c>
      <c r="C19" s="19" t="s">
        <v>20</v>
      </c>
      <c r="D19" s="19">
        <v>10000</v>
      </c>
      <c r="E19" s="19">
        <f t="shared" si="0"/>
        <v>130000</v>
      </c>
      <c r="F19" s="19">
        <f t="shared" si="1"/>
        <v>200000</v>
      </c>
    </row>
    <row r="20" spans="1:6" x14ac:dyDescent="0.35">
      <c r="A20" s="11" t="s">
        <v>67</v>
      </c>
      <c r="B20" s="10">
        <v>7160</v>
      </c>
      <c r="C20" s="19" t="s">
        <v>20</v>
      </c>
      <c r="D20" s="19">
        <v>10000</v>
      </c>
      <c r="E20" s="19">
        <f t="shared" si="0"/>
        <v>140000</v>
      </c>
      <c r="F20" s="19">
        <f t="shared" si="1"/>
        <v>190000</v>
      </c>
    </row>
    <row r="21" spans="1:6" x14ac:dyDescent="0.35">
      <c r="A21" s="11">
        <v>45415</v>
      </c>
      <c r="B21" s="10">
        <v>6897</v>
      </c>
      <c r="C21" s="19" t="s">
        <v>20</v>
      </c>
      <c r="D21" s="19">
        <v>10000</v>
      </c>
      <c r="E21" s="19">
        <f t="shared" si="0"/>
        <v>150000</v>
      </c>
      <c r="F21" s="19">
        <f t="shared" si="1"/>
        <v>180000</v>
      </c>
    </row>
    <row r="22" spans="1:6" x14ac:dyDescent="0.35">
      <c r="A22" s="11">
        <v>45416</v>
      </c>
      <c r="B22" s="10">
        <v>7680</v>
      </c>
      <c r="C22" s="19" t="s">
        <v>20</v>
      </c>
      <c r="D22" s="19">
        <v>10000</v>
      </c>
      <c r="E22" s="19">
        <f t="shared" si="0"/>
        <v>160000</v>
      </c>
      <c r="F22" s="19">
        <f t="shared" si="1"/>
        <v>170000</v>
      </c>
    </row>
    <row r="23" spans="1:6" x14ac:dyDescent="0.35">
      <c r="A23" s="11">
        <v>45478</v>
      </c>
      <c r="B23" s="10">
        <v>8302</v>
      </c>
      <c r="C23" s="19" t="s">
        <v>20</v>
      </c>
      <c r="D23" s="19">
        <v>10000</v>
      </c>
      <c r="E23" s="19">
        <f t="shared" si="0"/>
        <v>170000</v>
      </c>
      <c r="F23" s="19">
        <f t="shared" si="1"/>
        <v>160000</v>
      </c>
    </row>
    <row r="24" spans="1:6" x14ac:dyDescent="0.35">
      <c r="A24" s="11">
        <v>45357</v>
      </c>
      <c r="B24" s="10">
        <v>8835</v>
      </c>
      <c r="C24" s="19" t="s">
        <v>20</v>
      </c>
      <c r="D24" s="19">
        <v>10000</v>
      </c>
      <c r="E24" s="19">
        <f t="shared" si="0"/>
        <v>180000</v>
      </c>
      <c r="F24" s="19">
        <f t="shared" si="1"/>
        <v>150000</v>
      </c>
    </row>
    <row r="25" spans="1:6" x14ac:dyDescent="0.35">
      <c r="A25" s="11">
        <v>45572</v>
      </c>
      <c r="B25" s="10">
        <v>9481</v>
      </c>
      <c r="C25" s="19" t="s">
        <v>20</v>
      </c>
      <c r="D25" s="19">
        <v>10000</v>
      </c>
      <c r="E25" s="19">
        <f t="shared" si="0"/>
        <v>190000</v>
      </c>
      <c r="F25" s="19">
        <f t="shared" si="1"/>
        <v>140000</v>
      </c>
    </row>
    <row r="26" spans="1:6" x14ac:dyDescent="0.35">
      <c r="A26" s="10" t="s">
        <v>62</v>
      </c>
      <c r="B26" s="10">
        <v>11269</v>
      </c>
      <c r="C26" s="19" t="s">
        <v>20</v>
      </c>
      <c r="D26" s="19">
        <v>10000</v>
      </c>
      <c r="E26" s="19">
        <f t="shared" si="0"/>
        <v>200000</v>
      </c>
      <c r="F26" s="19">
        <f t="shared" si="1"/>
        <v>130000</v>
      </c>
    </row>
    <row r="27" spans="1:6" x14ac:dyDescent="0.35">
      <c r="A27" s="10" t="s">
        <v>63</v>
      </c>
      <c r="B27" s="10">
        <v>10712</v>
      </c>
      <c r="C27" s="19" t="s">
        <v>20</v>
      </c>
      <c r="D27" s="19">
        <v>10000</v>
      </c>
      <c r="E27" s="19">
        <f t="shared" si="0"/>
        <v>210000</v>
      </c>
      <c r="F27" s="19">
        <f t="shared" si="1"/>
        <v>120000</v>
      </c>
    </row>
    <row r="28" spans="1:6" x14ac:dyDescent="0.35">
      <c r="A28" s="11">
        <v>45545</v>
      </c>
      <c r="B28" s="10">
        <v>11329</v>
      </c>
      <c r="C28" s="19" t="s">
        <v>20</v>
      </c>
      <c r="D28" s="19">
        <v>10000</v>
      </c>
      <c r="E28" s="19">
        <f t="shared" si="0"/>
        <v>220000</v>
      </c>
      <c r="F28" s="19">
        <f t="shared" si="1"/>
        <v>110000</v>
      </c>
    </row>
    <row r="29" spans="1:6" x14ac:dyDescent="0.35">
      <c r="A29" s="11">
        <v>45546</v>
      </c>
      <c r="B29" s="10">
        <v>11947</v>
      </c>
      <c r="C29" s="19" t="s">
        <v>20</v>
      </c>
      <c r="D29" s="19">
        <v>10000</v>
      </c>
      <c r="E29" s="19">
        <f t="shared" si="0"/>
        <v>230000</v>
      </c>
      <c r="F29" s="19">
        <f t="shared" si="1"/>
        <v>100000</v>
      </c>
    </row>
    <row r="30" spans="1:6" x14ac:dyDescent="0.35">
      <c r="A30" s="11">
        <v>45608</v>
      </c>
      <c r="B30" s="10">
        <v>12329</v>
      </c>
      <c r="C30" s="19" t="s">
        <v>20</v>
      </c>
      <c r="D30" s="19">
        <v>10000</v>
      </c>
      <c r="E30" s="19">
        <f t="shared" si="0"/>
        <v>240000</v>
      </c>
      <c r="F30" s="19">
        <f t="shared" si="1"/>
        <v>90000</v>
      </c>
    </row>
    <row r="31" spans="1:6" x14ac:dyDescent="0.35">
      <c r="A31" s="11">
        <v>45962</v>
      </c>
      <c r="B31" s="10">
        <v>12006</v>
      </c>
      <c r="C31" s="19" t="s">
        <v>20</v>
      </c>
      <c r="D31" s="19">
        <v>10000</v>
      </c>
      <c r="E31" s="19">
        <f t="shared" si="0"/>
        <v>250000</v>
      </c>
      <c r="F31" s="19">
        <f t="shared" si="1"/>
        <v>80000</v>
      </c>
    </row>
    <row r="32" spans="1:6" x14ac:dyDescent="0.35">
      <c r="A32" s="11">
        <v>45993</v>
      </c>
      <c r="B32" s="10">
        <v>9364</v>
      </c>
      <c r="C32" s="19" t="s">
        <v>20</v>
      </c>
      <c r="D32" s="19">
        <v>10000</v>
      </c>
      <c r="E32" s="19">
        <f t="shared" si="0"/>
        <v>260000</v>
      </c>
      <c r="F32" s="19">
        <f t="shared" si="1"/>
        <v>70000</v>
      </c>
    </row>
    <row r="33" spans="1:6" x14ac:dyDescent="0.35">
      <c r="A33" s="10" t="s">
        <v>64</v>
      </c>
      <c r="B33" s="10">
        <v>9770</v>
      </c>
      <c r="C33" s="19" t="s">
        <v>20</v>
      </c>
      <c r="D33" s="19">
        <v>10000</v>
      </c>
      <c r="E33" s="19">
        <f t="shared" si="0"/>
        <v>270000</v>
      </c>
      <c r="F33" s="19">
        <f t="shared" si="1"/>
        <v>60000</v>
      </c>
    </row>
    <row r="34" spans="1:6" x14ac:dyDescent="0.35">
      <c r="A34" s="11">
        <v>45873</v>
      </c>
      <c r="B34" s="10">
        <v>9967</v>
      </c>
      <c r="C34" s="19" t="s">
        <v>20</v>
      </c>
      <c r="D34" s="19">
        <v>10000</v>
      </c>
      <c r="E34" s="19">
        <f t="shared" si="0"/>
        <v>280000</v>
      </c>
      <c r="F34" s="19">
        <f t="shared" si="1"/>
        <v>50000</v>
      </c>
    </row>
    <row r="35" spans="1:6" x14ac:dyDescent="0.35">
      <c r="A35" s="11">
        <v>45905</v>
      </c>
      <c r="B35" s="10">
        <v>10393</v>
      </c>
      <c r="C35" s="19" t="s">
        <v>20</v>
      </c>
      <c r="D35" s="19">
        <v>10000</v>
      </c>
      <c r="E35" s="19">
        <f t="shared" si="0"/>
        <v>290000</v>
      </c>
      <c r="F35" s="19">
        <f t="shared" si="1"/>
        <v>40000</v>
      </c>
    </row>
    <row r="36" spans="1:6" x14ac:dyDescent="0.35">
      <c r="A36" s="11">
        <v>45936</v>
      </c>
      <c r="B36" s="10">
        <v>10495</v>
      </c>
      <c r="C36" s="19" t="s">
        <v>20</v>
      </c>
      <c r="D36" s="19">
        <v>10000</v>
      </c>
      <c r="E36" s="19">
        <f t="shared" si="0"/>
        <v>300000</v>
      </c>
      <c r="F36" s="19">
        <f t="shared" si="1"/>
        <v>30000</v>
      </c>
    </row>
    <row r="37" spans="1:6" x14ac:dyDescent="0.35">
      <c r="A37" s="11">
        <v>45754</v>
      </c>
      <c r="B37" s="10">
        <v>12061</v>
      </c>
      <c r="C37" s="19" t="s">
        <v>20</v>
      </c>
      <c r="D37" s="19">
        <v>10000</v>
      </c>
      <c r="E37" s="19">
        <f t="shared" si="0"/>
        <v>310000</v>
      </c>
      <c r="F37" s="19">
        <f t="shared" si="1"/>
        <v>20000</v>
      </c>
    </row>
    <row r="38" spans="1:6" x14ac:dyDescent="0.35">
      <c r="A38" s="10" t="s">
        <v>65</v>
      </c>
      <c r="B38" s="10">
        <v>12918</v>
      </c>
      <c r="C38" s="19" t="s">
        <v>20</v>
      </c>
      <c r="D38" s="19">
        <v>10000</v>
      </c>
      <c r="E38" s="19">
        <f t="shared" si="0"/>
        <v>320000</v>
      </c>
      <c r="F38" s="19">
        <f t="shared" si="1"/>
        <v>10000</v>
      </c>
    </row>
    <row r="39" spans="1:6" x14ac:dyDescent="0.35">
      <c r="A39" s="11">
        <v>45666</v>
      </c>
      <c r="B39" s="10">
        <v>12691</v>
      </c>
      <c r="C39" s="19" t="s">
        <v>20</v>
      </c>
      <c r="D39" s="19">
        <v>10000</v>
      </c>
      <c r="E39" s="19">
        <f t="shared" si="0"/>
        <v>330000</v>
      </c>
      <c r="F39" s="19">
        <f t="shared" si="1"/>
        <v>0</v>
      </c>
    </row>
    <row r="40" spans="1:6" x14ac:dyDescent="0.35">
      <c r="B40" s="21" t="s">
        <v>68</v>
      </c>
      <c r="C40" s="21"/>
    </row>
    <row r="41" spans="1:6" x14ac:dyDescent="0.35">
      <c r="A41" s="10" t="s">
        <v>212</v>
      </c>
      <c r="B41" s="10">
        <v>5141</v>
      </c>
      <c r="C41" s="19" t="s">
        <v>213</v>
      </c>
      <c r="D41" s="19">
        <v>10000</v>
      </c>
      <c r="E41" s="19">
        <v>10000</v>
      </c>
      <c r="F41" s="19">
        <v>390000</v>
      </c>
    </row>
    <row r="42" spans="1:6" x14ac:dyDescent="0.35">
      <c r="A42" s="11">
        <v>46113</v>
      </c>
      <c r="B42" s="10">
        <v>5213</v>
      </c>
      <c r="C42" s="19" t="s">
        <v>213</v>
      </c>
      <c r="D42" s="19">
        <v>10000</v>
      </c>
      <c r="E42" s="19">
        <f>E41+D42</f>
        <v>20000</v>
      </c>
      <c r="F42" s="19">
        <f>F41-D42</f>
        <v>380000</v>
      </c>
    </row>
    <row r="43" spans="1:6" x14ac:dyDescent="0.35">
      <c r="A43" s="11">
        <v>46236</v>
      </c>
      <c r="B43" s="10">
        <v>5455</v>
      </c>
      <c r="C43" s="19" t="s">
        <v>213</v>
      </c>
      <c r="D43" s="19">
        <v>10000</v>
      </c>
      <c r="E43" s="19">
        <f>E42+D43</f>
        <v>30000</v>
      </c>
      <c r="F43" s="19">
        <f>F42-D43</f>
        <v>370000</v>
      </c>
    </row>
    <row r="44" spans="1:6" x14ac:dyDescent="0.35">
      <c r="A44" s="11">
        <v>46206</v>
      </c>
      <c r="B44" s="10">
        <v>5654</v>
      </c>
      <c r="C44" s="19" t="s">
        <v>213</v>
      </c>
      <c r="D44" s="19">
        <v>10000</v>
      </c>
      <c r="E44" s="19">
        <f>E43+D44</f>
        <v>40000</v>
      </c>
      <c r="F44" s="19">
        <f>F43-D44</f>
        <v>360000</v>
      </c>
    </row>
    <row r="45" spans="1:6" x14ac:dyDescent="0.35">
      <c r="A45" s="11">
        <v>46146</v>
      </c>
      <c r="B45" s="10">
        <v>5844</v>
      </c>
      <c r="C45" s="19" t="s">
        <v>213</v>
      </c>
      <c r="D45" s="19">
        <v>10000</v>
      </c>
      <c r="E45" s="19">
        <f>E44+D45</f>
        <v>50000</v>
      </c>
      <c r="F45" s="19">
        <f>F44-D45</f>
        <v>350000</v>
      </c>
    </row>
    <row r="46" spans="1:6" x14ac:dyDescent="0.35">
      <c r="A46" s="11">
        <v>46147</v>
      </c>
      <c r="B46" s="10">
        <v>1377</v>
      </c>
      <c r="C46" s="19" t="s">
        <v>213</v>
      </c>
      <c r="D46" s="19">
        <v>10000</v>
      </c>
      <c r="E46" s="19">
        <f>E45+D46</f>
        <v>60000</v>
      </c>
      <c r="F46" s="19">
        <f>F45-D46</f>
        <v>340000</v>
      </c>
    </row>
    <row r="47" spans="1:6" x14ac:dyDescent="0.35">
      <c r="A47" s="11">
        <v>46148</v>
      </c>
      <c r="B47" s="10">
        <v>1564</v>
      </c>
      <c r="C47" s="19" t="s">
        <v>213</v>
      </c>
      <c r="D47" s="19">
        <v>10000</v>
      </c>
      <c r="E47" s="19">
        <f>E46+D47</f>
        <v>70000</v>
      </c>
      <c r="F47" s="19">
        <f>F46-D47</f>
        <v>330000</v>
      </c>
    </row>
    <row r="48" spans="1:6" x14ac:dyDescent="0.35">
      <c r="A48" s="11">
        <v>46029</v>
      </c>
      <c r="B48" s="10">
        <v>1742</v>
      </c>
      <c r="C48" s="19" t="s">
        <v>213</v>
      </c>
      <c r="D48" s="19">
        <v>10000</v>
      </c>
      <c r="E48" s="19">
        <f>E47+D48</f>
        <v>80000</v>
      </c>
      <c r="F48" s="19">
        <f>F47-D48</f>
        <v>320000</v>
      </c>
    </row>
    <row r="49" spans="1:6" x14ac:dyDescent="0.35">
      <c r="A49" s="11">
        <v>46150</v>
      </c>
      <c r="B49" s="10">
        <v>3730</v>
      </c>
      <c r="C49" s="19" t="s">
        <v>213</v>
      </c>
      <c r="D49" s="19">
        <v>10000</v>
      </c>
      <c r="E49" s="19">
        <f>E48+D49</f>
        <v>90000</v>
      </c>
      <c r="F49" s="19">
        <f>F48-D49</f>
        <v>310000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28349-7FCC-4DDF-9922-29800406E4B3}">
  <dimension ref="A1:F40"/>
  <sheetViews>
    <sheetView workbookViewId="0">
      <selection activeCell="H21" sqref="H21"/>
    </sheetView>
  </sheetViews>
  <sheetFormatPr defaultRowHeight="14.5" x14ac:dyDescent="0.35"/>
  <cols>
    <col min="1" max="1" width="10" customWidth="1"/>
    <col min="3" max="3" width="11.54296875" customWidth="1"/>
    <col min="6" max="6" width="12.36328125" customWidth="1"/>
  </cols>
  <sheetData>
    <row r="1" spans="1:6" ht="18.5" x14ac:dyDescent="0.45">
      <c r="A1" s="1" t="s">
        <v>110</v>
      </c>
      <c r="B1" s="1"/>
      <c r="C1" s="2"/>
      <c r="D1" s="1"/>
      <c r="E1" s="1"/>
      <c r="F1" s="1"/>
    </row>
    <row r="2" spans="1:6" ht="18.5" x14ac:dyDescent="0.45">
      <c r="A2" s="1" t="s">
        <v>111</v>
      </c>
      <c r="C2" s="1"/>
      <c r="D2" s="1"/>
      <c r="E2" s="1"/>
      <c r="F2" s="1"/>
    </row>
    <row r="3" spans="1:6" ht="18.5" x14ac:dyDescent="0.45">
      <c r="A3" s="1" t="s">
        <v>112</v>
      </c>
      <c r="B3" s="1"/>
      <c r="C3" s="1"/>
      <c r="D3" s="1"/>
      <c r="E3" s="1"/>
      <c r="F3" s="1"/>
    </row>
    <row r="4" spans="1:6" ht="18.5" x14ac:dyDescent="0.45">
      <c r="A4" s="1" t="s">
        <v>115</v>
      </c>
      <c r="B4" s="1"/>
      <c r="C4" s="1"/>
      <c r="D4" s="1"/>
      <c r="E4" s="1"/>
      <c r="F4" s="1"/>
    </row>
    <row r="5" spans="1:6" ht="18.5" x14ac:dyDescent="0.45">
      <c r="A5" s="1" t="s">
        <v>113</v>
      </c>
      <c r="B5" s="1"/>
      <c r="C5" s="1"/>
      <c r="D5" s="1"/>
      <c r="E5" s="1"/>
      <c r="F5" s="1"/>
    </row>
    <row r="6" spans="1:6" ht="18.5" x14ac:dyDescent="0.45">
      <c r="A6" s="1" t="s">
        <v>114</v>
      </c>
      <c r="B6" s="1"/>
      <c r="C6" s="1"/>
      <c r="D6" s="1" t="s">
        <v>11</v>
      </c>
      <c r="E6" s="1"/>
      <c r="F6" s="1"/>
    </row>
    <row r="7" spans="1:6" x14ac:dyDescent="0.35">
      <c r="A7" s="3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</row>
    <row r="8" spans="1:6" x14ac:dyDescent="0.35">
      <c r="A8" t="s">
        <v>12</v>
      </c>
      <c r="B8">
        <v>1786</v>
      </c>
      <c r="C8" t="s">
        <v>18</v>
      </c>
      <c r="D8" s="9">
        <v>140000</v>
      </c>
      <c r="E8" s="9">
        <v>140000</v>
      </c>
      <c r="F8" s="9">
        <v>330000</v>
      </c>
    </row>
    <row r="9" spans="1:6" x14ac:dyDescent="0.35">
      <c r="A9" t="s">
        <v>13</v>
      </c>
      <c r="C9" t="s">
        <v>116</v>
      </c>
      <c r="D9" s="9">
        <v>20000</v>
      </c>
      <c r="E9" s="9">
        <f>SUM(E8+D9)</f>
        <v>160000</v>
      </c>
      <c r="F9" s="9">
        <f>F8-D9</f>
        <v>310000</v>
      </c>
    </row>
    <row r="10" spans="1:6" x14ac:dyDescent="0.35">
      <c r="A10" s="8">
        <v>44989</v>
      </c>
      <c r="B10">
        <v>1787</v>
      </c>
      <c r="C10" t="s">
        <v>116</v>
      </c>
      <c r="D10" s="9">
        <v>10000</v>
      </c>
      <c r="E10" s="9">
        <f t="shared" ref="E10:E36" si="0">SUM(E9+D10)</f>
        <v>170000</v>
      </c>
      <c r="F10" s="9">
        <f t="shared" ref="F10:F36" si="1">F9-D10</f>
        <v>300000</v>
      </c>
    </row>
    <row r="11" spans="1:6" x14ac:dyDescent="0.35">
      <c r="A11" t="s">
        <v>15</v>
      </c>
      <c r="B11">
        <v>810</v>
      </c>
      <c r="C11" t="s">
        <v>116</v>
      </c>
      <c r="D11" s="9">
        <v>10000</v>
      </c>
      <c r="E11" s="9">
        <f t="shared" si="0"/>
        <v>180000</v>
      </c>
      <c r="F11" s="9">
        <f t="shared" si="1"/>
        <v>290000</v>
      </c>
    </row>
    <row r="12" spans="1:6" x14ac:dyDescent="0.35">
      <c r="A12" t="s">
        <v>16</v>
      </c>
      <c r="B12">
        <v>2836</v>
      </c>
      <c r="C12" t="s">
        <v>116</v>
      </c>
      <c r="D12" s="9">
        <v>10000</v>
      </c>
      <c r="E12" s="9">
        <f t="shared" si="0"/>
        <v>190000</v>
      </c>
      <c r="F12" s="9">
        <f t="shared" si="1"/>
        <v>280000</v>
      </c>
    </row>
    <row r="13" spans="1:6" x14ac:dyDescent="0.35">
      <c r="A13" s="8">
        <v>45268</v>
      </c>
      <c r="B13">
        <v>2384</v>
      </c>
      <c r="C13" t="s">
        <v>116</v>
      </c>
      <c r="D13" s="9">
        <v>20000</v>
      </c>
      <c r="E13" s="9">
        <f t="shared" si="0"/>
        <v>210000</v>
      </c>
      <c r="F13" s="9">
        <f t="shared" si="1"/>
        <v>260000</v>
      </c>
    </row>
    <row r="14" spans="1:6" x14ac:dyDescent="0.35">
      <c r="A14" t="s">
        <v>17</v>
      </c>
      <c r="B14">
        <v>8608</v>
      </c>
      <c r="C14" t="s">
        <v>116</v>
      </c>
      <c r="D14" s="9">
        <v>10000</v>
      </c>
      <c r="E14" s="9">
        <f t="shared" si="0"/>
        <v>220000</v>
      </c>
      <c r="F14" s="9">
        <f t="shared" si="1"/>
        <v>250000</v>
      </c>
    </row>
    <row r="15" spans="1:6" x14ac:dyDescent="0.35">
      <c r="A15" s="8">
        <v>45209</v>
      </c>
      <c r="B15">
        <v>4186</v>
      </c>
      <c r="C15" t="s">
        <v>116</v>
      </c>
      <c r="D15" s="9">
        <v>10000</v>
      </c>
      <c r="E15" s="9">
        <f t="shared" si="0"/>
        <v>230000</v>
      </c>
      <c r="F15" s="9">
        <f t="shared" si="1"/>
        <v>240000</v>
      </c>
    </row>
    <row r="16" spans="1:6" x14ac:dyDescent="0.35">
      <c r="A16" s="8">
        <v>45180</v>
      </c>
      <c r="B16">
        <v>4743</v>
      </c>
      <c r="C16" t="s">
        <v>116</v>
      </c>
      <c r="D16" s="9">
        <v>10000</v>
      </c>
      <c r="E16" s="9">
        <f t="shared" si="0"/>
        <v>240000</v>
      </c>
      <c r="F16" s="9">
        <f t="shared" si="1"/>
        <v>230000</v>
      </c>
    </row>
    <row r="17" spans="1:6" x14ac:dyDescent="0.35">
      <c r="A17" s="8">
        <v>45211</v>
      </c>
      <c r="B17">
        <v>5332</v>
      </c>
      <c r="C17" t="s">
        <v>116</v>
      </c>
      <c r="D17" s="9">
        <v>10000</v>
      </c>
      <c r="E17" s="9">
        <f t="shared" si="0"/>
        <v>250000</v>
      </c>
      <c r="F17" s="9">
        <f t="shared" si="1"/>
        <v>220000</v>
      </c>
    </row>
    <row r="18" spans="1:6" x14ac:dyDescent="0.35">
      <c r="A18" s="8">
        <v>45505</v>
      </c>
      <c r="B18">
        <v>6007</v>
      </c>
      <c r="C18" t="s">
        <v>116</v>
      </c>
      <c r="D18" s="9">
        <v>10000</v>
      </c>
      <c r="E18" s="9">
        <f t="shared" si="0"/>
        <v>260000</v>
      </c>
      <c r="F18" s="9">
        <f t="shared" si="1"/>
        <v>210000</v>
      </c>
    </row>
    <row r="19" spans="1:6" x14ac:dyDescent="0.35">
      <c r="A19" t="s">
        <v>21</v>
      </c>
      <c r="B19">
        <v>7188</v>
      </c>
      <c r="C19" t="s">
        <v>116</v>
      </c>
      <c r="D19" s="9">
        <v>10000</v>
      </c>
      <c r="E19" s="9">
        <f t="shared" si="0"/>
        <v>270000</v>
      </c>
      <c r="F19" s="9">
        <f t="shared" si="1"/>
        <v>200000</v>
      </c>
    </row>
    <row r="20" spans="1:6" x14ac:dyDescent="0.35">
      <c r="A20" t="s">
        <v>22</v>
      </c>
      <c r="B20">
        <v>7982</v>
      </c>
      <c r="C20" t="s">
        <v>116</v>
      </c>
      <c r="D20" s="9">
        <v>20000</v>
      </c>
      <c r="E20" s="9">
        <f t="shared" si="0"/>
        <v>290000</v>
      </c>
      <c r="F20" s="9">
        <f t="shared" si="1"/>
        <v>180000</v>
      </c>
    </row>
    <row r="21" spans="1:6" x14ac:dyDescent="0.35">
      <c r="A21" t="s">
        <v>23</v>
      </c>
      <c r="B21">
        <v>8489</v>
      </c>
      <c r="C21" t="s">
        <v>116</v>
      </c>
      <c r="D21" s="9">
        <v>10000</v>
      </c>
      <c r="E21" s="9">
        <f t="shared" si="0"/>
        <v>300000</v>
      </c>
      <c r="F21" s="9">
        <f t="shared" si="1"/>
        <v>170000</v>
      </c>
    </row>
    <row r="22" spans="1:6" x14ac:dyDescent="0.35">
      <c r="A22" t="s">
        <v>24</v>
      </c>
      <c r="B22">
        <v>9080</v>
      </c>
      <c r="C22" t="s">
        <v>116</v>
      </c>
      <c r="D22" s="9">
        <v>10000</v>
      </c>
      <c r="E22" s="9">
        <f t="shared" si="0"/>
        <v>310000</v>
      </c>
      <c r="F22" s="9">
        <f t="shared" si="1"/>
        <v>160000</v>
      </c>
    </row>
    <row r="23" spans="1:6" x14ac:dyDescent="0.35">
      <c r="A23" t="s">
        <v>25</v>
      </c>
      <c r="B23">
        <v>9559</v>
      </c>
      <c r="C23" t="s">
        <v>116</v>
      </c>
      <c r="D23" s="9">
        <v>10000</v>
      </c>
      <c r="E23" s="9">
        <f t="shared" si="0"/>
        <v>320000</v>
      </c>
      <c r="F23" s="9">
        <f t="shared" si="1"/>
        <v>150000</v>
      </c>
    </row>
    <row r="24" spans="1:6" x14ac:dyDescent="0.35">
      <c r="A24" s="8">
        <v>45482</v>
      </c>
      <c r="B24">
        <v>10568</v>
      </c>
      <c r="C24" t="s">
        <v>116</v>
      </c>
      <c r="D24" s="9">
        <v>20000</v>
      </c>
      <c r="E24" s="9">
        <f t="shared" si="0"/>
        <v>340000</v>
      </c>
      <c r="F24" s="9">
        <f t="shared" si="1"/>
        <v>130000</v>
      </c>
    </row>
    <row r="25" spans="1:6" x14ac:dyDescent="0.35">
      <c r="A25" s="8">
        <v>45545</v>
      </c>
      <c r="B25">
        <v>111330</v>
      </c>
      <c r="C25" t="s">
        <v>116</v>
      </c>
      <c r="D25" s="9">
        <v>10000</v>
      </c>
      <c r="E25" s="9">
        <f t="shared" si="0"/>
        <v>350000</v>
      </c>
      <c r="F25" s="9">
        <f t="shared" si="1"/>
        <v>120000</v>
      </c>
    </row>
    <row r="26" spans="1:6" x14ac:dyDescent="0.35">
      <c r="A26" s="8">
        <v>45515</v>
      </c>
      <c r="B26">
        <v>10139</v>
      </c>
      <c r="C26" t="s">
        <v>116</v>
      </c>
      <c r="D26" s="9">
        <v>10000</v>
      </c>
      <c r="E26" s="9">
        <f t="shared" si="0"/>
        <v>360000</v>
      </c>
      <c r="F26" s="9">
        <f t="shared" si="1"/>
        <v>110000</v>
      </c>
    </row>
    <row r="27" spans="1:6" x14ac:dyDescent="0.35">
      <c r="A27" s="8">
        <v>45424</v>
      </c>
      <c r="B27">
        <v>12597</v>
      </c>
      <c r="C27" t="s">
        <v>116</v>
      </c>
      <c r="D27" s="9">
        <v>10000</v>
      </c>
      <c r="E27" s="9">
        <f t="shared" si="0"/>
        <v>370000</v>
      </c>
      <c r="F27" s="9">
        <f t="shared" si="1"/>
        <v>100000</v>
      </c>
    </row>
    <row r="28" spans="1:6" x14ac:dyDescent="0.35">
      <c r="A28" s="8">
        <v>45902</v>
      </c>
      <c r="B28">
        <v>9325</v>
      </c>
      <c r="C28" t="s">
        <v>116</v>
      </c>
      <c r="D28" s="9">
        <v>10000</v>
      </c>
      <c r="E28" s="9">
        <f t="shared" si="0"/>
        <v>380000</v>
      </c>
      <c r="F28" s="9">
        <f t="shared" si="1"/>
        <v>90000</v>
      </c>
    </row>
    <row r="29" spans="1:6" x14ac:dyDescent="0.35">
      <c r="A29" s="8">
        <v>45811</v>
      </c>
      <c r="B29">
        <v>10138</v>
      </c>
      <c r="C29" t="s">
        <v>116</v>
      </c>
      <c r="D29" s="9">
        <v>10000</v>
      </c>
      <c r="E29" s="9">
        <f t="shared" si="0"/>
        <v>390000</v>
      </c>
      <c r="F29" s="9">
        <f t="shared" si="1"/>
        <v>80000</v>
      </c>
    </row>
    <row r="30" spans="1:6" x14ac:dyDescent="0.35">
      <c r="A30" t="s">
        <v>117</v>
      </c>
      <c r="B30">
        <v>12815</v>
      </c>
      <c r="C30" t="s">
        <v>116</v>
      </c>
      <c r="D30" s="9">
        <v>10000</v>
      </c>
      <c r="E30" s="9">
        <f t="shared" si="0"/>
        <v>400000</v>
      </c>
      <c r="F30" s="9">
        <f t="shared" si="1"/>
        <v>70000</v>
      </c>
    </row>
    <row r="31" spans="1:6" x14ac:dyDescent="0.35">
      <c r="A31" s="8">
        <v>45816</v>
      </c>
      <c r="B31">
        <v>12414</v>
      </c>
      <c r="C31" t="s">
        <v>116</v>
      </c>
      <c r="D31" s="9">
        <v>10000</v>
      </c>
      <c r="E31" s="9">
        <f t="shared" si="0"/>
        <v>410000</v>
      </c>
      <c r="F31" s="9">
        <f t="shared" si="1"/>
        <v>60000</v>
      </c>
    </row>
    <row r="32" spans="1:6" x14ac:dyDescent="0.35">
      <c r="A32" s="8">
        <v>45756</v>
      </c>
      <c r="B32">
        <v>2613</v>
      </c>
      <c r="C32" t="s">
        <v>116</v>
      </c>
      <c r="D32" s="9">
        <v>10000</v>
      </c>
      <c r="E32" s="9">
        <f t="shared" si="0"/>
        <v>420000</v>
      </c>
      <c r="F32" s="9">
        <f t="shared" si="1"/>
        <v>50000</v>
      </c>
    </row>
    <row r="33" spans="1:6" x14ac:dyDescent="0.35">
      <c r="A33" t="s">
        <v>46</v>
      </c>
      <c r="B33">
        <v>13036</v>
      </c>
      <c r="C33" t="s">
        <v>116</v>
      </c>
      <c r="D33" s="9">
        <v>10000</v>
      </c>
      <c r="E33" s="9">
        <f t="shared" si="0"/>
        <v>430000</v>
      </c>
      <c r="F33" s="9">
        <f t="shared" si="1"/>
        <v>40000</v>
      </c>
    </row>
    <row r="34" spans="1:6" x14ac:dyDescent="0.35">
      <c r="A34" s="8">
        <v>46174</v>
      </c>
      <c r="B34">
        <v>10137</v>
      </c>
      <c r="C34" t="s">
        <v>116</v>
      </c>
      <c r="D34" s="9">
        <v>10000</v>
      </c>
      <c r="E34" s="9">
        <f t="shared" si="0"/>
        <v>440000</v>
      </c>
      <c r="F34" s="9">
        <f t="shared" si="1"/>
        <v>30000</v>
      </c>
    </row>
    <row r="35" spans="1:6" x14ac:dyDescent="0.35">
      <c r="A35" s="8">
        <v>45809</v>
      </c>
      <c r="B35">
        <v>12941</v>
      </c>
      <c r="C35" t="s">
        <v>116</v>
      </c>
      <c r="D35" s="9">
        <v>10000</v>
      </c>
      <c r="E35" s="9">
        <f t="shared" si="0"/>
        <v>450000</v>
      </c>
      <c r="F35" s="9">
        <f t="shared" si="1"/>
        <v>20000</v>
      </c>
    </row>
    <row r="36" spans="1:6" x14ac:dyDescent="0.35">
      <c r="A36" s="8">
        <v>45782</v>
      </c>
      <c r="B36">
        <v>10320</v>
      </c>
      <c r="C36" t="s">
        <v>116</v>
      </c>
      <c r="D36" s="9">
        <v>20000</v>
      </c>
      <c r="E36" s="9">
        <f t="shared" si="0"/>
        <v>470000</v>
      </c>
      <c r="F36" s="9">
        <f t="shared" si="1"/>
        <v>0</v>
      </c>
    </row>
    <row r="38" spans="1:6" x14ac:dyDescent="0.35">
      <c r="A38" s="8">
        <v>46117</v>
      </c>
      <c r="B38">
        <v>1371</v>
      </c>
      <c r="C38" t="s">
        <v>118</v>
      </c>
      <c r="D38" s="9">
        <v>150000</v>
      </c>
      <c r="E38" s="9">
        <v>150000</v>
      </c>
      <c r="F38" t="s">
        <v>119</v>
      </c>
    </row>
    <row r="40" spans="1:6" ht="18.5" x14ac:dyDescent="0.45">
      <c r="A40" s="18" t="s">
        <v>120</v>
      </c>
      <c r="B40" s="18"/>
      <c r="C40" s="18"/>
      <c r="D40" s="18"/>
      <c r="E40" s="18"/>
      <c r="F40" s="1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B381B-26AB-485D-9133-2841948C8533}">
  <dimension ref="A1:F42"/>
  <sheetViews>
    <sheetView workbookViewId="0">
      <selection activeCell="D7" activeCellId="1" sqref="F1 D7"/>
    </sheetView>
  </sheetViews>
  <sheetFormatPr defaultRowHeight="14.5" x14ac:dyDescent="0.35"/>
  <sheetData>
    <row r="1" spans="1:6" x14ac:dyDescent="0.35">
      <c r="A1" t="s">
        <v>121</v>
      </c>
      <c r="B1" t="s">
        <v>127</v>
      </c>
    </row>
    <row r="2" spans="1:6" x14ac:dyDescent="0.35">
      <c r="A2" t="s">
        <v>122</v>
      </c>
      <c r="B2" t="s">
        <v>128</v>
      </c>
    </row>
    <row r="3" spans="1:6" x14ac:dyDescent="0.35">
      <c r="A3" t="s">
        <v>123</v>
      </c>
      <c r="B3" t="s">
        <v>131</v>
      </c>
    </row>
    <row r="4" spans="1:6" x14ac:dyDescent="0.35">
      <c r="A4" t="s">
        <v>124</v>
      </c>
      <c r="B4" t="s">
        <v>129</v>
      </c>
    </row>
    <row r="5" spans="1:6" x14ac:dyDescent="0.35">
      <c r="A5" t="s">
        <v>125</v>
      </c>
      <c r="B5" t="s">
        <v>130</v>
      </c>
    </row>
    <row r="6" spans="1:6" x14ac:dyDescent="0.35">
      <c r="A6" t="s">
        <v>126</v>
      </c>
      <c r="B6">
        <v>6804</v>
      </c>
    </row>
    <row r="8" spans="1:6" x14ac:dyDescent="0.35">
      <c r="A8" s="3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</row>
    <row r="9" spans="1:6" x14ac:dyDescent="0.35">
      <c r="A9" t="s">
        <v>132</v>
      </c>
      <c r="B9">
        <v>413</v>
      </c>
      <c r="C9" t="s">
        <v>162</v>
      </c>
      <c r="D9" s="9">
        <v>10000</v>
      </c>
      <c r="E9" s="9">
        <v>10000</v>
      </c>
      <c r="F9" s="9">
        <v>320000</v>
      </c>
    </row>
    <row r="10" spans="1:6" x14ac:dyDescent="0.35">
      <c r="A10" t="s">
        <v>133</v>
      </c>
      <c r="B10">
        <v>1331</v>
      </c>
      <c r="C10" t="s">
        <v>163</v>
      </c>
      <c r="D10" s="9">
        <v>30000</v>
      </c>
      <c r="E10" s="9">
        <f t="shared" ref="E10:E38" si="0">E9+D10</f>
        <v>40000</v>
      </c>
      <c r="F10" s="9">
        <f t="shared" ref="F10:F38" si="1">F9-D10</f>
        <v>290000</v>
      </c>
    </row>
    <row r="11" spans="1:6" x14ac:dyDescent="0.35">
      <c r="A11" t="s">
        <v>134</v>
      </c>
      <c r="B11">
        <v>1332</v>
      </c>
      <c r="C11" t="s">
        <v>162</v>
      </c>
      <c r="D11" s="9">
        <v>10000</v>
      </c>
      <c r="E11" s="9">
        <f t="shared" si="0"/>
        <v>50000</v>
      </c>
      <c r="F11" s="9">
        <f t="shared" si="1"/>
        <v>280000</v>
      </c>
    </row>
    <row r="12" spans="1:6" x14ac:dyDescent="0.35">
      <c r="A12" t="s">
        <v>135</v>
      </c>
      <c r="B12">
        <v>230</v>
      </c>
      <c r="C12" t="s">
        <v>162</v>
      </c>
      <c r="D12" s="9">
        <v>10000</v>
      </c>
      <c r="E12" s="9">
        <f t="shared" si="0"/>
        <v>60000</v>
      </c>
      <c r="F12" s="9">
        <f t="shared" si="1"/>
        <v>270000</v>
      </c>
    </row>
    <row r="13" spans="1:6" x14ac:dyDescent="0.35">
      <c r="A13" t="s">
        <v>136</v>
      </c>
      <c r="B13">
        <v>2563</v>
      </c>
      <c r="C13" t="s">
        <v>162</v>
      </c>
      <c r="D13" s="9">
        <v>10000</v>
      </c>
      <c r="E13" s="9">
        <f t="shared" si="0"/>
        <v>70000</v>
      </c>
      <c r="F13" s="9">
        <f t="shared" si="1"/>
        <v>260000</v>
      </c>
    </row>
    <row r="14" spans="1:6" x14ac:dyDescent="0.35">
      <c r="A14" t="s">
        <v>137</v>
      </c>
      <c r="B14">
        <v>3324</v>
      </c>
      <c r="C14" t="s">
        <v>162</v>
      </c>
      <c r="D14" s="9">
        <v>10000</v>
      </c>
      <c r="E14" s="9">
        <f t="shared" si="0"/>
        <v>80000</v>
      </c>
      <c r="F14" s="9">
        <f t="shared" si="1"/>
        <v>250000</v>
      </c>
    </row>
    <row r="15" spans="1:6" x14ac:dyDescent="0.35">
      <c r="A15" t="s">
        <v>138</v>
      </c>
      <c r="B15">
        <v>3868</v>
      </c>
      <c r="C15" t="s">
        <v>162</v>
      </c>
      <c r="D15" s="9">
        <v>10000</v>
      </c>
      <c r="E15" s="9">
        <f t="shared" si="0"/>
        <v>90000</v>
      </c>
      <c r="F15" s="9">
        <f t="shared" si="1"/>
        <v>240000</v>
      </c>
    </row>
    <row r="16" spans="1:6" x14ac:dyDescent="0.35">
      <c r="A16" t="s">
        <v>139</v>
      </c>
      <c r="B16">
        <v>4579</v>
      </c>
      <c r="C16" t="s">
        <v>162</v>
      </c>
      <c r="D16" s="9">
        <v>10000</v>
      </c>
      <c r="E16" s="9">
        <f t="shared" si="0"/>
        <v>100000</v>
      </c>
      <c r="F16" s="9">
        <f t="shared" si="1"/>
        <v>230000</v>
      </c>
    </row>
    <row r="17" spans="1:6" x14ac:dyDescent="0.35">
      <c r="A17" t="s">
        <v>140</v>
      </c>
      <c r="B17">
        <v>5208</v>
      </c>
      <c r="C17" t="s">
        <v>162</v>
      </c>
      <c r="D17" s="9">
        <v>10000</v>
      </c>
      <c r="E17" s="9">
        <f t="shared" si="0"/>
        <v>110000</v>
      </c>
      <c r="F17" s="9">
        <f t="shared" si="1"/>
        <v>220000</v>
      </c>
    </row>
    <row r="18" spans="1:6" x14ac:dyDescent="0.35">
      <c r="A18" t="s">
        <v>141</v>
      </c>
      <c r="B18">
        <v>5861</v>
      </c>
      <c r="C18" t="s">
        <v>162</v>
      </c>
      <c r="D18" s="9">
        <v>10000</v>
      </c>
      <c r="E18" s="9">
        <f t="shared" si="0"/>
        <v>120000</v>
      </c>
      <c r="F18" s="9">
        <f t="shared" si="1"/>
        <v>210000</v>
      </c>
    </row>
    <row r="19" spans="1:6" x14ac:dyDescent="0.35">
      <c r="A19" t="s">
        <v>142</v>
      </c>
      <c r="B19">
        <v>6477</v>
      </c>
      <c r="C19" t="s">
        <v>162</v>
      </c>
      <c r="D19" s="9">
        <v>10000</v>
      </c>
      <c r="E19" s="9">
        <f t="shared" si="0"/>
        <v>130000</v>
      </c>
      <c r="F19" s="9">
        <f t="shared" si="1"/>
        <v>200000</v>
      </c>
    </row>
    <row r="20" spans="1:6" x14ac:dyDescent="0.35">
      <c r="A20" t="s">
        <v>143</v>
      </c>
      <c r="B20">
        <v>6849</v>
      </c>
      <c r="C20" t="s">
        <v>162</v>
      </c>
      <c r="D20" s="9">
        <v>10000</v>
      </c>
      <c r="E20" s="9">
        <f t="shared" si="0"/>
        <v>140000</v>
      </c>
      <c r="F20" s="9">
        <f t="shared" si="1"/>
        <v>190000</v>
      </c>
    </row>
    <row r="21" spans="1:6" x14ac:dyDescent="0.35">
      <c r="A21" t="s">
        <v>144</v>
      </c>
      <c r="B21">
        <v>7611</v>
      </c>
      <c r="C21" t="s">
        <v>162</v>
      </c>
      <c r="D21" s="9">
        <v>10000</v>
      </c>
      <c r="E21" s="9">
        <f t="shared" si="0"/>
        <v>150000</v>
      </c>
      <c r="F21" s="9">
        <f t="shared" si="1"/>
        <v>180000</v>
      </c>
    </row>
    <row r="22" spans="1:6" x14ac:dyDescent="0.35">
      <c r="A22" t="s">
        <v>145</v>
      </c>
      <c r="B22">
        <v>8164</v>
      </c>
      <c r="C22" t="s">
        <v>162</v>
      </c>
      <c r="D22" s="9">
        <v>10000</v>
      </c>
      <c r="E22" s="9">
        <f t="shared" si="0"/>
        <v>160000</v>
      </c>
      <c r="F22" s="9">
        <f t="shared" si="1"/>
        <v>170000</v>
      </c>
    </row>
    <row r="23" spans="1:6" x14ac:dyDescent="0.35">
      <c r="A23" t="s">
        <v>146</v>
      </c>
      <c r="B23">
        <v>8745</v>
      </c>
      <c r="C23" t="s">
        <v>162</v>
      </c>
      <c r="D23" s="9">
        <v>10000</v>
      </c>
      <c r="E23" s="9">
        <f t="shared" si="0"/>
        <v>170000</v>
      </c>
      <c r="F23" s="9">
        <f t="shared" si="1"/>
        <v>160000</v>
      </c>
    </row>
    <row r="24" spans="1:6" x14ac:dyDescent="0.35">
      <c r="A24" t="s">
        <v>147</v>
      </c>
      <c r="B24">
        <v>9322</v>
      </c>
      <c r="C24" t="s">
        <v>162</v>
      </c>
      <c r="D24" s="9">
        <v>10000</v>
      </c>
      <c r="E24" s="9">
        <f t="shared" si="0"/>
        <v>180000</v>
      </c>
      <c r="F24" s="9">
        <f t="shared" si="1"/>
        <v>150000</v>
      </c>
    </row>
    <row r="25" spans="1:6" x14ac:dyDescent="0.35">
      <c r="A25" t="s">
        <v>149</v>
      </c>
      <c r="B25">
        <v>10061</v>
      </c>
      <c r="C25" t="s">
        <v>162</v>
      </c>
      <c r="D25" s="9">
        <v>10000</v>
      </c>
      <c r="E25" s="9">
        <f t="shared" si="0"/>
        <v>190000</v>
      </c>
      <c r="F25" s="9">
        <f t="shared" si="1"/>
        <v>140000</v>
      </c>
    </row>
    <row r="26" spans="1:6" x14ac:dyDescent="0.35">
      <c r="A26" t="s">
        <v>148</v>
      </c>
      <c r="B26">
        <v>10495</v>
      </c>
      <c r="C26" t="s">
        <v>162</v>
      </c>
      <c r="D26" s="9">
        <v>10000</v>
      </c>
      <c r="E26" s="9">
        <f t="shared" si="0"/>
        <v>200000</v>
      </c>
      <c r="F26" s="9">
        <f t="shared" si="1"/>
        <v>130000</v>
      </c>
    </row>
    <row r="27" spans="1:6" x14ac:dyDescent="0.35">
      <c r="A27" t="s">
        <v>150</v>
      </c>
      <c r="B27">
        <v>10191</v>
      </c>
      <c r="C27" t="s">
        <v>162</v>
      </c>
      <c r="D27" s="9">
        <v>10000</v>
      </c>
      <c r="E27" s="9">
        <f t="shared" si="0"/>
        <v>210000</v>
      </c>
      <c r="F27" s="9">
        <f t="shared" si="1"/>
        <v>120000</v>
      </c>
    </row>
    <row r="28" spans="1:6" x14ac:dyDescent="0.35">
      <c r="A28" t="s">
        <v>151</v>
      </c>
      <c r="B28">
        <v>11911</v>
      </c>
      <c r="C28" t="s">
        <v>162</v>
      </c>
      <c r="D28" s="9">
        <v>10000</v>
      </c>
      <c r="E28" s="9">
        <f t="shared" si="0"/>
        <v>220000</v>
      </c>
      <c r="F28" s="9">
        <f t="shared" si="1"/>
        <v>110000</v>
      </c>
    </row>
    <row r="29" spans="1:6" x14ac:dyDescent="0.35">
      <c r="A29" t="s">
        <v>152</v>
      </c>
      <c r="B29">
        <v>12591</v>
      </c>
      <c r="C29" t="s">
        <v>162</v>
      </c>
      <c r="D29" s="9">
        <v>10000</v>
      </c>
      <c r="E29" s="9">
        <f t="shared" si="0"/>
        <v>230000</v>
      </c>
      <c r="F29" s="9">
        <f t="shared" si="1"/>
        <v>100000</v>
      </c>
    </row>
    <row r="30" spans="1:6" x14ac:dyDescent="0.35">
      <c r="A30" t="s">
        <v>153</v>
      </c>
      <c r="B30">
        <v>12893</v>
      </c>
      <c r="C30" t="s">
        <v>162</v>
      </c>
      <c r="D30" s="9">
        <v>10000</v>
      </c>
      <c r="E30" s="9">
        <f t="shared" si="0"/>
        <v>240000</v>
      </c>
      <c r="F30" s="9">
        <f t="shared" si="1"/>
        <v>90000</v>
      </c>
    </row>
    <row r="31" spans="1:6" x14ac:dyDescent="0.35">
      <c r="A31" t="s">
        <v>154</v>
      </c>
      <c r="B31">
        <v>9271</v>
      </c>
      <c r="C31" t="s">
        <v>162</v>
      </c>
      <c r="D31" s="9">
        <v>10000</v>
      </c>
      <c r="E31" s="9">
        <f t="shared" si="0"/>
        <v>250000</v>
      </c>
      <c r="F31" s="9">
        <f t="shared" si="1"/>
        <v>80000</v>
      </c>
    </row>
    <row r="32" spans="1:6" x14ac:dyDescent="0.35">
      <c r="A32" t="s">
        <v>155</v>
      </c>
      <c r="B32">
        <v>9658</v>
      </c>
      <c r="C32" t="s">
        <v>162</v>
      </c>
      <c r="D32" s="9">
        <v>10000</v>
      </c>
      <c r="E32" s="9">
        <f t="shared" si="0"/>
        <v>260000</v>
      </c>
      <c r="F32" s="9">
        <f t="shared" si="1"/>
        <v>70000</v>
      </c>
    </row>
    <row r="33" spans="1:6" x14ac:dyDescent="0.35">
      <c r="A33" t="s">
        <v>156</v>
      </c>
      <c r="B33">
        <v>10143</v>
      </c>
      <c r="C33" t="s">
        <v>162</v>
      </c>
      <c r="D33" s="9">
        <v>10000</v>
      </c>
      <c r="E33" s="9">
        <f t="shared" si="0"/>
        <v>270000</v>
      </c>
      <c r="F33" s="9">
        <f t="shared" si="1"/>
        <v>60000</v>
      </c>
    </row>
    <row r="34" spans="1:6" x14ac:dyDescent="0.35">
      <c r="A34" t="s">
        <v>157</v>
      </c>
      <c r="B34">
        <v>10459</v>
      </c>
      <c r="C34" t="s">
        <v>162</v>
      </c>
      <c r="D34" s="9">
        <v>10000</v>
      </c>
      <c r="E34" s="9">
        <f t="shared" si="0"/>
        <v>280000</v>
      </c>
      <c r="F34" s="9">
        <f t="shared" si="1"/>
        <v>50000</v>
      </c>
    </row>
    <row r="35" spans="1:6" x14ac:dyDescent="0.35">
      <c r="A35" t="s">
        <v>158</v>
      </c>
      <c r="B35">
        <v>13234</v>
      </c>
      <c r="C35" t="s">
        <v>162</v>
      </c>
      <c r="D35" s="9">
        <v>10000</v>
      </c>
      <c r="E35" s="9">
        <f t="shared" si="0"/>
        <v>290000</v>
      </c>
      <c r="F35" s="9">
        <f t="shared" si="1"/>
        <v>40000</v>
      </c>
    </row>
    <row r="36" spans="1:6" x14ac:dyDescent="0.35">
      <c r="A36" t="s">
        <v>159</v>
      </c>
      <c r="B36">
        <v>13840</v>
      </c>
      <c r="C36" t="s">
        <v>162</v>
      </c>
      <c r="D36" s="9">
        <v>10000</v>
      </c>
      <c r="E36" s="9">
        <f t="shared" si="0"/>
        <v>300000</v>
      </c>
      <c r="F36" s="9">
        <f t="shared" si="1"/>
        <v>30000</v>
      </c>
    </row>
    <row r="37" spans="1:6" x14ac:dyDescent="0.35">
      <c r="A37" t="s">
        <v>160</v>
      </c>
      <c r="B37">
        <v>12542</v>
      </c>
      <c r="C37" t="s">
        <v>162</v>
      </c>
      <c r="D37" s="9">
        <v>20000</v>
      </c>
      <c r="E37" s="9">
        <f t="shared" si="0"/>
        <v>320000</v>
      </c>
      <c r="F37" s="9">
        <f t="shared" si="1"/>
        <v>10000</v>
      </c>
    </row>
    <row r="38" spans="1:6" x14ac:dyDescent="0.35">
      <c r="A38" t="s">
        <v>161</v>
      </c>
      <c r="B38">
        <v>13443</v>
      </c>
      <c r="C38" t="s">
        <v>162</v>
      </c>
      <c r="D38" s="9">
        <v>10000</v>
      </c>
      <c r="E38" s="9">
        <f t="shared" si="0"/>
        <v>330000</v>
      </c>
      <c r="F38" s="9">
        <f t="shared" si="1"/>
        <v>0</v>
      </c>
    </row>
    <row r="39" spans="1:6" x14ac:dyDescent="0.35">
      <c r="F39" t="s">
        <v>164</v>
      </c>
    </row>
    <row r="42" spans="1:6" x14ac:dyDescent="0.35">
      <c r="A42" t="s">
        <v>206</v>
      </c>
      <c r="B42">
        <v>1719</v>
      </c>
      <c r="C42" t="s">
        <v>77</v>
      </c>
      <c r="D42" s="9">
        <v>150000</v>
      </c>
      <c r="E42" s="9">
        <v>150000</v>
      </c>
      <c r="F42" t="s">
        <v>203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2ADAF-4B0E-414A-A53C-4E0D34FA020D}">
  <dimension ref="A1:F48"/>
  <sheetViews>
    <sheetView workbookViewId="0">
      <selection activeCell="F4" sqref="F4:G4"/>
    </sheetView>
  </sheetViews>
  <sheetFormatPr defaultRowHeight="14.5" x14ac:dyDescent="0.35"/>
  <cols>
    <col min="1" max="1" width="15.26953125" customWidth="1"/>
    <col min="3" max="3" width="10.26953125" bestFit="1" customWidth="1"/>
    <col min="6" max="6" width="11.36328125" bestFit="1" customWidth="1"/>
  </cols>
  <sheetData>
    <row r="1" spans="1:6" ht="18.5" x14ac:dyDescent="0.45">
      <c r="A1" s="1" t="s">
        <v>28</v>
      </c>
      <c r="B1" s="1"/>
      <c r="C1" s="2"/>
      <c r="D1" s="1"/>
      <c r="E1" s="1"/>
      <c r="F1" s="1"/>
    </row>
    <row r="2" spans="1:6" ht="18.5" x14ac:dyDescent="0.45">
      <c r="A2" s="1" t="s">
        <v>29</v>
      </c>
      <c r="C2" s="1"/>
      <c r="D2" s="1"/>
      <c r="E2" s="1"/>
      <c r="F2" s="1"/>
    </row>
    <row r="3" spans="1:6" ht="18.5" x14ac:dyDescent="0.45">
      <c r="A3" s="1" t="s">
        <v>30</v>
      </c>
      <c r="B3" s="1"/>
      <c r="C3" s="1"/>
      <c r="D3" s="1"/>
      <c r="E3" s="1"/>
      <c r="F3" s="1"/>
    </row>
    <row r="4" spans="1:6" ht="18.5" x14ac:dyDescent="0.45">
      <c r="A4" s="1" t="s">
        <v>205</v>
      </c>
      <c r="B4" s="1" t="s">
        <v>201</v>
      </c>
      <c r="C4" s="1"/>
      <c r="D4" s="1"/>
      <c r="E4" s="1"/>
      <c r="F4" s="1"/>
    </row>
    <row r="5" spans="1:6" ht="18.5" x14ac:dyDescent="0.45">
      <c r="A5" s="1" t="s">
        <v>31</v>
      </c>
      <c r="B5" s="1"/>
      <c r="C5" s="1"/>
      <c r="D5" s="1"/>
      <c r="E5" s="1"/>
      <c r="F5" s="1"/>
    </row>
    <row r="6" spans="1:6" ht="18.5" x14ac:dyDescent="0.45">
      <c r="A6" s="1" t="s">
        <v>32</v>
      </c>
      <c r="B6" s="1"/>
      <c r="C6" s="1"/>
      <c r="D6" s="1" t="s">
        <v>33</v>
      </c>
      <c r="E6" s="1"/>
      <c r="F6" s="1"/>
    </row>
    <row r="7" spans="1:6" x14ac:dyDescent="0.35">
      <c r="A7" s="3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</row>
    <row r="8" spans="1:6" x14ac:dyDescent="0.35">
      <c r="A8" s="5" t="s">
        <v>34</v>
      </c>
      <c r="B8" s="5">
        <v>1778</v>
      </c>
      <c r="C8" s="5" t="s">
        <v>35</v>
      </c>
      <c r="D8" s="6">
        <v>107000</v>
      </c>
      <c r="E8" s="6">
        <v>107000</v>
      </c>
      <c r="F8" s="6">
        <v>283000</v>
      </c>
    </row>
    <row r="9" spans="1:6" x14ac:dyDescent="0.35">
      <c r="A9" s="5" t="s">
        <v>13</v>
      </c>
      <c r="B9" s="5">
        <v>1778</v>
      </c>
      <c r="C9" s="5" t="s">
        <v>19</v>
      </c>
      <c r="D9" s="6">
        <v>20000</v>
      </c>
      <c r="E9" s="6">
        <f>SUM(E8+D9)</f>
        <v>127000</v>
      </c>
      <c r="F9" s="6">
        <f>F8-D9</f>
        <v>263000</v>
      </c>
    </row>
    <row r="10" spans="1:6" x14ac:dyDescent="0.35">
      <c r="A10" s="7">
        <v>44989</v>
      </c>
      <c r="B10" s="5">
        <v>1777</v>
      </c>
      <c r="C10" s="5" t="s">
        <v>20</v>
      </c>
      <c r="D10" s="6">
        <v>10000</v>
      </c>
      <c r="E10" s="6">
        <f t="shared" ref="E10:E45" si="0">SUM(E9+D10)</f>
        <v>137000</v>
      </c>
      <c r="F10" s="6">
        <f t="shared" ref="F10:F45" si="1">F9-D10</f>
        <v>253000</v>
      </c>
    </row>
    <row r="11" spans="1:6" x14ac:dyDescent="0.35">
      <c r="A11" s="5" t="s">
        <v>15</v>
      </c>
      <c r="B11" s="5">
        <v>812</v>
      </c>
      <c r="C11" s="5" t="s">
        <v>20</v>
      </c>
      <c r="D11" s="6">
        <v>10000</v>
      </c>
      <c r="E11" s="6">
        <f t="shared" si="0"/>
        <v>147000</v>
      </c>
      <c r="F11" s="6">
        <f t="shared" si="1"/>
        <v>243000</v>
      </c>
    </row>
    <row r="12" spans="1:6" x14ac:dyDescent="0.35">
      <c r="A12" s="7">
        <v>45266</v>
      </c>
      <c r="B12" s="5">
        <v>503</v>
      </c>
      <c r="C12" s="5" t="s">
        <v>20</v>
      </c>
      <c r="D12" s="6">
        <v>10000</v>
      </c>
      <c r="E12" s="6">
        <f t="shared" si="0"/>
        <v>157000</v>
      </c>
      <c r="F12" s="6">
        <f t="shared" si="1"/>
        <v>233000</v>
      </c>
    </row>
    <row r="13" spans="1:6" x14ac:dyDescent="0.35">
      <c r="A13" s="5" t="s">
        <v>16</v>
      </c>
      <c r="B13" s="5">
        <v>2837</v>
      </c>
      <c r="C13" s="5" t="s">
        <v>20</v>
      </c>
      <c r="D13" s="6">
        <v>7000</v>
      </c>
      <c r="E13" s="6">
        <f t="shared" si="0"/>
        <v>164000</v>
      </c>
      <c r="F13" s="6">
        <f t="shared" si="1"/>
        <v>226000</v>
      </c>
    </row>
    <row r="14" spans="1:6" x14ac:dyDescent="0.35">
      <c r="A14" s="7">
        <v>45268</v>
      </c>
      <c r="B14" s="5">
        <v>2389</v>
      </c>
      <c r="C14" s="5" t="s">
        <v>20</v>
      </c>
      <c r="D14" s="6">
        <v>7000</v>
      </c>
      <c r="E14" s="6">
        <f t="shared" si="0"/>
        <v>171000</v>
      </c>
      <c r="F14" s="6">
        <f t="shared" si="1"/>
        <v>219000</v>
      </c>
    </row>
    <row r="15" spans="1:6" x14ac:dyDescent="0.35">
      <c r="A15" s="5" t="s">
        <v>17</v>
      </c>
      <c r="B15" s="5">
        <v>3615</v>
      </c>
      <c r="C15" s="5" t="s">
        <v>20</v>
      </c>
      <c r="D15" s="6">
        <v>7000</v>
      </c>
      <c r="E15" s="6">
        <f t="shared" si="0"/>
        <v>178000</v>
      </c>
      <c r="F15" s="6">
        <f t="shared" si="1"/>
        <v>212000</v>
      </c>
    </row>
    <row r="16" spans="1:6" x14ac:dyDescent="0.35">
      <c r="A16" s="7">
        <v>45209</v>
      </c>
      <c r="B16" s="5">
        <v>4191</v>
      </c>
      <c r="C16" s="5" t="s">
        <v>20</v>
      </c>
      <c r="D16" s="6">
        <v>7000</v>
      </c>
      <c r="E16" s="6">
        <f t="shared" si="0"/>
        <v>185000</v>
      </c>
      <c r="F16" s="6">
        <f t="shared" si="1"/>
        <v>205000</v>
      </c>
    </row>
    <row r="17" spans="1:6" x14ac:dyDescent="0.35">
      <c r="A17" s="7">
        <v>45180</v>
      </c>
      <c r="B17" s="5">
        <v>4739</v>
      </c>
      <c r="C17" s="5" t="s">
        <v>20</v>
      </c>
      <c r="D17" s="6">
        <v>7000</v>
      </c>
      <c r="E17" s="6">
        <f t="shared" si="0"/>
        <v>192000</v>
      </c>
      <c r="F17" s="6">
        <f t="shared" si="1"/>
        <v>198000</v>
      </c>
    </row>
    <row r="18" spans="1:6" x14ac:dyDescent="0.35">
      <c r="A18" s="7">
        <v>45089</v>
      </c>
      <c r="B18" s="5">
        <v>5334</v>
      </c>
      <c r="C18" s="5" t="s">
        <v>20</v>
      </c>
      <c r="D18" s="6">
        <v>7000</v>
      </c>
      <c r="E18" s="6">
        <f t="shared" si="0"/>
        <v>199000</v>
      </c>
      <c r="F18" s="6">
        <f t="shared" si="1"/>
        <v>191000</v>
      </c>
    </row>
    <row r="19" spans="1:6" x14ac:dyDescent="0.35">
      <c r="A19" s="7">
        <v>45505</v>
      </c>
      <c r="B19" s="5">
        <v>6010</v>
      </c>
      <c r="C19" s="5" t="s">
        <v>20</v>
      </c>
      <c r="D19" s="6">
        <v>7000</v>
      </c>
      <c r="E19" s="6">
        <f t="shared" si="0"/>
        <v>206000</v>
      </c>
      <c r="F19" s="6">
        <f t="shared" si="1"/>
        <v>184000</v>
      </c>
    </row>
    <row r="20" spans="1:6" x14ac:dyDescent="0.35">
      <c r="A20" s="5" t="s">
        <v>21</v>
      </c>
      <c r="B20" s="5">
        <v>7194</v>
      </c>
      <c r="C20" s="5" t="s">
        <v>20</v>
      </c>
      <c r="D20" s="6">
        <v>7000</v>
      </c>
      <c r="E20" s="6">
        <f t="shared" si="0"/>
        <v>213000</v>
      </c>
      <c r="F20" s="6">
        <f t="shared" si="1"/>
        <v>177000</v>
      </c>
    </row>
    <row r="21" spans="1:6" x14ac:dyDescent="0.35">
      <c r="A21" s="7">
        <v>45599</v>
      </c>
      <c r="B21" s="5">
        <v>7299</v>
      </c>
      <c r="C21" s="5" t="s">
        <v>20</v>
      </c>
      <c r="D21" s="6">
        <v>7000</v>
      </c>
      <c r="E21" s="6">
        <f t="shared" si="0"/>
        <v>220000</v>
      </c>
      <c r="F21" s="6">
        <f t="shared" si="1"/>
        <v>170000</v>
      </c>
    </row>
    <row r="22" spans="1:6" x14ac:dyDescent="0.35">
      <c r="A22" s="5" t="s">
        <v>36</v>
      </c>
      <c r="B22" s="5">
        <v>8168</v>
      </c>
      <c r="C22" s="5" t="s">
        <v>20</v>
      </c>
      <c r="D22" s="6">
        <v>7000</v>
      </c>
      <c r="E22" s="6">
        <f t="shared" si="0"/>
        <v>227000</v>
      </c>
      <c r="F22" s="6">
        <f t="shared" si="1"/>
        <v>163000</v>
      </c>
    </row>
    <row r="23" spans="1:6" x14ac:dyDescent="0.35">
      <c r="A23" s="5" t="s">
        <v>23</v>
      </c>
      <c r="B23" s="5">
        <v>8494</v>
      </c>
      <c r="C23" s="5" t="s">
        <v>20</v>
      </c>
      <c r="D23" s="6">
        <v>7000</v>
      </c>
      <c r="E23" s="6">
        <f t="shared" si="0"/>
        <v>234000</v>
      </c>
      <c r="F23" s="6">
        <f t="shared" si="1"/>
        <v>156000</v>
      </c>
    </row>
    <row r="24" spans="1:6" x14ac:dyDescent="0.35">
      <c r="A24" s="5" t="s">
        <v>24</v>
      </c>
      <c r="B24" s="5">
        <v>9081</v>
      </c>
      <c r="C24" s="5" t="s">
        <v>20</v>
      </c>
      <c r="D24" s="6">
        <v>7000</v>
      </c>
      <c r="E24" s="6">
        <f t="shared" si="0"/>
        <v>241000</v>
      </c>
      <c r="F24" s="6">
        <f t="shared" si="1"/>
        <v>149000</v>
      </c>
    </row>
    <row r="25" spans="1:6" x14ac:dyDescent="0.35">
      <c r="A25" s="5" t="s">
        <v>25</v>
      </c>
      <c r="B25" s="5">
        <v>9563</v>
      </c>
      <c r="C25" s="5" t="s">
        <v>20</v>
      </c>
      <c r="D25" s="6">
        <v>7000</v>
      </c>
      <c r="E25" s="6">
        <f t="shared" si="0"/>
        <v>248000</v>
      </c>
      <c r="F25" s="6">
        <f t="shared" si="1"/>
        <v>142000</v>
      </c>
    </row>
    <row r="26" spans="1:6" x14ac:dyDescent="0.35">
      <c r="A26" s="5" t="s">
        <v>26</v>
      </c>
      <c r="B26" s="5">
        <v>11511</v>
      </c>
      <c r="C26" s="5" t="s">
        <v>20</v>
      </c>
      <c r="D26" s="6">
        <v>7000</v>
      </c>
      <c r="E26" s="6">
        <f t="shared" si="0"/>
        <v>255000</v>
      </c>
      <c r="F26" s="6">
        <f t="shared" si="1"/>
        <v>135000</v>
      </c>
    </row>
    <row r="27" spans="1:6" x14ac:dyDescent="0.35">
      <c r="A27" s="7">
        <v>45452</v>
      </c>
      <c r="B27" s="5">
        <v>10673</v>
      </c>
      <c r="C27" s="5" t="s">
        <v>20</v>
      </c>
      <c r="D27" s="6">
        <v>7000</v>
      </c>
      <c r="E27" s="6">
        <f t="shared" si="0"/>
        <v>262000</v>
      </c>
      <c r="F27" s="6">
        <f t="shared" si="1"/>
        <v>128000</v>
      </c>
    </row>
    <row r="28" spans="1:6" x14ac:dyDescent="0.35">
      <c r="A28" s="7">
        <v>45545</v>
      </c>
      <c r="B28" s="5">
        <v>11335</v>
      </c>
      <c r="C28" s="5" t="s">
        <v>20</v>
      </c>
      <c r="D28" s="6">
        <v>7000</v>
      </c>
      <c r="E28" s="6">
        <f t="shared" si="0"/>
        <v>269000</v>
      </c>
      <c r="F28" s="6">
        <f t="shared" si="1"/>
        <v>121000</v>
      </c>
    </row>
    <row r="29" spans="1:6" x14ac:dyDescent="0.35">
      <c r="A29" s="7">
        <v>45607</v>
      </c>
      <c r="B29" s="5">
        <v>10120</v>
      </c>
      <c r="C29" s="5" t="s">
        <v>20</v>
      </c>
      <c r="D29" s="6">
        <v>7000</v>
      </c>
      <c r="E29" s="6">
        <f t="shared" si="0"/>
        <v>276000</v>
      </c>
      <c r="F29" s="6">
        <f t="shared" si="1"/>
        <v>114000</v>
      </c>
    </row>
    <row r="30" spans="1:6" x14ac:dyDescent="0.35">
      <c r="A30" s="7">
        <v>45424</v>
      </c>
      <c r="B30" s="5">
        <v>12599</v>
      </c>
      <c r="C30" s="5" t="s">
        <v>20</v>
      </c>
      <c r="D30" s="6">
        <v>7000</v>
      </c>
      <c r="E30" s="6">
        <f t="shared" si="0"/>
        <v>283000</v>
      </c>
      <c r="F30" s="6">
        <f t="shared" si="1"/>
        <v>107000</v>
      </c>
    </row>
    <row r="31" spans="1:6" x14ac:dyDescent="0.35">
      <c r="A31" s="7">
        <v>45809</v>
      </c>
      <c r="B31" s="5">
        <v>10121</v>
      </c>
      <c r="C31" s="5" t="s">
        <v>20</v>
      </c>
      <c r="D31" s="6">
        <v>7000</v>
      </c>
      <c r="E31" s="6">
        <f t="shared" si="0"/>
        <v>290000</v>
      </c>
      <c r="F31" s="6">
        <f t="shared" si="1"/>
        <v>100000</v>
      </c>
    </row>
    <row r="32" spans="1:6" x14ac:dyDescent="0.35">
      <c r="A32" s="7">
        <v>45932</v>
      </c>
      <c r="B32" s="5">
        <v>9327</v>
      </c>
      <c r="C32" s="5" t="s">
        <v>20</v>
      </c>
      <c r="D32" s="6">
        <v>7000</v>
      </c>
      <c r="E32" s="6">
        <f t="shared" si="0"/>
        <v>297000</v>
      </c>
      <c r="F32" s="6">
        <f t="shared" si="1"/>
        <v>93000</v>
      </c>
    </row>
    <row r="33" spans="1:6" x14ac:dyDescent="0.35">
      <c r="A33" s="7">
        <v>45811</v>
      </c>
      <c r="B33" s="5">
        <v>10122</v>
      </c>
      <c r="C33" s="5" t="s">
        <v>20</v>
      </c>
      <c r="D33" s="6">
        <v>7000</v>
      </c>
      <c r="E33" s="6">
        <f t="shared" si="0"/>
        <v>304000</v>
      </c>
      <c r="F33" s="6">
        <f t="shared" si="1"/>
        <v>86000</v>
      </c>
    </row>
    <row r="34" spans="1:6" x14ac:dyDescent="0.35">
      <c r="A34" s="7">
        <v>45873</v>
      </c>
      <c r="B34" s="5">
        <v>9977</v>
      </c>
      <c r="C34" s="5" t="s">
        <v>20</v>
      </c>
      <c r="D34" s="6">
        <v>7000</v>
      </c>
      <c r="E34" s="6">
        <f t="shared" si="0"/>
        <v>311000</v>
      </c>
      <c r="F34" s="6">
        <f t="shared" si="1"/>
        <v>79000</v>
      </c>
    </row>
    <row r="35" spans="1:6" x14ac:dyDescent="0.35">
      <c r="A35" s="5" t="s">
        <v>27</v>
      </c>
      <c r="B35" s="5">
        <v>13028</v>
      </c>
      <c r="C35" s="5" t="s">
        <v>20</v>
      </c>
      <c r="D35" s="6">
        <v>14000</v>
      </c>
      <c r="E35" s="6">
        <f t="shared" si="0"/>
        <v>325000</v>
      </c>
      <c r="F35" s="6">
        <f t="shared" si="1"/>
        <v>65000</v>
      </c>
    </row>
    <row r="36" spans="1:6" x14ac:dyDescent="0.35">
      <c r="A36" s="7">
        <v>45876</v>
      </c>
      <c r="B36" s="5">
        <v>12817</v>
      </c>
      <c r="C36" s="5" t="s">
        <v>20</v>
      </c>
      <c r="D36" s="6">
        <v>7000</v>
      </c>
      <c r="E36" s="6">
        <f t="shared" si="0"/>
        <v>332000</v>
      </c>
      <c r="F36" s="6">
        <f t="shared" si="1"/>
        <v>58000</v>
      </c>
    </row>
    <row r="37" spans="1:6" x14ac:dyDescent="0.35">
      <c r="A37" s="7">
        <v>45816</v>
      </c>
      <c r="B37" s="5">
        <v>12416</v>
      </c>
      <c r="C37" s="5" t="s">
        <v>20</v>
      </c>
      <c r="D37" s="6">
        <v>7000</v>
      </c>
      <c r="E37" s="6">
        <f t="shared" si="0"/>
        <v>339000</v>
      </c>
      <c r="F37" s="6">
        <f t="shared" si="1"/>
        <v>51000</v>
      </c>
    </row>
    <row r="38" spans="1:6" x14ac:dyDescent="0.35">
      <c r="A38" s="7">
        <v>45756</v>
      </c>
      <c r="B38" s="5">
        <v>2615</v>
      </c>
      <c r="C38" s="5" t="s">
        <v>20</v>
      </c>
      <c r="D38" s="6">
        <v>7000</v>
      </c>
      <c r="E38" s="6">
        <f t="shared" si="0"/>
        <v>346000</v>
      </c>
      <c r="F38" s="6">
        <f t="shared" si="1"/>
        <v>44000</v>
      </c>
    </row>
    <row r="39" spans="1:6" x14ac:dyDescent="0.35">
      <c r="A39" s="5" t="s">
        <v>37</v>
      </c>
      <c r="B39" s="5">
        <v>13626</v>
      </c>
      <c r="C39" s="5" t="s">
        <v>20</v>
      </c>
      <c r="D39" s="6">
        <v>7000</v>
      </c>
      <c r="E39" s="6">
        <f t="shared" si="0"/>
        <v>353000</v>
      </c>
      <c r="F39" s="6">
        <f t="shared" si="1"/>
        <v>37000</v>
      </c>
    </row>
    <row r="40" spans="1:6" x14ac:dyDescent="0.35">
      <c r="A40" s="7">
        <v>45849</v>
      </c>
      <c r="B40" s="5">
        <v>13450</v>
      </c>
      <c r="C40" s="5" t="s">
        <v>20</v>
      </c>
      <c r="D40" s="6">
        <v>7000</v>
      </c>
      <c r="E40" s="6">
        <f t="shared" si="0"/>
        <v>360000</v>
      </c>
      <c r="F40" s="6">
        <f t="shared" si="1"/>
        <v>30000</v>
      </c>
    </row>
    <row r="41" spans="1:6" x14ac:dyDescent="0.35">
      <c r="A41" s="7">
        <v>46003</v>
      </c>
      <c r="B41" s="5">
        <v>13168</v>
      </c>
      <c r="C41" s="5" t="s">
        <v>20</v>
      </c>
      <c r="D41" s="6">
        <v>7000</v>
      </c>
      <c r="E41" s="6">
        <f t="shared" si="0"/>
        <v>367000</v>
      </c>
      <c r="F41" s="6">
        <f t="shared" si="1"/>
        <v>23000</v>
      </c>
    </row>
    <row r="42" spans="1:6" x14ac:dyDescent="0.35">
      <c r="A42" s="7">
        <v>46204</v>
      </c>
      <c r="B42" s="5">
        <v>12013</v>
      </c>
      <c r="C42" s="5" t="s">
        <v>20</v>
      </c>
      <c r="D42" s="6">
        <v>7000</v>
      </c>
      <c r="E42" s="6">
        <f t="shared" si="0"/>
        <v>374000</v>
      </c>
      <c r="F42" s="6">
        <f t="shared" si="1"/>
        <v>16000</v>
      </c>
    </row>
    <row r="43" spans="1:6" x14ac:dyDescent="0.35">
      <c r="A43" s="7">
        <v>46114</v>
      </c>
      <c r="B43" s="5">
        <v>12329</v>
      </c>
      <c r="C43" s="5" t="s">
        <v>20</v>
      </c>
      <c r="D43" s="6">
        <v>7000</v>
      </c>
      <c r="E43" s="6">
        <f t="shared" si="0"/>
        <v>381000</v>
      </c>
      <c r="F43" s="6">
        <f t="shared" si="1"/>
        <v>9000</v>
      </c>
    </row>
    <row r="44" spans="1:6" x14ac:dyDescent="0.35">
      <c r="A44" s="7">
        <v>46145</v>
      </c>
      <c r="B44" s="5">
        <v>12798</v>
      </c>
      <c r="C44" s="5" t="s">
        <v>20</v>
      </c>
      <c r="D44" s="6">
        <v>7000</v>
      </c>
      <c r="E44" s="6">
        <f t="shared" si="0"/>
        <v>388000</v>
      </c>
      <c r="F44" s="6">
        <f t="shared" si="1"/>
        <v>2000</v>
      </c>
    </row>
    <row r="45" spans="1:6" x14ac:dyDescent="0.35">
      <c r="A45" s="7">
        <v>46238</v>
      </c>
      <c r="B45" s="5">
        <v>13186</v>
      </c>
      <c r="C45" s="5" t="s">
        <v>20</v>
      </c>
      <c r="D45" s="6">
        <v>2000</v>
      </c>
      <c r="E45" s="6">
        <f t="shared" si="0"/>
        <v>390000</v>
      </c>
      <c r="F45" s="6">
        <f t="shared" si="1"/>
        <v>0</v>
      </c>
    </row>
    <row r="48" spans="1:6" x14ac:dyDescent="0.35">
      <c r="A48" t="s">
        <v>202</v>
      </c>
      <c r="B48" t="s">
        <v>200</v>
      </c>
      <c r="C48">
        <v>1696</v>
      </c>
      <c r="D48" s="9">
        <v>100000</v>
      </c>
      <c r="E48" t="s">
        <v>203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B6015-9E08-4B30-9B98-AE4C5FBCEFC9}">
  <dimension ref="A1:F45"/>
  <sheetViews>
    <sheetView workbookViewId="0">
      <selection activeCell="B41" sqref="B41"/>
    </sheetView>
  </sheetViews>
  <sheetFormatPr defaultRowHeight="14.5" x14ac:dyDescent="0.35"/>
  <cols>
    <col min="1" max="1" width="10.1796875" customWidth="1"/>
    <col min="3" max="3" width="9.54296875" customWidth="1"/>
    <col min="6" max="6" width="11" customWidth="1"/>
  </cols>
  <sheetData>
    <row r="1" spans="1:6" ht="18.5" x14ac:dyDescent="0.45">
      <c r="A1" s="1" t="s">
        <v>28</v>
      </c>
      <c r="B1" s="1"/>
      <c r="C1" s="2"/>
      <c r="D1" s="1"/>
      <c r="E1" s="1"/>
      <c r="F1" s="1"/>
    </row>
    <row r="2" spans="1:6" ht="18.5" x14ac:dyDescent="0.45">
      <c r="A2" s="1" t="s">
        <v>29</v>
      </c>
      <c r="C2" s="1"/>
      <c r="D2" s="1"/>
      <c r="E2" s="1"/>
      <c r="F2" s="1"/>
    </row>
    <row r="3" spans="1:6" ht="18.5" x14ac:dyDescent="0.45">
      <c r="A3" s="1" t="s">
        <v>30</v>
      </c>
      <c r="B3" s="1"/>
      <c r="C3" s="1"/>
      <c r="D3" s="1"/>
      <c r="E3" s="1"/>
      <c r="F3" s="1"/>
    </row>
    <row r="4" spans="1:6" ht="18.5" x14ac:dyDescent="0.45">
      <c r="A4" s="1" t="s">
        <v>70</v>
      </c>
      <c r="B4" s="1" t="s">
        <v>196</v>
      </c>
      <c r="C4" s="1"/>
      <c r="D4" s="1"/>
      <c r="E4" s="1"/>
      <c r="F4" s="1"/>
    </row>
    <row r="5" spans="1:6" ht="18.5" x14ac:dyDescent="0.45">
      <c r="A5" s="1" t="s">
        <v>31</v>
      </c>
      <c r="B5" s="1"/>
      <c r="C5" s="1"/>
      <c r="D5" s="1"/>
      <c r="E5" s="1"/>
      <c r="F5" s="1"/>
    </row>
    <row r="6" spans="1:6" ht="18.5" x14ac:dyDescent="0.45">
      <c r="A6" s="1" t="s">
        <v>69</v>
      </c>
      <c r="B6" s="1"/>
      <c r="C6" s="1"/>
      <c r="D6" s="1" t="s">
        <v>33</v>
      </c>
      <c r="E6" s="1"/>
      <c r="F6" s="1"/>
    </row>
    <row r="7" spans="1:6" x14ac:dyDescent="0.35">
      <c r="A7" s="3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</row>
    <row r="8" spans="1:6" x14ac:dyDescent="0.35">
      <c r="A8" s="10" t="s">
        <v>71</v>
      </c>
      <c r="B8" s="10">
        <v>1784</v>
      </c>
      <c r="C8" s="5" t="s">
        <v>18</v>
      </c>
      <c r="D8" s="6">
        <v>107000</v>
      </c>
      <c r="E8" s="6">
        <v>107000</v>
      </c>
      <c r="F8" s="6">
        <v>283000</v>
      </c>
    </row>
    <row r="9" spans="1:6" x14ac:dyDescent="0.35">
      <c r="A9" s="10" t="s">
        <v>13</v>
      </c>
      <c r="B9" s="10"/>
      <c r="C9" s="5" t="s">
        <v>72</v>
      </c>
      <c r="D9" s="6">
        <v>20000</v>
      </c>
      <c r="E9" s="6">
        <f>SUM(E8+D9)</f>
        <v>127000</v>
      </c>
      <c r="F9" s="6">
        <f>F8-D9</f>
        <v>263000</v>
      </c>
    </row>
    <row r="10" spans="1:6" x14ac:dyDescent="0.35">
      <c r="A10" s="11">
        <v>44989</v>
      </c>
      <c r="B10" s="10">
        <v>1785</v>
      </c>
      <c r="C10" s="5" t="s">
        <v>20</v>
      </c>
      <c r="D10" s="6">
        <v>10000</v>
      </c>
      <c r="E10" s="6">
        <f t="shared" ref="E10:E34" si="0">SUM(E9+D10)</f>
        <v>137000</v>
      </c>
      <c r="F10" s="6">
        <f t="shared" ref="F10:F34" si="1">F9-D10</f>
        <v>253000</v>
      </c>
    </row>
    <row r="11" spans="1:6" x14ac:dyDescent="0.35">
      <c r="A11" s="10" t="s">
        <v>16</v>
      </c>
      <c r="B11" s="10">
        <v>2839</v>
      </c>
      <c r="C11" s="5" t="s">
        <v>20</v>
      </c>
      <c r="D11" s="6">
        <v>10000</v>
      </c>
      <c r="E11" s="6">
        <f t="shared" si="0"/>
        <v>147000</v>
      </c>
      <c r="F11" s="6">
        <f t="shared" si="1"/>
        <v>243000</v>
      </c>
    </row>
    <row r="12" spans="1:6" x14ac:dyDescent="0.35">
      <c r="A12" s="11">
        <v>45268</v>
      </c>
      <c r="B12" s="10">
        <v>2390</v>
      </c>
      <c r="C12" s="5" t="s">
        <v>20</v>
      </c>
      <c r="D12" s="6">
        <v>7000</v>
      </c>
      <c r="E12" s="6">
        <f t="shared" si="0"/>
        <v>154000</v>
      </c>
      <c r="F12" s="6">
        <f t="shared" si="1"/>
        <v>236000</v>
      </c>
    </row>
    <row r="13" spans="1:6" x14ac:dyDescent="0.35">
      <c r="A13" s="11">
        <v>45025</v>
      </c>
      <c r="B13" s="10">
        <v>3613</v>
      </c>
      <c r="C13" s="5" t="s">
        <v>20</v>
      </c>
      <c r="D13" s="6">
        <v>7000</v>
      </c>
      <c r="E13" s="6">
        <f t="shared" si="0"/>
        <v>161000</v>
      </c>
      <c r="F13" s="6">
        <f t="shared" si="1"/>
        <v>229000</v>
      </c>
    </row>
    <row r="14" spans="1:6" x14ac:dyDescent="0.35">
      <c r="A14" s="11">
        <v>45209</v>
      </c>
      <c r="B14" s="10">
        <v>4189</v>
      </c>
      <c r="C14" s="5" t="s">
        <v>20</v>
      </c>
      <c r="D14" s="6">
        <v>10000</v>
      </c>
      <c r="E14" s="6">
        <f t="shared" si="0"/>
        <v>171000</v>
      </c>
      <c r="F14" s="6">
        <f t="shared" si="1"/>
        <v>219000</v>
      </c>
    </row>
    <row r="15" spans="1:6" x14ac:dyDescent="0.35">
      <c r="A15" s="11">
        <v>45180</v>
      </c>
      <c r="B15" s="10">
        <v>4741</v>
      </c>
      <c r="C15" s="5" t="s">
        <v>20</v>
      </c>
      <c r="D15" s="6">
        <v>10000</v>
      </c>
      <c r="E15" s="6">
        <f t="shared" si="0"/>
        <v>181000</v>
      </c>
      <c r="F15" s="6">
        <f t="shared" si="1"/>
        <v>209000</v>
      </c>
    </row>
    <row r="16" spans="1:6" x14ac:dyDescent="0.35">
      <c r="A16" s="11">
        <v>45089</v>
      </c>
      <c r="B16" s="10">
        <v>5331</v>
      </c>
      <c r="C16" s="5" t="s">
        <v>20</v>
      </c>
      <c r="D16" s="6">
        <v>10000</v>
      </c>
      <c r="E16" s="6">
        <f t="shared" si="0"/>
        <v>191000</v>
      </c>
      <c r="F16" s="6">
        <f t="shared" si="1"/>
        <v>199000</v>
      </c>
    </row>
    <row r="17" spans="1:6" x14ac:dyDescent="0.35">
      <c r="A17" s="11">
        <v>45505</v>
      </c>
      <c r="B17" s="10">
        <v>6004</v>
      </c>
      <c r="C17" s="5" t="s">
        <v>20</v>
      </c>
      <c r="D17" s="6">
        <v>10000</v>
      </c>
      <c r="E17" s="6">
        <f t="shared" si="0"/>
        <v>201000</v>
      </c>
      <c r="F17" s="6">
        <f t="shared" si="1"/>
        <v>189000</v>
      </c>
    </row>
    <row r="18" spans="1:6" x14ac:dyDescent="0.35">
      <c r="A18" s="10" t="s">
        <v>21</v>
      </c>
      <c r="B18" s="10">
        <v>7192</v>
      </c>
      <c r="C18" s="5" t="s">
        <v>20</v>
      </c>
      <c r="D18" s="6">
        <v>10000</v>
      </c>
      <c r="E18" s="6">
        <f t="shared" si="0"/>
        <v>211000</v>
      </c>
      <c r="F18" s="6">
        <f t="shared" si="1"/>
        <v>179000</v>
      </c>
    </row>
    <row r="19" spans="1:6" x14ac:dyDescent="0.35">
      <c r="A19" s="11">
        <v>45599</v>
      </c>
      <c r="B19" s="10">
        <v>7803</v>
      </c>
      <c r="C19" s="5" t="s">
        <v>20</v>
      </c>
      <c r="D19" s="6">
        <v>10000</v>
      </c>
      <c r="E19" s="6">
        <f t="shared" si="0"/>
        <v>221000</v>
      </c>
      <c r="F19" s="6">
        <f t="shared" si="1"/>
        <v>169000</v>
      </c>
    </row>
    <row r="20" spans="1:6" x14ac:dyDescent="0.35">
      <c r="A20" s="10" t="s">
        <v>36</v>
      </c>
      <c r="B20" s="10">
        <v>8169</v>
      </c>
      <c r="C20" s="5" t="s">
        <v>20</v>
      </c>
      <c r="D20" s="6">
        <v>10000</v>
      </c>
      <c r="E20" s="6">
        <f t="shared" si="0"/>
        <v>231000</v>
      </c>
      <c r="F20" s="6">
        <f t="shared" si="1"/>
        <v>159000</v>
      </c>
    </row>
    <row r="21" spans="1:6" x14ac:dyDescent="0.35">
      <c r="A21" s="10" t="s">
        <v>23</v>
      </c>
      <c r="B21" s="10">
        <v>8492</v>
      </c>
      <c r="C21" s="5" t="s">
        <v>20</v>
      </c>
      <c r="D21" s="6">
        <v>10000</v>
      </c>
      <c r="E21" s="6">
        <f t="shared" si="0"/>
        <v>241000</v>
      </c>
      <c r="F21" s="6">
        <f t="shared" si="1"/>
        <v>149000</v>
      </c>
    </row>
    <row r="22" spans="1:6" x14ac:dyDescent="0.35">
      <c r="A22" s="10" t="s">
        <v>24</v>
      </c>
      <c r="B22" s="10">
        <v>9077</v>
      </c>
      <c r="C22" s="5" t="s">
        <v>20</v>
      </c>
      <c r="D22" s="6">
        <v>10000</v>
      </c>
      <c r="E22" s="6">
        <f t="shared" si="0"/>
        <v>251000</v>
      </c>
      <c r="F22" s="6">
        <f t="shared" si="1"/>
        <v>139000</v>
      </c>
    </row>
    <row r="23" spans="1:6" x14ac:dyDescent="0.35">
      <c r="A23" s="10" t="s">
        <v>25</v>
      </c>
      <c r="B23" s="10">
        <v>9562</v>
      </c>
      <c r="C23" s="5" t="s">
        <v>20</v>
      </c>
      <c r="D23" s="6">
        <v>10000</v>
      </c>
      <c r="E23" s="6">
        <f t="shared" si="0"/>
        <v>261000</v>
      </c>
      <c r="F23" s="6">
        <f t="shared" si="1"/>
        <v>129000</v>
      </c>
    </row>
    <row r="24" spans="1:6" x14ac:dyDescent="0.35">
      <c r="A24" s="10" t="s">
        <v>73</v>
      </c>
      <c r="B24" s="10">
        <v>11516</v>
      </c>
      <c r="C24" s="5" t="s">
        <v>20</v>
      </c>
      <c r="D24" s="6">
        <v>10000</v>
      </c>
      <c r="E24" s="6">
        <f t="shared" si="0"/>
        <v>271000</v>
      </c>
      <c r="F24" s="6">
        <f t="shared" si="1"/>
        <v>119000</v>
      </c>
    </row>
    <row r="25" spans="1:6" x14ac:dyDescent="0.35">
      <c r="A25" s="11">
        <v>45574</v>
      </c>
      <c r="B25" s="10">
        <v>10671</v>
      </c>
      <c r="C25" s="5" t="s">
        <v>20</v>
      </c>
      <c r="D25" s="6">
        <v>10000</v>
      </c>
      <c r="E25" s="6">
        <f t="shared" si="0"/>
        <v>281000</v>
      </c>
      <c r="F25" s="6">
        <f t="shared" si="1"/>
        <v>109000</v>
      </c>
    </row>
    <row r="26" spans="1:6" x14ac:dyDescent="0.35">
      <c r="A26" s="11">
        <v>45545</v>
      </c>
      <c r="B26" s="10">
        <v>11333</v>
      </c>
      <c r="C26" s="5" t="s">
        <v>20</v>
      </c>
      <c r="D26" s="6">
        <v>10000</v>
      </c>
      <c r="E26" s="6">
        <f t="shared" si="0"/>
        <v>291000</v>
      </c>
      <c r="F26" s="6">
        <f t="shared" si="1"/>
        <v>99000</v>
      </c>
    </row>
    <row r="27" spans="1:6" x14ac:dyDescent="0.35">
      <c r="A27" s="11">
        <v>45455</v>
      </c>
      <c r="B27" s="10">
        <v>12211</v>
      </c>
      <c r="C27" s="5" t="s">
        <v>20</v>
      </c>
      <c r="D27" s="6">
        <v>20000</v>
      </c>
      <c r="E27" s="6">
        <f t="shared" si="0"/>
        <v>311000</v>
      </c>
      <c r="F27" s="6">
        <f t="shared" si="1"/>
        <v>79000</v>
      </c>
    </row>
    <row r="28" spans="1:6" x14ac:dyDescent="0.35">
      <c r="A28" s="11">
        <v>45809</v>
      </c>
      <c r="B28" s="10">
        <v>10130</v>
      </c>
      <c r="C28" s="5" t="s">
        <v>20</v>
      </c>
      <c r="D28" s="6">
        <v>10000</v>
      </c>
      <c r="E28" s="6">
        <f t="shared" si="0"/>
        <v>321000</v>
      </c>
      <c r="F28" s="6">
        <f t="shared" si="1"/>
        <v>69000</v>
      </c>
    </row>
    <row r="29" spans="1:6" x14ac:dyDescent="0.35">
      <c r="A29" s="10" t="s">
        <v>74</v>
      </c>
      <c r="B29" s="10">
        <v>975</v>
      </c>
      <c r="C29" s="5" t="s">
        <v>20</v>
      </c>
      <c r="D29" s="6">
        <v>20000</v>
      </c>
      <c r="E29" s="6">
        <f t="shared" si="0"/>
        <v>341000</v>
      </c>
      <c r="F29" s="6">
        <f t="shared" si="1"/>
        <v>49000</v>
      </c>
    </row>
    <row r="30" spans="1:6" x14ac:dyDescent="0.35">
      <c r="A30" s="11">
        <v>45965</v>
      </c>
      <c r="B30" s="10">
        <v>10113</v>
      </c>
      <c r="C30" s="5" t="s">
        <v>20</v>
      </c>
      <c r="D30" s="6">
        <v>10000</v>
      </c>
      <c r="E30" s="6">
        <f t="shared" si="0"/>
        <v>351000</v>
      </c>
      <c r="F30" s="6">
        <f t="shared" si="1"/>
        <v>39000</v>
      </c>
    </row>
    <row r="31" spans="1:6" x14ac:dyDescent="0.35">
      <c r="A31" s="10" t="s">
        <v>27</v>
      </c>
      <c r="B31" s="10">
        <v>13030</v>
      </c>
      <c r="C31" s="5" t="s">
        <v>20</v>
      </c>
      <c r="D31" s="6">
        <v>10000</v>
      </c>
      <c r="E31" s="6">
        <f t="shared" si="0"/>
        <v>361000</v>
      </c>
      <c r="F31" s="6">
        <f t="shared" si="1"/>
        <v>29000</v>
      </c>
    </row>
    <row r="32" spans="1:6" x14ac:dyDescent="0.35">
      <c r="A32" s="11">
        <v>45756</v>
      </c>
      <c r="B32" s="10">
        <v>12143</v>
      </c>
      <c r="C32" s="5" t="s">
        <v>20</v>
      </c>
      <c r="D32" s="6">
        <v>10000</v>
      </c>
      <c r="E32" s="6">
        <f t="shared" si="0"/>
        <v>371000</v>
      </c>
      <c r="F32" s="6">
        <f t="shared" si="1"/>
        <v>19000</v>
      </c>
    </row>
    <row r="33" spans="1:6" x14ac:dyDescent="0.35">
      <c r="A33" s="11">
        <v>45756</v>
      </c>
      <c r="B33" s="10">
        <v>13619</v>
      </c>
      <c r="C33" s="5" t="s">
        <v>20</v>
      </c>
      <c r="D33" s="6">
        <v>10000</v>
      </c>
      <c r="E33" s="6">
        <f t="shared" si="0"/>
        <v>381000</v>
      </c>
      <c r="F33" s="6">
        <f t="shared" si="1"/>
        <v>9000</v>
      </c>
    </row>
    <row r="34" spans="1:6" x14ac:dyDescent="0.35">
      <c r="A34" s="12" t="s">
        <v>37</v>
      </c>
      <c r="B34" s="12">
        <v>13448</v>
      </c>
      <c r="C34" s="13" t="s">
        <v>20</v>
      </c>
      <c r="D34" s="14">
        <v>9000</v>
      </c>
      <c r="E34" s="14">
        <f t="shared" si="0"/>
        <v>390000</v>
      </c>
      <c r="F34" s="14">
        <f t="shared" si="1"/>
        <v>0</v>
      </c>
    </row>
    <row r="35" spans="1:6" x14ac:dyDescent="0.35">
      <c r="A35" t="s">
        <v>75</v>
      </c>
      <c r="C35" s="15"/>
      <c r="D35" s="16"/>
      <c r="E35" s="16"/>
      <c r="F35" s="16"/>
    </row>
    <row r="36" spans="1:6" x14ac:dyDescent="0.35">
      <c r="A36" t="s">
        <v>76</v>
      </c>
      <c r="C36" s="15"/>
      <c r="D36" s="16"/>
      <c r="E36" s="16"/>
      <c r="F36" s="16"/>
    </row>
    <row r="37" spans="1:6" x14ac:dyDescent="0.35">
      <c r="C37" s="15"/>
      <c r="D37" s="16"/>
      <c r="E37" s="16"/>
      <c r="F37" s="16"/>
    </row>
    <row r="38" spans="1:6" x14ac:dyDescent="0.35">
      <c r="C38" s="15"/>
      <c r="D38" s="16"/>
      <c r="E38" s="16"/>
      <c r="F38" s="16"/>
    </row>
    <row r="39" spans="1:6" x14ac:dyDescent="0.35">
      <c r="A39" t="s">
        <v>202</v>
      </c>
      <c r="B39" t="s">
        <v>200</v>
      </c>
      <c r="C39" s="15">
        <v>1697</v>
      </c>
      <c r="D39" s="16"/>
      <c r="E39" s="16">
        <v>100000</v>
      </c>
      <c r="F39" s="16" t="s">
        <v>204</v>
      </c>
    </row>
    <row r="40" spans="1:6" x14ac:dyDescent="0.35">
      <c r="C40" s="15"/>
      <c r="D40" s="16"/>
      <c r="E40" s="16"/>
      <c r="F40" s="16"/>
    </row>
    <row r="41" spans="1:6" x14ac:dyDescent="0.35">
      <c r="C41" s="15"/>
      <c r="D41" s="16"/>
      <c r="E41" s="16"/>
      <c r="F41" s="16"/>
    </row>
    <row r="42" spans="1:6" x14ac:dyDescent="0.35">
      <c r="C42" s="15"/>
      <c r="D42" s="16"/>
      <c r="E42" s="16"/>
      <c r="F42" s="16"/>
    </row>
    <row r="43" spans="1:6" x14ac:dyDescent="0.35">
      <c r="C43" s="15"/>
      <c r="D43" s="16"/>
      <c r="E43" s="16"/>
      <c r="F43" s="16"/>
    </row>
    <row r="44" spans="1:6" x14ac:dyDescent="0.35">
      <c r="C44" s="15"/>
      <c r="D44" s="16"/>
      <c r="E44" s="16"/>
      <c r="F44" s="16"/>
    </row>
    <row r="45" spans="1:6" x14ac:dyDescent="0.35">
      <c r="C45" s="15"/>
      <c r="D45" s="16"/>
      <c r="E45" s="16"/>
      <c r="F45" s="1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F029B-2986-4029-BA43-BEA94F0D325E}">
  <dimension ref="A1:F34"/>
  <sheetViews>
    <sheetView workbookViewId="0">
      <selection activeCell="B7" sqref="B7"/>
    </sheetView>
  </sheetViews>
  <sheetFormatPr defaultRowHeight="14.5" x14ac:dyDescent="0.35"/>
  <sheetData>
    <row r="1" spans="1:6" x14ac:dyDescent="0.35">
      <c r="A1" t="s">
        <v>121</v>
      </c>
      <c r="B1" t="s">
        <v>190</v>
      </c>
    </row>
    <row r="2" spans="1:6" x14ac:dyDescent="0.35">
      <c r="A2" t="s">
        <v>122</v>
      </c>
      <c r="B2" t="s">
        <v>191</v>
      </c>
    </row>
    <row r="3" spans="1:6" x14ac:dyDescent="0.35">
      <c r="A3" t="s">
        <v>124</v>
      </c>
      <c r="B3" t="s">
        <v>192</v>
      </c>
    </row>
    <row r="4" spans="1:6" x14ac:dyDescent="0.35">
      <c r="A4" t="s">
        <v>165</v>
      </c>
      <c r="B4" t="s">
        <v>193</v>
      </c>
    </row>
    <row r="5" spans="1:6" x14ac:dyDescent="0.35">
      <c r="A5" t="s">
        <v>166</v>
      </c>
      <c r="B5" t="s">
        <v>167</v>
      </c>
    </row>
    <row r="6" spans="1:6" x14ac:dyDescent="0.35">
      <c r="A6" t="s">
        <v>126</v>
      </c>
      <c r="B6">
        <v>6805</v>
      </c>
    </row>
    <row r="8" spans="1:6" x14ac:dyDescent="0.35">
      <c r="A8" s="3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</row>
    <row r="9" spans="1:6" x14ac:dyDescent="0.35">
      <c r="A9" t="s">
        <v>168</v>
      </c>
      <c r="C9" t="s">
        <v>174</v>
      </c>
      <c r="D9" s="9">
        <v>10000</v>
      </c>
      <c r="E9" s="9">
        <v>10000</v>
      </c>
      <c r="F9" s="9">
        <v>330000</v>
      </c>
    </row>
    <row r="10" spans="1:6" x14ac:dyDescent="0.35">
      <c r="A10" t="s">
        <v>169</v>
      </c>
      <c r="B10">
        <v>1333</v>
      </c>
      <c r="C10" t="s">
        <v>163</v>
      </c>
      <c r="D10" s="9">
        <v>10000</v>
      </c>
      <c r="E10" s="9">
        <f t="shared" ref="E10:E34" si="0">E9+D10</f>
        <v>20000</v>
      </c>
      <c r="F10" s="9">
        <f t="shared" ref="F10:F34" si="1">F9-D10</f>
        <v>320000</v>
      </c>
    </row>
    <row r="11" spans="1:6" x14ac:dyDescent="0.35">
      <c r="A11" t="s">
        <v>134</v>
      </c>
      <c r="B11">
        <v>1321</v>
      </c>
      <c r="C11" t="s">
        <v>174</v>
      </c>
      <c r="D11" s="9">
        <v>10000</v>
      </c>
      <c r="E11" s="9">
        <f t="shared" si="0"/>
        <v>30000</v>
      </c>
      <c r="F11" s="9">
        <f t="shared" si="1"/>
        <v>310000</v>
      </c>
    </row>
    <row r="12" spans="1:6" x14ac:dyDescent="0.35">
      <c r="A12" t="s">
        <v>170</v>
      </c>
      <c r="B12">
        <v>228</v>
      </c>
      <c r="C12" t="s">
        <v>174</v>
      </c>
      <c r="D12" s="9">
        <v>10000</v>
      </c>
      <c r="E12" s="9">
        <f t="shared" si="0"/>
        <v>40000</v>
      </c>
      <c r="F12" s="9">
        <f t="shared" si="1"/>
        <v>300000</v>
      </c>
    </row>
    <row r="13" spans="1:6" x14ac:dyDescent="0.35">
      <c r="A13" t="s">
        <v>171</v>
      </c>
      <c r="B13">
        <v>2562</v>
      </c>
      <c r="C13" t="s">
        <v>174</v>
      </c>
      <c r="D13" s="9">
        <v>10000</v>
      </c>
      <c r="E13" s="9">
        <f t="shared" si="0"/>
        <v>50000</v>
      </c>
      <c r="F13" s="9">
        <f t="shared" si="1"/>
        <v>290000</v>
      </c>
    </row>
    <row r="14" spans="1:6" x14ac:dyDescent="0.35">
      <c r="A14" t="s">
        <v>137</v>
      </c>
      <c r="B14">
        <v>3325</v>
      </c>
      <c r="C14" t="s">
        <v>174</v>
      </c>
      <c r="D14" s="9">
        <v>10000</v>
      </c>
      <c r="E14" s="9">
        <f t="shared" si="0"/>
        <v>60000</v>
      </c>
      <c r="F14" s="9">
        <f t="shared" si="1"/>
        <v>280000</v>
      </c>
    </row>
    <row r="15" spans="1:6" x14ac:dyDescent="0.35">
      <c r="A15" t="s">
        <v>172</v>
      </c>
      <c r="B15">
        <v>3867</v>
      </c>
      <c r="C15" t="s">
        <v>174</v>
      </c>
      <c r="D15" s="9">
        <v>10000</v>
      </c>
      <c r="E15" s="9">
        <f t="shared" si="0"/>
        <v>70000</v>
      </c>
      <c r="F15" s="9">
        <f t="shared" si="1"/>
        <v>270000</v>
      </c>
    </row>
    <row r="16" spans="1:6" x14ac:dyDescent="0.35">
      <c r="A16" t="s">
        <v>139</v>
      </c>
      <c r="B16">
        <v>4578</v>
      </c>
      <c r="C16" t="s">
        <v>174</v>
      </c>
      <c r="D16" s="9">
        <v>10000</v>
      </c>
      <c r="E16" s="9">
        <f t="shared" si="0"/>
        <v>80000</v>
      </c>
      <c r="F16" s="9">
        <f t="shared" si="1"/>
        <v>260000</v>
      </c>
    </row>
    <row r="17" spans="1:6" x14ac:dyDescent="0.35">
      <c r="A17" t="s">
        <v>140</v>
      </c>
      <c r="B17">
        <v>5204</v>
      </c>
      <c r="C17" t="s">
        <v>174</v>
      </c>
      <c r="D17" s="9">
        <v>10000</v>
      </c>
      <c r="E17" s="9">
        <f t="shared" si="0"/>
        <v>90000</v>
      </c>
      <c r="F17" s="9">
        <f t="shared" si="1"/>
        <v>250000</v>
      </c>
    </row>
    <row r="18" spans="1:6" x14ac:dyDescent="0.35">
      <c r="A18" t="s">
        <v>141</v>
      </c>
      <c r="B18">
        <v>5860</v>
      </c>
      <c r="C18" t="s">
        <v>174</v>
      </c>
      <c r="D18" s="9">
        <v>10000</v>
      </c>
      <c r="E18" s="9">
        <f t="shared" si="0"/>
        <v>100000</v>
      </c>
      <c r="F18" s="9">
        <f t="shared" si="1"/>
        <v>240000</v>
      </c>
    </row>
    <row r="19" spans="1:6" x14ac:dyDescent="0.35">
      <c r="A19" t="s">
        <v>173</v>
      </c>
      <c r="B19">
        <v>6476</v>
      </c>
      <c r="C19" t="s">
        <v>174</v>
      </c>
      <c r="D19" s="9">
        <v>10000</v>
      </c>
      <c r="E19" s="9">
        <f t="shared" si="0"/>
        <v>110000</v>
      </c>
      <c r="F19" s="9">
        <f t="shared" si="1"/>
        <v>230000</v>
      </c>
    </row>
    <row r="20" spans="1:6" x14ac:dyDescent="0.35">
      <c r="A20" t="s">
        <v>175</v>
      </c>
      <c r="B20">
        <v>6448</v>
      </c>
      <c r="C20" t="s">
        <v>174</v>
      </c>
      <c r="D20" s="9">
        <v>10000</v>
      </c>
      <c r="E20" s="9">
        <f t="shared" si="0"/>
        <v>120000</v>
      </c>
      <c r="F20" s="9">
        <f t="shared" si="1"/>
        <v>220000</v>
      </c>
    </row>
    <row r="21" spans="1:6" x14ac:dyDescent="0.35">
      <c r="A21" t="s">
        <v>176</v>
      </c>
      <c r="B21">
        <v>7609</v>
      </c>
      <c r="C21" t="s">
        <v>174</v>
      </c>
      <c r="D21" s="9">
        <v>10000</v>
      </c>
      <c r="E21" s="9">
        <f t="shared" si="0"/>
        <v>130000</v>
      </c>
      <c r="F21" s="9">
        <f t="shared" si="1"/>
        <v>210000</v>
      </c>
    </row>
    <row r="22" spans="1:6" x14ac:dyDescent="0.35">
      <c r="A22" t="s">
        <v>177</v>
      </c>
      <c r="B22">
        <v>8163</v>
      </c>
      <c r="C22" t="s">
        <v>174</v>
      </c>
      <c r="D22" s="9">
        <v>10000</v>
      </c>
      <c r="E22" s="9">
        <f t="shared" si="0"/>
        <v>140000</v>
      </c>
      <c r="F22" s="9">
        <f t="shared" si="1"/>
        <v>200000</v>
      </c>
    </row>
    <row r="23" spans="1:6" x14ac:dyDescent="0.35">
      <c r="A23" t="s">
        <v>178</v>
      </c>
      <c r="B23">
        <v>8742</v>
      </c>
      <c r="C23" t="s">
        <v>174</v>
      </c>
      <c r="D23" s="9">
        <v>10000</v>
      </c>
      <c r="E23" s="9">
        <f t="shared" si="0"/>
        <v>150000</v>
      </c>
      <c r="F23" s="9">
        <f t="shared" si="1"/>
        <v>190000</v>
      </c>
    </row>
    <row r="24" spans="1:6" x14ac:dyDescent="0.35">
      <c r="A24" t="s">
        <v>179</v>
      </c>
      <c r="B24">
        <v>9320</v>
      </c>
      <c r="C24" t="s">
        <v>174</v>
      </c>
      <c r="D24" s="9">
        <v>10000</v>
      </c>
      <c r="E24" s="9">
        <f t="shared" si="0"/>
        <v>160000</v>
      </c>
      <c r="F24" s="9">
        <f t="shared" si="1"/>
        <v>180000</v>
      </c>
    </row>
    <row r="25" spans="1:6" x14ac:dyDescent="0.35">
      <c r="A25" t="s">
        <v>180</v>
      </c>
      <c r="B25">
        <v>10062</v>
      </c>
      <c r="C25" t="s">
        <v>174</v>
      </c>
      <c r="D25" s="9">
        <v>10000</v>
      </c>
      <c r="E25" s="9">
        <f t="shared" si="0"/>
        <v>170000</v>
      </c>
      <c r="F25" s="9">
        <f t="shared" si="1"/>
        <v>170000</v>
      </c>
    </row>
    <row r="26" spans="1:6" x14ac:dyDescent="0.35">
      <c r="A26" t="s">
        <v>181</v>
      </c>
      <c r="B26">
        <v>10496</v>
      </c>
      <c r="C26" t="s">
        <v>174</v>
      </c>
      <c r="D26" s="9">
        <v>10000</v>
      </c>
      <c r="E26" s="9">
        <f t="shared" si="0"/>
        <v>180000</v>
      </c>
      <c r="F26" s="9">
        <f t="shared" si="1"/>
        <v>160000</v>
      </c>
    </row>
    <row r="27" spans="1:6" x14ac:dyDescent="0.35">
      <c r="A27" t="s">
        <v>182</v>
      </c>
      <c r="B27">
        <v>11610</v>
      </c>
      <c r="C27" t="s">
        <v>174</v>
      </c>
      <c r="D27" s="9">
        <v>10000</v>
      </c>
      <c r="E27" s="9">
        <f t="shared" si="0"/>
        <v>190000</v>
      </c>
      <c r="F27" s="9">
        <f t="shared" si="1"/>
        <v>150000</v>
      </c>
    </row>
    <row r="28" spans="1:6" x14ac:dyDescent="0.35">
      <c r="A28" t="s">
        <v>183</v>
      </c>
      <c r="B28">
        <v>11910</v>
      </c>
      <c r="C28" t="s">
        <v>174</v>
      </c>
      <c r="D28" s="9">
        <v>10000</v>
      </c>
      <c r="E28" s="9">
        <f t="shared" si="0"/>
        <v>200000</v>
      </c>
      <c r="F28" s="9">
        <f t="shared" si="1"/>
        <v>140000</v>
      </c>
    </row>
    <row r="29" spans="1:6" x14ac:dyDescent="0.35">
      <c r="A29" t="s">
        <v>184</v>
      </c>
      <c r="B29">
        <v>12590</v>
      </c>
      <c r="C29" t="s">
        <v>174</v>
      </c>
      <c r="D29" s="9">
        <v>10000</v>
      </c>
      <c r="E29" s="9">
        <f t="shared" si="0"/>
        <v>210000</v>
      </c>
      <c r="F29" s="9">
        <f t="shared" si="1"/>
        <v>130000</v>
      </c>
    </row>
    <row r="30" spans="1:6" x14ac:dyDescent="0.35">
      <c r="A30" t="s">
        <v>185</v>
      </c>
      <c r="B30">
        <v>12892</v>
      </c>
      <c r="C30" t="s">
        <v>174</v>
      </c>
      <c r="D30" s="9">
        <v>10000</v>
      </c>
      <c r="E30" s="9">
        <f t="shared" si="0"/>
        <v>220000</v>
      </c>
      <c r="F30" s="9">
        <f t="shared" si="1"/>
        <v>120000</v>
      </c>
    </row>
    <row r="31" spans="1:6" x14ac:dyDescent="0.35">
      <c r="A31" t="s">
        <v>186</v>
      </c>
      <c r="B31">
        <v>9270</v>
      </c>
      <c r="C31" t="s">
        <v>174</v>
      </c>
      <c r="D31" s="9">
        <v>10000</v>
      </c>
      <c r="E31" s="9">
        <f t="shared" si="0"/>
        <v>230000</v>
      </c>
      <c r="F31" s="9">
        <f t="shared" si="1"/>
        <v>110000</v>
      </c>
    </row>
    <row r="32" spans="1:6" x14ac:dyDescent="0.35">
      <c r="A32" t="s">
        <v>187</v>
      </c>
      <c r="B32">
        <v>10144</v>
      </c>
      <c r="C32" t="s">
        <v>174</v>
      </c>
      <c r="D32" s="9">
        <v>20000</v>
      </c>
      <c r="E32" s="9">
        <f t="shared" si="0"/>
        <v>250000</v>
      </c>
      <c r="F32" s="9">
        <f t="shared" si="1"/>
        <v>90000</v>
      </c>
    </row>
    <row r="33" spans="1:6" x14ac:dyDescent="0.35">
      <c r="A33" t="s">
        <v>188</v>
      </c>
      <c r="B33">
        <v>12433</v>
      </c>
      <c r="C33" t="s">
        <v>174</v>
      </c>
      <c r="D33" s="9">
        <v>20000</v>
      </c>
      <c r="E33" s="9">
        <f t="shared" si="0"/>
        <v>270000</v>
      </c>
      <c r="F33" s="9">
        <f t="shared" si="1"/>
        <v>70000</v>
      </c>
    </row>
    <row r="34" spans="1:6" x14ac:dyDescent="0.35">
      <c r="A34" t="s">
        <v>189</v>
      </c>
      <c r="B34">
        <v>13996</v>
      </c>
      <c r="C34" t="s">
        <v>174</v>
      </c>
      <c r="D34" s="9">
        <v>40000</v>
      </c>
      <c r="E34" s="9">
        <f t="shared" si="0"/>
        <v>310000</v>
      </c>
      <c r="F34" s="9">
        <f t="shared" si="1"/>
        <v>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L-6868</vt:lpstr>
      <vt:lpstr>L-6814</vt:lpstr>
      <vt:lpstr>L-6878</vt:lpstr>
      <vt:lpstr>6867</vt:lpstr>
      <vt:lpstr>l-6803</vt:lpstr>
      <vt:lpstr>L-6804</vt:lpstr>
      <vt:lpstr>L-6879</vt:lpstr>
      <vt:lpstr>L-6880</vt:lpstr>
      <vt:lpstr>L-6805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younas khan</cp:lastModifiedBy>
  <dcterms:created xsi:type="dcterms:W3CDTF">2026-03-01T02:48:46Z</dcterms:created>
  <dcterms:modified xsi:type="dcterms:W3CDTF">2026-08-09T05:31:42Z</dcterms:modified>
</cp:coreProperties>
</file>