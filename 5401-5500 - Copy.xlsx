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v\OneDrive\Desktop\PLOT-5001-6000\"/>
    </mc:Choice>
  </mc:AlternateContent>
  <bookViews>
    <workbookView xWindow="-110" yWindow="-110" windowWidth="19420" windowHeight="10420" firstSheet="22" activeTab="23"/>
  </bookViews>
  <sheets>
    <sheet name="L-5404" sheetId="12" r:id="rId1"/>
    <sheet name="L-5429" sheetId="35" r:id="rId2"/>
    <sheet name="L-5435" sheetId="5" r:id="rId3"/>
    <sheet name="L-5436" sheetId="4" r:id="rId4"/>
    <sheet name="L-5437" sheetId="2" r:id="rId5"/>
    <sheet name="L-5438" sheetId="3" r:id="rId6"/>
    <sheet name="L-5441" sheetId="1" r:id="rId7"/>
    <sheet name="Sheet1" sheetId="40" r:id="rId8"/>
    <sheet name="L-5442" sheetId="31" r:id="rId9"/>
    <sheet name="L-5444" sheetId="9" r:id="rId10"/>
    <sheet name="L-5446" sheetId="11" r:id="rId11"/>
    <sheet name="L-5443" sheetId="30" r:id="rId12"/>
    <sheet name="L-5451" sheetId="15" r:id="rId13"/>
    <sheet name="L-5453" sheetId="14" r:id="rId14"/>
    <sheet name="L-5454" sheetId="25" r:id="rId15"/>
    <sheet name="L-5455" sheetId="24" r:id="rId16"/>
    <sheet name="L-5456" sheetId="17" r:id="rId17"/>
    <sheet name="L-5458" sheetId="23" r:id="rId18"/>
    <sheet name="L-5462" sheetId="29" r:id="rId19"/>
    <sheet name="L-5463" sheetId="10" r:id="rId20"/>
    <sheet name="L-5465" sheetId="16" r:id="rId21"/>
    <sheet name="L-5467" sheetId="18" r:id="rId22"/>
    <sheet name="L-5472" sheetId="6" r:id="rId23"/>
    <sheet name="L-5440" sheetId="43" r:id="rId24"/>
    <sheet name="L-5474" sheetId="20" r:id="rId25"/>
    <sheet name="L-5475" sheetId="19" r:id="rId26"/>
    <sheet name="L-5461" sheetId="34" r:id="rId27"/>
    <sheet name="L-5479" sheetId="22" r:id="rId28"/>
    <sheet name="L-5483" sheetId="7" r:id="rId29"/>
    <sheet name="L-5499" sheetId="13" r:id="rId30"/>
    <sheet name="L-5416" sheetId="32" r:id="rId31"/>
    <sheet name="L-5481" sheetId="33" r:id="rId32"/>
    <sheet name="L-5468" sheetId="36" r:id="rId33"/>
    <sheet name="L-5476" sheetId="37" r:id="rId34"/>
    <sheet name="L-5450" sheetId="39" r:id="rId35"/>
    <sheet name="L-5464" sheetId="38" r:id="rId36"/>
    <sheet name="L-5445" sheetId="42" r:id="rId3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6" i="6" l="1"/>
  <c r="E46" i="6"/>
  <c r="F27" i="1" l="1"/>
  <c r="F26" i="1"/>
  <c r="E27" i="1"/>
  <c r="E26" i="1"/>
  <c r="F27" i="3"/>
  <c r="E27" i="3"/>
  <c r="F26" i="3"/>
  <c r="E26" i="3"/>
  <c r="F26" i="5"/>
  <c r="F25" i="5"/>
  <c r="E26" i="5"/>
  <c r="E25" i="5"/>
  <c r="F28" i="2"/>
  <c r="F27" i="2"/>
  <c r="E28" i="2"/>
  <c r="E27" i="2"/>
  <c r="F25" i="4"/>
  <c r="E25" i="4"/>
  <c r="F35" i="31"/>
  <c r="E35" i="31"/>
  <c r="F34" i="31"/>
  <c r="E34" i="31"/>
  <c r="F41" i="32"/>
  <c r="E41" i="32"/>
  <c r="F49" i="9"/>
  <c r="E49" i="9"/>
  <c r="F47" i="30"/>
  <c r="E47" i="30"/>
  <c r="F48" i="9"/>
  <c r="F47" i="9"/>
  <c r="E48" i="9"/>
  <c r="E47" i="9"/>
  <c r="F36" i="39"/>
  <c r="F35" i="39"/>
  <c r="F34" i="39"/>
  <c r="F33" i="39"/>
  <c r="F32" i="39"/>
  <c r="F31" i="39"/>
  <c r="F30" i="39"/>
  <c r="F29" i="39"/>
  <c r="F28" i="39"/>
  <c r="F27" i="39"/>
  <c r="E36" i="39"/>
  <c r="E35" i="39"/>
  <c r="E34" i="39"/>
  <c r="E33" i="39"/>
  <c r="E32" i="39"/>
  <c r="E31" i="39"/>
  <c r="E30" i="39"/>
  <c r="E29" i="39"/>
  <c r="E28" i="39"/>
  <c r="E27" i="39"/>
  <c r="F22" i="39" l="1"/>
  <c r="F21" i="39"/>
  <c r="F20" i="39"/>
  <c r="F19" i="39"/>
  <c r="E22" i="39"/>
  <c r="E21" i="39"/>
  <c r="E20" i="39"/>
  <c r="E19" i="39"/>
  <c r="F18" i="39"/>
  <c r="F17" i="39"/>
  <c r="F16" i="39"/>
  <c r="F15" i="39"/>
  <c r="F14" i="39"/>
  <c r="F13" i="39"/>
  <c r="F12" i="39"/>
  <c r="F11" i="39"/>
  <c r="F10" i="39"/>
  <c r="F9" i="39"/>
  <c r="E18" i="39"/>
  <c r="E17" i="39"/>
  <c r="E16" i="39"/>
  <c r="E15" i="39"/>
  <c r="E14" i="39"/>
  <c r="E13" i="39"/>
  <c r="E12" i="39"/>
  <c r="E11" i="39"/>
  <c r="E10" i="39"/>
  <c r="E9" i="39"/>
  <c r="F47" i="10"/>
  <c r="F46" i="10"/>
  <c r="F45" i="10"/>
  <c r="F44" i="10"/>
  <c r="E47" i="10"/>
  <c r="E46" i="10"/>
  <c r="E45" i="10"/>
  <c r="E44" i="10"/>
  <c r="F47" i="29"/>
  <c r="F46" i="29"/>
  <c r="F45" i="29"/>
  <c r="F44" i="29"/>
  <c r="E47" i="29"/>
  <c r="E46" i="29"/>
  <c r="E45" i="29"/>
  <c r="E44" i="29"/>
  <c r="F32" i="15"/>
  <c r="E32" i="15"/>
  <c r="F31" i="15"/>
  <c r="F30" i="15"/>
  <c r="F29" i="15"/>
  <c r="F28" i="15"/>
  <c r="F27" i="15"/>
  <c r="F26" i="15"/>
  <c r="F25" i="15"/>
  <c r="F24" i="15"/>
  <c r="F23" i="15"/>
  <c r="E31" i="15"/>
  <c r="E30" i="15"/>
  <c r="E29" i="15"/>
  <c r="E28" i="15"/>
  <c r="E27" i="15"/>
  <c r="E26" i="15"/>
  <c r="E25" i="15"/>
  <c r="E24" i="15"/>
  <c r="E23" i="15"/>
  <c r="F40" i="32"/>
  <c r="E40" i="32"/>
  <c r="F39" i="32"/>
  <c r="F38" i="32"/>
  <c r="E39" i="32"/>
  <c r="E38" i="32"/>
  <c r="F33" i="37"/>
  <c r="F32" i="37"/>
  <c r="F31" i="37"/>
  <c r="F30" i="37"/>
  <c r="F29" i="37"/>
  <c r="F28" i="37"/>
  <c r="F27" i="37"/>
  <c r="F26" i="37"/>
  <c r="F25" i="37"/>
  <c r="F24" i="37"/>
  <c r="E33" i="37"/>
  <c r="E32" i="37"/>
  <c r="E31" i="37"/>
  <c r="E30" i="37"/>
  <c r="E29" i="37"/>
  <c r="E28" i="37"/>
  <c r="E27" i="37"/>
  <c r="E26" i="37"/>
  <c r="E25" i="37"/>
  <c r="E24" i="37"/>
  <c r="F24" i="4"/>
  <c r="E24" i="4"/>
  <c r="F38" i="35"/>
  <c r="E38" i="35"/>
  <c r="F37" i="35"/>
  <c r="E37" i="35"/>
  <c r="F36" i="35"/>
  <c r="E36" i="35"/>
  <c r="F35" i="35"/>
  <c r="E35" i="35"/>
  <c r="F34" i="35"/>
  <c r="E34" i="35"/>
  <c r="F33" i="35"/>
  <c r="E33" i="35"/>
  <c r="F32" i="35"/>
  <c r="E32" i="35"/>
  <c r="F31" i="35"/>
  <c r="E31" i="35"/>
  <c r="F30" i="35"/>
  <c r="E30" i="35"/>
  <c r="F29" i="35"/>
  <c r="E29" i="35"/>
  <c r="F33" i="31"/>
  <c r="E33" i="31"/>
  <c r="F46" i="30"/>
  <c r="E46" i="30"/>
  <c r="F45" i="6"/>
  <c r="E45" i="6"/>
  <c r="F17" i="38"/>
  <c r="F18" i="38" s="1"/>
  <c r="F19" i="38" s="1"/>
  <c r="F20" i="38" s="1"/>
  <c r="F21" i="38" s="1"/>
  <c r="F22" i="38" s="1"/>
  <c r="F23" i="38" s="1"/>
  <c r="F24" i="38" s="1"/>
  <c r="F25" i="38" s="1"/>
  <c r="F26" i="38" s="1"/>
  <c r="F27" i="38" s="1"/>
  <c r="F28" i="38" s="1"/>
  <c r="F29" i="38" s="1"/>
  <c r="F30" i="38" s="1"/>
  <c r="F31" i="38" s="1"/>
  <c r="F32" i="38" s="1"/>
  <c r="F33" i="38" s="1"/>
  <c r="F34" i="38" s="1"/>
  <c r="F35" i="38" s="1"/>
  <c r="F36" i="38" s="1"/>
  <c r="F37" i="38" s="1"/>
  <c r="F16" i="38"/>
  <c r="F15" i="38"/>
  <c r="F14" i="38"/>
  <c r="F13" i="38"/>
  <c r="F12" i="38"/>
  <c r="F11" i="38"/>
  <c r="F10" i="38"/>
  <c r="E17" i="38"/>
  <c r="E18" i="38" s="1"/>
  <c r="E19" i="38" s="1"/>
  <c r="E20" i="38" s="1"/>
  <c r="E21" i="38" s="1"/>
  <c r="E22" i="38" s="1"/>
  <c r="E23" i="38" s="1"/>
  <c r="E24" i="38" s="1"/>
  <c r="E25" i="38" s="1"/>
  <c r="E26" i="38" s="1"/>
  <c r="E27" i="38" s="1"/>
  <c r="E28" i="38" s="1"/>
  <c r="E29" i="38" s="1"/>
  <c r="E30" i="38" s="1"/>
  <c r="E31" i="38" s="1"/>
  <c r="E32" i="38" s="1"/>
  <c r="E33" i="38" s="1"/>
  <c r="E34" i="38" s="1"/>
  <c r="E35" i="38" s="1"/>
  <c r="E36" i="38" s="1"/>
  <c r="E37" i="38" s="1"/>
  <c r="E16" i="38"/>
  <c r="E15" i="38"/>
  <c r="E14" i="38"/>
  <c r="E13" i="38"/>
  <c r="E12" i="38"/>
  <c r="E11" i="38"/>
  <c r="E10" i="38"/>
  <c r="F20" i="37"/>
  <c r="F19" i="37"/>
  <c r="F18" i="37"/>
  <c r="F17" i="37"/>
  <c r="F16" i="37"/>
  <c r="F15" i="37"/>
  <c r="F14" i="37"/>
  <c r="F13" i="37"/>
  <c r="F12" i="37"/>
  <c r="F11" i="37"/>
  <c r="F10" i="37"/>
  <c r="E20" i="37"/>
  <c r="E19" i="37"/>
  <c r="E18" i="37"/>
  <c r="E17" i="37"/>
  <c r="E16" i="37"/>
  <c r="E15" i="37"/>
  <c r="E14" i="37"/>
  <c r="E13" i="37"/>
  <c r="E12" i="37"/>
  <c r="E11" i="37"/>
  <c r="E10" i="37"/>
  <c r="F44" i="36"/>
  <c r="F43" i="36"/>
  <c r="F42" i="36"/>
  <c r="F41" i="36"/>
  <c r="F40" i="36"/>
  <c r="F39" i="36"/>
  <c r="F38" i="36"/>
  <c r="F37" i="36"/>
  <c r="F36" i="36"/>
  <c r="F35" i="36"/>
  <c r="F34" i="36"/>
  <c r="F33" i="36"/>
  <c r="F32" i="36"/>
  <c r="F31" i="36"/>
  <c r="F30" i="36"/>
  <c r="F29" i="36"/>
  <c r="F28" i="36"/>
  <c r="F27" i="36"/>
  <c r="F26" i="36"/>
  <c r="F25" i="36"/>
  <c r="F24" i="36"/>
  <c r="F23" i="36"/>
  <c r="F22" i="36"/>
  <c r="F21" i="36"/>
  <c r="F20" i="36"/>
  <c r="F19" i="36"/>
  <c r="F18" i="36"/>
  <c r="F17" i="36"/>
  <c r="F16" i="36"/>
  <c r="F15" i="36"/>
  <c r="F14" i="36"/>
  <c r="F13" i="36"/>
  <c r="F12" i="36"/>
  <c r="F11" i="36"/>
  <c r="F10" i="36"/>
  <c r="E44" i="36"/>
  <c r="E43" i="36"/>
  <c r="E42" i="36"/>
  <c r="E41" i="36"/>
  <c r="E40" i="36"/>
  <c r="E39" i="36"/>
  <c r="E38" i="36"/>
  <c r="E37" i="36"/>
  <c r="E36" i="36"/>
  <c r="E35" i="36"/>
  <c r="E34" i="36"/>
  <c r="E33" i="36"/>
  <c r="E32" i="36"/>
  <c r="E31" i="36"/>
  <c r="E30" i="36"/>
  <c r="E29" i="36"/>
  <c r="E28" i="36"/>
  <c r="E27" i="36"/>
  <c r="E26" i="36"/>
  <c r="E25" i="36"/>
  <c r="E24" i="36"/>
  <c r="E23" i="36"/>
  <c r="E22" i="36"/>
  <c r="E21" i="36"/>
  <c r="E20" i="36"/>
  <c r="E19" i="36"/>
  <c r="E18" i="36"/>
  <c r="E17" i="36"/>
  <c r="E16" i="36"/>
  <c r="E15" i="36"/>
  <c r="E14" i="36"/>
  <c r="E13" i="36"/>
  <c r="E12" i="36"/>
  <c r="E11" i="36"/>
  <c r="E10" i="36"/>
  <c r="F45" i="30"/>
  <c r="E45" i="30"/>
  <c r="F46" i="9"/>
  <c r="E46" i="9"/>
  <c r="F46" i="7"/>
  <c r="E46" i="7"/>
  <c r="F26" i="2"/>
  <c r="E26" i="2"/>
  <c r="F25" i="3"/>
  <c r="E25" i="3"/>
  <c r="F23" i="4"/>
  <c r="E23" i="4"/>
  <c r="F24" i="5"/>
  <c r="E24" i="5"/>
  <c r="F25" i="1"/>
  <c r="E25" i="1"/>
  <c r="F32" i="31"/>
  <c r="F31" i="31"/>
  <c r="E32" i="31"/>
  <c r="E31" i="31"/>
  <c r="F13" i="23"/>
  <c r="F14" i="23" s="1"/>
  <c r="F15" i="23" s="1"/>
  <c r="F16" i="23" s="1"/>
  <c r="F17" i="23" s="1"/>
  <c r="F18" i="23" s="1"/>
  <c r="F19" i="23" s="1"/>
  <c r="F20" i="23" s="1"/>
  <c r="E13" i="23"/>
  <c r="E14" i="23" s="1"/>
  <c r="E15" i="23" s="1"/>
  <c r="E16" i="23" s="1"/>
  <c r="E17" i="23" s="1"/>
  <c r="E18" i="23" s="1"/>
  <c r="E19" i="23" s="1"/>
  <c r="E20" i="23" s="1"/>
  <c r="F44" i="9"/>
  <c r="F45" i="9" s="1"/>
  <c r="E44" i="9"/>
  <c r="E45" i="9"/>
  <c r="F19" i="33"/>
  <c r="F20" i="33" s="1"/>
  <c r="F21" i="33" s="1"/>
  <c r="F22" i="33" s="1"/>
  <c r="F23" i="33" s="1"/>
  <c r="F24" i="33" s="1"/>
  <c r="F25" i="33" s="1"/>
  <c r="F26" i="33" s="1"/>
  <c r="F27" i="33" s="1"/>
  <c r="F28" i="33" s="1"/>
  <c r="F29" i="33" s="1"/>
  <c r="F30" i="33" s="1"/>
  <c r="F31" i="33" s="1"/>
  <c r="F32" i="33" s="1"/>
  <c r="F33" i="33" s="1"/>
  <c r="F34" i="33" s="1"/>
  <c r="F35" i="33" s="1"/>
  <c r="E19" i="33"/>
  <c r="E20" i="33" s="1"/>
  <c r="E21" i="33" s="1"/>
  <c r="E22" i="33" s="1"/>
  <c r="E23" i="33" s="1"/>
  <c r="E24" i="33" s="1"/>
  <c r="E25" i="33" s="1"/>
  <c r="E26" i="33" s="1"/>
  <c r="E27" i="33" s="1"/>
  <c r="E28" i="33" s="1"/>
  <c r="E29" i="33" s="1"/>
  <c r="E30" i="33" s="1"/>
  <c r="E31" i="33" s="1"/>
  <c r="E32" i="33" s="1"/>
  <c r="E33" i="33" s="1"/>
  <c r="E34" i="33" s="1"/>
  <c r="E35" i="33" s="1"/>
  <c r="F10" i="33"/>
  <c r="F11" i="33" s="1"/>
  <c r="F12" i="33" s="1"/>
  <c r="F13" i="33" s="1"/>
  <c r="F14" i="33" s="1"/>
  <c r="F15" i="33" s="1"/>
  <c r="F16" i="33" s="1"/>
  <c r="F17" i="33" s="1"/>
  <c r="F18" i="33" s="1"/>
  <c r="E10" i="33"/>
  <c r="E11" i="33"/>
  <c r="E12" i="33"/>
  <c r="E13" i="33"/>
  <c r="E14" i="33" s="1"/>
  <c r="E15" i="33" s="1"/>
  <c r="E16" i="33" s="1"/>
  <c r="E17" i="33" s="1"/>
  <c r="E18" i="33" s="1"/>
  <c r="F9" i="33"/>
  <c r="E9" i="33"/>
  <c r="E44" i="6" l="1"/>
  <c r="F44" i="6"/>
  <c r="F45" i="7"/>
  <c r="E45" i="7"/>
  <c r="F19" i="35" l="1"/>
  <c r="F20" i="35"/>
  <c r="F21" i="35"/>
  <c r="F22" i="35"/>
  <c r="F23" i="35" s="1"/>
  <c r="F24" i="35" s="1"/>
  <c r="F25" i="35" s="1"/>
  <c r="F26" i="35" s="1"/>
  <c r="E19" i="35"/>
  <c r="E20" i="35" s="1"/>
  <c r="E21" i="35" s="1"/>
  <c r="E22" i="35" s="1"/>
  <c r="E23" i="35" s="1"/>
  <c r="E24" i="35" s="1"/>
  <c r="E25" i="35" s="1"/>
  <c r="E26" i="35" s="1"/>
  <c r="F10" i="35"/>
  <c r="F11" i="35" s="1"/>
  <c r="F12" i="35" s="1"/>
  <c r="F13" i="35" s="1"/>
  <c r="F14" i="35" s="1"/>
  <c r="F15" i="35" s="1"/>
  <c r="F16" i="35" s="1"/>
  <c r="F17" i="35" s="1"/>
  <c r="F18" i="35" s="1"/>
  <c r="E10" i="35"/>
  <c r="E11" i="35" s="1"/>
  <c r="E12" i="35" s="1"/>
  <c r="E13" i="35" s="1"/>
  <c r="E14" i="35" s="1"/>
  <c r="E15" i="35" s="1"/>
  <c r="E16" i="35" s="1"/>
  <c r="E17" i="35" s="1"/>
  <c r="E18" i="35" s="1"/>
  <c r="F9" i="35"/>
  <c r="E9" i="35"/>
  <c r="F44" i="30"/>
  <c r="E44" i="30"/>
  <c r="F23" i="3"/>
  <c r="F24" i="3" s="1"/>
  <c r="E23" i="3"/>
  <c r="E24" i="3" s="1"/>
  <c r="F23" i="1"/>
  <c r="F24" i="1" s="1"/>
  <c r="E23" i="1"/>
  <c r="E24" i="1" s="1"/>
  <c r="F24" i="2"/>
  <c r="F25" i="2" s="1"/>
  <c r="E24" i="2"/>
  <c r="E25" i="2" s="1"/>
  <c r="E22" i="5"/>
  <c r="E23" i="5" s="1"/>
  <c r="F22" i="5"/>
  <c r="F23" i="5" s="1"/>
  <c r="F21" i="4"/>
  <c r="F22" i="4" s="1"/>
  <c r="E21" i="4"/>
  <c r="E22" i="4" s="1"/>
  <c r="F18" i="32"/>
  <c r="F19" i="32" s="1"/>
  <c r="F20" i="32" s="1"/>
  <c r="F21" i="32" s="1"/>
  <c r="F22" i="32" s="1"/>
  <c r="F23" i="32" s="1"/>
  <c r="F24" i="32" s="1"/>
  <c r="F25" i="32" s="1"/>
  <c r="F26" i="32" s="1"/>
  <c r="F27" i="32" s="1"/>
  <c r="F28" i="32" s="1"/>
  <c r="F29" i="32" s="1"/>
  <c r="F30" i="32" s="1"/>
  <c r="F31" i="32" s="1"/>
  <c r="F32" i="32" s="1"/>
  <c r="F33" i="32" s="1"/>
  <c r="E18" i="32"/>
  <c r="E19" i="32" s="1"/>
  <c r="E20" i="32" s="1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E33" i="32" s="1"/>
  <c r="F10" i="32"/>
  <c r="F11" i="32" s="1"/>
  <c r="F12" i="32" s="1"/>
  <c r="F13" i="32" s="1"/>
  <c r="F14" i="32" s="1"/>
  <c r="F15" i="32" s="1"/>
  <c r="F16" i="32" s="1"/>
  <c r="F17" i="32" s="1"/>
  <c r="E10" i="32"/>
  <c r="E11" i="32" s="1"/>
  <c r="E12" i="32" s="1"/>
  <c r="E13" i="32" s="1"/>
  <c r="E14" i="32" s="1"/>
  <c r="E15" i="32" s="1"/>
  <c r="E16" i="32" s="1"/>
  <c r="E17" i="32" s="1"/>
  <c r="F9" i="32"/>
  <c r="E9" i="32"/>
  <c r="F19" i="31"/>
  <c r="F20" i="31" s="1"/>
  <c r="F21" i="31" s="1"/>
  <c r="F22" i="31" s="1"/>
  <c r="F23" i="31" s="1"/>
  <c r="F24" i="31" s="1"/>
  <c r="F25" i="31" s="1"/>
  <c r="F26" i="31" s="1"/>
  <c r="F27" i="31" s="1"/>
  <c r="F28" i="31" s="1"/>
  <c r="F29" i="31" s="1"/>
  <c r="F30" i="31" s="1"/>
  <c r="E19" i="31"/>
  <c r="E20" i="31" s="1"/>
  <c r="E21" i="31" s="1"/>
  <c r="E22" i="31" s="1"/>
  <c r="E23" i="31" s="1"/>
  <c r="E24" i="31" s="1"/>
  <c r="E25" i="31" s="1"/>
  <c r="E26" i="31" s="1"/>
  <c r="E27" i="31" s="1"/>
  <c r="E28" i="31" s="1"/>
  <c r="E29" i="31" s="1"/>
  <c r="E30" i="31" s="1"/>
  <c r="F10" i="31"/>
  <c r="F11" i="31" s="1"/>
  <c r="F12" i="31" s="1"/>
  <c r="F13" i="31" s="1"/>
  <c r="F14" i="31" s="1"/>
  <c r="F15" i="31" s="1"/>
  <c r="F16" i="31" s="1"/>
  <c r="F17" i="31" s="1"/>
  <c r="F18" i="31" s="1"/>
  <c r="E10" i="31"/>
  <c r="E11" i="31"/>
  <c r="E12" i="31" s="1"/>
  <c r="E13" i="31" s="1"/>
  <c r="E14" i="31" s="1"/>
  <c r="E15" i="31" s="1"/>
  <c r="E16" i="31" s="1"/>
  <c r="E17" i="31" s="1"/>
  <c r="E18" i="31" s="1"/>
  <c r="F9" i="31"/>
  <c r="E9" i="31"/>
  <c r="F10" i="30"/>
  <c r="F11" i="30" s="1"/>
  <c r="F12" i="30" s="1"/>
  <c r="F13" i="30" s="1"/>
  <c r="F14" i="30" s="1"/>
  <c r="F15" i="30" s="1"/>
  <c r="F16" i="30" s="1"/>
  <c r="F17" i="30" s="1"/>
  <c r="F18" i="30" s="1"/>
  <c r="F19" i="30" s="1"/>
  <c r="F20" i="30" s="1"/>
  <c r="F21" i="30" s="1"/>
  <c r="F22" i="30" s="1"/>
  <c r="F23" i="30" s="1"/>
  <c r="F24" i="30" s="1"/>
  <c r="F25" i="30" s="1"/>
  <c r="F26" i="30" s="1"/>
  <c r="F27" i="30" s="1"/>
  <c r="F28" i="30" s="1"/>
  <c r="F29" i="30" s="1"/>
  <c r="F30" i="30" s="1"/>
  <c r="F31" i="30" s="1"/>
  <c r="F32" i="30" s="1"/>
  <c r="F33" i="30" s="1"/>
  <c r="F34" i="30" s="1"/>
  <c r="F35" i="30" s="1"/>
  <c r="F36" i="30" s="1"/>
  <c r="F37" i="30" s="1"/>
  <c r="F38" i="30" s="1"/>
  <c r="F39" i="30" s="1"/>
  <c r="F40" i="30" s="1"/>
  <c r="F41" i="30" s="1"/>
  <c r="F42" i="30" s="1"/>
  <c r="F43" i="30" s="1"/>
  <c r="E10" i="30"/>
  <c r="E11" i="30" s="1"/>
  <c r="E12" i="30" s="1"/>
  <c r="E13" i="30" s="1"/>
  <c r="E14" i="30" s="1"/>
  <c r="E15" i="30" s="1"/>
  <c r="E16" i="30" s="1"/>
  <c r="E17" i="30" s="1"/>
  <c r="E18" i="30" s="1"/>
  <c r="E19" i="30" s="1"/>
  <c r="E20" i="30" s="1"/>
  <c r="E21" i="30" s="1"/>
  <c r="E22" i="30" s="1"/>
  <c r="E23" i="30" s="1"/>
  <c r="E24" i="30" s="1"/>
  <c r="E25" i="30" s="1"/>
  <c r="E26" i="30" s="1"/>
  <c r="E27" i="30" s="1"/>
  <c r="E28" i="30" s="1"/>
  <c r="E29" i="30" s="1"/>
  <c r="E30" i="30" s="1"/>
  <c r="E31" i="30" s="1"/>
  <c r="E32" i="30" s="1"/>
  <c r="E33" i="30" s="1"/>
  <c r="E34" i="30" s="1"/>
  <c r="E35" i="30" s="1"/>
  <c r="E36" i="30" s="1"/>
  <c r="E37" i="30" s="1"/>
  <c r="E38" i="30" s="1"/>
  <c r="E39" i="30" s="1"/>
  <c r="E40" i="30" s="1"/>
  <c r="E41" i="30" s="1"/>
  <c r="E42" i="30" s="1"/>
  <c r="E43" i="30" s="1"/>
  <c r="F9" i="30"/>
  <c r="E9" i="30"/>
  <c r="F19" i="29"/>
  <c r="F20" i="29" s="1"/>
  <c r="F21" i="29" s="1"/>
  <c r="F22" i="29" s="1"/>
  <c r="F23" i="29" s="1"/>
  <c r="F24" i="29" s="1"/>
  <c r="F25" i="29" s="1"/>
  <c r="F26" i="29" s="1"/>
  <c r="F27" i="29" s="1"/>
  <c r="F28" i="29" s="1"/>
  <c r="F29" i="29" s="1"/>
  <c r="F30" i="29" s="1"/>
  <c r="F31" i="29" s="1"/>
  <c r="F32" i="29" s="1"/>
  <c r="F33" i="29" s="1"/>
  <c r="F34" i="29" s="1"/>
  <c r="F35" i="29" s="1"/>
  <c r="F36" i="29" s="1"/>
  <c r="F37" i="29" s="1"/>
  <c r="F38" i="29" s="1"/>
  <c r="F39" i="29" s="1"/>
  <c r="F40" i="29" s="1"/>
  <c r="F41" i="29" s="1"/>
  <c r="F42" i="29" s="1"/>
  <c r="F43" i="29" s="1"/>
  <c r="E19" i="29"/>
  <c r="E20" i="29" s="1"/>
  <c r="E21" i="29" s="1"/>
  <c r="E22" i="29" s="1"/>
  <c r="E23" i="29" s="1"/>
  <c r="E24" i="29" s="1"/>
  <c r="E25" i="29" s="1"/>
  <c r="E26" i="29" s="1"/>
  <c r="E27" i="29" s="1"/>
  <c r="E28" i="29" s="1"/>
  <c r="E29" i="29" s="1"/>
  <c r="E30" i="29" s="1"/>
  <c r="E31" i="29" s="1"/>
  <c r="E32" i="29" s="1"/>
  <c r="E33" i="29" s="1"/>
  <c r="E34" i="29" s="1"/>
  <c r="E35" i="29" s="1"/>
  <c r="E36" i="29" s="1"/>
  <c r="E37" i="29" s="1"/>
  <c r="E38" i="29" s="1"/>
  <c r="E39" i="29" s="1"/>
  <c r="E40" i="29" s="1"/>
  <c r="E41" i="29" s="1"/>
  <c r="E42" i="29" s="1"/>
  <c r="E43" i="29" s="1"/>
  <c r="F12" i="29"/>
  <c r="F13" i="29"/>
  <c r="F14" i="29"/>
  <c r="F15" i="29"/>
  <c r="F16" i="29" s="1"/>
  <c r="F17" i="29" s="1"/>
  <c r="F18" i="29" s="1"/>
  <c r="F11" i="29"/>
  <c r="E12" i="29"/>
  <c r="E13" i="29"/>
  <c r="E14" i="29"/>
  <c r="E15" i="29"/>
  <c r="E16" i="29" s="1"/>
  <c r="E17" i="29" s="1"/>
  <c r="E18" i="29" s="1"/>
  <c r="E11" i="29"/>
  <c r="F9" i="29"/>
  <c r="F10" i="29" s="1"/>
  <c r="E9" i="29"/>
  <c r="E10" i="29" s="1"/>
  <c r="F19" i="25"/>
  <c r="F20" i="25" s="1"/>
  <c r="F21" i="25" s="1"/>
  <c r="F22" i="25" s="1"/>
  <c r="F23" i="25" s="1"/>
  <c r="F24" i="25" s="1"/>
  <c r="E19" i="25"/>
  <c r="E20" i="25" s="1"/>
  <c r="E21" i="25" s="1"/>
  <c r="E22" i="25" s="1"/>
  <c r="E23" i="25" s="1"/>
  <c r="E24" i="25" s="1"/>
  <c r="F10" i="25"/>
  <c r="F11" i="25" s="1"/>
  <c r="F12" i="25" s="1"/>
  <c r="F13" i="25" s="1"/>
  <c r="F14" i="25" s="1"/>
  <c r="F15" i="25" s="1"/>
  <c r="F16" i="25" s="1"/>
  <c r="F17" i="25" s="1"/>
  <c r="F18" i="25" s="1"/>
  <c r="E10" i="25"/>
  <c r="E11" i="25"/>
  <c r="E12" i="25"/>
  <c r="E13" i="25"/>
  <c r="E14" i="25" s="1"/>
  <c r="E15" i="25" s="1"/>
  <c r="E16" i="25" s="1"/>
  <c r="E17" i="25" s="1"/>
  <c r="E18" i="25" s="1"/>
  <c r="F9" i="25"/>
  <c r="E9" i="25"/>
  <c r="F19" i="24"/>
  <c r="F20" i="24" s="1"/>
  <c r="F21" i="24" s="1"/>
  <c r="F22" i="24" s="1"/>
  <c r="F23" i="24" s="1"/>
  <c r="F24" i="24" s="1"/>
  <c r="E19" i="24"/>
  <c r="E20" i="24" s="1"/>
  <c r="E21" i="24" s="1"/>
  <c r="E22" i="24" s="1"/>
  <c r="E23" i="24" s="1"/>
  <c r="E24" i="24" s="1"/>
  <c r="F10" i="24"/>
  <c r="F11" i="24" s="1"/>
  <c r="F12" i="24" s="1"/>
  <c r="F13" i="24" s="1"/>
  <c r="F14" i="24" s="1"/>
  <c r="F15" i="24" s="1"/>
  <c r="F16" i="24" s="1"/>
  <c r="F17" i="24" s="1"/>
  <c r="F18" i="24" s="1"/>
  <c r="E10" i="24"/>
  <c r="E11" i="24"/>
  <c r="E12" i="24"/>
  <c r="E13" i="24"/>
  <c r="E14" i="24" s="1"/>
  <c r="E15" i="24" s="1"/>
  <c r="E16" i="24" s="1"/>
  <c r="E17" i="24" s="1"/>
  <c r="E18" i="24" s="1"/>
  <c r="F9" i="24"/>
  <c r="E9" i="24"/>
  <c r="F24" i="22"/>
  <c r="F25" i="22"/>
  <c r="F26" i="22"/>
  <c r="F27" i="22"/>
  <c r="F28" i="22" s="1"/>
  <c r="F29" i="22" s="1"/>
  <c r="F30" i="22" s="1"/>
  <c r="F31" i="22" s="1"/>
  <c r="F32" i="22" s="1"/>
  <c r="F33" i="22" s="1"/>
  <c r="F34" i="22" s="1"/>
  <c r="F35" i="22" s="1"/>
  <c r="F36" i="22" s="1"/>
  <c r="F37" i="22" s="1"/>
  <c r="F38" i="22" s="1"/>
  <c r="F39" i="22" s="1"/>
  <c r="E24" i="22"/>
  <c r="E25" i="22" s="1"/>
  <c r="E26" i="22" s="1"/>
  <c r="E27" i="22" s="1"/>
  <c r="E28" i="22" s="1"/>
  <c r="E29" i="22" s="1"/>
  <c r="E30" i="22" s="1"/>
  <c r="E31" i="22" s="1"/>
  <c r="E32" i="22" s="1"/>
  <c r="E33" i="22" s="1"/>
  <c r="E34" i="22" s="1"/>
  <c r="E35" i="22" s="1"/>
  <c r="E36" i="22" s="1"/>
  <c r="E37" i="22" s="1"/>
  <c r="E38" i="22" s="1"/>
  <c r="E39" i="22" s="1"/>
  <c r="F19" i="22"/>
  <c r="F20" i="22" s="1"/>
  <c r="F21" i="22" s="1"/>
  <c r="F22" i="22" s="1"/>
  <c r="F23" i="22" s="1"/>
  <c r="E19" i="22"/>
  <c r="E20" i="22" s="1"/>
  <c r="E21" i="22" s="1"/>
  <c r="E22" i="22" s="1"/>
  <c r="E23" i="22" s="1"/>
  <c r="F10" i="22"/>
  <c r="F11" i="22"/>
  <c r="F12" i="22"/>
  <c r="F13" i="22"/>
  <c r="F14" i="22" s="1"/>
  <c r="F15" i="22" s="1"/>
  <c r="F16" i="22" s="1"/>
  <c r="F17" i="22" s="1"/>
  <c r="F18" i="22" s="1"/>
  <c r="E10" i="22"/>
  <c r="E11" i="22" s="1"/>
  <c r="E12" i="22" s="1"/>
  <c r="E13" i="22" s="1"/>
  <c r="E14" i="22" s="1"/>
  <c r="E15" i="22" s="1"/>
  <c r="E16" i="22" s="1"/>
  <c r="E17" i="22" s="1"/>
  <c r="E18" i="22" s="1"/>
  <c r="F9" i="22"/>
  <c r="E9" i="22"/>
  <c r="F43" i="10"/>
  <c r="E43" i="10"/>
  <c r="F9" i="20"/>
  <c r="F10" i="20" s="1"/>
  <c r="F11" i="20" s="1"/>
  <c r="F12" i="20" s="1"/>
  <c r="F13" i="20" s="1"/>
  <c r="F14" i="20" s="1"/>
  <c r="F15" i="20" s="1"/>
  <c r="F16" i="20" s="1"/>
  <c r="F17" i="20" s="1"/>
  <c r="F18" i="20" s="1"/>
  <c r="F19" i="20" s="1"/>
  <c r="F20" i="20" s="1"/>
  <c r="F21" i="20" s="1"/>
  <c r="E9" i="20"/>
  <c r="E10" i="20" s="1"/>
  <c r="E11" i="20" s="1"/>
  <c r="E12" i="20" s="1"/>
  <c r="E13" i="20" s="1"/>
  <c r="E14" i="20" s="1"/>
  <c r="E15" i="20" s="1"/>
  <c r="E16" i="20" s="1"/>
  <c r="E17" i="20" s="1"/>
  <c r="E18" i="20" s="1"/>
  <c r="E19" i="20" s="1"/>
  <c r="E20" i="20" s="1"/>
  <c r="E21" i="20" s="1"/>
  <c r="E22" i="20" s="1"/>
  <c r="F18" i="19"/>
  <c r="E18" i="19"/>
  <c r="F10" i="19"/>
  <c r="F11" i="19" s="1"/>
  <c r="F12" i="19" s="1"/>
  <c r="F13" i="19" s="1"/>
  <c r="F14" i="19" s="1"/>
  <c r="F15" i="19" s="1"/>
  <c r="F16" i="19" s="1"/>
  <c r="F17" i="19" s="1"/>
  <c r="E10" i="19"/>
  <c r="E11" i="19" s="1"/>
  <c r="E12" i="19" s="1"/>
  <c r="E13" i="19" s="1"/>
  <c r="E14" i="19" s="1"/>
  <c r="E15" i="19" s="1"/>
  <c r="E16" i="19" s="1"/>
  <c r="E17" i="19" s="1"/>
  <c r="F9" i="19"/>
  <c r="E9" i="19"/>
  <c r="F10" i="18"/>
  <c r="F11" i="18" s="1"/>
  <c r="F12" i="18" s="1"/>
  <c r="F13" i="18" s="1"/>
  <c r="F14" i="18" s="1"/>
  <c r="E10" i="18"/>
  <c r="E11" i="18" s="1"/>
  <c r="E12" i="18" s="1"/>
  <c r="E13" i="18" s="1"/>
  <c r="E14" i="18" s="1"/>
  <c r="F9" i="18"/>
  <c r="E9" i="18"/>
  <c r="F10" i="17"/>
  <c r="F11" i="17"/>
  <c r="F12" i="17"/>
  <c r="F13" i="17"/>
  <c r="F14" i="17" s="1"/>
  <c r="F15" i="17" s="1"/>
  <c r="F16" i="17" s="1"/>
  <c r="F17" i="17" s="1"/>
  <c r="F18" i="17" s="1"/>
  <c r="E10" i="17"/>
  <c r="E11" i="17"/>
  <c r="E12" i="17" s="1"/>
  <c r="E13" i="17" s="1"/>
  <c r="E14" i="17" s="1"/>
  <c r="E15" i="17" s="1"/>
  <c r="E16" i="17" s="1"/>
  <c r="E17" i="17" s="1"/>
  <c r="E18" i="17" s="1"/>
  <c r="F9" i="17"/>
  <c r="E9" i="17"/>
  <c r="F19" i="16"/>
  <c r="F20" i="16" s="1"/>
  <c r="F21" i="16" s="1"/>
  <c r="F22" i="16" s="1"/>
  <c r="F23" i="16" s="1"/>
  <c r="F24" i="16" s="1"/>
  <c r="F25" i="16" s="1"/>
  <c r="F26" i="16" s="1"/>
  <c r="F27" i="16" s="1"/>
  <c r="E19" i="16"/>
  <c r="E20" i="16" s="1"/>
  <c r="E21" i="16" s="1"/>
  <c r="E22" i="16" s="1"/>
  <c r="E23" i="16" s="1"/>
  <c r="E24" i="16" s="1"/>
  <c r="E25" i="16" s="1"/>
  <c r="E26" i="16" s="1"/>
  <c r="E27" i="16" s="1"/>
  <c r="F10" i="16"/>
  <c r="F11" i="16" s="1"/>
  <c r="F12" i="16" s="1"/>
  <c r="F13" i="16" s="1"/>
  <c r="F14" i="16" s="1"/>
  <c r="F15" i="16" s="1"/>
  <c r="F16" i="16" s="1"/>
  <c r="F17" i="16" s="1"/>
  <c r="F18" i="16" s="1"/>
  <c r="E10" i="16"/>
  <c r="E11" i="16"/>
  <c r="E12" i="16" s="1"/>
  <c r="E13" i="16" s="1"/>
  <c r="E14" i="16" s="1"/>
  <c r="E15" i="16" s="1"/>
  <c r="E16" i="16" s="1"/>
  <c r="E17" i="16" s="1"/>
  <c r="E18" i="16" s="1"/>
  <c r="F9" i="16"/>
  <c r="E9" i="16"/>
  <c r="F19" i="15"/>
  <c r="F20" i="15"/>
  <c r="E19" i="15"/>
  <c r="E20" i="15" s="1"/>
  <c r="F10" i="15"/>
  <c r="F11" i="15" s="1"/>
  <c r="F12" i="15" s="1"/>
  <c r="F13" i="15" s="1"/>
  <c r="F14" i="15" s="1"/>
  <c r="F15" i="15" s="1"/>
  <c r="F16" i="15" s="1"/>
  <c r="F17" i="15" s="1"/>
  <c r="F18" i="15" s="1"/>
  <c r="E10" i="15"/>
  <c r="E11" i="15" s="1"/>
  <c r="E12" i="15" s="1"/>
  <c r="E13" i="15" s="1"/>
  <c r="E14" i="15" s="1"/>
  <c r="E15" i="15" s="1"/>
  <c r="E16" i="15" s="1"/>
  <c r="E17" i="15" s="1"/>
  <c r="E18" i="15" s="1"/>
  <c r="F9" i="15"/>
  <c r="E9" i="15"/>
  <c r="F43" i="7"/>
  <c r="F44" i="7" s="1"/>
  <c r="E43" i="7"/>
  <c r="E44" i="7" s="1"/>
  <c r="F19" i="14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F36" i="14" s="1"/>
  <c r="F37" i="14" s="1"/>
  <c r="E19" i="14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F10" i="14"/>
  <c r="F11" i="14"/>
  <c r="F12" i="14"/>
  <c r="F13" i="14"/>
  <c r="F14" i="14" s="1"/>
  <c r="F15" i="14" s="1"/>
  <c r="F16" i="14" s="1"/>
  <c r="F17" i="14" s="1"/>
  <c r="F18" i="14" s="1"/>
  <c r="E10" i="14"/>
  <c r="E11" i="14" s="1"/>
  <c r="E12" i="14" s="1"/>
  <c r="E13" i="14" s="1"/>
  <c r="E14" i="14" s="1"/>
  <c r="E15" i="14" s="1"/>
  <c r="E16" i="14" s="1"/>
  <c r="E17" i="14" s="1"/>
  <c r="E18" i="14" s="1"/>
  <c r="F9" i="14"/>
  <c r="E9" i="14"/>
  <c r="F19" i="13"/>
  <c r="F20" i="13" s="1"/>
  <c r="E19" i="13"/>
  <c r="E20" i="13" s="1"/>
  <c r="F10" i="13"/>
  <c r="F11" i="13" s="1"/>
  <c r="F12" i="13" s="1"/>
  <c r="F13" i="13" s="1"/>
  <c r="F14" i="13" s="1"/>
  <c r="F15" i="13" s="1"/>
  <c r="F16" i="13" s="1"/>
  <c r="F17" i="13" s="1"/>
  <c r="F18" i="13" s="1"/>
  <c r="E10" i="13"/>
  <c r="E11" i="13"/>
  <c r="E12" i="13" s="1"/>
  <c r="E13" i="13" s="1"/>
  <c r="E14" i="13" s="1"/>
  <c r="E15" i="13" s="1"/>
  <c r="E16" i="13" s="1"/>
  <c r="E17" i="13" s="1"/>
  <c r="E18" i="13" s="1"/>
  <c r="F9" i="13"/>
  <c r="E9" i="13"/>
  <c r="F18" i="12"/>
  <c r="F19" i="12" s="1"/>
  <c r="F20" i="12" s="1"/>
  <c r="F21" i="12" s="1"/>
  <c r="F22" i="12" s="1"/>
  <c r="F23" i="12" s="1"/>
  <c r="E18" i="12"/>
  <c r="E19" i="12" s="1"/>
  <c r="E20" i="12" s="1"/>
  <c r="E21" i="12" s="1"/>
  <c r="E22" i="12" s="1"/>
  <c r="E23" i="12" s="1"/>
  <c r="E24" i="12" s="1"/>
  <c r="F19" i="1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E19" i="1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F10" i="11"/>
  <c r="F11" i="11" s="1"/>
  <c r="F12" i="11" s="1"/>
  <c r="F13" i="11" s="1"/>
  <c r="F14" i="11" s="1"/>
  <c r="F15" i="11" s="1"/>
  <c r="F16" i="11" s="1"/>
  <c r="F17" i="11" s="1"/>
  <c r="F18" i="11" s="1"/>
  <c r="E10" i="11"/>
  <c r="E11" i="11"/>
  <c r="E12" i="11"/>
  <c r="E13" i="11"/>
  <c r="E14" i="11" s="1"/>
  <c r="E15" i="11" s="1"/>
  <c r="E16" i="11" s="1"/>
  <c r="E17" i="11" s="1"/>
  <c r="E18" i="11" s="1"/>
  <c r="F9" i="11"/>
  <c r="E9" i="11"/>
  <c r="E10" i="10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F9" i="10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E9" i="10"/>
  <c r="F9" i="9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F38" i="9" s="1"/>
  <c r="F39" i="9" s="1"/>
  <c r="F40" i="9" s="1"/>
  <c r="F41" i="9" s="1"/>
  <c r="F42" i="9" s="1"/>
  <c r="F43" i="9" s="1"/>
  <c r="E9" i="9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F9" i="7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E9" i="7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F9" i="6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E9" i="6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E9" i="5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F9" i="4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E9" i="4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E9" i="3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E9" i="2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9" i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</calcChain>
</file>

<file path=xl/sharedStrings.xml><?xml version="1.0" encoding="utf-8"?>
<sst xmlns="http://schemas.openxmlformats.org/spreadsheetml/2006/main" count="1743" uniqueCount="617">
  <si>
    <t>Date</t>
  </si>
  <si>
    <t>R.NO</t>
  </si>
  <si>
    <t>Description</t>
  </si>
  <si>
    <t>Amount Rec</t>
  </si>
  <si>
    <t>Total Rec</t>
  </si>
  <si>
    <t>Amount Due</t>
  </si>
  <si>
    <t>Name : Muhammad Shahzad Riaz</t>
  </si>
  <si>
    <t>Father Name : Muhammad Riaz Mughal</t>
  </si>
  <si>
    <t>CNIC #42401-0961430-9</t>
  </si>
  <si>
    <t xml:space="preserve">Contact #03158090252 </t>
  </si>
  <si>
    <t>Plot No : 5441</t>
  </si>
  <si>
    <t>Cost :700,000</t>
  </si>
  <si>
    <t>Token</t>
  </si>
  <si>
    <t>Residential</t>
  </si>
  <si>
    <t>instalment</t>
  </si>
  <si>
    <t>Name : Farhan Zaheer</t>
  </si>
  <si>
    <t>Father Name :Zaheer Muhammad</t>
  </si>
  <si>
    <t>CNIC #42401-7540153-5</t>
  </si>
  <si>
    <t>Contact #03152675833</t>
  </si>
  <si>
    <t>Plot No : 5437</t>
  </si>
  <si>
    <t>Token Site</t>
  </si>
  <si>
    <t>Res Booking</t>
  </si>
  <si>
    <t>16/8/2025</t>
  </si>
  <si>
    <t>Instalment</t>
  </si>
  <si>
    <t>Plot No : 5438</t>
  </si>
  <si>
    <t>Name : Shahida Bibi</t>
  </si>
  <si>
    <t>Father Name :Munawar Din</t>
  </si>
  <si>
    <t>CNIC #42401-1721952-0</t>
  </si>
  <si>
    <t>Contact #03152090252</t>
  </si>
  <si>
    <t>Plot No : 5436</t>
  </si>
  <si>
    <t>Name : Ghulam Fatima</t>
  </si>
  <si>
    <t>CNIC #42401-7829718-2</t>
  </si>
  <si>
    <t>Contact #03158090252</t>
  </si>
  <si>
    <t>Plot No : 5435</t>
  </si>
  <si>
    <t>Name : M.Abbas</t>
  </si>
  <si>
    <t>Father Name :M.Saleem</t>
  </si>
  <si>
    <t>CNIC #44102-3566030-3</t>
  </si>
  <si>
    <t>Contact #03182339601</t>
  </si>
  <si>
    <t>Plot No : 5472</t>
  </si>
  <si>
    <t>Cost :550,000</t>
  </si>
  <si>
    <t>30/10/2022</t>
  </si>
  <si>
    <t>26/3/2023</t>
  </si>
  <si>
    <t>16/4/2023</t>
  </si>
  <si>
    <t>21/5/2023</t>
  </si>
  <si>
    <t>18/6/2023</t>
  </si>
  <si>
    <t>22/7/2023</t>
  </si>
  <si>
    <t>17/9/2023</t>
  </si>
  <si>
    <t>22/10/2023</t>
  </si>
  <si>
    <t>14/11/2023</t>
  </si>
  <si>
    <t>Adj Rehman</t>
  </si>
  <si>
    <t>17/2/2024</t>
  </si>
  <si>
    <t>20/7/2024</t>
  </si>
  <si>
    <t>17/9/2025</t>
  </si>
  <si>
    <t>Name : Muhammad Iftikhhar</t>
  </si>
  <si>
    <t>Father Name :Muhammad Akhtar</t>
  </si>
  <si>
    <t>CNIC #42201-5046572-1</t>
  </si>
  <si>
    <t>Contact #03158469109</t>
  </si>
  <si>
    <t>Plot No :5483</t>
  </si>
  <si>
    <t>Cost :600,000</t>
  </si>
  <si>
    <t>13/4/2023</t>
  </si>
  <si>
    <t>15/5/2023</t>
  </si>
  <si>
    <t>Adj Reh</t>
  </si>
  <si>
    <t>28/3/2024</t>
  </si>
  <si>
    <t>13/3/2025</t>
  </si>
  <si>
    <t>14/5/2025</t>
  </si>
  <si>
    <t>Name : Hina Amir</t>
  </si>
  <si>
    <t>Father Name ;Amir Ali</t>
  </si>
  <si>
    <t>CNIC #54401-8692683-6</t>
  </si>
  <si>
    <t>Contact #03123513431</t>
  </si>
  <si>
    <t>Plot No : 5444</t>
  </si>
  <si>
    <t>Cost :630,000</t>
  </si>
  <si>
    <t>15/3/2022</t>
  </si>
  <si>
    <t>25/5/2023</t>
  </si>
  <si>
    <t>13/7/2023</t>
  </si>
  <si>
    <t>Advance Adj</t>
  </si>
  <si>
    <t>instalment 5000 pending</t>
  </si>
  <si>
    <t xml:space="preserve">instalment </t>
  </si>
  <si>
    <t>15/8/2024</t>
  </si>
  <si>
    <t>19/9/2024</t>
  </si>
  <si>
    <t>16/10/2024</t>
  </si>
  <si>
    <t>17/11/2024</t>
  </si>
  <si>
    <t>15/12/2024</t>
  </si>
  <si>
    <t>13/1/2025</t>
  </si>
  <si>
    <t>19/2/2025</t>
  </si>
  <si>
    <t>15/3/2025</t>
  </si>
  <si>
    <t>16/4/2025</t>
  </si>
  <si>
    <t>17/5/2025</t>
  </si>
  <si>
    <t>18/6/2025</t>
  </si>
  <si>
    <t>16/7/2025</t>
  </si>
  <si>
    <t>20/8/2025</t>
  </si>
  <si>
    <t>18/9/2025</t>
  </si>
  <si>
    <t>18/10/2025</t>
  </si>
  <si>
    <t>17/11/2025</t>
  </si>
  <si>
    <t>18/12/2025</t>
  </si>
  <si>
    <t>17/1/2026</t>
  </si>
  <si>
    <t>16/2/2026</t>
  </si>
  <si>
    <t>13/3/2026</t>
  </si>
  <si>
    <t>Name :Muhammad Sultan</t>
  </si>
  <si>
    <t>CNIC #13101-5744200-5</t>
  </si>
  <si>
    <t>Contact #03138269348</t>
  </si>
  <si>
    <t>Plot No :5463</t>
  </si>
  <si>
    <t>Cost :650,000</t>
  </si>
  <si>
    <t>28/6/2023</t>
  </si>
  <si>
    <t>13/9/2023</t>
  </si>
  <si>
    <t>Token site</t>
  </si>
  <si>
    <t>RES booking</t>
  </si>
  <si>
    <t>18/6/2024</t>
  </si>
  <si>
    <t>18/7/2024</t>
  </si>
  <si>
    <t>26/8/2024</t>
  </si>
  <si>
    <t>Name : Mansoor Ahmed</t>
  </si>
  <si>
    <t>Father Name :Ali Ahmad</t>
  </si>
  <si>
    <t>CNIC #42401-3569903-7</t>
  </si>
  <si>
    <t>Contact #03009298767</t>
  </si>
  <si>
    <t>Plot No : 5446</t>
  </si>
  <si>
    <t>Code Num;CJC2225155</t>
  </si>
  <si>
    <t>24/9/2023</t>
  </si>
  <si>
    <t>15/12/2023</t>
  </si>
  <si>
    <t>13/5/2023</t>
  </si>
  <si>
    <t>14/9/2023</t>
  </si>
  <si>
    <t>ins sobho</t>
  </si>
  <si>
    <t>Development</t>
  </si>
  <si>
    <t>Nill</t>
  </si>
  <si>
    <t>Name :Allah Baksh Baloch</t>
  </si>
  <si>
    <t>Father Name ; Sahid Dad Baloch</t>
  </si>
  <si>
    <t>CNIC #42401-8633555-5</t>
  </si>
  <si>
    <t>Contact #03212790850</t>
  </si>
  <si>
    <t>Plot No :5404</t>
  </si>
  <si>
    <t>24/12/2022</t>
  </si>
  <si>
    <t>19/2/2023</t>
  </si>
  <si>
    <t>23/3/2023</t>
  </si>
  <si>
    <t>18/8/2023</t>
  </si>
  <si>
    <t>Adv Adj Reh</t>
  </si>
  <si>
    <t>parcial paym</t>
  </si>
  <si>
    <t>NILL</t>
  </si>
  <si>
    <t>INSTALMENT FULL PAID 190,000 DISCOUNT GIVEN BY SIR ARSHAD</t>
  </si>
  <si>
    <t>31/3/2026</t>
  </si>
  <si>
    <t>full paid</t>
  </si>
  <si>
    <t>INTALMENT AND DEVELOPMENT BOTH ARE CLEAR</t>
  </si>
  <si>
    <t>Name :Tariq Ahmed</t>
  </si>
  <si>
    <t>Father Name ; Qadir Ahmed Shah</t>
  </si>
  <si>
    <t>CNIC #42401-6268112-3</t>
  </si>
  <si>
    <t>Contact #03218794179</t>
  </si>
  <si>
    <t>Plot No :5499</t>
  </si>
  <si>
    <t>Cost :375,000</t>
  </si>
  <si>
    <t>Code Num;</t>
  </si>
  <si>
    <t>21/11/2022</t>
  </si>
  <si>
    <t>30/4/2023</t>
  </si>
  <si>
    <t>31/7/2023</t>
  </si>
  <si>
    <t>30/8/2023</t>
  </si>
  <si>
    <t>30/9/2023</t>
  </si>
  <si>
    <t>29/10/2023</t>
  </si>
  <si>
    <t>30/11/2023</t>
  </si>
  <si>
    <t>29/12/2023</t>
  </si>
  <si>
    <t>30/1/2024</t>
  </si>
  <si>
    <t>Adjestment</t>
  </si>
  <si>
    <t>instal june july</t>
  </si>
  <si>
    <t>17/3/2024</t>
  </si>
  <si>
    <t>25/4/2024</t>
  </si>
  <si>
    <t>Name :Waseem Ullah</t>
  </si>
  <si>
    <t>Father Name ; Hidayat Ullah</t>
  </si>
  <si>
    <t>CNIC #42201-0501528-5</t>
  </si>
  <si>
    <t>Contact #03012090641</t>
  </si>
  <si>
    <t>Plot No :5453</t>
  </si>
  <si>
    <t>Cost :490,000</t>
  </si>
  <si>
    <t>28/8/2022</t>
  </si>
  <si>
    <t>31/3/2023</t>
  </si>
  <si>
    <t>24/7/2023</t>
  </si>
  <si>
    <t>Booking</t>
  </si>
  <si>
    <t>Adj REHMAN</t>
  </si>
  <si>
    <t>27/3/2024</t>
  </si>
  <si>
    <t>30/6/2024</t>
  </si>
  <si>
    <t>31/8/2024</t>
  </si>
  <si>
    <t>28/4/2025</t>
  </si>
  <si>
    <t>14/6/2025</t>
  </si>
  <si>
    <t>DEVELOPMENT CONTINUE</t>
  </si>
  <si>
    <t>Name :M. Naeem Khan</t>
  </si>
  <si>
    <t>Father Name :Abdul Hakim khan</t>
  </si>
  <si>
    <t>CNIC #42301-2012684-1</t>
  </si>
  <si>
    <t xml:space="preserve">Contact </t>
  </si>
  <si>
    <t>Plot No :5451</t>
  </si>
  <si>
    <t>Cost :400,000</t>
  </si>
  <si>
    <t>Code Num;BNV2277304</t>
  </si>
  <si>
    <t>22/8/2022</t>
  </si>
  <si>
    <t>28/5/2023</t>
  </si>
  <si>
    <t>30/7/2023</t>
  </si>
  <si>
    <t>Reh Adj</t>
  </si>
  <si>
    <t>17/12/2023</t>
  </si>
  <si>
    <t>Name :Taj Muhammad</t>
  </si>
  <si>
    <t>Father Name :Wazir Muhammad</t>
  </si>
  <si>
    <t>CNIC #42401-7068933-7</t>
  </si>
  <si>
    <t>Plot No :5465</t>
  </si>
  <si>
    <t>Cost :350,000</t>
  </si>
  <si>
    <t>Contact ;03158589137</t>
  </si>
  <si>
    <t>Code Num;CJQ3803869</t>
  </si>
  <si>
    <t>21/8/2022</t>
  </si>
  <si>
    <t>23/7/2023</t>
  </si>
  <si>
    <t>23/8/2023</t>
  </si>
  <si>
    <t>13/12/2023</t>
  </si>
  <si>
    <t>Installment</t>
  </si>
  <si>
    <t>Adj Rehm</t>
  </si>
  <si>
    <t>21/1/2024</t>
  </si>
  <si>
    <t>18/2/2024</t>
  </si>
  <si>
    <t>17/4/2024</t>
  </si>
  <si>
    <t>19/5/2024</t>
  </si>
  <si>
    <t>21/7/2024</t>
  </si>
  <si>
    <t>25/8/2024</t>
  </si>
  <si>
    <t>27/12/2025</t>
  </si>
  <si>
    <t>INSTALLMENT CLEAR</t>
  </si>
  <si>
    <t>Name :MR.Ahmed</t>
  </si>
  <si>
    <t>Father Name :Abdul Rehman</t>
  </si>
  <si>
    <t>CNIC #42201-9470076-7</t>
  </si>
  <si>
    <t>Contact ;03182655956</t>
  </si>
  <si>
    <t>Plot No :5456</t>
  </si>
  <si>
    <t>14/8/2022</t>
  </si>
  <si>
    <t>16/1/2024</t>
  </si>
  <si>
    <t>22/2/2024</t>
  </si>
  <si>
    <t>installment</t>
  </si>
  <si>
    <t xml:space="preserve">Name ;M.Kamran </t>
  </si>
  <si>
    <t>Father Name :Barkat Ali</t>
  </si>
  <si>
    <t>CNIC #42201-4611598-1</t>
  </si>
  <si>
    <t>Contact ;03110282271</t>
  </si>
  <si>
    <t>Plot No :5467</t>
  </si>
  <si>
    <t>24/9/2022</t>
  </si>
  <si>
    <t>22/1/2023</t>
  </si>
  <si>
    <t>26/2/2023</t>
  </si>
  <si>
    <t>19/3/2023</t>
  </si>
  <si>
    <t>ins Reh</t>
  </si>
  <si>
    <t>Code Num;CKE8781083</t>
  </si>
  <si>
    <t>Name ;Muhammad Saeed</t>
  </si>
  <si>
    <t>Father Name :Asrakh</t>
  </si>
  <si>
    <t>Contact ;03472732700</t>
  </si>
  <si>
    <t>Plot No :5475</t>
  </si>
  <si>
    <t>Cost :380,000</t>
  </si>
  <si>
    <t>CNIC #15504-0232582-5</t>
  </si>
  <si>
    <t>26/11/2022</t>
  </si>
  <si>
    <t>20/11/2023</t>
  </si>
  <si>
    <t>16/4/2024</t>
  </si>
  <si>
    <t>29/5/2024</t>
  </si>
  <si>
    <t>14/8/2024</t>
  </si>
  <si>
    <t>Plot No :5474</t>
  </si>
  <si>
    <t>Cost :450,000</t>
  </si>
  <si>
    <t>7/12/204</t>
  </si>
  <si>
    <t>16/3/2025</t>
  </si>
  <si>
    <t>22/6/2025</t>
  </si>
  <si>
    <t>Name ;Farzana Bibi</t>
  </si>
  <si>
    <t>Father Name :Muhammad Imran</t>
  </si>
  <si>
    <t>CNIC #42101-8305512-8</t>
  </si>
  <si>
    <t>Contact ;03072129460</t>
  </si>
  <si>
    <t>Plot No :5479</t>
  </si>
  <si>
    <t>Cost :500,000</t>
  </si>
  <si>
    <t>13/9/2024</t>
  </si>
  <si>
    <t>Name ;Danish</t>
  </si>
  <si>
    <t>Contact ;03121020218</t>
  </si>
  <si>
    <t>Plot No :5458</t>
  </si>
  <si>
    <t>THIS FILE IS TRANSFEERED TO;</t>
  </si>
  <si>
    <t>DETAIL OF TRANSFEER</t>
  </si>
  <si>
    <t>15/9/2022</t>
  </si>
  <si>
    <t>17/9/2022</t>
  </si>
  <si>
    <t>23/10/2022</t>
  </si>
  <si>
    <t>28/2/2023</t>
  </si>
  <si>
    <t>28/3/2023</t>
  </si>
  <si>
    <t>22/5/2023</t>
  </si>
  <si>
    <t>25/7/2023</t>
  </si>
  <si>
    <t>22/8/2023</t>
  </si>
  <si>
    <t>installment clear</t>
  </si>
  <si>
    <t>Name ;Muhammad Rashid</t>
  </si>
  <si>
    <t>Father Name :Fazal Dad Khan</t>
  </si>
  <si>
    <t>CNIC #42101-9203216-5</t>
  </si>
  <si>
    <t>Contact ;03453035210</t>
  </si>
  <si>
    <t>Plot No :5455</t>
  </si>
  <si>
    <t>Code Num;BYA0198780</t>
  </si>
  <si>
    <t>13/9/2020</t>
  </si>
  <si>
    <t>22/3/2023</t>
  </si>
  <si>
    <t>14/10/2023</t>
  </si>
  <si>
    <t>22/11/2023</t>
  </si>
  <si>
    <t>19/12/2023</t>
  </si>
  <si>
    <t>22/3/2024</t>
  </si>
  <si>
    <t>18/4/2024</t>
  </si>
  <si>
    <t>20/6/2024</t>
  </si>
  <si>
    <t>25/7/2024</t>
  </si>
  <si>
    <t>19/8/2024</t>
  </si>
  <si>
    <t>23/9/2024</t>
  </si>
  <si>
    <t>15/1/2024</t>
  </si>
  <si>
    <t>INSTALLMENT AND DEVELOPMENT BOTH CLEAR</t>
  </si>
  <si>
    <t>Name ;Fazal Ul Haq Shamsi</t>
  </si>
  <si>
    <t>Father Name :Ikram ul Haq Shamsi</t>
  </si>
  <si>
    <t>CNIC #42101-2983219-9</t>
  </si>
  <si>
    <t>Contact ;03478312204</t>
  </si>
  <si>
    <t>Plot No :5454</t>
  </si>
  <si>
    <t>Code Num;BHC7188482</t>
  </si>
  <si>
    <t>20/12/2023</t>
  </si>
  <si>
    <t>24/9/2024</t>
  </si>
  <si>
    <t>Plot No :5462</t>
  </si>
  <si>
    <t>Name ; Nouman</t>
  </si>
  <si>
    <t>26/6/2023</t>
  </si>
  <si>
    <t>residential booking</t>
  </si>
  <si>
    <t>16/7/2024</t>
  </si>
  <si>
    <t>26/7/2024</t>
  </si>
  <si>
    <t>Father Name ; Syed Zahid Ali</t>
  </si>
  <si>
    <t>Plot No :5443</t>
  </si>
  <si>
    <t>Cost :580,000</t>
  </si>
  <si>
    <t>Contact #03142364844</t>
  </si>
  <si>
    <t>CNIC #42401-3068994-7</t>
  </si>
  <si>
    <t>13/3/2024</t>
  </si>
  <si>
    <t>7/4/20224</t>
  </si>
  <si>
    <t>13/1/2026</t>
  </si>
  <si>
    <t>19/4/2026</t>
  </si>
  <si>
    <t>Code Num;BHC7238975</t>
  </si>
  <si>
    <t>Code Num;CBM561819</t>
  </si>
  <si>
    <t>Father Name :Muhammad Inayat</t>
  </si>
  <si>
    <t>Code Num;CRM3471590</t>
  </si>
  <si>
    <t>Name : Touseef Ahmed</t>
  </si>
  <si>
    <t>Father Name : Abdul Rauf</t>
  </si>
  <si>
    <t>CNIC #42201-7298655-1</t>
  </si>
  <si>
    <t>Contact #03313036935</t>
  </si>
  <si>
    <t>Plot No : 5442</t>
  </si>
  <si>
    <t>Code Num;CNT7811181</t>
  </si>
  <si>
    <t>23/4/2024</t>
  </si>
  <si>
    <t>18/9/2024</t>
  </si>
  <si>
    <t>14/10/2024</t>
  </si>
  <si>
    <t>14/12/2024</t>
  </si>
  <si>
    <t>15/6/2025</t>
  </si>
  <si>
    <t>21/7/2025</t>
  </si>
  <si>
    <t>13/8/2025</t>
  </si>
  <si>
    <t>22/9/2025</t>
  </si>
  <si>
    <t>16/11/2025</t>
  </si>
  <si>
    <t>21/12/2025</t>
  </si>
  <si>
    <t>18/1/2026</t>
  </si>
  <si>
    <t>21/2/2026</t>
  </si>
  <si>
    <t>20/3/2026</t>
  </si>
  <si>
    <t>26/4/2026</t>
  </si>
  <si>
    <t>Code Num;CNQ0739415</t>
  </si>
  <si>
    <t>Code Num;BQV3768892</t>
  </si>
  <si>
    <t>Name :Talha</t>
  </si>
  <si>
    <t>Father Name ; Muhammad Suleman</t>
  </si>
  <si>
    <t>CNIC #42101-6380700-9</t>
  </si>
  <si>
    <t>Contact #0303344537</t>
  </si>
  <si>
    <t>Plot No :5416</t>
  </si>
  <si>
    <t>28//8/2022</t>
  </si>
  <si>
    <t>27/4/2023</t>
  </si>
  <si>
    <t>22/6/2023</t>
  </si>
  <si>
    <t>16/9/2023</t>
  </si>
  <si>
    <t>23/12/2023</t>
  </si>
  <si>
    <t>20/1/2024</t>
  </si>
  <si>
    <t>25/3/2024</t>
  </si>
  <si>
    <t>22/4/2024</t>
  </si>
  <si>
    <t>27/5/2024</t>
  </si>
  <si>
    <t>25/6/2024</t>
  </si>
  <si>
    <t>29/8/2024</t>
  </si>
  <si>
    <t>30/9/2024</t>
  </si>
  <si>
    <t>30/10/2024</t>
  </si>
  <si>
    <t>28/11/2024</t>
  </si>
  <si>
    <t>26/12/2024</t>
  </si>
  <si>
    <t>26/1/2025</t>
  </si>
  <si>
    <t>29/3/2025</t>
  </si>
  <si>
    <t>Code Num;CHV2628055</t>
  </si>
  <si>
    <t>Code Num;CMS7793652</t>
  </si>
  <si>
    <t>Code Num;CBW1175940</t>
  </si>
  <si>
    <t>Code Num;CNP6031139</t>
  </si>
  <si>
    <t>Code Num;CMS1603319</t>
  </si>
  <si>
    <t>Code num;CMR2406478</t>
  </si>
  <si>
    <t>Name :Syed Usama  Ali</t>
  </si>
  <si>
    <t>Code Num;CQW2299979</t>
  </si>
  <si>
    <t>Code Num;CDG868253</t>
  </si>
  <si>
    <t>Name ;M.Haron ur Rasheed</t>
  </si>
  <si>
    <t>Father Name :M.Moinuddin</t>
  </si>
  <si>
    <t>CNIC #42401-3057444-9</t>
  </si>
  <si>
    <t>Contact ;03102414914</t>
  </si>
  <si>
    <t>Plot No :5461</t>
  </si>
  <si>
    <t>Code Num;CVR7070734</t>
  </si>
  <si>
    <t>25/1/2023</t>
  </si>
  <si>
    <t>Resddential</t>
  </si>
  <si>
    <t>all amount given to al rehman builder</t>
  </si>
  <si>
    <t>adjustment plot</t>
  </si>
  <si>
    <t>BALANE MISTAK BBY MAM IQRA</t>
  </si>
  <si>
    <t>Name :Jhangir Khan</t>
  </si>
  <si>
    <t>Father Name ; Malik Sher Ahmed</t>
  </si>
  <si>
    <t>CNIC #42301-7655657-7</t>
  </si>
  <si>
    <t>Contact #03342950572</t>
  </si>
  <si>
    <t>Plot No :5429</t>
  </si>
  <si>
    <t>Cost :425,000</t>
  </si>
  <si>
    <t>17/10/2023</t>
  </si>
  <si>
    <t>13/4/2024</t>
  </si>
  <si>
    <t>Code Num;CNQ1158655</t>
  </si>
  <si>
    <t>Name :Syed Abdul Azam</t>
  </si>
  <si>
    <t>Father Name ; Syd Abdul Malik</t>
  </si>
  <si>
    <t>CNIC #42401-3528685-1</t>
  </si>
  <si>
    <t>Contact #03432758567</t>
  </si>
  <si>
    <t>Plot No :5481</t>
  </si>
  <si>
    <t>20/9/2020</t>
  </si>
  <si>
    <t>15/6/2023</t>
  </si>
  <si>
    <t>20/7/2023</t>
  </si>
  <si>
    <t>25/8/2023</t>
  </si>
  <si>
    <t>28/9/2023</t>
  </si>
  <si>
    <t>21/4/2024</t>
  </si>
  <si>
    <t>Partial Paymnt</t>
  </si>
  <si>
    <t>23/5/2024</t>
  </si>
  <si>
    <t>28/1/2025</t>
  </si>
  <si>
    <t>13/4/2025</t>
  </si>
  <si>
    <t>13/5/2025</t>
  </si>
  <si>
    <t>14/6/2026</t>
  </si>
  <si>
    <t>26/11/2025</t>
  </si>
  <si>
    <t>11/1/12026</t>
  </si>
  <si>
    <t>10/4=3/2026</t>
  </si>
  <si>
    <t>`13324</t>
  </si>
  <si>
    <t>Code Num;CCR3028553</t>
  </si>
  <si>
    <t>17/4/2026</t>
  </si>
  <si>
    <t>16/5/2026</t>
  </si>
  <si>
    <t>THIS FILE IS TRANSFEERED T0;</t>
  </si>
  <si>
    <t xml:space="preserve">DETAIL OF TRANSFERRED </t>
  </si>
  <si>
    <t>Name :Fozia Bano</t>
  </si>
  <si>
    <t>Father Name ; Lal Bukhsh</t>
  </si>
  <si>
    <t>CNIC #42301-3370839-4</t>
  </si>
  <si>
    <t>Contact #</t>
  </si>
  <si>
    <t>Code Num;CHQ6992708</t>
  </si>
  <si>
    <t>Name ;Yasir Akram</t>
  </si>
  <si>
    <t>Father Name;Muhammad Akram</t>
  </si>
  <si>
    <t>CNIC ;4240117249097</t>
  </si>
  <si>
    <t>Contact ;03338218381</t>
  </si>
  <si>
    <t>REHMAN ADJUSTMET 230,0000</t>
  </si>
  <si>
    <t>31/8/2020</t>
  </si>
  <si>
    <t>ADJ REH</t>
  </si>
  <si>
    <t>24\5\26</t>
  </si>
  <si>
    <t>7\6\26</t>
  </si>
  <si>
    <t>9\6\26</t>
  </si>
  <si>
    <t>9\5/2026</t>
  </si>
  <si>
    <t>xg1020561</t>
  </si>
  <si>
    <t>12\6\26</t>
  </si>
  <si>
    <t>development</t>
  </si>
  <si>
    <t>CNR1658698</t>
  </si>
  <si>
    <t>10\6\26</t>
  </si>
  <si>
    <t>CQN2287619</t>
  </si>
  <si>
    <t>15\6\26</t>
  </si>
  <si>
    <t>NAME:</t>
  </si>
  <si>
    <t>F\NAME:</t>
  </si>
  <si>
    <t>ONTACT NO:</t>
  </si>
  <si>
    <t>CNIC:</t>
  </si>
  <si>
    <t>CODE NO:</t>
  </si>
  <si>
    <t>PLOT NO:</t>
  </si>
  <si>
    <t>CJA0245023</t>
  </si>
  <si>
    <t>29\9\22</t>
  </si>
  <si>
    <t>3\10\22</t>
  </si>
  <si>
    <t>11\1\23</t>
  </si>
  <si>
    <t>13\3\23</t>
  </si>
  <si>
    <t>29\4\23</t>
  </si>
  <si>
    <t>17\5\23</t>
  </si>
  <si>
    <t>18\6\23</t>
  </si>
  <si>
    <t>20\7\23</t>
  </si>
  <si>
    <t>25\9\23</t>
  </si>
  <si>
    <t>9\10\23</t>
  </si>
  <si>
    <t>20\11\23</t>
  </si>
  <si>
    <t>token</t>
  </si>
  <si>
    <t>booking</t>
  </si>
  <si>
    <t>REHMAN ADJUSTMENT</t>
  </si>
  <si>
    <t>INSTALLMENT</t>
  </si>
  <si>
    <t>18\12\23</t>
  </si>
  <si>
    <t>20\1\24</t>
  </si>
  <si>
    <t>10\2\24</t>
  </si>
  <si>
    <t>20\3\24</t>
  </si>
  <si>
    <t>20\4\24</t>
  </si>
  <si>
    <t>21\5\23</t>
  </si>
  <si>
    <t>18\7\24</t>
  </si>
  <si>
    <t>13\8\24</t>
  </si>
  <si>
    <t>22\10\24</t>
  </si>
  <si>
    <t>29\11\24</t>
  </si>
  <si>
    <t>20\12\24</t>
  </si>
  <si>
    <t>22\2\25</t>
  </si>
  <si>
    <t>17\3\25</t>
  </si>
  <si>
    <t>23\5\25</t>
  </si>
  <si>
    <t>26\6\25</t>
  </si>
  <si>
    <t>22\7\25</t>
  </si>
  <si>
    <t>14\9\25</t>
  </si>
  <si>
    <t>22\10\25</t>
  </si>
  <si>
    <t>26\11\25</t>
  </si>
  <si>
    <t>26\12\25</t>
  </si>
  <si>
    <t>26\1\26</t>
  </si>
  <si>
    <t>24\2\26</t>
  </si>
  <si>
    <t>28\3\26</t>
  </si>
  <si>
    <t>17\5\26</t>
  </si>
  <si>
    <t>16\6\26</t>
  </si>
  <si>
    <t>SAJID ALI</t>
  </si>
  <si>
    <t>JAMAL U DIN</t>
  </si>
  <si>
    <t>45204-3433661-9</t>
  </si>
  <si>
    <t>CONTACT NO:</t>
  </si>
  <si>
    <t>CQP4085583</t>
  </si>
  <si>
    <t>30\9\20</t>
  </si>
  <si>
    <t>3\1\23</t>
  </si>
  <si>
    <t>25\5\23</t>
  </si>
  <si>
    <t>31\7\23</t>
  </si>
  <si>
    <t>2\9\23</t>
  </si>
  <si>
    <t>25\10\23</t>
  </si>
  <si>
    <t>5\12\23</t>
  </si>
  <si>
    <t>18\1\24</t>
  </si>
  <si>
    <t>27\2\24</t>
  </si>
  <si>
    <t>17\4\24</t>
  </si>
  <si>
    <t>12\5\24</t>
  </si>
  <si>
    <t>30\8\24</t>
  </si>
  <si>
    <t>PARTIAL PAYMENT</t>
  </si>
  <si>
    <t>ABDUL HAYEE NABEES</t>
  </si>
  <si>
    <t>ABDUL SALAM</t>
  </si>
  <si>
    <t>0317-2189200</t>
  </si>
  <si>
    <t>42401-1665487-3</t>
  </si>
  <si>
    <t>AKE7965066</t>
  </si>
  <si>
    <t>CNIC NO:</t>
  </si>
  <si>
    <t>CLH1548422</t>
  </si>
  <si>
    <t>12\6\23</t>
  </si>
  <si>
    <t>12\7\23</t>
  </si>
  <si>
    <t>13\8\23</t>
  </si>
  <si>
    <t>12\9\23</t>
  </si>
  <si>
    <t>15\10\23</t>
  </si>
  <si>
    <t>26\11\23</t>
  </si>
  <si>
    <t>17\12\23</t>
  </si>
  <si>
    <t>11\2\24</t>
  </si>
  <si>
    <t>14\3\24</t>
  </si>
  <si>
    <t>15\4\24</t>
  </si>
  <si>
    <t>19\5\24</t>
  </si>
  <si>
    <t>BOOKING</t>
  </si>
  <si>
    <t>16\6\24</t>
  </si>
  <si>
    <t>14\7\24</t>
  </si>
  <si>
    <t>13\9\24</t>
  </si>
  <si>
    <t>27\10\2</t>
  </si>
  <si>
    <t>25\11\24</t>
  </si>
  <si>
    <t>13\12\24</t>
  </si>
  <si>
    <t>28\1\25</t>
  </si>
  <si>
    <t>27\2\25</t>
  </si>
  <si>
    <t>13\5\25</t>
  </si>
  <si>
    <t>23\6\25</t>
  </si>
  <si>
    <t>5\8\25</t>
  </si>
  <si>
    <t>2\11\25</t>
  </si>
  <si>
    <t>1\12\25</t>
  </si>
  <si>
    <t>16\1\26</t>
  </si>
  <si>
    <t>23\2\26</t>
  </si>
  <si>
    <t>18\4\26</t>
  </si>
  <si>
    <t>24\6\26</t>
  </si>
  <si>
    <t>21\4\26</t>
  </si>
  <si>
    <t>MUHAMMAD AMIR</t>
  </si>
  <si>
    <t>M.TAHIR</t>
  </si>
  <si>
    <t>0310-2176240</t>
  </si>
  <si>
    <t>42401-5007128-1</t>
  </si>
  <si>
    <t>3\6\26</t>
  </si>
  <si>
    <t>nil</t>
  </si>
  <si>
    <t>5\7\026</t>
  </si>
  <si>
    <t>12\7\26</t>
  </si>
  <si>
    <t>DEVELOPMENT</t>
  </si>
  <si>
    <t xml:space="preserve">NIL </t>
  </si>
  <si>
    <t>13\7\26</t>
  </si>
  <si>
    <t>21\7\26</t>
  </si>
  <si>
    <t>24\7\26</t>
  </si>
  <si>
    <t>27/9/25</t>
  </si>
  <si>
    <t>25/10/25</t>
  </si>
  <si>
    <t>19/11/25</t>
  </si>
  <si>
    <t>develoment</t>
  </si>
  <si>
    <t>file jama hogai hai canclled</t>
  </si>
  <si>
    <t>plot canclled</t>
  </si>
  <si>
    <t>DATE</t>
  </si>
  <si>
    <t>R NO</t>
  </si>
  <si>
    <t>DESRIPTION</t>
  </si>
  <si>
    <t>AMOUNT</t>
  </si>
  <si>
    <t>TOTAL REC</t>
  </si>
  <si>
    <t>DUE AMOUNT</t>
  </si>
  <si>
    <t>21/4/25</t>
  </si>
  <si>
    <t>27/8/25</t>
  </si>
  <si>
    <t>23/10/25</t>
  </si>
  <si>
    <t>31/12/25</t>
  </si>
  <si>
    <t>14/4/26</t>
  </si>
  <si>
    <t>15/6/26</t>
  </si>
  <si>
    <t>DEVELOPEMNT</t>
  </si>
  <si>
    <t>15/7/26</t>
  </si>
  <si>
    <t>22/7/25</t>
  </si>
  <si>
    <t>25/8/25</t>
  </si>
  <si>
    <t>21/9/25</t>
  </si>
  <si>
    <t>26/10/25</t>
  </si>
  <si>
    <t>30/11/25</t>
  </si>
  <si>
    <t>27/12/25</t>
  </si>
  <si>
    <t>30/1/26</t>
  </si>
  <si>
    <t>developemt</t>
  </si>
  <si>
    <t>14/8/26</t>
  </si>
  <si>
    <t>17/7/26</t>
  </si>
  <si>
    <t>13/8/26</t>
  </si>
  <si>
    <t>16/7/26</t>
  </si>
  <si>
    <t>Plot No :5450</t>
  </si>
  <si>
    <t>22/8/22</t>
  </si>
  <si>
    <t>31/10/22/18/12/22</t>
  </si>
  <si>
    <t>19/3L12</t>
  </si>
  <si>
    <t>30/4/23</t>
  </si>
  <si>
    <t>28/5/23</t>
  </si>
  <si>
    <t>30/7/23</t>
  </si>
  <si>
    <t xml:space="preserve">REH ADJ </t>
  </si>
  <si>
    <t>17/12/23</t>
  </si>
  <si>
    <t>23/6/24</t>
  </si>
  <si>
    <t xml:space="preserve">DEVELOPMENT </t>
  </si>
  <si>
    <t xml:space="preserve">Name :FOZIA KHAN </t>
  </si>
  <si>
    <t xml:space="preserve">Father Name ; M.NAEEM KHAN </t>
  </si>
  <si>
    <t>CNIC #914000-395598-4</t>
  </si>
  <si>
    <t>Code Num;CGX0124431</t>
  </si>
  <si>
    <t>15/8/26</t>
  </si>
  <si>
    <t>15/9/26</t>
  </si>
  <si>
    <t>20/9/26</t>
  </si>
  <si>
    <t xml:space="preserve">INSTALLMENT </t>
  </si>
  <si>
    <t xml:space="preserve">INSTALLMEN </t>
  </si>
  <si>
    <t>NAME# SHAMIM</t>
  </si>
  <si>
    <t>W/O#WILLIAM MASIH</t>
  </si>
  <si>
    <t>CONTACT NO #0315-2751139</t>
  </si>
  <si>
    <t>CNIC#42401-1295713-6</t>
  </si>
  <si>
    <t>CODE NO # CUJ5363502</t>
  </si>
  <si>
    <t>NOMINEE</t>
  </si>
  <si>
    <t>Name : MR. WILLIAM MASIH</t>
  </si>
  <si>
    <t>Father Name :SARDAR  MASIH</t>
  </si>
  <si>
    <t>CNIC #42401-2981314-1</t>
  </si>
  <si>
    <t>Contact # 0319-8329460</t>
  </si>
  <si>
    <t>TOTAL COST # 800,000</t>
  </si>
  <si>
    <t>DEALER NAME  EJAZ</t>
  </si>
  <si>
    <t>CONTACT NO # 0318090252</t>
  </si>
  <si>
    <t xml:space="preserve">COM n0 PER PLOT 20,000 </t>
  </si>
  <si>
    <t>24/9/26</t>
  </si>
  <si>
    <t>PLOT NO#L-5445</t>
  </si>
  <si>
    <t>27\9\26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</si>
</sst>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7030A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4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14" fontId="0" fillId="0" borderId="0" xfId="0" applyNumberFormat="1"/>
    <xf numFmtId="0" fontId="0" fillId="0" borderId="3" xfId="0" applyBorder="1" applyAlignment="1">
      <alignment horizontal="left"/>
    </xf>
    <xf numFmtId="3" fontId="0" fillId="0" borderId="0" xfId="0" applyNumberFormat="1"/>
    <xf numFmtId="0" fontId="5" fillId="0" borderId="0" xfId="0" applyFont="1"/>
    <xf numFmtId="3" fontId="0" fillId="0" borderId="4" xfId="0" applyNumberFormat="1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14" fontId="0" fillId="0" borderId="1" xfId="0" applyNumberFormat="1" applyBorder="1"/>
    <xf numFmtId="14" fontId="0" fillId="0" borderId="2" xfId="0" applyNumberFormat="1" applyBorder="1" applyAlignment="1">
      <alignment horizontal="left"/>
    </xf>
    <xf numFmtId="14" fontId="0" fillId="0" borderId="2" xfId="0" applyNumberFormat="1" applyBorder="1"/>
    <xf numFmtId="0" fontId="3" fillId="0" borderId="8" xfId="0" applyFont="1" applyBorder="1" applyAlignment="1">
      <alignment horizontal="left" vertical="center"/>
    </xf>
    <xf numFmtId="14" fontId="0" fillId="0" borderId="7" xfId="0" applyNumberFormat="1" applyBorder="1"/>
    <xf numFmtId="0" fontId="0" fillId="0" borderId="9" xfId="0" applyBorder="1" applyAlignment="1">
      <alignment horizontal="left"/>
    </xf>
    <xf numFmtId="3" fontId="0" fillId="0" borderId="9" xfId="0" applyNumberFormat="1" applyBorder="1" applyAlignment="1">
      <alignment horizontal="left"/>
    </xf>
    <xf numFmtId="3" fontId="0" fillId="0" borderId="10" xfId="0" applyNumberFormat="1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3" fillId="2" borderId="8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  <xf numFmtId="14" fontId="7" fillId="0" borderId="0" xfId="0" applyNumberFormat="1" applyFont="1"/>
    <xf numFmtId="3" fontId="7" fillId="0" borderId="0" xfId="0" applyNumberFormat="1" applyFont="1"/>
    <xf numFmtId="14" fontId="0" fillId="0" borderId="9" xfId="0" applyNumberForma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0" fillId="0" borderId="1" xfId="0" applyBorder="1"/>
    <xf numFmtId="3" fontId="0" fillId="0" borderId="1" xfId="0" applyNumberFormat="1" applyBorder="1"/>
    <xf numFmtId="0" fontId="1" fillId="0" borderId="3" xfId="0" applyFont="1" applyBorder="1"/>
    <xf numFmtId="0" fontId="8" fillId="0" borderId="1" xfId="0" applyFont="1" applyBorder="1" applyAlignment="1">
      <alignment horizontal="left"/>
    </xf>
    <xf numFmtId="0" fontId="9" fillId="0" borderId="1" xfId="0" applyFont="1" applyBorder="1"/>
    <xf numFmtId="0" fontId="9" fillId="0" borderId="1" xfId="0" applyFont="1" applyBorder="1" applyAlignment="1">
      <alignment horizontal="left" vertical="center"/>
    </xf>
    <xf numFmtId="0" fontId="0" fillId="0" borderId="3" xfId="0" applyBorder="1"/>
    <xf numFmtId="0" fontId="8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3" borderId="0" xfId="0" applyFont="1" applyFill="1"/>
    <xf numFmtId="0" fontId="0" fillId="0" borderId="0" xfId="0" applyFont="1" applyFill="1" applyBorder="1"/>
  </cellXfs>
  <cellStyles count="1">
    <cellStyle name="Normal" xfId="0" builtinId="0"/>
  </cellStyles>
  <dxfs count="29"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ables/table1.xml><?xml version="1.0" encoding="utf-8"?>
<table xmlns="http://schemas.openxmlformats.org/spreadsheetml/2006/main" id="2" name="Table2" displayName="Table2" ref="A7:F23" totalsRowShown="0" headerRowDxfId="28" headerRowBorderDxfId="27" tableBorderDxfId="26" totalsRowBorderDxfId="25">
  <autoFilter ref="A7:F23"/>
  <tableColumns count="6">
    <tableColumn id="1" name="Date" dataDxfId="24"/>
    <tableColumn id="2" name="R.NO" dataDxfId="23"/>
    <tableColumn id="3" name="Description" dataDxfId="22"/>
    <tableColumn id="4" name="Amount Rec" dataDxfId="21"/>
    <tableColumn id="5" name="Total Rec" dataDxfId="20">
      <calculatedColumnFormula>SUM(E7+D8)</calculatedColumnFormula>
    </tableColumn>
    <tableColumn id="6" name="Amount Due" dataDxfId="19">
      <calculatedColumnFormula>F7-D8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7:F38" totalsRowShown="0" headerRowDxfId="18" headerRowBorderDxfId="17" tableBorderDxfId="16" totalsRowBorderDxfId="15">
  <autoFilter ref="A7:F38"/>
  <tableColumns count="6">
    <tableColumn id="1" name="Date" dataDxfId="14"/>
    <tableColumn id="2" name="R.NO" dataDxfId="13"/>
    <tableColumn id="3" name="Description" dataDxfId="12"/>
    <tableColumn id="4" name="Amount Rec" dataDxfId="11"/>
    <tableColumn id="5" name="Total Rec" dataDxfId="10">
      <calculatedColumnFormula>SUM(E7+D8)</calculatedColumnFormula>
    </tableColumn>
    <tableColumn id="6" name="Amount Due" dataDxfId="9">
      <calculatedColumnFormula>F7-D8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7:F44" totalsRowShown="0" headerRowDxfId="8" headerRowBorderDxfId="7" tableBorderDxfId="6">
  <autoFilter ref="A7:F44"/>
  <tableColumns count="6">
    <tableColumn id="1" name="Date" dataDxfId="5"/>
    <tableColumn id="2" name="R.NO" dataDxfId="4"/>
    <tableColumn id="3" name="Description" dataDxfId="3"/>
    <tableColumn id="4" name="Amount Rec" dataDxfId="2"/>
    <tableColumn id="5" name="Total Rec" dataDxfId="1">
      <calculatedColumnFormula>SUM(E7+D8)</calculatedColumnFormula>
    </tableColumn>
    <tableColumn id="6" name="Amount Due" dataDxfId="0">
      <calculatedColumnFormula>F7-D8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G1" sqref="G1"/>
    </sheetView>
  </sheetViews>
  <sheetFormatPr defaultRowHeight="14.5" x14ac:dyDescent="0.35"/>
  <cols>
    <col min="1" max="1" width="11.1796875" customWidth="1"/>
    <col min="2" max="2" width="12" customWidth="1"/>
    <col min="3" max="3" width="12.08984375" customWidth="1"/>
    <col min="6" max="6" width="11.54296875" customWidth="1"/>
  </cols>
  <sheetData>
    <row r="1" spans="1:6" ht="18.5" x14ac:dyDescent="0.45">
      <c r="A1" s="1" t="s">
        <v>122</v>
      </c>
      <c r="B1" s="1"/>
      <c r="C1" s="2"/>
      <c r="D1" s="1"/>
      <c r="E1" s="1"/>
      <c r="F1" s="1"/>
    </row>
    <row r="2" spans="1:6" ht="18.5" x14ac:dyDescent="0.45">
      <c r="A2" s="1" t="s">
        <v>123</v>
      </c>
      <c r="C2" s="1"/>
      <c r="D2" s="1"/>
      <c r="E2" s="1"/>
      <c r="F2" s="1"/>
    </row>
    <row r="3" spans="1:6" ht="18.5" x14ac:dyDescent="0.45">
      <c r="A3" s="1" t="s">
        <v>124</v>
      </c>
      <c r="B3" s="1"/>
      <c r="C3" s="1"/>
      <c r="D3" s="1"/>
      <c r="E3" s="1"/>
      <c r="F3" s="1"/>
    </row>
    <row r="4" spans="1:6" ht="18.5" x14ac:dyDescent="0.45">
      <c r="A4" s="1" t="s">
        <v>144</v>
      </c>
      <c r="B4" s="1"/>
      <c r="C4" s="1"/>
      <c r="D4" s="1"/>
      <c r="E4" s="1"/>
      <c r="F4" s="1"/>
    </row>
    <row r="5" spans="1:6" ht="18.5" x14ac:dyDescent="0.45">
      <c r="A5" s="1" t="s">
        <v>125</v>
      </c>
      <c r="B5" s="1"/>
      <c r="C5" s="1"/>
      <c r="D5" s="1"/>
      <c r="E5" s="1"/>
      <c r="F5" s="1"/>
    </row>
    <row r="6" spans="1:6" ht="18.5" x14ac:dyDescent="0.45">
      <c r="A6" s="1" t="s">
        <v>126</v>
      </c>
      <c r="B6" s="1"/>
      <c r="C6" s="1"/>
      <c r="D6" s="1" t="s">
        <v>58</v>
      </c>
      <c r="E6" s="1"/>
      <c r="F6" s="1"/>
    </row>
    <row r="7" spans="1:6" ht="18.5" x14ac:dyDescent="0.45">
      <c r="A7" s="1" t="s">
        <v>408</v>
      </c>
      <c r="B7" s="1"/>
      <c r="C7" s="1"/>
      <c r="D7" s="1"/>
      <c r="E7" s="1"/>
      <c r="F7" s="1"/>
    </row>
    <row r="8" spans="1:6" ht="18.5" x14ac:dyDescent="0.45">
      <c r="A8" s="1" t="s">
        <v>409</v>
      </c>
      <c r="B8" s="1"/>
      <c r="C8" s="1"/>
      <c r="D8" s="1"/>
      <c r="E8" s="1"/>
      <c r="F8" s="1"/>
    </row>
    <row r="9" spans="1:6" ht="18.5" x14ac:dyDescent="0.45">
      <c r="A9" s="1" t="s">
        <v>410</v>
      </c>
      <c r="B9" s="1"/>
      <c r="C9" s="2"/>
      <c r="D9" s="1"/>
      <c r="E9" s="1"/>
      <c r="F9" s="1"/>
    </row>
    <row r="10" spans="1:6" ht="18.5" x14ac:dyDescent="0.45">
      <c r="A10" s="1" t="s">
        <v>411</v>
      </c>
      <c r="C10" s="1"/>
      <c r="D10" s="1"/>
      <c r="E10" s="1"/>
      <c r="F10" s="1"/>
    </row>
    <row r="11" spans="1:6" ht="18.5" x14ac:dyDescent="0.45">
      <c r="A11" s="1" t="s">
        <v>412</v>
      </c>
      <c r="B11" s="1"/>
      <c r="C11" s="1"/>
      <c r="D11" s="1"/>
      <c r="E11" s="1"/>
      <c r="F11" s="1"/>
    </row>
    <row r="12" spans="1:6" ht="18.5" x14ac:dyDescent="0.45">
      <c r="A12" s="1" t="s">
        <v>414</v>
      </c>
      <c r="B12" s="1"/>
      <c r="C12" s="1"/>
      <c r="D12" s="1"/>
      <c r="E12" s="1"/>
      <c r="F12" s="1"/>
    </row>
    <row r="13" spans="1:6" ht="18.5" x14ac:dyDescent="0.45">
      <c r="A13" s="1" t="s">
        <v>413</v>
      </c>
      <c r="B13" s="1"/>
      <c r="C13" s="1"/>
      <c r="D13" s="1"/>
      <c r="E13" s="1"/>
      <c r="F13" s="1"/>
    </row>
    <row r="14" spans="1:6" ht="18.5" x14ac:dyDescent="0.45">
      <c r="A14" s="1" t="s">
        <v>126</v>
      </c>
      <c r="B14" s="1"/>
      <c r="C14" s="1"/>
      <c r="D14" s="1" t="s">
        <v>58</v>
      </c>
      <c r="E14" s="1"/>
      <c r="F14" s="1"/>
    </row>
    <row r="15" spans="1:6" ht="18.5" x14ac:dyDescent="0.45">
      <c r="A15" s="1"/>
      <c r="B15" s="1"/>
      <c r="C15" s="1"/>
      <c r="D15" s="1"/>
      <c r="E15" s="1"/>
      <c r="F15" s="1"/>
    </row>
    <row r="16" spans="1:6" x14ac:dyDescent="0.35">
      <c r="A16" s="4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</row>
    <row r="17" spans="1:6" x14ac:dyDescent="0.35">
      <c r="A17" t="s">
        <v>127</v>
      </c>
      <c r="B17">
        <v>2467</v>
      </c>
      <c r="C17" t="s">
        <v>131</v>
      </c>
      <c r="D17" s="14">
        <v>50000</v>
      </c>
      <c r="E17" s="14">
        <v>50000</v>
      </c>
      <c r="F17" s="14">
        <v>550000</v>
      </c>
    </row>
    <row r="18" spans="1:6" x14ac:dyDescent="0.35">
      <c r="A18" t="s">
        <v>128</v>
      </c>
      <c r="B18">
        <v>2047</v>
      </c>
      <c r="C18" t="s">
        <v>14</v>
      </c>
      <c r="D18" s="14">
        <v>10000</v>
      </c>
      <c r="E18" s="14">
        <f>SUM(E17+D18)</f>
        <v>60000</v>
      </c>
      <c r="F18" s="14">
        <f>F17-D18</f>
        <v>540000</v>
      </c>
    </row>
    <row r="19" spans="1:6" x14ac:dyDescent="0.35">
      <c r="A19" t="s">
        <v>129</v>
      </c>
      <c r="B19">
        <v>56</v>
      </c>
      <c r="C19" t="s">
        <v>14</v>
      </c>
      <c r="D19" s="14">
        <v>10000</v>
      </c>
      <c r="E19" s="14">
        <f t="shared" ref="E19:E24" si="0">SUM(E18+D19)</f>
        <v>70000</v>
      </c>
      <c r="F19" s="14">
        <f t="shared" ref="F19:F23" si="1">F18-D19</f>
        <v>530000</v>
      </c>
    </row>
    <row r="20" spans="1:6" x14ac:dyDescent="0.35">
      <c r="A20" s="12">
        <v>45203</v>
      </c>
      <c r="B20">
        <v>1908</v>
      </c>
      <c r="C20" t="s">
        <v>14</v>
      </c>
      <c r="D20" s="14">
        <v>10000</v>
      </c>
      <c r="E20" s="14">
        <f t="shared" si="0"/>
        <v>80000</v>
      </c>
      <c r="F20" s="14">
        <f t="shared" si="1"/>
        <v>520000</v>
      </c>
    </row>
    <row r="21" spans="1:6" x14ac:dyDescent="0.35">
      <c r="A21" s="12">
        <v>44625</v>
      </c>
      <c r="B21">
        <v>1482</v>
      </c>
      <c r="C21" t="s">
        <v>14</v>
      </c>
      <c r="D21" s="14">
        <v>10000</v>
      </c>
      <c r="E21" s="14">
        <f t="shared" si="0"/>
        <v>90000</v>
      </c>
      <c r="F21" s="14">
        <f t="shared" si="1"/>
        <v>510000</v>
      </c>
    </row>
    <row r="22" spans="1:6" x14ac:dyDescent="0.35">
      <c r="A22" s="12">
        <v>44991</v>
      </c>
      <c r="B22">
        <v>245</v>
      </c>
      <c r="C22" t="s">
        <v>14</v>
      </c>
      <c r="D22" s="14">
        <v>10000</v>
      </c>
      <c r="E22" s="14">
        <f t="shared" si="0"/>
        <v>100000</v>
      </c>
      <c r="F22" s="14">
        <f t="shared" si="1"/>
        <v>500000</v>
      </c>
    </row>
    <row r="23" spans="1:6" x14ac:dyDescent="0.35">
      <c r="A23" s="12">
        <v>45237</v>
      </c>
      <c r="B23">
        <v>2676</v>
      </c>
      <c r="C23" t="s">
        <v>14</v>
      </c>
      <c r="D23" s="14">
        <v>10000</v>
      </c>
      <c r="E23" s="14">
        <f t="shared" si="0"/>
        <v>110000</v>
      </c>
      <c r="F23" s="14">
        <f t="shared" si="1"/>
        <v>490000</v>
      </c>
    </row>
    <row r="24" spans="1:6" x14ac:dyDescent="0.35">
      <c r="A24" t="s">
        <v>130</v>
      </c>
      <c r="B24">
        <v>2382</v>
      </c>
      <c r="C24" t="s">
        <v>132</v>
      </c>
      <c r="D24" s="14">
        <v>300000</v>
      </c>
      <c r="E24" s="14">
        <f t="shared" si="0"/>
        <v>410000</v>
      </c>
      <c r="F24" s="14" t="s">
        <v>133</v>
      </c>
    </row>
    <row r="25" spans="1:6" ht="15.5" x14ac:dyDescent="0.35">
      <c r="A25" s="15" t="s">
        <v>134</v>
      </c>
      <c r="B25" s="15"/>
      <c r="C25" s="15"/>
      <c r="D25" s="15"/>
      <c r="E25" s="15"/>
      <c r="F25" s="15"/>
    </row>
    <row r="26" spans="1:6" x14ac:dyDescent="0.35">
      <c r="A26" t="s">
        <v>135</v>
      </c>
      <c r="B26">
        <v>5820</v>
      </c>
      <c r="C26" t="s">
        <v>120</v>
      </c>
      <c r="D26" s="14">
        <v>150000</v>
      </c>
      <c r="E26" t="s">
        <v>121</v>
      </c>
    </row>
    <row r="27" spans="1:6" x14ac:dyDescent="0.35">
      <c r="B27" t="s">
        <v>136</v>
      </c>
    </row>
    <row r="28" spans="1:6" x14ac:dyDescent="0.35">
      <c r="A28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opLeftCell="A25" workbookViewId="0">
      <selection activeCell="C30" sqref="C30"/>
    </sheetView>
  </sheetViews>
  <sheetFormatPr defaultRowHeight="14.5" x14ac:dyDescent="0.35"/>
  <cols>
    <col min="1" max="1" width="11.7265625" customWidth="1"/>
    <col min="3" max="3" width="12" customWidth="1"/>
    <col min="6" max="6" width="12.6328125" customWidth="1"/>
  </cols>
  <sheetData>
    <row r="1" spans="1:6" ht="18.5" x14ac:dyDescent="0.45">
      <c r="A1" s="1" t="s">
        <v>375</v>
      </c>
      <c r="B1" s="1"/>
      <c r="C1" s="2"/>
      <c r="D1" s="1"/>
      <c r="E1" s="1"/>
      <c r="F1" s="1"/>
    </row>
    <row r="2" spans="1:6" ht="18.5" x14ac:dyDescent="0.45">
      <c r="A2" s="1" t="s">
        <v>376</v>
      </c>
      <c r="C2" s="1"/>
      <c r="D2" s="1"/>
      <c r="E2" s="1"/>
      <c r="F2" s="1"/>
    </row>
    <row r="3" spans="1:6" ht="18.5" x14ac:dyDescent="0.45">
      <c r="A3" s="1" t="s">
        <v>377</v>
      </c>
      <c r="B3" s="1"/>
      <c r="C3" s="1"/>
      <c r="D3" s="1"/>
      <c r="E3" s="1"/>
      <c r="F3" s="1"/>
    </row>
    <row r="4" spans="1:6" ht="18.5" x14ac:dyDescent="0.45">
      <c r="A4" s="1" t="s">
        <v>144</v>
      </c>
      <c r="B4" s="1" t="s">
        <v>426</v>
      </c>
      <c r="C4" s="1"/>
      <c r="D4" s="1"/>
      <c r="E4" s="1"/>
      <c r="F4" s="1"/>
    </row>
    <row r="5" spans="1:6" ht="18.5" x14ac:dyDescent="0.45">
      <c r="A5" s="1" t="s">
        <v>378</v>
      </c>
      <c r="B5" s="1"/>
      <c r="C5" s="1"/>
      <c r="D5" s="1"/>
      <c r="E5" s="1"/>
      <c r="F5" s="1"/>
    </row>
    <row r="6" spans="1:6" ht="18.5" x14ac:dyDescent="0.45">
      <c r="A6" s="1" t="s">
        <v>379</v>
      </c>
      <c r="B6" s="1"/>
      <c r="C6" s="1"/>
      <c r="D6" s="1" t="s">
        <v>380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21">
        <v>44836</v>
      </c>
      <c r="B8" s="44">
        <v>2056</v>
      </c>
      <c r="C8" s="44" t="s">
        <v>49</v>
      </c>
      <c r="D8" s="45">
        <v>150000</v>
      </c>
      <c r="E8" s="45">
        <v>150000</v>
      </c>
      <c r="F8" s="45">
        <v>275000</v>
      </c>
    </row>
    <row r="9" spans="1:6" x14ac:dyDescent="0.35">
      <c r="A9" s="21">
        <v>45052</v>
      </c>
      <c r="B9" s="44">
        <v>313</v>
      </c>
      <c r="C9" s="44" t="s">
        <v>23</v>
      </c>
      <c r="D9" s="45">
        <v>30000</v>
      </c>
      <c r="E9" s="45">
        <f>E8+D9</f>
        <v>180000</v>
      </c>
      <c r="F9" s="45">
        <f>F8-D9</f>
        <v>245000</v>
      </c>
    </row>
    <row r="10" spans="1:6" x14ac:dyDescent="0.35">
      <c r="A10" s="44" t="s">
        <v>45</v>
      </c>
      <c r="B10" s="44">
        <v>2924</v>
      </c>
      <c r="C10" s="44" t="s">
        <v>23</v>
      </c>
      <c r="D10" s="45">
        <v>30000</v>
      </c>
      <c r="E10" s="45">
        <f t="shared" ref="E10:E26" si="0">E9+D10</f>
        <v>210000</v>
      </c>
      <c r="F10" s="45">
        <f t="shared" ref="F10:F26" si="1">F9-D10</f>
        <v>215000</v>
      </c>
    </row>
    <row r="11" spans="1:6" x14ac:dyDescent="0.35">
      <c r="A11" s="44" t="s">
        <v>130</v>
      </c>
      <c r="B11" s="44">
        <v>3045</v>
      </c>
      <c r="C11" s="44" t="s">
        <v>23</v>
      </c>
      <c r="D11" s="45">
        <v>10000</v>
      </c>
      <c r="E11" s="45">
        <f t="shared" si="0"/>
        <v>220000</v>
      </c>
      <c r="F11" s="45">
        <f t="shared" si="1"/>
        <v>205000</v>
      </c>
    </row>
    <row r="12" spans="1:6" x14ac:dyDescent="0.35">
      <c r="A12" s="21">
        <v>44995</v>
      </c>
      <c r="B12" s="44">
        <v>251</v>
      </c>
      <c r="C12" s="44" t="s">
        <v>23</v>
      </c>
      <c r="D12" s="45">
        <v>10000</v>
      </c>
      <c r="E12" s="45">
        <f t="shared" si="0"/>
        <v>230000</v>
      </c>
      <c r="F12" s="45">
        <f t="shared" si="1"/>
        <v>195000</v>
      </c>
    </row>
    <row r="13" spans="1:6" x14ac:dyDescent="0.35">
      <c r="A13" s="44" t="s">
        <v>381</v>
      </c>
      <c r="B13" s="44">
        <v>251</v>
      </c>
      <c r="C13" s="44" t="s">
        <v>23</v>
      </c>
      <c r="D13" s="45">
        <v>10000</v>
      </c>
      <c r="E13" s="45">
        <f t="shared" si="0"/>
        <v>240000</v>
      </c>
      <c r="F13" s="45">
        <f t="shared" si="1"/>
        <v>185000</v>
      </c>
    </row>
    <row r="14" spans="1:6" x14ac:dyDescent="0.35">
      <c r="A14" s="21">
        <v>45089</v>
      </c>
      <c r="B14" s="44">
        <v>5323</v>
      </c>
      <c r="C14" s="44" t="s">
        <v>23</v>
      </c>
      <c r="D14" s="45">
        <v>20000</v>
      </c>
      <c r="E14" s="45">
        <f t="shared" si="0"/>
        <v>260000</v>
      </c>
      <c r="F14" s="45">
        <f t="shared" si="1"/>
        <v>165000</v>
      </c>
    </row>
    <row r="15" spans="1:6" x14ac:dyDescent="0.35">
      <c r="A15" s="21">
        <v>45505</v>
      </c>
      <c r="B15" s="44">
        <v>6023</v>
      </c>
      <c r="C15" s="44" t="s">
        <v>23</v>
      </c>
      <c r="D15" s="45">
        <v>10000</v>
      </c>
      <c r="E15" s="45">
        <f t="shared" si="0"/>
        <v>270000</v>
      </c>
      <c r="F15" s="45">
        <f t="shared" si="1"/>
        <v>155000</v>
      </c>
    </row>
    <row r="16" spans="1:6" x14ac:dyDescent="0.35">
      <c r="A16" s="21">
        <v>45475</v>
      </c>
      <c r="B16" s="44">
        <v>6569</v>
      </c>
      <c r="C16" s="44" t="s">
        <v>23</v>
      </c>
      <c r="D16" s="45">
        <v>10000</v>
      </c>
      <c r="E16" s="45">
        <f t="shared" si="0"/>
        <v>280000</v>
      </c>
      <c r="F16" s="45">
        <f t="shared" si="1"/>
        <v>145000</v>
      </c>
    </row>
    <row r="17" spans="1:6" x14ac:dyDescent="0.35">
      <c r="A17" s="21">
        <v>45538</v>
      </c>
      <c r="B17" s="44">
        <v>6569</v>
      </c>
      <c r="C17" s="44" t="s">
        <v>23</v>
      </c>
      <c r="D17" s="45">
        <v>10000</v>
      </c>
      <c r="E17" s="45">
        <f t="shared" si="0"/>
        <v>290000</v>
      </c>
      <c r="F17" s="45">
        <f t="shared" si="1"/>
        <v>135000</v>
      </c>
    </row>
    <row r="18" spans="1:6" x14ac:dyDescent="0.35">
      <c r="A18" s="44" t="s">
        <v>382</v>
      </c>
      <c r="B18" s="44">
        <v>7669</v>
      </c>
      <c r="C18" s="44" t="s">
        <v>23</v>
      </c>
      <c r="D18" s="45">
        <v>10000</v>
      </c>
      <c r="E18" s="45">
        <f t="shared" si="0"/>
        <v>300000</v>
      </c>
      <c r="F18" s="45">
        <f t="shared" si="1"/>
        <v>125000</v>
      </c>
    </row>
    <row r="19" spans="1:6" x14ac:dyDescent="0.35">
      <c r="A19" s="21">
        <v>45509</v>
      </c>
      <c r="B19" s="44">
        <v>10197</v>
      </c>
      <c r="C19" s="44" t="s">
        <v>23</v>
      </c>
      <c r="D19" s="45">
        <v>10000</v>
      </c>
      <c r="E19" s="45">
        <f t="shared" si="0"/>
        <v>310000</v>
      </c>
      <c r="F19" s="45">
        <f t="shared" si="1"/>
        <v>115000</v>
      </c>
    </row>
    <row r="20" spans="1:6" x14ac:dyDescent="0.35">
      <c r="A20" s="21">
        <v>45357</v>
      </c>
      <c r="B20" s="44">
        <v>10196</v>
      </c>
      <c r="C20" s="44" t="s">
        <v>23</v>
      </c>
      <c r="D20" s="45">
        <v>10000</v>
      </c>
      <c r="E20" s="45">
        <f t="shared" si="0"/>
        <v>320000</v>
      </c>
      <c r="F20" s="45">
        <f t="shared" si="1"/>
        <v>105000</v>
      </c>
    </row>
    <row r="21" spans="1:6" x14ac:dyDescent="0.35">
      <c r="A21" s="21">
        <v>45389</v>
      </c>
      <c r="B21" s="44">
        <v>10195</v>
      </c>
      <c r="C21" s="44" t="s">
        <v>23</v>
      </c>
      <c r="D21" s="45">
        <v>10000</v>
      </c>
      <c r="E21" s="45">
        <f t="shared" si="0"/>
        <v>330000</v>
      </c>
      <c r="F21" s="45">
        <f t="shared" si="1"/>
        <v>95000</v>
      </c>
    </row>
    <row r="22" spans="1:6" x14ac:dyDescent="0.35">
      <c r="A22" s="21">
        <v>45513</v>
      </c>
      <c r="B22" s="44">
        <v>10194</v>
      </c>
      <c r="C22" s="44" t="s">
        <v>23</v>
      </c>
      <c r="D22" s="45">
        <v>20000</v>
      </c>
      <c r="E22" s="45">
        <f t="shared" si="0"/>
        <v>350000</v>
      </c>
      <c r="F22" s="45">
        <f t="shared" si="1"/>
        <v>75000</v>
      </c>
    </row>
    <row r="23" spans="1:6" x14ac:dyDescent="0.35">
      <c r="A23" s="21">
        <v>45392</v>
      </c>
      <c r="B23" s="44">
        <v>10198</v>
      </c>
      <c r="C23" s="44" t="s">
        <v>23</v>
      </c>
      <c r="D23" s="45">
        <v>10000</v>
      </c>
      <c r="E23" s="45">
        <f t="shared" si="0"/>
        <v>360000</v>
      </c>
      <c r="F23" s="45">
        <f t="shared" si="1"/>
        <v>65000</v>
      </c>
    </row>
    <row r="24" spans="1:6" x14ac:dyDescent="0.35">
      <c r="A24" s="21">
        <v>45484</v>
      </c>
      <c r="B24" s="44">
        <v>9249</v>
      </c>
      <c r="C24" s="44" t="s">
        <v>23</v>
      </c>
      <c r="D24" s="45">
        <v>30000</v>
      </c>
      <c r="E24" s="45">
        <f t="shared" si="0"/>
        <v>390000</v>
      </c>
      <c r="F24" s="45">
        <f t="shared" si="1"/>
        <v>35000</v>
      </c>
    </row>
    <row r="25" spans="1:6" x14ac:dyDescent="0.35">
      <c r="A25" s="21">
        <v>45840</v>
      </c>
      <c r="B25" s="44">
        <v>9250</v>
      </c>
      <c r="C25" s="44" t="s">
        <v>23</v>
      </c>
      <c r="D25" s="45">
        <v>20000</v>
      </c>
      <c r="E25" s="45">
        <f t="shared" si="0"/>
        <v>410000</v>
      </c>
      <c r="F25" s="45">
        <f t="shared" si="1"/>
        <v>15000</v>
      </c>
    </row>
    <row r="26" spans="1:6" x14ac:dyDescent="0.35">
      <c r="A26" s="21">
        <v>45781</v>
      </c>
      <c r="B26" s="44">
        <v>13846</v>
      </c>
      <c r="C26" s="44" t="s">
        <v>23</v>
      </c>
      <c r="D26" s="45">
        <v>15000</v>
      </c>
      <c r="E26" s="45">
        <f t="shared" si="0"/>
        <v>425000</v>
      </c>
      <c r="F26" s="45">
        <f t="shared" si="1"/>
        <v>0</v>
      </c>
    </row>
    <row r="27" spans="1:6" ht="18.5" x14ac:dyDescent="0.45">
      <c r="A27" s="37" t="s">
        <v>174</v>
      </c>
      <c r="B27" s="37"/>
      <c r="C27" s="37"/>
      <c r="D27" s="37"/>
      <c r="E27" s="37"/>
      <c r="F27" s="37"/>
    </row>
    <row r="28" spans="1:6" x14ac:dyDescent="0.35">
      <c r="A28" s="44" t="s">
        <v>548</v>
      </c>
      <c r="B28" s="44">
        <v>3210</v>
      </c>
      <c r="C28" s="44" t="s">
        <v>551</v>
      </c>
      <c r="D28" s="45">
        <v>10000</v>
      </c>
      <c r="E28" s="45">
        <v>10000</v>
      </c>
      <c r="F28" s="45">
        <v>440000</v>
      </c>
    </row>
    <row r="29" spans="1:6" x14ac:dyDescent="0.35">
      <c r="A29" s="44" t="s">
        <v>549</v>
      </c>
      <c r="B29" s="44">
        <v>3387</v>
      </c>
      <c r="C29" s="44" t="s">
        <v>551</v>
      </c>
      <c r="D29" s="45">
        <v>10000</v>
      </c>
      <c r="E29" s="45">
        <f t="shared" ref="E29:E38" si="2">E28+D29</f>
        <v>20000</v>
      </c>
      <c r="F29" s="45">
        <f t="shared" ref="F29:F38" si="3">F28-D29</f>
        <v>430000</v>
      </c>
    </row>
    <row r="30" spans="1:6" x14ac:dyDescent="0.35">
      <c r="A30" s="44" t="s">
        <v>550</v>
      </c>
      <c r="B30" s="44">
        <v>3834</v>
      </c>
      <c r="C30" s="44" t="s">
        <v>551</v>
      </c>
      <c r="D30" s="45">
        <v>10000</v>
      </c>
      <c r="E30" s="45">
        <f t="shared" si="2"/>
        <v>30000</v>
      </c>
      <c r="F30" s="45">
        <f t="shared" si="3"/>
        <v>420000</v>
      </c>
    </row>
    <row r="31" spans="1:6" x14ac:dyDescent="0.35">
      <c r="A31" s="21">
        <v>46003</v>
      </c>
      <c r="B31" s="44">
        <v>5057</v>
      </c>
      <c r="C31" s="44" t="s">
        <v>551</v>
      </c>
      <c r="D31" s="45">
        <v>10000</v>
      </c>
      <c r="E31" s="45">
        <f t="shared" si="2"/>
        <v>40000</v>
      </c>
      <c r="F31" s="45">
        <f t="shared" si="3"/>
        <v>410000</v>
      </c>
    </row>
    <row r="32" spans="1:6" x14ac:dyDescent="0.35">
      <c r="A32" s="21">
        <v>46296</v>
      </c>
      <c r="B32" s="44">
        <v>5250</v>
      </c>
      <c r="C32" s="44" t="s">
        <v>551</v>
      </c>
      <c r="D32" s="45">
        <v>10000</v>
      </c>
      <c r="E32" s="45">
        <f t="shared" si="2"/>
        <v>50000</v>
      </c>
      <c r="F32" s="45">
        <f t="shared" si="3"/>
        <v>400000</v>
      </c>
    </row>
    <row r="33" spans="1:6" x14ac:dyDescent="0.35">
      <c r="A33" s="21">
        <v>46267</v>
      </c>
      <c r="B33" s="44">
        <v>5468</v>
      </c>
      <c r="C33" s="44" t="s">
        <v>551</v>
      </c>
      <c r="D33" s="45">
        <v>10000</v>
      </c>
      <c r="E33" s="45">
        <f t="shared" si="2"/>
        <v>60000</v>
      </c>
      <c r="F33" s="45">
        <f t="shared" si="3"/>
        <v>390000</v>
      </c>
    </row>
    <row r="34" spans="1:6" x14ac:dyDescent="0.35">
      <c r="A34" s="21">
        <v>46269</v>
      </c>
      <c r="B34" s="44">
        <v>5888</v>
      </c>
      <c r="C34" s="44" t="s">
        <v>551</v>
      </c>
      <c r="D34" s="45">
        <v>20000</v>
      </c>
      <c r="E34" s="45">
        <f t="shared" si="2"/>
        <v>80000</v>
      </c>
      <c r="F34" s="45">
        <f t="shared" si="3"/>
        <v>370000</v>
      </c>
    </row>
    <row r="35" spans="1:6" x14ac:dyDescent="0.35">
      <c r="A35" s="21">
        <v>46361</v>
      </c>
      <c r="B35" s="44">
        <v>1452</v>
      </c>
      <c r="C35" s="44" t="s">
        <v>551</v>
      </c>
      <c r="D35" s="45">
        <v>10000</v>
      </c>
      <c r="E35" s="45">
        <f t="shared" si="2"/>
        <v>90000</v>
      </c>
      <c r="F35" s="45">
        <f t="shared" si="3"/>
        <v>360000</v>
      </c>
    </row>
    <row r="36" spans="1:6" x14ac:dyDescent="0.35">
      <c r="A36" s="21">
        <v>46118</v>
      </c>
      <c r="B36" s="44">
        <v>1563</v>
      </c>
      <c r="C36" s="44" t="s">
        <v>551</v>
      </c>
      <c r="D36" s="45">
        <v>10000</v>
      </c>
      <c r="E36" s="45">
        <f t="shared" si="2"/>
        <v>100000</v>
      </c>
      <c r="F36" s="45">
        <f t="shared" si="3"/>
        <v>350000</v>
      </c>
    </row>
    <row r="37" spans="1:6" x14ac:dyDescent="0.35">
      <c r="A37" s="21">
        <v>46180</v>
      </c>
      <c r="B37" s="44">
        <v>1767</v>
      </c>
      <c r="C37" s="44" t="s">
        <v>551</v>
      </c>
      <c r="D37" s="45">
        <v>10000</v>
      </c>
      <c r="E37" s="45">
        <f t="shared" si="2"/>
        <v>110000</v>
      </c>
      <c r="F37" s="45">
        <f t="shared" si="3"/>
        <v>340000</v>
      </c>
    </row>
    <row r="38" spans="1:6" x14ac:dyDescent="0.35">
      <c r="A38" s="21">
        <v>46150</v>
      </c>
      <c r="B38" s="44">
        <v>3732</v>
      </c>
      <c r="C38" s="44" t="s">
        <v>551</v>
      </c>
      <c r="D38" s="45">
        <v>10000</v>
      </c>
      <c r="E38" s="45">
        <f t="shared" si="2"/>
        <v>120000</v>
      </c>
      <c r="F38" s="45">
        <f t="shared" si="3"/>
        <v>330000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opLeftCell="A17" workbookViewId="0">
      <selection activeCell="F27" sqref="F27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30</v>
      </c>
      <c r="B1" s="1"/>
      <c r="C1" s="2"/>
      <c r="D1" s="1"/>
      <c r="E1" s="1"/>
      <c r="F1" s="1"/>
    </row>
    <row r="2" spans="1:6" ht="18.5" x14ac:dyDescent="0.45">
      <c r="A2" s="1" t="s">
        <v>26</v>
      </c>
      <c r="C2" s="1"/>
      <c r="D2" s="1"/>
      <c r="E2" s="1"/>
      <c r="F2" s="1"/>
    </row>
    <row r="3" spans="1:6" ht="18.5" x14ac:dyDescent="0.45">
      <c r="A3" s="1" t="s">
        <v>31</v>
      </c>
      <c r="B3" s="1"/>
      <c r="C3" s="1"/>
      <c r="D3" s="1"/>
      <c r="E3" s="1"/>
      <c r="F3" s="1"/>
    </row>
    <row r="4" spans="1:6" ht="18.5" x14ac:dyDescent="0.45">
      <c r="A4" s="1" t="s">
        <v>357</v>
      </c>
      <c r="B4" s="1"/>
      <c r="C4" s="1"/>
      <c r="D4" s="1"/>
      <c r="E4" s="1"/>
      <c r="F4" s="1"/>
    </row>
    <row r="5" spans="1:6" ht="18.5" x14ac:dyDescent="0.45">
      <c r="A5" s="1" t="s">
        <v>32</v>
      </c>
      <c r="B5" s="1"/>
      <c r="C5" s="1"/>
      <c r="D5" s="1"/>
      <c r="E5" s="1"/>
      <c r="F5" s="1"/>
    </row>
    <row r="6" spans="1:6" ht="18.5" x14ac:dyDescent="0.45">
      <c r="A6" s="1" t="s">
        <v>33</v>
      </c>
      <c r="B6" s="1"/>
      <c r="C6" s="1"/>
      <c r="D6" s="1" t="s">
        <v>11</v>
      </c>
      <c r="E6" s="1"/>
      <c r="F6" s="1"/>
    </row>
    <row r="7" spans="1:6" x14ac:dyDescent="0.35">
      <c r="A7" s="24" t="s">
        <v>0</v>
      </c>
      <c r="B7" s="17" t="s">
        <v>1</v>
      </c>
      <c r="C7" s="17" t="s">
        <v>2</v>
      </c>
      <c r="D7" s="17" t="s">
        <v>3</v>
      </c>
      <c r="E7" s="17" t="s">
        <v>4</v>
      </c>
      <c r="F7" s="18" t="s">
        <v>5</v>
      </c>
    </row>
    <row r="8" spans="1:6" x14ac:dyDescent="0.35">
      <c r="A8" s="22">
        <v>45839</v>
      </c>
      <c r="B8" s="5">
        <v>12960</v>
      </c>
      <c r="C8" s="5" t="s">
        <v>21</v>
      </c>
      <c r="D8" s="7">
        <v>50000</v>
      </c>
      <c r="E8" s="7">
        <v>50000</v>
      </c>
      <c r="F8" s="16">
        <v>650000</v>
      </c>
    </row>
    <row r="9" spans="1:6" x14ac:dyDescent="0.35">
      <c r="A9" s="22">
        <v>45902</v>
      </c>
      <c r="B9" s="5">
        <v>9275</v>
      </c>
      <c r="C9" s="5" t="s">
        <v>14</v>
      </c>
      <c r="D9" s="7">
        <v>10000</v>
      </c>
      <c r="E9" s="7">
        <f>SUM(E8+D9)</f>
        <v>60000</v>
      </c>
      <c r="F9" s="16">
        <f>F8-D9</f>
        <v>640000</v>
      </c>
    </row>
    <row r="10" spans="1:6" x14ac:dyDescent="0.35">
      <c r="A10" s="22">
        <v>45903</v>
      </c>
      <c r="B10" s="5">
        <v>9681</v>
      </c>
      <c r="C10" s="5" t="s">
        <v>14</v>
      </c>
      <c r="D10" s="7">
        <v>10000</v>
      </c>
      <c r="E10" s="7">
        <f t="shared" ref="E10:E21" si="0">SUM(E9+D10)</f>
        <v>70000</v>
      </c>
      <c r="F10" s="16">
        <f t="shared" ref="F10:F21" si="1">F9-D10</f>
        <v>630000</v>
      </c>
    </row>
    <row r="11" spans="1:6" x14ac:dyDescent="0.35">
      <c r="A11" s="22">
        <v>45965</v>
      </c>
      <c r="B11" s="5">
        <v>10105</v>
      </c>
      <c r="C11" s="5" t="s">
        <v>14</v>
      </c>
      <c r="D11" s="7">
        <v>10000</v>
      </c>
      <c r="E11" s="7">
        <f t="shared" si="0"/>
        <v>80000</v>
      </c>
      <c r="F11" s="16">
        <f t="shared" si="1"/>
        <v>620000</v>
      </c>
    </row>
    <row r="12" spans="1:6" x14ac:dyDescent="0.35">
      <c r="A12" s="22">
        <v>45996</v>
      </c>
      <c r="B12" s="5">
        <v>10952</v>
      </c>
      <c r="C12" s="5" t="s">
        <v>14</v>
      </c>
      <c r="D12" s="7">
        <v>10000</v>
      </c>
      <c r="E12" s="7">
        <f t="shared" si="0"/>
        <v>90000</v>
      </c>
      <c r="F12" s="16">
        <f t="shared" si="1"/>
        <v>610000</v>
      </c>
    </row>
    <row r="13" spans="1:6" x14ac:dyDescent="0.35">
      <c r="A13" s="22">
        <v>45907</v>
      </c>
      <c r="B13" s="5">
        <v>12834</v>
      </c>
      <c r="C13" s="5" t="s">
        <v>14</v>
      </c>
      <c r="D13" s="7">
        <v>20000</v>
      </c>
      <c r="E13" s="7">
        <f t="shared" si="0"/>
        <v>110000</v>
      </c>
      <c r="F13" s="16">
        <f t="shared" si="1"/>
        <v>590000</v>
      </c>
    </row>
    <row r="14" spans="1:6" x14ac:dyDescent="0.35">
      <c r="A14" s="22">
        <v>45665</v>
      </c>
      <c r="B14" s="5">
        <v>12338</v>
      </c>
      <c r="C14" s="5" t="s">
        <v>14</v>
      </c>
      <c r="D14" s="7">
        <v>10000</v>
      </c>
      <c r="E14" s="7">
        <f t="shared" si="0"/>
        <v>120000</v>
      </c>
      <c r="F14" s="16">
        <f t="shared" si="1"/>
        <v>580000</v>
      </c>
    </row>
    <row r="15" spans="1:6" x14ac:dyDescent="0.35">
      <c r="A15" s="22">
        <v>45847</v>
      </c>
      <c r="B15" s="5">
        <v>12629</v>
      </c>
      <c r="C15" s="5" t="s">
        <v>14</v>
      </c>
      <c r="D15" s="7">
        <v>10000</v>
      </c>
      <c r="E15" s="7">
        <f t="shared" si="0"/>
        <v>130000</v>
      </c>
      <c r="F15" s="16">
        <f t="shared" si="1"/>
        <v>570000</v>
      </c>
    </row>
    <row r="16" spans="1:6" x14ac:dyDescent="0.35">
      <c r="A16" s="22">
        <v>45787</v>
      </c>
      <c r="B16" s="5">
        <v>13893</v>
      </c>
      <c r="C16" s="5" t="s">
        <v>14</v>
      </c>
      <c r="D16" s="7">
        <v>10000</v>
      </c>
      <c r="E16" s="7">
        <f t="shared" si="0"/>
        <v>140000</v>
      </c>
      <c r="F16" s="16">
        <f t="shared" si="1"/>
        <v>560000</v>
      </c>
    </row>
    <row r="17" spans="1:6" x14ac:dyDescent="0.35">
      <c r="A17" s="22">
        <v>45972</v>
      </c>
      <c r="B17" s="5">
        <v>13343</v>
      </c>
      <c r="C17" s="5" t="s">
        <v>14</v>
      </c>
      <c r="D17" s="7">
        <v>10000</v>
      </c>
      <c r="E17" s="7">
        <f t="shared" si="0"/>
        <v>150000</v>
      </c>
      <c r="F17" s="16">
        <f t="shared" si="1"/>
        <v>550000</v>
      </c>
    </row>
    <row r="18" spans="1:6" x14ac:dyDescent="0.35">
      <c r="A18" s="22">
        <v>46296</v>
      </c>
      <c r="B18" s="5">
        <v>12056</v>
      </c>
      <c r="C18" s="5" t="s">
        <v>14</v>
      </c>
      <c r="D18" s="7">
        <v>10000</v>
      </c>
      <c r="E18" s="7">
        <f t="shared" si="0"/>
        <v>160000</v>
      </c>
      <c r="F18" s="16">
        <f t="shared" si="1"/>
        <v>540000</v>
      </c>
    </row>
    <row r="19" spans="1:6" x14ac:dyDescent="0.35">
      <c r="A19" s="23">
        <v>46205</v>
      </c>
      <c r="B19" s="5">
        <v>12368</v>
      </c>
      <c r="C19" s="5" t="s">
        <v>14</v>
      </c>
      <c r="D19" s="7">
        <v>10000</v>
      </c>
      <c r="E19" s="7">
        <f t="shared" si="0"/>
        <v>170000</v>
      </c>
      <c r="F19" s="16">
        <f t="shared" si="1"/>
        <v>530000</v>
      </c>
    </row>
    <row r="20" spans="1:6" x14ac:dyDescent="0.35">
      <c r="A20" s="23">
        <v>46359</v>
      </c>
      <c r="B20" s="5">
        <v>12841</v>
      </c>
      <c r="C20" s="5" t="s">
        <v>14</v>
      </c>
      <c r="D20" s="7">
        <v>10000</v>
      </c>
      <c r="E20" s="7">
        <f t="shared" si="0"/>
        <v>180000</v>
      </c>
      <c r="F20" s="16">
        <f t="shared" si="1"/>
        <v>520000</v>
      </c>
    </row>
    <row r="21" spans="1:6" x14ac:dyDescent="0.35">
      <c r="A21" s="25">
        <v>46146</v>
      </c>
      <c r="B21" s="26">
        <v>3149</v>
      </c>
      <c r="C21" s="26" t="s">
        <v>14</v>
      </c>
      <c r="D21" s="27">
        <v>10000</v>
      </c>
      <c r="E21" s="27">
        <f t="shared" si="0"/>
        <v>190000</v>
      </c>
      <c r="F21" s="28">
        <f t="shared" si="1"/>
        <v>510000</v>
      </c>
    </row>
    <row r="22" spans="1:6" x14ac:dyDescent="0.35">
      <c r="A22" s="25">
        <v>46360</v>
      </c>
      <c r="B22" s="26">
        <v>13262</v>
      </c>
      <c r="C22" s="26" t="s">
        <v>14</v>
      </c>
      <c r="D22" s="27">
        <v>10000</v>
      </c>
      <c r="E22" s="27">
        <f>SUM(E21+D22)</f>
        <v>200000</v>
      </c>
      <c r="F22" s="28">
        <f>F21-D22</f>
        <v>500000</v>
      </c>
    </row>
    <row r="23" spans="1:6" x14ac:dyDescent="0.35">
      <c r="A23" s="25">
        <v>46270</v>
      </c>
      <c r="B23" s="26">
        <v>12980</v>
      </c>
      <c r="C23" s="26" t="s">
        <v>14</v>
      </c>
      <c r="D23" s="27">
        <v>10000</v>
      </c>
      <c r="E23" s="27">
        <f>SUM(E22+D23)</f>
        <v>210000</v>
      </c>
      <c r="F23" s="28">
        <f>F22-D23</f>
        <v>490000</v>
      </c>
    </row>
    <row r="24" spans="1:6" x14ac:dyDescent="0.35">
      <c r="A24" t="s">
        <v>424</v>
      </c>
      <c r="B24">
        <v>13567</v>
      </c>
      <c r="C24" t="s">
        <v>14</v>
      </c>
      <c r="D24" s="32">
        <v>10000</v>
      </c>
      <c r="E24" s="32">
        <f>E23+D24</f>
        <v>220000</v>
      </c>
      <c r="F24" s="32">
        <f>F23-D24</f>
        <v>480000</v>
      </c>
    </row>
    <row r="25" spans="1:6" x14ac:dyDescent="0.35">
      <c r="A25" s="12">
        <v>46150</v>
      </c>
      <c r="B25">
        <v>1651</v>
      </c>
      <c r="C25" t="s">
        <v>598</v>
      </c>
      <c r="D25" s="14">
        <v>10000</v>
      </c>
      <c r="E25" s="14">
        <f>E24+D25</f>
        <v>230000</v>
      </c>
      <c r="F25" s="14">
        <f>F24-D25</f>
        <v>470000</v>
      </c>
    </row>
    <row r="26" spans="1:6" x14ac:dyDescent="0.35">
      <c r="A26" t="s">
        <v>597</v>
      </c>
      <c r="B26">
        <v>2115</v>
      </c>
      <c r="C26" t="s">
        <v>598</v>
      </c>
      <c r="D26" s="14">
        <v>20000</v>
      </c>
      <c r="E26" s="14">
        <f>E25+D26</f>
        <v>250000</v>
      </c>
      <c r="F26" s="14">
        <f>F25-D26</f>
        <v>450000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opLeftCell="A13" workbookViewId="0">
      <selection activeCell="F26" sqref="F26"/>
    </sheetView>
  </sheetViews>
  <sheetFormatPr defaultRowHeight="14.5" x14ac:dyDescent="0.35"/>
  <cols>
    <col min="1" max="1" width="10.453125" bestFit="1" customWidth="1"/>
    <col min="3" max="3" width="12.54296875" customWidth="1"/>
    <col min="4" max="4" width="10.90625" bestFit="1" customWidth="1"/>
    <col min="6" max="6" width="11.36328125" bestFit="1" customWidth="1"/>
  </cols>
  <sheetData>
    <row r="1" spans="1:6" ht="18.5" x14ac:dyDescent="0.45">
      <c r="A1" s="1" t="s">
        <v>25</v>
      </c>
      <c r="B1" s="1"/>
      <c r="C1" s="2"/>
      <c r="D1" s="1"/>
      <c r="E1" s="1"/>
      <c r="F1" s="1"/>
    </row>
    <row r="2" spans="1:6" ht="18.5" x14ac:dyDescent="0.45">
      <c r="A2" s="1" t="s">
        <v>26</v>
      </c>
      <c r="C2" s="1"/>
      <c r="D2" s="1"/>
      <c r="E2" s="1"/>
      <c r="F2" s="1"/>
    </row>
    <row r="3" spans="1:6" ht="18.5" x14ac:dyDescent="0.45">
      <c r="A3" s="1" t="s">
        <v>27</v>
      </c>
      <c r="B3" s="1"/>
      <c r="C3" s="1"/>
      <c r="D3" s="1"/>
      <c r="E3" s="1"/>
      <c r="F3" s="1"/>
    </row>
    <row r="4" spans="1:6" ht="18.5" x14ac:dyDescent="0.45">
      <c r="A4" s="1" t="s">
        <v>356</v>
      </c>
      <c r="B4" s="1"/>
      <c r="C4" s="1"/>
      <c r="D4" s="1"/>
      <c r="E4" s="1"/>
      <c r="F4" s="1"/>
    </row>
    <row r="5" spans="1:6" ht="18.5" x14ac:dyDescent="0.45">
      <c r="A5" s="1" t="s">
        <v>28</v>
      </c>
      <c r="B5" s="1"/>
      <c r="C5" s="1"/>
      <c r="D5" s="1"/>
      <c r="E5" s="1"/>
      <c r="F5" s="1"/>
    </row>
    <row r="6" spans="1:6" ht="18.5" x14ac:dyDescent="0.45">
      <c r="A6" s="1" t="s">
        <v>29</v>
      </c>
      <c r="B6" s="1"/>
      <c r="C6" s="1"/>
      <c r="D6" s="1" t="s">
        <v>11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6">
        <v>45839</v>
      </c>
      <c r="B8" s="5">
        <v>12595</v>
      </c>
      <c r="C8" s="5" t="s">
        <v>21</v>
      </c>
      <c r="D8" s="7">
        <v>50000</v>
      </c>
      <c r="E8" s="7">
        <v>50000</v>
      </c>
      <c r="F8" s="7">
        <v>650000</v>
      </c>
    </row>
    <row r="9" spans="1:6" x14ac:dyDescent="0.35">
      <c r="A9" s="6">
        <v>45902</v>
      </c>
      <c r="B9" s="5">
        <v>9277</v>
      </c>
      <c r="C9" s="5" t="s">
        <v>14</v>
      </c>
      <c r="D9" s="7">
        <v>10000</v>
      </c>
      <c r="E9" s="7">
        <f t="shared" ref="E9:E22" si="0">SUM(E8+D9)</f>
        <v>60000</v>
      </c>
      <c r="F9" s="7">
        <f t="shared" ref="F9:F22" si="1">F8-D9</f>
        <v>640000</v>
      </c>
    </row>
    <row r="10" spans="1:6" x14ac:dyDescent="0.35">
      <c r="A10" s="6">
        <v>45903</v>
      </c>
      <c r="B10" s="5">
        <v>9678</v>
      </c>
      <c r="C10" s="5" t="s">
        <v>14</v>
      </c>
      <c r="D10" s="7">
        <v>10000</v>
      </c>
      <c r="E10" s="7">
        <f t="shared" si="0"/>
        <v>70000</v>
      </c>
      <c r="F10" s="7">
        <f t="shared" si="1"/>
        <v>630000</v>
      </c>
    </row>
    <row r="11" spans="1:6" x14ac:dyDescent="0.35">
      <c r="A11" s="6">
        <v>45996</v>
      </c>
      <c r="B11" s="5">
        <v>10953</v>
      </c>
      <c r="C11" s="5" t="s">
        <v>14</v>
      </c>
      <c r="D11" s="7">
        <v>10000</v>
      </c>
      <c r="E11" s="7">
        <f t="shared" si="0"/>
        <v>80000</v>
      </c>
      <c r="F11" s="7">
        <f t="shared" si="1"/>
        <v>620000</v>
      </c>
    </row>
    <row r="12" spans="1:6" x14ac:dyDescent="0.35">
      <c r="A12" s="6">
        <v>45814</v>
      </c>
      <c r="B12" s="5">
        <v>10479</v>
      </c>
      <c r="C12" s="5" t="s">
        <v>14</v>
      </c>
      <c r="D12" s="7">
        <v>20000</v>
      </c>
      <c r="E12" s="7">
        <f t="shared" si="0"/>
        <v>100000</v>
      </c>
      <c r="F12" s="7">
        <f t="shared" si="1"/>
        <v>600000</v>
      </c>
    </row>
    <row r="13" spans="1:6" x14ac:dyDescent="0.35">
      <c r="A13" s="6">
        <v>45907</v>
      </c>
      <c r="B13" s="5">
        <v>12833</v>
      </c>
      <c r="C13" s="5" t="s">
        <v>14</v>
      </c>
      <c r="D13" s="7">
        <v>10000</v>
      </c>
      <c r="E13" s="7">
        <f t="shared" si="0"/>
        <v>110000</v>
      </c>
      <c r="F13" s="7">
        <f t="shared" si="1"/>
        <v>590000</v>
      </c>
    </row>
    <row r="14" spans="1:6" x14ac:dyDescent="0.35">
      <c r="A14" s="6">
        <v>45665</v>
      </c>
      <c r="B14" s="5">
        <v>12336</v>
      </c>
      <c r="C14" s="5" t="s">
        <v>14</v>
      </c>
      <c r="D14" s="7">
        <v>10000</v>
      </c>
      <c r="E14" s="7">
        <f t="shared" si="0"/>
        <v>120000</v>
      </c>
      <c r="F14" s="7">
        <f t="shared" si="1"/>
        <v>580000</v>
      </c>
    </row>
    <row r="15" spans="1:6" x14ac:dyDescent="0.35">
      <c r="A15" s="6">
        <v>45787</v>
      </c>
      <c r="B15" s="5">
        <v>13889</v>
      </c>
      <c r="C15" s="5" t="s">
        <v>14</v>
      </c>
      <c r="D15" s="7">
        <v>10000</v>
      </c>
      <c r="E15" s="7">
        <f t="shared" si="0"/>
        <v>130000</v>
      </c>
      <c r="F15" s="7">
        <f t="shared" si="1"/>
        <v>570000</v>
      </c>
    </row>
    <row r="16" spans="1:6" x14ac:dyDescent="0.35">
      <c r="A16" s="6">
        <v>45972</v>
      </c>
      <c r="B16" s="5">
        <v>13339</v>
      </c>
      <c r="C16" s="5" t="s">
        <v>14</v>
      </c>
      <c r="D16" s="7">
        <v>20000</v>
      </c>
      <c r="E16" s="7">
        <f t="shared" si="0"/>
        <v>150000</v>
      </c>
      <c r="F16" s="7">
        <f t="shared" si="1"/>
        <v>550000</v>
      </c>
    </row>
    <row r="17" spans="1:6" x14ac:dyDescent="0.35">
      <c r="A17" s="6">
        <v>46296</v>
      </c>
      <c r="B17" s="5">
        <v>12057</v>
      </c>
      <c r="C17" s="5" t="s">
        <v>14</v>
      </c>
      <c r="D17" s="7">
        <v>10000</v>
      </c>
      <c r="E17" s="7">
        <f t="shared" si="0"/>
        <v>160000</v>
      </c>
      <c r="F17" s="7">
        <f t="shared" si="1"/>
        <v>540000</v>
      </c>
    </row>
    <row r="18" spans="1:6" x14ac:dyDescent="0.35">
      <c r="A18" s="6">
        <v>46205</v>
      </c>
      <c r="B18" s="5">
        <v>12367</v>
      </c>
      <c r="C18" s="5" t="s">
        <v>14</v>
      </c>
      <c r="D18" s="7">
        <v>10000</v>
      </c>
      <c r="E18" s="7">
        <f t="shared" si="0"/>
        <v>170000</v>
      </c>
      <c r="F18" s="7">
        <f t="shared" si="1"/>
        <v>530000</v>
      </c>
    </row>
    <row r="19" spans="1:6" x14ac:dyDescent="0.35">
      <c r="A19" s="12">
        <v>46359</v>
      </c>
      <c r="B19" s="13">
        <v>12840</v>
      </c>
      <c r="C19" s="5" t="s">
        <v>14</v>
      </c>
      <c r="D19" s="7">
        <v>10000</v>
      </c>
      <c r="E19" s="7">
        <f t="shared" si="0"/>
        <v>180000</v>
      </c>
      <c r="F19" s="7">
        <f t="shared" si="1"/>
        <v>520000</v>
      </c>
    </row>
    <row r="20" spans="1:6" x14ac:dyDescent="0.35">
      <c r="A20" s="12">
        <v>46146</v>
      </c>
      <c r="B20" s="13">
        <v>13147</v>
      </c>
      <c r="C20" s="5" t="s">
        <v>14</v>
      </c>
      <c r="D20" s="7">
        <v>10000</v>
      </c>
      <c r="E20" s="7">
        <f t="shared" si="0"/>
        <v>190000</v>
      </c>
      <c r="F20" s="7">
        <f t="shared" si="1"/>
        <v>510000</v>
      </c>
    </row>
    <row r="21" spans="1:6" x14ac:dyDescent="0.35">
      <c r="A21" s="12">
        <v>46360</v>
      </c>
      <c r="B21" s="13">
        <v>13260</v>
      </c>
      <c r="C21" s="5" t="s">
        <v>14</v>
      </c>
      <c r="D21" s="7">
        <v>10000</v>
      </c>
      <c r="E21" s="7">
        <f t="shared" si="0"/>
        <v>200000</v>
      </c>
      <c r="F21" s="7">
        <f t="shared" si="1"/>
        <v>500000</v>
      </c>
    </row>
    <row r="22" spans="1:6" x14ac:dyDescent="0.35">
      <c r="A22" t="s">
        <v>425</v>
      </c>
      <c r="B22" s="13">
        <v>12978</v>
      </c>
      <c r="C22" s="26" t="s">
        <v>14</v>
      </c>
      <c r="D22" s="27">
        <v>10000</v>
      </c>
      <c r="E22" s="27">
        <f t="shared" si="0"/>
        <v>210000</v>
      </c>
      <c r="F22" s="27">
        <f t="shared" si="1"/>
        <v>490000</v>
      </c>
    </row>
    <row r="23" spans="1:6" x14ac:dyDescent="0.35">
      <c r="A23" s="5" t="s">
        <v>424</v>
      </c>
      <c r="B23" s="5">
        <v>13565</v>
      </c>
      <c r="C23" s="5" t="s">
        <v>14</v>
      </c>
      <c r="D23" s="7">
        <v>10000</v>
      </c>
      <c r="E23" s="7">
        <f>E22+D23</f>
        <v>220000</v>
      </c>
      <c r="F23" s="7">
        <f>F22-D23</f>
        <v>480000</v>
      </c>
    </row>
    <row r="24" spans="1:6" x14ac:dyDescent="0.35">
      <c r="A24" s="6">
        <v>46150</v>
      </c>
      <c r="B24" s="5">
        <v>1648</v>
      </c>
      <c r="C24" s="5" t="s">
        <v>14</v>
      </c>
      <c r="D24" s="7">
        <v>10000</v>
      </c>
      <c r="E24" s="7">
        <f>E23+D24</f>
        <v>230000</v>
      </c>
      <c r="F24" s="7">
        <f>F23-D24</f>
        <v>470000</v>
      </c>
    </row>
    <row r="25" spans="1:6" x14ac:dyDescent="0.35">
      <c r="A25" t="s">
        <v>597</v>
      </c>
      <c r="B25" s="13">
        <v>2112</v>
      </c>
      <c r="C25" s="13" t="s">
        <v>598</v>
      </c>
      <c r="D25" s="14">
        <v>20000</v>
      </c>
      <c r="E25" s="14">
        <f>E24+D25</f>
        <v>250000</v>
      </c>
      <c r="F25" s="14">
        <f>F24-D25</f>
        <v>450000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opLeftCell="A17" workbookViewId="0">
      <selection activeCell="F29" sqref="F29"/>
    </sheetView>
  </sheetViews>
  <sheetFormatPr defaultRowHeight="14.5" x14ac:dyDescent="0.35"/>
  <cols>
    <col min="1" max="1" width="10.453125" bestFit="1" customWidth="1"/>
    <col min="2" max="2" width="9.453125" bestFit="1" customWidth="1"/>
    <col min="3" max="3" width="13.08984375" customWidth="1"/>
    <col min="6" max="6" width="15.26953125" bestFit="1" customWidth="1"/>
  </cols>
  <sheetData>
    <row r="1" spans="1:6" ht="18.5" x14ac:dyDescent="0.45">
      <c r="A1" s="1" t="s">
        <v>15</v>
      </c>
      <c r="B1" s="1"/>
      <c r="C1" s="2"/>
      <c r="D1" s="1"/>
      <c r="E1" s="1"/>
      <c r="F1" s="1"/>
    </row>
    <row r="2" spans="1:6" ht="18.5" x14ac:dyDescent="0.45">
      <c r="A2" s="1" t="s">
        <v>16</v>
      </c>
      <c r="C2" s="1"/>
      <c r="D2" s="1"/>
      <c r="E2" s="1"/>
      <c r="F2" s="1"/>
    </row>
    <row r="3" spans="1:6" ht="18.5" x14ac:dyDescent="0.45">
      <c r="A3" s="1" t="s">
        <v>17</v>
      </c>
      <c r="B3" s="1"/>
      <c r="C3" s="1"/>
      <c r="D3" s="1"/>
      <c r="E3" s="1"/>
      <c r="F3" s="1"/>
    </row>
    <row r="4" spans="1:6" ht="18.5" x14ac:dyDescent="0.45">
      <c r="A4" s="1" t="s">
        <v>358</v>
      </c>
      <c r="B4" s="1"/>
      <c r="C4" s="1"/>
      <c r="D4" s="1"/>
      <c r="E4" s="1"/>
      <c r="F4" s="1"/>
    </row>
    <row r="5" spans="1:6" ht="18.5" x14ac:dyDescent="0.45">
      <c r="A5" s="1" t="s">
        <v>18</v>
      </c>
      <c r="B5" s="1"/>
      <c r="C5" s="1"/>
      <c r="D5" s="1"/>
      <c r="E5" s="1"/>
      <c r="F5" s="1"/>
    </row>
    <row r="6" spans="1:6" ht="18.5" x14ac:dyDescent="0.45">
      <c r="A6" s="1" t="s">
        <v>19</v>
      </c>
      <c r="B6" s="1"/>
      <c r="C6" s="1"/>
      <c r="D6" s="1" t="s">
        <v>11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6">
        <v>45516</v>
      </c>
      <c r="B8" s="5">
        <v>15</v>
      </c>
      <c r="C8" s="5" t="s">
        <v>20</v>
      </c>
      <c r="D8" s="5">
        <v>5000</v>
      </c>
      <c r="E8" s="5">
        <v>5000</v>
      </c>
      <c r="F8" s="7">
        <v>695000</v>
      </c>
    </row>
    <row r="9" spans="1:6" x14ac:dyDescent="0.35">
      <c r="A9" s="6">
        <v>45839</v>
      </c>
      <c r="B9" s="5">
        <v>12958</v>
      </c>
      <c r="C9" s="5" t="s">
        <v>21</v>
      </c>
      <c r="D9" s="7">
        <v>45000</v>
      </c>
      <c r="E9" s="7">
        <f>SUM(E8+D9)</f>
        <v>50000</v>
      </c>
      <c r="F9" s="7">
        <f>F8-D9</f>
        <v>650000</v>
      </c>
    </row>
    <row r="10" spans="1:6" x14ac:dyDescent="0.35">
      <c r="A10" s="6">
        <v>45902</v>
      </c>
      <c r="B10" s="5">
        <v>9281</v>
      </c>
      <c r="C10" s="5" t="s">
        <v>23</v>
      </c>
      <c r="D10" s="7">
        <v>10000</v>
      </c>
      <c r="E10" s="7">
        <f t="shared" ref="E10:E25" si="0">SUM(E9+D10)</f>
        <v>60000</v>
      </c>
      <c r="F10" s="7">
        <f t="shared" ref="F10:F25" si="1">F9-D10</f>
        <v>640000</v>
      </c>
    </row>
    <row r="11" spans="1:6" x14ac:dyDescent="0.35">
      <c r="A11" s="6">
        <v>45903</v>
      </c>
      <c r="B11" s="5">
        <v>9684</v>
      </c>
      <c r="C11" s="5" t="s">
        <v>23</v>
      </c>
      <c r="D11" s="7">
        <v>10000</v>
      </c>
      <c r="E11" s="7">
        <f t="shared" si="0"/>
        <v>70000</v>
      </c>
      <c r="F11" s="7">
        <f t="shared" si="1"/>
        <v>630000</v>
      </c>
    </row>
    <row r="12" spans="1:6" x14ac:dyDescent="0.35">
      <c r="A12" s="6">
        <v>45965</v>
      </c>
      <c r="B12" s="5">
        <v>10106</v>
      </c>
      <c r="C12" s="5" t="s">
        <v>23</v>
      </c>
      <c r="D12" s="7">
        <v>10000</v>
      </c>
      <c r="E12" s="7">
        <f t="shared" si="0"/>
        <v>80000</v>
      </c>
      <c r="F12" s="7">
        <f t="shared" si="1"/>
        <v>620000</v>
      </c>
    </row>
    <row r="13" spans="1:6" x14ac:dyDescent="0.35">
      <c r="A13" s="6">
        <v>45996</v>
      </c>
      <c r="B13" s="5">
        <v>10956</v>
      </c>
      <c r="C13" s="5" t="s">
        <v>23</v>
      </c>
      <c r="D13" s="7">
        <v>10000</v>
      </c>
      <c r="E13" s="7">
        <f t="shared" si="0"/>
        <v>90000</v>
      </c>
      <c r="F13" s="7">
        <f t="shared" si="1"/>
        <v>610000</v>
      </c>
    </row>
    <row r="14" spans="1:6" x14ac:dyDescent="0.35">
      <c r="A14" s="6">
        <v>45814</v>
      </c>
      <c r="B14" s="5">
        <v>10482</v>
      </c>
      <c r="C14" s="5" t="s">
        <v>23</v>
      </c>
      <c r="D14" s="7">
        <v>10000</v>
      </c>
      <c r="E14" s="7">
        <f t="shared" si="0"/>
        <v>100000</v>
      </c>
      <c r="F14" s="7">
        <f t="shared" si="1"/>
        <v>600000</v>
      </c>
    </row>
    <row r="15" spans="1:6" x14ac:dyDescent="0.35">
      <c r="A15" s="6">
        <v>45907</v>
      </c>
      <c r="B15" s="5">
        <v>12838</v>
      </c>
      <c r="C15" s="5" t="s">
        <v>23</v>
      </c>
      <c r="D15" s="7">
        <v>10000</v>
      </c>
      <c r="E15" s="7">
        <f t="shared" si="0"/>
        <v>110000</v>
      </c>
      <c r="F15" s="7">
        <f t="shared" si="1"/>
        <v>590000</v>
      </c>
    </row>
    <row r="16" spans="1:6" x14ac:dyDescent="0.35">
      <c r="A16" s="5" t="s">
        <v>22</v>
      </c>
      <c r="B16" s="5">
        <v>12951</v>
      </c>
      <c r="C16" s="5" t="s">
        <v>23</v>
      </c>
      <c r="D16" s="7">
        <v>10000</v>
      </c>
      <c r="E16" s="7">
        <f t="shared" si="0"/>
        <v>120000</v>
      </c>
      <c r="F16" s="7">
        <f t="shared" si="1"/>
        <v>580000</v>
      </c>
    </row>
    <row r="17" spans="1:6" x14ac:dyDescent="0.35">
      <c r="A17" s="6">
        <v>45847</v>
      </c>
      <c r="B17" s="5">
        <v>1636</v>
      </c>
      <c r="C17" s="5" t="s">
        <v>23</v>
      </c>
      <c r="D17" s="7">
        <v>10000</v>
      </c>
      <c r="E17" s="7">
        <f t="shared" si="0"/>
        <v>130000</v>
      </c>
      <c r="F17" s="7">
        <f t="shared" si="1"/>
        <v>570000</v>
      </c>
    </row>
    <row r="18" spans="1:6" x14ac:dyDescent="0.35">
      <c r="A18" s="6">
        <v>45787</v>
      </c>
      <c r="B18" s="5">
        <v>13890</v>
      </c>
      <c r="C18" s="5" t="s">
        <v>23</v>
      </c>
      <c r="D18" s="7">
        <v>10000</v>
      </c>
      <c r="E18" s="7">
        <f t="shared" si="0"/>
        <v>140000</v>
      </c>
      <c r="F18" s="7">
        <f t="shared" si="1"/>
        <v>560000</v>
      </c>
    </row>
    <row r="19" spans="1:6" x14ac:dyDescent="0.35">
      <c r="A19" s="6">
        <v>45972</v>
      </c>
      <c r="B19" s="5">
        <v>13338</v>
      </c>
      <c r="C19" s="5" t="s">
        <v>23</v>
      </c>
      <c r="D19" s="7">
        <v>10000</v>
      </c>
      <c r="E19" s="7">
        <f t="shared" si="0"/>
        <v>150000</v>
      </c>
      <c r="F19" s="7">
        <f t="shared" si="1"/>
        <v>550000</v>
      </c>
    </row>
    <row r="20" spans="1:6" x14ac:dyDescent="0.35">
      <c r="A20" s="6">
        <v>46143</v>
      </c>
      <c r="B20" s="5">
        <v>12001</v>
      </c>
      <c r="C20" s="5" t="s">
        <v>23</v>
      </c>
      <c r="D20" s="7">
        <v>10000</v>
      </c>
      <c r="E20" s="7">
        <f t="shared" si="0"/>
        <v>160000</v>
      </c>
      <c r="F20" s="7">
        <f t="shared" si="1"/>
        <v>540000</v>
      </c>
    </row>
    <row r="21" spans="1:6" x14ac:dyDescent="0.35">
      <c r="A21" s="6">
        <v>46205</v>
      </c>
      <c r="B21" s="5">
        <v>12364</v>
      </c>
      <c r="C21" s="5" t="s">
        <v>23</v>
      </c>
      <c r="D21" s="7">
        <v>10000</v>
      </c>
      <c r="E21" s="7">
        <f t="shared" si="0"/>
        <v>170000</v>
      </c>
      <c r="F21" s="7">
        <f t="shared" si="1"/>
        <v>530000</v>
      </c>
    </row>
    <row r="22" spans="1:6" x14ac:dyDescent="0.35">
      <c r="A22" s="12">
        <v>46359</v>
      </c>
      <c r="B22" s="13">
        <v>12838</v>
      </c>
      <c r="C22" s="5" t="s">
        <v>23</v>
      </c>
      <c r="D22" s="7">
        <v>10000</v>
      </c>
      <c r="E22" s="7">
        <f t="shared" si="0"/>
        <v>180000</v>
      </c>
      <c r="F22" s="7">
        <f t="shared" si="1"/>
        <v>520000</v>
      </c>
    </row>
    <row r="23" spans="1:6" x14ac:dyDescent="0.35">
      <c r="A23" s="12">
        <v>46146</v>
      </c>
      <c r="B23" s="13">
        <v>13144</v>
      </c>
      <c r="C23" s="5" t="s">
        <v>23</v>
      </c>
      <c r="D23" s="7">
        <v>10000</v>
      </c>
      <c r="E23" s="7">
        <f t="shared" si="0"/>
        <v>190000</v>
      </c>
      <c r="F23" s="7">
        <f t="shared" si="1"/>
        <v>510000</v>
      </c>
    </row>
    <row r="24" spans="1:6" x14ac:dyDescent="0.35">
      <c r="A24" s="12">
        <v>46360</v>
      </c>
      <c r="B24" s="13">
        <v>13259</v>
      </c>
      <c r="C24" s="5" t="s">
        <v>23</v>
      </c>
      <c r="D24" s="7">
        <v>10000</v>
      </c>
      <c r="E24" s="7">
        <f t="shared" si="0"/>
        <v>200000</v>
      </c>
      <c r="F24" s="7">
        <f t="shared" si="1"/>
        <v>500000</v>
      </c>
    </row>
    <row r="25" spans="1:6" x14ac:dyDescent="0.35">
      <c r="A25" s="12">
        <v>46270</v>
      </c>
      <c r="B25" s="13">
        <v>12977</v>
      </c>
      <c r="C25" s="5" t="s">
        <v>23</v>
      </c>
      <c r="D25" s="7">
        <v>10000</v>
      </c>
      <c r="E25" s="7">
        <f t="shared" si="0"/>
        <v>210000</v>
      </c>
      <c r="F25" s="7">
        <f t="shared" si="1"/>
        <v>490000</v>
      </c>
    </row>
    <row r="26" spans="1:6" x14ac:dyDescent="0.35">
      <c r="A26" t="s">
        <v>424</v>
      </c>
      <c r="B26" s="13">
        <v>13563</v>
      </c>
      <c r="C26" s="13" t="s">
        <v>23</v>
      </c>
      <c r="D26" s="32">
        <v>10000</v>
      </c>
      <c r="E26" s="32">
        <f>E25+D26</f>
        <v>220000</v>
      </c>
      <c r="F26" s="32">
        <f>F25-D26</f>
        <v>480000</v>
      </c>
    </row>
    <row r="27" spans="1:6" x14ac:dyDescent="0.35">
      <c r="A27" s="12">
        <v>46150</v>
      </c>
      <c r="B27" s="13">
        <v>1652</v>
      </c>
      <c r="C27" s="13" t="s">
        <v>454</v>
      </c>
      <c r="D27" s="14">
        <v>10000</v>
      </c>
      <c r="E27" s="14">
        <f>E26+D27</f>
        <v>230000</v>
      </c>
      <c r="F27" s="14">
        <f>F26-D27</f>
        <v>470000</v>
      </c>
    </row>
    <row r="28" spans="1:6" x14ac:dyDescent="0.35">
      <c r="A28" t="s">
        <v>597</v>
      </c>
      <c r="B28" s="13">
        <v>2116</v>
      </c>
      <c r="C28" s="13" t="s">
        <v>454</v>
      </c>
      <c r="D28" s="14">
        <v>20000</v>
      </c>
      <c r="E28" s="14">
        <f>E27+D28</f>
        <v>250000</v>
      </c>
      <c r="F28" s="14">
        <f>F27-D28</f>
        <v>450000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17" workbookViewId="0">
      <selection activeCell="F28" sqref="F28"/>
    </sheetView>
  </sheetViews>
  <sheetFormatPr defaultRowHeight="14.5" x14ac:dyDescent="0.35"/>
  <cols>
    <col min="1" max="1" width="10.453125" bestFit="1" customWidth="1"/>
    <col min="3" max="3" width="12.453125" customWidth="1"/>
    <col min="4" max="4" width="12" customWidth="1"/>
    <col min="5" max="5" width="10.6328125" customWidth="1"/>
    <col min="6" max="6" width="15.26953125" bestFit="1" customWidth="1"/>
  </cols>
  <sheetData>
    <row r="1" spans="1:6" ht="18.5" x14ac:dyDescent="0.45">
      <c r="A1" s="1" t="s">
        <v>15</v>
      </c>
      <c r="B1" s="1"/>
      <c r="C1" s="2"/>
      <c r="D1" s="1"/>
      <c r="E1" s="1"/>
      <c r="F1" s="1"/>
    </row>
    <row r="2" spans="1:6" ht="18.5" x14ac:dyDescent="0.45">
      <c r="A2" s="1" t="s">
        <v>16</v>
      </c>
      <c r="C2" s="1"/>
      <c r="D2" s="1"/>
      <c r="E2" s="1"/>
      <c r="F2" s="1"/>
    </row>
    <row r="3" spans="1:6" ht="18.5" x14ac:dyDescent="0.45">
      <c r="A3" s="1" t="s">
        <v>17</v>
      </c>
      <c r="B3" s="1"/>
      <c r="C3" s="1"/>
      <c r="D3" s="1"/>
      <c r="E3" s="1"/>
      <c r="F3" s="1"/>
    </row>
    <row r="4" spans="1:6" ht="18.5" x14ac:dyDescent="0.45">
      <c r="A4" s="1" t="s">
        <v>360</v>
      </c>
      <c r="B4" s="1"/>
      <c r="C4" s="1"/>
      <c r="D4" s="1"/>
      <c r="E4" s="1"/>
      <c r="F4" s="1"/>
    </row>
    <row r="5" spans="1:6" ht="18.5" x14ac:dyDescent="0.45">
      <c r="A5" s="1" t="s">
        <v>18</v>
      </c>
      <c r="B5" s="1"/>
      <c r="C5" s="1"/>
      <c r="D5" s="1"/>
      <c r="E5" s="1"/>
      <c r="F5" s="1"/>
    </row>
    <row r="6" spans="1:6" ht="18.5" x14ac:dyDescent="0.45">
      <c r="A6" s="1" t="s">
        <v>24</v>
      </c>
      <c r="B6" s="1"/>
      <c r="C6" s="1"/>
      <c r="D6" s="1"/>
      <c r="E6" s="1" t="s">
        <v>11</v>
      </c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6">
        <v>45839</v>
      </c>
      <c r="B8" s="5">
        <v>12957</v>
      </c>
      <c r="C8" s="5" t="s">
        <v>21</v>
      </c>
      <c r="D8" s="7">
        <v>50000</v>
      </c>
      <c r="E8" s="7">
        <v>50000</v>
      </c>
      <c r="F8" s="7">
        <v>650000</v>
      </c>
    </row>
    <row r="9" spans="1:6" x14ac:dyDescent="0.35">
      <c r="A9" s="6">
        <v>45902</v>
      </c>
      <c r="B9" s="5">
        <v>9282</v>
      </c>
      <c r="C9" s="5" t="s">
        <v>14</v>
      </c>
      <c r="D9" s="7">
        <v>10000</v>
      </c>
      <c r="E9" s="7">
        <f>(E8+D9)</f>
        <v>60000</v>
      </c>
      <c r="F9" s="7">
        <f>F8-D9</f>
        <v>640000</v>
      </c>
    </row>
    <row r="10" spans="1:6" x14ac:dyDescent="0.35">
      <c r="A10" s="6">
        <v>45903</v>
      </c>
      <c r="B10" s="5">
        <v>9681</v>
      </c>
      <c r="C10" s="5" t="s">
        <v>14</v>
      </c>
      <c r="D10" s="7">
        <v>10000</v>
      </c>
      <c r="E10" s="7">
        <f t="shared" ref="E10:E24" si="0">(E9+D10)</f>
        <v>70000</v>
      </c>
      <c r="F10" s="7">
        <f t="shared" ref="F10:F24" si="1">F9-D10</f>
        <v>630000</v>
      </c>
    </row>
    <row r="11" spans="1:6" x14ac:dyDescent="0.35">
      <c r="A11" s="6">
        <v>45965</v>
      </c>
      <c r="B11" s="5">
        <v>10108</v>
      </c>
      <c r="C11" s="5" t="s">
        <v>14</v>
      </c>
      <c r="D11" s="7">
        <v>10000</v>
      </c>
      <c r="E11" s="7">
        <f t="shared" si="0"/>
        <v>80000</v>
      </c>
      <c r="F11" s="7">
        <f t="shared" si="1"/>
        <v>620000</v>
      </c>
    </row>
    <row r="12" spans="1:6" x14ac:dyDescent="0.35">
      <c r="A12" s="6">
        <v>45996</v>
      </c>
      <c r="B12" s="5">
        <v>10957</v>
      </c>
      <c r="C12" s="5" t="s">
        <v>14</v>
      </c>
      <c r="D12" s="7">
        <v>10000</v>
      </c>
      <c r="E12" s="7">
        <f t="shared" si="0"/>
        <v>90000</v>
      </c>
      <c r="F12" s="7">
        <f t="shared" si="1"/>
        <v>610000</v>
      </c>
    </row>
    <row r="13" spans="1:6" x14ac:dyDescent="0.35">
      <c r="A13" s="6">
        <v>45814</v>
      </c>
      <c r="B13" s="5">
        <v>10481</v>
      </c>
      <c r="C13" s="5" t="s">
        <v>14</v>
      </c>
      <c r="D13" s="7">
        <v>10000</v>
      </c>
      <c r="E13" s="7">
        <f t="shared" si="0"/>
        <v>100000</v>
      </c>
      <c r="F13" s="7">
        <f t="shared" si="1"/>
        <v>600000</v>
      </c>
    </row>
    <row r="14" spans="1:6" x14ac:dyDescent="0.35">
      <c r="A14" s="6">
        <v>45907</v>
      </c>
      <c r="B14" s="5">
        <v>12836</v>
      </c>
      <c r="C14" s="5" t="s">
        <v>14</v>
      </c>
      <c r="D14" s="7">
        <v>10000</v>
      </c>
      <c r="E14" s="7">
        <f t="shared" si="0"/>
        <v>110000</v>
      </c>
      <c r="F14" s="7">
        <f t="shared" si="1"/>
        <v>590000</v>
      </c>
    </row>
    <row r="15" spans="1:6" x14ac:dyDescent="0.35">
      <c r="A15" s="5" t="s">
        <v>22</v>
      </c>
      <c r="B15" s="5">
        <v>12952</v>
      </c>
      <c r="C15" s="5" t="s">
        <v>14</v>
      </c>
      <c r="D15" s="7">
        <v>10000</v>
      </c>
      <c r="E15" s="7">
        <f t="shared" si="0"/>
        <v>120000</v>
      </c>
      <c r="F15" s="7">
        <f t="shared" si="1"/>
        <v>580000</v>
      </c>
    </row>
    <row r="16" spans="1:6" x14ac:dyDescent="0.35">
      <c r="A16" s="6">
        <v>45847</v>
      </c>
      <c r="B16" s="5">
        <v>12635</v>
      </c>
      <c r="C16" s="5" t="s">
        <v>14</v>
      </c>
      <c r="D16" s="7">
        <v>10000</v>
      </c>
      <c r="E16" s="7">
        <f t="shared" si="0"/>
        <v>130000</v>
      </c>
      <c r="F16" s="7">
        <f t="shared" si="1"/>
        <v>570000</v>
      </c>
    </row>
    <row r="17" spans="1:6" x14ac:dyDescent="0.35">
      <c r="A17" s="6">
        <v>45787</v>
      </c>
      <c r="B17" s="5">
        <v>13891</v>
      </c>
      <c r="C17" s="5" t="s">
        <v>14</v>
      </c>
      <c r="D17" s="7">
        <v>10000</v>
      </c>
      <c r="E17" s="7">
        <f t="shared" si="0"/>
        <v>140000</v>
      </c>
      <c r="F17" s="7">
        <f t="shared" si="1"/>
        <v>560000</v>
      </c>
    </row>
    <row r="18" spans="1:6" x14ac:dyDescent="0.35">
      <c r="A18" s="6">
        <v>45972</v>
      </c>
      <c r="B18" s="5">
        <v>13440</v>
      </c>
      <c r="C18" s="5" t="s">
        <v>14</v>
      </c>
      <c r="D18" s="7">
        <v>10000</v>
      </c>
      <c r="E18" s="7">
        <f t="shared" si="0"/>
        <v>150000</v>
      </c>
      <c r="F18" s="7">
        <f t="shared" si="1"/>
        <v>550000</v>
      </c>
    </row>
    <row r="19" spans="1:6" x14ac:dyDescent="0.35">
      <c r="A19" s="6">
        <v>46143</v>
      </c>
      <c r="B19" s="5">
        <v>12002</v>
      </c>
      <c r="C19" s="5" t="s">
        <v>14</v>
      </c>
      <c r="D19" s="7">
        <v>10000</v>
      </c>
      <c r="E19" s="7">
        <f t="shared" si="0"/>
        <v>160000</v>
      </c>
      <c r="F19" s="7">
        <f t="shared" si="1"/>
        <v>540000</v>
      </c>
    </row>
    <row r="20" spans="1:6" x14ac:dyDescent="0.35">
      <c r="A20" s="6">
        <v>46205</v>
      </c>
      <c r="B20" s="5">
        <v>12365</v>
      </c>
      <c r="C20" s="5" t="s">
        <v>14</v>
      </c>
      <c r="D20" s="7">
        <v>10000</v>
      </c>
      <c r="E20" s="7">
        <f t="shared" si="0"/>
        <v>170000</v>
      </c>
      <c r="F20" s="7">
        <f t="shared" si="1"/>
        <v>530000</v>
      </c>
    </row>
    <row r="21" spans="1:6" x14ac:dyDescent="0.35">
      <c r="A21" s="12">
        <v>46359</v>
      </c>
      <c r="B21" s="13">
        <v>12839</v>
      </c>
      <c r="C21" s="5" t="s">
        <v>14</v>
      </c>
      <c r="D21" s="7">
        <v>10000</v>
      </c>
      <c r="E21" s="7">
        <f t="shared" si="0"/>
        <v>180000</v>
      </c>
      <c r="F21" s="7">
        <f t="shared" si="1"/>
        <v>520000</v>
      </c>
    </row>
    <row r="22" spans="1:6" x14ac:dyDescent="0.35">
      <c r="A22" s="12">
        <v>46146</v>
      </c>
      <c r="B22" s="13">
        <v>13145</v>
      </c>
      <c r="C22" s="5" t="s">
        <v>14</v>
      </c>
      <c r="D22" s="7">
        <v>10000</v>
      </c>
      <c r="E22" s="7">
        <f t="shared" si="0"/>
        <v>190000</v>
      </c>
      <c r="F22" s="7">
        <f t="shared" si="1"/>
        <v>510000</v>
      </c>
    </row>
    <row r="23" spans="1:6" x14ac:dyDescent="0.35">
      <c r="A23" s="12">
        <v>46360</v>
      </c>
      <c r="B23" s="13">
        <v>13258</v>
      </c>
      <c r="C23" s="5" t="s">
        <v>14</v>
      </c>
      <c r="D23" s="7">
        <v>10000</v>
      </c>
      <c r="E23" s="7">
        <f t="shared" si="0"/>
        <v>200000</v>
      </c>
      <c r="F23" s="7">
        <f t="shared" si="1"/>
        <v>500000</v>
      </c>
    </row>
    <row r="24" spans="1:6" x14ac:dyDescent="0.35">
      <c r="A24" s="12">
        <v>46270</v>
      </c>
      <c r="B24" s="13">
        <v>12976</v>
      </c>
      <c r="C24" s="5" t="s">
        <v>14</v>
      </c>
      <c r="D24" s="7">
        <v>10000</v>
      </c>
      <c r="E24" s="7">
        <f t="shared" si="0"/>
        <v>210000</v>
      </c>
      <c r="F24" s="7">
        <f t="shared" si="1"/>
        <v>490000</v>
      </c>
    </row>
    <row r="25" spans="1:6" x14ac:dyDescent="0.35">
      <c r="A25" t="s">
        <v>424</v>
      </c>
      <c r="B25" s="13">
        <v>13564</v>
      </c>
      <c r="C25" s="13" t="s">
        <v>14</v>
      </c>
      <c r="D25" s="32">
        <v>10000</v>
      </c>
      <c r="E25" s="32">
        <f>E24+D25</f>
        <v>220000</v>
      </c>
      <c r="F25" s="32">
        <f>F24-D25</f>
        <v>480000</v>
      </c>
    </row>
    <row r="26" spans="1:6" x14ac:dyDescent="0.35">
      <c r="A26" s="12">
        <v>46150</v>
      </c>
      <c r="B26" s="13">
        <v>1650</v>
      </c>
      <c r="C26" s="13" t="s">
        <v>598</v>
      </c>
      <c r="D26" s="14">
        <v>10000</v>
      </c>
      <c r="E26" s="14">
        <f>E25+D26</f>
        <v>230000</v>
      </c>
      <c r="F26" s="14">
        <f>F25-D26</f>
        <v>470000</v>
      </c>
    </row>
    <row r="27" spans="1:6" x14ac:dyDescent="0.35">
      <c r="A27" t="s">
        <v>597</v>
      </c>
      <c r="B27" s="13">
        <v>2114</v>
      </c>
      <c r="C27" s="13" t="s">
        <v>599</v>
      </c>
      <c r="D27" s="14">
        <v>20000</v>
      </c>
      <c r="E27" s="14">
        <f>E26+D27</f>
        <v>250000</v>
      </c>
      <c r="F27" s="14">
        <f>F26-D27</f>
        <v>450000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13" workbookViewId="0">
      <selection activeCell="D32" sqref="D32"/>
    </sheetView>
  </sheetViews>
  <sheetFormatPr defaultRowHeight="14.5" x14ac:dyDescent="0.35"/>
  <cols>
    <col min="1" max="1" width="10.453125" bestFit="1" customWidth="1"/>
    <col min="3" max="3" width="13.81640625" customWidth="1"/>
    <col min="4" max="4" width="13.1796875" customWidth="1"/>
    <col min="5" max="5" width="12" customWidth="1"/>
    <col min="6" max="6" width="15.26953125" bestFit="1" customWidth="1"/>
  </cols>
  <sheetData>
    <row r="1" spans="1:6" ht="18.5" x14ac:dyDescent="0.45">
      <c r="A1" s="1" t="s">
        <v>6</v>
      </c>
      <c r="B1" s="1"/>
      <c r="C1" s="2"/>
      <c r="D1" s="1"/>
      <c r="E1" s="1"/>
      <c r="F1" s="1"/>
    </row>
    <row r="2" spans="1:6" ht="18.5" x14ac:dyDescent="0.45">
      <c r="A2" s="1" t="s">
        <v>7</v>
      </c>
      <c r="C2" s="1"/>
      <c r="D2" s="1"/>
      <c r="E2" s="1"/>
      <c r="F2" s="1"/>
    </row>
    <row r="3" spans="1:6" ht="18.5" x14ac:dyDescent="0.45">
      <c r="A3" s="1" t="s">
        <v>8</v>
      </c>
      <c r="B3" s="1"/>
      <c r="C3" s="1"/>
      <c r="D3" s="1"/>
      <c r="E3" s="1"/>
      <c r="F3" s="1"/>
    </row>
    <row r="4" spans="1:6" ht="18.5" x14ac:dyDescent="0.45">
      <c r="A4" s="1" t="s">
        <v>359</v>
      </c>
      <c r="B4" s="1"/>
      <c r="C4" s="1"/>
      <c r="D4" s="1"/>
      <c r="E4" s="1"/>
      <c r="F4" s="1"/>
    </row>
    <row r="5" spans="1:6" ht="18.5" x14ac:dyDescent="0.45">
      <c r="A5" s="1" t="s">
        <v>9</v>
      </c>
      <c r="B5" s="1"/>
      <c r="C5" s="1"/>
      <c r="D5" s="1"/>
      <c r="E5" s="1"/>
      <c r="F5" s="1"/>
    </row>
    <row r="6" spans="1:6" ht="18.5" x14ac:dyDescent="0.45">
      <c r="A6" s="1" t="s">
        <v>10</v>
      </c>
      <c r="B6" s="1"/>
      <c r="C6" s="1"/>
      <c r="D6" s="1"/>
      <c r="E6" s="1"/>
      <c r="F6" s="1" t="s">
        <v>11</v>
      </c>
    </row>
    <row r="7" spans="1:6" x14ac:dyDescent="0.35">
      <c r="A7" s="51" t="s">
        <v>0</v>
      </c>
      <c r="B7" s="51" t="s">
        <v>1</v>
      </c>
      <c r="C7" s="51" t="s">
        <v>2</v>
      </c>
      <c r="D7" s="51" t="s">
        <v>3</v>
      </c>
      <c r="E7" s="51" t="s">
        <v>4</v>
      </c>
      <c r="F7" s="51" t="s">
        <v>5</v>
      </c>
    </row>
    <row r="8" spans="1:6" x14ac:dyDescent="0.35">
      <c r="A8" s="52">
        <v>45839</v>
      </c>
      <c r="B8" s="53">
        <v>804</v>
      </c>
      <c r="C8" s="53" t="s">
        <v>12</v>
      </c>
      <c r="D8" s="53">
        <v>5000</v>
      </c>
      <c r="E8" s="53">
        <v>5000</v>
      </c>
      <c r="F8" s="54">
        <v>695000</v>
      </c>
    </row>
    <row r="9" spans="1:6" x14ac:dyDescent="0.35">
      <c r="A9" s="52">
        <v>45992</v>
      </c>
      <c r="B9" s="53">
        <v>12041</v>
      </c>
      <c r="C9" s="53" t="s">
        <v>13</v>
      </c>
      <c r="D9" s="53">
        <v>45000</v>
      </c>
      <c r="E9" s="53">
        <f>SUM(E8+D9)</f>
        <v>50000</v>
      </c>
      <c r="F9" s="54">
        <f>F8-D9</f>
        <v>650000</v>
      </c>
    </row>
    <row r="10" spans="1:6" x14ac:dyDescent="0.35">
      <c r="A10" s="52">
        <v>45902</v>
      </c>
      <c r="B10" s="53">
        <v>9276</v>
      </c>
      <c r="C10" s="53" t="s">
        <v>14</v>
      </c>
      <c r="D10" s="54">
        <v>10000</v>
      </c>
      <c r="E10" s="53">
        <f t="shared" ref="E10:E24" si="0">SUM(E9+D10)</f>
        <v>60000</v>
      </c>
      <c r="F10" s="54">
        <f t="shared" ref="F10:F24" si="1">F9-D10</f>
        <v>640000</v>
      </c>
    </row>
    <row r="11" spans="1:6" x14ac:dyDescent="0.35">
      <c r="A11" s="52">
        <v>45903</v>
      </c>
      <c r="B11" s="53">
        <v>9680</v>
      </c>
      <c r="C11" s="53" t="s">
        <v>14</v>
      </c>
      <c r="D11" s="54">
        <v>10000</v>
      </c>
      <c r="E11" s="53">
        <f t="shared" si="0"/>
        <v>70000</v>
      </c>
      <c r="F11" s="54">
        <f t="shared" si="1"/>
        <v>630000</v>
      </c>
    </row>
    <row r="12" spans="1:6" x14ac:dyDescent="0.35">
      <c r="A12" s="52">
        <v>45965</v>
      </c>
      <c r="B12" s="53">
        <v>10109</v>
      </c>
      <c r="C12" s="53" t="s">
        <v>14</v>
      </c>
      <c r="D12" s="54">
        <v>10000</v>
      </c>
      <c r="E12" s="53">
        <f t="shared" si="0"/>
        <v>80000</v>
      </c>
      <c r="F12" s="54">
        <f t="shared" si="1"/>
        <v>620000</v>
      </c>
    </row>
    <row r="13" spans="1:6" x14ac:dyDescent="0.35">
      <c r="A13" s="52">
        <v>45996</v>
      </c>
      <c r="B13" s="53">
        <v>10954</v>
      </c>
      <c r="C13" s="53" t="s">
        <v>14</v>
      </c>
      <c r="D13" s="54">
        <v>10000</v>
      </c>
      <c r="E13" s="53">
        <f t="shared" si="0"/>
        <v>90000</v>
      </c>
      <c r="F13" s="54">
        <f t="shared" si="1"/>
        <v>610000</v>
      </c>
    </row>
    <row r="14" spans="1:6" x14ac:dyDescent="0.35">
      <c r="A14" s="52">
        <v>45814</v>
      </c>
      <c r="B14" s="53">
        <v>10463</v>
      </c>
      <c r="C14" s="53" t="s">
        <v>14</v>
      </c>
      <c r="D14" s="54">
        <v>10000</v>
      </c>
      <c r="E14" s="53">
        <f t="shared" si="0"/>
        <v>100000</v>
      </c>
      <c r="F14" s="54">
        <f t="shared" si="1"/>
        <v>600000</v>
      </c>
    </row>
    <row r="15" spans="1:6" x14ac:dyDescent="0.35">
      <c r="A15" s="52">
        <v>45907</v>
      </c>
      <c r="B15" s="53">
        <v>13835</v>
      </c>
      <c r="C15" s="53" t="s">
        <v>14</v>
      </c>
      <c r="D15" s="54">
        <v>10000</v>
      </c>
      <c r="E15" s="53">
        <f t="shared" si="0"/>
        <v>110000</v>
      </c>
      <c r="F15" s="54">
        <f t="shared" si="1"/>
        <v>590000</v>
      </c>
    </row>
    <row r="16" spans="1:6" x14ac:dyDescent="0.35">
      <c r="A16" s="52">
        <v>45847</v>
      </c>
      <c r="B16" s="53">
        <v>12633</v>
      </c>
      <c r="C16" s="53" t="s">
        <v>14</v>
      </c>
      <c r="D16" s="54">
        <v>20000</v>
      </c>
      <c r="E16" s="53">
        <f t="shared" si="0"/>
        <v>130000</v>
      </c>
      <c r="F16" s="54">
        <f t="shared" si="1"/>
        <v>570000</v>
      </c>
    </row>
    <row r="17" spans="1:6" x14ac:dyDescent="0.35">
      <c r="A17" s="52">
        <v>45787</v>
      </c>
      <c r="B17" s="53">
        <v>13892</v>
      </c>
      <c r="C17" s="53" t="s">
        <v>14</v>
      </c>
      <c r="D17" s="54">
        <v>10000</v>
      </c>
      <c r="E17" s="53">
        <f t="shared" si="0"/>
        <v>140000</v>
      </c>
      <c r="F17" s="54">
        <f t="shared" si="1"/>
        <v>560000</v>
      </c>
    </row>
    <row r="18" spans="1:6" x14ac:dyDescent="0.35">
      <c r="A18" s="52">
        <v>45972</v>
      </c>
      <c r="B18" s="53">
        <v>13342</v>
      </c>
      <c r="C18" s="53" t="s">
        <v>14</v>
      </c>
      <c r="D18" s="54">
        <v>10000</v>
      </c>
      <c r="E18" s="53">
        <f t="shared" si="0"/>
        <v>150000</v>
      </c>
      <c r="F18" s="54">
        <f t="shared" si="1"/>
        <v>550000</v>
      </c>
    </row>
    <row r="19" spans="1:6" x14ac:dyDescent="0.35">
      <c r="A19" s="52">
        <v>46143</v>
      </c>
      <c r="B19" s="53">
        <v>12003</v>
      </c>
      <c r="C19" s="53" t="s">
        <v>14</v>
      </c>
      <c r="D19" s="54">
        <v>10000</v>
      </c>
      <c r="E19" s="53">
        <f t="shared" si="0"/>
        <v>160000</v>
      </c>
      <c r="F19" s="54">
        <f t="shared" si="1"/>
        <v>540000</v>
      </c>
    </row>
    <row r="20" spans="1:6" x14ac:dyDescent="0.35">
      <c r="A20" s="52">
        <v>46205</v>
      </c>
      <c r="B20" s="53">
        <v>12363</v>
      </c>
      <c r="C20" s="53" t="s">
        <v>14</v>
      </c>
      <c r="D20" s="54">
        <v>10000</v>
      </c>
      <c r="E20" s="53">
        <f t="shared" si="0"/>
        <v>170000</v>
      </c>
      <c r="F20" s="54">
        <f t="shared" si="1"/>
        <v>530000</v>
      </c>
    </row>
    <row r="21" spans="1:6" x14ac:dyDescent="0.35">
      <c r="A21" s="55">
        <v>46359</v>
      </c>
      <c r="B21" s="56">
        <v>12837</v>
      </c>
      <c r="C21" s="57" t="s">
        <v>14</v>
      </c>
      <c r="D21" s="54">
        <v>10000</v>
      </c>
      <c r="E21" s="53">
        <f t="shared" si="0"/>
        <v>180000</v>
      </c>
      <c r="F21" s="54">
        <f t="shared" si="1"/>
        <v>520000</v>
      </c>
    </row>
    <row r="22" spans="1:6" x14ac:dyDescent="0.35">
      <c r="A22" s="52">
        <v>46146</v>
      </c>
      <c r="B22" s="53">
        <v>13143</v>
      </c>
      <c r="C22" s="53" t="s">
        <v>14</v>
      </c>
      <c r="D22" s="54">
        <v>10000</v>
      </c>
      <c r="E22" s="53">
        <f t="shared" si="0"/>
        <v>190000</v>
      </c>
      <c r="F22" s="54">
        <f t="shared" si="1"/>
        <v>510000</v>
      </c>
    </row>
    <row r="23" spans="1:6" x14ac:dyDescent="0.35">
      <c r="A23" s="55">
        <v>46360</v>
      </c>
      <c r="B23" s="56">
        <v>13262</v>
      </c>
      <c r="C23" s="53" t="s">
        <v>14</v>
      </c>
      <c r="D23" s="54">
        <v>10000</v>
      </c>
      <c r="E23" s="53">
        <f t="shared" si="0"/>
        <v>200000</v>
      </c>
      <c r="F23" s="54">
        <f t="shared" si="1"/>
        <v>500000</v>
      </c>
    </row>
    <row r="24" spans="1:6" x14ac:dyDescent="0.35">
      <c r="A24" s="55">
        <v>46270</v>
      </c>
      <c r="B24" s="56">
        <v>12981</v>
      </c>
      <c r="C24" s="53" t="s">
        <v>14</v>
      </c>
      <c r="D24" s="54">
        <v>10000</v>
      </c>
      <c r="E24" s="53">
        <f t="shared" si="0"/>
        <v>210000</v>
      </c>
      <c r="F24" s="54">
        <f t="shared" si="1"/>
        <v>490000</v>
      </c>
    </row>
    <row r="25" spans="1:6" x14ac:dyDescent="0.35">
      <c r="A25" s="58" t="s">
        <v>424</v>
      </c>
      <c r="B25" s="56">
        <v>13568</v>
      </c>
      <c r="C25" s="56" t="s">
        <v>14</v>
      </c>
      <c r="D25" s="59">
        <v>10000</v>
      </c>
      <c r="E25" s="59">
        <f>E24+D25</f>
        <v>220000</v>
      </c>
      <c r="F25" s="59">
        <f>F24-D25</f>
        <v>480000</v>
      </c>
    </row>
    <row r="26" spans="1:6" x14ac:dyDescent="0.35">
      <c r="A26" s="55">
        <v>46150</v>
      </c>
      <c r="B26" s="56">
        <v>1654</v>
      </c>
      <c r="C26" s="56" t="s">
        <v>598</v>
      </c>
      <c r="D26" s="59">
        <v>10000</v>
      </c>
      <c r="E26" s="59">
        <f>E25+D26</f>
        <v>230000</v>
      </c>
      <c r="F26" s="59">
        <f>F25-D26</f>
        <v>470000</v>
      </c>
    </row>
    <row r="27" spans="1:6" x14ac:dyDescent="0.35">
      <c r="A27" s="58" t="s">
        <v>597</v>
      </c>
      <c r="B27" s="56">
        <v>2118</v>
      </c>
      <c r="C27" s="56" t="s">
        <v>598</v>
      </c>
      <c r="D27" s="59">
        <v>20000</v>
      </c>
      <c r="E27" s="59">
        <f>E26+D27</f>
        <v>250000</v>
      </c>
      <c r="F27" s="59">
        <f>F26-D27</f>
        <v>450000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F5" sqref="F5"/>
    </sheetView>
  </sheetViews>
  <sheetFormatPr defaultRowHeight="14.5" x14ac:dyDescent="0.35"/>
  <cols>
    <col min="1" max="1" width="10.26953125" customWidth="1"/>
    <col min="3" max="3" width="10.81640625" customWidth="1"/>
    <col min="4" max="4" width="10.1796875" customWidth="1"/>
    <col min="5" max="5" width="9.54296875" customWidth="1"/>
    <col min="6" max="6" width="11" customWidth="1"/>
  </cols>
  <sheetData>
    <row r="1" spans="1:6" ht="18.5" x14ac:dyDescent="0.45">
      <c r="A1" s="1" t="s">
        <v>311</v>
      </c>
      <c r="B1" s="1"/>
      <c r="C1" s="2"/>
      <c r="D1" s="1"/>
      <c r="E1" s="1"/>
      <c r="F1" s="1"/>
    </row>
    <row r="2" spans="1:6" ht="18.5" x14ac:dyDescent="0.45">
      <c r="A2" s="1" t="s">
        <v>312</v>
      </c>
      <c r="C2" s="1"/>
      <c r="D2" s="1"/>
      <c r="E2" s="1"/>
      <c r="F2" s="1"/>
    </row>
    <row r="3" spans="1:6" ht="18.5" x14ac:dyDescent="0.45">
      <c r="A3" s="1" t="s">
        <v>313</v>
      </c>
      <c r="B3" s="1"/>
      <c r="C3" s="1"/>
      <c r="D3" s="1"/>
      <c r="E3" s="1"/>
      <c r="F3" s="1"/>
    </row>
    <row r="4" spans="1:6" ht="18.5" x14ac:dyDescent="0.45">
      <c r="A4" s="1" t="s">
        <v>316</v>
      </c>
      <c r="B4" s="1"/>
      <c r="C4" s="1"/>
      <c r="D4" s="1"/>
      <c r="E4" s="1"/>
      <c r="F4" s="1"/>
    </row>
    <row r="5" spans="1:6" ht="18.5" x14ac:dyDescent="0.45">
      <c r="A5" s="1" t="s">
        <v>314</v>
      </c>
      <c r="B5" s="1"/>
      <c r="C5" s="1"/>
      <c r="D5" s="1"/>
      <c r="E5" s="1"/>
      <c r="F5" s="1"/>
    </row>
    <row r="6" spans="1:6" ht="18.5" x14ac:dyDescent="0.45">
      <c r="A6" s="1" t="s">
        <v>315</v>
      </c>
      <c r="B6" s="1"/>
      <c r="C6" s="1"/>
      <c r="D6" s="1" t="s">
        <v>11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t="s">
        <v>317</v>
      </c>
      <c r="B8">
        <v>8072</v>
      </c>
      <c r="C8" t="s">
        <v>21</v>
      </c>
      <c r="D8" s="14">
        <v>150000</v>
      </c>
      <c r="E8" s="14">
        <v>150000</v>
      </c>
      <c r="F8" s="14">
        <v>550000</v>
      </c>
    </row>
    <row r="9" spans="1:6" x14ac:dyDescent="0.35">
      <c r="A9" s="12">
        <v>45602</v>
      </c>
      <c r="B9">
        <v>9016</v>
      </c>
      <c r="C9" t="s">
        <v>198</v>
      </c>
      <c r="D9" s="14">
        <v>10000</v>
      </c>
      <c r="E9" s="14">
        <f>SUM(E8+D9)</f>
        <v>160000</v>
      </c>
      <c r="F9" s="14">
        <f>F8-D9</f>
        <v>540000</v>
      </c>
    </row>
    <row r="10" spans="1:6" x14ac:dyDescent="0.35">
      <c r="A10" s="12">
        <v>45572</v>
      </c>
      <c r="B10">
        <v>9475</v>
      </c>
      <c r="C10" t="s">
        <v>198</v>
      </c>
      <c r="D10" s="14">
        <v>10000</v>
      </c>
      <c r="E10" s="14">
        <f t="shared" ref="E10:E30" si="0">SUM(E9+D10)</f>
        <v>170000</v>
      </c>
      <c r="F10" s="14">
        <f t="shared" ref="F10:F30" si="1">F9-D10</f>
        <v>530000</v>
      </c>
    </row>
    <row r="11" spans="1:6" x14ac:dyDescent="0.35">
      <c r="A11" s="12">
        <v>45543</v>
      </c>
      <c r="B11">
        <v>11015</v>
      </c>
      <c r="C11" t="s">
        <v>198</v>
      </c>
      <c r="D11" s="14">
        <v>8000</v>
      </c>
      <c r="E11" s="14">
        <f t="shared" si="0"/>
        <v>178000</v>
      </c>
      <c r="F11" s="14">
        <f t="shared" si="1"/>
        <v>522000</v>
      </c>
    </row>
    <row r="12" spans="1:6" x14ac:dyDescent="0.35">
      <c r="A12" t="s">
        <v>318</v>
      </c>
      <c r="B12">
        <v>10820</v>
      </c>
      <c r="C12" t="s">
        <v>198</v>
      </c>
      <c r="D12" s="14">
        <v>10000</v>
      </c>
      <c r="E12" s="14">
        <f t="shared" si="0"/>
        <v>188000</v>
      </c>
      <c r="F12" s="14">
        <f t="shared" si="1"/>
        <v>512000</v>
      </c>
    </row>
    <row r="13" spans="1:6" x14ac:dyDescent="0.35">
      <c r="A13" t="s">
        <v>319</v>
      </c>
      <c r="B13">
        <v>11663</v>
      </c>
      <c r="C13" t="s">
        <v>198</v>
      </c>
      <c r="D13" s="14">
        <v>10000</v>
      </c>
      <c r="E13" s="14">
        <f t="shared" si="0"/>
        <v>198000</v>
      </c>
      <c r="F13" s="14">
        <f t="shared" si="1"/>
        <v>502000</v>
      </c>
    </row>
    <row r="14" spans="1:6" x14ac:dyDescent="0.35">
      <c r="A14" s="12">
        <v>45454</v>
      </c>
      <c r="B14">
        <v>12105</v>
      </c>
      <c r="C14" t="s">
        <v>198</v>
      </c>
      <c r="D14" s="14">
        <v>10000</v>
      </c>
      <c r="E14" s="14">
        <f t="shared" si="0"/>
        <v>208000</v>
      </c>
      <c r="F14" s="14">
        <f t="shared" si="1"/>
        <v>492000</v>
      </c>
    </row>
    <row r="15" spans="1:6" x14ac:dyDescent="0.35">
      <c r="A15" t="s">
        <v>320</v>
      </c>
      <c r="B15">
        <v>12395</v>
      </c>
      <c r="C15" t="s">
        <v>198</v>
      </c>
      <c r="D15" s="14">
        <v>10000</v>
      </c>
      <c r="E15" s="14">
        <f t="shared" si="0"/>
        <v>218000</v>
      </c>
      <c r="F15" s="14">
        <f t="shared" si="1"/>
        <v>482000</v>
      </c>
    </row>
    <row r="16" spans="1:6" x14ac:dyDescent="0.35">
      <c r="A16" s="12">
        <v>45962</v>
      </c>
      <c r="B16">
        <v>12010</v>
      </c>
      <c r="C16" t="s">
        <v>198</v>
      </c>
      <c r="D16" s="14">
        <v>10000</v>
      </c>
      <c r="E16" s="14">
        <f t="shared" si="0"/>
        <v>228000</v>
      </c>
      <c r="F16" s="14">
        <f t="shared" si="1"/>
        <v>472000</v>
      </c>
    </row>
    <row r="17" spans="1:6" x14ac:dyDescent="0.35">
      <c r="A17" t="s">
        <v>242</v>
      </c>
      <c r="B17">
        <v>9812</v>
      </c>
      <c r="C17" t="s">
        <v>198</v>
      </c>
      <c r="D17" s="14">
        <v>10000</v>
      </c>
      <c r="E17" s="14">
        <f t="shared" si="0"/>
        <v>238000</v>
      </c>
      <c r="F17" s="14">
        <f t="shared" si="1"/>
        <v>462000</v>
      </c>
    </row>
    <row r="18" spans="1:6" x14ac:dyDescent="0.35">
      <c r="A18" s="12">
        <v>45904</v>
      </c>
      <c r="B18">
        <v>9983</v>
      </c>
      <c r="C18" t="s">
        <v>198</v>
      </c>
      <c r="D18" s="14">
        <v>10000</v>
      </c>
      <c r="E18" s="14">
        <f t="shared" si="0"/>
        <v>248000</v>
      </c>
      <c r="F18" s="14">
        <f t="shared" si="1"/>
        <v>452000</v>
      </c>
    </row>
    <row r="19" spans="1:6" x14ac:dyDescent="0.35">
      <c r="A19" s="12">
        <v>45966</v>
      </c>
      <c r="B19">
        <v>10922</v>
      </c>
      <c r="C19" t="s">
        <v>198</v>
      </c>
      <c r="D19" s="14">
        <v>10000</v>
      </c>
      <c r="E19" s="14">
        <f t="shared" si="0"/>
        <v>258000</v>
      </c>
      <c r="F19" s="14">
        <f t="shared" si="1"/>
        <v>442000</v>
      </c>
    </row>
    <row r="20" spans="1:6" x14ac:dyDescent="0.35">
      <c r="A20" t="s">
        <v>321</v>
      </c>
      <c r="B20">
        <v>9957</v>
      </c>
      <c r="C20" t="s">
        <v>198</v>
      </c>
      <c r="D20" s="14">
        <v>10000</v>
      </c>
      <c r="E20" s="14">
        <f t="shared" si="0"/>
        <v>268000</v>
      </c>
      <c r="F20" s="14">
        <f t="shared" si="1"/>
        <v>432000</v>
      </c>
    </row>
    <row r="21" spans="1:6" x14ac:dyDescent="0.35">
      <c r="A21" t="s">
        <v>322</v>
      </c>
      <c r="B21">
        <v>12235</v>
      </c>
      <c r="C21" t="s">
        <v>198</v>
      </c>
      <c r="D21" s="14">
        <v>10000</v>
      </c>
      <c r="E21" s="14">
        <f t="shared" si="0"/>
        <v>278000</v>
      </c>
      <c r="F21" s="14">
        <f t="shared" si="1"/>
        <v>422000</v>
      </c>
    </row>
    <row r="22" spans="1:6" x14ac:dyDescent="0.35">
      <c r="A22" t="s">
        <v>323</v>
      </c>
      <c r="B22">
        <v>12915</v>
      </c>
      <c r="C22" t="s">
        <v>198</v>
      </c>
      <c r="D22" s="14">
        <v>10000</v>
      </c>
      <c r="E22" s="14">
        <f t="shared" si="0"/>
        <v>288000</v>
      </c>
      <c r="F22" s="14">
        <f t="shared" si="1"/>
        <v>412000</v>
      </c>
    </row>
    <row r="23" spans="1:6" x14ac:dyDescent="0.35">
      <c r="A23" t="s">
        <v>324</v>
      </c>
      <c r="B23">
        <v>13966</v>
      </c>
      <c r="C23" t="s">
        <v>198</v>
      </c>
      <c r="D23" s="14">
        <v>10000</v>
      </c>
      <c r="E23" s="14">
        <f t="shared" si="0"/>
        <v>298000</v>
      </c>
      <c r="F23" s="14">
        <f t="shared" si="1"/>
        <v>402000</v>
      </c>
    </row>
    <row r="24" spans="1:6" x14ac:dyDescent="0.35">
      <c r="A24" s="12">
        <v>45971</v>
      </c>
      <c r="B24">
        <v>13758</v>
      </c>
      <c r="C24" t="s">
        <v>198</v>
      </c>
      <c r="D24" s="14">
        <v>10000</v>
      </c>
      <c r="E24" s="14">
        <f t="shared" si="0"/>
        <v>308000</v>
      </c>
      <c r="F24" s="14">
        <f t="shared" si="1"/>
        <v>392000</v>
      </c>
    </row>
    <row r="25" spans="1:6" x14ac:dyDescent="0.35">
      <c r="A25" t="s">
        <v>325</v>
      </c>
      <c r="B25">
        <v>13385</v>
      </c>
      <c r="C25" t="s">
        <v>198</v>
      </c>
      <c r="D25" s="14">
        <v>10000</v>
      </c>
      <c r="E25" s="14">
        <f t="shared" si="0"/>
        <v>318000</v>
      </c>
      <c r="F25" s="14">
        <f t="shared" si="1"/>
        <v>382000</v>
      </c>
    </row>
    <row r="26" spans="1:6" x14ac:dyDescent="0.35">
      <c r="A26" t="s">
        <v>326</v>
      </c>
      <c r="B26">
        <v>12687</v>
      </c>
      <c r="C26" t="s">
        <v>198</v>
      </c>
      <c r="D26" s="14">
        <v>10000</v>
      </c>
      <c r="E26" s="14">
        <f t="shared" si="0"/>
        <v>328000</v>
      </c>
      <c r="F26" s="14">
        <f t="shared" si="1"/>
        <v>372000</v>
      </c>
    </row>
    <row r="27" spans="1:6" x14ac:dyDescent="0.35">
      <c r="A27" t="s">
        <v>327</v>
      </c>
      <c r="B27">
        <v>12188</v>
      </c>
      <c r="C27" t="s">
        <v>198</v>
      </c>
      <c r="D27" s="14">
        <v>10000</v>
      </c>
      <c r="E27" s="14">
        <f t="shared" si="0"/>
        <v>338000</v>
      </c>
      <c r="F27" s="14">
        <f t="shared" si="1"/>
        <v>362000</v>
      </c>
    </row>
    <row r="28" spans="1:6" x14ac:dyDescent="0.35">
      <c r="A28" t="s">
        <v>328</v>
      </c>
      <c r="B28">
        <v>12551</v>
      </c>
      <c r="C28" t="s">
        <v>198</v>
      </c>
      <c r="D28" s="14">
        <v>10000</v>
      </c>
      <c r="E28" s="14">
        <f t="shared" si="0"/>
        <v>348000</v>
      </c>
      <c r="F28" s="14">
        <f t="shared" si="1"/>
        <v>352000</v>
      </c>
    </row>
    <row r="29" spans="1:6" x14ac:dyDescent="0.35">
      <c r="A29" t="s">
        <v>329</v>
      </c>
      <c r="B29">
        <v>13931</v>
      </c>
      <c r="C29" t="s">
        <v>198</v>
      </c>
      <c r="D29" s="14">
        <v>10000</v>
      </c>
      <c r="E29" s="14">
        <f t="shared" si="0"/>
        <v>358000</v>
      </c>
      <c r="F29" s="14">
        <f t="shared" si="1"/>
        <v>342000</v>
      </c>
    </row>
    <row r="30" spans="1:6" x14ac:dyDescent="0.35">
      <c r="A30" t="s">
        <v>330</v>
      </c>
      <c r="B30">
        <v>13067</v>
      </c>
      <c r="C30" t="s">
        <v>198</v>
      </c>
      <c r="D30" s="14">
        <v>10000</v>
      </c>
      <c r="E30" s="14">
        <f t="shared" si="0"/>
        <v>368000</v>
      </c>
      <c r="F30" s="14">
        <f t="shared" si="1"/>
        <v>332000</v>
      </c>
    </row>
    <row r="31" spans="1:6" x14ac:dyDescent="0.35">
      <c r="A31" t="s">
        <v>422</v>
      </c>
      <c r="B31">
        <v>13462</v>
      </c>
      <c r="C31" t="s">
        <v>198</v>
      </c>
      <c r="D31" s="14">
        <v>8000</v>
      </c>
      <c r="E31" s="14">
        <f>E30+D31</f>
        <v>376000</v>
      </c>
      <c r="F31" s="14">
        <f>F30-D31</f>
        <v>324000</v>
      </c>
    </row>
    <row r="32" spans="1:6" x14ac:dyDescent="0.35">
      <c r="A32" t="s">
        <v>423</v>
      </c>
      <c r="B32">
        <v>13528</v>
      </c>
      <c r="C32" t="s">
        <v>198</v>
      </c>
      <c r="D32" s="14">
        <v>10000</v>
      </c>
      <c r="E32" s="14">
        <f>E31+D32</f>
        <v>386000</v>
      </c>
      <c r="F32" s="14">
        <f>F31-D32</f>
        <v>314000</v>
      </c>
    </row>
    <row r="33" spans="1:6" x14ac:dyDescent="0.35">
      <c r="A33" t="s">
        <v>546</v>
      </c>
      <c r="B33">
        <v>1561</v>
      </c>
      <c r="C33" t="s">
        <v>198</v>
      </c>
      <c r="D33" s="14">
        <v>10000</v>
      </c>
      <c r="E33" s="14">
        <f>E32+D33</f>
        <v>396000</v>
      </c>
      <c r="F33" s="14">
        <f>F32-D33</f>
        <v>304000</v>
      </c>
    </row>
    <row r="34" spans="1:6" x14ac:dyDescent="0.35">
      <c r="A34" t="s">
        <v>595</v>
      </c>
      <c r="B34">
        <v>1800</v>
      </c>
      <c r="C34" t="s">
        <v>198</v>
      </c>
      <c r="D34" s="14">
        <v>10000</v>
      </c>
      <c r="E34" s="14">
        <f>E33+D34</f>
        <v>406000</v>
      </c>
      <c r="F34" s="14">
        <f>F33-D34</f>
        <v>294000</v>
      </c>
    </row>
    <row r="35" spans="1:6" x14ac:dyDescent="0.35">
      <c r="A35" t="s">
        <v>596</v>
      </c>
      <c r="B35">
        <v>2054</v>
      </c>
      <c r="C35" t="s">
        <v>198</v>
      </c>
      <c r="D35" s="14">
        <v>10000</v>
      </c>
      <c r="E35" s="14">
        <f>E34+D35</f>
        <v>416000</v>
      </c>
      <c r="F35" s="14">
        <f>F34-D35</f>
        <v>284000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opLeftCell="A41" workbookViewId="0">
      <selection activeCell="F50" sqref="F50"/>
    </sheetView>
  </sheetViews>
  <sheetFormatPr defaultRowHeight="14.5" x14ac:dyDescent="0.35"/>
  <cols>
    <col min="1" max="1" width="10.453125" bestFit="1" customWidth="1"/>
    <col min="3" max="3" width="15" customWidth="1"/>
    <col min="4" max="4" width="11.7265625" customWidth="1"/>
    <col min="6" max="6" width="11.453125" customWidth="1"/>
  </cols>
  <sheetData>
    <row r="1" spans="1:6" ht="18.5" x14ac:dyDescent="0.45">
      <c r="A1" s="1" t="s">
        <v>65</v>
      </c>
      <c r="B1" s="1"/>
      <c r="C1" s="2"/>
      <c r="D1" s="1"/>
      <c r="E1" s="1"/>
      <c r="F1" s="1"/>
    </row>
    <row r="2" spans="1:6" ht="18.5" x14ac:dyDescent="0.45">
      <c r="A2" s="1" t="s">
        <v>66</v>
      </c>
      <c r="C2" s="1"/>
      <c r="D2" s="1"/>
      <c r="E2" s="1"/>
      <c r="F2" s="1"/>
    </row>
    <row r="3" spans="1:6" ht="18.5" x14ac:dyDescent="0.45">
      <c r="A3" s="1" t="s">
        <v>67</v>
      </c>
      <c r="B3" s="1"/>
      <c r="C3" s="1"/>
      <c r="D3" s="1"/>
      <c r="E3" s="1"/>
      <c r="F3" s="1"/>
    </row>
    <row r="4" spans="1:6" ht="18.5" x14ac:dyDescent="0.45">
      <c r="A4" s="1" t="s">
        <v>405</v>
      </c>
      <c r="B4" s="1"/>
      <c r="C4" s="1"/>
      <c r="D4" s="1"/>
      <c r="E4" s="1"/>
      <c r="F4" s="1"/>
    </row>
    <row r="5" spans="1:6" ht="18.5" x14ac:dyDescent="0.45">
      <c r="A5" s="1" t="s">
        <v>68</v>
      </c>
      <c r="B5" s="1"/>
      <c r="C5" s="1"/>
      <c r="D5" s="1"/>
      <c r="E5" s="1"/>
      <c r="F5" s="1"/>
    </row>
    <row r="6" spans="1:6" ht="18.5" x14ac:dyDescent="0.45">
      <c r="A6" s="1" t="s">
        <v>69</v>
      </c>
      <c r="B6" s="1"/>
      <c r="C6" s="1"/>
      <c r="D6" s="1" t="s">
        <v>70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6">
        <v>44877</v>
      </c>
      <c r="B8" s="5">
        <v>2201</v>
      </c>
      <c r="C8" s="5" t="s">
        <v>74</v>
      </c>
      <c r="D8" s="7">
        <v>100000</v>
      </c>
      <c r="E8" s="7">
        <v>100000</v>
      </c>
      <c r="F8" s="7">
        <v>530000</v>
      </c>
    </row>
    <row r="9" spans="1:6" x14ac:dyDescent="0.35">
      <c r="A9" s="5" t="s">
        <v>71</v>
      </c>
      <c r="B9" s="5">
        <v>2202</v>
      </c>
      <c r="C9" s="5" t="s">
        <v>14</v>
      </c>
      <c r="D9" s="7">
        <v>10000</v>
      </c>
      <c r="E9" s="7">
        <f>SUM(E8+D9)</f>
        <v>110000</v>
      </c>
      <c r="F9" s="7">
        <f>F8-D9</f>
        <v>520000</v>
      </c>
    </row>
    <row r="10" spans="1:6" x14ac:dyDescent="0.35">
      <c r="A10" s="5" t="s">
        <v>72</v>
      </c>
      <c r="B10" s="5">
        <v>124</v>
      </c>
      <c r="C10" s="5" t="s">
        <v>14</v>
      </c>
      <c r="D10" s="7">
        <v>10000</v>
      </c>
      <c r="E10" s="7">
        <f t="shared" ref="E10:E45" si="0">SUM(E9+D10)</f>
        <v>120000</v>
      </c>
      <c r="F10" s="7">
        <f t="shared" ref="F10:F45" si="1">F9-D10</f>
        <v>510000</v>
      </c>
    </row>
    <row r="11" spans="1:6" x14ac:dyDescent="0.35">
      <c r="A11" s="5" t="s">
        <v>73</v>
      </c>
      <c r="B11" s="5">
        <v>2749</v>
      </c>
      <c r="C11" s="5" t="s">
        <v>14</v>
      </c>
      <c r="D11" s="7">
        <v>10000</v>
      </c>
      <c r="E11" s="7">
        <f t="shared" si="0"/>
        <v>130000</v>
      </c>
      <c r="F11" s="7">
        <f t="shared" si="1"/>
        <v>500000</v>
      </c>
    </row>
    <row r="12" spans="1:6" x14ac:dyDescent="0.35">
      <c r="A12" s="6">
        <v>45207</v>
      </c>
      <c r="B12" s="5">
        <v>2327</v>
      </c>
      <c r="C12" s="5" t="s">
        <v>14</v>
      </c>
      <c r="D12" s="7">
        <v>10000</v>
      </c>
      <c r="E12" s="7">
        <f t="shared" si="0"/>
        <v>140000</v>
      </c>
      <c r="F12" s="7">
        <f t="shared" si="1"/>
        <v>490000</v>
      </c>
    </row>
    <row r="13" spans="1:6" x14ac:dyDescent="0.35">
      <c r="A13" s="6">
        <v>45239</v>
      </c>
      <c r="B13" s="5">
        <v>3516</v>
      </c>
      <c r="C13" s="5" t="s">
        <v>14</v>
      </c>
      <c r="D13" s="7">
        <v>10000</v>
      </c>
      <c r="E13" s="7">
        <f t="shared" si="0"/>
        <v>150000</v>
      </c>
      <c r="F13" s="7">
        <f t="shared" si="1"/>
        <v>480000</v>
      </c>
    </row>
    <row r="14" spans="1:6" x14ac:dyDescent="0.35">
      <c r="A14" s="6">
        <v>45209</v>
      </c>
      <c r="B14" s="5">
        <v>4150</v>
      </c>
      <c r="C14" s="5" t="s">
        <v>14</v>
      </c>
      <c r="D14" s="7">
        <v>15000</v>
      </c>
      <c r="E14" s="7">
        <f t="shared" si="0"/>
        <v>165000</v>
      </c>
      <c r="F14" s="7">
        <f t="shared" si="1"/>
        <v>465000</v>
      </c>
    </row>
    <row r="15" spans="1:6" ht="29" x14ac:dyDescent="0.35">
      <c r="A15" s="10">
        <v>45241</v>
      </c>
      <c r="B15" s="5">
        <v>4800</v>
      </c>
      <c r="C15" s="11" t="s">
        <v>75</v>
      </c>
      <c r="D15" s="7">
        <v>15000</v>
      </c>
      <c r="E15" s="7">
        <f t="shared" si="0"/>
        <v>180000</v>
      </c>
      <c r="F15" s="7">
        <f t="shared" si="1"/>
        <v>450000</v>
      </c>
    </row>
    <row r="16" spans="1:6" x14ac:dyDescent="0.35">
      <c r="A16" s="6">
        <v>45242</v>
      </c>
      <c r="B16" s="5">
        <v>5462</v>
      </c>
      <c r="C16" s="5" t="s">
        <v>14</v>
      </c>
      <c r="D16" s="7">
        <v>10000</v>
      </c>
      <c r="E16" s="7">
        <f t="shared" si="0"/>
        <v>190000</v>
      </c>
      <c r="F16" s="7">
        <f t="shared" si="1"/>
        <v>440000</v>
      </c>
    </row>
    <row r="17" spans="1:6" x14ac:dyDescent="0.35">
      <c r="A17" s="6">
        <v>45566</v>
      </c>
      <c r="B17" s="5">
        <v>6061</v>
      </c>
      <c r="C17" s="5" t="s">
        <v>76</v>
      </c>
      <c r="D17" s="7">
        <v>10000</v>
      </c>
      <c r="E17" s="7">
        <f t="shared" si="0"/>
        <v>200000</v>
      </c>
      <c r="F17" s="7">
        <f t="shared" si="1"/>
        <v>430000</v>
      </c>
    </row>
    <row r="18" spans="1:6" x14ac:dyDescent="0.35">
      <c r="A18" s="6">
        <v>45567</v>
      </c>
      <c r="B18" s="5">
        <v>7002</v>
      </c>
      <c r="C18" s="5" t="s">
        <v>14</v>
      </c>
      <c r="D18" s="7">
        <v>15000</v>
      </c>
      <c r="E18" s="7">
        <f t="shared" si="0"/>
        <v>215000</v>
      </c>
      <c r="F18" s="7">
        <f t="shared" si="1"/>
        <v>415000</v>
      </c>
    </row>
    <row r="19" spans="1:6" x14ac:dyDescent="0.35">
      <c r="A19" s="6">
        <v>45568</v>
      </c>
      <c r="B19" s="5">
        <v>6998</v>
      </c>
      <c r="C19" s="5" t="s">
        <v>14</v>
      </c>
      <c r="D19" s="7">
        <v>15000</v>
      </c>
      <c r="E19" s="7">
        <f t="shared" si="0"/>
        <v>230000</v>
      </c>
      <c r="F19" s="7">
        <f t="shared" si="1"/>
        <v>400000</v>
      </c>
    </row>
    <row r="20" spans="1:6" x14ac:dyDescent="0.35">
      <c r="A20" s="6">
        <v>45477</v>
      </c>
      <c r="B20" s="5">
        <v>7746</v>
      </c>
      <c r="C20" s="5" t="s">
        <v>14</v>
      </c>
      <c r="D20" s="7">
        <v>10000</v>
      </c>
      <c r="E20" s="7">
        <f t="shared" si="0"/>
        <v>240000</v>
      </c>
      <c r="F20" s="7">
        <f t="shared" si="1"/>
        <v>390000</v>
      </c>
    </row>
    <row r="21" spans="1:6" x14ac:dyDescent="0.35">
      <c r="A21" s="6">
        <v>45601</v>
      </c>
      <c r="B21" s="5">
        <v>3401</v>
      </c>
      <c r="C21" s="5" t="s">
        <v>14</v>
      </c>
      <c r="D21" s="7">
        <v>10000</v>
      </c>
      <c r="E21" s="7">
        <f t="shared" si="0"/>
        <v>250000</v>
      </c>
      <c r="F21" s="7">
        <f t="shared" si="1"/>
        <v>380000</v>
      </c>
    </row>
    <row r="22" spans="1:6" x14ac:dyDescent="0.35">
      <c r="A22" s="6">
        <v>45571</v>
      </c>
      <c r="B22" s="5">
        <v>8963</v>
      </c>
      <c r="C22" s="5" t="s">
        <v>14</v>
      </c>
      <c r="D22" s="7">
        <v>10000</v>
      </c>
      <c r="E22" s="7">
        <f t="shared" si="0"/>
        <v>260000</v>
      </c>
      <c r="F22" s="7">
        <f t="shared" si="1"/>
        <v>370000</v>
      </c>
    </row>
    <row r="23" spans="1:6" x14ac:dyDescent="0.35">
      <c r="A23" s="6">
        <v>45603</v>
      </c>
      <c r="B23" s="5">
        <v>9515</v>
      </c>
      <c r="C23" s="5" t="s">
        <v>14</v>
      </c>
      <c r="D23" s="7">
        <v>10000</v>
      </c>
      <c r="E23" s="7">
        <f t="shared" si="0"/>
        <v>270000</v>
      </c>
      <c r="F23" s="7">
        <f t="shared" si="1"/>
        <v>360000</v>
      </c>
    </row>
    <row r="24" spans="1:6" x14ac:dyDescent="0.35">
      <c r="A24" s="5" t="s">
        <v>77</v>
      </c>
      <c r="B24" s="5">
        <v>11135</v>
      </c>
      <c r="C24" s="5" t="s">
        <v>14</v>
      </c>
      <c r="D24" s="7">
        <v>10000</v>
      </c>
      <c r="E24" s="7">
        <f t="shared" si="0"/>
        <v>280000</v>
      </c>
      <c r="F24" s="7">
        <f t="shared" si="1"/>
        <v>350000</v>
      </c>
    </row>
    <row r="25" spans="1:6" x14ac:dyDescent="0.35">
      <c r="A25" s="5" t="s">
        <v>78</v>
      </c>
      <c r="B25" s="5">
        <v>10836</v>
      </c>
      <c r="C25" s="5" t="s">
        <v>14</v>
      </c>
      <c r="D25" s="7">
        <v>10000</v>
      </c>
      <c r="E25" s="7">
        <f t="shared" si="0"/>
        <v>290000</v>
      </c>
      <c r="F25" s="7">
        <f t="shared" si="1"/>
        <v>340000</v>
      </c>
    </row>
    <row r="26" spans="1:6" x14ac:dyDescent="0.35">
      <c r="A26" s="5" t="s">
        <v>79</v>
      </c>
      <c r="B26" s="5">
        <v>10205</v>
      </c>
      <c r="C26" s="5" t="s">
        <v>14</v>
      </c>
      <c r="D26" s="7">
        <v>10000</v>
      </c>
      <c r="E26" s="7">
        <f t="shared" si="0"/>
        <v>300000</v>
      </c>
      <c r="F26" s="7">
        <f t="shared" si="1"/>
        <v>330000</v>
      </c>
    </row>
    <row r="27" spans="1:6" x14ac:dyDescent="0.35">
      <c r="A27" s="5" t="s">
        <v>80</v>
      </c>
      <c r="B27" s="5">
        <v>12130</v>
      </c>
      <c r="C27" s="5" t="s">
        <v>14</v>
      </c>
      <c r="D27" s="7">
        <v>10000</v>
      </c>
      <c r="E27" s="7">
        <f t="shared" si="0"/>
        <v>310000</v>
      </c>
      <c r="F27" s="7">
        <f t="shared" si="1"/>
        <v>320000</v>
      </c>
    </row>
    <row r="28" spans="1:6" x14ac:dyDescent="0.35">
      <c r="A28" s="5" t="s">
        <v>81</v>
      </c>
      <c r="B28" s="5">
        <v>12636</v>
      </c>
      <c r="C28" s="5" t="s">
        <v>14</v>
      </c>
      <c r="D28" s="7">
        <v>10000</v>
      </c>
      <c r="E28" s="7">
        <f t="shared" si="0"/>
        <v>320000</v>
      </c>
      <c r="F28" s="7">
        <f t="shared" si="1"/>
        <v>310000</v>
      </c>
    </row>
    <row r="29" spans="1:6" x14ac:dyDescent="0.35">
      <c r="A29" s="5" t="s">
        <v>82</v>
      </c>
      <c r="B29" s="5">
        <v>12062</v>
      </c>
      <c r="C29" s="5" t="s">
        <v>14</v>
      </c>
      <c r="D29" s="7">
        <v>10000</v>
      </c>
      <c r="E29" s="7">
        <f t="shared" si="0"/>
        <v>330000</v>
      </c>
      <c r="F29" s="7">
        <f t="shared" si="1"/>
        <v>300000</v>
      </c>
    </row>
    <row r="30" spans="1:6" x14ac:dyDescent="0.35">
      <c r="A30" s="5" t="s">
        <v>83</v>
      </c>
      <c r="B30" s="5">
        <v>9443</v>
      </c>
      <c r="C30" s="5" t="s">
        <v>14</v>
      </c>
      <c r="D30" s="7">
        <v>10000</v>
      </c>
      <c r="E30" s="7">
        <f t="shared" si="0"/>
        <v>340000</v>
      </c>
      <c r="F30" s="7">
        <f t="shared" si="1"/>
        <v>290000</v>
      </c>
    </row>
    <row r="31" spans="1:6" x14ac:dyDescent="0.35">
      <c r="A31" s="5" t="s">
        <v>84</v>
      </c>
      <c r="B31" s="5">
        <v>9789</v>
      </c>
      <c r="C31" s="5" t="s">
        <v>14</v>
      </c>
      <c r="D31" s="7">
        <v>10000</v>
      </c>
      <c r="E31" s="7">
        <f t="shared" si="0"/>
        <v>350000</v>
      </c>
      <c r="F31" s="7">
        <f t="shared" si="1"/>
        <v>280000</v>
      </c>
    </row>
    <row r="32" spans="1:6" x14ac:dyDescent="0.35">
      <c r="A32" s="5" t="s">
        <v>85</v>
      </c>
      <c r="B32" s="5">
        <v>834</v>
      </c>
      <c r="C32" s="5" t="s">
        <v>14</v>
      </c>
      <c r="D32" s="7">
        <v>10000</v>
      </c>
      <c r="E32" s="7">
        <f t="shared" si="0"/>
        <v>360000</v>
      </c>
      <c r="F32" s="7">
        <f t="shared" si="1"/>
        <v>270000</v>
      </c>
    </row>
    <row r="33" spans="1:6" x14ac:dyDescent="0.35">
      <c r="A33" s="5" t="s">
        <v>86</v>
      </c>
      <c r="B33" s="5">
        <v>10657</v>
      </c>
      <c r="C33" s="5" t="s">
        <v>14</v>
      </c>
      <c r="D33" s="7">
        <v>10000</v>
      </c>
      <c r="E33" s="7">
        <f t="shared" si="0"/>
        <v>370000</v>
      </c>
      <c r="F33" s="7">
        <f t="shared" si="1"/>
        <v>260000</v>
      </c>
    </row>
    <row r="34" spans="1:6" x14ac:dyDescent="0.35">
      <c r="A34" s="5" t="s">
        <v>87</v>
      </c>
      <c r="B34" s="5">
        <v>11806</v>
      </c>
      <c r="C34" s="5" t="s">
        <v>14</v>
      </c>
      <c r="D34" s="7">
        <v>10000</v>
      </c>
      <c r="E34" s="7">
        <f t="shared" si="0"/>
        <v>380000</v>
      </c>
      <c r="F34" s="7">
        <f t="shared" si="1"/>
        <v>250000</v>
      </c>
    </row>
    <row r="35" spans="1:6" x14ac:dyDescent="0.35">
      <c r="A35" s="5" t="s">
        <v>88</v>
      </c>
      <c r="B35" s="5">
        <v>12884</v>
      </c>
      <c r="C35" s="5" t="s">
        <v>14</v>
      </c>
      <c r="D35" s="7">
        <v>10000</v>
      </c>
      <c r="E35" s="7">
        <f t="shared" si="0"/>
        <v>390000</v>
      </c>
      <c r="F35" s="7">
        <f t="shared" si="1"/>
        <v>240000</v>
      </c>
    </row>
    <row r="36" spans="1:6" x14ac:dyDescent="0.35">
      <c r="A36" s="5" t="s">
        <v>89</v>
      </c>
      <c r="B36" s="5">
        <v>12988</v>
      </c>
      <c r="C36" s="5" t="s">
        <v>14</v>
      </c>
      <c r="D36" s="7">
        <v>10000</v>
      </c>
      <c r="E36" s="7">
        <f t="shared" si="0"/>
        <v>400000</v>
      </c>
      <c r="F36" s="7">
        <f t="shared" si="1"/>
        <v>230000</v>
      </c>
    </row>
    <row r="37" spans="1:6" x14ac:dyDescent="0.35">
      <c r="A37" s="5" t="s">
        <v>90</v>
      </c>
      <c r="B37" s="5">
        <v>13917</v>
      </c>
      <c r="C37" s="5" t="s">
        <v>14</v>
      </c>
      <c r="D37" s="7">
        <v>10000</v>
      </c>
      <c r="E37" s="7">
        <f t="shared" si="0"/>
        <v>410000</v>
      </c>
      <c r="F37" s="7">
        <f t="shared" si="1"/>
        <v>220000</v>
      </c>
    </row>
    <row r="38" spans="1:6" x14ac:dyDescent="0.35">
      <c r="A38" s="5" t="s">
        <v>91</v>
      </c>
      <c r="B38" s="5">
        <v>13656</v>
      </c>
      <c r="C38" s="5" t="s">
        <v>14</v>
      </c>
      <c r="D38" s="7">
        <v>10000</v>
      </c>
      <c r="E38" s="7">
        <f t="shared" si="0"/>
        <v>420000</v>
      </c>
      <c r="F38" s="7">
        <f t="shared" si="1"/>
        <v>210000</v>
      </c>
    </row>
    <row r="39" spans="1:6" x14ac:dyDescent="0.35">
      <c r="A39" s="5" t="s">
        <v>92</v>
      </c>
      <c r="B39" s="5">
        <v>13004</v>
      </c>
      <c r="C39" s="5" t="s">
        <v>14</v>
      </c>
      <c r="D39" s="7">
        <v>10000</v>
      </c>
      <c r="E39" s="7">
        <f t="shared" si="0"/>
        <v>430000</v>
      </c>
      <c r="F39" s="7">
        <f t="shared" si="1"/>
        <v>200000</v>
      </c>
    </row>
    <row r="40" spans="1:6" x14ac:dyDescent="0.35">
      <c r="A40" s="5" t="s">
        <v>93</v>
      </c>
      <c r="B40" s="5">
        <v>12656</v>
      </c>
      <c r="C40" s="5" t="s">
        <v>14</v>
      </c>
      <c r="D40" s="7">
        <v>10000</v>
      </c>
      <c r="E40" s="7">
        <f t="shared" si="0"/>
        <v>440000</v>
      </c>
      <c r="F40" s="7">
        <f t="shared" si="1"/>
        <v>190000</v>
      </c>
    </row>
    <row r="41" spans="1:6" x14ac:dyDescent="0.35">
      <c r="A41" s="5" t="s">
        <v>94</v>
      </c>
      <c r="B41" s="5">
        <v>12166</v>
      </c>
      <c r="C41" s="5" t="s">
        <v>14</v>
      </c>
      <c r="D41" s="7">
        <v>10000</v>
      </c>
      <c r="E41" s="7">
        <f t="shared" si="0"/>
        <v>450000</v>
      </c>
      <c r="F41" s="7">
        <f t="shared" si="1"/>
        <v>180000</v>
      </c>
    </row>
    <row r="42" spans="1:6" x14ac:dyDescent="0.35">
      <c r="A42" s="5" t="s">
        <v>95</v>
      </c>
      <c r="B42" s="5">
        <v>12497</v>
      </c>
      <c r="C42" s="5" t="s">
        <v>14</v>
      </c>
      <c r="D42" s="7">
        <v>10000</v>
      </c>
      <c r="E42" s="7">
        <f t="shared" si="0"/>
        <v>460000</v>
      </c>
      <c r="F42" s="7">
        <f t="shared" si="1"/>
        <v>170000</v>
      </c>
    </row>
    <row r="43" spans="1:6" x14ac:dyDescent="0.35">
      <c r="A43" s="5" t="s">
        <v>96</v>
      </c>
      <c r="B43" s="5">
        <v>12846</v>
      </c>
      <c r="C43" s="5" t="s">
        <v>23</v>
      </c>
      <c r="D43" s="7">
        <v>10000</v>
      </c>
      <c r="E43" s="7">
        <f t="shared" si="0"/>
        <v>470000</v>
      </c>
      <c r="F43" s="7">
        <f t="shared" si="1"/>
        <v>160000</v>
      </c>
    </row>
    <row r="44" spans="1:6" x14ac:dyDescent="0.35">
      <c r="A44" s="5" t="s">
        <v>406</v>
      </c>
      <c r="B44" s="5">
        <v>13009</v>
      </c>
      <c r="C44" s="5" t="s">
        <v>23</v>
      </c>
      <c r="D44" s="7">
        <v>10000</v>
      </c>
      <c r="E44" s="7">
        <f t="shared" si="0"/>
        <v>480000</v>
      </c>
      <c r="F44" s="7">
        <f t="shared" si="1"/>
        <v>150000</v>
      </c>
    </row>
    <row r="45" spans="1:6" x14ac:dyDescent="0.35">
      <c r="A45" s="5" t="s">
        <v>407</v>
      </c>
      <c r="B45" s="5">
        <v>13385</v>
      </c>
      <c r="C45" s="5" t="s">
        <v>23</v>
      </c>
      <c r="D45" s="7">
        <v>10000</v>
      </c>
      <c r="E45" s="7">
        <f t="shared" si="0"/>
        <v>490000</v>
      </c>
      <c r="F45" s="7">
        <f t="shared" si="1"/>
        <v>140000</v>
      </c>
    </row>
    <row r="46" spans="1:6" x14ac:dyDescent="0.35">
      <c r="A46" s="5" t="s">
        <v>432</v>
      </c>
      <c r="B46" s="5">
        <v>13644</v>
      </c>
      <c r="C46" s="5" t="s">
        <v>216</v>
      </c>
      <c r="D46" s="45">
        <v>10000</v>
      </c>
      <c r="E46" s="45">
        <f>E45+D46</f>
        <v>500000</v>
      </c>
      <c r="F46" s="45">
        <f>F45-D46</f>
        <v>130000</v>
      </c>
    </row>
    <row r="47" spans="1:6" x14ac:dyDescent="0.35">
      <c r="A47" s="5" t="s">
        <v>567</v>
      </c>
      <c r="B47" s="5">
        <v>1492</v>
      </c>
      <c r="C47" s="5" t="s">
        <v>216</v>
      </c>
      <c r="D47" s="45">
        <v>10000</v>
      </c>
      <c r="E47" s="45">
        <f>E46+D47</f>
        <v>510000</v>
      </c>
      <c r="F47" s="45">
        <f>F46-D47</f>
        <v>120000</v>
      </c>
    </row>
    <row r="48" spans="1:6" x14ac:dyDescent="0.35">
      <c r="A48" s="5" t="s">
        <v>595</v>
      </c>
      <c r="B48" s="5">
        <v>1799</v>
      </c>
      <c r="C48" s="5" t="s">
        <v>216</v>
      </c>
      <c r="D48" s="45">
        <v>10000</v>
      </c>
      <c r="E48" s="45">
        <f>E47+D48</f>
        <v>520000</v>
      </c>
      <c r="F48" s="45">
        <f>F47-D48</f>
        <v>110000</v>
      </c>
    </row>
    <row r="49" spans="1:6" x14ac:dyDescent="0.35">
      <c r="A49" s="13" t="s">
        <v>596</v>
      </c>
      <c r="B49" s="13">
        <v>2047</v>
      </c>
      <c r="C49" s="5" t="s">
        <v>216</v>
      </c>
      <c r="D49" s="14">
        <v>10000</v>
      </c>
      <c r="E49" s="14">
        <f>E48+D49</f>
        <v>530000</v>
      </c>
      <c r="F49" s="14">
        <f>F48-D49</f>
        <v>100000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opLeftCell="A12" workbookViewId="0">
      <selection activeCell="B35" sqref="B35"/>
    </sheetView>
  </sheetViews>
  <sheetFormatPr defaultRowHeight="14.5" x14ac:dyDescent="0.35"/>
  <cols>
    <col min="1" max="1" width="10.453125" bestFit="1" customWidth="1"/>
    <col min="3" max="3" width="12.81640625" customWidth="1"/>
  </cols>
  <sheetData>
    <row r="1" spans="1:7" ht="18.5" x14ac:dyDescent="0.45">
      <c r="A1" s="1" t="s">
        <v>109</v>
      </c>
      <c r="B1" s="1"/>
      <c r="C1" s="2"/>
      <c r="D1" s="1"/>
      <c r="E1" s="1"/>
      <c r="F1" s="1"/>
    </row>
    <row r="2" spans="1:7" ht="18.5" x14ac:dyDescent="0.45">
      <c r="A2" s="1" t="s">
        <v>110</v>
      </c>
      <c r="C2" s="1"/>
      <c r="D2" s="1"/>
      <c r="E2" s="1"/>
      <c r="F2" s="1"/>
    </row>
    <row r="3" spans="1:7" ht="18.5" x14ac:dyDescent="0.45">
      <c r="A3" s="1" t="s">
        <v>111</v>
      </c>
      <c r="B3" s="1"/>
      <c r="C3" s="1"/>
      <c r="D3" s="1"/>
      <c r="E3" s="1"/>
      <c r="F3" s="1"/>
    </row>
    <row r="4" spans="1:7" ht="18.5" x14ac:dyDescent="0.45">
      <c r="A4" s="1" t="s">
        <v>114</v>
      </c>
      <c r="B4" s="1" t="s">
        <v>502</v>
      </c>
      <c r="C4" s="1"/>
      <c r="D4" s="1"/>
      <c r="E4" s="1"/>
      <c r="F4" s="1"/>
    </row>
    <row r="5" spans="1:7" ht="18.5" x14ac:dyDescent="0.45">
      <c r="A5" s="1" t="s">
        <v>112</v>
      </c>
      <c r="B5" s="1"/>
      <c r="C5" s="1"/>
      <c r="D5" s="1"/>
      <c r="E5" s="1"/>
      <c r="F5" s="1"/>
    </row>
    <row r="6" spans="1:7" ht="18.5" x14ac:dyDescent="0.45">
      <c r="A6" s="1" t="s">
        <v>113</v>
      </c>
      <c r="B6" s="1"/>
      <c r="C6" s="1"/>
      <c r="D6" s="1" t="s">
        <v>39</v>
      </c>
      <c r="E6" s="1"/>
      <c r="F6" s="1"/>
    </row>
    <row r="7" spans="1:7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8"/>
    </row>
    <row r="8" spans="1:7" x14ac:dyDescent="0.35">
      <c r="A8" s="6">
        <v>44873</v>
      </c>
      <c r="B8" s="5">
        <v>420</v>
      </c>
      <c r="C8" s="5" t="s">
        <v>23</v>
      </c>
      <c r="D8" s="7">
        <v>13000</v>
      </c>
      <c r="E8" s="7">
        <v>13000</v>
      </c>
      <c r="F8" s="7">
        <v>322000</v>
      </c>
    </row>
    <row r="9" spans="1:7" x14ac:dyDescent="0.35">
      <c r="A9" s="5" t="s">
        <v>115</v>
      </c>
      <c r="B9" s="5">
        <v>1986</v>
      </c>
      <c r="C9" s="5" t="s">
        <v>119</v>
      </c>
      <c r="D9" s="7">
        <v>13000</v>
      </c>
      <c r="E9" s="7">
        <f>SUM(E8+D9)</f>
        <v>26000</v>
      </c>
      <c r="F9" s="7">
        <f>F8-D9</f>
        <v>309000</v>
      </c>
    </row>
    <row r="10" spans="1:7" x14ac:dyDescent="0.35">
      <c r="A10" s="5" t="s">
        <v>116</v>
      </c>
      <c r="B10" s="5">
        <v>1987</v>
      </c>
      <c r="C10" s="5" t="s">
        <v>49</v>
      </c>
      <c r="D10" s="7">
        <v>65000</v>
      </c>
      <c r="E10" s="7">
        <f t="shared" ref="E10:E29" si="0">SUM(E9+D10)</f>
        <v>91000</v>
      </c>
      <c r="F10" s="7">
        <f t="shared" ref="F10:F29" si="1">F9-D10</f>
        <v>244000</v>
      </c>
    </row>
    <row r="11" spans="1:7" x14ac:dyDescent="0.35">
      <c r="A11" s="6">
        <v>45233</v>
      </c>
      <c r="B11" s="5">
        <v>2165</v>
      </c>
      <c r="C11" s="5" t="s">
        <v>23</v>
      </c>
      <c r="D11" s="7">
        <v>13000</v>
      </c>
      <c r="E11" s="7">
        <f t="shared" si="0"/>
        <v>104000</v>
      </c>
      <c r="F11" s="7">
        <f t="shared" si="1"/>
        <v>231000</v>
      </c>
    </row>
    <row r="12" spans="1:7" x14ac:dyDescent="0.35">
      <c r="A12" s="6">
        <v>45264</v>
      </c>
      <c r="B12" s="5">
        <v>1988</v>
      </c>
      <c r="C12" s="5" t="s">
        <v>23</v>
      </c>
      <c r="D12" s="7">
        <v>13000</v>
      </c>
      <c r="E12" s="7">
        <f t="shared" si="0"/>
        <v>117000</v>
      </c>
      <c r="F12" s="7">
        <f t="shared" si="1"/>
        <v>218000</v>
      </c>
    </row>
    <row r="13" spans="1:7" x14ac:dyDescent="0.35">
      <c r="A13" s="5" t="s">
        <v>117</v>
      </c>
      <c r="B13" s="5">
        <v>1592</v>
      </c>
      <c r="C13" s="5" t="s">
        <v>23</v>
      </c>
      <c r="D13" s="7">
        <v>13000</v>
      </c>
      <c r="E13" s="7">
        <f t="shared" si="0"/>
        <v>130000</v>
      </c>
      <c r="F13" s="7">
        <f t="shared" si="1"/>
        <v>205000</v>
      </c>
    </row>
    <row r="14" spans="1:7" x14ac:dyDescent="0.35">
      <c r="A14" s="6">
        <v>45205</v>
      </c>
      <c r="B14" s="5">
        <v>422</v>
      </c>
      <c r="C14" s="5" t="s">
        <v>23</v>
      </c>
      <c r="D14" s="7">
        <v>13000</v>
      </c>
      <c r="E14" s="7">
        <f t="shared" si="0"/>
        <v>143000</v>
      </c>
      <c r="F14" s="7">
        <f t="shared" si="1"/>
        <v>192000</v>
      </c>
    </row>
    <row r="15" spans="1:7" x14ac:dyDescent="0.35">
      <c r="A15" s="5" t="s">
        <v>73</v>
      </c>
      <c r="B15" s="5">
        <v>2761</v>
      </c>
      <c r="C15" s="5" t="s">
        <v>23</v>
      </c>
      <c r="D15" s="7">
        <v>13000</v>
      </c>
      <c r="E15" s="7">
        <f t="shared" si="0"/>
        <v>156000</v>
      </c>
      <c r="F15" s="7">
        <f t="shared" si="1"/>
        <v>179000</v>
      </c>
    </row>
    <row r="16" spans="1:7" x14ac:dyDescent="0.35">
      <c r="A16" s="6">
        <v>45268</v>
      </c>
      <c r="B16" s="5">
        <v>2399</v>
      </c>
      <c r="C16" s="5" t="s">
        <v>23</v>
      </c>
      <c r="D16" s="7">
        <v>13000</v>
      </c>
      <c r="E16" s="7">
        <f t="shared" si="0"/>
        <v>169000</v>
      </c>
      <c r="F16" s="7">
        <f t="shared" si="1"/>
        <v>166000</v>
      </c>
    </row>
    <row r="17" spans="1:6" x14ac:dyDescent="0.35">
      <c r="A17" s="5" t="s">
        <v>118</v>
      </c>
      <c r="B17" s="5">
        <v>3618</v>
      </c>
      <c r="C17" s="5" t="s">
        <v>23</v>
      </c>
      <c r="D17" s="7">
        <v>13000</v>
      </c>
      <c r="E17" s="7">
        <f t="shared" si="0"/>
        <v>182000</v>
      </c>
      <c r="F17" s="7">
        <f t="shared" si="1"/>
        <v>153000</v>
      </c>
    </row>
    <row r="18" spans="1:6" x14ac:dyDescent="0.35">
      <c r="A18" s="6">
        <v>45179</v>
      </c>
      <c r="B18" s="5">
        <v>4134</v>
      </c>
      <c r="C18" s="5" t="s">
        <v>23</v>
      </c>
      <c r="D18" s="7">
        <v>13000</v>
      </c>
      <c r="E18" s="7">
        <f t="shared" si="0"/>
        <v>195000</v>
      </c>
      <c r="F18" s="7">
        <f t="shared" si="1"/>
        <v>140000</v>
      </c>
    </row>
    <row r="19" spans="1:6" x14ac:dyDescent="0.35">
      <c r="A19" s="6">
        <v>45180</v>
      </c>
      <c r="B19" s="5">
        <v>4734</v>
      </c>
      <c r="C19" s="5" t="s">
        <v>23</v>
      </c>
      <c r="D19" s="7">
        <v>13000</v>
      </c>
      <c r="E19" s="7">
        <f t="shared" si="0"/>
        <v>208000</v>
      </c>
      <c r="F19" s="7">
        <f t="shared" si="1"/>
        <v>127000</v>
      </c>
    </row>
    <row r="20" spans="1:6" x14ac:dyDescent="0.35">
      <c r="A20" s="6">
        <v>45242</v>
      </c>
      <c r="B20" s="5">
        <v>2469</v>
      </c>
      <c r="C20" s="5" t="s">
        <v>23</v>
      </c>
      <c r="D20" s="7">
        <v>13000</v>
      </c>
      <c r="E20" s="7">
        <f t="shared" si="0"/>
        <v>221000</v>
      </c>
      <c r="F20" s="7">
        <f t="shared" si="1"/>
        <v>114000</v>
      </c>
    </row>
    <row r="21" spans="1:6" x14ac:dyDescent="0.35">
      <c r="A21" s="6">
        <v>45200</v>
      </c>
      <c r="B21" s="5">
        <v>6052</v>
      </c>
      <c r="C21" s="5" t="s">
        <v>23</v>
      </c>
      <c r="D21" s="7">
        <v>13000</v>
      </c>
      <c r="E21" s="7">
        <f t="shared" si="0"/>
        <v>234000</v>
      </c>
      <c r="F21" s="7">
        <f t="shared" si="1"/>
        <v>101000</v>
      </c>
    </row>
    <row r="22" spans="1:6" x14ac:dyDescent="0.35">
      <c r="A22" s="6">
        <v>45567</v>
      </c>
      <c r="B22" s="5">
        <v>6596</v>
      </c>
      <c r="C22" s="5" t="s">
        <v>23</v>
      </c>
      <c r="D22" s="7">
        <v>13000</v>
      </c>
      <c r="E22" s="7">
        <f t="shared" si="0"/>
        <v>247000</v>
      </c>
      <c r="F22" s="7">
        <f t="shared" si="1"/>
        <v>88000</v>
      </c>
    </row>
    <row r="23" spans="1:6" x14ac:dyDescent="0.35">
      <c r="A23" s="6">
        <v>45538</v>
      </c>
      <c r="B23" s="5">
        <v>6959</v>
      </c>
      <c r="C23" s="5" t="s">
        <v>23</v>
      </c>
      <c r="D23" s="7">
        <v>13000</v>
      </c>
      <c r="E23" s="7">
        <f t="shared" si="0"/>
        <v>260000</v>
      </c>
      <c r="F23" s="7">
        <f t="shared" si="1"/>
        <v>75000</v>
      </c>
    </row>
    <row r="24" spans="1:6" x14ac:dyDescent="0.35">
      <c r="A24" s="6">
        <v>45416</v>
      </c>
      <c r="B24" s="5">
        <v>7686</v>
      </c>
      <c r="C24" s="5" t="s">
        <v>23</v>
      </c>
      <c r="D24" s="7">
        <v>13000</v>
      </c>
      <c r="E24" s="7">
        <f t="shared" si="0"/>
        <v>273000</v>
      </c>
      <c r="F24" s="7">
        <f t="shared" si="1"/>
        <v>62000</v>
      </c>
    </row>
    <row r="25" spans="1:6" x14ac:dyDescent="0.35">
      <c r="A25" s="6">
        <v>45540</v>
      </c>
      <c r="B25" s="5">
        <v>8342</v>
      </c>
      <c r="C25" s="5" t="s">
        <v>23</v>
      </c>
      <c r="D25" s="7">
        <v>13000</v>
      </c>
      <c r="E25" s="7">
        <f t="shared" si="0"/>
        <v>286000</v>
      </c>
      <c r="F25" s="7">
        <f t="shared" si="1"/>
        <v>49000</v>
      </c>
    </row>
    <row r="26" spans="1:6" x14ac:dyDescent="0.35">
      <c r="A26" s="6">
        <v>45479</v>
      </c>
      <c r="B26" s="5">
        <v>8872</v>
      </c>
      <c r="C26" s="5" t="s">
        <v>23</v>
      </c>
      <c r="D26" s="7">
        <v>13000</v>
      </c>
      <c r="E26" s="7">
        <f t="shared" si="0"/>
        <v>299000</v>
      </c>
      <c r="F26" s="7">
        <f t="shared" si="1"/>
        <v>36000</v>
      </c>
    </row>
    <row r="27" spans="1:6" x14ac:dyDescent="0.35">
      <c r="A27" s="6">
        <v>45572</v>
      </c>
      <c r="B27" s="5">
        <v>9502</v>
      </c>
      <c r="C27" s="5" t="s">
        <v>23</v>
      </c>
      <c r="D27" s="7">
        <v>13000</v>
      </c>
      <c r="E27" s="7">
        <f t="shared" si="0"/>
        <v>312000</v>
      </c>
      <c r="F27" s="7">
        <f t="shared" si="1"/>
        <v>23000</v>
      </c>
    </row>
    <row r="28" spans="1:6" x14ac:dyDescent="0.35">
      <c r="A28" s="6">
        <v>45573</v>
      </c>
      <c r="B28" s="5">
        <v>11023</v>
      </c>
      <c r="C28" s="5" t="s">
        <v>23</v>
      </c>
      <c r="D28" s="7">
        <v>13000</v>
      </c>
      <c r="E28" s="7">
        <f t="shared" si="0"/>
        <v>325000</v>
      </c>
      <c r="F28" s="7">
        <f t="shared" si="1"/>
        <v>10000</v>
      </c>
    </row>
    <row r="29" spans="1:6" x14ac:dyDescent="0.35">
      <c r="A29" s="6">
        <v>45544</v>
      </c>
      <c r="B29" s="5">
        <v>10680</v>
      </c>
      <c r="C29" s="5" t="s">
        <v>23</v>
      </c>
      <c r="D29" s="7">
        <v>10000</v>
      </c>
      <c r="E29" s="7">
        <f t="shared" si="0"/>
        <v>335000</v>
      </c>
      <c r="F29" s="7">
        <f t="shared" si="1"/>
        <v>0</v>
      </c>
    </row>
    <row r="31" spans="1:6" x14ac:dyDescent="0.35">
      <c r="A31" s="12">
        <v>45966</v>
      </c>
      <c r="B31">
        <v>761</v>
      </c>
      <c r="C31" t="s">
        <v>120</v>
      </c>
      <c r="D31" s="14">
        <v>200000</v>
      </c>
      <c r="E31" s="14">
        <v>200000</v>
      </c>
      <c r="F31" t="s">
        <v>121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opLeftCell="A33" workbookViewId="0">
      <selection activeCell="F48" sqref="F48"/>
    </sheetView>
  </sheetViews>
  <sheetFormatPr defaultRowHeight="14.5" x14ac:dyDescent="0.35"/>
  <cols>
    <col min="1" max="1" width="10.453125" bestFit="1" customWidth="1"/>
    <col min="3" max="3" width="12.453125" customWidth="1"/>
  </cols>
  <sheetData>
    <row r="1" spans="1:6" ht="18.5" x14ac:dyDescent="0.45">
      <c r="A1" s="1" t="s">
        <v>361</v>
      </c>
      <c r="B1" s="1"/>
      <c r="C1" s="2"/>
      <c r="D1" s="1"/>
      <c r="E1" s="1"/>
      <c r="F1" s="1"/>
    </row>
    <row r="2" spans="1:6" ht="18.5" x14ac:dyDescent="0.45">
      <c r="A2" s="1" t="s">
        <v>298</v>
      </c>
      <c r="C2" s="1"/>
      <c r="D2" s="1"/>
      <c r="E2" s="1"/>
      <c r="F2" s="1"/>
    </row>
    <row r="3" spans="1:6" ht="18.5" x14ac:dyDescent="0.45">
      <c r="A3" s="1" t="s">
        <v>302</v>
      </c>
      <c r="B3" s="1"/>
      <c r="C3" s="1"/>
      <c r="D3" s="1"/>
      <c r="E3" s="1"/>
      <c r="F3" s="1"/>
    </row>
    <row r="4" spans="1:6" ht="18.5" x14ac:dyDescent="0.45">
      <c r="A4" s="1" t="s">
        <v>307</v>
      </c>
      <c r="B4" s="1"/>
      <c r="C4" s="1"/>
      <c r="D4" s="1"/>
      <c r="E4" s="1"/>
      <c r="F4" s="1"/>
    </row>
    <row r="5" spans="1:6" ht="18.5" x14ac:dyDescent="0.45">
      <c r="A5" s="1" t="s">
        <v>301</v>
      </c>
      <c r="B5" s="1"/>
      <c r="C5" s="1"/>
      <c r="D5" s="1"/>
      <c r="E5" s="1"/>
      <c r="F5" s="1"/>
    </row>
    <row r="6" spans="1:6" ht="18.5" x14ac:dyDescent="0.45">
      <c r="A6" s="1" t="s">
        <v>299</v>
      </c>
      <c r="B6" s="1"/>
      <c r="C6" s="1"/>
      <c r="D6" s="1" t="s">
        <v>300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t="s">
        <v>128</v>
      </c>
      <c r="B8">
        <v>211</v>
      </c>
      <c r="C8" t="s">
        <v>12</v>
      </c>
      <c r="D8" s="14">
        <v>10000</v>
      </c>
      <c r="E8" s="14">
        <v>10000</v>
      </c>
      <c r="F8" s="14">
        <v>570000</v>
      </c>
    </row>
    <row r="9" spans="1:6" x14ac:dyDescent="0.35">
      <c r="A9" t="s">
        <v>224</v>
      </c>
      <c r="B9">
        <v>1438</v>
      </c>
      <c r="C9" t="s">
        <v>167</v>
      </c>
      <c r="D9" s="14">
        <v>110000</v>
      </c>
      <c r="E9" s="14">
        <f>SUM(E8+D9)</f>
        <v>120000</v>
      </c>
      <c r="F9" s="14">
        <f>F8-D9</f>
        <v>460000</v>
      </c>
    </row>
    <row r="10" spans="1:6" x14ac:dyDescent="0.35">
      <c r="A10" s="12">
        <v>45173</v>
      </c>
      <c r="B10">
        <v>1042</v>
      </c>
      <c r="C10" t="s">
        <v>216</v>
      </c>
      <c r="D10" s="14">
        <v>10000</v>
      </c>
      <c r="E10" s="14">
        <f t="shared" ref="E10:E44" si="0">SUM(E9+D10)</f>
        <v>130000</v>
      </c>
      <c r="F10" s="14">
        <f t="shared" ref="F10:F44" si="1">F9-D10</f>
        <v>450000</v>
      </c>
    </row>
    <row r="11" spans="1:6" x14ac:dyDescent="0.35">
      <c r="A11" s="12">
        <v>45112</v>
      </c>
      <c r="B11">
        <v>710</v>
      </c>
      <c r="C11" t="s">
        <v>216</v>
      </c>
      <c r="D11" s="14">
        <v>10000</v>
      </c>
      <c r="E11" s="14">
        <f t="shared" si="0"/>
        <v>140000</v>
      </c>
      <c r="F11" s="14">
        <f t="shared" si="1"/>
        <v>440000</v>
      </c>
    </row>
    <row r="12" spans="1:6" x14ac:dyDescent="0.35">
      <c r="A12" s="12">
        <v>45022</v>
      </c>
      <c r="B12">
        <v>302</v>
      </c>
      <c r="C12" t="s">
        <v>216</v>
      </c>
      <c r="D12" s="14">
        <v>10000</v>
      </c>
      <c r="E12" s="14">
        <f t="shared" si="0"/>
        <v>150000</v>
      </c>
      <c r="F12" s="14">
        <f t="shared" si="1"/>
        <v>430000</v>
      </c>
    </row>
    <row r="13" spans="1:6" x14ac:dyDescent="0.35">
      <c r="A13" s="12">
        <v>45176</v>
      </c>
      <c r="B13">
        <v>2625</v>
      </c>
      <c r="C13" t="s">
        <v>216</v>
      </c>
      <c r="D13" s="14">
        <v>10000</v>
      </c>
      <c r="E13" s="14">
        <f t="shared" si="0"/>
        <v>160000</v>
      </c>
      <c r="F13" s="14">
        <f t="shared" si="1"/>
        <v>420000</v>
      </c>
    </row>
    <row r="14" spans="1:6" x14ac:dyDescent="0.35">
      <c r="A14" s="12">
        <v>45085</v>
      </c>
      <c r="B14">
        <v>2254</v>
      </c>
      <c r="C14" t="s">
        <v>216</v>
      </c>
      <c r="D14" s="14">
        <v>20000</v>
      </c>
      <c r="E14" s="14">
        <f t="shared" si="0"/>
        <v>180000</v>
      </c>
      <c r="F14" s="14">
        <f t="shared" si="1"/>
        <v>400000</v>
      </c>
    </row>
    <row r="15" spans="1:6" x14ac:dyDescent="0.35">
      <c r="A15" s="12">
        <v>45178</v>
      </c>
      <c r="B15">
        <v>3459</v>
      </c>
      <c r="C15" t="s">
        <v>216</v>
      </c>
      <c r="D15" s="14">
        <v>10000</v>
      </c>
      <c r="E15" s="14">
        <f t="shared" si="0"/>
        <v>190000</v>
      </c>
      <c r="F15" s="14">
        <f t="shared" si="1"/>
        <v>390000</v>
      </c>
    </row>
    <row r="16" spans="1:6" x14ac:dyDescent="0.35">
      <c r="A16" s="12">
        <v>45209</v>
      </c>
      <c r="B16">
        <v>4143</v>
      </c>
      <c r="C16" t="s">
        <v>216</v>
      </c>
      <c r="D16" s="14">
        <v>10000</v>
      </c>
      <c r="E16" s="14">
        <f t="shared" si="0"/>
        <v>200000</v>
      </c>
      <c r="F16" s="14">
        <f t="shared" si="1"/>
        <v>380000</v>
      </c>
    </row>
    <row r="17" spans="1:6" x14ac:dyDescent="0.35">
      <c r="A17" s="12">
        <v>45118</v>
      </c>
      <c r="B17">
        <v>4695</v>
      </c>
      <c r="C17" t="s">
        <v>216</v>
      </c>
      <c r="D17" s="14">
        <v>10000</v>
      </c>
      <c r="E17" s="14">
        <f t="shared" si="0"/>
        <v>210000</v>
      </c>
      <c r="F17" s="14">
        <f t="shared" si="1"/>
        <v>370000</v>
      </c>
    </row>
    <row r="18" spans="1:6" x14ac:dyDescent="0.35">
      <c r="A18" s="12">
        <v>45211</v>
      </c>
      <c r="B18">
        <v>5431</v>
      </c>
      <c r="C18" t="s">
        <v>216</v>
      </c>
      <c r="D18" s="14">
        <v>10000</v>
      </c>
      <c r="E18" s="14">
        <f t="shared" si="0"/>
        <v>220000</v>
      </c>
      <c r="F18" s="14">
        <f t="shared" si="1"/>
        <v>360000</v>
      </c>
    </row>
    <row r="19" spans="1:6" x14ac:dyDescent="0.35">
      <c r="A19" t="s">
        <v>282</v>
      </c>
      <c r="B19">
        <v>6204</v>
      </c>
      <c r="C19" t="s">
        <v>216</v>
      </c>
      <c r="D19" s="14">
        <v>10000</v>
      </c>
      <c r="E19" s="14">
        <f t="shared" si="0"/>
        <v>230000</v>
      </c>
      <c r="F19" s="14">
        <f t="shared" si="1"/>
        <v>350000</v>
      </c>
    </row>
    <row r="20" spans="1:6" x14ac:dyDescent="0.35">
      <c r="A20" s="12">
        <v>45598</v>
      </c>
      <c r="B20">
        <v>7092</v>
      </c>
      <c r="C20" t="s">
        <v>216</v>
      </c>
      <c r="D20" s="14">
        <v>10000</v>
      </c>
      <c r="E20" s="14">
        <f t="shared" si="0"/>
        <v>240000</v>
      </c>
      <c r="F20" s="14">
        <f t="shared" si="1"/>
        <v>340000</v>
      </c>
    </row>
    <row r="21" spans="1:6" x14ac:dyDescent="0.35">
      <c r="A21" t="s">
        <v>303</v>
      </c>
      <c r="B21">
        <v>7348</v>
      </c>
      <c r="C21" t="s">
        <v>216</v>
      </c>
      <c r="D21" s="14">
        <v>10000</v>
      </c>
      <c r="E21" s="14">
        <f t="shared" si="0"/>
        <v>250000</v>
      </c>
      <c r="F21" s="14">
        <f t="shared" si="1"/>
        <v>330000</v>
      </c>
    </row>
    <row r="22" spans="1:6" x14ac:dyDescent="0.35">
      <c r="A22" t="s">
        <v>304</v>
      </c>
      <c r="B22">
        <v>7733</v>
      </c>
      <c r="C22" t="s">
        <v>216</v>
      </c>
      <c r="D22" s="14">
        <v>10000</v>
      </c>
      <c r="E22" s="14">
        <f t="shared" si="0"/>
        <v>260000</v>
      </c>
      <c r="F22" s="14">
        <f t="shared" si="1"/>
        <v>320000</v>
      </c>
    </row>
    <row r="23" spans="1:6" x14ac:dyDescent="0.35">
      <c r="A23" s="12">
        <v>45602</v>
      </c>
      <c r="B23">
        <v>11318</v>
      </c>
      <c r="C23" t="s">
        <v>216</v>
      </c>
      <c r="D23" s="14">
        <v>10000</v>
      </c>
      <c r="E23" s="14">
        <f t="shared" si="0"/>
        <v>270000</v>
      </c>
      <c r="F23" s="14">
        <f t="shared" si="1"/>
        <v>310000</v>
      </c>
    </row>
    <row r="24" spans="1:6" x14ac:dyDescent="0.35">
      <c r="A24" s="12">
        <v>45451</v>
      </c>
      <c r="B24">
        <v>11319</v>
      </c>
      <c r="C24" t="s">
        <v>216</v>
      </c>
      <c r="D24" s="14">
        <v>10000</v>
      </c>
      <c r="E24" s="14">
        <f t="shared" si="0"/>
        <v>280000</v>
      </c>
      <c r="F24" s="14">
        <f t="shared" si="1"/>
        <v>300000</v>
      </c>
    </row>
    <row r="25" spans="1:6" x14ac:dyDescent="0.35">
      <c r="A25" s="12">
        <v>45574</v>
      </c>
      <c r="B25">
        <v>11320</v>
      </c>
      <c r="C25" t="s">
        <v>216</v>
      </c>
      <c r="D25" s="14">
        <v>10000</v>
      </c>
      <c r="E25" s="14">
        <f t="shared" si="0"/>
        <v>290000</v>
      </c>
      <c r="F25" s="14">
        <f t="shared" si="1"/>
        <v>290000</v>
      </c>
    </row>
    <row r="26" spans="1:6" x14ac:dyDescent="0.35">
      <c r="A26" s="12">
        <v>45509</v>
      </c>
      <c r="B26">
        <v>1321</v>
      </c>
      <c r="C26" t="s">
        <v>216</v>
      </c>
      <c r="D26" s="14">
        <v>10000</v>
      </c>
      <c r="E26" s="14">
        <f t="shared" si="0"/>
        <v>300000</v>
      </c>
      <c r="F26" s="14">
        <f t="shared" si="1"/>
        <v>280000</v>
      </c>
    </row>
    <row r="27" spans="1:6" x14ac:dyDescent="0.35">
      <c r="A27" s="12">
        <v>45514</v>
      </c>
      <c r="B27">
        <v>11322</v>
      </c>
      <c r="C27" t="s">
        <v>216</v>
      </c>
      <c r="D27" s="14">
        <v>10000</v>
      </c>
      <c r="E27" s="14">
        <f t="shared" si="0"/>
        <v>310000</v>
      </c>
      <c r="F27" s="14">
        <f t="shared" si="1"/>
        <v>270000</v>
      </c>
    </row>
    <row r="28" spans="1:6" x14ac:dyDescent="0.35">
      <c r="A28" s="12">
        <v>45485</v>
      </c>
      <c r="B28">
        <v>12249</v>
      </c>
      <c r="C28" t="s">
        <v>216</v>
      </c>
      <c r="D28" s="14">
        <v>20000</v>
      </c>
      <c r="E28" s="14">
        <f t="shared" si="0"/>
        <v>330000</v>
      </c>
      <c r="F28" s="14">
        <f t="shared" si="1"/>
        <v>250000</v>
      </c>
    </row>
    <row r="29" spans="1:6" x14ac:dyDescent="0.35">
      <c r="A29" t="s">
        <v>82</v>
      </c>
      <c r="B29">
        <v>12072</v>
      </c>
      <c r="C29" t="s">
        <v>216</v>
      </c>
      <c r="D29" s="14">
        <v>10000</v>
      </c>
      <c r="E29" s="14">
        <f t="shared" si="0"/>
        <v>340000</v>
      </c>
      <c r="F29" s="14">
        <f t="shared" si="1"/>
        <v>240000</v>
      </c>
    </row>
    <row r="30" spans="1:6" x14ac:dyDescent="0.35">
      <c r="A30" s="12">
        <v>45932</v>
      </c>
      <c r="B30">
        <v>9309</v>
      </c>
      <c r="C30" t="s">
        <v>216</v>
      </c>
      <c r="D30" s="14">
        <v>10000</v>
      </c>
      <c r="E30" s="14">
        <f t="shared" si="0"/>
        <v>350000</v>
      </c>
      <c r="F30" s="14">
        <f t="shared" si="1"/>
        <v>230000</v>
      </c>
    </row>
    <row r="31" spans="1:6" x14ac:dyDescent="0.35">
      <c r="A31" t="s">
        <v>242</v>
      </c>
      <c r="B31">
        <v>10909</v>
      </c>
      <c r="C31" t="s">
        <v>216</v>
      </c>
      <c r="D31" s="14">
        <v>10000</v>
      </c>
      <c r="E31" s="14">
        <f t="shared" si="0"/>
        <v>360000</v>
      </c>
      <c r="F31" s="14">
        <f t="shared" si="1"/>
        <v>220000</v>
      </c>
    </row>
    <row r="32" spans="1:6" x14ac:dyDescent="0.35">
      <c r="A32" t="s">
        <v>85</v>
      </c>
      <c r="B32">
        <v>10901</v>
      </c>
      <c r="C32" t="s">
        <v>216</v>
      </c>
      <c r="D32" s="14">
        <v>10000</v>
      </c>
      <c r="E32" s="14">
        <f t="shared" si="0"/>
        <v>370000</v>
      </c>
      <c r="F32" s="14">
        <f t="shared" si="1"/>
        <v>210000</v>
      </c>
    </row>
    <row r="33" spans="1:6" x14ac:dyDescent="0.35">
      <c r="A33" s="12">
        <v>45935</v>
      </c>
      <c r="B33">
        <v>10911</v>
      </c>
      <c r="C33" t="s">
        <v>216</v>
      </c>
      <c r="D33" s="14">
        <v>10000</v>
      </c>
      <c r="E33" s="14">
        <f t="shared" si="0"/>
        <v>380000</v>
      </c>
      <c r="F33" s="14">
        <f t="shared" si="1"/>
        <v>200000</v>
      </c>
    </row>
    <row r="34" spans="1:6" x14ac:dyDescent="0.35">
      <c r="A34" s="12">
        <v>45937</v>
      </c>
      <c r="B34">
        <v>12858</v>
      </c>
      <c r="C34" t="s">
        <v>216</v>
      </c>
      <c r="D34" s="14">
        <v>10000</v>
      </c>
      <c r="E34" s="14">
        <f t="shared" si="0"/>
        <v>390000</v>
      </c>
      <c r="F34" s="14">
        <f t="shared" si="1"/>
        <v>190000</v>
      </c>
    </row>
    <row r="35" spans="1:6" x14ac:dyDescent="0.35">
      <c r="A35" s="12">
        <v>45999</v>
      </c>
      <c r="B35">
        <v>12913</v>
      </c>
      <c r="C35" t="s">
        <v>216</v>
      </c>
      <c r="D35" s="14">
        <v>10000</v>
      </c>
      <c r="E35" s="14">
        <f t="shared" si="0"/>
        <v>400000</v>
      </c>
      <c r="F35" s="14">
        <f t="shared" si="1"/>
        <v>180000</v>
      </c>
    </row>
    <row r="36" spans="1:6" x14ac:dyDescent="0.35">
      <c r="A36" s="12">
        <v>45909</v>
      </c>
      <c r="B36">
        <v>12693</v>
      </c>
      <c r="C36" t="s">
        <v>216</v>
      </c>
      <c r="D36" s="14">
        <v>10000</v>
      </c>
      <c r="E36" s="14">
        <f t="shared" si="0"/>
        <v>410000</v>
      </c>
      <c r="F36" s="14">
        <f t="shared" si="1"/>
        <v>170000</v>
      </c>
    </row>
    <row r="37" spans="1:6" x14ac:dyDescent="0.35">
      <c r="A37" s="12">
        <v>46001</v>
      </c>
      <c r="B37">
        <v>13776</v>
      </c>
      <c r="C37" t="s">
        <v>216</v>
      </c>
      <c r="D37" s="14">
        <v>10000</v>
      </c>
      <c r="E37" s="14">
        <f t="shared" si="0"/>
        <v>420000</v>
      </c>
      <c r="F37" s="14">
        <f t="shared" si="1"/>
        <v>160000</v>
      </c>
    </row>
    <row r="38" spans="1:6" x14ac:dyDescent="0.35">
      <c r="A38" s="12">
        <v>45941</v>
      </c>
      <c r="B38">
        <v>13321</v>
      </c>
      <c r="C38" t="s">
        <v>216</v>
      </c>
      <c r="D38" s="14">
        <v>10000</v>
      </c>
      <c r="E38" s="14">
        <f t="shared" si="0"/>
        <v>430000</v>
      </c>
      <c r="F38" s="14">
        <f t="shared" si="1"/>
        <v>150000</v>
      </c>
    </row>
    <row r="39" spans="1:6" x14ac:dyDescent="0.35">
      <c r="A39" s="12">
        <v>45912</v>
      </c>
      <c r="B39">
        <v>13124</v>
      </c>
      <c r="C39" t="s">
        <v>216</v>
      </c>
      <c r="D39" s="14">
        <v>10000</v>
      </c>
      <c r="E39" s="14">
        <f t="shared" si="0"/>
        <v>440000</v>
      </c>
      <c r="F39" s="14">
        <f t="shared" si="1"/>
        <v>140000</v>
      </c>
    </row>
    <row r="40" spans="1:6" x14ac:dyDescent="0.35">
      <c r="A40" t="s">
        <v>305</v>
      </c>
      <c r="B40">
        <v>12124</v>
      </c>
      <c r="C40" t="s">
        <v>216</v>
      </c>
      <c r="D40" s="14">
        <v>10000</v>
      </c>
      <c r="E40" s="14">
        <f t="shared" si="0"/>
        <v>450000</v>
      </c>
      <c r="F40" s="14">
        <f t="shared" si="1"/>
        <v>130000</v>
      </c>
    </row>
    <row r="41" spans="1:6" x14ac:dyDescent="0.35">
      <c r="A41" s="12">
        <v>46297</v>
      </c>
      <c r="B41">
        <v>12425</v>
      </c>
      <c r="C41" t="s">
        <v>216</v>
      </c>
      <c r="D41" s="14">
        <v>10000</v>
      </c>
      <c r="E41" s="14">
        <f t="shared" si="0"/>
        <v>460000</v>
      </c>
      <c r="F41" s="14">
        <f t="shared" si="1"/>
        <v>120000</v>
      </c>
    </row>
    <row r="42" spans="1:6" x14ac:dyDescent="0.35">
      <c r="A42" s="12">
        <v>46359</v>
      </c>
      <c r="B42">
        <v>12836</v>
      </c>
      <c r="C42" t="s">
        <v>216</v>
      </c>
      <c r="D42" s="14">
        <v>10000</v>
      </c>
      <c r="E42" s="14">
        <f t="shared" si="0"/>
        <v>470000</v>
      </c>
      <c r="F42" s="14">
        <f t="shared" si="1"/>
        <v>110000</v>
      </c>
    </row>
    <row r="43" spans="1:6" x14ac:dyDescent="0.35">
      <c r="A43" t="s">
        <v>306</v>
      </c>
      <c r="B43">
        <v>13032</v>
      </c>
      <c r="C43" t="s">
        <v>216</v>
      </c>
      <c r="D43" s="14">
        <v>10000</v>
      </c>
      <c r="E43" s="14">
        <f t="shared" si="0"/>
        <v>480000</v>
      </c>
      <c r="F43" s="14">
        <f t="shared" si="1"/>
        <v>100000</v>
      </c>
    </row>
    <row r="44" spans="1:6" x14ac:dyDescent="0.35">
      <c r="A44" s="12">
        <v>46300</v>
      </c>
      <c r="B44">
        <v>13321</v>
      </c>
      <c r="C44" t="s">
        <v>216</v>
      </c>
      <c r="D44" s="14">
        <v>10000</v>
      </c>
      <c r="E44" s="14">
        <f t="shared" si="0"/>
        <v>490000</v>
      </c>
      <c r="F44" s="14">
        <f t="shared" si="1"/>
        <v>90000</v>
      </c>
    </row>
    <row r="45" spans="1:6" x14ac:dyDescent="0.35">
      <c r="A45" t="s">
        <v>432</v>
      </c>
      <c r="B45">
        <v>13647</v>
      </c>
      <c r="C45" t="s">
        <v>216</v>
      </c>
      <c r="D45" s="14">
        <v>10000</v>
      </c>
      <c r="E45" s="14">
        <f>E44+D45</f>
        <v>500000</v>
      </c>
      <c r="F45" s="14">
        <f>F44-D45</f>
        <v>80000</v>
      </c>
    </row>
    <row r="46" spans="1:6" x14ac:dyDescent="0.35">
      <c r="A46" t="s">
        <v>545</v>
      </c>
      <c r="B46">
        <v>1480</v>
      </c>
      <c r="C46" t="s">
        <v>216</v>
      </c>
      <c r="D46" s="14">
        <v>10000</v>
      </c>
      <c r="E46" s="14">
        <f>E45+D46</f>
        <v>510000</v>
      </c>
      <c r="F46" s="14">
        <f>F45-D46</f>
        <v>70000</v>
      </c>
    </row>
    <row r="47" spans="1:6" x14ac:dyDescent="0.35">
      <c r="A47" s="12">
        <v>46303</v>
      </c>
      <c r="B47">
        <v>1729</v>
      </c>
      <c r="C47" t="s">
        <v>216</v>
      </c>
      <c r="D47" s="14">
        <v>10000</v>
      </c>
      <c r="E47" s="14">
        <f>E46+D47</f>
        <v>520000</v>
      </c>
      <c r="F47" s="14">
        <f>F46-D47</f>
        <v>60000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opLeftCell="A17" workbookViewId="0">
      <selection activeCell="N40" sqref="N40"/>
    </sheetView>
  </sheetViews>
  <sheetFormatPr defaultRowHeight="14.5" x14ac:dyDescent="0.35"/>
  <cols>
    <col min="1" max="1" width="9.453125" bestFit="1" customWidth="1"/>
    <col min="3" max="3" width="12.36328125" customWidth="1"/>
    <col min="4" max="4" width="9.26953125" customWidth="1"/>
    <col min="5" max="5" width="9" customWidth="1"/>
    <col min="6" max="6" width="10.08984375" customWidth="1"/>
    <col min="7" max="7" width="9.7265625" customWidth="1"/>
  </cols>
  <sheetData>
    <row r="1" spans="1:6" ht="18.5" x14ac:dyDescent="0.45">
      <c r="A1" s="1" t="s">
        <v>175</v>
      </c>
      <c r="B1" s="1"/>
      <c r="C1" s="2"/>
      <c r="D1" s="1"/>
      <c r="E1" s="1"/>
      <c r="F1" s="1"/>
    </row>
    <row r="2" spans="1:6" ht="18.5" x14ac:dyDescent="0.45">
      <c r="A2" s="1" t="s">
        <v>176</v>
      </c>
      <c r="C2" s="1"/>
      <c r="D2" s="1"/>
      <c r="E2" s="1"/>
      <c r="F2" s="1"/>
    </row>
    <row r="3" spans="1:6" ht="18.5" x14ac:dyDescent="0.45">
      <c r="A3" s="1" t="s">
        <v>177</v>
      </c>
      <c r="B3" s="1"/>
      <c r="C3" s="1"/>
      <c r="D3" s="1"/>
      <c r="E3" s="1"/>
      <c r="F3" s="1"/>
    </row>
    <row r="4" spans="1:6" ht="18.5" x14ac:dyDescent="0.45">
      <c r="A4" s="1" t="s">
        <v>181</v>
      </c>
      <c r="B4" s="1"/>
      <c r="C4" s="1"/>
      <c r="D4" s="1"/>
      <c r="E4" s="1"/>
      <c r="F4" s="1"/>
    </row>
    <row r="5" spans="1:6" ht="18.5" x14ac:dyDescent="0.45">
      <c r="A5" s="1" t="s">
        <v>178</v>
      </c>
      <c r="B5" s="1"/>
      <c r="C5" s="1"/>
      <c r="D5" s="1"/>
      <c r="E5" s="1"/>
      <c r="F5" s="1"/>
    </row>
    <row r="6" spans="1:6" ht="18.5" x14ac:dyDescent="0.45">
      <c r="A6" s="1" t="s">
        <v>179</v>
      </c>
      <c r="B6" s="1"/>
      <c r="C6" s="1"/>
      <c r="D6" s="1" t="s">
        <v>180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31" t="s">
        <v>182</v>
      </c>
      <c r="B8" s="31">
        <v>1167</v>
      </c>
      <c r="C8" s="31" t="s">
        <v>23</v>
      </c>
      <c r="D8" s="32">
        <v>15000</v>
      </c>
      <c r="E8" s="32">
        <v>15000</v>
      </c>
      <c r="F8" s="32">
        <v>210000</v>
      </c>
    </row>
    <row r="9" spans="1:6" x14ac:dyDescent="0.35">
      <c r="A9" s="31" t="s">
        <v>40</v>
      </c>
      <c r="B9" s="31">
        <v>27</v>
      </c>
      <c r="C9" s="31" t="s">
        <v>185</v>
      </c>
      <c r="D9" s="32">
        <v>45000</v>
      </c>
      <c r="E9" s="32">
        <f>SUM(E8+D9)</f>
        <v>60000</v>
      </c>
      <c r="F9" s="32">
        <f>F8-D9</f>
        <v>165000</v>
      </c>
    </row>
    <row r="10" spans="1:6" x14ac:dyDescent="0.35">
      <c r="A10" s="33">
        <v>45048</v>
      </c>
      <c r="B10" s="31">
        <v>1380</v>
      </c>
      <c r="C10" s="31" t="s">
        <v>14</v>
      </c>
      <c r="D10" s="32">
        <v>15000</v>
      </c>
      <c r="E10" s="32">
        <f t="shared" ref="E10:E20" si="0">SUM(E9+D10)</f>
        <v>75000</v>
      </c>
      <c r="F10" s="32">
        <f t="shared" ref="F10:F20" si="1">F9-D10</f>
        <v>150000</v>
      </c>
    </row>
    <row r="11" spans="1:6" x14ac:dyDescent="0.35">
      <c r="A11" s="31" t="s">
        <v>146</v>
      </c>
      <c r="B11" s="31">
        <v>189</v>
      </c>
      <c r="C11" s="31" t="s">
        <v>14</v>
      </c>
      <c r="D11" s="32">
        <v>15000</v>
      </c>
      <c r="E11" s="32">
        <f t="shared" si="0"/>
        <v>90000</v>
      </c>
      <c r="F11" s="32">
        <f t="shared" si="1"/>
        <v>135000</v>
      </c>
    </row>
    <row r="12" spans="1:6" x14ac:dyDescent="0.35">
      <c r="A12" s="31" t="s">
        <v>183</v>
      </c>
      <c r="B12" s="31">
        <v>2132</v>
      </c>
      <c r="C12" s="31" t="s">
        <v>14</v>
      </c>
      <c r="D12" s="32">
        <v>15000</v>
      </c>
      <c r="E12" s="32">
        <f t="shared" si="0"/>
        <v>105000</v>
      </c>
      <c r="F12" s="32">
        <f t="shared" si="1"/>
        <v>120000</v>
      </c>
    </row>
    <row r="13" spans="1:6" x14ac:dyDescent="0.35">
      <c r="A13" s="33">
        <v>45053</v>
      </c>
      <c r="B13" s="31">
        <v>2132</v>
      </c>
      <c r="C13" s="31" t="s">
        <v>14</v>
      </c>
      <c r="D13" s="32">
        <v>15000</v>
      </c>
      <c r="E13" s="32">
        <f t="shared" si="0"/>
        <v>120000</v>
      </c>
      <c r="F13" s="32">
        <f t="shared" si="1"/>
        <v>105000</v>
      </c>
    </row>
    <row r="14" spans="1:6" x14ac:dyDescent="0.35">
      <c r="A14" s="31" t="s">
        <v>184</v>
      </c>
      <c r="B14" s="31">
        <v>2538</v>
      </c>
      <c r="C14" s="31" t="s">
        <v>14</v>
      </c>
      <c r="D14" s="32">
        <v>15000</v>
      </c>
      <c r="E14" s="32">
        <f t="shared" si="0"/>
        <v>135000</v>
      </c>
      <c r="F14" s="32">
        <f t="shared" si="1"/>
        <v>90000</v>
      </c>
    </row>
    <row r="15" spans="1:6" x14ac:dyDescent="0.35">
      <c r="A15" s="33">
        <v>45085</v>
      </c>
      <c r="B15" s="31">
        <v>2257</v>
      </c>
      <c r="C15" s="31" t="s">
        <v>14</v>
      </c>
      <c r="D15" s="32">
        <v>15000</v>
      </c>
      <c r="E15" s="32">
        <f t="shared" si="0"/>
        <v>150000</v>
      </c>
      <c r="F15" s="32">
        <f t="shared" si="1"/>
        <v>75000</v>
      </c>
    </row>
    <row r="16" spans="1:6" x14ac:dyDescent="0.35">
      <c r="A16" s="33">
        <v>45208</v>
      </c>
      <c r="B16" s="31">
        <v>3509</v>
      </c>
      <c r="C16" s="31" t="s">
        <v>14</v>
      </c>
      <c r="D16" s="32">
        <v>15000</v>
      </c>
      <c r="E16" s="32">
        <f t="shared" si="0"/>
        <v>165000</v>
      </c>
      <c r="F16" s="32">
        <f t="shared" si="1"/>
        <v>60000</v>
      </c>
    </row>
    <row r="17" spans="1:7" x14ac:dyDescent="0.35">
      <c r="A17" s="33">
        <v>45148</v>
      </c>
      <c r="B17" s="31">
        <v>4114</v>
      </c>
      <c r="C17" s="31" t="s">
        <v>14</v>
      </c>
      <c r="D17" s="32">
        <v>15000</v>
      </c>
      <c r="E17" s="32">
        <f t="shared" si="0"/>
        <v>180000</v>
      </c>
      <c r="F17" s="32">
        <f t="shared" si="1"/>
        <v>45000</v>
      </c>
    </row>
    <row r="18" spans="1:7" x14ac:dyDescent="0.35">
      <c r="A18" s="33">
        <v>45180</v>
      </c>
      <c r="B18" s="31">
        <v>4760</v>
      </c>
      <c r="C18" s="31" t="s">
        <v>14</v>
      </c>
      <c r="D18" s="32">
        <v>15000</v>
      </c>
      <c r="E18" s="32">
        <f t="shared" si="0"/>
        <v>195000</v>
      </c>
      <c r="F18" s="32">
        <f t="shared" si="1"/>
        <v>30000</v>
      </c>
    </row>
    <row r="19" spans="1:7" x14ac:dyDescent="0.35">
      <c r="A19" s="31" t="s">
        <v>186</v>
      </c>
      <c r="B19" s="31">
        <v>5672</v>
      </c>
      <c r="C19" s="31" t="s">
        <v>14</v>
      </c>
      <c r="D19" s="32">
        <v>15000</v>
      </c>
      <c r="E19" s="32">
        <f t="shared" si="0"/>
        <v>210000</v>
      </c>
      <c r="F19" s="32">
        <f t="shared" si="1"/>
        <v>15000</v>
      </c>
    </row>
    <row r="20" spans="1:7" x14ac:dyDescent="0.35">
      <c r="A20" s="33">
        <v>45540</v>
      </c>
      <c r="B20" s="31">
        <v>8367</v>
      </c>
      <c r="C20" s="31" t="s">
        <v>14</v>
      </c>
      <c r="D20" s="32">
        <v>15000</v>
      </c>
      <c r="E20" s="32">
        <f t="shared" si="0"/>
        <v>225000</v>
      </c>
      <c r="F20" s="32">
        <f t="shared" si="1"/>
        <v>0</v>
      </c>
    </row>
    <row r="21" spans="1:7" ht="18.5" x14ac:dyDescent="0.45">
      <c r="A21" s="1" t="s">
        <v>174</v>
      </c>
      <c r="B21" s="1"/>
      <c r="C21" s="1"/>
    </row>
    <row r="22" spans="1:7" x14ac:dyDescent="0.35">
      <c r="A22" s="44" t="s">
        <v>568</v>
      </c>
      <c r="B22" s="5">
        <v>3121</v>
      </c>
      <c r="C22" s="45" t="s">
        <v>575</v>
      </c>
      <c r="D22" s="45">
        <v>10000</v>
      </c>
      <c r="E22" s="45">
        <v>10000</v>
      </c>
      <c r="F22" s="45">
        <v>440000</v>
      </c>
      <c r="G22" s="14"/>
    </row>
    <row r="23" spans="1:7" x14ac:dyDescent="0.35">
      <c r="A23" s="44" t="s">
        <v>569</v>
      </c>
      <c r="B23" s="5">
        <v>3428</v>
      </c>
      <c r="C23" s="45" t="s">
        <v>575</v>
      </c>
      <c r="D23" s="45">
        <v>10000</v>
      </c>
      <c r="E23" s="45">
        <f t="shared" ref="E23:E32" si="2">E22+D23</f>
        <v>20000</v>
      </c>
      <c r="F23" s="45">
        <f t="shared" ref="F23:F32" si="3">F22-D23</f>
        <v>430000</v>
      </c>
    </row>
    <row r="24" spans="1:7" x14ac:dyDescent="0.35">
      <c r="A24" s="44" t="s">
        <v>570</v>
      </c>
      <c r="B24" s="5">
        <v>3585</v>
      </c>
      <c r="C24" s="45" t="s">
        <v>575</v>
      </c>
      <c r="D24" s="45">
        <v>10000</v>
      </c>
      <c r="E24" s="45">
        <f t="shared" si="2"/>
        <v>30000</v>
      </c>
      <c r="F24" s="45">
        <f t="shared" si="3"/>
        <v>420000</v>
      </c>
    </row>
    <row r="25" spans="1:7" x14ac:dyDescent="0.35">
      <c r="A25" s="44" t="s">
        <v>571</v>
      </c>
      <c r="B25" s="5">
        <v>3397</v>
      </c>
      <c r="C25" s="45" t="s">
        <v>575</v>
      </c>
      <c r="D25" s="45">
        <v>10000</v>
      </c>
      <c r="E25" s="45">
        <f t="shared" si="2"/>
        <v>40000</v>
      </c>
      <c r="F25" s="45">
        <f t="shared" si="3"/>
        <v>410000</v>
      </c>
    </row>
    <row r="26" spans="1:7" x14ac:dyDescent="0.35">
      <c r="A26" s="44" t="s">
        <v>572</v>
      </c>
      <c r="B26" s="5">
        <v>5003</v>
      </c>
      <c r="C26" s="45" t="s">
        <v>575</v>
      </c>
      <c r="D26" s="45">
        <v>10000</v>
      </c>
      <c r="E26" s="45">
        <f t="shared" si="2"/>
        <v>50000</v>
      </c>
      <c r="F26" s="45">
        <f t="shared" si="3"/>
        <v>400000</v>
      </c>
    </row>
    <row r="27" spans="1:7" x14ac:dyDescent="0.35">
      <c r="A27" s="44" t="s">
        <v>573</v>
      </c>
      <c r="B27" s="5">
        <v>5157</v>
      </c>
      <c r="C27" s="45" t="s">
        <v>575</v>
      </c>
      <c r="D27" s="45">
        <v>10000</v>
      </c>
      <c r="E27" s="45">
        <f t="shared" si="2"/>
        <v>60000</v>
      </c>
      <c r="F27" s="45">
        <f t="shared" si="3"/>
        <v>390000</v>
      </c>
    </row>
    <row r="28" spans="1:7" x14ac:dyDescent="0.35">
      <c r="A28" s="44" t="s">
        <v>574</v>
      </c>
      <c r="B28" s="5">
        <v>5414</v>
      </c>
      <c r="C28" s="45" t="s">
        <v>575</v>
      </c>
      <c r="D28" s="45">
        <v>10000</v>
      </c>
      <c r="E28" s="45">
        <f t="shared" si="2"/>
        <v>70000</v>
      </c>
      <c r="F28" s="45">
        <f t="shared" si="3"/>
        <v>380000</v>
      </c>
    </row>
    <row r="29" spans="1:7" x14ac:dyDescent="0.35">
      <c r="A29" s="21">
        <v>46025</v>
      </c>
      <c r="B29" s="5">
        <v>5616</v>
      </c>
      <c r="C29" s="45" t="s">
        <v>575</v>
      </c>
      <c r="D29" s="45">
        <v>20000</v>
      </c>
      <c r="E29" s="45">
        <f t="shared" si="2"/>
        <v>90000</v>
      </c>
      <c r="F29" s="45">
        <f t="shared" si="3"/>
        <v>360000</v>
      </c>
    </row>
    <row r="30" spans="1:7" x14ac:dyDescent="0.35">
      <c r="A30" s="21">
        <v>46330</v>
      </c>
      <c r="B30" s="5">
        <v>5902</v>
      </c>
      <c r="C30" s="45" t="s">
        <v>575</v>
      </c>
      <c r="D30" s="45">
        <v>20000</v>
      </c>
      <c r="E30" s="45">
        <f t="shared" si="2"/>
        <v>110000</v>
      </c>
      <c r="F30" s="45">
        <f t="shared" si="3"/>
        <v>340000</v>
      </c>
    </row>
    <row r="31" spans="1:7" x14ac:dyDescent="0.35">
      <c r="A31" s="21">
        <v>46118</v>
      </c>
      <c r="B31" s="5">
        <v>1559</v>
      </c>
      <c r="C31" s="45" t="s">
        <v>575</v>
      </c>
      <c r="D31" s="45">
        <v>20000</v>
      </c>
      <c r="E31" s="45">
        <f t="shared" si="2"/>
        <v>130000</v>
      </c>
      <c r="F31" s="45">
        <f t="shared" si="3"/>
        <v>320000</v>
      </c>
    </row>
    <row r="32" spans="1:7" x14ac:dyDescent="0.35">
      <c r="A32" s="44" t="s">
        <v>576</v>
      </c>
      <c r="B32" s="5">
        <v>1917</v>
      </c>
      <c r="C32" s="45" t="s">
        <v>575</v>
      </c>
      <c r="D32" s="45">
        <v>20000</v>
      </c>
      <c r="E32" s="45">
        <f t="shared" si="2"/>
        <v>150000</v>
      </c>
      <c r="F32" s="45">
        <f t="shared" si="3"/>
        <v>300000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E1" sqref="E1"/>
    </sheetView>
  </sheetViews>
  <sheetFormatPr defaultRowHeight="14.5" x14ac:dyDescent="0.35"/>
  <cols>
    <col min="1" max="1" width="10.453125" bestFit="1" customWidth="1"/>
    <col min="3" max="3" width="14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158</v>
      </c>
      <c r="B1" s="1"/>
      <c r="C1" s="2"/>
      <c r="D1" s="1"/>
      <c r="E1" s="1"/>
      <c r="F1" s="1"/>
    </row>
    <row r="2" spans="1:6" ht="18.5" x14ac:dyDescent="0.45">
      <c r="A2" s="1" t="s">
        <v>159</v>
      </c>
      <c r="C2" s="1"/>
      <c r="D2" s="1"/>
      <c r="E2" s="1"/>
      <c r="F2" s="1"/>
    </row>
    <row r="3" spans="1:6" ht="18.5" x14ac:dyDescent="0.45">
      <c r="A3" s="1" t="s">
        <v>160</v>
      </c>
      <c r="B3" s="1"/>
      <c r="C3" s="1"/>
      <c r="D3" s="1"/>
      <c r="E3" s="1"/>
      <c r="F3" s="1"/>
    </row>
    <row r="4" spans="1:6" ht="18.5" x14ac:dyDescent="0.45">
      <c r="A4" s="1" t="s">
        <v>332</v>
      </c>
      <c r="B4" s="1"/>
      <c r="C4" s="1"/>
      <c r="D4" s="1"/>
      <c r="E4" s="1"/>
      <c r="F4" s="1"/>
    </row>
    <row r="5" spans="1:6" ht="18.5" x14ac:dyDescent="0.45">
      <c r="A5" s="1" t="s">
        <v>161</v>
      </c>
      <c r="B5" s="1"/>
      <c r="C5" s="1"/>
      <c r="D5" s="1"/>
      <c r="E5" s="1"/>
      <c r="F5" s="1"/>
    </row>
    <row r="6" spans="1:6" ht="18.5" x14ac:dyDescent="0.45">
      <c r="A6" s="1" t="s">
        <v>162</v>
      </c>
      <c r="B6" s="1"/>
      <c r="C6" s="1"/>
      <c r="D6" s="1" t="s">
        <v>163</v>
      </c>
      <c r="E6" s="1"/>
      <c r="F6" s="1"/>
    </row>
    <row r="7" spans="1:6" x14ac:dyDescent="0.35">
      <c r="A7" s="30" t="s">
        <v>0</v>
      </c>
      <c r="B7" s="20" t="s">
        <v>1</v>
      </c>
      <c r="C7" s="20" t="s">
        <v>2</v>
      </c>
      <c r="D7" s="17" t="s">
        <v>3</v>
      </c>
      <c r="E7" s="17" t="s">
        <v>4</v>
      </c>
      <c r="F7" s="18" t="s">
        <v>5</v>
      </c>
    </row>
    <row r="8" spans="1:6" x14ac:dyDescent="0.35">
      <c r="A8" s="8" t="s">
        <v>164</v>
      </c>
      <c r="B8" s="5">
        <v>613</v>
      </c>
      <c r="C8" s="5" t="s">
        <v>167</v>
      </c>
      <c r="D8" s="7">
        <v>120000</v>
      </c>
      <c r="E8" s="7">
        <v>120000</v>
      </c>
      <c r="F8" s="16">
        <v>370000</v>
      </c>
    </row>
    <row r="9" spans="1:6" x14ac:dyDescent="0.35">
      <c r="A9" s="22">
        <v>44877</v>
      </c>
      <c r="B9" s="5">
        <v>1486</v>
      </c>
      <c r="C9" s="5" t="s">
        <v>168</v>
      </c>
      <c r="D9" s="7">
        <v>30000</v>
      </c>
      <c r="E9" s="7">
        <f>SUM(E8+D9)</f>
        <v>150000</v>
      </c>
      <c r="F9" s="16">
        <f>F8-D9</f>
        <v>340000</v>
      </c>
    </row>
    <row r="10" spans="1:6" x14ac:dyDescent="0.35">
      <c r="A10" s="22">
        <v>44988</v>
      </c>
      <c r="B10" s="5">
        <v>1487</v>
      </c>
      <c r="C10" s="5" t="s">
        <v>23</v>
      </c>
      <c r="D10" s="7">
        <v>20000</v>
      </c>
      <c r="E10" s="7">
        <f t="shared" ref="E10:E37" si="0">SUM(E9+D10)</f>
        <v>170000</v>
      </c>
      <c r="F10" s="16">
        <f t="shared" ref="F10:F37" si="1">F9-D10</f>
        <v>320000</v>
      </c>
    </row>
    <row r="11" spans="1:6" x14ac:dyDescent="0.35">
      <c r="A11" s="8" t="s">
        <v>165</v>
      </c>
      <c r="B11" s="5">
        <v>1731</v>
      </c>
      <c r="C11" s="5" t="s">
        <v>23</v>
      </c>
      <c r="D11" s="7">
        <v>10000</v>
      </c>
      <c r="E11" s="7">
        <f t="shared" si="0"/>
        <v>180000</v>
      </c>
      <c r="F11" s="16">
        <f t="shared" si="1"/>
        <v>310000</v>
      </c>
    </row>
    <row r="12" spans="1:6" x14ac:dyDescent="0.35">
      <c r="A12" s="22">
        <v>45175</v>
      </c>
      <c r="B12" s="5">
        <v>2943</v>
      </c>
      <c r="C12" s="5" t="s">
        <v>23</v>
      </c>
      <c r="D12" s="7">
        <v>10000</v>
      </c>
      <c r="E12" s="7">
        <f t="shared" si="0"/>
        <v>190000</v>
      </c>
      <c r="F12" s="16">
        <f t="shared" si="1"/>
        <v>300000</v>
      </c>
    </row>
    <row r="13" spans="1:6" x14ac:dyDescent="0.35">
      <c r="A13" s="8" t="s">
        <v>166</v>
      </c>
      <c r="B13" s="5">
        <v>2942</v>
      </c>
      <c r="C13" s="5" t="s">
        <v>23</v>
      </c>
      <c r="D13" s="7">
        <v>30000</v>
      </c>
      <c r="E13" s="7">
        <f t="shared" si="0"/>
        <v>220000</v>
      </c>
      <c r="F13" s="16">
        <f t="shared" si="1"/>
        <v>270000</v>
      </c>
    </row>
    <row r="14" spans="1:6" x14ac:dyDescent="0.35">
      <c r="A14" s="22">
        <v>44935</v>
      </c>
      <c r="B14" s="5">
        <v>279</v>
      </c>
      <c r="C14" s="5" t="s">
        <v>23</v>
      </c>
      <c r="D14" s="7">
        <v>10000</v>
      </c>
      <c r="E14" s="7">
        <f t="shared" si="0"/>
        <v>230000</v>
      </c>
      <c r="F14" s="16">
        <f t="shared" si="1"/>
        <v>260000</v>
      </c>
    </row>
    <row r="15" spans="1:6" x14ac:dyDescent="0.35">
      <c r="A15" s="22">
        <v>45026</v>
      </c>
      <c r="B15" s="5">
        <v>280</v>
      </c>
      <c r="C15" s="5" t="s">
        <v>23</v>
      </c>
      <c r="D15" s="7">
        <v>20000</v>
      </c>
      <c r="E15" s="7">
        <f t="shared" si="0"/>
        <v>250000</v>
      </c>
      <c r="F15" s="16">
        <f t="shared" si="1"/>
        <v>240000</v>
      </c>
    </row>
    <row r="16" spans="1:6" x14ac:dyDescent="0.35">
      <c r="A16" s="22">
        <v>45057</v>
      </c>
      <c r="B16" s="5">
        <v>4648</v>
      </c>
      <c r="C16" s="5" t="s">
        <v>23</v>
      </c>
      <c r="D16" s="7">
        <v>10000</v>
      </c>
      <c r="E16" s="7">
        <f t="shared" si="0"/>
        <v>260000</v>
      </c>
      <c r="F16" s="16">
        <f t="shared" si="1"/>
        <v>230000</v>
      </c>
    </row>
    <row r="17" spans="1:6" x14ac:dyDescent="0.35">
      <c r="A17" s="22">
        <v>44997</v>
      </c>
      <c r="B17" s="5">
        <v>5284</v>
      </c>
      <c r="C17" s="5" t="s">
        <v>23</v>
      </c>
      <c r="D17" s="7">
        <v>10000</v>
      </c>
      <c r="E17" s="7">
        <f t="shared" si="0"/>
        <v>270000</v>
      </c>
      <c r="F17" s="16">
        <f t="shared" si="1"/>
        <v>220000</v>
      </c>
    </row>
    <row r="18" spans="1:6" x14ac:dyDescent="0.35">
      <c r="A18" s="22">
        <v>45474</v>
      </c>
      <c r="B18" s="5">
        <v>5942</v>
      </c>
      <c r="C18" s="5" t="s">
        <v>23</v>
      </c>
      <c r="D18" s="7">
        <v>10000</v>
      </c>
      <c r="E18" s="7">
        <f t="shared" si="0"/>
        <v>280000</v>
      </c>
      <c r="F18" s="16">
        <f t="shared" si="1"/>
        <v>210000</v>
      </c>
    </row>
    <row r="19" spans="1:6" x14ac:dyDescent="0.35">
      <c r="A19" s="22">
        <v>45384</v>
      </c>
      <c r="B19" s="5">
        <v>6521</v>
      </c>
      <c r="C19" s="5" t="s">
        <v>23</v>
      </c>
      <c r="D19" s="7">
        <v>10000</v>
      </c>
      <c r="E19" s="7">
        <f t="shared" si="0"/>
        <v>290000</v>
      </c>
      <c r="F19" s="16">
        <f t="shared" si="1"/>
        <v>200000</v>
      </c>
    </row>
    <row r="20" spans="1:6" x14ac:dyDescent="0.35">
      <c r="A20" s="8" t="s">
        <v>169</v>
      </c>
      <c r="B20" s="5">
        <v>7588</v>
      </c>
      <c r="C20" s="5" t="s">
        <v>23</v>
      </c>
      <c r="D20" s="7">
        <v>20000</v>
      </c>
      <c r="E20" s="7">
        <f t="shared" si="0"/>
        <v>310000</v>
      </c>
      <c r="F20" s="16">
        <f t="shared" si="1"/>
        <v>180000</v>
      </c>
    </row>
    <row r="21" spans="1:6" x14ac:dyDescent="0.35">
      <c r="A21" s="22">
        <v>45296</v>
      </c>
      <c r="B21" s="5">
        <v>8180</v>
      </c>
      <c r="C21" s="5" t="s">
        <v>23</v>
      </c>
      <c r="D21" s="7">
        <v>10000</v>
      </c>
      <c r="E21" s="7">
        <f t="shared" si="0"/>
        <v>320000</v>
      </c>
      <c r="F21" s="16">
        <f t="shared" si="1"/>
        <v>170000</v>
      </c>
    </row>
    <row r="22" spans="1:6" x14ac:dyDescent="0.35">
      <c r="A22" s="22">
        <v>45297</v>
      </c>
      <c r="B22" s="5">
        <v>8799</v>
      </c>
      <c r="C22" s="5" t="s">
        <v>23</v>
      </c>
      <c r="D22" s="7">
        <v>10000</v>
      </c>
      <c r="E22" s="7">
        <f t="shared" si="0"/>
        <v>330000</v>
      </c>
      <c r="F22" s="16">
        <f t="shared" si="1"/>
        <v>160000</v>
      </c>
    </row>
    <row r="23" spans="1:6" x14ac:dyDescent="0.35">
      <c r="A23" s="8" t="s">
        <v>170</v>
      </c>
      <c r="B23" s="5">
        <v>9341</v>
      </c>
      <c r="C23" s="5" t="s">
        <v>23</v>
      </c>
      <c r="D23" s="7">
        <v>10000</v>
      </c>
      <c r="E23" s="7">
        <f t="shared" si="0"/>
        <v>340000</v>
      </c>
      <c r="F23" s="16">
        <f t="shared" si="1"/>
        <v>150000</v>
      </c>
    </row>
    <row r="24" spans="1:6" x14ac:dyDescent="0.35">
      <c r="A24" s="22">
        <v>45390</v>
      </c>
      <c r="B24" s="5">
        <v>10099</v>
      </c>
      <c r="C24" s="5" t="s">
        <v>23</v>
      </c>
      <c r="D24" s="7">
        <v>10000</v>
      </c>
      <c r="E24" s="7">
        <f t="shared" si="0"/>
        <v>350000</v>
      </c>
      <c r="F24" s="16">
        <f t="shared" si="1"/>
        <v>140000</v>
      </c>
    </row>
    <row r="25" spans="1:6" x14ac:dyDescent="0.35">
      <c r="A25" s="8" t="s">
        <v>171</v>
      </c>
      <c r="B25" s="5">
        <v>10466</v>
      </c>
      <c r="C25" s="5" t="s">
        <v>23</v>
      </c>
      <c r="D25" s="7">
        <v>10000</v>
      </c>
      <c r="E25" s="7">
        <f t="shared" si="0"/>
        <v>360000</v>
      </c>
      <c r="F25" s="16">
        <f t="shared" si="1"/>
        <v>130000</v>
      </c>
    </row>
    <row r="26" spans="1:6" x14ac:dyDescent="0.35">
      <c r="A26" s="22">
        <v>45422</v>
      </c>
      <c r="B26" s="5">
        <v>344</v>
      </c>
      <c r="C26" s="5" t="s">
        <v>23</v>
      </c>
      <c r="D26" s="7">
        <v>10000</v>
      </c>
      <c r="E26" s="7">
        <f t="shared" si="0"/>
        <v>370000</v>
      </c>
      <c r="F26" s="16">
        <f t="shared" si="1"/>
        <v>120000</v>
      </c>
    </row>
    <row r="27" spans="1:6" x14ac:dyDescent="0.35">
      <c r="A27" s="22">
        <v>45727</v>
      </c>
      <c r="B27" s="5">
        <v>11575</v>
      </c>
      <c r="C27" s="5" t="s">
        <v>23</v>
      </c>
      <c r="D27" s="7">
        <v>10000</v>
      </c>
      <c r="E27" s="7">
        <f t="shared" si="0"/>
        <v>380000</v>
      </c>
      <c r="F27" s="16">
        <f t="shared" si="1"/>
        <v>110000</v>
      </c>
    </row>
    <row r="28" spans="1:6" x14ac:dyDescent="0.35">
      <c r="A28" s="22">
        <v>45334</v>
      </c>
      <c r="B28" s="5">
        <v>12551</v>
      </c>
      <c r="C28" s="5" t="s">
        <v>23</v>
      </c>
      <c r="D28" s="7">
        <v>10000</v>
      </c>
      <c r="E28" s="7">
        <f t="shared" si="0"/>
        <v>390000</v>
      </c>
      <c r="F28" s="16">
        <f t="shared" si="1"/>
        <v>100000</v>
      </c>
    </row>
    <row r="29" spans="1:6" x14ac:dyDescent="0.35">
      <c r="A29" s="22">
        <v>45658</v>
      </c>
      <c r="B29" s="5">
        <v>12852</v>
      </c>
      <c r="C29" s="5" t="s">
        <v>23</v>
      </c>
      <c r="D29" s="7">
        <v>10000</v>
      </c>
      <c r="E29" s="7">
        <f t="shared" si="0"/>
        <v>400000</v>
      </c>
      <c r="F29" s="16">
        <f t="shared" si="1"/>
        <v>90000</v>
      </c>
    </row>
    <row r="30" spans="1:6" x14ac:dyDescent="0.35">
      <c r="A30" s="22">
        <v>45718</v>
      </c>
      <c r="B30" s="5">
        <v>9218</v>
      </c>
      <c r="C30" s="5" t="s">
        <v>23</v>
      </c>
      <c r="D30" s="7">
        <v>10000</v>
      </c>
      <c r="E30" s="7">
        <f t="shared" si="0"/>
        <v>410000</v>
      </c>
      <c r="F30" s="16">
        <f t="shared" si="1"/>
        <v>80000</v>
      </c>
    </row>
    <row r="31" spans="1:6" x14ac:dyDescent="0.35">
      <c r="A31" s="22">
        <v>45719</v>
      </c>
      <c r="B31" s="5">
        <v>9607</v>
      </c>
      <c r="C31" s="5" t="s">
        <v>23</v>
      </c>
      <c r="D31" s="7">
        <v>10000</v>
      </c>
      <c r="E31" s="7">
        <f t="shared" si="0"/>
        <v>420000</v>
      </c>
      <c r="F31" s="16">
        <f t="shared" si="1"/>
        <v>70000</v>
      </c>
    </row>
    <row r="32" spans="1:6" x14ac:dyDescent="0.35">
      <c r="A32" s="8" t="s">
        <v>172</v>
      </c>
      <c r="B32" s="5">
        <v>10076</v>
      </c>
      <c r="C32" s="5" t="s">
        <v>23</v>
      </c>
      <c r="D32" s="7">
        <v>20000</v>
      </c>
      <c r="E32" s="7">
        <f t="shared" si="0"/>
        <v>440000</v>
      </c>
      <c r="F32" s="16">
        <f t="shared" si="1"/>
        <v>50000</v>
      </c>
    </row>
    <row r="33" spans="1:6" x14ac:dyDescent="0.35">
      <c r="A33" s="8" t="s">
        <v>173</v>
      </c>
      <c r="B33" s="5">
        <v>9942</v>
      </c>
      <c r="C33" s="5" t="s">
        <v>23</v>
      </c>
      <c r="D33" s="7">
        <v>10000</v>
      </c>
      <c r="E33" s="7">
        <f t="shared" si="0"/>
        <v>450000</v>
      </c>
      <c r="F33" s="16">
        <f t="shared" si="1"/>
        <v>40000</v>
      </c>
    </row>
    <row r="34" spans="1:6" x14ac:dyDescent="0.35">
      <c r="A34" s="22">
        <v>45845</v>
      </c>
      <c r="B34" s="5">
        <v>12802</v>
      </c>
      <c r="C34" s="5" t="s">
        <v>23</v>
      </c>
      <c r="D34" s="7">
        <v>10000</v>
      </c>
      <c r="E34" s="7">
        <f t="shared" si="0"/>
        <v>460000</v>
      </c>
      <c r="F34" s="16">
        <f t="shared" si="1"/>
        <v>30000</v>
      </c>
    </row>
    <row r="35" spans="1:6" x14ac:dyDescent="0.35">
      <c r="A35" s="22">
        <v>45665</v>
      </c>
      <c r="B35" s="5">
        <v>12346</v>
      </c>
      <c r="C35" s="5" t="s">
        <v>23</v>
      </c>
      <c r="D35" s="7">
        <v>10000</v>
      </c>
      <c r="E35" s="7">
        <f t="shared" si="0"/>
        <v>470000</v>
      </c>
      <c r="F35" s="16">
        <f t="shared" si="1"/>
        <v>20000</v>
      </c>
    </row>
    <row r="36" spans="1:6" x14ac:dyDescent="0.35">
      <c r="A36" s="22">
        <v>45697</v>
      </c>
      <c r="B36" s="5">
        <v>12602</v>
      </c>
      <c r="C36" s="5" t="s">
        <v>23</v>
      </c>
      <c r="D36" s="7">
        <v>10000</v>
      </c>
      <c r="E36" s="7">
        <f t="shared" si="0"/>
        <v>480000</v>
      </c>
      <c r="F36" s="16">
        <f t="shared" si="1"/>
        <v>10000</v>
      </c>
    </row>
    <row r="37" spans="1:6" x14ac:dyDescent="0.35">
      <c r="A37" s="29">
        <v>45787</v>
      </c>
      <c r="B37" s="26">
        <v>13896</v>
      </c>
      <c r="C37" s="26" t="s">
        <v>23</v>
      </c>
      <c r="D37" s="27">
        <v>10000</v>
      </c>
      <c r="E37" s="27">
        <f t="shared" si="0"/>
        <v>490000</v>
      </c>
      <c r="F37" s="28">
        <f t="shared" si="1"/>
        <v>0</v>
      </c>
    </row>
    <row r="38" spans="1:6" x14ac:dyDescent="0.35">
      <c r="A38" s="29"/>
      <c r="B38" s="26"/>
      <c r="C38" s="26"/>
      <c r="D38" s="27"/>
      <c r="E38" s="27"/>
      <c r="F38" s="28"/>
    </row>
    <row r="40" spans="1:6" ht="18.5" x14ac:dyDescent="0.45">
      <c r="A40" s="37" t="s">
        <v>283</v>
      </c>
      <c r="B40" s="37"/>
      <c r="C40" s="37"/>
      <c r="D40" s="37"/>
      <c r="E40" s="37"/>
      <c r="F40" s="37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K13" sqref="K13"/>
    </sheetView>
  </sheetViews>
  <sheetFormatPr defaultRowHeight="14.5" x14ac:dyDescent="0.35"/>
  <cols>
    <col min="1" max="1" width="9.90625" customWidth="1"/>
    <col min="3" max="3" width="12.6328125" customWidth="1"/>
    <col min="6" max="6" width="11.90625" customWidth="1"/>
  </cols>
  <sheetData>
    <row r="1" spans="1:6" ht="18.5" x14ac:dyDescent="0.45">
      <c r="A1" s="1" t="s">
        <v>284</v>
      </c>
      <c r="B1" s="1"/>
      <c r="C1" s="2"/>
      <c r="D1" s="1"/>
      <c r="E1" s="1"/>
      <c r="F1" s="1"/>
    </row>
    <row r="2" spans="1:6" ht="18.5" x14ac:dyDescent="0.45">
      <c r="A2" s="1" t="s">
        <v>285</v>
      </c>
      <c r="C2" s="1"/>
      <c r="D2" s="1"/>
      <c r="E2" s="1"/>
      <c r="F2" s="1"/>
    </row>
    <row r="3" spans="1:6" ht="18.5" x14ac:dyDescent="0.45">
      <c r="A3" s="1" t="s">
        <v>286</v>
      </c>
      <c r="B3" s="1"/>
      <c r="C3" s="1"/>
      <c r="D3" s="1"/>
      <c r="E3" s="1"/>
      <c r="F3" s="1"/>
    </row>
    <row r="4" spans="1:6" ht="18.5" x14ac:dyDescent="0.45">
      <c r="A4" s="1" t="s">
        <v>289</v>
      </c>
      <c r="B4" s="1"/>
      <c r="C4" s="1"/>
      <c r="D4" s="1"/>
      <c r="E4" s="1"/>
      <c r="F4" s="1"/>
    </row>
    <row r="5" spans="1:6" ht="18.5" x14ac:dyDescent="0.45">
      <c r="A5" s="1" t="s">
        <v>287</v>
      </c>
      <c r="B5" s="1"/>
      <c r="C5" s="1"/>
      <c r="D5" s="1"/>
      <c r="E5" s="1"/>
      <c r="F5" s="1"/>
    </row>
    <row r="6" spans="1:6" ht="18.5" x14ac:dyDescent="0.45">
      <c r="A6" s="1" t="s">
        <v>288</v>
      </c>
      <c r="B6" s="1"/>
      <c r="C6" s="1"/>
      <c r="D6" s="1" t="s">
        <v>191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t="s">
        <v>271</v>
      </c>
      <c r="B8">
        <v>2645</v>
      </c>
      <c r="C8" t="s">
        <v>49</v>
      </c>
      <c r="D8" s="14">
        <v>153500</v>
      </c>
      <c r="E8" s="14">
        <v>153500</v>
      </c>
      <c r="F8" s="14">
        <v>196500</v>
      </c>
    </row>
    <row r="9" spans="1:6" x14ac:dyDescent="0.35">
      <c r="A9" t="s">
        <v>260</v>
      </c>
      <c r="B9">
        <v>227</v>
      </c>
      <c r="C9" t="s">
        <v>198</v>
      </c>
      <c r="D9" s="14">
        <v>25000</v>
      </c>
      <c r="E9" s="14">
        <f>SUM(E8+D9)</f>
        <v>178500</v>
      </c>
      <c r="F9" s="14">
        <f>F8-D9</f>
        <v>171500</v>
      </c>
    </row>
    <row r="10" spans="1:6" x14ac:dyDescent="0.35">
      <c r="A10" t="s">
        <v>195</v>
      </c>
      <c r="B10">
        <v>2934</v>
      </c>
      <c r="C10" t="s">
        <v>198</v>
      </c>
      <c r="D10" s="14">
        <v>25000</v>
      </c>
      <c r="E10" s="14">
        <f t="shared" ref="E10:E24" si="0">SUM(E9+D10)</f>
        <v>203500</v>
      </c>
      <c r="F10" s="14">
        <f t="shared" ref="F10:F24" si="1">F9-D10</f>
        <v>146500</v>
      </c>
    </row>
    <row r="11" spans="1:6" x14ac:dyDescent="0.35">
      <c r="A11" s="12">
        <v>44935</v>
      </c>
      <c r="B11">
        <v>3345</v>
      </c>
      <c r="C11" t="s">
        <v>198</v>
      </c>
      <c r="D11" s="14">
        <v>10000</v>
      </c>
      <c r="E11" s="14">
        <f t="shared" si="0"/>
        <v>213500</v>
      </c>
      <c r="F11" s="14">
        <f t="shared" si="1"/>
        <v>136500</v>
      </c>
    </row>
    <row r="12" spans="1:6" x14ac:dyDescent="0.35">
      <c r="A12" t="s">
        <v>273</v>
      </c>
      <c r="B12">
        <v>4264</v>
      </c>
      <c r="C12" t="s">
        <v>198</v>
      </c>
      <c r="D12" s="14">
        <v>10000</v>
      </c>
      <c r="E12" s="14">
        <f t="shared" si="0"/>
        <v>223500</v>
      </c>
      <c r="F12" s="14">
        <f t="shared" si="1"/>
        <v>126500</v>
      </c>
    </row>
    <row r="13" spans="1:6" x14ac:dyDescent="0.35">
      <c r="A13" t="s">
        <v>274</v>
      </c>
      <c r="B13">
        <v>5079</v>
      </c>
      <c r="C13" t="s">
        <v>198</v>
      </c>
      <c r="D13" s="14">
        <v>10000</v>
      </c>
      <c r="E13" s="14">
        <f t="shared" si="0"/>
        <v>233500</v>
      </c>
      <c r="F13" s="14">
        <f t="shared" si="1"/>
        <v>116500</v>
      </c>
    </row>
    <row r="14" spans="1:6" x14ac:dyDescent="0.35">
      <c r="A14" t="s">
        <v>290</v>
      </c>
      <c r="B14">
        <v>529</v>
      </c>
      <c r="C14" t="s">
        <v>198</v>
      </c>
      <c r="D14" s="14">
        <v>10000</v>
      </c>
      <c r="E14" s="14">
        <f t="shared" si="0"/>
        <v>243500</v>
      </c>
      <c r="F14" s="14">
        <f t="shared" si="1"/>
        <v>106500</v>
      </c>
    </row>
    <row r="15" spans="1:6" x14ac:dyDescent="0.35">
      <c r="A15" t="s">
        <v>282</v>
      </c>
      <c r="B15">
        <v>6205</v>
      </c>
      <c r="C15" t="s">
        <v>198</v>
      </c>
      <c r="D15" s="14">
        <v>10000</v>
      </c>
      <c r="E15" s="14">
        <f t="shared" si="0"/>
        <v>253500</v>
      </c>
      <c r="F15" s="14">
        <f t="shared" si="1"/>
        <v>96500</v>
      </c>
    </row>
    <row r="16" spans="1:6" x14ac:dyDescent="0.35">
      <c r="A16" t="s">
        <v>201</v>
      </c>
      <c r="B16">
        <v>665</v>
      </c>
      <c r="C16" t="s">
        <v>198</v>
      </c>
      <c r="D16" s="14">
        <v>10000</v>
      </c>
      <c r="E16" s="14">
        <f t="shared" si="0"/>
        <v>263500</v>
      </c>
      <c r="F16" s="14">
        <f t="shared" si="1"/>
        <v>86500</v>
      </c>
    </row>
    <row r="17" spans="1:7" x14ac:dyDescent="0.35">
      <c r="A17" t="s">
        <v>276</v>
      </c>
      <c r="B17">
        <v>7502</v>
      </c>
      <c r="C17" t="s">
        <v>198</v>
      </c>
      <c r="D17" s="14">
        <v>10000</v>
      </c>
      <c r="E17" s="14">
        <f t="shared" si="0"/>
        <v>273500</v>
      </c>
      <c r="F17" s="14">
        <f t="shared" si="1"/>
        <v>76500</v>
      </c>
    </row>
    <row r="18" spans="1:7" x14ac:dyDescent="0.35">
      <c r="A18" s="12">
        <v>45508</v>
      </c>
      <c r="B18">
        <v>7951</v>
      </c>
      <c r="C18" t="s">
        <v>198</v>
      </c>
      <c r="D18" s="14">
        <v>10000</v>
      </c>
      <c r="E18" s="14">
        <f t="shared" si="0"/>
        <v>283500</v>
      </c>
      <c r="F18" s="14">
        <f t="shared" si="1"/>
        <v>66500</v>
      </c>
    </row>
    <row r="19" spans="1:7" x14ac:dyDescent="0.35">
      <c r="A19" s="12">
        <v>45631</v>
      </c>
      <c r="B19">
        <v>8464</v>
      </c>
      <c r="C19" t="s">
        <v>198</v>
      </c>
      <c r="D19" s="14">
        <v>10000</v>
      </c>
      <c r="E19" s="14">
        <f t="shared" si="0"/>
        <v>293500</v>
      </c>
      <c r="F19" s="14">
        <f t="shared" si="1"/>
        <v>56500</v>
      </c>
    </row>
    <row r="20" spans="1:7" x14ac:dyDescent="0.35">
      <c r="A20" t="s">
        <v>278</v>
      </c>
      <c r="B20">
        <v>9156</v>
      </c>
      <c r="C20" t="s">
        <v>198</v>
      </c>
      <c r="D20" s="14">
        <v>10000</v>
      </c>
      <c r="E20" s="14">
        <f t="shared" si="0"/>
        <v>303500</v>
      </c>
      <c r="F20" s="14">
        <f t="shared" si="1"/>
        <v>46500</v>
      </c>
    </row>
    <row r="21" spans="1:7" x14ac:dyDescent="0.35">
      <c r="A21" t="s">
        <v>279</v>
      </c>
      <c r="B21">
        <v>11252</v>
      </c>
      <c r="C21" t="s">
        <v>198</v>
      </c>
      <c r="D21" s="14">
        <v>10000</v>
      </c>
      <c r="E21" s="14">
        <f t="shared" si="0"/>
        <v>313500</v>
      </c>
      <c r="F21" s="14">
        <f t="shared" si="1"/>
        <v>36500</v>
      </c>
    </row>
    <row r="22" spans="1:7" x14ac:dyDescent="0.35">
      <c r="A22" t="s">
        <v>280</v>
      </c>
      <c r="B22">
        <v>11223</v>
      </c>
      <c r="C22" t="s">
        <v>198</v>
      </c>
      <c r="D22" s="14">
        <v>10000</v>
      </c>
      <c r="E22" s="14">
        <f t="shared" si="0"/>
        <v>323500</v>
      </c>
      <c r="F22" s="14">
        <f t="shared" si="1"/>
        <v>26500</v>
      </c>
    </row>
    <row r="23" spans="1:7" x14ac:dyDescent="0.35">
      <c r="A23" t="s">
        <v>291</v>
      </c>
      <c r="B23">
        <v>10109</v>
      </c>
      <c r="C23" t="s">
        <v>198</v>
      </c>
      <c r="D23" s="14">
        <v>10000</v>
      </c>
      <c r="E23" s="14">
        <f t="shared" si="0"/>
        <v>333500</v>
      </c>
      <c r="F23" s="14">
        <f t="shared" si="1"/>
        <v>16500</v>
      </c>
    </row>
    <row r="24" spans="1:7" x14ac:dyDescent="0.35">
      <c r="A24" t="s">
        <v>80</v>
      </c>
      <c r="B24">
        <v>12122</v>
      </c>
      <c r="C24" t="s">
        <v>198</v>
      </c>
      <c r="D24" s="14">
        <v>16500</v>
      </c>
      <c r="E24" s="14">
        <f t="shared" si="0"/>
        <v>350000</v>
      </c>
      <c r="F24" s="14">
        <f t="shared" si="1"/>
        <v>0</v>
      </c>
    </row>
    <row r="25" spans="1:7" ht="18.5" x14ac:dyDescent="0.45">
      <c r="A25" s="37" t="s">
        <v>283</v>
      </c>
      <c r="B25" s="37"/>
      <c r="C25" s="37"/>
      <c r="D25" s="37"/>
      <c r="E25" s="37"/>
      <c r="F25" s="37"/>
      <c r="G25" s="3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opLeftCell="A7" workbookViewId="0">
      <selection activeCell="K18" sqref="K18"/>
    </sheetView>
  </sheetViews>
  <sheetFormatPr defaultRowHeight="14.5" x14ac:dyDescent="0.35"/>
  <cols>
    <col min="1" max="1" width="9.81640625" customWidth="1"/>
    <col min="3" max="3" width="12.1796875" customWidth="1"/>
  </cols>
  <sheetData>
    <row r="1" spans="1:6" ht="18.5" x14ac:dyDescent="0.45">
      <c r="A1" s="1" t="s">
        <v>265</v>
      </c>
      <c r="B1" s="1"/>
      <c r="C1" s="2"/>
      <c r="D1" s="1"/>
      <c r="E1" s="1"/>
      <c r="F1" s="1"/>
    </row>
    <row r="2" spans="1:6" ht="18.5" x14ac:dyDescent="0.45">
      <c r="A2" s="1" t="s">
        <v>266</v>
      </c>
      <c r="C2" s="1"/>
      <c r="D2" s="1"/>
      <c r="E2" s="1"/>
      <c r="F2" s="1"/>
    </row>
    <row r="3" spans="1:6" ht="18.5" x14ac:dyDescent="0.45">
      <c r="A3" s="1" t="s">
        <v>267</v>
      </c>
      <c r="B3" s="1"/>
      <c r="C3" s="1"/>
      <c r="D3" s="1"/>
      <c r="E3" s="1"/>
      <c r="F3" s="1"/>
    </row>
    <row r="4" spans="1:6" ht="18.5" x14ac:dyDescent="0.45">
      <c r="A4" s="1" t="s">
        <v>270</v>
      </c>
      <c r="B4" s="1"/>
      <c r="C4" s="1"/>
      <c r="D4" s="1"/>
      <c r="E4" s="1"/>
      <c r="F4" s="1"/>
    </row>
    <row r="5" spans="1:6" ht="18.5" x14ac:dyDescent="0.45">
      <c r="A5" s="1" t="s">
        <v>268</v>
      </c>
      <c r="B5" s="1"/>
      <c r="C5" s="1"/>
      <c r="D5" s="1"/>
      <c r="E5" s="1"/>
      <c r="F5" s="1"/>
    </row>
    <row r="6" spans="1:6" ht="18.5" x14ac:dyDescent="0.45">
      <c r="A6" s="1" t="s">
        <v>269</v>
      </c>
      <c r="B6" s="1"/>
      <c r="C6" s="1"/>
      <c r="D6" s="1" t="s">
        <v>191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t="s">
        <v>271</v>
      </c>
      <c r="B8">
        <v>2644</v>
      </c>
      <c r="C8" t="s">
        <v>49</v>
      </c>
      <c r="D8" s="14">
        <v>153500</v>
      </c>
      <c r="E8" s="14">
        <v>153500</v>
      </c>
      <c r="F8" s="14">
        <v>196500</v>
      </c>
    </row>
    <row r="9" spans="1:6" x14ac:dyDescent="0.35">
      <c r="A9" t="s">
        <v>272</v>
      </c>
      <c r="B9">
        <v>26</v>
      </c>
      <c r="C9" t="s">
        <v>216</v>
      </c>
      <c r="D9" s="14">
        <v>25000</v>
      </c>
      <c r="E9" s="14">
        <f>SUM(E8+D9)</f>
        <v>178500</v>
      </c>
      <c r="F9" s="14">
        <f>F8-D9</f>
        <v>171500</v>
      </c>
    </row>
    <row r="10" spans="1:6" x14ac:dyDescent="0.35">
      <c r="A10" t="s">
        <v>195</v>
      </c>
      <c r="B10">
        <v>2935</v>
      </c>
      <c r="C10" t="s">
        <v>216</v>
      </c>
      <c r="D10" s="14">
        <v>25000</v>
      </c>
      <c r="E10" s="14">
        <f t="shared" ref="E10:E24" si="0">SUM(E9+D10)</f>
        <v>203500</v>
      </c>
      <c r="F10" s="14">
        <f t="shared" ref="F10:F24" si="1">F9-D10</f>
        <v>146500</v>
      </c>
    </row>
    <row r="11" spans="1:6" x14ac:dyDescent="0.35">
      <c r="A11" s="12">
        <v>44935</v>
      </c>
      <c r="B11">
        <v>3346</v>
      </c>
      <c r="C11" t="s">
        <v>216</v>
      </c>
      <c r="D11" s="14">
        <v>10000</v>
      </c>
      <c r="E11" s="14">
        <f t="shared" si="0"/>
        <v>213500</v>
      </c>
      <c r="F11" s="14">
        <f t="shared" si="1"/>
        <v>136500</v>
      </c>
    </row>
    <row r="12" spans="1:6" x14ac:dyDescent="0.35">
      <c r="A12" t="s">
        <v>273</v>
      </c>
      <c r="B12">
        <v>4265</v>
      </c>
      <c r="C12" t="s">
        <v>216</v>
      </c>
      <c r="D12" s="14">
        <v>10000</v>
      </c>
      <c r="E12" s="14">
        <f t="shared" si="0"/>
        <v>223500</v>
      </c>
      <c r="F12" s="14">
        <f t="shared" si="1"/>
        <v>126500</v>
      </c>
    </row>
    <row r="13" spans="1:6" x14ac:dyDescent="0.35">
      <c r="A13" t="s">
        <v>274</v>
      </c>
      <c r="B13">
        <v>5080</v>
      </c>
      <c r="C13" t="s">
        <v>216</v>
      </c>
      <c r="D13" s="14">
        <v>10000</v>
      </c>
      <c r="E13" s="14">
        <f t="shared" si="0"/>
        <v>233500</v>
      </c>
      <c r="F13" s="14">
        <f t="shared" si="1"/>
        <v>116500</v>
      </c>
    </row>
    <row r="14" spans="1:6" x14ac:dyDescent="0.35">
      <c r="A14" t="s">
        <v>275</v>
      </c>
      <c r="B14">
        <v>5702</v>
      </c>
      <c r="C14" t="s">
        <v>216</v>
      </c>
      <c r="D14" s="14">
        <v>10000</v>
      </c>
      <c r="E14" s="14">
        <f t="shared" si="0"/>
        <v>243500</v>
      </c>
      <c r="F14" s="14">
        <f t="shared" si="1"/>
        <v>106500</v>
      </c>
    </row>
    <row r="15" spans="1:6" x14ac:dyDescent="0.35">
      <c r="A15" t="s">
        <v>276</v>
      </c>
      <c r="B15">
        <v>7503</v>
      </c>
      <c r="C15" t="s">
        <v>216</v>
      </c>
      <c r="D15" s="14">
        <v>10000</v>
      </c>
      <c r="E15" s="14">
        <f t="shared" si="0"/>
        <v>253500</v>
      </c>
      <c r="F15" s="14">
        <f t="shared" si="1"/>
        <v>96500</v>
      </c>
    </row>
    <row r="16" spans="1:6" x14ac:dyDescent="0.35">
      <c r="A16" t="s">
        <v>277</v>
      </c>
      <c r="B16">
        <v>7952</v>
      </c>
      <c r="C16" t="s">
        <v>216</v>
      </c>
      <c r="D16" s="14">
        <v>10000</v>
      </c>
      <c r="E16" s="14">
        <f t="shared" si="0"/>
        <v>263500</v>
      </c>
      <c r="F16" s="14">
        <f t="shared" si="1"/>
        <v>86500</v>
      </c>
    </row>
    <row r="17" spans="1:7" x14ac:dyDescent="0.35">
      <c r="A17" s="12">
        <v>45631</v>
      </c>
      <c r="B17">
        <v>8465</v>
      </c>
      <c r="C17" t="s">
        <v>216</v>
      </c>
      <c r="D17" s="14">
        <v>10000</v>
      </c>
      <c r="E17" s="14">
        <f t="shared" si="0"/>
        <v>273500</v>
      </c>
      <c r="F17" s="14">
        <f t="shared" si="1"/>
        <v>76500</v>
      </c>
    </row>
    <row r="18" spans="1:7" x14ac:dyDescent="0.35">
      <c r="A18" t="s">
        <v>278</v>
      </c>
      <c r="B18">
        <v>9157</v>
      </c>
      <c r="C18" t="s">
        <v>216</v>
      </c>
      <c r="D18" s="14">
        <v>10000</v>
      </c>
      <c r="E18" s="14">
        <f t="shared" si="0"/>
        <v>283500</v>
      </c>
      <c r="F18" s="14">
        <f t="shared" si="1"/>
        <v>66500</v>
      </c>
    </row>
    <row r="19" spans="1:7" x14ac:dyDescent="0.35">
      <c r="A19" t="s">
        <v>279</v>
      </c>
      <c r="B19">
        <v>11253</v>
      </c>
      <c r="C19" t="s">
        <v>216</v>
      </c>
      <c r="D19" s="14">
        <v>10000</v>
      </c>
      <c r="E19" s="14">
        <f t="shared" si="0"/>
        <v>293500</v>
      </c>
      <c r="F19" s="14">
        <f t="shared" si="1"/>
        <v>56500</v>
      </c>
    </row>
    <row r="20" spans="1:7" x14ac:dyDescent="0.35">
      <c r="A20" t="s">
        <v>280</v>
      </c>
      <c r="B20">
        <v>11224</v>
      </c>
      <c r="C20" t="s">
        <v>216</v>
      </c>
      <c r="D20" s="14">
        <v>10000</v>
      </c>
      <c r="E20" s="14">
        <f t="shared" si="0"/>
        <v>303500</v>
      </c>
      <c r="F20" s="14">
        <f t="shared" si="1"/>
        <v>46500</v>
      </c>
    </row>
    <row r="21" spans="1:7" x14ac:dyDescent="0.35">
      <c r="A21" t="s">
        <v>281</v>
      </c>
      <c r="B21">
        <v>10104</v>
      </c>
      <c r="C21" t="s">
        <v>216</v>
      </c>
      <c r="D21" s="14">
        <v>10000</v>
      </c>
      <c r="E21" s="14">
        <f t="shared" si="0"/>
        <v>313500</v>
      </c>
      <c r="F21" s="14">
        <f t="shared" si="1"/>
        <v>36500</v>
      </c>
    </row>
    <row r="22" spans="1:7" x14ac:dyDescent="0.35">
      <c r="A22" t="s">
        <v>282</v>
      </c>
      <c r="B22">
        <v>6206</v>
      </c>
      <c r="C22" t="s">
        <v>216</v>
      </c>
      <c r="D22" s="14">
        <v>10000</v>
      </c>
      <c r="E22" s="14">
        <f t="shared" si="0"/>
        <v>323500</v>
      </c>
      <c r="F22" s="14">
        <f t="shared" si="1"/>
        <v>26500</v>
      </c>
    </row>
    <row r="23" spans="1:7" x14ac:dyDescent="0.35">
      <c r="A23" t="s">
        <v>201</v>
      </c>
      <c r="B23">
        <v>6652</v>
      </c>
      <c r="C23" t="s">
        <v>216</v>
      </c>
      <c r="D23" s="14">
        <v>10000</v>
      </c>
      <c r="E23" s="14">
        <f t="shared" si="0"/>
        <v>333500</v>
      </c>
      <c r="F23" s="14">
        <f t="shared" si="1"/>
        <v>16500</v>
      </c>
    </row>
    <row r="24" spans="1:7" x14ac:dyDescent="0.35">
      <c r="A24" t="s">
        <v>92</v>
      </c>
      <c r="B24">
        <v>12123</v>
      </c>
      <c r="C24" t="s">
        <v>216</v>
      </c>
      <c r="D24" s="14">
        <v>16500</v>
      </c>
      <c r="E24" s="14">
        <f t="shared" si="0"/>
        <v>350000</v>
      </c>
      <c r="F24" s="14">
        <f t="shared" si="1"/>
        <v>0</v>
      </c>
    </row>
    <row r="25" spans="1:7" ht="21" x14ac:dyDescent="0.5">
      <c r="A25" s="35" t="s">
        <v>283</v>
      </c>
      <c r="B25" s="35"/>
      <c r="C25" s="35"/>
      <c r="D25" s="35"/>
      <c r="E25" s="35"/>
      <c r="F25" s="35"/>
      <c r="G25" s="3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G3" sqref="G3"/>
    </sheetView>
  </sheetViews>
  <sheetFormatPr defaultRowHeight="14.5" x14ac:dyDescent="0.35"/>
  <cols>
    <col min="1" max="1" width="10.1796875" customWidth="1"/>
    <col min="3" max="3" width="11.36328125" customWidth="1"/>
    <col min="6" max="6" width="11.90625" customWidth="1"/>
  </cols>
  <sheetData>
    <row r="1" spans="1:6" ht="18.5" x14ac:dyDescent="0.45">
      <c r="A1" s="1" t="s">
        <v>208</v>
      </c>
      <c r="B1" s="1"/>
      <c r="C1" s="2"/>
      <c r="D1" s="1"/>
      <c r="E1" s="1"/>
      <c r="F1" s="1"/>
    </row>
    <row r="2" spans="1:6" ht="18.5" x14ac:dyDescent="0.45">
      <c r="A2" s="1" t="s">
        <v>209</v>
      </c>
      <c r="C2" s="1"/>
      <c r="D2" s="1"/>
      <c r="E2" s="1"/>
      <c r="F2" s="1"/>
    </row>
    <row r="3" spans="1:6" ht="18.5" x14ac:dyDescent="0.45">
      <c r="A3" s="1" t="s">
        <v>210</v>
      </c>
      <c r="B3" s="1"/>
      <c r="C3" s="1"/>
      <c r="D3" s="1"/>
      <c r="E3" s="1"/>
      <c r="F3" s="1"/>
    </row>
    <row r="4" spans="1:6" ht="18.5" x14ac:dyDescent="0.45">
      <c r="A4" s="1" t="s">
        <v>331</v>
      </c>
      <c r="B4" s="1"/>
      <c r="C4" s="1"/>
      <c r="D4" s="1"/>
      <c r="E4" s="1"/>
      <c r="F4" s="1"/>
    </row>
    <row r="5" spans="1:6" ht="18.5" x14ac:dyDescent="0.45">
      <c r="A5" s="1" t="s">
        <v>211</v>
      </c>
      <c r="B5" s="1"/>
      <c r="C5" s="1"/>
      <c r="D5" s="1"/>
      <c r="E5" s="1"/>
      <c r="F5" s="1"/>
    </row>
    <row r="6" spans="1:6" ht="18.5" x14ac:dyDescent="0.45">
      <c r="A6" s="1" t="s">
        <v>212</v>
      </c>
      <c r="B6" s="1"/>
      <c r="C6" s="1"/>
      <c r="D6" s="1" t="s">
        <v>180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t="s">
        <v>213</v>
      </c>
      <c r="B8">
        <v>485</v>
      </c>
      <c r="C8" t="s">
        <v>23</v>
      </c>
      <c r="D8" s="14">
        <v>10000</v>
      </c>
      <c r="E8" s="14">
        <v>10000</v>
      </c>
      <c r="F8" s="14">
        <v>106240</v>
      </c>
    </row>
    <row r="9" spans="1:6" x14ac:dyDescent="0.35">
      <c r="A9" s="12">
        <v>44782</v>
      </c>
      <c r="B9">
        <v>130</v>
      </c>
      <c r="C9" t="s">
        <v>23</v>
      </c>
      <c r="D9" s="14">
        <v>10000</v>
      </c>
      <c r="E9" s="14">
        <f>SUM(E8+D9)</f>
        <v>20000</v>
      </c>
      <c r="F9" s="14">
        <f>F8-D9</f>
        <v>96240</v>
      </c>
    </row>
    <row r="10" spans="1:6" x14ac:dyDescent="0.35">
      <c r="A10" s="12">
        <v>45170</v>
      </c>
      <c r="B10">
        <v>1587</v>
      </c>
      <c r="C10" t="s">
        <v>49</v>
      </c>
      <c r="D10" s="14">
        <v>20000</v>
      </c>
      <c r="E10" s="14">
        <f t="shared" ref="E10:E18" si="0">SUM(E9+D10)</f>
        <v>40000</v>
      </c>
      <c r="F10" s="14">
        <f t="shared" ref="F10:F18" si="1">F9-D10</f>
        <v>76240</v>
      </c>
    </row>
    <row r="11" spans="1:6" x14ac:dyDescent="0.35">
      <c r="A11" t="s">
        <v>60</v>
      </c>
      <c r="B11">
        <v>1588</v>
      </c>
      <c r="C11" t="s">
        <v>216</v>
      </c>
      <c r="D11" s="14">
        <v>10000</v>
      </c>
      <c r="E11" s="14">
        <f t="shared" si="0"/>
        <v>50000</v>
      </c>
      <c r="F11" s="14">
        <f t="shared" si="1"/>
        <v>66240</v>
      </c>
    </row>
    <row r="12" spans="1:6" x14ac:dyDescent="0.35">
      <c r="A12" s="12">
        <v>45267</v>
      </c>
      <c r="B12">
        <v>2710</v>
      </c>
      <c r="C12" t="s">
        <v>216</v>
      </c>
      <c r="D12" s="14">
        <v>10000</v>
      </c>
      <c r="E12" s="14">
        <f t="shared" si="0"/>
        <v>60000</v>
      </c>
      <c r="F12" s="14">
        <f t="shared" si="1"/>
        <v>56240</v>
      </c>
    </row>
    <row r="13" spans="1:6" x14ac:dyDescent="0.35">
      <c r="A13" s="12">
        <v>45208</v>
      </c>
      <c r="B13">
        <v>3581</v>
      </c>
      <c r="C13" t="s">
        <v>216</v>
      </c>
      <c r="D13" s="14">
        <v>10000</v>
      </c>
      <c r="E13" s="14">
        <f t="shared" si="0"/>
        <v>70000</v>
      </c>
      <c r="F13" s="14">
        <f t="shared" si="1"/>
        <v>46240</v>
      </c>
    </row>
    <row r="14" spans="1:6" x14ac:dyDescent="0.35">
      <c r="A14" s="12">
        <v>45148</v>
      </c>
      <c r="B14">
        <v>4085</v>
      </c>
      <c r="C14" t="s">
        <v>216</v>
      </c>
      <c r="D14" s="14">
        <v>10000</v>
      </c>
      <c r="E14" s="14">
        <f t="shared" si="0"/>
        <v>80000</v>
      </c>
      <c r="F14" s="14">
        <f t="shared" si="1"/>
        <v>36240</v>
      </c>
    </row>
    <row r="15" spans="1:6" x14ac:dyDescent="0.35">
      <c r="A15" s="12">
        <v>45057</v>
      </c>
      <c r="B15">
        <v>4659</v>
      </c>
      <c r="C15" t="s">
        <v>216</v>
      </c>
      <c r="D15" s="14">
        <v>10000</v>
      </c>
      <c r="E15" s="14">
        <f t="shared" si="0"/>
        <v>90000</v>
      </c>
      <c r="F15" s="14">
        <f t="shared" si="1"/>
        <v>26240</v>
      </c>
    </row>
    <row r="16" spans="1:6" x14ac:dyDescent="0.35">
      <c r="A16" s="12">
        <v>45181</v>
      </c>
      <c r="B16">
        <v>5379</v>
      </c>
      <c r="C16" t="s">
        <v>216</v>
      </c>
      <c r="D16" s="14">
        <v>10000</v>
      </c>
      <c r="E16" s="14">
        <f t="shared" si="0"/>
        <v>100000</v>
      </c>
      <c r="F16" s="14">
        <f t="shared" si="1"/>
        <v>16240</v>
      </c>
    </row>
    <row r="17" spans="1:6" x14ac:dyDescent="0.35">
      <c r="A17" t="s">
        <v>214</v>
      </c>
      <c r="B17">
        <v>6261</v>
      </c>
      <c r="C17" t="s">
        <v>216</v>
      </c>
      <c r="D17" s="14">
        <v>10000</v>
      </c>
      <c r="E17" s="14">
        <f t="shared" si="0"/>
        <v>110000</v>
      </c>
      <c r="F17" s="14">
        <f t="shared" si="1"/>
        <v>6240</v>
      </c>
    </row>
    <row r="18" spans="1:6" x14ac:dyDescent="0.35">
      <c r="A18" t="s">
        <v>215</v>
      </c>
      <c r="B18">
        <v>6750</v>
      </c>
      <c r="C18" t="s">
        <v>216</v>
      </c>
      <c r="D18" s="14">
        <v>6240</v>
      </c>
      <c r="E18" s="14">
        <f t="shared" si="0"/>
        <v>116240</v>
      </c>
      <c r="F18" s="14">
        <f t="shared" si="1"/>
        <v>0</v>
      </c>
    </row>
    <row r="19" spans="1:6" ht="18.5" x14ac:dyDescent="0.45">
      <c r="A19" s="37" t="s">
        <v>283</v>
      </c>
      <c r="B19" s="37"/>
      <c r="C19" s="37"/>
      <c r="D19" s="37"/>
      <c r="E19" s="37"/>
      <c r="F19" s="37"/>
    </row>
    <row r="20" spans="1:6" ht="18.5" x14ac:dyDescent="0.45">
      <c r="A20" s="37"/>
      <c r="B20" s="37"/>
      <c r="C20" s="37"/>
      <c r="D20" s="37"/>
      <c r="E20" s="37"/>
      <c r="F20" s="3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opLeftCell="A2" workbookViewId="0">
      <selection activeCell="G19" sqref="G19"/>
    </sheetView>
  </sheetViews>
  <sheetFormatPr defaultRowHeight="14.5" x14ac:dyDescent="0.35"/>
  <cols>
    <col min="1" max="1" width="10" customWidth="1"/>
    <col min="3" max="3" width="10.08984375" customWidth="1"/>
    <col min="6" max="6" width="11.6328125" customWidth="1"/>
  </cols>
  <sheetData>
    <row r="1" spans="1:11" ht="18.5" x14ac:dyDescent="0.45">
      <c r="A1" s="1" t="s">
        <v>251</v>
      </c>
      <c r="B1" s="1"/>
      <c r="C1" s="2"/>
      <c r="D1" s="1"/>
      <c r="E1" s="1"/>
      <c r="F1" s="1"/>
    </row>
    <row r="2" spans="1:11" ht="18.5" x14ac:dyDescent="0.45">
      <c r="A2" s="1" t="s">
        <v>252</v>
      </c>
      <c r="B2" s="1"/>
      <c r="C2" s="1"/>
      <c r="D2" s="1"/>
      <c r="E2" s="1"/>
      <c r="F2" s="1"/>
    </row>
    <row r="3" spans="1:11" ht="18.5" x14ac:dyDescent="0.45">
      <c r="A3" s="1" t="s">
        <v>253</v>
      </c>
      <c r="B3" s="1"/>
      <c r="C3" s="1"/>
      <c r="D3" s="1" t="s">
        <v>191</v>
      </c>
      <c r="E3" s="1"/>
      <c r="F3" s="1"/>
    </row>
    <row r="4" spans="1:11" ht="18.5" x14ac:dyDescent="0.45">
      <c r="A4" s="1" t="s">
        <v>254</v>
      </c>
      <c r="B4" s="1"/>
      <c r="C4" s="1"/>
      <c r="D4" s="1"/>
      <c r="E4" s="1"/>
      <c r="F4" s="1"/>
    </row>
    <row r="5" spans="1:11" ht="18.5" x14ac:dyDescent="0.45">
      <c r="A5" s="1" t="s">
        <v>255</v>
      </c>
      <c r="B5" s="1"/>
      <c r="C5" s="1"/>
      <c r="D5" s="1"/>
      <c r="E5" s="1"/>
      <c r="F5" s="1"/>
    </row>
    <row r="6" spans="1:11" ht="18.5" x14ac:dyDescent="0.45">
      <c r="A6" s="1" t="s">
        <v>415</v>
      </c>
      <c r="B6" s="1"/>
      <c r="C6" s="2"/>
      <c r="D6" s="1"/>
      <c r="E6" s="1"/>
      <c r="F6" s="1"/>
    </row>
    <row r="7" spans="1:11" ht="18.5" x14ac:dyDescent="0.45">
      <c r="A7" s="1" t="s">
        <v>416</v>
      </c>
      <c r="B7" s="1"/>
      <c r="C7" s="2"/>
      <c r="D7" s="1"/>
      <c r="E7" s="1"/>
      <c r="F7" s="1"/>
    </row>
    <row r="8" spans="1:11" ht="18.5" x14ac:dyDescent="0.45">
      <c r="A8" s="1" t="s">
        <v>418</v>
      </c>
      <c r="B8" s="1"/>
      <c r="C8" s="1"/>
      <c r="D8" s="1"/>
      <c r="E8" s="1"/>
      <c r="F8" s="1"/>
    </row>
    <row r="9" spans="1:11" ht="18.5" x14ac:dyDescent="0.45">
      <c r="A9" s="1" t="s">
        <v>417</v>
      </c>
      <c r="B9" s="1"/>
      <c r="C9" s="1"/>
      <c r="D9" s="1"/>
      <c r="E9" s="1"/>
      <c r="F9" s="1"/>
    </row>
    <row r="10" spans="1:11" ht="18.5" x14ac:dyDescent="0.45">
      <c r="A10" s="1" t="s">
        <v>253</v>
      </c>
      <c r="B10" s="1"/>
      <c r="C10" s="1"/>
      <c r="D10" s="1" t="s">
        <v>191</v>
      </c>
      <c r="E10" s="1"/>
      <c r="F10" s="1"/>
      <c r="H10" s="37" t="s">
        <v>419</v>
      </c>
      <c r="I10" s="37"/>
      <c r="J10" s="37"/>
      <c r="K10" s="37"/>
    </row>
    <row r="11" spans="1:11" x14ac:dyDescent="0.35">
      <c r="A11" s="4" t="s">
        <v>0</v>
      </c>
      <c r="B11" s="3" t="s">
        <v>1</v>
      </c>
      <c r="C11" s="3" t="s">
        <v>2</v>
      </c>
      <c r="D11" s="3" t="s">
        <v>3</v>
      </c>
      <c r="E11" s="3" t="s">
        <v>4</v>
      </c>
      <c r="F11" s="3" t="s">
        <v>5</v>
      </c>
    </row>
    <row r="12" spans="1:11" x14ac:dyDescent="0.35">
      <c r="A12" s="41" t="s">
        <v>256</v>
      </c>
      <c r="B12" s="42">
        <v>1312</v>
      </c>
      <c r="C12" s="43" t="s">
        <v>216</v>
      </c>
      <c r="D12" s="43">
        <v>10000</v>
      </c>
      <c r="E12" s="43">
        <v>10000</v>
      </c>
      <c r="F12" s="43">
        <v>110000</v>
      </c>
    </row>
    <row r="13" spans="1:11" x14ac:dyDescent="0.35">
      <c r="A13" t="s">
        <v>257</v>
      </c>
      <c r="B13">
        <v>1663</v>
      </c>
      <c r="C13" t="s">
        <v>216</v>
      </c>
      <c r="D13" s="14">
        <v>10000</v>
      </c>
      <c r="E13" s="14">
        <f>SUM(E12+D13)</f>
        <v>20000</v>
      </c>
      <c r="F13" s="14">
        <f>F12-D13</f>
        <v>100000</v>
      </c>
    </row>
    <row r="14" spans="1:11" x14ac:dyDescent="0.35">
      <c r="A14" t="s">
        <v>258</v>
      </c>
      <c r="B14">
        <v>2693</v>
      </c>
      <c r="C14" t="s">
        <v>61</v>
      </c>
      <c r="D14" s="14">
        <v>40000</v>
      </c>
      <c r="E14" s="14">
        <f t="shared" ref="E14:E20" si="0">SUM(E13+D14)</f>
        <v>60000</v>
      </c>
      <c r="F14" s="14">
        <f t="shared" ref="F14:F20" si="1">F13-D14</f>
        <v>60000</v>
      </c>
    </row>
    <row r="15" spans="1:11" x14ac:dyDescent="0.35">
      <c r="A15" t="s">
        <v>259</v>
      </c>
      <c r="B15">
        <v>1446</v>
      </c>
      <c r="C15" t="s">
        <v>216</v>
      </c>
      <c r="D15" s="14">
        <v>10000</v>
      </c>
      <c r="E15" s="14">
        <f t="shared" si="0"/>
        <v>70000</v>
      </c>
      <c r="F15" s="14">
        <f t="shared" si="1"/>
        <v>50000</v>
      </c>
    </row>
    <row r="16" spans="1:11" x14ac:dyDescent="0.35">
      <c r="A16" t="s">
        <v>260</v>
      </c>
      <c r="B16">
        <v>1689</v>
      </c>
      <c r="C16" t="s">
        <v>216</v>
      </c>
      <c r="D16" s="14">
        <v>10000</v>
      </c>
      <c r="E16" s="14">
        <f t="shared" si="0"/>
        <v>80000</v>
      </c>
      <c r="F16" s="14">
        <f t="shared" si="1"/>
        <v>40000</v>
      </c>
    </row>
    <row r="17" spans="1:6" x14ac:dyDescent="0.35">
      <c r="A17" t="s">
        <v>261</v>
      </c>
      <c r="B17">
        <v>206</v>
      </c>
      <c r="C17" t="s">
        <v>216</v>
      </c>
      <c r="D17" s="14">
        <v>10000</v>
      </c>
      <c r="E17" s="14">
        <f t="shared" si="0"/>
        <v>90000</v>
      </c>
      <c r="F17" s="14">
        <f t="shared" si="1"/>
        <v>30000</v>
      </c>
    </row>
    <row r="18" spans="1:6" x14ac:dyDescent="0.35">
      <c r="A18" t="s">
        <v>44</v>
      </c>
      <c r="B18">
        <v>912</v>
      </c>
      <c r="C18" t="s">
        <v>216</v>
      </c>
      <c r="D18" s="14">
        <v>10000</v>
      </c>
      <c r="E18" s="14">
        <f t="shared" si="0"/>
        <v>100000</v>
      </c>
      <c r="F18" s="14">
        <f t="shared" si="1"/>
        <v>20000</v>
      </c>
    </row>
    <row r="19" spans="1:6" x14ac:dyDescent="0.35">
      <c r="A19" t="s">
        <v>262</v>
      </c>
      <c r="B19">
        <v>3153</v>
      </c>
      <c r="C19" t="s">
        <v>216</v>
      </c>
      <c r="D19" s="14">
        <v>10000</v>
      </c>
      <c r="E19" s="14">
        <f t="shared" si="0"/>
        <v>110000</v>
      </c>
      <c r="F19" s="14">
        <f t="shared" si="1"/>
        <v>10000</v>
      </c>
    </row>
    <row r="20" spans="1:6" x14ac:dyDescent="0.35">
      <c r="A20" t="s">
        <v>263</v>
      </c>
      <c r="B20">
        <v>3153</v>
      </c>
      <c r="C20" t="s">
        <v>216</v>
      </c>
      <c r="D20" s="14">
        <v>10000</v>
      </c>
      <c r="E20" s="14">
        <f t="shared" si="0"/>
        <v>120000</v>
      </c>
      <c r="F20" s="14">
        <f t="shared" si="1"/>
        <v>0</v>
      </c>
    </row>
    <row r="21" spans="1:6" x14ac:dyDescent="0.35">
      <c r="A21" t="s">
        <v>420</v>
      </c>
      <c r="B21">
        <v>1311</v>
      </c>
      <c r="C21" t="s">
        <v>421</v>
      </c>
      <c r="D21" s="14">
        <v>230000</v>
      </c>
      <c r="E21" s="14">
        <v>230000</v>
      </c>
      <c r="F21" s="14">
        <v>230000</v>
      </c>
    </row>
    <row r="22" spans="1:6" ht="15.5" x14ac:dyDescent="0.35">
      <c r="A22" s="15" t="s">
        <v>264</v>
      </c>
      <c r="B22" s="15"/>
      <c r="C22" s="15"/>
      <c r="D22" s="15"/>
      <c r="E22" s="15"/>
      <c r="F22" s="15"/>
    </row>
    <row r="23" spans="1:6" ht="18.5" x14ac:dyDescent="0.45">
      <c r="A23" s="37" t="s">
        <v>174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>
      <selection activeCell="A8" sqref="A8:F47"/>
    </sheetView>
  </sheetViews>
  <sheetFormatPr defaultRowHeight="14.5" x14ac:dyDescent="0.35"/>
  <cols>
    <col min="1" max="1" width="10.453125" bestFit="1" customWidth="1"/>
    <col min="3" max="3" width="12.90625" customWidth="1"/>
    <col min="6" max="6" width="11.453125" customWidth="1"/>
  </cols>
  <sheetData>
    <row r="1" spans="1:6" ht="18.5" x14ac:dyDescent="0.45">
      <c r="A1" s="1" t="s">
        <v>293</v>
      </c>
      <c r="B1" s="1"/>
      <c r="C1" s="2"/>
      <c r="D1" s="1"/>
      <c r="E1" s="1"/>
      <c r="F1" s="1"/>
    </row>
    <row r="2" spans="1:6" ht="18.5" x14ac:dyDescent="0.45">
      <c r="A2" s="1" t="s">
        <v>309</v>
      </c>
      <c r="C2" s="1"/>
      <c r="D2" s="1"/>
      <c r="E2" s="1"/>
      <c r="F2" s="1"/>
    </row>
    <row r="3" spans="1:6" ht="18.5" x14ac:dyDescent="0.45">
      <c r="A3" s="1" t="s">
        <v>98</v>
      </c>
      <c r="B3" s="1"/>
      <c r="C3" s="1"/>
      <c r="D3" s="1"/>
      <c r="E3" s="1"/>
      <c r="F3" s="1"/>
    </row>
    <row r="4" spans="1:6" ht="18.5" x14ac:dyDescent="0.45">
      <c r="A4" s="1" t="s">
        <v>310</v>
      </c>
      <c r="B4" s="1"/>
      <c r="C4" s="1"/>
      <c r="D4" s="1"/>
      <c r="E4" s="1"/>
      <c r="F4" s="1"/>
    </row>
    <row r="5" spans="1:6" ht="18.5" x14ac:dyDescent="0.45">
      <c r="A5" s="1" t="s">
        <v>99</v>
      </c>
      <c r="B5" s="1"/>
      <c r="C5" s="1"/>
      <c r="D5" s="1"/>
      <c r="E5" s="1"/>
      <c r="F5" s="1"/>
    </row>
    <row r="6" spans="1:6" ht="18.5" x14ac:dyDescent="0.45">
      <c r="A6" s="1" t="s">
        <v>292</v>
      </c>
      <c r="B6" s="1"/>
      <c r="C6" s="1"/>
      <c r="D6" s="1" t="s">
        <v>101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44" t="s">
        <v>44</v>
      </c>
      <c r="B8" s="44">
        <v>117</v>
      </c>
      <c r="C8" s="44" t="s">
        <v>104</v>
      </c>
      <c r="D8" s="45">
        <v>10000</v>
      </c>
      <c r="E8" s="45">
        <v>10000</v>
      </c>
      <c r="F8" s="45">
        <v>640000</v>
      </c>
    </row>
    <row r="9" spans="1:6" x14ac:dyDescent="0.35">
      <c r="A9" s="44" t="s">
        <v>294</v>
      </c>
      <c r="B9" s="44">
        <v>1926</v>
      </c>
      <c r="C9" s="44" t="s">
        <v>295</v>
      </c>
      <c r="D9" s="45">
        <v>140000</v>
      </c>
      <c r="E9" s="45">
        <f>SUM(E8+D9)</f>
        <v>150000</v>
      </c>
      <c r="F9" s="45">
        <f>F8-D9</f>
        <v>500000</v>
      </c>
    </row>
    <row r="10" spans="1:6" x14ac:dyDescent="0.35">
      <c r="A10" s="21">
        <v>45206</v>
      </c>
      <c r="B10" s="44">
        <v>2718</v>
      </c>
      <c r="C10" s="44" t="s">
        <v>216</v>
      </c>
      <c r="D10" s="45">
        <v>10000</v>
      </c>
      <c r="E10" s="45">
        <f t="shared" ref="E10:E43" si="0">SUM(E9+D10)</f>
        <v>160000</v>
      </c>
      <c r="F10" s="45">
        <f t="shared" ref="F10:F43" si="1">F9-D10</f>
        <v>490000</v>
      </c>
    </row>
    <row r="11" spans="1:6" x14ac:dyDescent="0.35">
      <c r="A11" s="21">
        <v>45207</v>
      </c>
      <c r="B11" s="44">
        <v>2398</v>
      </c>
      <c r="C11" s="44" t="s">
        <v>216</v>
      </c>
      <c r="D11" s="45">
        <v>10000</v>
      </c>
      <c r="E11" s="45">
        <f t="shared" si="0"/>
        <v>170000</v>
      </c>
      <c r="F11" s="45">
        <f t="shared" si="1"/>
        <v>480000</v>
      </c>
    </row>
    <row r="12" spans="1:6" x14ac:dyDescent="0.35">
      <c r="A12" s="44" t="s">
        <v>103</v>
      </c>
      <c r="B12" s="44">
        <v>3599</v>
      </c>
      <c r="C12" s="44" t="s">
        <v>216</v>
      </c>
      <c r="D12" s="45">
        <v>10000</v>
      </c>
      <c r="E12" s="45">
        <f t="shared" si="0"/>
        <v>180000</v>
      </c>
      <c r="F12" s="45">
        <f t="shared" si="1"/>
        <v>470000</v>
      </c>
    </row>
    <row r="13" spans="1:6" x14ac:dyDescent="0.35">
      <c r="A13" s="21">
        <v>45209</v>
      </c>
      <c r="B13" s="44">
        <v>4160</v>
      </c>
      <c r="C13" s="44" t="s">
        <v>216</v>
      </c>
      <c r="D13" s="45">
        <v>10000</v>
      </c>
      <c r="E13" s="45">
        <f t="shared" si="0"/>
        <v>190000</v>
      </c>
      <c r="F13" s="45">
        <f t="shared" si="1"/>
        <v>460000</v>
      </c>
    </row>
    <row r="14" spans="1:6" x14ac:dyDescent="0.35">
      <c r="A14" s="21">
        <v>45210</v>
      </c>
      <c r="B14" s="44">
        <v>4784</v>
      </c>
      <c r="C14" s="44" t="s">
        <v>216</v>
      </c>
      <c r="D14" s="45">
        <v>10000</v>
      </c>
      <c r="E14" s="45">
        <f t="shared" si="0"/>
        <v>200000</v>
      </c>
      <c r="F14" s="45">
        <f t="shared" si="1"/>
        <v>450000</v>
      </c>
    </row>
    <row r="15" spans="1:6" x14ac:dyDescent="0.35">
      <c r="A15" s="21">
        <v>45242</v>
      </c>
      <c r="B15" s="44">
        <v>5470</v>
      </c>
      <c r="C15" s="44" t="s">
        <v>216</v>
      </c>
      <c r="D15" s="45">
        <v>10000</v>
      </c>
      <c r="E15" s="45">
        <f t="shared" si="0"/>
        <v>210000</v>
      </c>
      <c r="F15" s="45">
        <f t="shared" si="1"/>
        <v>440000</v>
      </c>
    </row>
    <row r="16" spans="1:6" x14ac:dyDescent="0.35">
      <c r="A16" s="21">
        <v>45566</v>
      </c>
      <c r="B16" s="44">
        <v>6059</v>
      </c>
      <c r="C16" s="44" t="s">
        <v>216</v>
      </c>
      <c r="D16" s="45">
        <v>10000</v>
      </c>
      <c r="E16" s="45">
        <f t="shared" si="0"/>
        <v>220000</v>
      </c>
      <c r="F16" s="45">
        <f t="shared" si="1"/>
        <v>430000</v>
      </c>
    </row>
    <row r="17" spans="1:6" x14ac:dyDescent="0.35">
      <c r="A17" s="21">
        <v>45567</v>
      </c>
      <c r="B17" s="44">
        <v>7030</v>
      </c>
      <c r="C17" s="44" t="s">
        <v>216</v>
      </c>
      <c r="D17" s="45">
        <v>10000</v>
      </c>
      <c r="E17" s="45">
        <f t="shared" si="0"/>
        <v>230000</v>
      </c>
      <c r="F17" s="45">
        <f t="shared" si="1"/>
        <v>420000</v>
      </c>
    </row>
    <row r="18" spans="1:6" x14ac:dyDescent="0.35">
      <c r="A18" s="21">
        <v>45568</v>
      </c>
      <c r="B18" s="44">
        <v>7214</v>
      </c>
      <c r="C18" s="44" t="s">
        <v>216</v>
      </c>
      <c r="D18" s="45">
        <v>10000</v>
      </c>
      <c r="E18" s="45">
        <f t="shared" si="0"/>
        <v>240000</v>
      </c>
      <c r="F18" s="45">
        <f t="shared" si="1"/>
        <v>410000</v>
      </c>
    </row>
    <row r="19" spans="1:6" x14ac:dyDescent="0.35">
      <c r="A19" s="21">
        <v>45539</v>
      </c>
      <c r="B19" s="44">
        <v>7793</v>
      </c>
      <c r="C19" s="44" t="s">
        <v>216</v>
      </c>
      <c r="D19" s="45">
        <v>10000</v>
      </c>
      <c r="E19" s="45">
        <f t="shared" si="0"/>
        <v>250000</v>
      </c>
      <c r="F19" s="45">
        <f t="shared" si="1"/>
        <v>400000</v>
      </c>
    </row>
    <row r="20" spans="1:6" x14ac:dyDescent="0.35">
      <c r="A20" s="21">
        <v>45540</v>
      </c>
      <c r="B20" s="44">
        <v>10861</v>
      </c>
      <c r="C20" s="44" t="s">
        <v>216</v>
      </c>
      <c r="D20" s="45">
        <v>10000</v>
      </c>
      <c r="E20" s="45">
        <f t="shared" si="0"/>
        <v>260000</v>
      </c>
      <c r="F20" s="45">
        <f t="shared" si="1"/>
        <v>390000</v>
      </c>
    </row>
    <row r="21" spans="1:6" x14ac:dyDescent="0.35">
      <c r="A21" s="21">
        <v>45571</v>
      </c>
      <c r="B21" s="44">
        <v>10862</v>
      </c>
      <c r="C21" s="44" t="s">
        <v>216</v>
      </c>
      <c r="D21" s="45">
        <v>10000</v>
      </c>
      <c r="E21" s="45">
        <f t="shared" si="0"/>
        <v>270000</v>
      </c>
      <c r="F21" s="45">
        <f t="shared" si="1"/>
        <v>380000</v>
      </c>
    </row>
    <row r="22" spans="1:6" x14ac:dyDescent="0.35">
      <c r="A22" s="44" t="s">
        <v>296</v>
      </c>
      <c r="B22" s="44">
        <v>10867</v>
      </c>
      <c r="C22" s="44" t="s">
        <v>216</v>
      </c>
      <c r="D22" s="45">
        <v>10000</v>
      </c>
      <c r="E22" s="45">
        <f t="shared" si="0"/>
        <v>280000</v>
      </c>
      <c r="F22" s="45">
        <f t="shared" si="1"/>
        <v>370000</v>
      </c>
    </row>
    <row r="23" spans="1:6" x14ac:dyDescent="0.35">
      <c r="A23" s="44" t="s">
        <v>297</v>
      </c>
      <c r="B23" s="44">
        <v>10863</v>
      </c>
      <c r="C23" s="44" t="s">
        <v>216</v>
      </c>
      <c r="D23" s="45">
        <v>10000</v>
      </c>
      <c r="E23" s="45">
        <f t="shared" si="0"/>
        <v>290000</v>
      </c>
      <c r="F23" s="45">
        <f t="shared" si="1"/>
        <v>360000</v>
      </c>
    </row>
    <row r="24" spans="1:6" x14ac:dyDescent="0.35">
      <c r="A24" s="21">
        <v>45574</v>
      </c>
      <c r="B24" s="44">
        <v>10861</v>
      </c>
      <c r="C24" s="44" t="s">
        <v>216</v>
      </c>
      <c r="D24" s="45">
        <v>10000</v>
      </c>
      <c r="E24" s="45">
        <f t="shared" si="0"/>
        <v>300000</v>
      </c>
      <c r="F24" s="45">
        <f t="shared" si="1"/>
        <v>350000</v>
      </c>
    </row>
    <row r="25" spans="1:6" x14ac:dyDescent="0.35">
      <c r="A25" s="21">
        <v>45545</v>
      </c>
      <c r="B25" s="44">
        <v>10861</v>
      </c>
      <c r="C25" s="44" t="s">
        <v>216</v>
      </c>
      <c r="D25" s="45">
        <v>10000</v>
      </c>
      <c r="E25" s="45">
        <f t="shared" si="0"/>
        <v>310000</v>
      </c>
      <c r="F25" s="45">
        <f t="shared" si="1"/>
        <v>340000</v>
      </c>
    </row>
    <row r="26" spans="1:6" x14ac:dyDescent="0.35">
      <c r="A26" s="21">
        <v>45576</v>
      </c>
      <c r="B26" s="44">
        <v>10861</v>
      </c>
      <c r="C26" s="44" t="s">
        <v>216</v>
      </c>
      <c r="D26" s="45">
        <v>10000</v>
      </c>
      <c r="E26" s="45">
        <f t="shared" si="0"/>
        <v>320000</v>
      </c>
      <c r="F26" s="45">
        <f t="shared" si="1"/>
        <v>330000</v>
      </c>
    </row>
    <row r="27" spans="1:6" x14ac:dyDescent="0.35">
      <c r="A27" s="21">
        <v>45608</v>
      </c>
      <c r="B27" s="44">
        <v>10862</v>
      </c>
      <c r="C27" s="44" t="s">
        <v>216</v>
      </c>
      <c r="D27" s="45">
        <v>10000</v>
      </c>
      <c r="E27" s="45">
        <f t="shared" si="0"/>
        <v>330000</v>
      </c>
      <c r="F27" s="45">
        <f t="shared" si="1"/>
        <v>320000</v>
      </c>
    </row>
    <row r="28" spans="1:6" x14ac:dyDescent="0.35">
      <c r="A28" s="21">
        <v>45962</v>
      </c>
      <c r="B28" s="44">
        <v>10862</v>
      </c>
      <c r="C28" s="44" t="s">
        <v>216</v>
      </c>
      <c r="D28" s="45">
        <v>10000</v>
      </c>
      <c r="E28" s="45">
        <f t="shared" si="0"/>
        <v>340000</v>
      </c>
      <c r="F28" s="45">
        <f t="shared" si="1"/>
        <v>310000</v>
      </c>
    </row>
    <row r="29" spans="1:6" x14ac:dyDescent="0.35">
      <c r="A29" s="21">
        <v>45963</v>
      </c>
      <c r="B29" s="44">
        <v>10812</v>
      </c>
      <c r="C29" s="44" t="s">
        <v>216</v>
      </c>
      <c r="D29" s="45">
        <v>10000</v>
      </c>
      <c r="E29" s="45">
        <f t="shared" si="0"/>
        <v>350000</v>
      </c>
      <c r="F29" s="45">
        <f t="shared" si="1"/>
        <v>300000</v>
      </c>
    </row>
    <row r="30" spans="1:6" x14ac:dyDescent="0.35">
      <c r="A30" s="21">
        <v>45933</v>
      </c>
      <c r="B30" s="44">
        <v>10862</v>
      </c>
      <c r="C30" s="44" t="s">
        <v>216</v>
      </c>
      <c r="D30" s="45">
        <v>10000</v>
      </c>
      <c r="E30" s="45">
        <f t="shared" si="0"/>
        <v>360000</v>
      </c>
      <c r="F30" s="45">
        <f t="shared" si="1"/>
        <v>290000</v>
      </c>
    </row>
    <row r="31" spans="1:6" x14ac:dyDescent="0.35">
      <c r="A31" s="21">
        <v>45965</v>
      </c>
      <c r="B31" s="44">
        <v>10862</v>
      </c>
      <c r="C31" s="44" t="s">
        <v>216</v>
      </c>
      <c r="D31" s="45">
        <v>10000</v>
      </c>
      <c r="E31" s="45">
        <f t="shared" si="0"/>
        <v>370000</v>
      </c>
      <c r="F31" s="45">
        <f t="shared" si="1"/>
        <v>280000</v>
      </c>
    </row>
    <row r="32" spans="1:6" x14ac:dyDescent="0.35">
      <c r="A32" s="21">
        <v>45813</v>
      </c>
      <c r="B32" s="44">
        <v>10862</v>
      </c>
      <c r="C32" s="44" t="s">
        <v>216</v>
      </c>
      <c r="D32" s="45">
        <v>10000</v>
      </c>
      <c r="E32" s="45">
        <f t="shared" si="0"/>
        <v>380000</v>
      </c>
      <c r="F32" s="45">
        <f t="shared" si="1"/>
        <v>270000</v>
      </c>
    </row>
    <row r="33" spans="1:6" x14ac:dyDescent="0.35">
      <c r="A33" s="21">
        <v>45936</v>
      </c>
      <c r="B33" s="44">
        <v>10247</v>
      </c>
      <c r="C33" s="44" t="s">
        <v>216</v>
      </c>
      <c r="D33" s="45">
        <v>10000</v>
      </c>
      <c r="E33" s="45">
        <f t="shared" si="0"/>
        <v>390000</v>
      </c>
      <c r="F33" s="45">
        <f t="shared" si="1"/>
        <v>260000</v>
      </c>
    </row>
    <row r="34" spans="1:6" x14ac:dyDescent="0.35">
      <c r="A34" s="21">
        <v>45876</v>
      </c>
      <c r="B34" s="44">
        <v>12811</v>
      </c>
      <c r="C34" s="44" t="s">
        <v>216</v>
      </c>
      <c r="D34" s="45">
        <v>10000</v>
      </c>
      <c r="E34" s="45">
        <f t="shared" si="0"/>
        <v>400000</v>
      </c>
      <c r="F34" s="45">
        <f t="shared" si="1"/>
        <v>250000</v>
      </c>
    </row>
    <row r="35" spans="1:6" x14ac:dyDescent="0.35">
      <c r="A35" s="21">
        <v>45969</v>
      </c>
      <c r="B35" s="44">
        <v>12474</v>
      </c>
      <c r="C35" s="44" t="s">
        <v>216</v>
      </c>
      <c r="D35" s="45">
        <v>10000</v>
      </c>
      <c r="E35" s="45">
        <f t="shared" si="0"/>
        <v>410000</v>
      </c>
      <c r="F35" s="45">
        <f t="shared" si="1"/>
        <v>240000</v>
      </c>
    </row>
    <row r="36" spans="1:6" x14ac:dyDescent="0.35">
      <c r="A36" s="21">
        <v>45909</v>
      </c>
      <c r="B36" s="44">
        <v>12683</v>
      </c>
      <c r="C36" s="44" t="s">
        <v>216</v>
      </c>
      <c r="D36" s="45">
        <v>10000</v>
      </c>
      <c r="E36" s="45">
        <f t="shared" si="0"/>
        <v>420000</v>
      </c>
      <c r="F36" s="45">
        <f t="shared" si="1"/>
        <v>230000</v>
      </c>
    </row>
    <row r="37" spans="1:6" x14ac:dyDescent="0.35">
      <c r="A37" s="21">
        <v>45910</v>
      </c>
      <c r="B37" s="44">
        <v>13730</v>
      </c>
      <c r="C37" s="44" t="s">
        <v>216</v>
      </c>
      <c r="D37" s="45">
        <v>10000</v>
      </c>
      <c r="E37" s="45">
        <f t="shared" si="0"/>
        <v>430000</v>
      </c>
      <c r="F37" s="45">
        <f t="shared" si="1"/>
        <v>220000</v>
      </c>
    </row>
    <row r="38" spans="1:6" x14ac:dyDescent="0.35">
      <c r="A38" s="21">
        <v>45972</v>
      </c>
      <c r="B38" s="44">
        <v>13327</v>
      </c>
      <c r="C38" s="44" t="s">
        <v>216</v>
      </c>
      <c r="D38" s="45">
        <v>10000</v>
      </c>
      <c r="E38" s="45">
        <f t="shared" si="0"/>
        <v>440000</v>
      </c>
      <c r="F38" s="45">
        <f t="shared" si="1"/>
        <v>210000</v>
      </c>
    </row>
    <row r="39" spans="1:6" x14ac:dyDescent="0.35">
      <c r="A39" s="21">
        <v>45942</v>
      </c>
      <c r="B39" s="44">
        <v>13136</v>
      </c>
      <c r="C39" s="44" t="s">
        <v>216</v>
      </c>
      <c r="D39" s="45">
        <v>10000</v>
      </c>
      <c r="E39" s="45">
        <f t="shared" si="0"/>
        <v>450000</v>
      </c>
      <c r="F39" s="45">
        <f t="shared" si="1"/>
        <v>200000</v>
      </c>
    </row>
    <row r="40" spans="1:6" x14ac:dyDescent="0.35">
      <c r="A40" s="21">
        <v>46296</v>
      </c>
      <c r="B40" s="44">
        <v>12067</v>
      </c>
      <c r="C40" s="44" t="s">
        <v>216</v>
      </c>
      <c r="D40" s="45">
        <v>10000</v>
      </c>
      <c r="E40" s="45">
        <f t="shared" si="0"/>
        <v>460000</v>
      </c>
      <c r="F40" s="45">
        <f t="shared" si="1"/>
        <v>190000</v>
      </c>
    </row>
    <row r="41" spans="1:6" x14ac:dyDescent="0.35">
      <c r="A41" s="21">
        <v>46328</v>
      </c>
      <c r="B41" s="44">
        <v>12426</v>
      </c>
      <c r="C41" s="44" t="s">
        <v>216</v>
      </c>
      <c r="D41" s="45">
        <v>10000</v>
      </c>
      <c r="E41" s="45">
        <f t="shared" si="0"/>
        <v>470000</v>
      </c>
      <c r="F41" s="45">
        <f t="shared" si="1"/>
        <v>180000</v>
      </c>
    </row>
    <row r="42" spans="1:6" x14ac:dyDescent="0.35">
      <c r="A42" s="21">
        <v>46329</v>
      </c>
      <c r="B42" s="44">
        <v>12826</v>
      </c>
      <c r="C42" s="44" t="s">
        <v>216</v>
      </c>
      <c r="D42" s="45">
        <v>10000</v>
      </c>
      <c r="E42" s="45">
        <f t="shared" si="0"/>
        <v>480000</v>
      </c>
      <c r="F42" s="45">
        <f t="shared" si="1"/>
        <v>170000</v>
      </c>
    </row>
    <row r="43" spans="1:6" x14ac:dyDescent="0.35">
      <c r="A43" s="21">
        <v>46026</v>
      </c>
      <c r="B43" s="44">
        <v>13197</v>
      </c>
      <c r="C43" s="44" t="s">
        <v>216</v>
      </c>
      <c r="D43" s="45">
        <v>10000</v>
      </c>
      <c r="E43" s="45">
        <f t="shared" si="0"/>
        <v>490000</v>
      </c>
      <c r="F43" s="45">
        <f t="shared" si="1"/>
        <v>160000</v>
      </c>
    </row>
    <row r="44" spans="1:6" x14ac:dyDescent="0.35">
      <c r="A44" s="21">
        <v>46270</v>
      </c>
      <c r="B44" s="44">
        <v>12960</v>
      </c>
      <c r="C44" s="44" t="s">
        <v>216</v>
      </c>
      <c r="D44" s="45">
        <v>10000</v>
      </c>
      <c r="E44" s="45">
        <f>E43+D44</f>
        <v>500000</v>
      </c>
      <c r="F44" s="45">
        <f>F43-D44</f>
        <v>150000</v>
      </c>
    </row>
    <row r="45" spans="1:6" x14ac:dyDescent="0.35">
      <c r="A45" s="21">
        <v>46240</v>
      </c>
      <c r="B45" s="44">
        <v>13543</v>
      </c>
      <c r="C45" s="44" t="s">
        <v>216</v>
      </c>
      <c r="D45" s="45">
        <v>10000</v>
      </c>
      <c r="E45" s="45">
        <f>E44+D45</f>
        <v>510000</v>
      </c>
      <c r="F45" s="45">
        <f>F44-D45</f>
        <v>140000</v>
      </c>
    </row>
    <row r="46" spans="1:6" x14ac:dyDescent="0.35">
      <c r="A46" s="44" t="s">
        <v>577</v>
      </c>
      <c r="B46" s="44">
        <v>1518</v>
      </c>
      <c r="C46" s="44" t="s">
        <v>216</v>
      </c>
      <c r="D46" s="45">
        <v>10000</v>
      </c>
      <c r="E46" s="45">
        <f>E45+D46</f>
        <v>520000</v>
      </c>
      <c r="F46" s="45">
        <f>F45-D46</f>
        <v>130000</v>
      </c>
    </row>
    <row r="47" spans="1:6" x14ac:dyDescent="0.35">
      <c r="A47" s="44" t="s">
        <v>578</v>
      </c>
      <c r="B47" s="44">
        <v>1755</v>
      </c>
      <c r="C47" s="44" t="s">
        <v>216</v>
      </c>
      <c r="D47" s="45">
        <v>10000</v>
      </c>
      <c r="E47" s="45">
        <f>E46+D47</f>
        <v>530000</v>
      </c>
      <c r="F47" s="45">
        <f>F46-D47</f>
        <v>120000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opLeftCell="A33" workbookViewId="0">
      <selection activeCell="A44" sqref="A44:F47"/>
    </sheetView>
  </sheetViews>
  <sheetFormatPr defaultRowHeight="14.5" x14ac:dyDescent="0.35"/>
  <cols>
    <col min="1" max="1" width="10.453125" bestFit="1" customWidth="1"/>
    <col min="3" max="3" width="11.26953125" customWidth="1"/>
    <col min="6" max="6" width="12.26953125" customWidth="1"/>
  </cols>
  <sheetData>
    <row r="1" spans="1:6" ht="18.5" x14ac:dyDescent="0.45">
      <c r="A1" s="1" t="s">
        <v>97</v>
      </c>
      <c r="B1" s="1"/>
      <c r="C1" s="2"/>
      <c r="D1" s="1"/>
      <c r="E1" s="1"/>
      <c r="F1" s="1"/>
    </row>
    <row r="2" spans="1:6" ht="18.5" x14ac:dyDescent="0.45">
      <c r="A2" s="1" t="s">
        <v>309</v>
      </c>
      <c r="C2" s="1"/>
      <c r="D2" s="1"/>
      <c r="E2" s="1"/>
      <c r="F2" s="1"/>
    </row>
    <row r="3" spans="1:6" ht="18.5" x14ac:dyDescent="0.45">
      <c r="A3" s="1" t="s">
        <v>98</v>
      </c>
      <c r="B3" s="1"/>
      <c r="C3" s="1"/>
      <c r="D3" s="1"/>
      <c r="E3" s="1"/>
      <c r="F3" s="1"/>
    </row>
    <row r="4" spans="1:6" ht="18.5" x14ac:dyDescent="0.45">
      <c r="A4" s="1" t="s">
        <v>308</v>
      </c>
      <c r="B4" s="1"/>
      <c r="C4" s="1"/>
      <c r="D4" s="1"/>
      <c r="E4" s="1"/>
      <c r="F4" s="1"/>
    </row>
    <row r="5" spans="1:6" ht="18.5" x14ac:dyDescent="0.45">
      <c r="A5" s="1" t="s">
        <v>99</v>
      </c>
      <c r="B5" s="1"/>
      <c r="C5" s="1"/>
      <c r="D5" s="1"/>
      <c r="E5" s="1"/>
      <c r="F5" s="1"/>
    </row>
    <row r="6" spans="1:6" ht="18.5" x14ac:dyDescent="0.45">
      <c r="A6" s="1" t="s">
        <v>100</v>
      </c>
      <c r="B6" s="1"/>
      <c r="C6" s="1"/>
      <c r="D6" s="1" t="s">
        <v>101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5" t="s">
        <v>44</v>
      </c>
      <c r="B8" s="5">
        <v>116</v>
      </c>
      <c r="C8" s="5" t="s">
        <v>104</v>
      </c>
      <c r="D8" s="7">
        <v>10000</v>
      </c>
      <c r="E8" s="7">
        <v>10000</v>
      </c>
      <c r="F8" s="7">
        <v>640000</v>
      </c>
    </row>
    <row r="9" spans="1:6" x14ac:dyDescent="0.35">
      <c r="A9" s="5" t="s">
        <v>102</v>
      </c>
      <c r="B9" s="5">
        <v>2072</v>
      </c>
      <c r="C9" s="5" t="s">
        <v>105</v>
      </c>
      <c r="D9" s="7">
        <v>140000</v>
      </c>
      <c r="E9" s="7">
        <f>SUM(E8+D9)</f>
        <v>150000</v>
      </c>
      <c r="F9" s="7">
        <f>F8-D9</f>
        <v>500000</v>
      </c>
    </row>
    <row r="10" spans="1:6" x14ac:dyDescent="0.35">
      <c r="A10" s="6">
        <v>45206</v>
      </c>
      <c r="B10" s="5">
        <v>2717</v>
      </c>
      <c r="C10" s="5" t="s">
        <v>14</v>
      </c>
      <c r="D10" s="7">
        <v>10000</v>
      </c>
      <c r="E10" s="7">
        <f t="shared" ref="E10:E43" si="0">SUM(E9+D10)</f>
        <v>160000</v>
      </c>
      <c r="F10" s="7">
        <f t="shared" ref="F10:F43" si="1">F9-D10</f>
        <v>490000</v>
      </c>
    </row>
    <row r="11" spans="1:6" x14ac:dyDescent="0.35">
      <c r="A11" s="6">
        <v>45207</v>
      </c>
      <c r="B11" s="5">
        <v>2396</v>
      </c>
      <c r="C11" s="5" t="s">
        <v>14</v>
      </c>
      <c r="D11" s="7">
        <v>10000</v>
      </c>
      <c r="E11" s="7">
        <f t="shared" si="0"/>
        <v>170000</v>
      </c>
      <c r="F11" s="7">
        <f t="shared" si="1"/>
        <v>480000</v>
      </c>
    </row>
    <row r="12" spans="1:6" x14ac:dyDescent="0.35">
      <c r="A12" s="5" t="s">
        <v>103</v>
      </c>
      <c r="B12" s="5">
        <v>3600</v>
      </c>
      <c r="C12" s="5" t="s">
        <v>14</v>
      </c>
      <c r="D12" s="7">
        <v>10000</v>
      </c>
      <c r="E12" s="7">
        <f t="shared" si="0"/>
        <v>180000</v>
      </c>
      <c r="F12" s="7">
        <f t="shared" si="1"/>
        <v>470000</v>
      </c>
    </row>
    <row r="13" spans="1:6" x14ac:dyDescent="0.35">
      <c r="A13" s="6">
        <v>45209</v>
      </c>
      <c r="B13" s="5">
        <v>4161</v>
      </c>
      <c r="C13" s="5" t="s">
        <v>14</v>
      </c>
      <c r="D13" s="7">
        <v>10000</v>
      </c>
      <c r="E13" s="7">
        <f t="shared" si="0"/>
        <v>190000</v>
      </c>
      <c r="F13" s="7">
        <f t="shared" si="1"/>
        <v>460000</v>
      </c>
    </row>
    <row r="14" spans="1:6" x14ac:dyDescent="0.35">
      <c r="A14" s="6">
        <v>45210</v>
      </c>
      <c r="B14" s="5">
        <v>4785</v>
      </c>
      <c r="C14" s="5" t="s">
        <v>14</v>
      </c>
      <c r="D14" s="7">
        <v>10000</v>
      </c>
      <c r="E14" s="7">
        <f t="shared" si="0"/>
        <v>200000</v>
      </c>
      <c r="F14" s="7">
        <f t="shared" si="1"/>
        <v>450000</v>
      </c>
    </row>
    <row r="15" spans="1:6" x14ac:dyDescent="0.35">
      <c r="A15" s="6">
        <v>45242</v>
      </c>
      <c r="B15" s="5">
        <v>5471</v>
      </c>
      <c r="C15" s="5" t="s">
        <v>14</v>
      </c>
      <c r="D15" s="7">
        <v>10000</v>
      </c>
      <c r="E15" s="7">
        <f t="shared" si="0"/>
        <v>210000</v>
      </c>
      <c r="F15" s="7">
        <f t="shared" si="1"/>
        <v>440000</v>
      </c>
    </row>
    <row r="16" spans="1:6" x14ac:dyDescent="0.35">
      <c r="A16" s="6">
        <v>45566</v>
      </c>
      <c r="B16" s="5">
        <v>6060</v>
      </c>
      <c r="C16" s="5" t="s">
        <v>14</v>
      </c>
      <c r="D16" s="7">
        <v>10000</v>
      </c>
      <c r="E16" s="7">
        <f t="shared" si="0"/>
        <v>220000</v>
      </c>
      <c r="F16" s="7">
        <f t="shared" si="1"/>
        <v>430000</v>
      </c>
    </row>
    <row r="17" spans="1:6" x14ac:dyDescent="0.35">
      <c r="A17" s="6">
        <v>45567</v>
      </c>
      <c r="B17" s="5">
        <v>7031</v>
      </c>
      <c r="C17" s="5" t="s">
        <v>14</v>
      </c>
      <c r="D17" s="7">
        <v>10000</v>
      </c>
      <c r="E17" s="7">
        <f t="shared" si="0"/>
        <v>230000</v>
      </c>
      <c r="F17" s="7">
        <f t="shared" si="1"/>
        <v>420000</v>
      </c>
    </row>
    <row r="18" spans="1:6" x14ac:dyDescent="0.35">
      <c r="A18" s="6">
        <v>45568</v>
      </c>
      <c r="B18" s="5">
        <v>7215</v>
      </c>
      <c r="C18" s="5" t="s">
        <v>14</v>
      </c>
      <c r="D18" s="7">
        <v>10000</v>
      </c>
      <c r="E18" s="7">
        <f t="shared" si="0"/>
        <v>240000</v>
      </c>
      <c r="F18" s="7">
        <f t="shared" si="1"/>
        <v>410000</v>
      </c>
    </row>
    <row r="19" spans="1:6" x14ac:dyDescent="0.35">
      <c r="A19" s="6">
        <v>45539</v>
      </c>
      <c r="B19" s="5">
        <v>7778</v>
      </c>
      <c r="C19" s="5" t="s">
        <v>14</v>
      </c>
      <c r="D19" s="7">
        <v>10000</v>
      </c>
      <c r="E19" s="7">
        <f t="shared" si="0"/>
        <v>250000</v>
      </c>
      <c r="F19" s="7">
        <f t="shared" si="1"/>
        <v>400000</v>
      </c>
    </row>
    <row r="20" spans="1:6" x14ac:dyDescent="0.35">
      <c r="A20" s="6">
        <v>45540</v>
      </c>
      <c r="B20" s="5">
        <v>10881</v>
      </c>
      <c r="C20" s="5" t="s">
        <v>14</v>
      </c>
      <c r="D20" s="7">
        <v>10000</v>
      </c>
      <c r="E20" s="7">
        <f t="shared" si="0"/>
        <v>260000</v>
      </c>
      <c r="F20" s="7">
        <f t="shared" si="1"/>
        <v>390000</v>
      </c>
    </row>
    <row r="21" spans="1:6" x14ac:dyDescent="0.35">
      <c r="A21" s="5" t="s">
        <v>106</v>
      </c>
      <c r="B21" s="5">
        <v>10861</v>
      </c>
      <c r="C21" s="5" t="s">
        <v>14</v>
      </c>
      <c r="D21" s="7">
        <v>10000</v>
      </c>
      <c r="E21" s="7">
        <f t="shared" si="0"/>
        <v>270000</v>
      </c>
      <c r="F21" s="7">
        <f t="shared" si="1"/>
        <v>380000</v>
      </c>
    </row>
    <row r="22" spans="1:6" x14ac:dyDescent="0.35">
      <c r="A22" s="5" t="s">
        <v>107</v>
      </c>
      <c r="B22" s="5">
        <v>10861</v>
      </c>
      <c r="C22" s="5" t="s">
        <v>14</v>
      </c>
      <c r="D22" s="7">
        <v>10000</v>
      </c>
      <c r="E22" s="7">
        <f t="shared" si="0"/>
        <v>280000</v>
      </c>
      <c r="F22" s="7">
        <f t="shared" si="1"/>
        <v>370000</v>
      </c>
    </row>
    <row r="23" spans="1:6" x14ac:dyDescent="0.35">
      <c r="A23" s="5" t="s">
        <v>108</v>
      </c>
      <c r="B23" s="5">
        <v>10861</v>
      </c>
      <c r="C23" s="5" t="s">
        <v>14</v>
      </c>
      <c r="D23" s="7">
        <v>10000</v>
      </c>
      <c r="E23" s="7">
        <f t="shared" si="0"/>
        <v>290000</v>
      </c>
      <c r="F23" s="7">
        <f t="shared" si="1"/>
        <v>360000</v>
      </c>
    </row>
    <row r="24" spans="1:6" x14ac:dyDescent="0.35">
      <c r="A24" s="6">
        <v>45574</v>
      </c>
      <c r="B24" s="5">
        <v>10861</v>
      </c>
      <c r="C24" s="5" t="s">
        <v>14</v>
      </c>
      <c r="D24" s="7">
        <v>10000</v>
      </c>
      <c r="E24" s="7">
        <f t="shared" si="0"/>
        <v>300000</v>
      </c>
      <c r="F24" s="7">
        <f t="shared" si="1"/>
        <v>350000</v>
      </c>
    </row>
    <row r="25" spans="1:6" x14ac:dyDescent="0.35">
      <c r="A25" s="6">
        <v>45545</v>
      </c>
      <c r="B25" s="5">
        <v>10861</v>
      </c>
      <c r="C25" s="5" t="s">
        <v>14</v>
      </c>
      <c r="D25" s="7">
        <v>10000</v>
      </c>
      <c r="E25" s="7">
        <f t="shared" si="0"/>
        <v>310000</v>
      </c>
      <c r="F25" s="7">
        <f t="shared" si="1"/>
        <v>340000</v>
      </c>
    </row>
    <row r="26" spans="1:6" x14ac:dyDescent="0.35">
      <c r="A26" s="6">
        <v>45576</v>
      </c>
      <c r="B26" s="5">
        <v>10861</v>
      </c>
      <c r="C26" s="5" t="s">
        <v>14</v>
      </c>
      <c r="D26" s="7">
        <v>10000</v>
      </c>
      <c r="E26" s="7">
        <f t="shared" si="0"/>
        <v>320000</v>
      </c>
      <c r="F26" s="7">
        <f t="shared" si="1"/>
        <v>330000</v>
      </c>
    </row>
    <row r="27" spans="1:6" x14ac:dyDescent="0.35">
      <c r="A27" s="6">
        <v>45608</v>
      </c>
      <c r="B27" s="5">
        <v>10862</v>
      </c>
      <c r="C27" s="5" t="s">
        <v>14</v>
      </c>
      <c r="D27" s="7">
        <v>10000</v>
      </c>
      <c r="E27" s="7">
        <f t="shared" si="0"/>
        <v>330000</v>
      </c>
      <c r="F27" s="7">
        <f t="shared" si="1"/>
        <v>320000</v>
      </c>
    </row>
    <row r="28" spans="1:6" x14ac:dyDescent="0.35">
      <c r="A28" s="6">
        <v>45962</v>
      </c>
      <c r="B28" s="5">
        <v>10862</v>
      </c>
      <c r="C28" s="5" t="s">
        <v>14</v>
      </c>
      <c r="D28" s="7">
        <v>10000</v>
      </c>
      <c r="E28" s="7">
        <f t="shared" si="0"/>
        <v>340000</v>
      </c>
      <c r="F28" s="7">
        <f t="shared" si="1"/>
        <v>310000</v>
      </c>
    </row>
    <row r="29" spans="1:6" x14ac:dyDescent="0.35">
      <c r="A29" s="6">
        <v>45963</v>
      </c>
      <c r="B29" s="5">
        <v>10862</v>
      </c>
      <c r="C29" s="5" t="s">
        <v>14</v>
      </c>
      <c r="D29" s="7">
        <v>10000</v>
      </c>
      <c r="E29" s="7">
        <f t="shared" si="0"/>
        <v>350000</v>
      </c>
      <c r="F29" s="7">
        <f t="shared" si="1"/>
        <v>300000</v>
      </c>
    </row>
    <row r="30" spans="1:6" x14ac:dyDescent="0.35">
      <c r="A30" s="6">
        <v>45933</v>
      </c>
      <c r="B30" s="5">
        <v>10862</v>
      </c>
      <c r="C30" s="5" t="s">
        <v>14</v>
      </c>
      <c r="D30" s="7">
        <v>10000</v>
      </c>
      <c r="E30" s="7">
        <f t="shared" si="0"/>
        <v>360000</v>
      </c>
      <c r="F30" s="7">
        <f t="shared" si="1"/>
        <v>290000</v>
      </c>
    </row>
    <row r="31" spans="1:6" x14ac:dyDescent="0.35">
      <c r="A31" s="6">
        <v>45965</v>
      </c>
      <c r="B31" s="5">
        <v>10862</v>
      </c>
      <c r="C31" s="5" t="s">
        <v>14</v>
      </c>
      <c r="D31" s="7">
        <v>10000</v>
      </c>
      <c r="E31" s="7">
        <f t="shared" si="0"/>
        <v>370000</v>
      </c>
      <c r="F31" s="7">
        <f t="shared" si="1"/>
        <v>280000</v>
      </c>
    </row>
    <row r="32" spans="1:6" x14ac:dyDescent="0.35">
      <c r="A32" s="6">
        <v>45813</v>
      </c>
      <c r="B32" s="5">
        <v>10862</v>
      </c>
      <c r="C32" s="5" t="s">
        <v>14</v>
      </c>
      <c r="D32" s="7">
        <v>10000</v>
      </c>
      <c r="E32" s="7">
        <f t="shared" si="0"/>
        <v>380000</v>
      </c>
      <c r="F32" s="7">
        <f t="shared" si="1"/>
        <v>270000</v>
      </c>
    </row>
    <row r="33" spans="1:6" x14ac:dyDescent="0.35">
      <c r="A33" s="6">
        <v>45936</v>
      </c>
      <c r="B33" s="5">
        <v>10247</v>
      </c>
      <c r="C33" s="5" t="s">
        <v>14</v>
      </c>
      <c r="D33" s="7">
        <v>10000</v>
      </c>
      <c r="E33" s="7">
        <f t="shared" si="0"/>
        <v>390000</v>
      </c>
      <c r="F33" s="7">
        <f t="shared" si="1"/>
        <v>260000</v>
      </c>
    </row>
    <row r="34" spans="1:6" x14ac:dyDescent="0.35">
      <c r="A34" s="6">
        <v>45876</v>
      </c>
      <c r="B34" s="5">
        <v>12811</v>
      </c>
      <c r="C34" s="5" t="s">
        <v>14</v>
      </c>
      <c r="D34" s="7">
        <v>10000</v>
      </c>
      <c r="E34" s="7">
        <f t="shared" si="0"/>
        <v>400000</v>
      </c>
      <c r="F34" s="7">
        <f t="shared" si="1"/>
        <v>250000</v>
      </c>
    </row>
    <row r="35" spans="1:6" x14ac:dyDescent="0.35">
      <c r="A35" s="6">
        <v>45969</v>
      </c>
      <c r="B35" s="5">
        <v>12474</v>
      </c>
      <c r="C35" s="5" t="s">
        <v>14</v>
      </c>
      <c r="D35" s="7">
        <v>10000</v>
      </c>
      <c r="E35" s="7">
        <f t="shared" si="0"/>
        <v>410000</v>
      </c>
      <c r="F35" s="7">
        <f t="shared" si="1"/>
        <v>240000</v>
      </c>
    </row>
    <row r="36" spans="1:6" x14ac:dyDescent="0.35">
      <c r="A36" s="6">
        <v>45909</v>
      </c>
      <c r="B36" s="5">
        <v>12683</v>
      </c>
      <c r="C36" s="5" t="s">
        <v>14</v>
      </c>
      <c r="D36" s="7">
        <v>10000</v>
      </c>
      <c r="E36" s="7">
        <f t="shared" si="0"/>
        <v>420000</v>
      </c>
      <c r="F36" s="7">
        <f t="shared" si="1"/>
        <v>230000</v>
      </c>
    </row>
    <row r="37" spans="1:6" x14ac:dyDescent="0.35">
      <c r="A37" s="6">
        <v>45910</v>
      </c>
      <c r="B37" s="5">
        <v>13730</v>
      </c>
      <c r="C37" s="5" t="s">
        <v>14</v>
      </c>
      <c r="D37" s="7">
        <v>10000</v>
      </c>
      <c r="E37" s="7">
        <f t="shared" si="0"/>
        <v>430000</v>
      </c>
      <c r="F37" s="7">
        <f t="shared" si="1"/>
        <v>220000</v>
      </c>
    </row>
    <row r="38" spans="1:6" x14ac:dyDescent="0.35">
      <c r="A38" s="6">
        <v>45972</v>
      </c>
      <c r="B38" s="5">
        <v>13327</v>
      </c>
      <c r="C38" s="5" t="s">
        <v>14</v>
      </c>
      <c r="D38" s="7">
        <v>10000</v>
      </c>
      <c r="E38" s="7">
        <f t="shared" si="0"/>
        <v>440000</v>
      </c>
      <c r="F38" s="7">
        <f t="shared" si="1"/>
        <v>210000</v>
      </c>
    </row>
    <row r="39" spans="1:6" x14ac:dyDescent="0.35">
      <c r="A39" s="6">
        <v>45942</v>
      </c>
      <c r="B39" s="5">
        <v>13136</v>
      </c>
      <c r="C39" s="5" t="s">
        <v>14</v>
      </c>
      <c r="D39" s="7">
        <v>10000</v>
      </c>
      <c r="E39" s="7">
        <f t="shared" si="0"/>
        <v>450000</v>
      </c>
      <c r="F39" s="7">
        <f t="shared" si="1"/>
        <v>200000</v>
      </c>
    </row>
    <row r="40" spans="1:6" x14ac:dyDescent="0.35">
      <c r="A40" s="6">
        <v>46296</v>
      </c>
      <c r="B40" s="5">
        <v>12067</v>
      </c>
      <c r="C40" s="5" t="s">
        <v>14</v>
      </c>
      <c r="D40" s="7">
        <v>10000</v>
      </c>
      <c r="E40" s="7">
        <f t="shared" si="0"/>
        <v>460000</v>
      </c>
      <c r="F40" s="7">
        <f t="shared" si="1"/>
        <v>190000</v>
      </c>
    </row>
    <row r="41" spans="1:6" x14ac:dyDescent="0.35">
      <c r="A41" s="6">
        <v>46328</v>
      </c>
      <c r="B41" s="5">
        <v>12426</v>
      </c>
      <c r="C41" s="5" t="s">
        <v>14</v>
      </c>
      <c r="D41" s="7">
        <v>10000</v>
      </c>
      <c r="E41" s="7">
        <f t="shared" si="0"/>
        <v>470000</v>
      </c>
      <c r="F41" s="7">
        <f t="shared" si="1"/>
        <v>180000</v>
      </c>
    </row>
    <row r="42" spans="1:6" x14ac:dyDescent="0.35">
      <c r="A42" s="40">
        <v>46329</v>
      </c>
      <c r="B42" s="26">
        <v>12826</v>
      </c>
      <c r="C42" s="26" t="s">
        <v>14</v>
      </c>
      <c r="D42" s="27">
        <v>10000</v>
      </c>
      <c r="E42" s="27">
        <f t="shared" si="0"/>
        <v>480000</v>
      </c>
      <c r="F42" s="27">
        <f t="shared" si="1"/>
        <v>170000</v>
      </c>
    </row>
    <row r="43" spans="1:6" x14ac:dyDescent="0.35">
      <c r="A43" s="21">
        <v>46299</v>
      </c>
      <c r="B43" s="5">
        <v>13198</v>
      </c>
      <c r="C43" s="5" t="s">
        <v>14</v>
      </c>
      <c r="D43" s="7">
        <v>10000</v>
      </c>
      <c r="E43" s="7">
        <f t="shared" si="0"/>
        <v>490000</v>
      </c>
      <c r="F43" s="7">
        <f t="shared" si="1"/>
        <v>160000</v>
      </c>
    </row>
    <row r="44" spans="1:6" x14ac:dyDescent="0.35">
      <c r="A44" s="21">
        <v>46270</v>
      </c>
      <c r="B44" s="5">
        <v>12961</v>
      </c>
      <c r="C44" s="5" t="s">
        <v>14</v>
      </c>
      <c r="D44" s="7">
        <v>10000</v>
      </c>
      <c r="E44" s="45">
        <f>E43+D44</f>
        <v>500000</v>
      </c>
      <c r="F44" s="45">
        <f>F43-D44</f>
        <v>150000</v>
      </c>
    </row>
    <row r="45" spans="1:6" x14ac:dyDescent="0.35">
      <c r="A45" s="21">
        <v>46240</v>
      </c>
      <c r="B45" s="5">
        <v>13544</v>
      </c>
      <c r="C45" s="5" t="s">
        <v>14</v>
      </c>
      <c r="D45" s="7">
        <v>10000</v>
      </c>
      <c r="E45" s="45">
        <f>E44+D45</f>
        <v>510000</v>
      </c>
      <c r="F45" s="45">
        <f>F44-D45</f>
        <v>140000</v>
      </c>
    </row>
    <row r="46" spans="1:6" x14ac:dyDescent="0.35">
      <c r="A46" s="44" t="s">
        <v>579</v>
      </c>
      <c r="B46" s="5">
        <v>1519</v>
      </c>
      <c r="C46" s="5" t="s">
        <v>14</v>
      </c>
      <c r="D46" s="7">
        <v>10000</v>
      </c>
      <c r="E46" s="45">
        <f>E45+D46</f>
        <v>520000</v>
      </c>
      <c r="F46" s="45">
        <f>F45-D46</f>
        <v>130000</v>
      </c>
    </row>
    <row r="47" spans="1:6" x14ac:dyDescent="0.35">
      <c r="A47" s="44" t="s">
        <v>578</v>
      </c>
      <c r="B47" s="5">
        <v>1756</v>
      </c>
      <c r="C47" s="5" t="s">
        <v>14</v>
      </c>
      <c r="D47" s="7">
        <v>10000</v>
      </c>
      <c r="E47" s="45">
        <f>E46+D47</f>
        <v>530000</v>
      </c>
      <c r="F47" s="45">
        <f>F46-D47</f>
        <v>120000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sqref="A1:F7"/>
    </sheetView>
  </sheetViews>
  <sheetFormatPr defaultRowHeight="14.5" x14ac:dyDescent="0.35"/>
  <cols>
    <col min="1" max="1" width="10.453125" bestFit="1" customWidth="1"/>
    <col min="3" max="3" width="11.1796875" customWidth="1"/>
    <col min="6" max="6" width="11.453125" customWidth="1"/>
  </cols>
  <sheetData>
    <row r="1" spans="1:6" ht="18.5" x14ac:dyDescent="0.45">
      <c r="A1" s="1" t="s">
        <v>187</v>
      </c>
      <c r="B1" s="1"/>
      <c r="C1" s="2"/>
      <c r="D1" s="1"/>
      <c r="E1" s="1"/>
      <c r="F1" s="1"/>
    </row>
    <row r="2" spans="1:6" ht="18.5" x14ac:dyDescent="0.45">
      <c r="A2" s="1" t="s">
        <v>188</v>
      </c>
      <c r="C2" s="1"/>
      <c r="D2" s="1"/>
      <c r="E2" s="1"/>
      <c r="F2" s="1"/>
    </row>
    <row r="3" spans="1:6" ht="18.5" x14ac:dyDescent="0.45">
      <c r="A3" s="1" t="s">
        <v>189</v>
      </c>
      <c r="B3" s="1"/>
      <c r="C3" s="1"/>
      <c r="D3" s="1"/>
      <c r="E3" s="1"/>
      <c r="F3" s="1"/>
    </row>
    <row r="4" spans="1:6" ht="18.5" x14ac:dyDescent="0.45">
      <c r="A4" s="1" t="s">
        <v>193</v>
      </c>
      <c r="B4" s="1"/>
      <c r="C4" s="1"/>
      <c r="D4" s="1"/>
      <c r="E4" s="1"/>
      <c r="F4" s="1"/>
    </row>
    <row r="5" spans="1:6" ht="18.5" x14ac:dyDescent="0.45">
      <c r="A5" s="1" t="s">
        <v>192</v>
      </c>
      <c r="B5" s="1"/>
      <c r="C5" s="1"/>
      <c r="D5" s="1"/>
      <c r="E5" s="1"/>
      <c r="F5" s="1"/>
    </row>
    <row r="6" spans="1:6" ht="18.5" x14ac:dyDescent="0.45">
      <c r="A6" s="1" t="s">
        <v>190</v>
      </c>
      <c r="B6" s="1"/>
      <c r="C6" s="1"/>
      <c r="D6" s="1" t="s">
        <v>191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31" t="s">
        <v>194</v>
      </c>
      <c r="B8" s="31">
        <v>902</v>
      </c>
      <c r="C8" s="31" t="s">
        <v>198</v>
      </c>
      <c r="D8" s="32">
        <v>10000</v>
      </c>
      <c r="E8" s="32">
        <v>10000</v>
      </c>
      <c r="F8" s="32">
        <v>200000</v>
      </c>
    </row>
    <row r="9" spans="1:6" x14ac:dyDescent="0.35">
      <c r="A9" s="33">
        <v>44602</v>
      </c>
      <c r="B9" s="31">
        <v>1789</v>
      </c>
      <c r="C9" s="31" t="s">
        <v>198</v>
      </c>
      <c r="D9" s="32">
        <v>10000</v>
      </c>
      <c r="E9" s="32">
        <f>SUM(E8+D9)</f>
        <v>20000</v>
      </c>
      <c r="F9" s="32">
        <f>F8-D9</f>
        <v>190000</v>
      </c>
    </row>
    <row r="10" spans="1:6" x14ac:dyDescent="0.35">
      <c r="A10" s="33">
        <v>44961</v>
      </c>
      <c r="B10" s="31">
        <v>1761</v>
      </c>
      <c r="C10" s="31" t="s">
        <v>198</v>
      </c>
      <c r="D10" s="32">
        <v>10000</v>
      </c>
      <c r="E10" s="32">
        <f t="shared" ref="E10:E27" si="0">SUM(E9+D10)</f>
        <v>30000</v>
      </c>
      <c r="F10" s="32">
        <f t="shared" ref="F10:F27" si="1">F9-D10</f>
        <v>180000</v>
      </c>
    </row>
    <row r="11" spans="1:6" x14ac:dyDescent="0.35">
      <c r="A11" s="33">
        <v>45048</v>
      </c>
      <c r="B11" s="31">
        <v>1762</v>
      </c>
      <c r="C11" s="31" t="s">
        <v>199</v>
      </c>
      <c r="D11" s="32">
        <v>20000</v>
      </c>
      <c r="E11" s="32">
        <f t="shared" si="0"/>
        <v>50000</v>
      </c>
      <c r="F11" s="32">
        <f t="shared" si="1"/>
        <v>160000</v>
      </c>
    </row>
    <row r="12" spans="1:6" x14ac:dyDescent="0.35">
      <c r="A12" s="31" t="s">
        <v>72</v>
      </c>
      <c r="B12" s="31">
        <v>123</v>
      </c>
      <c r="C12" s="31" t="s">
        <v>198</v>
      </c>
      <c r="D12" s="32">
        <v>10000</v>
      </c>
      <c r="E12" s="32">
        <f t="shared" si="0"/>
        <v>60000</v>
      </c>
      <c r="F12" s="32">
        <f t="shared" si="1"/>
        <v>150000</v>
      </c>
    </row>
    <row r="13" spans="1:6" x14ac:dyDescent="0.35">
      <c r="A13" s="31" t="s">
        <v>195</v>
      </c>
      <c r="B13" s="31">
        <v>2940</v>
      </c>
      <c r="C13" s="31" t="s">
        <v>198</v>
      </c>
      <c r="D13" s="32">
        <v>10000</v>
      </c>
      <c r="E13" s="32">
        <f t="shared" si="0"/>
        <v>70000</v>
      </c>
      <c r="F13" s="32">
        <f t="shared" si="1"/>
        <v>140000</v>
      </c>
    </row>
    <row r="14" spans="1:6" x14ac:dyDescent="0.35">
      <c r="A14" s="31" t="s">
        <v>196</v>
      </c>
      <c r="B14" s="31">
        <v>3168</v>
      </c>
      <c r="C14" s="31" t="s">
        <v>198</v>
      </c>
      <c r="D14" s="32">
        <v>10000</v>
      </c>
      <c r="E14" s="32">
        <f t="shared" si="0"/>
        <v>80000</v>
      </c>
      <c r="F14" s="32">
        <f t="shared" si="1"/>
        <v>130000</v>
      </c>
    </row>
    <row r="15" spans="1:6" x14ac:dyDescent="0.35">
      <c r="A15" s="31" t="s">
        <v>46</v>
      </c>
      <c r="B15" s="31">
        <v>3674</v>
      </c>
      <c r="C15" s="31" t="s">
        <v>198</v>
      </c>
      <c r="D15" s="32">
        <v>10000</v>
      </c>
      <c r="E15" s="32">
        <f t="shared" si="0"/>
        <v>90000</v>
      </c>
      <c r="F15" s="32">
        <f t="shared" si="1"/>
        <v>120000</v>
      </c>
    </row>
    <row r="16" spans="1:6" x14ac:dyDescent="0.35">
      <c r="A16" s="33">
        <v>45209</v>
      </c>
      <c r="B16" s="31">
        <v>4147</v>
      </c>
      <c r="C16" s="31" t="s">
        <v>198</v>
      </c>
      <c r="D16" s="32">
        <v>10000</v>
      </c>
      <c r="E16" s="32">
        <f t="shared" si="0"/>
        <v>100000</v>
      </c>
      <c r="F16" s="32">
        <f t="shared" si="1"/>
        <v>110000</v>
      </c>
    </row>
    <row r="17" spans="1:6" x14ac:dyDescent="0.35">
      <c r="A17" s="31" t="s">
        <v>48</v>
      </c>
      <c r="B17" s="31">
        <v>4898</v>
      </c>
      <c r="C17" s="31" t="s">
        <v>198</v>
      </c>
      <c r="D17" s="32">
        <v>10000</v>
      </c>
      <c r="E17" s="32">
        <f t="shared" si="0"/>
        <v>110000</v>
      </c>
      <c r="F17" s="32">
        <f t="shared" si="1"/>
        <v>100000</v>
      </c>
    </row>
    <row r="18" spans="1:6" x14ac:dyDescent="0.35">
      <c r="A18" s="31" t="s">
        <v>197</v>
      </c>
      <c r="B18" s="31">
        <v>5541</v>
      </c>
      <c r="C18" s="31" t="s">
        <v>198</v>
      </c>
      <c r="D18" s="32">
        <v>10000</v>
      </c>
      <c r="E18" s="32">
        <f t="shared" si="0"/>
        <v>120000</v>
      </c>
      <c r="F18" s="32">
        <f t="shared" si="1"/>
        <v>90000</v>
      </c>
    </row>
    <row r="19" spans="1:6" x14ac:dyDescent="0.35">
      <c r="A19" s="31" t="s">
        <v>186</v>
      </c>
      <c r="B19" s="31">
        <v>5673</v>
      </c>
      <c r="C19" s="31" t="s">
        <v>198</v>
      </c>
      <c r="D19" s="32">
        <v>5000</v>
      </c>
      <c r="E19" s="32">
        <f t="shared" si="0"/>
        <v>125000</v>
      </c>
      <c r="F19" s="32">
        <f t="shared" si="1"/>
        <v>85000</v>
      </c>
    </row>
    <row r="20" spans="1:6" x14ac:dyDescent="0.35">
      <c r="A20" s="31" t="s">
        <v>200</v>
      </c>
      <c r="B20" s="31">
        <v>6354</v>
      </c>
      <c r="C20" s="31" t="s">
        <v>198</v>
      </c>
      <c r="D20" s="32">
        <v>10000</v>
      </c>
      <c r="E20" s="32">
        <f t="shared" si="0"/>
        <v>135000</v>
      </c>
      <c r="F20" s="32">
        <f t="shared" si="1"/>
        <v>75000</v>
      </c>
    </row>
    <row r="21" spans="1:6" x14ac:dyDescent="0.35">
      <c r="A21" s="31" t="s">
        <v>201</v>
      </c>
      <c r="B21" s="31">
        <v>6644</v>
      </c>
      <c r="C21" s="31" t="s">
        <v>198</v>
      </c>
      <c r="D21" s="32">
        <v>10000</v>
      </c>
      <c r="E21" s="32">
        <f t="shared" si="0"/>
        <v>145000</v>
      </c>
      <c r="F21" s="32">
        <f t="shared" si="1"/>
        <v>65000</v>
      </c>
    </row>
    <row r="22" spans="1:6" x14ac:dyDescent="0.35">
      <c r="A22" s="31" t="s">
        <v>156</v>
      </c>
      <c r="B22" s="31">
        <v>7402</v>
      </c>
      <c r="C22" s="31" t="s">
        <v>198</v>
      </c>
      <c r="D22" s="32">
        <v>10000</v>
      </c>
      <c r="E22" s="32">
        <f t="shared" si="0"/>
        <v>155000</v>
      </c>
      <c r="F22" s="32">
        <f t="shared" si="1"/>
        <v>55000</v>
      </c>
    </row>
    <row r="23" spans="1:6" x14ac:dyDescent="0.35">
      <c r="A23" s="31" t="s">
        <v>202</v>
      </c>
      <c r="B23" s="31">
        <v>7897</v>
      </c>
      <c r="C23" s="31" t="s">
        <v>198</v>
      </c>
      <c r="D23" s="32">
        <v>10000</v>
      </c>
      <c r="E23" s="32">
        <f t="shared" si="0"/>
        <v>165000</v>
      </c>
      <c r="F23" s="32">
        <f t="shared" si="1"/>
        <v>45000</v>
      </c>
    </row>
    <row r="24" spans="1:6" x14ac:dyDescent="0.35">
      <c r="A24" s="31" t="s">
        <v>203</v>
      </c>
      <c r="B24" s="31">
        <v>8612</v>
      </c>
      <c r="C24" s="31" t="s">
        <v>198</v>
      </c>
      <c r="D24" s="32">
        <v>10000</v>
      </c>
      <c r="E24" s="32">
        <f t="shared" si="0"/>
        <v>175000</v>
      </c>
      <c r="F24" s="32">
        <f t="shared" si="1"/>
        <v>35000</v>
      </c>
    </row>
    <row r="25" spans="1:6" x14ac:dyDescent="0.35">
      <c r="A25" s="31" t="s">
        <v>204</v>
      </c>
      <c r="B25" s="31">
        <v>9722</v>
      </c>
      <c r="C25" s="31" t="s">
        <v>198</v>
      </c>
      <c r="D25" s="32">
        <v>10000</v>
      </c>
      <c r="E25" s="32">
        <f t="shared" si="0"/>
        <v>185000</v>
      </c>
      <c r="F25" s="32">
        <f t="shared" si="1"/>
        <v>25000</v>
      </c>
    </row>
    <row r="26" spans="1:6" x14ac:dyDescent="0.35">
      <c r="A26" s="31" t="s">
        <v>205</v>
      </c>
      <c r="B26" s="31">
        <v>182</v>
      </c>
      <c r="C26" s="31" t="s">
        <v>198</v>
      </c>
      <c r="D26" s="32">
        <v>10000</v>
      </c>
      <c r="E26" s="32">
        <f t="shared" si="0"/>
        <v>195000</v>
      </c>
      <c r="F26" s="32">
        <f t="shared" si="1"/>
        <v>15000</v>
      </c>
    </row>
    <row r="27" spans="1:6" x14ac:dyDescent="0.35">
      <c r="A27" s="31" t="s">
        <v>206</v>
      </c>
      <c r="B27" s="31">
        <v>13828</v>
      </c>
      <c r="C27" s="31" t="s">
        <v>198</v>
      </c>
      <c r="D27" s="32">
        <v>15000</v>
      </c>
      <c r="E27" s="32">
        <f t="shared" si="0"/>
        <v>210000</v>
      </c>
      <c r="F27" s="32">
        <f t="shared" si="1"/>
        <v>0</v>
      </c>
    </row>
    <row r="29" spans="1:6" ht="18.5" x14ac:dyDescent="0.45">
      <c r="A29" s="36" t="s">
        <v>207</v>
      </c>
      <c r="B29" s="37"/>
      <c r="C29" s="37"/>
      <c r="D29" s="37"/>
      <c r="E29" s="37"/>
    </row>
    <row r="30" spans="1:6" ht="21" x14ac:dyDescent="0.5">
      <c r="A30" s="34" t="s">
        <v>174</v>
      </c>
      <c r="B30" s="35"/>
      <c r="C30" s="35"/>
      <c r="D30" s="35"/>
      <c r="E30" s="35"/>
      <c r="F30" s="3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F18" sqref="F18"/>
    </sheetView>
  </sheetViews>
  <sheetFormatPr defaultRowHeight="14.5" x14ac:dyDescent="0.35"/>
  <cols>
    <col min="1" max="1" width="10.453125" bestFit="1" customWidth="1"/>
    <col min="3" max="3" width="10.1796875" customWidth="1"/>
    <col min="6" max="6" width="11" customWidth="1"/>
  </cols>
  <sheetData>
    <row r="1" spans="1:9" ht="18.5" x14ac:dyDescent="0.45">
      <c r="A1" s="1" t="s">
        <v>217</v>
      </c>
      <c r="B1" s="1"/>
      <c r="C1" s="2"/>
      <c r="D1" s="1"/>
      <c r="E1" s="1"/>
      <c r="F1" s="1"/>
    </row>
    <row r="2" spans="1:9" ht="18.5" x14ac:dyDescent="0.45">
      <c r="A2" s="1" t="s">
        <v>218</v>
      </c>
      <c r="C2" s="1"/>
      <c r="D2" s="1"/>
      <c r="E2" s="1"/>
      <c r="F2" s="1"/>
    </row>
    <row r="3" spans="1:9" ht="18.5" x14ac:dyDescent="0.45">
      <c r="A3" s="1" t="s">
        <v>219</v>
      </c>
      <c r="B3" s="1"/>
      <c r="C3" s="1"/>
      <c r="D3" s="1"/>
      <c r="E3" s="1"/>
      <c r="F3" s="1"/>
    </row>
    <row r="4" spans="1:9" ht="18.5" x14ac:dyDescent="0.45">
      <c r="A4" s="1" t="s">
        <v>227</v>
      </c>
      <c r="B4" s="1" t="s">
        <v>431</v>
      </c>
      <c r="C4" s="1"/>
      <c r="D4" s="1"/>
      <c r="E4" s="1"/>
      <c r="F4" s="1"/>
    </row>
    <row r="5" spans="1:9" ht="18.5" x14ac:dyDescent="0.45">
      <c r="A5" s="1" t="s">
        <v>220</v>
      </c>
      <c r="B5" s="1"/>
      <c r="C5" s="1"/>
      <c r="D5" s="1"/>
      <c r="E5" s="1"/>
      <c r="F5" s="1"/>
    </row>
    <row r="6" spans="1:9" ht="18.5" x14ac:dyDescent="0.45">
      <c r="A6" s="1" t="s">
        <v>221</v>
      </c>
      <c r="B6" s="1"/>
      <c r="C6" s="1"/>
      <c r="D6" s="1" t="s">
        <v>191</v>
      </c>
      <c r="E6" s="1"/>
      <c r="F6" s="1"/>
    </row>
    <row r="7" spans="1:9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9" x14ac:dyDescent="0.35">
      <c r="A8" t="s">
        <v>213</v>
      </c>
      <c r="B8">
        <v>493</v>
      </c>
      <c r="C8" t="s">
        <v>14</v>
      </c>
      <c r="D8" s="14">
        <v>10000</v>
      </c>
      <c r="E8" s="14">
        <v>10000</v>
      </c>
      <c r="F8">
        <v>57500</v>
      </c>
    </row>
    <row r="9" spans="1:9" x14ac:dyDescent="0.35">
      <c r="A9" t="s">
        <v>222</v>
      </c>
      <c r="B9">
        <v>1301</v>
      </c>
      <c r="C9" t="s">
        <v>14</v>
      </c>
      <c r="D9" s="14">
        <v>10000</v>
      </c>
      <c r="E9" s="14">
        <f>SUM(E8+D9)</f>
        <v>20000</v>
      </c>
      <c r="F9" s="14">
        <f>F8-D9</f>
        <v>47500</v>
      </c>
    </row>
    <row r="10" spans="1:9" x14ac:dyDescent="0.35">
      <c r="A10" s="12">
        <v>44877</v>
      </c>
      <c r="B10">
        <v>2446</v>
      </c>
      <c r="C10" t="s">
        <v>226</v>
      </c>
      <c r="D10" s="14">
        <v>10000</v>
      </c>
      <c r="E10" s="14">
        <f t="shared" ref="E10:E14" si="0">SUM(E9+D10)</f>
        <v>30000</v>
      </c>
      <c r="F10" s="14">
        <f t="shared" ref="F10:F14" si="1">F9-D10</f>
        <v>37500</v>
      </c>
    </row>
    <row r="11" spans="1:9" x14ac:dyDescent="0.35">
      <c r="A11" t="s">
        <v>223</v>
      </c>
      <c r="B11">
        <v>2447</v>
      </c>
      <c r="C11" t="s">
        <v>226</v>
      </c>
      <c r="D11" s="14">
        <v>10000</v>
      </c>
      <c r="E11" s="14">
        <f t="shared" si="0"/>
        <v>40000</v>
      </c>
      <c r="F11" s="14">
        <f t="shared" si="1"/>
        <v>27500</v>
      </c>
    </row>
    <row r="12" spans="1:9" x14ac:dyDescent="0.35">
      <c r="A12" t="s">
        <v>224</v>
      </c>
      <c r="B12">
        <v>2448</v>
      </c>
      <c r="C12" t="s">
        <v>14</v>
      </c>
      <c r="D12" s="14">
        <v>10000</v>
      </c>
      <c r="E12" s="14">
        <f t="shared" si="0"/>
        <v>50000</v>
      </c>
      <c r="F12" s="14">
        <f t="shared" si="1"/>
        <v>17500</v>
      </c>
    </row>
    <row r="13" spans="1:9" x14ac:dyDescent="0.35">
      <c r="A13" t="s">
        <v>225</v>
      </c>
      <c r="B13">
        <v>8</v>
      </c>
      <c r="C13" t="s">
        <v>14</v>
      </c>
      <c r="D13" s="14">
        <v>10000</v>
      </c>
      <c r="E13" s="14">
        <f t="shared" si="0"/>
        <v>60000</v>
      </c>
      <c r="F13" s="14">
        <f t="shared" si="1"/>
        <v>7500</v>
      </c>
    </row>
    <row r="14" spans="1:9" x14ac:dyDescent="0.35">
      <c r="A14" t="s">
        <v>42</v>
      </c>
      <c r="B14">
        <v>1171</v>
      </c>
      <c r="C14" t="s">
        <v>14</v>
      </c>
      <c r="D14" s="14">
        <v>7500</v>
      </c>
      <c r="E14" s="14">
        <f t="shared" si="0"/>
        <v>67500</v>
      </c>
      <c r="F14" s="14">
        <f t="shared" si="1"/>
        <v>0</v>
      </c>
    </row>
    <row r="15" spans="1:9" ht="18.5" x14ac:dyDescent="0.45">
      <c r="A15" s="37" t="s">
        <v>174</v>
      </c>
      <c r="B15" s="37"/>
      <c r="C15" s="37"/>
      <c r="D15" s="37"/>
      <c r="E15" s="37"/>
      <c r="F15" s="37"/>
      <c r="G15" s="37"/>
      <c r="H15" s="37"/>
      <c r="I15" s="37"/>
    </row>
    <row r="17" spans="1:6" x14ac:dyDescent="0.35">
      <c r="A17" t="s">
        <v>542</v>
      </c>
      <c r="B17">
        <v>1817</v>
      </c>
      <c r="C17" t="s">
        <v>543</v>
      </c>
      <c r="D17" s="14">
        <v>100000</v>
      </c>
      <c r="E17" s="14">
        <v>390000</v>
      </c>
      <c r="F17" t="s">
        <v>544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opLeftCell="A29" workbookViewId="0">
      <selection activeCell="B46" sqref="B46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34</v>
      </c>
      <c r="B1" s="1"/>
      <c r="C1" s="2"/>
      <c r="D1" s="1"/>
      <c r="E1" s="1"/>
      <c r="F1" s="1"/>
    </row>
    <row r="2" spans="1:6" ht="18.5" x14ac:dyDescent="0.45">
      <c r="A2" s="1" t="s">
        <v>35</v>
      </c>
      <c r="C2" s="1"/>
      <c r="D2" s="1"/>
      <c r="E2" s="1"/>
      <c r="F2" s="1"/>
    </row>
    <row r="3" spans="1:6" ht="18.5" x14ac:dyDescent="0.45">
      <c r="A3" s="1" t="s">
        <v>36</v>
      </c>
      <c r="B3" s="1"/>
      <c r="C3" s="1"/>
      <c r="D3" s="1"/>
      <c r="E3" s="1"/>
      <c r="F3" s="1"/>
    </row>
    <row r="4" spans="1:6" ht="18.5" x14ac:dyDescent="0.45">
      <c r="A4" s="1" t="s">
        <v>144</v>
      </c>
      <c r="B4" s="1"/>
      <c r="C4" s="1"/>
      <c r="D4" s="1"/>
      <c r="E4" s="1"/>
      <c r="F4" s="1"/>
    </row>
    <row r="5" spans="1:6" ht="18.5" x14ac:dyDescent="0.45">
      <c r="A5" s="1" t="s">
        <v>37</v>
      </c>
      <c r="B5" s="1"/>
      <c r="C5" s="1"/>
      <c r="D5" s="1"/>
      <c r="E5" s="1"/>
      <c r="F5" s="1"/>
    </row>
    <row r="6" spans="1:6" ht="18.5" x14ac:dyDescent="0.45">
      <c r="A6" s="1" t="s">
        <v>38</v>
      </c>
      <c r="B6" s="1"/>
      <c r="C6" s="1"/>
      <c r="D6" s="1" t="s">
        <v>39</v>
      </c>
      <c r="E6" s="1"/>
      <c r="F6" s="1"/>
    </row>
    <row r="7" spans="1:6" x14ac:dyDescent="0.35">
      <c r="A7" s="19" t="s">
        <v>0</v>
      </c>
      <c r="B7" s="20" t="s">
        <v>1</v>
      </c>
      <c r="C7" s="20" t="s">
        <v>2</v>
      </c>
      <c r="D7" s="17" t="s">
        <v>3</v>
      </c>
      <c r="E7" s="17" t="s">
        <v>4</v>
      </c>
      <c r="F7" s="18" t="s">
        <v>5</v>
      </c>
    </row>
    <row r="8" spans="1:6" x14ac:dyDescent="0.35">
      <c r="A8" s="9" t="s">
        <v>40</v>
      </c>
      <c r="B8" s="5">
        <v>95</v>
      </c>
      <c r="C8" s="5" t="s">
        <v>49</v>
      </c>
      <c r="D8" s="7">
        <v>85000</v>
      </c>
      <c r="E8" s="7">
        <v>85000</v>
      </c>
      <c r="F8" s="16">
        <v>465000</v>
      </c>
    </row>
    <row r="9" spans="1:6" x14ac:dyDescent="0.35">
      <c r="A9" s="9" t="s">
        <v>40</v>
      </c>
      <c r="B9" s="5">
        <v>96</v>
      </c>
      <c r="C9" s="5" t="s">
        <v>12</v>
      </c>
      <c r="D9" s="7">
        <v>10000</v>
      </c>
      <c r="E9" s="7">
        <f>SUM(E8+D9)</f>
        <v>95000</v>
      </c>
      <c r="F9" s="16">
        <f>F8-D9</f>
        <v>455000</v>
      </c>
    </row>
    <row r="10" spans="1:6" x14ac:dyDescent="0.35">
      <c r="A10" s="5" t="s">
        <v>41</v>
      </c>
      <c r="B10" s="5">
        <v>97</v>
      </c>
      <c r="C10" s="5" t="s">
        <v>14</v>
      </c>
      <c r="D10" s="5">
        <v>5000</v>
      </c>
      <c r="E10" s="7">
        <f t="shared" ref="E10:E17" si="0">SUM(E9+D10)</f>
        <v>100000</v>
      </c>
      <c r="F10" s="16">
        <f t="shared" ref="F10:F17" si="1">F9-D10</f>
        <v>450000</v>
      </c>
    </row>
    <row r="11" spans="1:6" x14ac:dyDescent="0.35">
      <c r="A11" s="5" t="s">
        <v>42</v>
      </c>
      <c r="B11" s="5">
        <v>479</v>
      </c>
      <c r="C11" s="5" t="s">
        <v>14</v>
      </c>
      <c r="D11" s="5">
        <v>5000</v>
      </c>
      <c r="E11" s="7">
        <f t="shared" si="0"/>
        <v>105000</v>
      </c>
      <c r="F11" s="16">
        <f t="shared" si="1"/>
        <v>445000</v>
      </c>
    </row>
    <row r="12" spans="1:6" x14ac:dyDescent="0.35">
      <c r="A12" s="5" t="s">
        <v>43</v>
      </c>
      <c r="B12" s="5">
        <v>628</v>
      </c>
      <c r="C12" s="5" t="s">
        <v>14</v>
      </c>
      <c r="D12" s="5">
        <v>5000</v>
      </c>
      <c r="E12" s="7">
        <f t="shared" si="0"/>
        <v>110000</v>
      </c>
      <c r="F12" s="16">
        <f t="shared" si="1"/>
        <v>440000</v>
      </c>
    </row>
    <row r="13" spans="1:6" x14ac:dyDescent="0.35">
      <c r="A13" s="5" t="s">
        <v>44</v>
      </c>
      <c r="B13" s="5">
        <v>916</v>
      </c>
      <c r="C13" s="5" t="s">
        <v>14</v>
      </c>
      <c r="D13" s="7">
        <v>10000</v>
      </c>
      <c r="E13" s="7">
        <f t="shared" si="0"/>
        <v>120000</v>
      </c>
      <c r="F13" s="16">
        <f t="shared" si="1"/>
        <v>430000</v>
      </c>
    </row>
    <row r="14" spans="1:6" x14ac:dyDescent="0.35">
      <c r="A14" s="5" t="s">
        <v>45</v>
      </c>
      <c r="B14" s="5">
        <v>2928</v>
      </c>
      <c r="C14" s="5" t="s">
        <v>14</v>
      </c>
      <c r="D14" s="7">
        <v>10000</v>
      </c>
      <c r="E14" s="7">
        <f t="shared" si="0"/>
        <v>130000</v>
      </c>
      <c r="F14" s="16">
        <f t="shared" si="1"/>
        <v>420000</v>
      </c>
    </row>
    <row r="15" spans="1:6" x14ac:dyDescent="0.35">
      <c r="A15" s="5" t="s">
        <v>46</v>
      </c>
      <c r="B15" s="5">
        <v>3671</v>
      </c>
      <c r="C15" s="5" t="s">
        <v>14</v>
      </c>
      <c r="D15" s="7">
        <v>10000</v>
      </c>
      <c r="E15" s="7">
        <f t="shared" si="0"/>
        <v>140000</v>
      </c>
      <c r="F15" s="16">
        <f t="shared" si="1"/>
        <v>410000</v>
      </c>
    </row>
    <row r="16" spans="1:6" x14ac:dyDescent="0.35">
      <c r="A16" s="5" t="s">
        <v>47</v>
      </c>
      <c r="B16" s="5">
        <v>4454</v>
      </c>
      <c r="C16" s="5" t="s">
        <v>14</v>
      </c>
      <c r="D16" s="7">
        <v>20000</v>
      </c>
      <c r="E16" s="7">
        <f t="shared" si="0"/>
        <v>160000</v>
      </c>
      <c r="F16" s="16">
        <f t="shared" si="1"/>
        <v>390000</v>
      </c>
    </row>
    <row r="17" spans="1:6" x14ac:dyDescent="0.35">
      <c r="A17" s="5" t="s">
        <v>48</v>
      </c>
      <c r="B17" s="5">
        <v>4914</v>
      </c>
      <c r="C17" s="5" t="s">
        <v>14</v>
      </c>
      <c r="D17" s="7">
        <v>10000</v>
      </c>
      <c r="E17" s="7">
        <f t="shared" si="0"/>
        <v>170000</v>
      </c>
      <c r="F17" s="16">
        <f t="shared" si="1"/>
        <v>380000</v>
      </c>
    </row>
    <row r="18" spans="1:6" x14ac:dyDescent="0.35">
      <c r="A18" s="6">
        <v>45211</v>
      </c>
      <c r="B18" s="5">
        <v>5402</v>
      </c>
      <c r="C18" s="5" t="s">
        <v>14</v>
      </c>
      <c r="D18" s="7">
        <v>10000</v>
      </c>
      <c r="E18" s="7">
        <f>SUM(E17+D18)</f>
        <v>180000</v>
      </c>
      <c r="F18" s="16">
        <f>F17-D18</f>
        <v>370000</v>
      </c>
    </row>
    <row r="19" spans="1:6" x14ac:dyDescent="0.35">
      <c r="A19" s="6">
        <v>45597</v>
      </c>
      <c r="B19" s="5">
        <v>6116</v>
      </c>
      <c r="C19" s="5" t="s">
        <v>14</v>
      </c>
      <c r="D19" s="7">
        <v>10000</v>
      </c>
      <c r="E19" s="7">
        <f>SUM(E18+D19)</f>
        <v>190000</v>
      </c>
      <c r="F19" s="16">
        <f>F18-D19</f>
        <v>360000</v>
      </c>
    </row>
    <row r="20" spans="1:6" x14ac:dyDescent="0.35">
      <c r="A20" s="5" t="s">
        <v>50</v>
      </c>
      <c r="B20" s="5">
        <v>6636</v>
      </c>
      <c r="C20" s="5" t="s">
        <v>14</v>
      </c>
      <c r="D20" s="7">
        <v>10000</v>
      </c>
      <c r="E20" s="7">
        <f t="shared" ref="E20:E43" si="2">SUM(E19+D20)</f>
        <v>200000</v>
      </c>
      <c r="F20" s="16">
        <f t="shared" ref="F20:F43" si="3">F19-D20</f>
        <v>350000</v>
      </c>
    </row>
    <row r="21" spans="1:6" x14ac:dyDescent="0.35">
      <c r="A21" s="6">
        <v>45568</v>
      </c>
      <c r="B21" s="5">
        <v>7259</v>
      </c>
      <c r="C21" s="5" t="s">
        <v>14</v>
      </c>
      <c r="D21" s="7">
        <v>10000</v>
      </c>
      <c r="E21" s="7">
        <f t="shared" si="2"/>
        <v>210000</v>
      </c>
      <c r="F21" s="16">
        <f t="shared" si="3"/>
        <v>340000</v>
      </c>
    </row>
    <row r="22" spans="1:6" x14ac:dyDescent="0.35">
      <c r="A22" s="6">
        <v>45477</v>
      </c>
      <c r="B22" s="5">
        <v>7749</v>
      </c>
      <c r="C22" s="5" t="s">
        <v>14</v>
      </c>
      <c r="D22" s="7">
        <v>10000</v>
      </c>
      <c r="E22" s="7">
        <f t="shared" si="2"/>
        <v>220000</v>
      </c>
      <c r="F22" s="16">
        <f t="shared" si="3"/>
        <v>330000</v>
      </c>
    </row>
    <row r="23" spans="1:6" x14ac:dyDescent="0.35">
      <c r="A23" s="6">
        <v>45509</v>
      </c>
      <c r="B23" s="5">
        <v>8336</v>
      </c>
      <c r="C23" s="5" t="s">
        <v>14</v>
      </c>
      <c r="D23" s="7">
        <v>10000</v>
      </c>
      <c r="E23" s="7">
        <f t="shared" si="2"/>
        <v>230000</v>
      </c>
      <c r="F23" s="16">
        <f t="shared" si="3"/>
        <v>320000</v>
      </c>
    </row>
    <row r="24" spans="1:6" x14ac:dyDescent="0.35">
      <c r="A24" s="6">
        <v>45541</v>
      </c>
      <c r="B24" s="5">
        <v>8934</v>
      </c>
      <c r="C24" s="5" t="s">
        <v>14</v>
      </c>
      <c r="D24" s="7">
        <v>10000</v>
      </c>
      <c r="E24" s="7">
        <f t="shared" si="2"/>
        <v>240000</v>
      </c>
      <c r="F24" s="16">
        <f t="shared" si="3"/>
        <v>310000</v>
      </c>
    </row>
    <row r="25" spans="1:6" x14ac:dyDescent="0.35">
      <c r="A25" s="5" t="s">
        <v>51</v>
      </c>
      <c r="B25" s="5">
        <v>9713</v>
      </c>
      <c r="C25" s="5" t="s">
        <v>14</v>
      </c>
      <c r="D25" s="7">
        <v>10000</v>
      </c>
      <c r="E25" s="7">
        <f t="shared" si="2"/>
        <v>250000</v>
      </c>
      <c r="F25" s="16">
        <f t="shared" si="3"/>
        <v>300000</v>
      </c>
    </row>
    <row r="26" spans="1:6" x14ac:dyDescent="0.35">
      <c r="A26" s="6">
        <v>45513</v>
      </c>
      <c r="B26" s="5">
        <v>10608</v>
      </c>
      <c r="C26" s="5" t="s">
        <v>14</v>
      </c>
      <c r="D26" s="7">
        <v>10000</v>
      </c>
      <c r="E26" s="7">
        <f t="shared" si="2"/>
        <v>260000</v>
      </c>
      <c r="F26" s="16">
        <f t="shared" si="3"/>
        <v>290000</v>
      </c>
    </row>
    <row r="27" spans="1:6" x14ac:dyDescent="0.35">
      <c r="A27" s="6">
        <v>45453</v>
      </c>
      <c r="B27" s="5">
        <v>11441</v>
      </c>
      <c r="C27" s="5" t="s">
        <v>14</v>
      </c>
      <c r="D27" s="7">
        <v>10000</v>
      </c>
      <c r="E27" s="7">
        <f t="shared" si="2"/>
        <v>270000</v>
      </c>
      <c r="F27" s="16">
        <f t="shared" si="3"/>
        <v>280000</v>
      </c>
    </row>
    <row r="28" spans="1:6" x14ac:dyDescent="0.35">
      <c r="A28" s="6">
        <v>45576</v>
      </c>
      <c r="B28" s="5">
        <v>10905</v>
      </c>
      <c r="C28" s="5" t="s">
        <v>14</v>
      </c>
      <c r="D28" s="7">
        <v>10000</v>
      </c>
      <c r="E28" s="7">
        <f t="shared" si="2"/>
        <v>280000</v>
      </c>
      <c r="F28" s="16">
        <f t="shared" si="3"/>
        <v>270000</v>
      </c>
    </row>
    <row r="29" spans="1:6" x14ac:dyDescent="0.35">
      <c r="A29" s="6">
        <v>45839</v>
      </c>
      <c r="B29" s="5">
        <v>12961</v>
      </c>
      <c r="C29" s="5" t="s">
        <v>14</v>
      </c>
      <c r="D29" s="7">
        <v>15000</v>
      </c>
      <c r="E29" s="7">
        <f t="shared" si="2"/>
        <v>295000</v>
      </c>
      <c r="F29" s="16">
        <f t="shared" si="3"/>
        <v>255000</v>
      </c>
    </row>
    <row r="30" spans="1:6" x14ac:dyDescent="0.35">
      <c r="A30" s="6">
        <v>45902</v>
      </c>
      <c r="B30" s="5">
        <v>9296</v>
      </c>
      <c r="C30" s="5" t="s">
        <v>14</v>
      </c>
      <c r="D30" s="7">
        <v>15000</v>
      </c>
      <c r="E30" s="7">
        <f t="shared" si="2"/>
        <v>310000</v>
      </c>
      <c r="F30" s="16">
        <f t="shared" si="3"/>
        <v>240000</v>
      </c>
    </row>
    <row r="31" spans="1:6" x14ac:dyDescent="0.35">
      <c r="A31" s="6">
        <v>45964</v>
      </c>
      <c r="B31" s="5">
        <v>9725</v>
      </c>
      <c r="C31" s="5" t="s">
        <v>14</v>
      </c>
      <c r="D31" s="7">
        <v>10000</v>
      </c>
      <c r="E31" s="7">
        <f t="shared" si="2"/>
        <v>320000</v>
      </c>
      <c r="F31" s="16">
        <f t="shared" si="3"/>
        <v>230000</v>
      </c>
    </row>
    <row r="32" spans="1:6" x14ac:dyDescent="0.35">
      <c r="A32" s="6">
        <v>45812</v>
      </c>
      <c r="B32" s="5">
        <v>9935</v>
      </c>
      <c r="C32" s="5" t="s">
        <v>14</v>
      </c>
      <c r="D32" s="7">
        <v>10000</v>
      </c>
      <c r="E32" s="7">
        <f t="shared" si="2"/>
        <v>330000</v>
      </c>
      <c r="F32" s="16">
        <f t="shared" si="3"/>
        <v>220000</v>
      </c>
    </row>
    <row r="33" spans="1:6" x14ac:dyDescent="0.35">
      <c r="A33" s="6">
        <v>45966</v>
      </c>
      <c r="B33" s="5">
        <v>10916</v>
      </c>
      <c r="C33" s="5" t="s">
        <v>14</v>
      </c>
      <c r="D33" s="7">
        <v>10000</v>
      </c>
      <c r="E33" s="7">
        <f t="shared" si="2"/>
        <v>340000</v>
      </c>
      <c r="F33" s="16">
        <f t="shared" si="3"/>
        <v>210000</v>
      </c>
    </row>
    <row r="34" spans="1:6" x14ac:dyDescent="0.35">
      <c r="A34" s="6">
        <v>45814</v>
      </c>
      <c r="B34" s="5">
        <v>10478</v>
      </c>
      <c r="C34" s="5" t="s">
        <v>14</v>
      </c>
      <c r="D34" s="7">
        <v>10000</v>
      </c>
      <c r="E34" s="7">
        <f t="shared" si="2"/>
        <v>350000</v>
      </c>
      <c r="F34" s="16">
        <f t="shared" si="3"/>
        <v>200000</v>
      </c>
    </row>
    <row r="35" spans="1:6" x14ac:dyDescent="0.35">
      <c r="A35" s="6">
        <v>45845</v>
      </c>
      <c r="B35" s="5">
        <v>12096</v>
      </c>
      <c r="C35" s="5" t="s">
        <v>14</v>
      </c>
      <c r="D35" s="7">
        <v>10000</v>
      </c>
      <c r="E35" s="7">
        <f t="shared" si="2"/>
        <v>360000</v>
      </c>
      <c r="F35" s="16">
        <f t="shared" si="3"/>
        <v>190000</v>
      </c>
    </row>
    <row r="36" spans="1:6" x14ac:dyDescent="0.35">
      <c r="A36" s="6">
        <v>45938</v>
      </c>
      <c r="B36" s="5">
        <v>12467</v>
      </c>
      <c r="C36" s="5" t="s">
        <v>14</v>
      </c>
      <c r="D36" s="7">
        <v>10000</v>
      </c>
      <c r="E36" s="7">
        <f t="shared" si="2"/>
        <v>370000</v>
      </c>
      <c r="F36" s="16">
        <f t="shared" si="3"/>
        <v>180000</v>
      </c>
    </row>
    <row r="37" spans="1:6" x14ac:dyDescent="0.35">
      <c r="A37" s="5" t="s">
        <v>52</v>
      </c>
      <c r="B37" s="5">
        <v>13901</v>
      </c>
      <c r="C37" s="5" t="s">
        <v>14</v>
      </c>
      <c r="D37" s="7">
        <v>10000</v>
      </c>
      <c r="E37" s="7">
        <f t="shared" si="2"/>
        <v>380000</v>
      </c>
      <c r="F37" s="16">
        <f t="shared" si="3"/>
        <v>170000</v>
      </c>
    </row>
    <row r="38" spans="1:6" x14ac:dyDescent="0.35">
      <c r="A38" s="6">
        <v>45911</v>
      </c>
      <c r="B38" s="5">
        <v>13478</v>
      </c>
      <c r="C38" s="5" t="s">
        <v>14</v>
      </c>
      <c r="D38" s="7">
        <v>15000</v>
      </c>
      <c r="E38" s="7">
        <f t="shared" si="2"/>
        <v>395000</v>
      </c>
      <c r="F38" s="16">
        <f t="shared" si="3"/>
        <v>155000</v>
      </c>
    </row>
    <row r="39" spans="1:6" x14ac:dyDescent="0.35">
      <c r="A39" s="6">
        <v>45942</v>
      </c>
      <c r="B39" s="5">
        <v>13152</v>
      </c>
      <c r="C39" s="5" t="s">
        <v>14</v>
      </c>
      <c r="D39" s="7">
        <v>15000</v>
      </c>
      <c r="E39" s="7">
        <f t="shared" si="2"/>
        <v>410000</v>
      </c>
      <c r="F39" s="16">
        <f t="shared" si="3"/>
        <v>140000</v>
      </c>
    </row>
    <row r="40" spans="1:6" x14ac:dyDescent="0.35">
      <c r="A40" s="6">
        <v>46357</v>
      </c>
      <c r="B40" s="5">
        <v>12111</v>
      </c>
      <c r="C40" s="5" t="s">
        <v>14</v>
      </c>
      <c r="D40" s="7">
        <v>10000</v>
      </c>
      <c r="E40" s="7">
        <f t="shared" si="2"/>
        <v>420000</v>
      </c>
      <c r="F40" s="16">
        <f t="shared" si="3"/>
        <v>130000</v>
      </c>
    </row>
    <row r="41" spans="1:6" x14ac:dyDescent="0.35">
      <c r="A41" s="6">
        <v>46236</v>
      </c>
      <c r="B41" s="5">
        <v>12398</v>
      </c>
      <c r="C41" s="5" t="s">
        <v>14</v>
      </c>
      <c r="D41" s="7">
        <v>10000</v>
      </c>
      <c r="E41" s="7">
        <f t="shared" si="2"/>
        <v>430000</v>
      </c>
      <c r="F41" s="16">
        <f t="shared" si="3"/>
        <v>120000</v>
      </c>
    </row>
    <row r="42" spans="1:6" x14ac:dyDescent="0.35">
      <c r="A42" s="12">
        <v>46237</v>
      </c>
      <c r="B42" s="13">
        <v>12783</v>
      </c>
      <c r="C42" s="5" t="s">
        <v>14</v>
      </c>
      <c r="D42" s="7">
        <v>10000</v>
      </c>
      <c r="E42" s="7">
        <f t="shared" si="2"/>
        <v>440000</v>
      </c>
      <c r="F42" s="16">
        <f t="shared" si="3"/>
        <v>110000</v>
      </c>
    </row>
    <row r="43" spans="1:6" x14ac:dyDescent="0.35">
      <c r="A43" s="12">
        <v>46146</v>
      </c>
      <c r="B43" s="13">
        <v>13152</v>
      </c>
      <c r="C43" s="5" t="s">
        <v>14</v>
      </c>
      <c r="D43" s="7">
        <v>10000</v>
      </c>
      <c r="E43" s="7">
        <f t="shared" si="2"/>
        <v>450000</v>
      </c>
      <c r="F43" s="16">
        <f t="shared" si="3"/>
        <v>100000</v>
      </c>
    </row>
    <row r="44" spans="1:6" x14ac:dyDescent="0.35">
      <c r="A44" s="40">
        <v>46331</v>
      </c>
      <c r="B44" s="26">
        <v>1335</v>
      </c>
      <c r="C44" s="5" t="s">
        <v>14</v>
      </c>
      <c r="D44" s="7">
        <v>10000</v>
      </c>
      <c r="E44" s="27">
        <f>SUM(E43+D44)</f>
        <v>460000</v>
      </c>
      <c r="F44" s="28">
        <f>F43-D44</f>
        <v>90000</v>
      </c>
    </row>
    <row r="45" spans="1:6" x14ac:dyDescent="0.35">
      <c r="A45" t="s">
        <v>541</v>
      </c>
      <c r="B45">
        <v>1406</v>
      </c>
      <c r="C45" t="s">
        <v>14</v>
      </c>
      <c r="D45" s="32">
        <v>20000</v>
      </c>
      <c r="E45" s="32">
        <f>E44+D45</f>
        <v>480000</v>
      </c>
      <c r="F45" s="32">
        <f>F44-D45</f>
        <v>70000</v>
      </c>
    </row>
    <row r="46" spans="1:6" x14ac:dyDescent="0.35">
      <c r="A46" t="s">
        <v>616</v>
      </c>
      <c r="B46">
        <v>2135</v>
      </c>
      <c r="C46" t="s">
        <v>14</v>
      </c>
      <c r="D46" s="32">
        <v>15000</v>
      </c>
      <c r="E46" s="32">
        <f>E45+D46</f>
        <v>495000</v>
      </c>
      <c r="F46" s="32">
        <f>F45-D46</f>
        <v>55000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G10" sqref="G10"/>
    </sheetView>
  </sheetViews>
  <sheetFormatPr defaultRowHeight="14.5" x14ac:dyDescent="0.35"/>
  <cols>
    <col min="1" max="1" width="10.26953125" customWidth="1"/>
    <col min="3" max="3" width="9.81640625" customWidth="1"/>
    <col min="6" max="6" width="10.08984375" customWidth="1"/>
  </cols>
  <sheetData>
    <row r="1" spans="1:7" ht="18.5" x14ac:dyDescent="0.45">
      <c r="A1" s="1" t="s">
        <v>228</v>
      </c>
      <c r="B1" s="1"/>
      <c r="C1" s="2"/>
      <c r="D1" s="1"/>
      <c r="E1" s="1"/>
      <c r="F1" s="1"/>
    </row>
    <row r="2" spans="1:7" ht="18.5" x14ac:dyDescent="0.45">
      <c r="A2" s="1" t="s">
        <v>229</v>
      </c>
      <c r="C2" s="1"/>
      <c r="D2" s="1"/>
      <c r="E2" s="1"/>
      <c r="F2" s="1"/>
    </row>
    <row r="3" spans="1:7" ht="18.5" x14ac:dyDescent="0.45">
      <c r="A3" s="1" t="s">
        <v>233</v>
      </c>
      <c r="B3" s="1"/>
      <c r="C3" s="1"/>
      <c r="D3" s="1"/>
      <c r="E3" s="1"/>
      <c r="F3" s="1"/>
    </row>
    <row r="4" spans="1:7" ht="18.5" x14ac:dyDescent="0.45">
      <c r="A4" s="1" t="s">
        <v>362</v>
      </c>
      <c r="B4" s="1"/>
      <c r="C4" s="1"/>
      <c r="D4" s="1"/>
      <c r="E4" s="1"/>
      <c r="F4" s="1"/>
    </row>
    <row r="5" spans="1:7" ht="18.5" x14ac:dyDescent="0.45">
      <c r="A5" s="1" t="s">
        <v>230</v>
      </c>
      <c r="B5" s="1"/>
      <c r="C5" s="1"/>
      <c r="D5" s="1"/>
      <c r="E5" s="1"/>
      <c r="F5" s="1"/>
    </row>
    <row r="6" spans="1:7" ht="18.5" x14ac:dyDescent="0.45">
      <c r="A6" s="1" t="s">
        <v>239</v>
      </c>
      <c r="B6" s="1"/>
      <c r="C6" s="1"/>
      <c r="D6" s="1" t="s">
        <v>240</v>
      </c>
      <c r="E6" s="1"/>
      <c r="F6" s="1"/>
    </row>
    <row r="7" spans="1:7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7" x14ac:dyDescent="0.35">
      <c r="A8" s="12">
        <v>44781</v>
      </c>
      <c r="B8">
        <v>194</v>
      </c>
      <c r="C8" t="s">
        <v>198</v>
      </c>
      <c r="D8" s="14">
        <v>10000</v>
      </c>
      <c r="E8" s="14">
        <v>10000</v>
      </c>
      <c r="F8" s="14">
        <v>340000</v>
      </c>
    </row>
    <row r="9" spans="1:7" x14ac:dyDescent="0.35">
      <c r="A9" s="12">
        <v>44782</v>
      </c>
      <c r="B9">
        <v>126</v>
      </c>
      <c r="C9" t="s">
        <v>198</v>
      </c>
      <c r="D9" s="14">
        <v>10000</v>
      </c>
      <c r="E9" s="14">
        <f>SUM(E8+D9)</f>
        <v>20000</v>
      </c>
      <c r="F9" s="14">
        <f>F8-D9</f>
        <v>330000</v>
      </c>
      <c r="G9" t="s">
        <v>374</v>
      </c>
    </row>
    <row r="10" spans="1:7" x14ac:dyDescent="0.35">
      <c r="A10" t="s">
        <v>234</v>
      </c>
      <c r="B10">
        <v>2723</v>
      </c>
      <c r="C10" t="s">
        <v>61</v>
      </c>
      <c r="D10" s="14">
        <v>10000</v>
      </c>
      <c r="E10" s="14">
        <f t="shared" ref="E10:E11" si="0">SUM(E9+D10)</f>
        <v>30000</v>
      </c>
      <c r="F10" s="14">
        <f t="shared" ref="F10:F11" si="1">F9-D10</f>
        <v>320000</v>
      </c>
    </row>
    <row r="11" spans="1:7" x14ac:dyDescent="0.35">
      <c r="A11" s="12">
        <v>44745</v>
      </c>
      <c r="B11">
        <v>2724</v>
      </c>
      <c r="C11" t="s">
        <v>216</v>
      </c>
      <c r="D11" s="14">
        <v>10000</v>
      </c>
      <c r="E11" s="14">
        <f t="shared" si="0"/>
        <v>40000</v>
      </c>
      <c r="F11" s="14">
        <f t="shared" si="1"/>
        <v>310000</v>
      </c>
    </row>
    <row r="12" spans="1:7" x14ac:dyDescent="0.35">
      <c r="A12" s="12">
        <v>44905</v>
      </c>
      <c r="B12">
        <v>4224</v>
      </c>
      <c r="C12" t="s">
        <v>216</v>
      </c>
      <c r="D12" s="14">
        <v>60000</v>
      </c>
      <c r="E12" s="14">
        <f t="shared" ref="E12:E22" si="2">SUM(E11+D12)</f>
        <v>100000</v>
      </c>
      <c r="F12" s="14">
        <f t="shared" ref="F12:F21" si="3">F11-D12</f>
        <v>250000</v>
      </c>
    </row>
    <row r="13" spans="1:7" x14ac:dyDescent="0.35">
      <c r="A13" t="s">
        <v>235</v>
      </c>
      <c r="B13">
        <v>5028</v>
      </c>
      <c r="C13" t="s">
        <v>216</v>
      </c>
      <c r="D13" s="14">
        <v>20000</v>
      </c>
      <c r="E13" s="14">
        <f t="shared" si="2"/>
        <v>120000</v>
      </c>
      <c r="F13" s="14">
        <f t="shared" si="3"/>
        <v>230000</v>
      </c>
    </row>
    <row r="14" spans="1:7" x14ac:dyDescent="0.35">
      <c r="A14" t="s">
        <v>236</v>
      </c>
      <c r="B14">
        <v>7869</v>
      </c>
      <c r="C14" t="s">
        <v>216</v>
      </c>
      <c r="D14" s="14">
        <v>50000</v>
      </c>
      <c r="E14" s="14">
        <f t="shared" si="2"/>
        <v>170000</v>
      </c>
      <c r="F14" s="14">
        <f t="shared" si="3"/>
        <v>180000</v>
      </c>
    </row>
    <row r="15" spans="1:7" x14ac:dyDescent="0.35">
      <c r="A15" t="s">
        <v>237</v>
      </c>
      <c r="B15">
        <v>8768</v>
      </c>
      <c r="C15" t="s">
        <v>216</v>
      </c>
      <c r="D15" s="14">
        <v>20000</v>
      </c>
      <c r="E15" s="14">
        <f t="shared" si="2"/>
        <v>190000</v>
      </c>
      <c r="F15" s="14">
        <f t="shared" si="3"/>
        <v>160000</v>
      </c>
    </row>
    <row r="16" spans="1:7" x14ac:dyDescent="0.35">
      <c r="A16" t="s">
        <v>238</v>
      </c>
      <c r="B16">
        <v>1118</v>
      </c>
      <c r="C16" t="s">
        <v>216</v>
      </c>
      <c r="D16" s="14">
        <v>20000</v>
      </c>
      <c r="E16" s="14">
        <f t="shared" si="2"/>
        <v>210000</v>
      </c>
      <c r="F16" s="14">
        <f t="shared" si="3"/>
        <v>140000</v>
      </c>
    </row>
    <row r="17" spans="1:6" x14ac:dyDescent="0.35">
      <c r="A17" s="12">
        <v>45453</v>
      </c>
      <c r="B17">
        <v>353</v>
      </c>
      <c r="C17" t="s">
        <v>216</v>
      </c>
      <c r="D17" s="14">
        <v>20000</v>
      </c>
      <c r="E17" s="14">
        <f t="shared" si="2"/>
        <v>230000</v>
      </c>
      <c r="F17" s="14">
        <f t="shared" si="3"/>
        <v>120000</v>
      </c>
    </row>
    <row r="18" spans="1:6" x14ac:dyDescent="0.35">
      <c r="A18" t="s">
        <v>241</v>
      </c>
      <c r="B18">
        <v>12215</v>
      </c>
      <c r="C18" t="s">
        <v>216</v>
      </c>
      <c r="D18" s="14">
        <v>20000</v>
      </c>
      <c r="E18" s="14">
        <f t="shared" si="2"/>
        <v>250000</v>
      </c>
      <c r="F18" s="14">
        <f t="shared" si="3"/>
        <v>100000</v>
      </c>
    </row>
    <row r="19" spans="1:6" x14ac:dyDescent="0.35">
      <c r="A19" s="12">
        <v>45779</v>
      </c>
      <c r="B19">
        <v>9228</v>
      </c>
      <c r="C19" t="s">
        <v>216</v>
      </c>
      <c r="D19" s="14">
        <v>20000</v>
      </c>
      <c r="E19" s="14">
        <f t="shared" si="2"/>
        <v>270000</v>
      </c>
      <c r="F19" s="14">
        <f t="shared" si="3"/>
        <v>80000</v>
      </c>
    </row>
    <row r="20" spans="1:6" x14ac:dyDescent="0.35">
      <c r="A20" t="s">
        <v>242</v>
      </c>
      <c r="B20">
        <v>9794</v>
      </c>
      <c r="C20" t="s">
        <v>216</v>
      </c>
      <c r="D20" s="14">
        <v>10000</v>
      </c>
      <c r="E20" s="14">
        <f t="shared" si="2"/>
        <v>280000</v>
      </c>
      <c r="F20" s="14">
        <f t="shared" si="3"/>
        <v>70000</v>
      </c>
    </row>
    <row r="21" spans="1:6" x14ac:dyDescent="0.35">
      <c r="A21" s="12">
        <v>45966</v>
      </c>
      <c r="B21">
        <v>10914</v>
      </c>
      <c r="C21" t="s">
        <v>216</v>
      </c>
      <c r="D21" s="14">
        <v>20000</v>
      </c>
      <c r="E21" s="14">
        <f t="shared" si="2"/>
        <v>300000</v>
      </c>
      <c r="F21" s="14">
        <f t="shared" si="3"/>
        <v>50000</v>
      </c>
    </row>
    <row r="22" spans="1:6" x14ac:dyDescent="0.35">
      <c r="A22" t="s">
        <v>243</v>
      </c>
      <c r="B22">
        <v>11890</v>
      </c>
      <c r="C22" t="s">
        <v>216</v>
      </c>
      <c r="D22" s="14">
        <v>20000</v>
      </c>
      <c r="E22" s="14">
        <f t="shared" si="2"/>
        <v>320000</v>
      </c>
      <c r="F22" s="14" t="s">
        <v>133</v>
      </c>
    </row>
    <row r="23" spans="1:6" ht="18.5" x14ac:dyDescent="0.45">
      <c r="A23" s="38" t="s">
        <v>174</v>
      </c>
      <c r="B23" s="37"/>
      <c r="C23" s="37"/>
      <c r="D23" s="39"/>
      <c r="E23" s="39"/>
      <c r="F23" s="39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sqref="A1:F7"/>
    </sheetView>
  </sheetViews>
  <sheetFormatPr defaultRowHeight="14.5" x14ac:dyDescent="0.35"/>
  <cols>
    <col min="1" max="1" width="10.54296875" customWidth="1"/>
    <col min="3" max="3" width="10.26953125" customWidth="1"/>
    <col min="6" max="6" width="12" customWidth="1"/>
  </cols>
  <sheetData>
    <row r="1" spans="1:6" ht="18.5" x14ac:dyDescent="0.45">
      <c r="A1" s="1" t="s">
        <v>228</v>
      </c>
      <c r="B1" s="1"/>
      <c r="C1" s="2"/>
      <c r="D1" s="1"/>
      <c r="E1" s="1"/>
      <c r="F1" s="1"/>
    </row>
    <row r="2" spans="1:6" ht="18.5" x14ac:dyDescent="0.45">
      <c r="A2" s="1" t="s">
        <v>229</v>
      </c>
      <c r="C2" s="1"/>
      <c r="D2" s="1"/>
      <c r="E2" s="1"/>
      <c r="F2" s="1"/>
    </row>
    <row r="3" spans="1:6" ht="18.5" x14ac:dyDescent="0.45">
      <c r="A3" s="1" t="s">
        <v>233</v>
      </c>
      <c r="B3" s="1"/>
      <c r="C3" s="1"/>
      <c r="D3" s="1"/>
      <c r="E3" s="1"/>
      <c r="F3" s="1"/>
    </row>
    <row r="4" spans="1:6" ht="18.5" x14ac:dyDescent="0.45">
      <c r="A4" s="1" t="s">
        <v>363</v>
      </c>
      <c r="B4" s="1"/>
      <c r="C4" s="1"/>
      <c r="D4" s="1"/>
      <c r="E4" s="1"/>
      <c r="F4" s="1"/>
    </row>
    <row r="5" spans="1:6" ht="18.5" x14ac:dyDescent="0.45">
      <c r="A5" s="1" t="s">
        <v>230</v>
      </c>
      <c r="B5" s="1"/>
      <c r="C5" s="1"/>
      <c r="D5" s="1"/>
      <c r="E5" s="1"/>
      <c r="F5" s="1"/>
    </row>
    <row r="6" spans="1:6" ht="18.5" x14ac:dyDescent="0.45">
      <c r="A6" s="1" t="s">
        <v>231</v>
      </c>
      <c r="B6" s="1"/>
      <c r="C6" s="1"/>
      <c r="D6" s="1" t="s">
        <v>232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12">
        <v>45146</v>
      </c>
      <c r="B8">
        <v>197</v>
      </c>
      <c r="C8" t="s">
        <v>216</v>
      </c>
      <c r="D8" s="14">
        <v>10000</v>
      </c>
      <c r="E8" s="14">
        <v>10000</v>
      </c>
      <c r="F8" s="14">
        <v>230000</v>
      </c>
    </row>
    <row r="9" spans="1:6" x14ac:dyDescent="0.35">
      <c r="A9" s="12">
        <v>44782</v>
      </c>
      <c r="B9">
        <v>127</v>
      </c>
      <c r="C9" t="s">
        <v>216</v>
      </c>
      <c r="D9" s="14">
        <v>10000</v>
      </c>
      <c r="E9" s="14">
        <f>SUM(E8+D9)</f>
        <v>20000</v>
      </c>
      <c r="F9" s="14">
        <f>F8-D9</f>
        <v>220000</v>
      </c>
    </row>
    <row r="10" spans="1:6" x14ac:dyDescent="0.35">
      <c r="A10" t="s">
        <v>234</v>
      </c>
      <c r="B10">
        <v>2719</v>
      </c>
      <c r="C10" t="s">
        <v>49</v>
      </c>
      <c r="D10" s="14">
        <v>10000</v>
      </c>
      <c r="E10" s="14">
        <f t="shared" ref="E10:E18" si="0">SUM(E9+D10)</f>
        <v>30000</v>
      </c>
      <c r="F10" s="14">
        <f t="shared" ref="F10:F18" si="1">F9-D10</f>
        <v>210000</v>
      </c>
    </row>
    <row r="11" spans="1:6" x14ac:dyDescent="0.35">
      <c r="A11" s="12">
        <v>45110</v>
      </c>
      <c r="B11">
        <v>2720</v>
      </c>
      <c r="C11" t="s">
        <v>216</v>
      </c>
      <c r="D11" s="14">
        <v>10000</v>
      </c>
      <c r="E11" s="14">
        <f t="shared" si="0"/>
        <v>40000</v>
      </c>
      <c r="F11" s="14">
        <f t="shared" si="1"/>
        <v>200000</v>
      </c>
    </row>
    <row r="12" spans="1:6" x14ac:dyDescent="0.35">
      <c r="A12" s="12">
        <v>45270</v>
      </c>
      <c r="B12">
        <v>4225</v>
      </c>
      <c r="C12" t="s">
        <v>216</v>
      </c>
      <c r="D12" s="14">
        <v>60000</v>
      </c>
      <c r="E12" s="14">
        <f t="shared" si="0"/>
        <v>100000</v>
      </c>
      <c r="F12" s="14">
        <f t="shared" si="1"/>
        <v>140000</v>
      </c>
    </row>
    <row r="13" spans="1:6" x14ac:dyDescent="0.35">
      <c r="A13" t="s">
        <v>235</v>
      </c>
      <c r="B13">
        <v>5029</v>
      </c>
      <c r="C13" t="s">
        <v>216</v>
      </c>
      <c r="D13" s="14">
        <v>20000</v>
      </c>
      <c r="E13" s="14">
        <f t="shared" si="0"/>
        <v>120000</v>
      </c>
      <c r="F13" s="14">
        <f t="shared" si="1"/>
        <v>120000</v>
      </c>
    </row>
    <row r="14" spans="1:6" x14ac:dyDescent="0.35">
      <c r="A14" t="s">
        <v>236</v>
      </c>
      <c r="B14">
        <v>7870</v>
      </c>
      <c r="C14" t="s">
        <v>216</v>
      </c>
      <c r="D14" s="14">
        <v>50000</v>
      </c>
      <c r="E14" s="14">
        <f t="shared" si="0"/>
        <v>170000</v>
      </c>
      <c r="F14" s="14">
        <f t="shared" si="1"/>
        <v>70000</v>
      </c>
    </row>
    <row r="15" spans="1:6" x14ac:dyDescent="0.35">
      <c r="A15" t="s">
        <v>237</v>
      </c>
      <c r="B15">
        <v>8767</v>
      </c>
      <c r="C15" t="s">
        <v>216</v>
      </c>
      <c r="D15" s="14">
        <v>20000</v>
      </c>
      <c r="E15" s="14">
        <f t="shared" si="0"/>
        <v>190000</v>
      </c>
      <c r="F15" s="14">
        <f t="shared" si="1"/>
        <v>50000</v>
      </c>
    </row>
    <row r="16" spans="1:6" x14ac:dyDescent="0.35">
      <c r="A16" t="s">
        <v>238</v>
      </c>
      <c r="B16">
        <v>11117</v>
      </c>
      <c r="C16" t="s">
        <v>216</v>
      </c>
      <c r="D16" s="14">
        <v>20000</v>
      </c>
      <c r="E16" s="14">
        <f t="shared" si="0"/>
        <v>210000</v>
      </c>
      <c r="F16" s="14">
        <f t="shared" si="1"/>
        <v>30000</v>
      </c>
    </row>
    <row r="17" spans="1:6" x14ac:dyDescent="0.35">
      <c r="A17" s="12">
        <v>45453</v>
      </c>
      <c r="B17">
        <v>354</v>
      </c>
      <c r="C17" t="s">
        <v>216</v>
      </c>
      <c r="D17" s="14">
        <v>20000</v>
      </c>
      <c r="E17" s="14">
        <f t="shared" si="0"/>
        <v>230000</v>
      </c>
      <c r="F17" s="14">
        <f t="shared" si="1"/>
        <v>10000</v>
      </c>
    </row>
    <row r="18" spans="1:6" x14ac:dyDescent="0.35">
      <c r="A18" s="12">
        <v>45485</v>
      </c>
      <c r="B18">
        <v>12216</v>
      </c>
      <c r="C18" t="s">
        <v>216</v>
      </c>
      <c r="D18" s="14">
        <v>10000</v>
      </c>
      <c r="E18" s="14">
        <f t="shared" si="0"/>
        <v>240000</v>
      </c>
      <c r="F18" s="14">
        <f t="shared" si="1"/>
        <v>0</v>
      </c>
    </row>
    <row r="19" spans="1:6" ht="18.5" x14ac:dyDescent="0.45">
      <c r="A19" s="37" t="s">
        <v>174</v>
      </c>
      <c r="B19" s="37"/>
      <c r="C19" s="37"/>
      <c r="D19" s="37"/>
      <c r="E19" s="37"/>
      <c r="F19" s="37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K14" sqref="K14"/>
    </sheetView>
  </sheetViews>
  <sheetFormatPr defaultRowHeight="14.5" x14ac:dyDescent="0.35"/>
  <cols>
    <col min="3" max="3" width="13" customWidth="1"/>
  </cols>
  <sheetData>
    <row r="1" spans="1:6" ht="18.5" x14ac:dyDescent="0.45">
      <c r="A1" s="1" t="s">
        <v>364</v>
      </c>
      <c r="B1" s="1"/>
      <c r="C1" s="2"/>
      <c r="D1" s="1"/>
      <c r="E1" s="1"/>
      <c r="F1" s="1"/>
    </row>
    <row r="2" spans="1:6" ht="18.5" x14ac:dyDescent="0.45">
      <c r="A2" s="1" t="s">
        <v>365</v>
      </c>
      <c r="C2" s="1"/>
      <c r="D2" s="1"/>
      <c r="E2" s="1"/>
      <c r="F2" s="1"/>
    </row>
    <row r="3" spans="1:6" ht="18.5" x14ac:dyDescent="0.45">
      <c r="A3" s="1" t="s">
        <v>366</v>
      </c>
      <c r="B3" s="1"/>
      <c r="C3" s="1"/>
      <c r="D3" s="1"/>
      <c r="E3" s="1"/>
      <c r="F3" s="1"/>
    </row>
    <row r="4" spans="1:6" ht="18.5" x14ac:dyDescent="0.45">
      <c r="A4" s="1" t="s">
        <v>369</v>
      </c>
      <c r="B4" s="1"/>
      <c r="C4" s="1"/>
      <c r="D4" s="1"/>
      <c r="E4" s="1"/>
      <c r="F4" s="1"/>
    </row>
    <row r="5" spans="1:6" ht="18.5" x14ac:dyDescent="0.45">
      <c r="A5" s="1" t="s">
        <v>367</v>
      </c>
      <c r="B5" s="1"/>
      <c r="C5" s="1"/>
      <c r="D5" s="1"/>
      <c r="E5" s="1"/>
      <c r="F5" s="1"/>
    </row>
    <row r="6" spans="1:6" ht="18.5" x14ac:dyDescent="0.45">
      <c r="A6" s="1" t="s">
        <v>368</v>
      </c>
      <c r="B6" s="1"/>
      <c r="C6" s="1"/>
      <c r="D6" s="1" t="s">
        <v>232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t="s">
        <v>370</v>
      </c>
      <c r="C8" t="s">
        <v>371</v>
      </c>
      <c r="D8" s="14">
        <v>380000</v>
      </c>
      <c r="E8" s="14">
        <v>380000</v>
      </c>
    </row>
    <row r="9" spans="1:6" ht="15.5" x14ac:dyDescent="0.35">
      <c r="C9" s="15" t="s">
        <v>372</v>
      </c>
      <c r="D9" s="15"/>
      <c r="E9" s="15"/>
      <c r="F9" s="15"/>
    </row>
    <row r="10" spans="1:6" ht="15.5" x14ac:dyDescent="0.35">
      <c r="C10" s="15" t="s">
        <v>373</v>
      </c>
      <c r="D10" s="15"/>
      <c r="E10" s="15"/>
      <c r="F10" s="15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opLeftCell="A25" workbookViewId="0">
      <selection activeCell="F45" sqref="F45"/>
    </sheetView>
  </sheetViews>
  <sheetFormatPr defaultRowHeight="14.5" x14ac:dyDescent="0.35"/>
  <cols>
    <col min="1" max="1" width="10.453125" bestFit="1" customWidth="1"/>
    <col min="3" max="3" width="12.1796875" customWidth="1"/>
    <col min="6" max="6" width="10.81640625" customWidth="1"/>
  </cols>
  <sheetData>
    <row r="1" spans="1:6" ht="18.5" x14ac:dyDescent="0.45">
      <c r="A1" s="1" t="s">
        <v>244</v>
      </c>
      <c r="B1" s="1"/>
      <c r="C1" s="2"/>
      <c r="D1" s="1"/>
      <c r="E1" s="1"/>
      <c r="F1" s="1"/>
    </row>
    <row r="2" spans="1:6" ht="18.5" x14ac:dyDescent="0.45">
      <c r="A2" s="1" t="s">
        <v>245</v>
      </c>
      <c r="C2" s="1"/>
      <c r="D2" s="1"/>
      <c r="E2" s="1"/>
      <c r="F2" s="1"/>
    </row>
    <row r="3" spans="1:6" ht="18.5" x14ac:dyDescent="0.45">
      <c r="A3" s="1" t="s">
        <v>246</v>
      </c>
      <c r="B3" s="1"/>
      <c r="C3" s="1"/>
      <c r="D3" s="1"/>
      <c r="E3" s="1"/>
      <c r="F3" s="1"/>
    </row>
    <row r="4" spans="1:6" ht="18.5" x14ac:dyDescent="0.45">
      <c r="A4" s="1" t="s">
        <v>144</v>
      </c>
      <c r="B4" s="1" t="s">
        <v>429</v>
      </c>
      <c r="C4" s="1"/>
      <c r="D4" s="1"/>
      <c r="E4" s="1"/>
      <c r="F4" s="1"/>
    </row>
    <row r="5" spans="1:6" ht="18.5" x14ac:dyDescent="0.45">
      <c r="A5" s="1" t="s">
        <v>247</v>
      </c>
      <c r="B5" s="1"/>
      <c r="C5" s="1"/>
      <c r="D5" s="1"/>
      <c r="E5" s="1"/>
      <c r="F5" s="1"/>
    </row>
    <row r="6" spans="1:6" ht="18.5" x14ac:dyDescent="0.45">
      <c r="A6" s="1" t="s">
        <v>248</v>
      </c>
      <c r="B6" s="1"/>
      <c r="C6" s="1"/>
      <c r="D6" s="1" t="s">
        <v>249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33">
        <v>44842</v>
      </c>
      <c r="B8" s="31">
        <v>416</v>
      </c>
      <c r="C8" s="31" t="s">
        <v>14</v>
      </c>
      <c r="D8" s="32">
        <v>20000</v>
      </c>
      <c r="E8" s="32">
        <v>20000</v>
      </c>
      <c r="F8" s="32">
        <v>350000</v>
      </c>
    </row>
    <row r="9" spans="1:6" x14ac:dyDescent="0.35">
      <c r="A9" s="33">
        <v>44782</v>
      </c>
      <c r="B9" s="31">
        <v>136</v>
      </c>
      <c r="C9" s="31" t="s">
        <v>14</v>
      </c>
      <c r="D9" s="32">
        <v>10000</v>
      </c>
      <c r="E9" s="32">
        <f>SUM(E8+D9)</f>
        <v>30000</v>
      </c>
      <c r="F9" s="32">
        <f>F8-D9</f>
        <v>340000</v>
      </c>
    </row>
    <row r="10" spans="1:6" x14ac:dyDescent="0.35">
      <c r="A10" s="33">
        <v>44842</v>
      </c>
      <c r="B10" s="31">
        <v>416</v>
      </c>
      <c r="C10" s="31" t="s">
        <v>14</v>
      </c>
      <c r="D10" s="32">
        <v>20000</v>
      </c>
      <c r="E10" s="32">
        <f t="shared" ref="E10:E39" si="0">SUM(E9+D10)</f>
        <v>50000</v>
      </c>
      <c r="F10" s="32">
        <f t="shared" ref="F10:F39" si="1">F9-D10</f>
        <v>320000</v>
      </c>
    </row>
    <row r="11" spans="1:6" x14ac:dyDescent="0.35">
      <c r="A11" s="33">
        <v>45058</v>
      </c>
      <c r="B11" s="31">
        <v>5133</v>
      </c>
      <c r="C11" s="31" t="s">
        <v>49</v>
      </c>
      <c r="D11" s="32">
        <v>40000</v>
      </c>
      <c r="E11" s="32">
        <f t="shared" si="0"/>
        <v>90000</v>
      </c>
      <c r="F11" s="32">
        <f t="shared" si="1"/>
        <v>280000</v>
      </c>
    </row>
    <row r="12" spans="1:6" x14ac:dyDescent="0.35">
      <c r="A12" s="33">
        <v>45263</v>
      </c>
      <c r="B12" s="31">
        <v>5134</v>
      </c>
      <c r="C12" s="31" t="s">
        <v>14</v>
      </c>
      <c r="D12" s="32">
        <v>10000</v>
      </c>
      <c r="E12" s="32">
        <f t="shared" si="0"/>
        <v>100000</v>
      </c>
      <c r="F12" s="32">
        <f t="shared" si="1"/>
        <v>270000</v>
      </c>
    </row>
    <row r="13" spans="1:6" x14ac:dyDescent="0.35">
      <c r="A13" s="33">
        <v>45173</v>
      </c>
      <c r="B13" s="31">
        <v>1058</v>
      </c>
      <c r="C13" s="31" t="s">
        <v>14</v>
      </c>
      <c r="D13" s="32">
        <v>10000</v>
      </c>
      <c r="E13" s="32">
        <f t="shared" si="0"/>
        <v>110000</v>
      </c>
      <c r="F13" s="32">
        <f t="shared" si="1"/>
        <v>260000</v>
      </c>
    </row>
    <row r="14" spans="1:6" x14ac:dyDescent="0.35">
      <c r="A14" s="33">
        <v>45112</v>
      </c>
      <c r="B14" s="31">
        <v>712</v>
      </c>
      <c r="C14" s="31" t="s">
        <v>14</v>
      </c>
      <c r="D14" s="32">
        <v>10000</v>
      </c>
      <c r="E14" s="32">
        <f t="shared" si="0"/>
        <v>120000</v>
      </c>
      <c r="F14" s="32">
        <f t="shared" si="1"/>
        <v>250000</v>
      </c>
    </row>
    <row r="15" spans="1:6" x14ac:dyDescent="0.35">
      <c r="A15" s="33">
        <v>45236</v>
      </c>
      <c r="B15" s="31">
        <v>467</v>
      </c>
      <c r="C15" s="31" t="s">
        <v>14</v>
      </c>
      <c r="D15" s="32">
        <v>10000</v>
      </c>
      <c r="E15" s="32">
        <f t="shared" si="0"/>
        <v>130000</v>
      </c>
      <c r="F15" s="32">
        <f t="shared" si="1"/>
        <v>240000</v>
      </c>
    </row>
    <row r="16" spans="1:6" x14ac:dyDescent="0.35">
      <c r="A16" s="33">
        <v>45176</v>
      </c>
      <c r="B16" s="31">
        <v>2623</v>
      </c>
      <c r="C16" s="31" t="s">
        <v>14</v>
      </c>
      <c r="D16" s="32">
        <v>10000</v>
      </c>
      <c r="E16" s="32">
        <f t="shared" si="0"/>
        <v>140000</v>
      </c>
      <c r="F16" s="32">
        <f t="shared" si="1"/>
        <v>230000</v>
      </c>
    </row>
    <row r="17" spans="1:6" x14ac:dyDescent="0.35">
      <c r="A17" s="33">
        <v>45238</v>
      </c>
      <c r="B17" s="31">
        <v>2371</v>
      </c>
      <c r="C17" s="31" t="s">
        <v>14</v>
      </c>
      <c r="D17" s="32">
        <v>10000</v>
      </c>
      <c r="E17" s="32">
        <f t="shared" si="0"/>
        <v>150000</v>
      </c>
      <c r="F17" s="32">
        <f t="shared" si="1"/>
        <v>220000</v>
      </c>
    </row>
    <row r="18" spans="1:6" x14ac:dyDescent="0.35">
      <c r="A18" s="31" t="s">
        <v>118</v>
      </c>
      <c r="B18" s="31">
        <v>3616</v>
      </c>
      <c r="C18" s="31" t="s">
        <v>14</v>
      </c>
      <c r="D18" s="32">
        <v>10000</v>
      </c>
      <c r="E18" s="32">
        <f t="shared" si="0"/>
        <v>160000</v>
      </c>
      <c r="F18" s="32">
        <f t="shared" si="1"/>
        <v>210000</v>
      </c>
    </row>
    <row r="19" spans="1:6" x14ac:dyDescent="0.35">
      <c r="A19" s="33">
        <v>45087</v>
      </c>
      <c r="B19" s="31">
        <v>4028</v>
      </c>
      <c r="C19" s="31" t="s">
        <v>14</v>
      </c>
      <c r="D19" s="32">
        <v>10000</v>
      </c>
      <c r="E19" s="32">
        <f t="shared" si="0"/>
        <v>170000</v>
      </c>
      <c r="F19" s="32">
        <f t="shared" si="1"/>
        <v>200000</v>
      </c>
    </row>
    <row r="20" spans="1:6" x14ac:dyDescent="0.35">
      <c r="A20" s="33">
        <v>45241</v>
      </c>
      <c r="B20" s="31">
        <v>4813</v>
      </c>
      <c r="C20" s="31" t="s">
        <v>14</v>
      </c>
      <c r="D20" s="32">
        <v>10000</v>
      </c>
      <c r="E20" s="32">
        <f t="shared" si="0"/>
        <v>180000</v>
      </c>
      <c r="F20" s="32">
        <f t="shared" si="1"/>
        <v>190000</v>
      </c>
    </row>
    <row r="21" spans="1:6" x14ac:dyDescent="0.35">
      <c r="A21" s="33">
        <v>45181</v>
      </c>
      <c r="B21" s="31">
        <v>5373</v>
      </c>
      <c r="C21" s="31" t="s">
        <v>14</v>
      </c>
      <c r="D21" s="32">
        <v>10000</v>
      </c>
      <c r="E21" s="32">
        <f t="shared" si="0"/>
        <v>190000</v>
      </c>
      <c r="F21" s="32">
        <f t="shared" si="1"/>
        <v>180000</v>
      </c>
    </row>
    <row r="22" spans="1:6" x14ac:dyDescent="0.35">
      <c r="A22" s="33">
        <v>45627</v>
      </c>
      <c r="B22" s="31">
        <v>6117</v>
      </c>
      <c r="C22" s="31" t="s">
        <v>14</v>
      </c>
      <c r="D22" s="32">
        <v>10000</v>
      </c>
      <c r="E22" s="32">
        <f t="shared" si="0"/>
        <v>200000</v>
      </c>
      <c r="F22" s="32">
        <f t="shared" si="1"/>
        <v>170000</v>
      </c>
    </row>
    <row r="23" spans="1:6" x14ac:dyDescent="0.35">
      <c r="A23" s="33">
        <v>45598</v>
      </c>
      <c r="B23" s="31">
        <v>7045</v>
      </c>
      <c r="C23" s="31" t="s">
        <v>14</v>
      </c>
      <c r="D23" s="32">
        <v>10000</v>
      </c>
      <c r="E23" s="32">
        <f t="shared" si="0"/>
        <v>210000</v>
      </c>
      <c r="F23" s="32">
        <f t="shared" si="1"/>
        <v>160000</v>
      </c>
    </row>
    <row r="24" spans="1:6" x14ac:dyDescent="0.35">
      <c r="A24" s="33">
        <v>45507</v>
      </c>
      <c r="B24" s="31">
        <v>6948</v>
      </c>
      <c r="C24" s="31" t="s">
        <v>14</v>
      </c>
      <c r="D24" s="32">
        <v>10000</v>
      </c>
      <c r="E24" s="32">
        <f t="shared" si="0"/>
        <v>220000</v>
      </c>
      <c r="F24" s="32">
        <f t="shared" si="1"/>
        <v>150000</v>
      </c>
    </row>
    <row r="25" spans="1:6" x14ac:dyDescent="0.35">
      <c r="A25" s="33">
        <v>45416</v>
      </c>
      <c r="B25" s="31">
        <v>8459</v>
      </c>
      <c r="C25" s="31" t="s">
        <v>14</v>
      </c>
      <c r="D25" s="32">
        <v>10000</v>
      </c>
      <c r="E25" s="32">
        <f t="shared" si="0"/>
        <v>230000</v>
      </c>
      <c r="F25" s="32">
        <f t="shared" si="1"/>
        <v>140000</v>
      </c>
    </row>
    <row r="26" spans="1:6" x14ac:dyDescent="0.35">
      <c r="A26" s="33">
        <v>45631</v>
      </c>
      <c r="B26" s="31">
        <v>8459</v>
      </c>
      <c r="C26" s="31" t="s">
        <v>14</v>
      </c>
      <c r="D26" s="32">
        <v>10000</v>
      </c>
      <c r="E26" s="32">
        <f t="shared" si="0"/>
        <v>240000</v>
      </c>
      <c r="F26" s="32">
        <f t="shared" si="1"/>
        <v>130000</v>
      </c>
    </row>
    <row r="27" spans="1:6" x14ac:dyDescent="0.35">
      <c r="A27" s="33">
        <v>45479</v>
      </c>
      <c r="B27" s="31">
        <v>8881</v>
      </c>
      <c r="C27" s="31" t="s">
        <v>14</v>
      </c>
      <c r="D27" s="32">
        <v>10000</v>
      </c>
      <c r="E27" s="32">
        <f t="shared" si="0"/>
        <v>250000</v>
      </c>
      <c r="F27" s="32">
        <f t="shared" si="1"/>
        <v>120000</v>
      </c>
    </row>
    <row r="28" spans="1:6" x14ac:dyDescent="0.35">
      <c r="A28" s="33">
        <v>45633</v>
      </c>
      <c r="B28" s="31">
        <v>9538</v>
      </c>
      <c r="C28" s="31" t="s">
        <v>14</v>
      </c>
      <c r="D28" s="32">
        <v>10000</v>
      </c>
      <c r="E28" s="32">
        <f t="shared" si="0"/>
        <v>260000</v>
      </c>
      <c r="F28" s="32">
        <f t="shared" si="1"/>
        <v>110000</v>
      </c>
    </row>
    <row r="29" spans="1:6" x14ac:dyDescent="0.35">
      <c r="A29" s="33">
        <v>45543</v>
      </c>
      <c r="B29" s="31">
        <v>11010</v>
      </c>
      <c r="C29" s="31" t="s">
        <v>14</v>
      </c>
      <c r="D29" s="32">
        <v>10000</v>
      </c>
      <c r="E29" s="32">
        <f t="shared" si="0"/>
        <v>270000</v>
      </c>
      <c r="F29" s="32">
        <f t="shared" si="1"/>
        <v>100000</v>
      </c>
    </row>
    <row r="30" spans="1:6" x14ac:dyDescent="0.35">
      <c r="A30" s="31" t="s">
        <v>250</v>
      </c>
      <c r="B30" s="31">
        <v>10736</v>
      </c>
      <c r="C30" s="31" t="s">
        <v>14</v>
      </c>
      <c r="D30" s="32">
        <v>10000</v>
      </c>
      <c r="E30" s="32">
        <f t="shared" si="0"/>
        <v>280000</v>
      </c>
      <c r="F30" s="32">
        <f t="shared" si="1"/>
        <v>90000</v>
      </c>
    </row>
    <row r="31" spans="1:6" x14ac:dyDescent="0.35">
      <c r="A31" s="33">
        <v>45606</v>
      </c>
      <c r="B31" s="31">
        <v>11373</v>
      </c>
      <c r="C31" s="31" t="s">
        <v>14</v>
      </c>
      <c r="D31" s="32">
        <v>10000</v>
      </c>
      <c r="E31" s="32">
        <f t="shared" si="0"/>
        <v>290000</v>
      </c>
      <c r="F31" s="32">
        <f t="shared" si="1"/>
        <v>80000</v>
      </c>
    </row>
    <row r="32" spans="1:6" x14ac:dyDescent="0.35">
      <c r="A32" s="33">
        <v>45515</v>
      </c>
      <c r="B32" s="31">
        <v>11950</v>
      </c>
      <c r="C32" s="31" t="s">
        <v>14</v>
      </c>
      <c r="D32" s="32">
        <v>10000</v>
      </c>
      <c r="E32" s="32">
        <f t="shared" si="0"/>
        <v>300000</v>
      </c>
      <c r="F32" s="32">
        <f t="shared" si="1"/>
        <v>70000</v>
      </c>
    </row>
    <row r="33" spans="1:6" x14ac:dyDescent="0.35">
      <c r="A33" s="33">
        <v>45455</v>
      </c>
      <c r="B33" s="31">
        <v>12208</v>
      </c>
      <c r="C33" s="31" t="s">
        <v>14</v>
      </c>
      <c r="D33" s="32">
        <v>10000</v>
      </c>
      <c r="E33" s="32">
        <f t="shared" si="0"/>
        <v>310000</v>
      </c>
      <c r="F33" s="32">
        <f t="shared" si="1"/>
        <v>60000</v>
      </c>
    </row>
    <row r="34" spans="1:6" x14ac:dyDescent="0.35">
      <c r="A34" s="33">
        <v>45931</v>
      </c>
      <c r="B34" s="31">
        <v>12990</v>
      </c>
      <c r="C34" s="31" t="s">
        <v>14</v>
      </c>
      <c r="D34" s="32">
        <v>10000</v>
      </c>
      <c r="E34" s="32">
        <f t="shared" si="0"/>
        <v>320000</v>
      </c>
      <c r="F34" s="32">
        <f t="shared" si="1"/>
        <v>50000</v>
      </c>
    </row>
    <row r="35" spans="1:6" x14ac:dyDescent="0.35">
      <c r="A35" s="33">
        <v>45902</v>
      </c>
      <c r="B35" s="31">
        <v>9306</v>
      </c>
      <c r="C35" s="31" t="s">
        <v>14</v>
      </c>
      <c r="D35" s="32">
        <v>10000</v>
      </c>
      <c r="E35" s="32">
        <f t="shared" si="0"/>
        <v>330000</v>
      </c>
      <c r="F35" s="32">
        <f t="shared" si="1"/>
        <v>40000</v>
      </c>
    </row>
    <row r="36" spans="1:6" x14ac:dyDescent="0.35">
      <c r="A36" s="33">
        <v>45841</v>
      </c>
      <c r="B36" s="31">
        <v>9635</v>
      </c>
      <c r="C36" s="31" t="s">
        <v>14</v>
      </c>
      <c r="D36" s="32">
        <v>10000</v>
      </c>
      <c r="E36" s="32">
        <f t="shared" si="0"/>
        <v>340000</v>
      </c>
      <c r="F36" s="32">
        <f t="shared" si="1"/>
        <v>30000</v>
      </c>
    </row>
    <row r="37" spans="1:6" x14ac:dyDescent="0.35">
      <c r="A37" s="33">
        <v>45965</v>
      </c>
      <c r="B37" s="31">
        <v>10101</v>
      </c>
      <c r="C37" s="31" t="s">
        <v>14</v>
      </c>
      <c r="D37" s="32">
        <v>10000</v>
      </c>
      <c r="E37" s="32">
        <f t="shared" si="0"/>
        <v>350000</v>
      </c>
      <c r="F37" s="32">
        <f t="shared" si="1"/>
        <v>20000</v>
      </c>
    </row>
    <row r="38" spans="1:6" x14ac:dyDescent="0.35">
      <c r="A38" s="33">
        <v>45966</v>
      </c>
      <c r="B38" s="31">
        <v>10930</v>
      </c>
      <c r="C38" s="31" t="s">
        <v>14</v>
      </c>
      <c r="D38" s="32">
        <v>10000</v>
      </c>
      <c r="E38" s="32">
        <f t="shared" si="0"/>
        <v>360000</v>
      </c>
      <c r="F38" s="32">
        <f t="shared" si="1"/>
        <v>10000</v>
      </c>
    </row>
    <row r="39" spans="1:6" x14ac:dyDescent="0.35">
      <c r="A39" s="33">
        <v>45936</v>
      </c>
      <c r="B39" s="31">
        <v>10254</v>
      </c>
      <c r="C39" s="31" t="s">
        <v>14</v>
      </c>
      <c r="D39" s="32">
        <v>10000</v>
      </c>
      <c r="E39" s="32">
        <f t="shared" si="0"/>
        <v>370000</v>
      </c>
      <c r="F39" s="32">
        <f t="shared" si="1"/>
        <v>0</v>
      </c>
    </row>
    <row r="40" spans="1:6" ht="18.5" x14ac:dyDescent="0.45">
      <c r="A40" s="37" t="s">
        <v>174</v>
      </c>
      <c r="B40" s="37"/>
      <c r="C40" s="37"/>
      <c r="D40" s="37"/>
      <c r="E40" s="37"/>
      <c r="F40" s="37"/>
    </row>
    <row r="42" spans="1:6" x14ac:dyDescent="0.35">
      <c r="A42" t="s">
        <v>427</v>
      </c>
      <c r="B42" s="31">
        <v>1624</v>
      </c>
      <c r="C42" s="31" t="s">
        <v>428</v>
      </c>
      <c r="D42" s="14">
        <v>10000</v>
      </c>
      <c r="F42" s="14">
        <v>350000</v>
      </c>
    </row>
    <row r="44" spans="1:6" x14ac:dyDescent="0.35">
      <c r="A44" t="s">
        <v>539</v>
      </c>
      <c r="B44">
        <v>1746</v>
      </c>
      <c r="C44" t="s">
        <v>428</v>
      </c>
      <c r="D44" s="14">
        <v>150000</v>
      </c>
      <c r="E44" s="14">
        <v>250000</v>
      </c>
      <c r="F44" t="s">
        <v>540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opLeftCell="A33" workbookViewId="0">
      <selection activeCell="C49" sqref="C49"/>
    </sheetView>
  </sheetViews>
  <sheetFormatPr defaultRowHeight="14.5" x14ac:dyDescent="0.35"/>
  <cols>
    <col min="1" max="1" width="10.453125" bestFit="1" customWidth="1"/>
    <col min="3" max="3" width="10.26953125" bestFit="1" customWidth="1"/>
    <col min="4" max="4" width="15.26953125" bestFit="1" customWidth="1"/>
    <col min="6" max="6" width="11.36328125" bestFit="1" customWidth="1"/>
  </cols>
  <sheetData>
    <row r="1" spans="1:6" ht="18.5" x14ac:dyDescent="0.45">
      <c r="A1" s="1" t="s">
        <v>53</v>
      </c>
      <c r="B1" s="1"/>
      <c r="C1" s="2"/>
      <c r="D1" s="1"/>
      <c r="E1" s="1"/>
      <c r="F1" s="1"/>
    </row>
    <row r="2" spans="1:6" ht="18.5" x14ac:dyDescent="0.45">
      <c r="A2" s="1" t="s">
        <v>54</v>
      </c>
      <c r="C2" s="1"/>
      <c r="D2" s="1"/>
      <c r="E2" s="1"/>
      <c r="F2" s="1"/>
    </row>
    <row r="3" spans="1:6" ht="18.5" x14ac:dyDescent="0.45">
      <c r="A3" s="1" t="s">
        <v>55</v>
      </c>
      <c r="B3" s="1"/>
      <c r="C3" s="1"/>
      <c r="D3" s="1"/>
      <c r="E3" s="1"/>
      <c r="F3" s="1"/>
    </row>
    <row r="4" spans="1:6" ht="18.5" x14ac:dyDescent="0.45">
      <c r="A4" s="1" t="s">
        <v>383</v>
      </c>
      <c r="B4" s="1"/>
      <c r="C4" s="1"/>
      <c r="D4" s="1"/>
      <c r="E4" s="1" t="s">
        <v>552</v>
      </c>
      <c r="F4" s="1"/>
    </row>
    <row r="5" spans="1:6" ht="18.5" x14ac:dyDescent="0.45">
      <c r="A5" s="1" t="s">
        <v>56</v>
      </c>
      <c r="B5" s="1"/>
      <c r="C5" s="1"/>
      <c r="D5" s="1"/>
      <c r="E5" s="1"/>
      <c r="F5" s="1"/>
    </row>
    <row r="6" spans="1:6" ht="18.5" x14ac:dyDescent="0.45">
      <c r="A6" s="1" t="s">
        <v>57</v>
      </c>
      <c r="B6" s="1"/>
      <c r="C6" s="1"/>
      <c r="D6" s="1" t="s">
        <v>58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6">
        <v>44174</v>
      </c>
      <c r="B8" s="5">
        <v>1521</v>
      </c>
      <c r="C8" s="5" t="s">
        <v>61</v>
      </c>
      <c r="D8" s="7">
        <v>160000</v>
      </c>
      <c r="E8" s="7">
        <v>160000</v>
      </c>
      <c r="F8" s="7">
        <v>440000</v>
      </c>
    </row>
    <row r="9" spans="1:6" x14ac:dyDescent="0.35">
      <c r="A9" s="6">
        <v>45263</v>
      </c>
      <c r="B9" s="5">
        <v>1522</v>
      </c>
      <c r="C9" s="5" t="s">
        <v>14</v>
      </c>
      <c r="D9" s="7">
        <v>10000</v>
      </c>
      <c r="E9" s="7">
        <f>SUM(E8+D9)</f>
        <v>170000</v>
      </c>
      <c r="F9" s="7">
        <f>F8-D9</f>
        <v>430000</v>
      </c>
    </row>
    <row r="10" spans="1:6" x14ac:dyDescent="0.35">
      <c r="A10" s="5" t="s">
        <v>59</v>
      </c>
      <c r="B10" s="5">
        <v>4337</v>
      </c>
      <c r="C10" s="5" t="s">
        <v>14</v>
      </c>
      <c r="D10" s="7">
        <v>10000</v>
      </c>
      <c r="E10" s="7">
        <f t="shared" ref="E10:E45" si="0">SUM(E9+D10)</f>
        <v>180000</v>
      </c>
      <c r="F10" s="7">
        <f t="shared" ref="F10:F45" si="1">F9-D10</f>
        <v>420000</v>
      </c>
    </row>
    <row r="11" spans="1:6" x14ac:dyDescent="0.35">
      <c r="A11" s="5" t="s">
        <v>60</v>
      </c>
      <c r="B11" s="5">
        <v>4338</v>
      </c>
      <c r="C11" s="5" t="s">
        <v>14</v>
      </c>
      <c r="D11" s="7">
        <v>10000</v>
      </c>
      <c r="E11" s="7">
        <f t="shared" si="0"/>
        <v>190000</v>
      </c>
      <c r="F11" s="7">
        <f t="shared" si="1"/>
        <v>410000</v>
      </c>
    </row>
    <row r="12" spans="1:6" x14ac:dyDescent="0.35">
      <c r="A12" s="6">
        <v>44934</v>
      </c>
      <c r="B12" s="5">
        <v>4339</v>
      </c>
      <c r="C12" s="5" t="s">
        <v>14</v>
      </c>
      <c r="D12" s="7">
        <v>20000</v>
      </c>
      <c r="E12" s="7">
        <f t="shared" si="0"/>
        <v>210000</v>
      </c>
      <c r="F12" s="7">
        <f t="shared" si="1"/>
        <v>390000</v>
      </c>
    </row>
    <row r="13" spans="1:6" x14ac:dyDescent="0.35">
      <c r="A13" s="6">
        <v>45179</v>
      </c>
      <c r="B13" s="5">
        <v>4340</v>
      </c>
      <c r="C13" s="5" t="s">
        <v>14</v>
      </c>
      <c r="D13" s="7">
        <v>10000</v>
      </c>
      <c r="E13" s="7">
        <f t="shared" si="0"/>
        <v>220000</v>
      </c>
      <c r="F13" s="7">
        <f t="shared" si="1"/>
        <v>380000</v>
      </c>
    </row>
    <row r="14" spans="1:6" x14ac:dyDescent="0.35">
      <c r="A14" s="6">
        <v>45088</v>
      </c>
      <c r="B14" s="5">
        <v>4668</v>
      </c>
      <c r="C14" s="5" t="s">
        <v>14</v>
      </c>
      <c r="D14" s="7">
        <v>10000</v>
      </c>
      <c r="E14" s="7">
        <f t="shared" si="0"/>
        <v>230000</v>
      </c>
      <c r="F14" s="7">
        <f t="shared" si="1"/>
        <v>370000</v>
      </c>
    </row>
    <row r="15" spans="1:6" x14ac:dyDescent="0.35">
      <c r="A15" s="6">
        <v>45027</v>
      </c>
      <c r="B15" s="5">
        <v>4624</v>
      </c>
      <c r="C15" s="5" t="s">
        <v>14</v>
      </c>
      <c r="D15" s="7">
        <v>10000</v>
      </c>
      <c r="E15" s="7">
        <f t="shared" si="0"/>
        <v>240000</v>
      </c>
      <c r="F15" s="7">
        <f t="shared" si="1"/>
        <v>360000</v>
      </c>
    </row>
    <row r="16" spans="1:6" x14ac:dyDescent="0.35">
      <c r="A16" s="6">
        <v>45058</v>
      </c>
      <c r="B16" s="5">
        <v>5295</v>
      </c>
      <c r="C16" s="5" t="s">
        <v>14</v>
      </c>
      <c r="D16" s="7">
        <v>10000</v>
      </c>
      <c r="E16" s="7">
        <f t="shared" si="0"/>
        <v>250000</v>
      </c>
      <c r="F16" s="7">
        <f t="shared" si="1"/>
        <v>350000</v>
      </c>
    </row>
    <row r="17" spans="1:6" x14ac:dyDescent="0.35">
      <c r="A17" s="6">
        <v>45058</v>
      </c>
      <c r="B17" s="5">
        <v>5296</v>
      </c>
      <c r="C17" s="5" t="s">
        <v>14</v>
      </c>
      <c r="D17" s="7">
        <v>10000</v>
      </c>
      <c r="E17" s="7">
        <f t="shared" si="0"/>
        <v>260000</v>
      </c>
      <c r="F17" s="7">
        <f t="shared" si="1"/>
        <v>340000</v>
      </c>
    </row>
    <row r="18" spans="1:6" x14ac:dyDescent="0.35">
      <c r="A18" s="6">
        <v>45566</v>
      </c>
      <c r="B18" s="5">
        <v>6053</v>
      </c>
      <c r="C18" s="5" t="s">
        <v>14</v>
      </c>
      <c r="D18" s="7">
        <v>10000</v>
      </c>
      <c r="E18" s="7">
        <f t="shared" si="0"/>
        <v>270000</v>
      </c>
      <c r="F18" s="7">
        <f t="shared" si="1"/>
        <v>330000</v>
      </c>
    </row>
    <row r="19" spans="1:6" x14ac:dyDescent="0.35">
      <c r="A19" s="6">
        <v>45599</v>
      </c>
      <c r="B19" s="5">
        <v>7292</v>
      </c>
      <c r="C19" s="5" t="s">
        <v>14</v>
      </c>
      <c r="D19" s="7">
        <v>10000</v>
      </c>
      <c r="E19" s="7">
        <f t="shared" si="0"/>
        <v>280000</v>
      </c>
      <c r="F19" s="7">
        <f t="shared" si="1"/>
        <v>320000</v>
      </c>
    </row>
    <row r="20" spans="1:6" x14ac:dyDescent="0.35">
      <c r="A20" s="5" t="s">
        <v>62</v>
      </c>
      <c r="B20" s="5">
        <v>7601</v>
      </c>
      <c r="C20" s="5" t="s">
        <v>14</v>
      </c>
      <c r="D20" s="7">
        <v>20000</v>
      </c>
      <c r="E20" s="7">
        <f t="shared" si="0"/>
        <v>300000</v>
      </c>
      <c r="F20" s="7">
        <f t="shared" si="1"/>
        <v>300000</v>
      </c>
    </row>
    <row r="21" spans="1:6" x14ac:dyDescent="0.35">
      <c r="A21" s="6">
        <v>45478</v>
      </c>
      <c r="B21" s="5">
        <v>8295</v>
      </c>
      <c r="C21" s="5" t="s">
        <v>14</v>
      </c>
      <c r="D21" s="7">
        <v>10000</v>
      </c>
      <c r="E21" s="7">
        <f t="shared" si="0"/>
        <v>310000</v>
      </c>
      <c r="F21" s="7">
        <f t="shared" si="1"/>
        <v>290000</v>
      </c>
    </row>
    <row r="22" spans="1:6" x14ac:dyDescent="0.35">
      <c r="A22" s="6">
        <v>45571</v>
      </c>
      <c r="B22" s="5">
        <v>8949</v>
      </c>
      <c r="C22" s="5" t="s">
        <v>14</v>
      </c>
      <c r="D22" s="7">
        <v>10000</v>
      </c>
      <c r="E22" s="7">
        <f t="shared" si="0"/>
        <v>320000</v>
      </c>
      <c r="F22" s="7">
        <f t="shared" si="1"/>
        <v>280000</v>
      </c>
    </row>
    <row r="23" spans="1:6" x14ac:dyDescent="0.35">
      <c r="A23" s="6">
        <v>45511</v>
      </c>
      <c r="B23" s="5">
        <v>9443</v>
      </c>
      <c r="C23" s="5" t="s">
        <v>14</v>
      </c>
      <c r="D23" s="7">
        <v>10000</v>
      </c>
      <c r="E23" s="7">
        <f t="shared" si="0"/>
        <v>330000</v>
      </c>
      <c r="F23" s="7">
        <f t="shared" si="1"/>
        <v>270000</v>
      </c>
    </row>
    <row r="24" spans="1:6" x14ac:dyDescent="0.35">
      <c r="A24" s="6">
        <v>45451</v>
      </c>
      <c r="B24" s="5">
        <v>11004</v>
      </c>
      <c r="C24" s="5" t="s">
        <v>14</v>
      </c>
      <c r="D24" s="7">
        <v>10000</v>
      </c>
      <c r="E24" s="7">
        <f t="shared" si="0"/>
        <v>340000</v>
      </c>
      <c r="F24" s="7">
        <f t="shared" si="1"/>
        <v>260000</v>
      </c>
    </row>
    <row r="25" spans="1:6" x14ac:dyDescent="0.35">
      <c r="A25" s="6">
        <v>45482</v>
      </c>
      <c r="B25" s="5">
        <v>10566</v>
      </c>
      <c r="C25" s="5" t="s">
        <v>14</v>
      </c>
      <c r="D25" s="7">
        <v>10000</v>
      </c>
      <c r="E25" s="7">
        <f t="shared" si="0"/>
        <v>350000</v>
      </c>
      <c r="F25" s="7">
        <f t="shared" si="1"/>
        <v>250000</v>
      </c>
    </row>
    <row r="26" spans="1:6" x14ac:dyDescent="0.35">
      <c r="A26" s="6">
        <v>45514</v>
      </c>
      <c r="B26" s="5">
        <v>11479</v>
      </c>
      <c r="C26" s="5" t="s">
        <v>14</v>
      </c>
      <c r="D26" s="7">
        <v>10000</v>
      </c>
      <c r="E26" s="7">
        <f t="shared" si="0"/>
        <v>360000</v>
      </c>
      <c r="F26" s="7">
        <f t="shared" si="1"/>
        <v>240000</v>
      </c>
    </row>
    <row r="27" spans="1:6" x14ac:dyDescent="0.35">
      <c r="A27" s="6">
        <v>45484</v>
      </c>
      <c r="B27" s="5">
        <v>11921</v>
      </c>
      <c r="C27" s="5" t="s">
        <v>14</v>
      </c>
      <c r="D27" s="7">
        <v>10000</v>
      </c>
      <c r="E27" s="7">
        <f t="shared" si="0"/>
        <v>370000</v>
      </c>
      <c r="F27" s="7">
        <f t="shared" si="1"/>
        <v>230000</v>
      </c>
    </row>
    <row r="28" spans="1:6" x14ac:dyDescent="0.35">
      <c r="A28" s="6">
        <v>45394</v>
      </c>
      <c r="B28" s="5">
        <v>12575</v>
      </c>
      <c r="C28" s="5" t="s">
        <v>14</v>
      </c>
      <c r="D28" s="7">
        <v>10000</v>
      </c>
      <c r="E28" s="7">
        <f t="shared" si="0"/>
        <v>380000</v>
      </c>
      <c r="F28" s="7">
        <f t="shared" si="1"/>
        <v>220000</v>
      </c>
    </row>
    <row r="29" spans="1:6" x14ac:dyDescent="0.35">
      <c r="A29" s="6">
        <v>45748</v>
      </c>
      <c r="B29" s="5">
        <v>12877</v>
      </c>
      <c r="C29" s="5" t="s">
        <v>14</v>
      </c>
      <c r="D29" s="7">
        <v>10000</v>
      </c>
      <c r="E29" s="7">
        <f t="shared" si="0"/>
        <v>390000</v>
      </c>
      <c r="F29" s="7">
        <f t="shared" si="1"/>
        <v>210000</v>
      </c>
    </row>
    <row r="30" spans="1:6" x14ac:dyDescent="0.35">
      <c r="A30" s="6">
        <v>45932</v>
      </c>
      <c r="B30" s="5">
        <v>9328</v>
      </c>
      <c r="C30" s="5" t="s">
        <v>14</v>
      </c>
      <c r="D30" s="7">
        <v>10000</v>
      </c>
      <c r="E30" s="7">
        <f t="shared" si="0"/>
        <v>400000</v>
      </c>
      <c r="F30" s="7">
        <f t="shared" si="1"/>
        <v>200000</v>
      </c>
    </row>
    <row r="31" spans="1:6" x14ac:dyDescent="0.35">
      <c r="A31" s="5" t="s">
        <v>63</v>
      </c>
      <c r="B31" s="5">
        <v>9763</v>
      </c>
      <c r="C31" s="5" t="s">
        <v>14</v>
      </c>
      <c r="D31" s="7">
        <v>10000</v>
      </c>
      <c r="E31" s="7">
        <f t="shared" si="0"/>
        <v>410000</v>
      </c>
      <c r="F31" s="7">
        <f t="shared" si="1"/>
        <v>190000</v>
      </c>
    </row>
    <row r="32" spans="1:6" x14ac:dyDescent="0.35">
      <c r="A32" s="6">
        <v>45661</v>
      </c>
      <c r="B32" s="5">
        <v>10112</v>
      </c>
      <c r="C32" s="5" t="s">
        <v>14</v>
      </c>
      <c r="D32" s="7">
        <v>10000</v>
      </c>
      <c r="E32" s="7">
        <f t="shared" si="0"/>
        <v>420000</v>
      </c>
      <c r="F32" s="7">
        <f t="shared" si="1"/>
        <v>180000</v>
      </c>
    </row>
    <row r="33" spans="1:6" x14ac:dyDescent="0.35">
      <c r="A33" s="6">
        <v>45935</v>
      </c>
      <c r="B33" s="5">
        <v>10912</v>
      </c>
      <c r="C33" s="5" t="s">
        <v>14</v>
      </c>
      <c r="D33" s="7">
        <v>10000</v>
      </c>
      <c r="E33" s="7">
        <f t="shared" si="0"/>
        <v>430000</v>
      </c>
      <c r="F33" s="7">
        <f t="shared" si="1"/>
        <v>170000</v>
      </c>
    </row>
    <row r="34" spans="1:6" x14ac:dyDescent="0.35">
      <c r="A34" s="5" t="s">
        <v>64</v>
      </c>
      <c r="B34" s="5">
        <v>12875</v>
      </c>
      <c r="C34" s="5" t="s">
        <v>14</v>
      </c>
      <c r="D34" s="7">
        <v>10000</v>
      </c>
      <c r="E34" s="7">
        <f t="shared" si="0"/>
        <v>440000</v>
      </c>
      <c r="F34" s="7">
        <f t="shared" si="1"/>
        <v>160000</v>
      </c>
    </row>
    <row r="35" spans="1:6" x14ac:dyDescent="0.35">
      <c r="A35" s="6">
        <v>45967</v>
      </c>
      <c r="B35" s="5">
        <v>10274</v>
      </c>
      <c r="C35" s="5" t="s">
        <v>14</v>
      </c>
      <c r="D35" s="7">
        <v>10000</v>
      </c>
      <c r="E35" s="7">
        <f t="shared" si="0"/>
        <v>450000</v>
      </c>
      <c r="F35" s="7">
        <f t="shared" si="1"/>
        <v>150000</v>
      </c>
    </row>
    <row r="36" spans="1:6" x14ac:dyDescent="0.35">
      <c r="A36" s="6">
        <v>45938</v>
      </c>
      <c r="B36" s="5">
        <v>12453</v>
      </c>
      <c r="C36" s="5" t="s">
        <v>14</v>
      </c>
      <c r="D36" s="7">
        <v>10000</v>
      </c>
      <c r="E36" s="7">
        <f t="shared" si="0"/>
        <v>460000</v>
      </c>
      <c r="F36" s="7">
        <f t="shared" si="1"/>
        <v>140000</v>
      </c>
    </row>
    <row r="37" spans="1:6" x14ac:dyDescent="0.35">
      <c r="A37" s="6">
        <v>45939</v>
      </c>
      <c r="B37" s="5">
        <v>12700</v>
      </c>
      <c r="C37" s="5" t="s">
        <v>14</v>
      </c>
      <c r="D37" s="7">
        <v>10000</v>
      </c>
      <c r="E37" s="7">
        <f t="shared" si="0"/>
        <v>470000</v>
      </c>
      <c r="F37" s="7">
        <f t="shared" si="1"/>
        <v>130000</v>
      </c>
    </row>
    <row r="38" spans="1:6" x14ac:dyDescent="0.35">
      <c r="A38" s="6">
        <v>45848</v>
      </c>
      <c r="B38" s="5">
        <v>13744</v>
      </c>
      <c r="C38" s="5" t="s">
        <v>14</v>
      </c>
      <c r="D38" s="7">
        <v>10000</v>
      </c>
      <c r="E38" s="7">
        <f t="shared" si="0"/>
        <v>480000</v>
      </c>
      <c r="F38" s="7">
        <f t="shared" si="1"/>
        <v>120000</v>
      </c>
    </row>
    <row r="39" spans="1:6" x14ac:dyDescent="0.35">
      <c r="A39" s="6">
        <v>45941</v>
      </c>
      <c r="B39" s="5">
        <v>13305</v>
      </c>
      <c r="C39" s="5" t="s">
        <v>14</v>
      </c>
      <c r="D39" s="7">
        <v>10000</v>
      </c>
      <c r="E39" s="7">
        <f t="shared" si="0"/>
        <v>490000</v>
      </c>
      <c r="F39" s="7">
        <f t="shared" si="1"/>
        <v>110000</v>
      </c>
    </row>
    <row r="40" spans="1:6" x14ac:dyDescent="0.35">
      <c r="A40" s="6">
        <v>45942</v>
      </c>
      <c r="B40" s="5">
        <v>13151</v>
      </c>
      <c r="C40" s="5" t="s">
        <v>14</v>
      </c>
      <c r="D40" s="7">
        <v>10000</v>
      </c>
      <c r="E40" s="7">
        <f t="shared" si="0"/>
        <v>500000</v>
      </c>
      <c r="F40" s="7">
        <f t="shared" si="1"/>
        <v>100000</v>
      </c>
    </row>
    <row r="41" spans="1:6" x14ac:dyDescent="0.35">
      <c r="A41" s="6">
        <v>46296</v>
      </c>
      <c r="B41" s="5">
        <v>12055</v>
      </c>
      <c r="C41" s="5" t="s">
        <v>14</v>
      </c>
      <c r="D41" s="7">
        <v>10000</v>
      </c>
      <c r="E41" s="7">
        <f t="shared" si="0"/>
        <v>510000</v>
      </c>
      <c r="F41" s="7">
        <f t="shared" si="1"/>
        <v>90000</v>
      </c>
    </row>
    <row r="42" spans="1:6" x14ac:dyDescent="0.35">
      <c r="A42" s="6">
        <v>46267</v>
      </c>
      <c r="B42" s="5">
        <v>12411</v>
      </c>
      <c r="C42" s="5" t="s">
        <v>14</v>
      </c>
      <c r="D42" s="7">
        <v>10000</v>
      </c>
      <c r="E42" s="7">
        <f t="shared" si="0"/>
        <v>520000</v>
      </c>
      <c r="F42" s="7">
        <f t="shared" si="1"/>
        <v>80000</v>
      </c>
    </row>
    <row r="43" spans="1:6" x14ac:dyDescent="0.35">
      <c r="A43" s="21">
        <v>46298</v>
      </c>
      <c r="B43" s="5">
        <v>12799</v>
      </c>
      <c r="C43" s="5" t="s">
        <v>14</v>
      </c>
      <c r="D43" s="7">
        <v>10000</v>
      </c>
      <c r="E43" s="7">
        <f t="shared" si="0"/>
        <v>530000</v>
      </c>
      <c r="F43" s="7">
        <f t="shared" si="1"/>
        <v>70000</v>
      </c>
    </row>
    <row r="44" spans="1:6" x14ac:dyDescent="0.35">
      <c r="A44" s="21">
        <v>46269</v>
      </c>
      <c r="B44" s="5">
        <v>13188</v>
      </c>
      <c r="C44" s="5" t="s">
        <v>14</v>
      </c>
      <c r="D44" s="7">
        <v>10000</v>
      </c>
      <c r="E44" s="7">
        <f t="shared" si="0"/>
        <v>540000</v>
      </c>
      <c r="F44" s="7">
        <f t="shared" si="1"/>
        <v>60000</v>
      </c>
    </row>
    <row r="45" spans="1:6" x14ac:dyDescent="0.35">
      <c r="A45" s="21">
        <v>46361</v>
      </c>
      <c r="B45" s="5">
        <v>1334</v>
      </c>
      <c r="C45" s="5" t="s">
        <v>14</v>
      </c>
      <c r="D45" s="7">
        <v>10000</v>
      </c>
      <c r="E45" s="7">
        <f t="shared" si="0"/>
        <v>550000</v>
      </c>
      <c r="F45" s="7">
        <f t="shared" si="1"/>
        <v>50000</v>
      </c>
    </row>
    <row r="46" spans="1:6" x14ac:dyDescent="0.35">
      <c r="A46" t="s">
        <v>430</v>
      </c>
      <c r="B46" s="13">
        <v>13578</v>
      </c>
      <c r="C46" s="13" t="s">
        <v>14</v>
      </c>
      <c r="D46" s="32">
        <v>10000</v>
      </c>
      <c r="E46" s="32">
        <f>E45+D46</f>
        <v>560000</v>
      </c>
      <c r="F46" s="32">
        <f>F45-D46</f>
        <v>40000</v>
      </c>
    </row>
    <row r="48" spans="1:6" x14ac:dyDescent="0.35">
      <c r="C48" s="31" t="s">
        <v>553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J15" sqref="J15"/>
    </sheetView>
  </sheetViews>
  <sheetFormatPr defaultRowHeight="14.5" x14ac:dyDescent="0.35"/>
  <cols>
    <col min="3" max="3" width="13.1796875" customWidth="1"/>
    <col min="6" max="6" width="11.1796875" customWidth="1"/>
  </cols>
  <sheetData>
    <row r="1" spans="1:6" ht="18.5" x14ac:dyDescent="0.45">
      <c r="A1" s="1" t="s">
        <v>138</v>
      </c>
      <c r="B1" s="1"/>
      <c r="C1" s="2"/>
      <c r="D1" s="1"/>
      <c r="E1" s="1"/>
      <c r="F1" s="1"/>
    </row>
    <row r="2" spans="1:6" ht="18.5" x14ac:dyDescent="0.45">
      <c r="A2" s="1" t="s">
        <v>139</v>
      </c>
      <c r="C2" s="1"/>
      <c r="D2" s="1"/>
      <c r="E2" s="1"/>
      <c r="F2" s="1"/>
    </row>
    <row r="3" spans="1:6" ht="18.5" x14ac:dyDescent="0.45">
      <c r="A3" s="1" t="s">
        <v>140</v>
      </c>
      <c r="B3" s="1"/>
      <c r="C3" s="1"/>
      <c r="D3" s="1"/>
      <c r="E3" s="1"/>
      <c r="F3" s="1"/>
    </row>
    <row r="4" spans="1:6" ht="18.5" x14ac:dyDescent="0.45">
      <c r="A4" s="1" t="s">
        <v>144</v>
      </c>
      <c r="B4" s="1"/>
      <c r="C4" s="1"/>
      <c r="D4" s="1"/>
      <c r="E4" s="1"/>
      <c r="F4" s="1"/>
    </row>
    <row r="5" spans="1:6" ht="18.5" x14ac:dyDescent="0.45">
      <c r="A5" s="1" t="s">
        <v>141</v>
      </c>
      <c r="B5" s="1"/>
      <c r="C5" s="1"/>
      <c r="D5" s="1"/>
      <c r="E5" s="1"/>
      <c r="F5" s="1"/>
    </row>
    <row r="6" spans="1:6" ht="18.5" x14ac:dyDescent="0.45">
      <c r="A6" s="1" t="s">
        <v>142</v>
      </c>
      <c r="B6" s="1"/>
      <c r="C6" s="1"/>
      <c r="D6" s="1" t="s">
        <v>143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12">
        <v>44813</v>
      </c>
      <c r="B8">
        <v>1122</v>
      </c>
      <c r="C8" t="s">
        <v>13</v>
      </c>
      <c r="D8">
        <v>13750</v>
      </c>
      <c r="E8">
        <v>13750</v>
      </c>
      <c r="F8" s="14">
        <v>206500</v>
      </c>
    </row>
    <row r="9" spans="1:6" x14ac:dyDescent="0.35">
      <c r="A9" t="s">
        <v>145</v>
      </c>
      <c r="B9">
        <v>1360</v>
      </c>
      <c r="C9" t="s">
        <v>154</v>
      </c>
      <c r="D9" s="14">
        <v>40500</v>
      </c>
      <c r="E9" s="14">
        <f>SUM(E8+D9)</f>
        <v>54250</v>
      </c>
      <c r="F9" s="14">
        <f>F8-D9</f>
        <v>166000</v>
      </c>
    </row>
    <row r="10" spans="1:6" x14ac:dyDescent="0.35">
      <c r="A10" t="s">
        <v>146</v>
      </c>
      <c r="B10">
        <v>1359</v>
      </c>
      <c r="C10" t="s">
        <v>14</v>
      </c>
      <c r="D10">
        <v>13750</v>
      </c>
      <c r="E10" s="14">
        <f t="shared" ref="E10:E20" si="0">SUM(E9+D10)</f>
        <v>68000</v>
      </c>
      <c r="F10" s="14">
        <f t="shared" ref="F10:F20" si="1">F9-D10</f>
        <v>152250</v>
      </c>
    </row>
    <row r="11" spans="1:6" x14ac:dyDescent="0.35">
      <c r="A11" s="12">
        <v>45112</v>
      </c>
      <c r="B11">
        <v>1490</v>
      </c>
      <c r="C11" t="s">
        <v>14</v>
      </c>
      <c r="D11">
        <v>13750</v>
      </c>
      <c r="E11" s="14">
        <f t="shared" si="0"/>
        <v>81750</v>
      </c>
      <c r="F11" s="14">
        <f t="shared" si="1"/>
        <v>138500</v>
      </c>
    </row>
    <row r="12" spans="1:6" x14ac:dyDescent="0.35">
      <c r="A12" t="s">
        <v>147</v>
      </c>
      <c r="B12">
        <v>2541</v>
      </c>
      <c r="C12" t="s">
        <v>155</v>
      </c>
      <c r="D12">
        <v>27500</v>
      </c>
      <c r="E12" s="14">
        <f t="shared" si="0"/>
        <v>109250</v>
      </c>
      <c r="F12" s="14">
        <f t="shared" si="1"/>
        <v>111000</v>
      </c>
    </row>
    <row r="13" spans="1:6" x14ac:dyDescent="0.35">
      <c r="A13" t="s">
        <v>148</v>
      </c>
      <c r="B13">
        <v>3318</v>
      </c>
      <c r="C13" t="s">
        <v>14</v>
      </c>
      <c r="D13">
        <v>13750</v>
      </c>
      <c r="E13" s="14">
        <f t="shared" si="0"/>
        <v>123000</v>
      </c>
      <c r="F13" s="14">
        <f t="shared" si="1"/>
        <v>97250</v>
      </c>
    </row>
    <row r="14" spans="1:6" x14ac:dyDescent="0.35">
      <c r="A14" t="s">
        <v>149</v>
      </c>
      <c r="B14">
        <v>3853</v>
      </c>
      <c r="C14" t="s">
        <v>14</v>
      </c>
      <c r="D14">
        <v>13750</v>
      </c>
      <c r="E14" s="14">
        <f t="shared" si="0"/>
        <v>136750</v>
      </c>
      <c r="F14" s="14">
        <f t="shared" si="1"/>
        <v>83500</v>
      </c>
    </row>
    <row r="15" spans="1:6" x14ac:dyDescent="0.35">
      <c r="A15" t="s">
        <v>150</v>
      </c>
      <c r="B15">
        <v>4556</v>
      </c>
      <c r="C15" t="s">
        <v>14</v>
      </c>
      <c r="D15">
        <v>13750</v>
      </c>
      <c r="E15" s="14">
        <f t="shared" si="0"/>
        <v>150500</v>
      </c>
      <c r="F15" s="14">
        <f t="shared" si="1"/>
        <v>69750</v>
      </c>
    </row>
    <row r="16" spans="1:6" x14ac:dyDescent="0.35">
      <c r="A16" t="s">
        <v>151</v>
      </c>
      <c r="B16">
        <v>5223</v>
      </c>
      <c r="C16" t="s">
        <v>14</v>
      </c>
      <c r="D16">
        <v>13750</v>
      </c>
      <c r="E16" s="14">
        <f t="shared" si="0"/>
        <v>164250</v>
      </c>
      <c r="F16" s="14">
        <f t="shared" si="1"/>
        <v>56000</v>
      </c>
    </row>
    <row r="17" spans="1:6" x14ac:dyDescent="0.35">
      <c r="A17" t="s">
        <v>152</v>
      </c>
      <c r="B17">
        <v>5847</v>
      </c>
      <c r="C17" t="s">
        <v>14</v>
      </c>
      <c r="D17">
        <v>13750</v>
      </c>
      <c r="E17" s="14">
        <f t="shared" si="0"/>
        <v>178000</v>
      </c>
      <c r="F17" s="14">
        <f t="shared" si="1"/>
        <v>42250</v>
      </c>
    </row>
    <row r="18" spans="1:6" x14ac:dyDescent="0.35">
      <c r="A18" t="s">
        <v>153</v>
      </c>
      <c r="B18">
        <v>6468</v>
      </c>
      <c r="C18" t="s">
        <v>14</v>
      </c>
      <c r="D18">
        <v>13750</v>
      </c>
      <c r="E18" s="14">
        <f t="shared" si="0"/>
        <v>191750</v>
      </c>
      <c r="F18" s="14">
        <f t="shared" si="1"/>
        <v>28500</v>
      </c>
    </row>
    <row r="19" spans="1:6" x14ac:dyDescent="0.35">
      <c r="A19" t="s">
        <v>156</v>
      </c>
      <c r="B19">
        <v>7426</v>
      </c>
      <c r="C19" t="s">
        <v>14</v>
      </c>
      <c r="D19">
        <v>13750</v>
      </c>
      <c r="E19" s="14">
        <f t="shared" si="0"/>
        <v>205500</v>
      </c>
      <c r="F19" s="14">
        <f t="shared" si="1"/>
        <v>14750</v>
      </c>
    </row>
    <row r="20" spans="1:6" x14ac:dyDescent="0.35">
      <c r="A20" t="s">
        <v>157</v>
      </c>
      <c r="B20">
        <v>8106</v>
      </c>
      <c r="C20" t="s">
        <v>14</v>
      </c>
      <c r="D20">
        <v>14750</v>
      </c>
      <c r="E20" s="14">
        <f t="shared" si="0"/>
        <v>220250</v>
      </c>
      <c r="F20" s="14">
        <f t="shared" si="1"/>
        <v>0</v>
      </c>
    </row>
  </sheetData>
  <pageMargins left="0.7" right="0.7" top="0.75" bottom="0.75" header="0.3" footer="0.3"/>
  <pageSetup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29" workbookViewId="0">
      <selection activeCell="D42" sqref="D42"/>
    </sheetView>
  </sheetViews>
  <sheetFormatPr defaultRowHeight="14.5" x14ac:dyDescent="0.35"/>
  <cols>
    <col min="1" max="1" width="10.7265625" customWidth="1"/>
    <col min="2" max="2" width="8.08984375" customWidth="1"/>
    <col min="3" max="3" width="13.453125" customWidth="1"/>
    <col min="4" max="4" width="9.08984375" customWidth="1"/>
    <col min="5" max="5" width="10.6328125" customWidth="1"/>
    <col min="6" max="6" width="12.6328125" customWidth="1"/>
  </cols>
  <sheetData>
    <row r="1" spans="1:6" ht="18.5" x14ac:dyDescent="0.45">
      <c r="A1" s="1" t="s">
        <v>333</v>
      </c>
      <c r="B1" s="1"/>
      <c r="C1" s="2"/>
      <c r="D1" s="1"/>
      <c r="E1" s="1"/>
      <c r="F1" s="1"/>
    </row>
    <row r="2" spans="1:6" ht="18.5" x14ac:dyDescent="0.45">
      <c r="A2" s="1" t="s">
        <v>334</v>
      </c>
      <c r="C2" s="1"/>
      <c r="D2" s="1"/>
      <c r="E2" s="1"/>
      <c r="F2" s="1"/>
    </row>
    <row r="3" spans="1:6" ht="18.5" x14ac:dyDescent="0.45">
      <c r="A3" s="1" t="s">
        <v>335</v>
      </c>
      <c r="B3" s="1"/>
      <c r="C3" s="1"/>
      <c r="D3" s="1"/>
      <c r="E3" s="1"/>
      <c r="F3" s="1"/>
    </row>
    <row r="4" spans="1:6" ht="18.5" x14ac:dyDescent="0.45">
      <c r="A4" s="1" t="s">
        <v>355</v>
      </c>
      <c r="B4" s="1"/>
      <c r="C4" s="1"/>
      <c r="D4" s="1"/>
      <c r="E4" s="1"/>
      <c r="F4" s="1"/>
    </row>
    <row r="5" spans="1:6" ht="18.5" x14ac:dyDescent="0.45">
      <c r="A5" s="1" t="s">
        <v>336</v>
      </c>
      <c r="B5" s="1"/>
      <c r="C5" s="1"/>
      <c r="D5" s="1"/>
      <c r="E5" s="1"/>
      <c r="F5" s="1"/>
    </row>
    <row r="6" spans="1:6" ht="18.5" x14ac:dyDescent="0.45">
      <c r="A6" s="1" t="s">
        <v>337</v>
      </c>
      <c r="B6" s="1"/>
      <c r="C6" s="1"/>
      <c r="D6" s="1" t="s">
        <v>240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t="s">
        <v>338</v>
      </c>
      <c r="B8">
        <v>604</v>
      </c>
      <c r="C8" t="s">
        <v>198</v>
      </c>
      <c r="D8" s="14">
        <v>10000</v>
      </c>
      <c r="E8" s="14">
        <v>10000</v>
      </c>
      <c r="F8" s="14">
        <v>290000</v>
      </c>
    </row>
    <row r="9" spans="1:6" x14ac:dyDescent="0.35">
      <c r="A9" s="12">
        <v>45080</v>
      </c>
      <c r="B9">
        <v>2701</v>
      </c>
      <c r="C9" t="s">
        <v>198</v>
      </c>
      <c r="D9" s="14">
        <v>20000</v>
      </c>
      <c r="E9" s="14">
        <f>SUM(E8+D9)</f>
        <v>30000</v>
      </c>
      <c r="F9" s="14">
        <f>F8-D9</f>
        <v>270000</v>
      </c>
    </row>
    <row r="10" spans="1:6" x14ac:dyDescent="0.35">
      <c r="A10" t="s">
        <v>339</v>
      </c>
      <c r="B10">
        <v>1299</v>
      </c>
      <c r="C10" t="s">
        <v>198</v>
      </c>
      <c r="D10" s="14">
        <v>20000</v>
      </c>
      <c r="E10" s="14">
        <f t="shared" ref="E10:E33" si="0">SUM(E9+D10)</f>
        <v>50000</v>
      </c>
      <c r="F10" s="14">
        <f t="shared" ref="F10:F33" si="1">F9-D10</f>
        <v>250000</v>
      </c>
    </row>
    <row r="11" spans="1:6" x14ac:dyDescent="0.35">
      <c r="A11" t="s">
        <v>340</v>
      </c>
      <c r="B11">
        <v>986</v>
      </c>
      <c r="C11" t="s">
        <v>198</v>
      </c>
      <c r="D11" s="14">
        <v>20000</v>
      </c>
      <c r="E11" s="14">
        <f t="shared" si="0"/>
        <v>70000</v>
      </c>
      <c r="F11" s="14">
        <f t="shared" si="1"/>
        <v>230000</v>
      </c>
    </row>
    <row r="12" spans="1:6" x14ac:dyDescent="0.35">
      <c r="A12" s="12">
        <v>45146</v>
      </c>
      <c r="B12">
        <v>2292</v>
      </c>
      <c r="C12" t="s">
        <v>198</v>
      </c>
      <c r="D12" s="14">
        <v>20000</v>
      </c>
      <c r="E12" s="14">
        <f t="shared" si="0"/>
        <v>90000</v>
      </c>
      <c r="F12" s="14">
        <f t="shared" si="1"/>
        <v>210000</v>
      </c>
    </row>
    <row r="13" spans="1:6" x14ac:dyDescent="0.35">
      <c r="A13" t="s">
        <v>341</v>
      </c>
      <c r="B13">
        <v>3658</v>
      </c>
      <c r="C13" t="s">
        <v>198</v>
      </c>
      <c r="D13" s="14">
        <v>10000</v>
      </c>
      <c r="E13" s="14">
        <f t="shared" si="0"/>
        <v>100000</v>
      </c>
      <c r="F13" s="14">
        <f t="shared" si="1"/>
        <v>200000</v>
      </c>
    </row>
    <row r="14" spans="1:6" x14ac:dyDescent="0.35">
      <c r="A14" s="12">
        <v>45179</v>
      </c>
      <c r="B14">
        <v>4142</v>
      </c>
      <c r="C14" t="s">
        <v>198</v>
      </c>
      <c r="D14" s="14">
        <v>10000</v>
      </c>
      <c r="E14" s="14">
        <f t="shared" si="0"/>
        <v>110000</v>
      </c>
      <c r="F14" s="14">
        <f t="shared" si="1"/>
        <v>190000</v>
      </c>
    </row>
    <row r="15" spans="1:6" x14ac:dyDescent="0.35">
      <c r="A15" t="s">
        <v>48</v>
      </c>
      <c r="B15">
        <v>4909</v>
      </c>
      <c r="C15" t="s">
        <v>198</v>
      </c>
      <c r="D15" s="14">
        <v>10000</v>
      </c>
      <c r="E15" s="14">
        <f t="shared" si="0"/>
        <v>120000</v>
      </c>
      <c r="F15" s="14">
        <f t="shared" si="1"/>
        <v>180000</v>
      </c>
    </row>
    <row r="16" spans="1:6" x14ac:dyDescent="0.35">
      <c r="A16" s="12" t="s">
        <v>342</v>
      </c>
      <c r="B16">
        <v>5759</v>
      </c>
      <c r="C16" t="s">
        <v>198</v>
      </c>
      <c r="D16" s="14">
        <v>10000</v>
      </c>
      <c r="E16" s="14">
        <f t="shared" si="0"/>
        <v>130000</v>
      </c>
      <c r="F16" s="14">
        <f t="shared" si="1"/>
        <v>170000</v>
      </c>
    </row>
    <row r="17" spans="1:6" x14ac:dyDescent="0.35">
      <c r="A17" t="s">
        <v>343</v>
      </c>
      <c r="B17">
        <v>6328</v>
      </c>
      <c r="C17" t="s">
        <v>198</v>
      </c>
      <c r="D17" s="14">
        <v>10000</v>
      </c>
      <c r="E17" s="14">
        <f t="shared" si="0"/>
        <v>140000</v>
      </c>
      <c r="F17" s="14">
        <f t="shared" si="1"/>
        <v>160000</v>
      </c>
    </row>
    <row r="18" spans="1:6" x14ac:dyDescent="0.35">
      <c r="A18" s="12" t="s">
        <v>215</v>
      </c>
      <c r="B18">
        <v>6754</v>
      </c>
      <c r="C18" t="s">
        <v>198</v>
      </c>
      <c r="D18" s="14">
        <v>10000</v>
      </c>
      <c r="E18" s="14">
        <f t="shared" si="0"/>
        <v>150000</v>
      </c>
      <c r="F18" s="14">
        <f t="shared" si="1"/>
        <v>150000</v>
      </c>
    </row>
    <row r="19" spans="1:6" x14ac:dyDescent="0.35">
      <c r="A19" t="s">
        <v>344</v>
      </c>
      <c r="B19">
        <v>7571</v>
      </c>
      <c r="C19" t="s">
        <v>198</v>
      </c>
      <c r="D19" s="14">
        <v>10000</v>
      </c>
      <c r="E19" s="14">
        <f t="shared" si="0"/>
        <v>160000</v>
      </c>
      <c r="F19" s="14">
        <f t="shared" si="1"/>
        <v>140000</v>
      </c>
    </row>
    <row r="20" spans="1:6" x14ac:dyDescent="0.35">
      <c r="A20" s="12" t="s">
        <v>345</v>
      </c>
      <c r="B20">
        <v>8067</v>
      </c>
      <c r="C20" t="s">
        <v>198</v>
      </c>
      <c r="D20" s="14">
        <v>10000</v>
      </c>
      <c r="E20" s="14">
        <f t="shared" si="0"/>
        <v>170000</v>
      </c>
      <c r="F20" s="14">
        <f t="shared" si="1"/>
        <v>130000</v>
      </c>
    </row>
    <row r="21" spans="1:6" x14ac:dyDescent="0.35">
      <c r="A21" t="s">
        <v>346</v>
      </c>
      <c r="B21">
        <v>10535</v>
      </c>
      <c r="C21" t="s">
        <v>198</v>
      </c>
      <c r="D21" s="14">
        <v>10000</v>
      </c>
      <c r="E21" s="14">
        <f t="shared" si="0"/>
        <v>180000</v>
      </c>
      <c r="F21" s="14">
        <f t="shared" si="1"/>
        <v>120000</v>
      </c>
    </row>
    <row r="22" spans="1:6" x14ac:dyDescent="0.35">
      <c r="A22" s="12" t="s">
        <v>347</v>
      </c>
      <c r="B22">
        <v>10530</v>
      </c>
      <c r="C22" t="s">
        <v>198</v>
      </c>
      <c r="D22" s="14">
        <v>10000</v>
      </c>
      <c r="E22" s="14">
        <f t="shared" si="0"/>
        <v>190000</v>
      </c>
      <c r="F22" s="14">
        <f t="shared" si="1"/>
        <v>110000</v>
      </c>
    </row>
    <row r="23" spans="1:6" x14ac:dyDescent="0.35">
      <c r="A23" t="s">
        <v>297</v>
      </c>
      <c r="B23">
        <v>10537</v>
      </c>
      <c r="C23" t="s">
        <v>198</v>
      </c>
      <c r="D23" s="14">
        <v>10000</v>
      </c>
      <c r="E23" s="14">
        <f t="shared" si="0"/>
        <v>200000</v>
      </c>
      <c r="F23" s="14">
        <f t="shared" si="1"/>
        <v>100000</v>
      </c>
    </row>
    <row r="24" spans="1:6" x14ac:dyDescent="0.35">
      <c r="A24" s="12" t="s">
        <v>348</v>
      </c>
      <c r="B24">
        <v>9126</v>
      </c>
      <c r="C24" t="s">
        <v>198</v>
      </c>
      <c r="D24" s="14">
        <v>10000</v>
      </c>
      <c r="E24" s="14">
        <f t="shared" si="0"/>
        <v>210000</v>
      </c>
      <c r="F24" s="14">
        <f t="shared" si="1"/>
        <v>90000</v>
      </c>
    </row>
    <row r="25" spans="1:6" x14ac:dyDescent="0.35">
      <c r="A25" t="s">
        <v>349</v>
      </c>
      <c r="B25">
        <v>9125</v>
      </c>
      <c r="C25" t="s">
        <v>198</v>
      </c>
      <c r="D25" s="14">
        <v>10000</v>
      </c>
      <c r="E25" s="14">
        <f t="shared" si="0"/>
        <v>220000</v>
      </c>
      <c r="F25" s="14">
        <f t="shared" si="1"/>
        <v>80000</v>
      </c>
    </row>
    <row r="26" spans="1:6" x14ac:dyDescent="0.35">
      <c r="A26" s="12" t="s">
        <v>350</v>
      </c>
      <c r="B26">
        <v>11536</v>
      </c>
      <c r="C26" t="s">
        <v>198</v>
      </c>
      <c r="D26" s="14">
        <v>10000</v>
      </c>
      <c r="E26" s="14">
        <f t="shared" si="0"/>
        <v>230000</v>
      </c>
      <c r="F26" s="14">
        <f t="shared" si="1"/>
        <v>70000</v>
      </c>
    </row>
    <row r="27" spans="1:6" x14ac:dyDescent="0.35">
      <c r="A27" t="s">
        <v>351</v>
      </c>
      <c r="B27">
        <v>9124</v>
      </c>
      <c r="C27" t="s">
        <v>198</v>
      </c>
      <c r="D27" s="14">
        <v>10000</v>
      </c>
      <c r="E27" s="14">
        <f t="shared" si="0"/>
        <v>240000</v>
      </c>
      <c r="F27" s="14">
        <f t="shared" si="1"/>
        <v>60000</v>
      </c>
    </row>
    <row r="28" spans="1:6" x14ac:dyDescent="0.35">
      <c r="A28" s="12" t="s">
        <v>352</v>
      </c>
      <c r="B28">
        <v>12789</v>
      </c>
      <c r="C28" t="s">
        <v>198</v>
      </c>
      <c r="D28" s="14">
        <v>10000</v>
      </c>
      <c r="E28" s="14">
        <f t="shared" si="0"/>
        <v>250000</v>
      </c>
      <c r="F28" s="14">
        <f t="shared" si="1"/>
        <v>50000</v>
      </c>
    </row>
    <row r="29" spans="1:6" x14ac:dyDescent="0.35">
      <c r="A29" t="s">
        <v>353</v>
      </c>
      <c r="B29">
        <v>9126</v>
      </c>
      <c r="C29" t="s">
        <v>198</v>
      </c>
      <c r="D29" s="14">
        <v>10000</v>
      </c>
      <c r="E29" s="14">
        <f t="shared" si="0"/>
        <v>260000</v>
      </c>
      <c r="F29" s="14">
        <f t="shared" si="1"/>
        <v>40000</v>
      </c>
    </row>
    <row r="30" spans="1:6" x14ac:dyDescent="0.35">
      <c r="A30" s="12" t="s">
        <v>63</v>
      </c>
      <c r="B30">
        <v>12052</v>
      </c>
      <c r="C30" t="s">
        <v>198</v>
      </c>
      <c r="D30" s="14">
        <v>10000</v>
      </c>
      <c r="E30" s="14">
        <f t="shared" si="0"/>
        <v>270000</v>
      </c>
      <c r="F30" s="14">
        <f t="shared" si="1"/>
        <v>30000</v>
      </c>
    </row>
    <row r="31" spans="1:6" x14ac:dyDescent="0.35">
      <c r="A31" t="s">
        <v>354</v>
      </c>
      <c r="B31">
        <v>12053</v>
      </c>
      <c r="C31" t="s">
        <v>198</v>
      </c>
      <c r="D31" s="14">
        <v>10000</v>
      </c>
      <c r="E31" s="14">
        <f t="shared" si="0"/>
        <v>280000</v>
      </c>
      <c r="F31" s="14">
        <f t="shared" si="1"/>
        <v>20000</v>
      </c>
    </row>
    <row r="32" spans="1:6" x14ac:dyDescent="0.35">
      <c r="A32" s="12">
        <v>45782</v>
      </c>
      <c r="B32">
        <v>12054</v>
      </c>
      <c r="C32" t="s">
        <v>198</v>
      </c>
      <c r="D32" s="14">
        <v>10000</v>
      </c>
      <c r="E32" s="14">
        <f t="shared" si="0"/>
        <v>290000</v>
      </c>
      <c r="F32" s="14">
        <f t="shared" si="1"/>
        <v>10000</v>
      </c>
    </row>
    <row r="33" spans="1:6" x14ac:dyDescent="0.35">
      <c r="A33" s="12">
        <v>45723</v>
      </c>
      <c r="B33">
        <v>12055</v>
      </c>
      <c r="C33" t="s">
        <v>198</v>
      </c>
      <c r="D33" s="14">
        <v>10000</v>
      </c>
      <c r="E33" s="14">
        <f t="shared" si="0"/>
        <v>300000</v>
      </c>
      <c r="F33" s="14">
        <f t="shared" si="1"/>
        <v>0</v>
      </c>
    </row>
    <row r="35" spans="1:6" ht="18.5" x14ac:dyDescent="0.45">
      <c r="A35" s="1" t="s">
        <v>174</v>
      </c>
      <c r="B35" s="1"/>
      <c r="C35" s="1"/>
      <c r="D35" s="37"/>
      <c r="E35" s="37"/>
      <c r="F35" s="37"/>
    </row>
    <row r="36" spans="1:6" ht="15.5" x14ac:dyDescent="0.35">
      <c r="A36" s="48" t="s">
        <v>554</v>
      </c>
      <c r="B36" s="48" t="s">
        <v>555</v>
      </c>
      <c r="C36" s="48" t="s">
        <v>556</v>
      </c>
      <c r="D36" s="48" t="s">
        <v>557</v>
      </c>
      <c r="E36" s="48" t="s">
        <v>558</v>
      </c>
      <c r="F36" s="48" t="s">
        <v>559</v>
      </c>
    </row>
    <row r="37" spans="1:6" x14ac:dyDescent="0.35">
      <c r="A37" s="21">
        <v>46208</v>
      </c>
      <c r="B37" s="44">
        <v>1401</v>
      </c>
      <c r="C37" s="44" t="s">
        <v>566</v>
      </c>
      <c r="D37" s="45">
        <v>25000</v>
      </c>
      <c r="E37" s="45">
        <v>25000</v>
      </c>
      <c r="F37" s="45">
        <v>525000</v>
      </c>
    </row>
    <row r="38" spans="1:6" x14ac:dyDescent="0.35">
      <c r="A38" s="44" t="s">
        <v>565</v>
      </c>
      <c r="B38" s="44">
        <v>1666</v>
      </c>
      <c r="C38" s="44" t="s">
        <v>566</v>
      </c>
      <c r="D38" s="45">
        <v>10000</v>
      </c>
      <c r="E38" s="45">
        <f>E37+D38</f>
        <v>35000</v>
      </c>
      <c r="F38" s="45">
        <f>F37-D38</f>
        <v>515000</v>
      </c>
    </row>
    <row r="39" spans="1:6" x14ac:dyDescent="0.35">
      <c r="A39" s="44" t="s">
        <v>567</v>
      </c>
      <c r="B39" s="44">
        <v>1855</v>
      </c>
      <c r="C39" s="44" t="s">
        <v>566</v>
      </c>
      <c r="D39" s="45">
        <v>10000</v>
      </c>
      <c r="E39" s="45">
        <f>E38+D39</f>
        <v>45000</v>
      </c>
      <c r="F39" s="45">
        <f>F38-D39</f>
        <v>505000</v>
      </c>
    </row>
    <row r="40" spans="1:6" x14ac:dyDescent="0.35">
      <c r="A40" s="21">
        <v>46364</v>
      </c>
      <c r="B40" s="44">
        <v>3790</v>
      </c>
      <c r="C40" s="44" t="s">
        <v>566</v>
      </c>
      <c r="D40" s="45">
        <v>10000</v>
      </c>
      <c r="E40" s="45">
        <f>E39+D40</f>
        <v>55000</v>
      </c>
      <c r="F40" s="45">
        <f>F39-D40</f>
        <v>495000</v>
      </c>
    </row>
    <row r="41" spans="1:6" x14ac:dyDescent="0.35">
      <c r="A41" t="s">
        <v>596</v>
      </c>
      <c r="B41" s="50">
        <v>2098</v>
      </c>
      <c r="C41" s="44" t="s">
        <v>566</v>
      </c>
      <c r="D41" s="45">
        <v>10000</v>
      </c>
      <c r="E41" s="14">
        <f>E40+D41</f>
        <v>65000</v>
      </c>
      <c r="F41" s="14">
        <f>F40-D41</f>
        <v>485000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A7" sqref="A7:F7"/>
    </sheetView>
  </sheetViews>
  <sheetFormatPr defaultRowHeight="14.5" x14ac:dyDescent="0.35"/>
  <cols>
    <col min="1" max="1" width="10.6328125" customWidth="1"/>
    <col min="3" max="3" width="12.81640625" customWidth="1"/>
    <col min="6" max="6" width="11" customWidth="1"/>
  </cols>
  <sheetData>
    <row r="1" spans="1:6" ht="18.5" x14ac:dyDescent="0.45">
      <c r="A1" s="1" t="s">
        <v>384</v>
      </c>
      <c r="B1" s="1"/>
      <c r="C1" s="2"/>
      <c r="D1" s="1"/>
      <c r="E1" s="1"/>
      <c r="F1" s="1"/>
    </row>
    <row r="2" spans="1:6" ht="18.5" x14ac:dyDescent="0.45">
      <c r="A2" s="1" t="s">
        <v>385</v>
      </c>
      <c r="C2" s="1"/>
      <c r="D2" s="1"/>
      <c r="E2" s="1"/>
      <c r="F2" s="1"/>
    </row>
    <row r="3" spans="1:6" ht="18.5" x14ac:dyDescent="0.45">
      <c r="A3" s="1" t="s">
        <v>386</v>
      </c>
      <c r="B3" s="1"/>
      <c r="C3" s="1"/>
      <c r="D3" s="1"/>
      <c r="E3" s="1"/>
      <c r="F3" s="1"/>
    </row>
    <row r="4" spans="1:6" ht="18.5" x14ac:dyDescent="0.45">
      <c r="A4" s="1" t="s">
        <v>144</v>
      </c>
      <c r="B4" s="1"/>
      <c r="C4" s="1"/>
      <c r="D4" s="1"/>
      <c r="E4" s="1"/>
      <c r="F4" s="1"/>
    </row>
    <row r="5" spans="1:6" ht="18.5" x14ac:dyDescent="0.45">
      <c r="A5" s="1" t="s">
        <v>387</v>
      </c>
      <c r="B5" s="1"/>
      <c r="C5" s="1"/>
      <c r="D5" s="1"/>
      <c r="E5" s="1"/>
      <c r="F5" s="1"/>
    </row>
    <row r="6" spans="1:6" ht="18.5" x14ac:dyDescent="0.45">
      <c r="A6" s="1" t="s">
        <v>388</v>
      </c>
      <c r="B6" s="1"/>
      <c r="C6" s="1"/>
      <c r="D6" s="1" t="s">
        <v>240</v>
      </c>
      <c r="E6" s="1"/>
      <c r="F6" s="1"/>
    </row>
    <row r="7" spans="1:6" x14ac:dyDescent="0.35">
      <c r="A7" s="4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t="s">
        <v>389</v>
      </c>
      <c r="B8">
        <v>560</v>
      </c>
      <c r="C8" t="s">
        <v>49</v>
      </c>
      <c r="D8" s="14">
        <v>1550000</v>
      </c>
      <c r="E8" s="14">
        <v>155000</v>
      </c>
      <c r="F8" s="14">
        <v>295000</v>
      </c>
    </row>
    <row r="9" spans="1:6" x14ac:dyDescent="0.35">
      <c r="A9" t="s">
        <v>390</v>
      </c>
      <c r="B9">
        <v>561</v>
      </c>
      <c r="C9" t="s">
        <v>395</v>
      </c>
      <c r="D9" s="14">
        <v>100000</v>
      </c>
      <c r="E9" s="14">
        <f>E8+D9</f>
        <v>255000</v>
      </c>
      <c r="F9" s="14">
        <f>F8-D9</f>
        <v>195000</v>
      </c>
    </row>
    <row r="10" spans="1:6" x14ac:dyDescent="0.35">
      <c r="A10" t="s">
        <v>391</v>
      </c>
      <c r="B10">
        <v>2889</v>
      </c>
      <c r="C10" t="s">
        <v>198</v>
      </c>
      <c r="D10" s="14">
        <v>5000</v>
      </c>
      <c r="E10" s="14">
        <f t="shared" ref="E10:E35" si="0">E9+D10</f>
        <v>260000</v>
      </c>
      <c r="F10" s="14">
        <f t="shared" ref="F10:F35" si="1">F9-D10</f>
        <v>190000</v>
      </c>
    </row>
    <row r="11" spans="1:6" x14ac:dyDescent="0.35">
      <c r="A11" t="s">
        <v>392</v>
      </c>
      <c r="B11">
        <v>3164</v>
      </c>
      <c r="C11" t="s">
        <v>198</v>
      </c>
      <c r="D11" s="14">
        <v>5000</v>
      </c>
      <c r="E11" s="14">
        <f t="shared" si="0"/>
        <v>265000</v>
      </c>
      <c r="F11" s="14">
        <f t="shared" si="1"/>
        <v>185000</v>
      </c>
    </row>
    <row r="12" spans="1:6" x14ac:dyDescent="0.35">
      <c r="A12" t="s">
        <v>393</v>
      </c>
      <c r="B12">
        <v>3831</v>
      </c>
      <c r="C12" t="s">
        <v>198</v>
      </c>
      <c r="D12" s="14">
        <v>5000</v>
      </c>
      <c r="E12" s="14">
        <f t="shared" si="0"/>
        <v>270000</v>
      </c>
      <c r="F12" s="14">
        <f t="shared" si="1"/>
        <v>180000</v>
      </c>
    </row>
    <row r="13" spans="1:6" x14ac:dyDescent="0.35">
      <c r="A13" s="12">
        <v>44997</v>
      </c>
      <c r="B13">
        <v>5264</v>
      </c>
      <c r="C13" t="s">
        <v>198</v>
      </c>
      <c r="D13" s="14">
        <v>5000</v>
      </c>
      <c r="E13" s="14">
        <f t="shared" si="0"/>
        <v>275000</v>
      </c>
      <c r="F13" s="14">
        <f t="shared" si="1"/>
        <v>175000</v>
      </c>
    </row>
    <row r="14" spans="1:6" x14ac:dyDescent="0.35">
      <c r="A14" t="s">
        <v>186</v>
      </c>
      <c r="B14">
        <v>5654</v>
      </c>
      <c r="C14" t="s">
        <v>198</v>
      </c>
      <c r="D14" s="14">
        <v>5000</v>
      </c>
      <c r="E14" s="14">
        <f t="shared" si="0"/>
        <v>280000</v>
      </c>
      <c r="F14" s="14">
        <f t="shared" si="1"/>
        <v>170000</v>
      </c>
    </row>
    <row r="15" spans="1:6" x14ac:dyDescent="0.35">
      <c r="A15" t="s">
        <v>200</v>
      </c>
      <c r="B15">
        <v>6348</v>
      </c>
      <c r="C15" t="s">
        <v>198</v>
      </c>
      <c r="D15" s="14">
        <v>5000</v>
      </c>
      <c r="E15" s="14">
        <f t="shared" si="0"/>
        <v>285000</v>
      </c>
      <c r="F15" s="14">
        <f t="shared" si="1"/>
        <v>165000</v>
      </c>
    </row>
    <row r="16" spans="1:6" x14ac:dyDescent="0.35">
      <c r="A16" s="12">
        <v>45567</v>
      </c>
      <c r="B16">
        <v>7017</v>
      </c>
      <c r="C16" t="s">
        <v>198</v>
      </c>
      <c r="D16" s="14">
        <v>5000</v>
      </c>
      <c r="E16" s="14">
        <f t="shared" si="0"/>
        <v>290000</v>
      </c>
      <c r="F16" s="14">
        <f t="shared" si="1"/>
        <v>160000</v>
      </c>
    </row>
    <row r="17" spans="1:6" x14ac:dyDescent="0.35">
      <c r="A17" t="s">
        <v>156</v>
      </c>
      <c r="B17">
        <v>7433</v>
      </c>
      <c r="C17" t="s">
        <v>198</v>
      </c>
      <c r="D17" s="14">
        <v>5000</v>
      </c>
      <c r="E17" s="14">
        <f t="shared" si="0"/>
        <v>295000</v>
      </c>
      <c r="F17" s="14">
        <f t="shared" si="1"/>
        <v>155000</v>
      </c>
    </row>
    <row r="18" spans="1:6" x14ac:dyDescent="0.35">
      <c r="A18" t="s">
        <v>394</v>
      </c>
      <c r="B18">
        <v>8043</v>
      </c>
      <c r="C18" t="s">
        <v>198</v>
      </c>
      <c r="D18" s="14">
        <v>5000</v>
      </c>
      <c r="E18" s="14">
        <f t="shared" si="0"/>
        <v>300000</v>
      </c>
      <c r="F18" s="14">
        <f t="shared" si="1"/>
        <v>150000</v>
      </c>
    </row>
    <row r="19" spans="1:6" x14ac:dyDescent="0.35">
      <c r="A19" t="s">
        <v>396</v>
      </c>
      <c r="B19">
        <v>3699</v>
      </c>
      <c r="C19" t="s">
        <v>198</v>
      </c>
      <c r="D19" s="14">
        <v>5000</v>
      </c>
      <c r="E19" s="14">
        <f t="shared" si="0"/>
        <v>305000</v>
      </c>
      <c r="F19" s="14">
        <f t="shared" si="1"/>
        <v>145000</v>
      </c>
    </row>
    <row r="20" spans="1:6" x14ac:dyDescent="0.35">
      <c r="A20" s="12">
        <v>45545</v>
      </c>
      <c r="B20">
        <v>11343</v>
      </c>
      <c r="C20" t="s">
        <v>198</v>
      </c>
      <c r="D20" s="14">
        <v>5000</v>
      </c>
      <c r="E20" s="14">
        <f t="shared" si="0"/>
        <v>310000</v>
      </c>
      <c r="F20" s="14">
        <f t="shared" si="1"/>
        <v>140000</v>
      </c>
    </row>
    <row r="21" spans="1:6" x14ac:dyDescent="0.35">
      <c r="A21" s="12">
        <v>45362</v>
      </c>
      <c r="B21">
        <v>11568</v>
      </c>
      <c r="C21" t="s">
        <v>198</v>
      </c>
      <c r="D21" s="14">
        <v>5000</v>
      </c>
      <c r="E21" s="14">
        <f t="shared" si="0"/>
        <v>315000</v>
      </c>
      <c r="F21" s="14">
        <f t="shared" si="1"/>
        <v>135000</v>
      </c>
    </row>
    <row r="22" spans="1:6" x14ac:dyDescent="0.35">
      <c r="A22" s="12">
        <v>45424</v>
      </c>
      <c r="B22">
        <v>11207</v>
      </c>
      <c r="C22" t="s">
        <v>198</v>
      </c>
      <c r="D22" s="14">
        <v>5000</v>
      </c>
      <c r="E22" s="14">
        <f t="shared" si="0"/>
        <v>320000</v>
      </c>
      <c r="F22" s="14">
        <f t="shared" si="1"/>
        <v>130000</v>
      </c>
    </row>
    <row r="23" spans="1:6" x14ac:dyDescent="0.35">
      <c r="A23" t="s">
        <v>397</v>
      </c>
      <c r="B23">
        <v>9148</v>
      </c>
      <c r="C23" t="s">
        <v>198</v>
      </c>
      <c r="D23" s="14">
        <v>5000</v>
      </c>
      <c r="E23" s="14">
        <f t="shared" si="0"/>
        <v>325000</v>
      </c>
      <c r="F23" s="14">
        <f t="shared" si="1"/>
        <v>125000</v>
      </c>
    </row>
    <row r="24" spans="1:6" x14ac:dyDescent="0.35">
      <c r="A24" s="12">
        <v>45691</v>
      </c>
      <c r="B24">
        <v>9599</v>
      </c>
      <c r="C24" t="s">
        <v>198</v>
      </c>
      <c r="D24" s="14">
        <v>5000</v>
      </c>
      <c r="E24" s="14">
        <f t="shared" si="0"/>
        <v>330000</v>
      </c>
      <c r="F24" s="14">
        <f t="shared" si="1"/>
        <v>120000</v>
      </c>
    </row>
    <row r="25" spans="1:6" x14ac:dyDescent="0.35">
      <c r="A25" t="s">
        <v>398</v>
      </c>
      <c r="B25">
        <v>10156</v>
      </c>
      <c r="C25" t="s">
        <v>198</v>
      </c>
      <c r="D25" s="14">
        <v>5000</v>
      </c>
      <c r="E25" s="14">
        <f t="shared" si="0"/>
        <v>335000</v>
      </c>
      <c r="F25" s="14">
        <f t="shared" si="1"/>
        <v>115000</v>
      </c>
    </row>
    <row r="26" spans="1:6" x14ac:dyDescent="0.35">
      <c r="A26" t="s">
        <v>399</v>
      </c>
      <c r="B26">
        <v>10975</v>
      </c>
      <c r="C26" t="s">
        <v>198</v>
      </c>
      <c r="D26" s="14">
        <v>5000</v>
      </c>
      <c r="E26" s="14">
        <f t="shared" si="0"/>
        <v>340000</v>
      </c>
      <c r="F26" s="14">
        <f t="shared" si="1"/>
        <v>110000</v>
      </c>
    </row>
    <row r="27" spans="1:6" x14ac:dyDescent="0.35">
      <c r="A27" t="s">
        <v>400</v>
      </c>
      <c r="B27">
        <v>9949</v>
      </c>
      <c r="C27" t="s">
        <v>198</v>
      </c>
      <c r="D27" s="14">
        <v>5000</v>
      </c>
      <c r="E27" s="14">
        <f t="shared" si="0"/>
        <v>345000</v>
      </c>
      <c r="F27" s="14">
        <f t="shared" si="1"/>
        <v>105000</v>
      </c>
    </row>
    <row r="28" spans="1:6" x14ac:dyDescent="0.35">
      <c r="A28" s="12">
        <v>45755</v>
      </c>
      <c r="B28">
        <v>12398</v>
      </c>
      <c r="C28" t="s">
        <v>198</v>
      </c>
      <c r="D28" s="14">
        <v>5000</v>
      </c>
      <c r="E28" s="14">
        <f t="shared" si="0"/>
        <v>350000</v>
      </c>
      <c r="F28" s="14">
        <f t="shared" si="1"/>
        <v>100000</v>
      </c>
    </row>
    <row r="29" spans="1:6" x14ac:dyDescent="0.35">
      <c r="A29" s="12">
        <v>45847</v>
      </c>
      <c r="B29">
        <v>12558</v>
      </c>
      <c r="C29" t="s">
        <v>198</v>
      </c>
      <c r="D29" s="14">
        <v>5000</v>
      </c>
      <c r="E29" s="14">
        <f t="shared" si="0"/>
        <v>355000</v>
      </c>
      <c r="F29" s="14">
        <f t="shared" si="1"/>
        <v>95000</v>
      </c>
    </row>
    <row r="30" spans="1:6" x14ac:dyDescent="0.35">
      <c r="A30" s="12">
        <v>45879</v>
      </c>
      <c r="B30">
        <v>13725</v>
      </c>
      <c r="C30" t="s">
        <v>198</v>
      </c>
      <c r="D30" s="14">
        <v>5000</v>
      </c>
      <c r="E30" s="14">
        <f t="shared" si="0"/>
        <v>360000</v>
      </c>
      <c r="F30" s="14">
        <f t="shared" si="1"/>
        <v>90000</v>
      </c>
    </row>
    <row r="31" spans="1:6" x14ac:dyDescent="0.35">
      <c r="A31" t="s">
        <v>401</v>
      </c>
      <c r="B31">
        <v>13203</v>
      </c>
      <c r="C31" t="s">
        <v>198</v>
      </c>
      <c r="D31" s="14">
        <v>5000</v>
      </c>
      <c r="E31" s="14">
        <f t="shared" si="0"/>
        <v>365000</v>
      </c>
      <c r="F31" s="14">
        <f t="shared" si="1"/>
        <v>85000</v>
      </c>
    </row>
    <row r="32" spans="1:6" x14ac:dyDescent="0.35">
      <c r="A32" t="s">
        <v>402</v>
      </c>
      <c r="B32">
        <v>12075</v>
      </c>
      <c r="C32" t="s">
        <v>198</v>
      </c>
      <c r="D32" s="14">
        <v>5000</v>
      </c>
      <c r="E32" s="14">
        <f t="shared" si="0"/>
        <v>370000</v>
      </c>
      <c r="F32" s="14">
        <f t="shared" si="1"/>
        <v>80000</v>
      </c>
    </row>
    <row r="33" spans="1:6" x14ac:dyDescent="0.35">
      <c r="A33" s="12">
        <v>46144</v>
      </c>
      <c r="B33">
        <v>12339</v>
      </c>
      <c r="C33" t="s">
        <v>198</v>
      </c>
      <c r="D33" s="14">
        <v>5000</v>
      </c>
      <c r="E33" s="14">
        <f t="shared" si="0"/>
        <v>375000</v>
      </c>
      <c r="F33" s="14">
        <f t="shared" si="1"/>
        <v>75000</v>
      </c>
    </row>
    <row r="34" spans="1:6" x14ac:dyDescent="0.35">
      <c r="A34" t="s">
        <v>403</v>
      </c>
      <c r="B34">
        <v>12816</v>
      </c>
      <c r="C34" t="s">
        <v>198</v>
      </c>
      <c r="D34" s="14">
        <v>5000</v>
      </c>
      <c r="E34" s="14">
        <f t="shared" si="0"/>
        <v>380000</v>
      </c>
      <c r="F34" s="14">
        <f t="shared" si="1"/>
        <v>70000</v>
      </c>
    </row>
    <row r="35" spans="1:6" x14ac:dyDescent="0.35">
      <c r="A35" s="12">
        <v>46331</v>
      </c>
      <c r="B35" t="s">
        <v>404</v>
      </c>
      <c r="C35" t="s">
        <v>198</v>
      </c>
      <c r="D35" s="14">
        <v>5000</v>
      </c>
      <c r="E35" s="14">
        <f t="shared" si="0"/>
        <v>385000</v>
      </c>
      <c r="F35" s="14">
        <f t="shared" si="1"/>
        <v>65000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opLeftCell="A26" workbookViewId="0">
      <selection activeCell="C43" sqref="C43:C45"/>
    </sheetView>
  </sheetViews>
  <sheetFormatPr defaultRowHeight="14.5" x14ac:dyDescent="0.35"/>
  <sheetData>
    <row r="1" spans="1:6" x14ac:dyDescent="0.35">
      <c r="A1" t="s">
        <v>433</v>
      </c>
      <c r="B1" t="s">
        <v>480</v>
      </c>
    </row>
    <row r="2" spans="1:6" x14ac:dyDescent="0.35">
      <c r="A2" t="s">
        <v>434</v>
      </c>
      <c r="B2" t="s">
        <v>481</v>
      </c>
    </row>
    <row r="3" spans="1:6" x14ac:dyDescent="0.35">
      <c r="A3" t="s">
        <v>435</v>
      </c>
    </row>
    <row r="4" spans="1:6" x14ac:dyDescent="0.35">
      <c r="A4" t="s">
        <v>436</v>
      </c>
      <c r="B4" t="s">
        <v>482</v>
      </c>
    </row>
    <row r="5" spans="1:6" x14ac:dyDescent="0.35">
      <c r="A5" t="s">
        <v>437</v>
      </c>
      <c r="B5" t="s">
        <v>439</v>
      </c>
    </row>
    <row r="6" spans="1:6" x14ac:dyDescent="0.35">
      <c r="A6" t="s">
        <v>438</v>
      </c>
      <c r="B6">
        <v>5468</v>
      </c>
      <c r="F6" s="14">
        <v>600000</v>
      </c>
    </row>
    <row r="8" spans="1:6" x14ac:dyDescent="0.35">
      <c r="A8" s="4" t="s">
        <v>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</row>
    <row r="9" spans="1:6" x14ac:dyDescent="0.35">
      <c r="A9" t="s">
        <v>440</v>
      </c>
      <c r="B9">
        <v>44</v>
      </c>
      <c r="C9" t="s">
        <v>451</v>
      </c>
      <c r="D9" s="14">
        <v>10000</v>
      </c>
      <c r="E9" s="14">
        <v>10000</v>
      </c>
      <c r="F9" s="14">
        <v>590000</v>
      </c>
    </row>
    <row r="10" spans="1:6" x14ac:dyDescent="0.35">
      <c r="A10" t="s">
        <v>441</v>
      </c>
      <c r="B10">
        <v>1509</v>
      </c>
      <c r="C10" t="s">
        <v>452</v>
      </c>
      <c r="D10" s="14">
        <v>140000</v>
      </c>
      <c r="E10" s="14">
        <f t="shared" ref="E10:E44" si="0">E9+D10</f>
        <v>150000</v>
      </c>
      <c r="F10" s="14">
        <f t="shared" ref="F10:F44" si="1">F9-D10</f>
        <v>450000</v>
      </c>
    </row>
    <row r="11" spans="1:6" x14ac:dyDescent="0.35">
      <c r="A11" t="s">
        <v>442</v>
      </c>
      <c r="B11">
        <v>2303</v>
      </c>
      <c r="C11" t="s">
        <v>453</v>
      </c>
      <c r="D11" s="14">
        <v>30000</v>
      </c>
      <c r="E11" s="14">
        <f t="shared" si="0"/>
        <v>180000</v>
      </c>
      <c r="F11" s="14">
        <f t="shared" si="1"/>
        <v>420000</v>
      </c>
    </row>
    <row r="12" spans="1:6" x14ac:dyDescent="0.35">
      <c r="A12" t="s">
        <v>443</v>
      </c>
      <c r="B12">
        <v>2304</v>
      </c>
      <c r="C12" t="s">
        <v>454</v>
      </c>
      <c r="D12" s="14">
        <v>10000</v>
      </c>
      <c r="E12" s="14">
        <f t="shared" si="0"/>
        <v>190000</v>
      </c>
      <c r="F12" s="14">
        <f t="shared" si="1"/>
        <v>410000</v>
      </c>
    </row>
    <row r="13" spans="1:6" x14ac:dyDescent="0.35">
      <c r="A13" t="s">
        <v>444</v>
      </c>
      <c r="B13">
        <v>1349</v>
      </c>
      <c r="C13" t="s">
        <v>454</v>
      </c>
      <c r="D13" s="14">
        <v>10000</v>
      </c>
      <c r="E13" s="14">
        <f t="shared" si="0"/>
        <v>200000</v>
      </c>
      <c r="F13" s="14">
        <f t="shared" si="1"/>
        <v>400000</v>
      </c>
    </row>
    <row r="14" spans="1:6" x14ac:dyDescent="0.35">
      <c r="A14" t="s">
        <v>445</v>
      </c>
      <c r="B14">
        <v>854</v>
      </c>
      <c r="C14" t="s">
        <v>454</v>
      </c>
      <c r="D14" s="14">
        <v>10000</v>
      </c>
      <c r="E14" s="14">
        <f t="shared" si="0"/>
        <v>210000</v>
      </c>
      <c r="F14" s="14">
        <f t="shared" si="1"/>
        <v>390000</v>
      </c>
    </row>
    <row r="15" spans="1:6" x14ac:dyDescent="0.35">
      <c r="A15" t="s">
        <v>446</v>
      </c>
      <c r="B15">
        <v>930</v>
      </c>
      <c r="C15" t="s">
        <v>454</v>
      </c>
      <c r="D15" s="14">
        <v>10000</v>
      </c>
      <c r="E15" s="14">
        <f t="shared" si="0"/>
        <v>220000</v>
      </c>
      <c r="F15" s="14">
        <f t="shared" si="1"/>
        <v>380000</v>
      </c>
    </row>
    <row r="16" spans="1:6" x14ac:dyDescent="0.35">
      <c r="A16" t="s">
        <v>447</v>
      </c>
      <c r="B16">
        <v>2883</v>
      </c>
      <c r="C16" t="s">
        <v>454</v>
      </c>
      <c r="D16" s="14">
        <v>10000</v>
      </c>
      <c r="E16" s="14">
        <f t="shared" si="0"/>
        <v>230000</v>
      </c>
      <c r="F16" s="14">
        <f t="shared" si="1"/>
        <v>370000</v>
      </c>
    </row>
    <row r="17" spans="1:6" x14ac:dyDescent="0.35">
      <c r="A17" t="s">
        <v>448</v>
      </c>
      <c r="B17">
        <v>3920</v>
      </c>
      <c r="C17" t="s">
        <v>454</v>
      </c>
      <c r="D17" s="14">
        <v>10000</v>
      </c>
      <c r="E17" s="14">
        <f t="shared" si="0"/>
        <v>240000</v>
      </c>
      <c r="F17" s="14">
        <f t="shared" si="1"/>
        <v>360000</v>
      </c>
    </row>
    <row r="18" spans="1:6" x14ac:dyDescent="0.35">
      <c r="A18" t="s">
        <v>449</v>
      </c>
      <c r="B18">
        <v>4132</v>
      </c>
      <c r="C18" t="s">
        <v>454</v>
      </c>
      <c r="D18" s="14">
        <v>10000</v>
      </c>
      <c r="E18" s="14">
        <f t="shared" si="0"/>
        <v>250000</v>
      </c>
      <c r="F18" s="14">
        <f t="shared" si="1"/>
        <v>350000</v>
      </c>
    </row>
    <row r="19" spans="1:6" x14ac:dyDescent="0.35">
      <c r="A19" t="s">
        <v>450</v>
      </c>
      <c r="B19">
        <v>5042</v>
      </c>
      <c r="C19" t="s">
        <v>454</v>
      </c>
      <c r="D19" s="14">
        <v>10000</v>
      </c>
      <c r="E19" s="14">
        <f t="shared" si="0"/>
        <v>260000</v>
      </c>
      <c r="F19" s="14">
        <f t="shared" si="1"/>
        <v>340000</v>
      </c>
    </row>
    <row r="20" spans="1:6" x14ac:dyDescent="0.35">
      <c r="A20" t="s">
        <v>455</v>
      </c>
      <c r="B20">
        <v>5483</v>
      </c>
      <c r="C20" t="s">
        <v>454</v>
      </c>
      <c r="D20" s="14">
        <v>10000</v>
      </c>
      <c r="E20" s="14">
        <f t="shared" si="0"/>
        <v>270000</v>
      </c>
      <c r="F20" s="14">
        <f t="shared" si="1"/>
        <v>330000</v>
      </c>
    </row>
    <row r="21" spans="1:6" x14ac:dyDescent="0.35">
      <c r="A21" t="s">
        <v>456</v>
      </c>
      <c r="B21">
        <v>6211</v>
      </c>
      <c r="C21" t="s">
        <v>454</v>
      </c>
      <c r="D21" s="14">
        <v>10000</v>
      </c>
      <c r="E21" s="14">
        <f t="shared" si="0"/>
        <v>280000</v>
      </c>
      <c r="F21" s="14">
        <f t="shared" si="1"/>
        <v>320000</v>
      </c>
    </row>
    <row r="22" spans="1:6" x14ac:dyDescent="0.35">
      <c r="A22" t="s">
        <v>457</v>
      </c>
      <c r="B22">
        <v>611</v>
      </c>
      <c r="C22" t="s">
        <v>454</v>
      </c>
      <c r="D22" s="14">
        <v>10000</v>
      </c>
      <c r="E22" s="14">
        <f t="shared" si="0"/>
        <v>290000</v>
      </c>
      <c r="F22" s="14">
        <f t="shared" si="1"/>
        <v>310000</v>
      </c>
    </row>
    <row r="23" spans="1:6" x14ac:dyDescent="0.35">
      <c r="A23" t="s">
        <v>458</v>
      </c>
      <c r="B23">
        <v>9789</v>
      </c>
      <c r="C23" t="s">
        <v>454</v>
      </c>
      <c r="D23" s="14">
        <v>10000</v>
      </c>
      <c r="E23" s="14">
        <f t="shared" si="0"/>
        <v>300000</v>
      </c>
      <c r="F23" s="14">
        <f t="shared" si="1"/>
        <v>300000</v>
      </c>
    </row>
    <row r="24" spans="1:6" x14ac:dyDescent="0.35">
      <c r="A24" t="s">
        <v>459</v>
      </c>
      <c r="B24">
        <v>7906</v>
      </c>
      <c r="C24" t="s">
        <v>454</v>
      </c>
      <c r="D24" s="14">
        <v>10000</v>
      </c>
      <c r="E24" s="14">
        <f t="shared" si="0"/>
        <v>310000</v>
      </c>
      <c r="F24" s="14">
        <f t="shared" si="1"/>
        <v>290000</v>
      </c>
    </row>
    <row r="25" spans="1:6" x14ac:dyDescent="0.35">
      <c r="A25" t="s">
        <v>460</v>
      </c>
      <c r="B25">
        <v>8769</v>
      </c>
      <c r="C25" t="s">
        <v>454</v>
      </c>
      <c r="D25" s="14">
        <v>10000</v>
      </c>
      <c r="E25" s="14">
        <f t="shared" si="0"/>
        <v>320000</v>
      </c>
      <c r="F25" s="14">
        <f t="shared" si="1"/>
        <v>280000</v>
      </c>
    </row>
    <row r="26" spans="1:6" x14ac:dyDescent="0.35">
      <c r="A26" t="s">
        <v>461</v>
      </c>
      <c r="B26">
        <v>9548</v>
      </c>
      <c r="C26" t="s">
        <v>454</v>
      </c>
      <c r="D26" s="14">
        <v>15000</v>
      </c>
      <c r="E26" s="14">
        <f t="shared" si="0"/>
        <v>335000</v>
      </c>
      <c r="F26" s="14">
        <f t="shared" si="1"/>
        <v>265000</v>
      </c>
    </row>
    <row r="27" spans="1:6" x14ac:dyDescent="0.35">
      <c r="A27" t="s">
        <v>462</v>
      </c>
      <c r="B27">
        <v>11281</v>
      </c>
      <c r="C27" t="s">
        <v>454</v>
      </c>
      <c r="D27" s="14">
        <v>10000</v>
      </c>
      <c r="E27" s="14">
        <f t="shared" si="0"/>
        <v>345000</v>
      </c>
      <c r="F27" s="14">
        <f t="shared" si="1"/>
        <v>255000</v>
      </c>
    </row>
    <row r="28" spans="1:6" x14ac:dyDescent="0.35">
      <c r="A28" t="s">
        <v>463</v>
      </c>
      <c r="B28">
        <v>10328</v>
      </c>
      <c r="C28" t="s">
        <v>454</v>
      </c>
      <c r="D28" s="14">
        <v>10000</v>
      </c>
      <c r="E28" s="14">
        <f t="shared" si="0"/>
        <v>355000</v>
      </c>
      <c r="F28" s="14">
        <f t="shared" si="1"/>
        <v>245000</v>
      </c>
    </row>
    <row r="29" spans="1:6" x14ac:dyDescent="0.35">
      <c r="A29" t="s">
        <v>464</v>
      </c>
      <c r="B29">
        <v>12518</v>
      </c>
      <c r="C29" t="s">
        <v>454</v>
      </c>
      <c r="D29" s="14">
        <v>10000</v>
      </c>
      <c r="E29" s="14">
        <f t="shared" si="0"/>
        <v>365000</v>
      </c>
      <c r="F29" s="14">
        <f t="shared" si="1"/>
        <v>235000</v>
      </c>
    </row>
    <row r="30" spans="1:6" x14ac:dyDescent="0.35">
      <c r="A30" t="s">
        <v>465</v>
      </c>
      <c r="B30">
        <v>12664</v>
      </c>
      <c r="C30" t="s">
        <v>454</v>
      </c>
      <c r="D30" s="14">
        <v>10000</v>
      </c>
      <c r="E30" s="14">
        <f t="shared" si="0"/>
        <v>375000</v>
      </c>
      <c r="F30" s="14">
        <f t="shared" si="1"/>
        <v>225000</v>
      </c>
    </row>
    <row r="31" spans="1:6" x14ac:dyDescent="0.35">
      <c r="A31" t="s">
        <v>466</v>
      </c>
      <c r="B31">
        <v>9476</v>
      </c>
      <c r="C31" t="s">
        <v>454</v>
      </c>
      <c r="D31" s="14">
        <v>10000</v>
      </c>
      <c r="E31" s="14">
        <f t="shared" si="0"/>
        <v>385000</v>
      </c>
      <c r="F31" s="14">
        <f t="shared" si="1"/>
        <v>215000</v>
      </c>
    </row>
    <row r="32" spans="1:6" x14ac:dyDescent="0.35">
      <c r="A32" t="s">
        <v>467</v>
      </c>
      <c r="B32">
        <v>10348</v>
      </c>
      <c r="C32" t="s">
        <v>454</v>
      </c>
      <c r="D32" s="14">
        <v>10000</v>
      </c>
      <c r="E32" s="14">
        <f t="shared" si="0"/>
        <v>395000</v>
      </c>
      <c r="F32" s="14">
        <f t="shared" si="1"/>
        <v>205000</v>
      </c>
    </row>
    <row r="33" spans="1:6" x14ac:dyDescent="0.35">
      <c r="A33" t="s">
        <v>468</v>
      </c>
      <c r="B33">
        <v>12349</v>
      </c>
      <c r="C33" t="s">
        <v>454</v>
      </c>
      <c r="D33" s="14">
        <v>10000</v>
      </c>
      <c r="E33" s="14">
        <f t="shared" si="0"/>
        <v>405000</v>
      </c>
      <c r="F33" s="14">
        <f t="shared" si="1"/>
        <v>195000</v>
      </c>
    </row>
    <row r="34" spans="1:6" x14ac:dyDescent="0.35">
      <c r="A34" t="s">
        <v>469</v>
      </c>
      <c r="B34">
        <v>12023</v>
      </c>
      <c r="C34" t="s">
        <v>454</v>
      </c>
      <c r="D34" s="14">
        <v>10000</v>
      </c>
      <c r="E34" s="14">
        <f t="shared" si="0"/>
        <v>415000</v>
      </c>
      <c r="F34" s="14">
        <f t="shared" si="1"/>
        <v>185000</v>
      </c>
    </row>
    <row r="35" spans="1:6" x14ac:dyDescent="0.35">
      <c r="A35" t="s">
        <v>470</v>
      </c>
      <c r="B35">
        <v>12253</v>
      </c>
      <c r="C35" t="s">
        <v>454</v>
      </c>
      <c r="D35" s="14">
        <v>10000</v>
      </c>
      <c r="E35" s="14">
        <f t="shared" si="0"/>
        <v>425000</v>
      </c>
      <c r="F35" s="14">
        <f t="shared" si="1"/>
        <v>175000</v>
      </c>
    </row>
    <row r="36" spans="1:6" x14ac:dyDescent="0.35">
      <c r="A36" t="s">
        <v>471</v>
      </c>
      <c r="B36">
        <v>12762</v>
      </c>
      <c r="C36" t="s">
        <v>454</v>
      </c>
      <c r="D36" s="14">
        <v>10000</v>
      </c>
      <c r="E36" s="14">
        <f t="shared" si="0"/>
        <v>435000</v>
      </c>
      <c r="F36" s="14">
        <f t="shared" si="1"/>
        <v>165000</v>
      </c>
    </row>
    <row r="37" spans="1:6" x14ac:dyDescent="0.35">
      <c r="A37" t="s">
        <v>472</v>
      </c>
      <c r="B37">
        <v>13544</v>
      </c>
      <c r="C37" t="s">
        <v>454</v>
      </c>
      <c r="D37" s="14">
        <v>10000</v>
      </c>
      <c r="E37" s="14">
        <f t="shared" si="0"/>
        <v>445000</v>
      </c>
      <c r="F37" s="14">
        <f t="shared" si="1"/>
        <v>155000</v>
      </c>
    </row>
    <row r="38" spans="1:6" x14ac:dyDescent="0.35">
      <c r="A38" t="s">
        <v>473</v>
      </c>
      <c r="B38">
        <v>13207</v>
      </c>
      <c r="C38" t="s">
        <v>454</v>
      </c>
      <c r="D38" s="14">
        <v>10000</v>
      </c>
      <c r="E38" s="14">
        <f t="shared" si="0"/>
        <v>455000</v>
      </c>
      <c r="F38" s="14">
        <f t="shared" si="1"/>
        <v>145000</v>
      </c>
    </row>
    <row r="39" spans="1:6" x14ac:dyDescent="0.35">
      <c r="A39" t="s">
        <v>474</v>
      </c>
      <c r="B39">
        <v>13834</v>
      </c>
      <c r="C39" t="s">
        <v>454</v>
      </c>
      <c r="D39" s="14">
        <v>10000</v>
      </c>
      <c r="E39" s="14">
        <f t="shared" si="0"/>
        <v>465000</v>
      </c>
      <c r="F39" s="14">
        <f t="shared" si="1"/>
        <v>135000</v>
      </c>
    </row>
    <row r="40" spans="1:6" x14ac:dyDescent="0.35">
      <c r="A40" t="s">
        <v>475</v>
      </c>
      <c r="B40">
        <v>12277</v>
      </c>
      <c r="C40" t="s">
        <v>454</v>
      </c>
      <c r="D40" s="14">
        <v>10000</v>
      </c>
      <c r="E40" s="14">
        <f t="shared" si="0"/>
        <v>475000</v>
      </c>
      <c r="F40" s="14">
        <f t="shared" si="1"/>
        <v>125000</v>
      </c>
    </row>
    <row r="41" spans="1:6" x14ac:dyDescent="0.35">
      <c r="A41" t="s">
        <v>476</v>
      </c>
      <c r="B41">
        <v>12576</v>
      </c>
      <c r="C41" t="s">
        <v>454</v>
      </c>
      <c r="D41" s="14">
        <v>10000</v>
      </c>
      <c r="E41" s="14">
        <f t="shared" si="0"/>
        <v>485000</v>
      </c>
      <c r="F41" s="14">
        <f t="shared" si="1"/>
        <v>115000</v>
      </c>
    </row>
    <row r="42" spans="1:6" x14ac:dyDescent="0.35">
      <c r="A42" t="s">
        <v>477</v>
      </c>
      <c r="B42">
        <v>13978</v>
      </c>
      <c r="C42" t="s">
        <v>454</v>
      </c>
      <c r="D42" s="14">
        <v>10000</v>
      </c>
      <c r="E42" s="14">
        <f t="shared" si="0"/>
        <v>495000</v>
      </c>
      <c r="F42" s="14">
        <f t="shared" si="1"/>
        <v>105000</v>
      </c>
    </row>
    <row r="43" spans="1:6" x14ac:dyDescent="0.35">
      <c r="A43" t="s">
        <v>478</v>
      </c>
      <c r="B43">
        <v>13390</v>
      </c>
      <c r="C43" t="s">
        <v>454</v>
      </c>
      <c r="D43" s="14">
        <v>10000</v>
      </c>
      <c r="E43" s="14">
        <f t="shared" si="0"/>
        <v>505000</v>
      </c>
      <c r="F43" s="14">
        <f t="shared" si="1"/>
        <v>95000</v>
      </c>
    </row>
    <row r="44" spans="1:6" x14ac:dyDescent="0.35">
      <c r="A44" t="s">
        <v>479</v>
      </c>
      <c r="B44">
        <v>13650</v>
      </c>
      <c r="C44" t="s">
        <v>454</v>
      </c>
      <c r="D44" s="14">
        <v>10000</v>
      </c>
      <c r="E44" s="14">
        <f t="shared" si="0"/>
        <v>515000</v>
      </c>
      <c r="F44" s="14">
        <f t="shared" si="1"/>
        <v>85000</v>
      </c>
    </row>
    <row r="45" spans="1:6" x14ac:dyDescent="0.35">
      <c r="A45" t="s">
        <v>547</v>
      </c>
      <c r="B45">
        <v>1580</v>
      </c>
      <c r="C45" t="s">
        <v>454</v>
      </c>
      <c r="D45" s="14">
        <v>10000</v>
      </c>
      <c r="E45" s="14">
        <v>525000</v>
      </c>
      <c r="F45" s="14">
        <v>75000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selection activeCell="A8" sqref="A8:F8"/>
    </sheetView>
  </sheetViews>
  <sheetFormatPr defaultRowHeight="14.5" x14ac:dyDescent="0.35"/>
  <cols>
    <col min="1" max="1" width="10.453125" bestFit="1" customWidth="1"/>
    <col min="2" max="2" width="7.6328125" customWidth="1"/>
    <col min="3" max="3" width="13.81640625" customWidth="1"/>
    <col min="4" max="4" width="9.81640625" customWidth="1"/>
    <col min="5" max="5" width="10.7265625" customWidth="1"/>
    <col min="6" max="6" width="12.36328125" customWidth="1"/>
  </cols>
  <sheetData>
    <row r="1" spans="1:6" x14ac:dyDescent="0.35">
      <c r="A1" t="s">
        <v>433</v>
      </c>
      <c r="B1" t="s">
        <v>498</v>
      </c>
    </row>
    <row r="2" spans="1:6" x14ac:dyDescent="0.35">
      <c r="A2" t="s">
        <v>434</v>
      </c>
      <c r="B2" t="s">
        <v>499</v>
      </c>
    </row>
    <row r="3" spans="1:6" x14ac:dyDescent="0.35">
      <c r="A3" t="s">
        <v>483</v>
      </c>
      <c r="B3" t="s">
        <v>500</v>
      </c>
    </row>
    <row r="4" spans="1:6" x14ac:dyDescent="0.35">
      <c r="A4" t="s">
        <v>436</v>
      </c>
      <c r="B4" t="s">
        <v>501</v>
      </c>
    </row>
    <row r="5" spans="1:6" x14ac:dyDescent="0.35">
      <c r="A5" t="s">
        <v>437</v>
      </c>
      <c r="B5" t="s">
        <v>484</v>
      </c>
    </row>
    <row r="6" spans="1:6" x14ac:dyDescent="0.35">
      <c r="A6" t="s">
        <v>438</v>
      </c>
      <c r="B6">
        <v>5476</v>
      </c>
    </row>
    <row r="8" spans="1:6" x14ac:dyDescent="0.35">
      <c r="A8" s="4" t="s">
        <v>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</row>
    <row r="9" spans="1:6" x14ac:dyDescent="0.35">
      <c r="A9" s="44" t="s">
        <v>485</v>
      </c>
      <c r="B9" s="44">
        <v>1416</v>
      </c>
      <c r="C9" s="44" t="s">
        <v>453</v>
      </c>
      <c r="D9" s="45">
        <v>150000</v>
      </c>
      <c r="E9" s="45">
        <v>150000</v>
      </c>
      <c r="F9" s="45">
        <v>350000</v>
      </c>
    </row>
    <row r="10" spans="1:6" x14ac:dyDescent="0.35">
      <c r="A10" s="44" t="s">
        <v>486</v>
      </c>
      <c r="B10" s="44">
        <v>1417</v>
      </c>
      <c r="C10" s="44" t="s">
        <v>497</v>
      </c>
      <c r="D10" s="45">
        <v>200000</v>
      </c>
      <c r="E10" s="45">
        <f t="shared" ref="E10:E20" si="0">E9+D10</f>
        <v>350000</v>
      </c>
      <c r="F10" s="45">
        <f t="shared" ref="F10:F20" si="1">F9-D10</f>
        <v>150000</v>
      </c>
    </row>
    <row r="11" spans="1:6" x14ac:dyDescent="0.35">
      <c r="A11" s="44" t="s">
        <v>487</v>
      </c>
      <c r="B11" s="44">
        <v>162</v>
      </c>
      <c r="C11" s="44" t="s">
        <v>454</v>
      </c>
      <c r="D11" s="45">
        <v>10000</v>
      </c>
      <c r="E11" s="45">
        <f t="shared" si="0"/>
        <v>360000</v>
      </c>
      <c r="F11" s="45">
        <f t="shared" si="1"/>
        <v>140000</v>
      </c>
    </row>
    <row r="12" spans="1:6" x14ac:dyDescent="0.35">
      <c r="A12" s="44" t="s">
        <v>488</v>
      </c>
      <c r="B12" s="44">
        <v>2546</v>
      </c>
      <c r="C12" s="44" t="s">
        <v>454</v>
      </c>
      <c r="D12" s="45">
        <v>20000</v>
      </c>
      <c r="E12" s="45">
        <f t="shared" si="0"/>
        <v>380000</v>
      </c>
      <c r="F12" s="45">
        <f t="shared" si="1"/>
        <v>120000</v>
      </c>
    </row>
    <row r="13" spans="1:6" x14ac:dyDescent="0.35">
      <c r="A13" s="44" t="s">
        <v>489</v>
      </c>
      <c r="B13" s="44">
        <v>3770</v>
      </c>
      <c r="C13" s="44" t="s">
        <v>454</v>
      </c>
      <c r="D13" s="45">
        <v>10000</v>
      </c>
      <c r="E13" s="45">
        <f t="shared" si="0"/>
        <v>390000</v>
      </c>
      <c r="F13" s="45">
        <f t="shared" si="1"/>
        <v>110000</v>
      </c>
    </row>
    <row r="14" spans="1:6" x14ac:dyDescent="0.35">
      <c r="A14" s="44" t="s">
        <v>490</v>
      </c>
      <c r="B14" s="44">
        <v>4518</v>
      </c>
      <c r="C14" s="44" t="s">
        <v>454</v>
      </c>
      <c r="D14" s="45">
        <v>10000</v>
      </c>
      <c r="E14" s="45">
        <f t="shared" si="0"/>
        <v>400000</v>
      </c>
      <c r="F14" s="45">
        <f t="shared" si="1"/>
        <v>100000</v>
      </c>
    </row>
    <row r="15" spans="1:6" x14ac:dyDescent="0.35">
      <c r="A15" s="44" t="s">
        <v>491</v>
      </c>
      <c r="B15" s="44">
        <v>5299</v>
      </c>
      <c r="C15" s="44" t="s">
        <v>454</v>
      </c>
      <c r="D15" s="45">
        <v>20000</v>
      </c>
      <c r="E15" s="45">
        <f t="shared" si="0"/>
        <v>420000</v>
      </c>
      <c r="F15" s="45">
        <f t="shared" si="1"/>
        <v>80000</v>
      </c>
    </row>
    <row r="16" spans="1:6" x14ac:dyDescent="0.35">
      <c r="A16" s="44" t="s">
        <v>492</v>
      </c>
      <c r="B16" s="44">
        <v>6305</v>
      </c>
      <c r="C16" s="44" t="s">
        <v>454</v>
      </c>
      <c r="D16" s="45">
        <v>20000</v>
      </c>
      <c r="E16" s="45">
        <f t="shared" si="0"/>
        <v>440000</v>
      </c>
      <c r="F16" s="45">
        <f t="shared" si="1"/>
        <v>60000</v>
      </c>
    </row>
    <row r="17" spans="1:6" x14ac:dyDescent="0.35">
      <c r="A17" s="44" t="s">
        <v>493</v>
      </c>
      <c r="B17" s="44">
        <v>6837</v>
      </c>
      <c r="C17" s="44" t="s">
        <v>454</v>
      </c>
      <c r="D17" s="45">
        <v>10000</v>
      </c>
      <c r="E17" s="45">
        <f t="shared" si="0"/>
        <v>450000</v>
      </c>
      <c r="F17" s="45">
        <f t="shared" si="1"/>
        <v>50000</v>
      </c>
    </row>
    <row r="18" spans="1:6" x14ac:dyDescent="0.35">
      <c r="A18" s="44" t="s">
        <v>494</v>
      </c>
      <c r="B18" s="44">
        <v>7933</v>
      </c>
      <c r="C18" s="44" t="s">
        <v>454</v>
      </c>
      <c r="D18" s="45">
        <v>20000</v>
      </c>
      <c r="E18" s="45">
        <f t="shared" si="0"/>
        <v>470000</v>
      </c>
      <c r="F18" s="45">
        <f t="shared" si="1"/>
        <v>30000</v>
      </c>
    </row>
    <row r="19" spans="1:6" x14ac:dyDescent="0.35">
      <c r="A19" s="44" t="s">
        <v>495</v>
      </c>
      <c r="B19" s="44">
        <v>8438</v>
      </c>
      <c r="C19" s="44" t="s">
        <v>454</v>
      </c>
      <c r="D19" s="45">
        <v>10000</v>
      </c>
      <c r="E19" s="45">
        <f t="shared" si="0"/>
        <v>480000</v>
      </c>
      <c r="F19" s="45">
        <f t="shared" si="1"/>
        <v>20000</v>
      </c>
    </row>
    <row r="20" spans="1:6" x14ac:dyDescent="0.35">
      <c r="A20" s="44" t="s">
        <v>496</v>
      </c>
      <c r="B20" s="44">
        <v>10454</v>
      </c>
      <c r="C20" s="44" t="s">
        <v>454</v>
      </c>
      <c r="D20" s="45">
        <v>20000</v>
      </c>
      <c r="E20" s="45">
        <f t="shared" si="0"/>
        <v>500000</v>
      </c>
      <c r="F20" s="45">
        <f t="shared" si="1"/>
        <v>0</v>
      </c>
    </row>
    <row r="21" spans="1:6" ht="18.5" x14ac:dyDescent="0.45">
      <c r="A21" s="46" t="s">
        <v>174</v>
      </c>
      <c r="B21" s="1"/>
      <c r="C21" s="1"/>
    </row>
    <row r="22" spans="1:6" x14ac:dyDescent="0.35">
      <c r="A22" s="47" t="s">
        <v>554</v>
      </c>
      <c r="B22" s="47" t="s">
        <v>555</v>
      </c>
      <c r="C22" s="47" t="s">
        <v>556</v>
      </c>
      <c r="D22" s="47" t="s">
        <v>557</v>
      </c>
      <c r="E22" s="47" t="s">
        <v>558</v>
      </c>
      <c r="F22" s="47" t="s">
        <v>559</v>
      </c>
    </row>
    <row r="23" spans="1:6" x14ac:dyDescent="0.35">
      <c r="A23" s="6">
        <v>45965</v>
      </c>
      <c r="B23" s="5">
        <v>712</v>
      </c>
      <c r="C23" s="5" t="s">
        <v>543</v>
      </c>
      <c r="D23" s="7">
        <v>30000</v>
      </c>
      <c r="E23" s="7">
        <v>30000</v>
      </c>
      <c r="F23" s="7">
        <v>420000</v>
      </c>
    </row>
    <row r="24" spans="1:6" x14ac:dyDescent="0.35">
      <c r="A24" s="5" t="s">
        <v>560</v>
      </c>
      <c r="B24" s="5">
        <v>11828</v>
      </c>
      <c r="C24" s="5" t="s">
        <v>543</v>
      </c>
      <c r="D24" s="7">
        <v>20000</v>
      </c>
      <c r="E24" s="7">
        <f t="shared" ref="E24:E33" si="2">E23+D24</f>
        <v>50000</v>
      </c>
      <c r="F24" s="7">
        <f t="shared" ref="F24:F33" si="3">F23-D24</f>
        <v>400000</v>
      </c>
    </row>
    <row r="25" spans="1:6" x14ac:dyDescent="0.35">
      <c r="A25" s="6">
        <v>45908</v>
      </c>
      <c r="B25" s="5">
        <v>11843</v>
      </c>
      <c r="C25" s="5" t="s">
        <v>543</v>
      </c>
      <c r="D25" s="7">
        <v>20000</v>
      </c>
      <c r="E25" s="7">
        <f t="shared" si="2"/>
        <v>70000</v>
      </c>
      <c r="F25" s="7">
        <f t="shared" si="3"/>
        <v>380000</v>
      </c>
    </row>
    <row r="26" spans="1:6" x14ac:dyDescent="0.35">
      <c r="A26" s="5" t="s">
        <v>561</v>
      </c>
      <c r="B26" s="5">
        <v>3209</v>
      </c>
      <c r="C26" s="5" t="s">
        <v>543</v>
      </c>
      <c r="D26" s="7">
        <v>20000</v>
      </c>
      <c r="E26" s="7">
        <f t="shared" si="2"/>
        <v>90000</v>
      </c>
      <c r="F26" s="7">
        <f t="shared" si="3"/>
        <v>360000</v>
      </c>
    </row>
    <row r="27" spans="1:6" x14ac:dyDescent="0.35">
      <c r="A27" s="5" t="s">
        <v>562</v>
      </c>
      <c r="B27" s="5">
        <v>3377</v>
      </c>
      <c r="C27" s="5" t="s">
        <v>543</v>
      </c>
      <c r="D27" s="7">
        <v>10000</v>
      </c>
      <c r="E27" s="7">
        <f t="shared" si="2"/>
        <v>100000</v>
      </c>
      <c r="F27" s="7">
        <f t="shared" si="3"/>
        <v>350000</v>
      </c>
    </row>
    <row r="28" spans="1:6" x14ac:dyDescent="0.35">
      <c r="A28" s="6">
        <v>45941</v>
      </c>
      <c r="B28" s="5">
        <v>5005</v>
      </c>
      <c r="C28" s="5" t="s">
        <v>543</v>
      </c>
      <c r="D28" s="7">
        <v>10000</v>
      </c>
      <c r="E28" s="7">
        <f t="shared" si="2"/>
        <v>110000</v>
      </c>
      <c r="F28" s="7">
        <f t="shared" si="3"/>
        <v>340000</v>
      </c>
    </row>
    <row r="29" spans="1:6" x14ac:dyDescent="0.35">
      <c r="A29" s="5" t="s">
        <v>563</v>
      </c>
      <c r="B29" s="5">
        <v>5193</v>
      </c>
      <c r="C29" s="5" t="s">
        <v>543</v>
      </c>
      <c r="D29" s="7">
        <v>10000</v>
      </c>
      <c r="E29" s="7">
        <f t="shared" si="2"/>
        <v>120000</v>
      </c>
      <c r="F29" s="7">
        <f t="shared" si="3"/>
        <v>330000</v>
      </c>
    </row>
    <row r="30" spans="1:6" x14ac:dyDescent="0.35">
      <c r="A30" s="6">
        <v>46297</v>
      </c>
      <c r="B30" s="5">
        <v>5475</v>
      </c>
      <c r="C30" s="5" t="s">
        <v>543</v>
      </c>
      <c r="D30" s="7">
        <v>20000</v>
      </c>
      <c r="E30" s="7">
        <f t="shared" si="2"/>
        <v>140000</v>
      </c>
      <c r="F30" s="7">
        <f t="shared" si="3"/>
        <v>310000</v>
      </c>
    </row>
    <row r="31" spans="1:6" x14ac:dyDescent="0.35">
      <c r="A31" s="5" t="s">
        <v>564</v>
      </c>
      <c r="B31" s="5">
        <v>5943</v>
      </c>
      <c r="C31" s="5" t="s">
        <v>543</v>
      </c>
      <c r="D31" s="7">
        <v>20000</v>
      </c>
      <c r="E31" s="7">
        <f t="shared" si="2"/>
        <v>160000</v>
      </c>
      <c r="F31" s="7">
        <f t="shared" si="3"/>
        <v>290000</v>
      </c>
    </row>
    <row r="32" spans="1:6" x14ac:dyDescent="0.35">
      <c r="A32" s="6" t="s">
        <v>565</v>
      </c>
      <c r="B32" s="5">
        <v>1659</v>
      </c>
      <c r="C32" s="5" t="s">
        <v>543</v>
      </c>
      <c r="D32" s="7">
        <v>20000</v>
      </c>
      <c r="E32" s="7">
        <f t="shared" si="2"/>
        <v>180000</v>
      </c>
      <c r="F32" s="7">
        <f t="shared" si="3"/>
        <v>270000</v>
      </c>
    </row>
    <row r="33" spans="1:6" x14ac:dyDescent="0.35">
      <c r="A33" s="6">
        <v>46364</v>
      </c>
      <c r="B33" s="5">
        <v>3796</v>
      </c>
      <c r="C33" s="5" t="s">
        <v>543</v>
      </c>
      <c r="D33" s="7">
        <v>20000</v>
      </c>
      <c r="E33" s="7">
        <f t="shared" si="2"/>
        <v>200000</v>
      </c>
      <c r="F33" s="7">
        <f t="shared" si="3"/>
        <v>250000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opLeftCell="A29" workbookViewId="0">
      <selection activeCell="A5" sqref="A5"/>
    </sheetView>
  </sheetViews>
  <sheetFormatPr defaultRowHeight="14.5" x14ac:dyDescent="0.35"/>
  <cols>
    <col min="1" max="1" width="10.453125" bestFit="1" customWidth="1"/>
    <col min="3" max="3" width="13.54296875" customWidth="1"/>
    <col min="4" max="4" width="11.7265625" customWidth="1"/>
    <col min="5" max="5" width="10.26953125" customWidth="1"/>
    <col min="6" max="6" width="12.26953125" customWidth="1"/>
  </cols>
  <sheetData>
    <row r="1" spans="1:6" ht="18.5" x14ac:dyDescent="0.45">
      <c r="A1" s="1" t="s">
        <v>591</v>
      </c>
      <c r="B1" s="1"/>
      <c r="C1" s="2"/>
      <c r="D1" s="1"/>
      <c r="E1" s="1"/>
      <c r="F1" s="1"/>
    </row>
    <row r="2" spans="1:6" ht="18.5" x14ac:dyDescent="0.45">
      <c r="A2" s="1" t="s">
        <v>592</v>
      </c>
      <c r="C2" s="1"/>
      <c r="D2" s="1"/>
      <c r="E2" s="1"/>
      <c r="F2" s="1"/>
    </row>
    <row r="3" spans="1:6" ht="18.5" x14ac:dyDescent="0.45">
      <c r="A3" s="1" t="s">
        <v>593</v>
      </c>
      <c r="B3" s="1"/>
      <c r="C3" s="1"/>
      <c r="D3" s="1"/>
      <c r="E3" s="1"/>
      <c r="F3" s="1"/>
    </row>
    <row r="4" spans="1:6" ht="18.5" x14ac:dyDescent="0.45">
      <c r="A4" s="1" t="s">
        <v>594</v>
      </c>
      <c r="B4" s="1"/>
      <c r="C4" s="1"/>
      <c r="D4" s="1"/>
      <c r="E4" s="1"/>
      <c r="F4" s="1"/>
    </row>
    <row r="5" spans="1:6" ht="18.5" x14ac:dyDescent="0.45">
      <c r="A5" s="1" t="s">
        <v>413</v>
      </c>
      <c r="B5" s="1"/>
      <c r="C5" s="1"/>
      <c r="D5" s="1"/>
      <c r="E5" s="1"/>
      <c r="F5" s="1"/>
    </row>
    <row r="6" spans="1:6" ht="18.5" x14ac:dyDescent="0.45">
      <c r="A6" s="1" t="s">
        <v>580</v>
      </c>
      <c r="B6" s="1"/>
      <c r="C6" s="1"/>
      <c r="D6" s="1" t="s">
        <v>180</v>
      </c>
      <c r="E6" s="1"/>
      <c r="F6" s="1"/>
    </row>
    <row r="7" spans="1:6" ht="15.5" x14ac:dyDescent="0.35">
      <c r="A7" s="49" t="s">
        <v>0</v>
      </c>
      <c r="B7" s="49" t="s">
        <v>1</v>
      </c>
      <c r="C7" s="49" t="s">
        <v>2</v>
      </c>
      <c r="D7" s="49" t="s">
        <v>3</v>
      </c>
      <c r="E7" s="49" t="s">
        <v>4</v>
      </c>
      <c r="F7" s="49" t="s">
        <v>5</v>
      </c>
    </row>
    <row r="8" spans="1:6" x14ac:dyDescent="0.35">
      <c r="A8" s="44" t="s">
        <v>581</v>
      </c>
      <c r="B8" s="44">
        <v>1178</v>
      </c>
      <c r="C8" s="44" t="s">
        <v>454</v>
      </c>
      <c r="D8" s="44">
        <v>15000</v>
      </c>
      <c r="E8" s="44">
        <v>15000</v>
      </c>
      <c r="F8" s="45">
        <v>225000</v>
      </c>
    </row>
    <row r="9" spans="1:6" x14ac:dyDescent="0.35">
      <c r="A9" s="44" t="s">
        <v>582</v>
      </c>
      <c r="B9" s="44">
        <v>31</v>
      </c>
      <c r="C9" s="44" t="s">
        <v>587</v>
      </c>
      <c r="D9" s="45">
        <v>30000</v>
      </c>
      <c r="E9" s="45">
        <f t="shared" ref="E9:E22" si="0">E8+D9</f>
        <v>45000</v>
      </c>
      <c r="F9" s="45">
        <f t="shared" ref="F9:F22" si="1">F8-D9</f>
        <v>195000</v>
      </c>
    </row>
    <row r="10" spans="1:6" x14ac:dyDescent="0.35">
      <c r="A10" s="44" t="s">
        <v>583</v>
      </c>
      <c r="B10" s="44">
        <v>32</v>
      </c>
      <c r="C10" s="44" t="s">
        <v>454</v>
      </c>
      <c r="D10" s="44">
        <v>15000</v>
      </c>
      <c r="E10" s="45">
        <f t="shared" si="0"/>
        <v>60000</v>
      </c>
      <c r="F10" s="45">
        <f t="shared" si="1"/>
        <v>180000</v>
      </c>
    </row>
    <row r="11" spans="1:6" x14ac:dyDescent="0.35">
      <c r="A11" s="44" t="s">
        <v>584</v>
      </c>
      <c r="B11" s="44">
        <v>1379</v>
      </c>
      <c r="C11" s="44" t="s">
        <v>454</v>
      </c>
      <c r="D11" s="44">
        <v>15000</v>
      </c>
      <c r="E11" s="45">
        <f t="shared" si="0"/>
        <v>75000</v>
      </c>
      <c r="F11" s="45">
        <f t="shared" si="1"/>
        <v>165000</v>
      </c>
    </row>
    <row r="12" spans="1:6" x14ac:dyDescent="0.35">
      <c r="A12" s="44" t="s">
        <v>585</v>
      </c>
      <c r="B12" s="44">
        <v>190</v>
      </c>
      <c r="C12" s="44" t="s">
        <v>454</v>
      </c>
      <c r="D12" s="44">
        <v>15000</v>
      </c>
      <c r="E12" s="45">
        <f t="shared" si="0"/>
        <v>90000</v>
      </c>
      <c r="F12" s="45">
        <f t="shared" si="1"/>
        <v>150000</v>
      </c>
    </row>
    <row r="13" spans="1:6" x14ac:dyDescent="0.35">
      <c r="A13" s="21">
        <v>45052</v>
      </c>
      <c r="B13" s="44">
        <v>2134</v>
      </c>
      <c r="C13" s="44" t="s">
        <v>454</v>
      </c>
      <c r="D13" s="44">
        <v>15000</v>
      </c>
      <c r="E13" s="45">
        <f t="shared" si="0"/>
        <v>105000</v>
      </c>
      <c r="F13" s="45">
        <f t="shared" si="1"/>
        <v>135000</v>
      </c>
    </row>
    <row r="14" spans="1:6" x14ac:dyDescent="0.35">
      <c r="A14" s="44" t="s">
        <v>586</v>
      </c>
      <c r="B14" s="44">
        <v>2537</v>
      </c>
      <c r="C14" s="44" t="s">
        <v>454</v>
      </c>
      <c r="D14" s="44">
        <v>15000</v>
      </c>
      <c r="E14" s="45">
        <f t="shared" si="0"/>
        <v>120000</v>
      </c>
      <c r="F14" s="45">
        <f t="shared" si="1"/>
        <v>120000</v>
      </c>
    </row>
    <row r="15" spans="1:6" x14ac:dyDescent="0.35">
      <c r="A15" s="21">
        <v>45085</v>
      </c>
      <c r="B15" s="44">
        <v>2255</v>
      </c>
      <c r="C15" s="44" t="s">
        <v>454</v>
      </c>
      <c r="D15" s="44">
        <v>15000</v>
      </c>
      <c r="E15" s="45">
        <f t="shared" si="0"/>
        <v>135000</v>
      </c>
      <c r="F15" s="45">
        <f t="shared" si="1"/>
        <v>105000</v>
      </c>
    </row>
    <row r="16" spans="1:6" x14ac:dyDescent="0.35">
      <c r="A16" s="21">
        <v>45208</v>
      </c>
      <c r="B16" s="44">
        <v>3511</v>
      </c>
      <c r="C16" s="44" t="s">
        <v>454</v>
      </c>
      <c r="D16" s="44">
        <v>15000</v>
      </c>
      <c r="E16" s="45">
        <f t="shared" si="0"/>
        <v>150000</v>
      </c>
      <c r="F16" s="45">
        <f t="shared" si="1"/>
        <v>90000</v>
      </c>
    </row>
    <row r="17" spans="1:6" x14ac:dyDescent="0.35">
      <c r="A17" s="21">
        <v>45148</v>
      </c>
      <c r="B17" s="44">
        <v>4116</v>
      </c>
      <c r="C17" s="44" t="s">
        <v>454</v>
      </c>
      <c r="D17" s="44">
        <v>15000</v>
      </c>
      <c r="E17" s="45">
        <f t="shared" si="0"/>
        <v>165000</v>
      </c>
      <c r="F17" s="45">
        <f t="shared" si="1"/>
        <v>75000</v>
      </c>
    </row>
    <row r="18" spans="1:6" x14ac:dyDescent="0.35">
      <c r="A18" s="21">
        <v>45241</v>
      </c>
      <c r="B18" s="44">
        <v>4761</v>
      </c>
      <c r="C18" s="44" t="s">
        <v>454</v>
      </c>
      <c r="D18" s="44">
        <v>15000</v>
      </c>
      <c r="E18" s="45">
        <f t="shared" si="0"/>
        <v>180000</v>
      </c>
      <c r="F18" s="45">
        <f t="shared" si="1"/>
        <v>60000</v>
      </c>
    </row>
    <row r="19" spans="1:6" x14ac:dyDescent="0.35">
      <c r="A19" s="44" t="s">
        <v>588</v>
      </c>
      <c r="B19" s="44">
        <v>5671</v>
      </c>
      <c r="C19" s="44" t="s">
        <v>454</v>
      </c>
      <c r="D19" s="44">
        <v>15000</v>
      </c>
      <c r="E19" s="45">
        <f t="shared" si="0"/>
        <v>195000</v>
      </c>
      <c r="F19" s="45">
        <f t="shared" si="1"/>
        <v>45000</v>
      </c>
    </row>
    <row r="20" spans="1:6" x14ac:dyDescent="0.35">
      <c r="A20" s="21">
        <v>45540</v>
      </c>
      <c r="B20" s="44">
        <v>8365</v>
      </c>
      <c r="C20" s="44" t="s">
        <v>454</v>
      </c>
      <c r="D20" s="44">
        <v>15000</v>
      </c>
      <c r="E20" s="45">
        <f t="shared" si="0"/>
        <v>210000</v>
      </c>
      <c r="F20" s="45">
        <f t="shared" si="1"/>
        <v>30000</v>
      </c>
    </row>
    <row r="21" spans="1:6" x14ac:dyDescent="0.35">
      <c r="A21" s="44" t="s">
        <v>589</v>
      </c>
      <c r="B21" s="44">
        <v>9248</v>
      </c>
      <c r="C21" s="44" t="s">
        <v>454</v>
      </c>
      <c r="D21" s="44">
        <v>15000</v>
      </c>
      <c r="E21" s="45">
        <f t="shared" si="0"/>
        <v>225000</v>
      </c>
      <c r="F21" s="45">
        <f t="shared" si="1"/>
        <v>15000</v>
      </c>
    </row>
    <row r="22" spans="1:6" x14ac:dyDescent="0.35">
      <c r="A22" s="21">
        <v>45421</v>
      </c>
      <c r="B22" s="44">
        <v>10532</v>
      </c>
      <c r="C22" s="44" t="s">
        <v>454</v>
      </c>
      <c r="D22" s="45">
        <v>10000</v>
      </c>
      <c r="E22" s="45">
        <f t="shared" si="0"/>
        <v>235000</v>
      </c>
      <c r="F22" s="45">
        <f t="shared" si="1"/>
        <v>5000</v>
      </c>
    </row>
    <row r="24" spans="1:6" ht="18.5" x14ac:dyDescent="0.45">
      <c r="A24" s="1" t="s">
        <v>174</v>
      </c>
      <c r="B24" s="1"/>
      <c r="C24" s="1"/>
    </row>
    <row r="25" spans="1:6" ht="15.5" x14ac:dyDescent="0.35">
      <c r="A25" s="49" t="s">
        <v>0</v>
      </c>
      <c r="B25" s="49" t="s">
        <v>1</v>
      </c>
      <c r="C25" s="49" t="s">
        <v>2</v>
      </c>
      <c r="D25" s="49" t="s">
        <v>3</v>
      </c>
      <c r="E25" s="49" t="s">
        <v>4</v>
      </c>
      <c r="F25" s="49" t="s">
        <v>5</v>
      </c>
    </row>
    <row r="26" spans="1:6" x14ac:dyDescent="0.35">
      <c r="A26" s="44" t="s">
        <v>568</v>
      </c>
      <c r="B26" s="44">
        <v>3122</v>
      </c>
      <c r="C26" s="45" t="s">
        <v>590</v>
      </c>
      <c r="D26" s="45">
        <v>10000</v>
      </c>
      <c r="E26" s="45">
        <v>10000</v>
      </c>
      <c r="F26" s="45">
        <v>440000</v>
      </c>
    </row>
    <row r="27" spans="1:6" x14ac:dyDescent="0.35">
      <c r="A27" s="44" t="s">
        <v>569</v>
      </c>
      <c r="B27" s="44">
        <v>3429</v>
      </c>
      <c r="C27" s="45" t="s">
        <v>590</v>
      </c>
      <c r="D27" s="45">
        <v>10000</v>
      </c>
      <c r="E27" s="45">
        <f t="shared" ref="E27:E36" si="2">E26+D27</f>
        <v>20000</v>
      </c>
      <c r="F27" s="45">
        <f t="shared" ref="F27:F36" si="3">F26-D27</f>
        <v>430000</v>
      </c>
    </row>
    <row r="28" spans="1:6" x14ac:dyDescent="0.35">
      <c r="A28" s="44" t="s">
        <v>570</v>
      </c>
      <c r="B28" s="44">
        <v>3586</v>
      </c>
      <c r="C28" s="45" t="s">
        <v>590</v>
      </c>
      <c r="D28" s="45">
        <v>10000</v>
      </c>
      <c r="E28" s="45">
        <f t="shared" si="2"/>
        <v>30000</v>
      </c>
      <c r="F28" s="45">
        <f t="shared" si="3"/>
        <v>420000</v>
      </c>
    </row>
    <row r="29" spans="1:6" x14ac:dyDescent="0.35">
      <c r="A29" s="44" t="s">
        <v>571</v>
      </c>
      <c r="B29" s="44">
        <v>3398</v>
      </c>
      <c r="C29" s="45" t="s">
        <v>590</v>
      </c>
      <c r="D29" s="45">
        <v>10000</v>
      </c>
      <c r="E29" s="45">
        <f t="shared" si="2"/>
        <v>40000</v>
      </c>
      <c r="F29" s="45">
        <f t="shared" si="3"/>
        <v>410000</v>
      </c>
    </row>
    <row r="30" spans="1:6" x14ac:dyDescent="0.35">
      <c r="A30" s="44" t="s">
        <v>572</v>
      </c>
      <c r="B30" s="44">
        <v>5004</v>
      </c>
      <c r="C30" s="45" t="s">
        <v>590</v>
      </c>
      <c r="D30" s="45">
        <v>10000</v>
      </c>
      <c r="E30" s="45">
        <f t="shared" si="2"/>
        <v>50000</v>
      </c>
      <c r="F30" s="45">
        <f t="shared" si="3"/>
        <v>400000</v>
      </c>
    </row>
    <row r="31" spans="1:6" x14ac:dyDescent="0.35">
      <c r="A31" s="44" t="s">
        <v>573</v>
      </c>
      <c r="B31" s="44">
        <v>5159</v>
      </c>
      <c r="C31" s="45" t="s">
        <v>590</v>
      </c>
      <c r="D31" s="45">
        <v>10000</v>
      </c>
      <c r="E31" s="45">
        <f t="shared" si="2"/>
        <v>60000</v>
      </c>
      <c r="F31" s="45">
        <f t="shared" si="3"/>
        <v>390000</v>
      </c>
    </row>
    <row r="32" spans="1:6" x14ac:dyDescent="0.35">
      <c r="A32" s="44" t="s">
        <v>574</v>
      </c>
      <c r="B32" s="44">
        <v>5413</v>
      </c>
      <c r="C32" s="45" t="s">
        <v>590</v>
      </c>
      <c r="D32" s="45">
        <v>10000</v>
      </c>
      <c r="E32" s="45">
        <f t="shared" si="2"/>
        <v>70000</v>
      </c>
      <c r="F32" s="45">
        <f t="shared" si="3"/>
        <v>380000</v>
      </c>
    </row>
    <row r="33" spans="1:6" x14ac:dyDescent="0.35">
      <c r="A33" s="21">
        <v>46025</v>
      </c>
      <c r="B33" s="44">
        <v>5615</v>
      </c>
      <c r="C33" s="45" t="s">
        <v>590</v>
      </c>
      <c r="D33" s="45">
        <v>20000</v>
      </c>
      <c r="E33" s="45">
        <f t="shared" si="2"/>
        <v>90000</v>
      </c>
      <c r="F33" s="45">
        <f t="shared" si="3"/>
        <v>360000</v>
      </c>
    </row>
    <row r="34" spans="1:6" x14ac:dyDescent="0.35">
      <c r="A34" s="21">
        <v>46330</v>
      </c>
      <c r="B34" s="44">
        <v>5900</v>
      </c>
      <c r="C34" s="45" t="s">
        <v>590</v>
      </c>
      <c r="D34" s="45">
        <v>20000</v>
      </c>
      <c r="E34" s="45">
        <f t="shared" si="2"/>
        <v>110000</v>
      </c>
      <c r="F34" s="45">
        <f t="shared" si="3"/>
        <v>340000</v>
      </c>
    </row>
    <row r="35" spans="1:6" x14ac:dyDescent="0.35">
      <c r="A35" s="21">
        <v>46118</v>
      </c>
      <c r="B35" s="44">
        <v>1558</v>
      </c>
      <c r="C35" s="45" t="s">
        <v>590</v>
      </c>
      <c r="D35" s="45">
        <v>20000</v>
      </c>
      <c r="E35" s="45">
        <f t="shared" si="2"/>
        <v>130000</v>
      </c>
      <c r="F35" s="45">
        <f t="shared" si="3"/>
        <v>320000</v>
      </c>
    </row>
    <row r="36" spans="1:6" x14ac:dyDescent="0.35">
      <c r="A36" s="44" t="s">
        <v>576</v>
      </c>
      <c r="B36" s="44">
        <v>1916</v>
      </c>
      <c r="C36" s="45" t="s">
        <v>590</v>
      </c>
      <c r="D36" s="45">
        <v>20000</v>
      </c>
      <c r="E36" s="45">
        <f t="shared" si="2"/>
        <v>150000</v>
      </c>
      <c r="F36" s="45">
        <f t="shared" si="3"/>
        <v>300000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selection activeCell="A8" sqref="A8:G8"/>
    </sheetView>
  </sheetViews>
  <sheetFormatPr defaultRowHeight="14.5" x14ac:dyDescent="0.35"/>
  <sheetData>
    <row r="1" spans="1:6" x14ac:dyDescent="0.35">
      <c r="A1" t="s">
        <v>433</v>
      </c>
      <c r="B1" t="s">
        <v>535</v>
      </c>
    </row>
    <row r="2" spans="1:6" x14ac:dyDescent="0.35">
      <c r="A2" t="s">
        <v>434</v>
      </c>
      <c r="B2" t="s">
        <v>536</v>
      </c>
    </row>
    <row r="3" spans="1:6" x14ac:dyDescent="0.35">
      <c r="A3" t="s">
        <v>483</v>
      </c>
      <c r="B3" t="s">
        <v>537</v>
      </c>
    </row>
    <row r="4" spans="1:6" x14ac:dyDescent="0.35">
      <c r="A4" t="s">
        <v>503</v>
      </c>
      <c r="B4" t="s">
        <v>538</v>
      </c>
    </row>
    <row r="5" spans="1:6" x14ac:dyDescent="0.35">
      <c r="A5" t="s">
        <v>437</v>
      </c>
      <c r="B5" t="s">
        <v>504</v>
      </c>
    </row>
    <row r="6" spans="1:6" x14ac:dyDescent="0.35">
      <c r="A6" t="s">
        <v>438</v>
      </c>
      <c r="B6">
        <v>5464</v>
      </c>
    </row>
    <row r="8" spans="1:6" x14ac:dyDescent="0.35">
      <c r="A8" s="4" t="s">
        <v>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</row>
    <row r="9" spans="1:6" x14ac:dyDescent="0.35">
      <c r="A9" t="s">
        <v>505</v>
      </c>
      <c r="B9">
        <v>495</v>
      </c>
      <c r="C9" t="s">
        <v>516</v>
      </c>
      <c r="D9" s="14">
        <v>100000</v>
      </c>
      <c r="E9" s="14">
        <v>100000</v>
      </c>
      <c r="F9" s="14">
        <v>500000</v>
      </c>
    </row>
    <row r="10" spans="1:6" x14ac:dyDescent="0.35">
      <c r="A10" t="s">
        <v>506</v>
      </c>
      <c r="B10">
        <v>2719</v>
      </c>
      <c r="C10" t="s">
        <v>454</v>
      </c>
      <c r="D10" s="14">
        <v>10000</v>
      </c>
      <c r="E10" s="14">
        <f t="shared" ref="E10:E37" si="0">E9+D10</f>
        <v>110000</v>
      </c>
      <c r="F10" s="14">
        <f t="shared" ref="F10:F37" si="1">F9-D10</f>
        <v>490000</v>
      </c>
    </row>
    <row r="11" spans="1:6" x14ac:dyDescent="0.35">
      <c r="A11" t="s">
        <v>507</v>
      </c>
      <c r="B11">
        <v>2409</v>
      </c>
      <c r="C11" t="s">
        <v>454</v>
      </c>
      <c r="D11" s="14">
        <v>10000</v>
      </c>
      <c r="E11" s="14">
        <f t="shared" si="0"/>
        <v>120000</v>
      </c>
      <c r="F11" s="14">
        <f t="shared" si="1"/>
        <v>480000</v>
      </c>
    </row>
    <row r="12" spans="1:6" x14ac:dyDescent="0.35">
      <c r="A12" t="s">
        <v>508</v>
      </c>
      <c r="B12">
        <v>3568</v>
      </c>
      <c r="C12" t="s">
        <v>454</v>
      </c>
      <c r="D12" s="14">
        <v>10000</v>
      </c>
      <c r="E12" s="14">
        <f t="shared" si="0"/>
        <v>130000</v>
      </c>
      <c r="F12" s="14">
        <f t="shared" si="1"/>
        <v>470000</v>
      </c>
    </row>
    <row r="13" spans="1:6" x14ac:dyDescent="0.35">
      <c r="A13" t="s">
        <v>509</v>
      </c>
      <c r="B13">
        <v>4273</v>
      </c>
      <c r="C13" t="s">
        <v>454</v>
      </c>
      <c r="D13" s="14">
        <v>10000</v>
      </c>
      <c r="E13" s="14">
        <f t="shared" si="0"/>
        <v>140000</v>
      </c>
      <c r="F13" s="14">
        <f t="shared" si="1"/>
        <v>460000</v>
      </c>
    </row>
    <row r="14" spans="1:6" x14ac:dyDescent="0.35">
      <c r="A14" t="s">
        <v>510</v>
      </c>
      <c r="B14">
        <v>5155</v>
      </c>
      <c r="C14" t="s">
        <v>454</v>
      </c>
      <c r="D14" s="14">
        <v>10000</v>
      </c>
      <c r="E14" s="14">
        <f t="shared" si="0"/>
        <v>150000</v>
      </c>
      <c r="F14" s="14">
        <f t="shared" si="1"/>
        <v>450000</v>
      </c>
    </row>
    <row r="15" spans="1:6" x14ac:dyDescent="0.35">
      <c r="A15" t="s">
        <v>511</v>
      </c>
      <c r="B15">
        <v>5644</v>
      </c>
      <c r="C15" t="s">
        <v>454</v>
      </c>
      <c r="D15" s="14">
        <v>10000</v>
      </c>
      <c r="E15" s="14">
        <f t="shared" si="0"/>
        <v>160000</v>
      </c>
      <c r="F15" s="14">
        <f t="shared" si="1"/>
        <v>440000</v>
      </c>
    </row>
    <row r="16" spans="1:6" x14ac:dyDescent="0.35">
      <c r="A16" t="s">
        <v>512</v>
      </c>
      <c r="B16">
        <v>7057</v>
      </c>
      <c r="C16" t="s">
        <v>454</v>
      </c>
      <c r="D16" s="14">
        <v>10000</v>
      </c>
      <c r="E16" s="14">
        <f t="shared" si="0"/>
        <v>170000</v>
      </c>
      <c r="F16" s="14">
        <f t="shared" si="1"/>
        <v>430000</v>
      </c>
    </row>
    <row r="17" spans="1:6" x14ac:dyDescent="0.35">
      <c r="A17" t="s">
        <v>513</v>
      </c>
      <c r="B17">
        <v>7360</v>
      </c>
      <c r="C17" t="s">
        <v>454</v>
      </c>
      <c r="D17" s="14">
        <v>15000</v>
      </c>
      <c r="E17" s="14">
        <f t="shared" si="0"/>
        <v>185000</v>
      </c>
      <c r="F17" s="14">
        <f t="shared" si="1"/>
        <v>415000</v>
      </c>
    </row>
    <row r="18" spans="1:6" x14ac:dyDescent="0.35">
      <c r="A18" t="s">
        <v>514</v>
      </c>
      <c r="B18">
        <v>7843</v>
      </c>
      <c r="C18" t="s">
        <v>454</v>
      </c>
      <c r="D18" s="14">
        <v>10000</v>
      </c>
      <c r="E18" s="14">
        <f t="shared" si="0"/>
        <v>195000</v>
      </c>
      <c r="F18" s="14">
        <f t="shared" si="1"/>
        <v>405000</v>
      </c>
    </row>
    <row r="19" spans="1:6" x14ac:dyDescent="0.35">
      <c r="A19" t="s">
        <v>515</v>
      </c>
      <c r="B19">
        <v>8608</v>
      </c>
      <c r="C19" t="s">
        <v>454</v>
      </c>
      <c r="D19" s="14">
        <v>10000</v>
      </c>
      <c r="E19" s="14">
        <f t="shared" si="0"/>
        <v>205000</v>
      </c>
      <c r="F19" s="14">
        <f t="shared" si="1"/>
        <v>395000</v>
      </c>
    </row>
    <row r="20" spans="1:6" x14ac:dyDescent="0.35">
      <c r="A20" t="s">
        <v>517</v>
      </c>
      <c r="B20">
        <v>9130</v>
      </c>
      <c r="C20" t="s">
        <v>454</v>
      </c>
      <c r="D20" s="14">
        <v>10000</v>
      </c>
      <c r="E20" s="14">
        <f t="shared" si="0"/>
        <v>215000</v>
      </c>
      <c r="F20" s="14">
        <f t="shared" si="1"/>
        <v>385000</v>
      </c>
    </row>
    <row r="21" spans="1:6" x14ac:dyDescent="0.35">
      <c r="A21" t="s">
        <v>518</v>
      </c>
      <c r="B21">
        <v>9615</v>
      </c>
      <c r="C21" t="s">
        <v>454</v>
      </c>
      <c r="D21" s="14">
        <v>10000</v>
      </c>
      <c r="E21" s="14">
        <f t="shared" si="0"/>
        <v>225000</v>
      </c>
      <c r="F21" s="14">
        <f t="shared" si="1"/>
        <v>375000</v>
      </c>
    </row>
    <row r="22" spans="1:6" x14ac:dyDescent="0.35">
      <c r="A22" t="s">
        <v>519</v>
      </c>
      <c r="B22">
        <v>12735</v>
      </c>
      <c r="C22" t="s">
        <v>454</v>
      </c>
      <c r="D22" s="14">
        <v>20000</v>
      </c>
      <c r="E22" s="14">
        <f t="shared" si="0"/>
        <v>245000</v>
      </c>
      <c r="F22" s="14">
        <f t="shared" si="1"/>
        <v>355000</v>
      </c>
    </row>
    <row r="23" spans="1:6" x14ac:dyDescent="0.35">
      <c r="A23" t="s">
        <v>520</v>
      </c>
      <c r="B23">
        <v>10378</v>
      </c>
      <c r="C23" t="s">
        <v>454</v>
      </c>
      <c r="D23" s="14">
        <v>10000</v>
      </c>
      <c r="E23" s="14">
        <f t="shared" si="0"/>
        <v>255000</v>
      </c>
      <c r="F23" s="14">
        <f t="shared" si="1"/>
        <v>345000</v>
      </c>
    </row>
    <row r="24" spans="1:6" x14ac:dyDescent="0.35">
      <c r="A24" t="s">
        <v>521</v>
      </c>
      <c r="B24">
        <v>12460</v>
      </c>
      <c r="C24" t="s">
        <v>454</v>
      </c>
      <c r="D24" s="14">
        <v>8000</v>
      </c>
      <c r="E24" s="14">
        <f t="shared" si="0"/>
        <v>263000</v>
      </c>
      <c r="F24" s="14">
        <f t="shared" si="1"/>
        <v>337000</v>
      </c>
    </row>
    <row r="25" spans="1:6" x14ac:dyDescent="0.35">
      <c r="A25" t="s">
        <v>522</v>
      </c>
      <c r="B25">
        <v>12061</v>
      </c>
      <c r="C25" t="s">
        <v>454</v>
      </c>
      <c r="D25" s="14">
        <v>10000</v>
      </c>
      <c r="E25" s="14">
        <f t="shared" si="0"/>
        <v>273000</v>
      </c>
      <c r="F25" s="14">
        <f t="shared" si="1"/>
        <v>327000</v>
      </c>
    </row>
    <row r="26" spans="1:6" x14ac:dyDescent="0.35">
      <c r="A26" t="s">
        <v>523</v>
      </c>
      <c r="B26">
        <v>715</v>
      </c>
      <c r="C26" t="s">
        <v>454</v>
      </c>
      <c r="D26" s="14">
        <v>10000</v>
      </c>
      <c r="E26" s="14">
        <f t="shared" si="0"/>
        <v>283000</v>
      </c>
      <c r="F26" s="14">
        <f t="shared" si="1"/>
        <v>317000</v>
      </c>
    </row>
    <row r="27" spans="1:6" x14ac:dyDescent="0.35">
      <c r="A27" t="s">
        <v>524</v>
      </c>
      <c r="B27">
        <v>9549</v>
      </c>
      <c r="C27" t="s">
        <v>454</v>
      </c>
      <c r="D27" s="14">
        <v>10000</v>
      </c>
      <c r="E27" s="14">
        <f t="shared" si="0"/>
        <v>293000</v>
      </c>
      <c r="F27" s="14">
        <f t="shared" si="1"/>
        <v>307000</v>
      </c>
    </row>
    <row r="28" spans="1:6" x14ac:dyDescent="0.35">
      <c r="A28" t="s">
        <v>525</v>
      </c>
      <c r="B28">
        <v>10974</v>
      </c>
      <c r="C28" t="s">
        <v>454</v>
      </c>
      <c r="D28" s="14">
        <v>10000</v>
      </c>
      <c r="E28" s="14">
        <f t="shared" si="0"/>
        <v>303000</v>
      </c>
      <c r="F28" s="14">
        <f t="shared" si="1"/>
        <v>297000</v>
      </c>
    </row>
    <row r="29" spans="1:6" x14ac:dyDescent="0.35">
      <c r="A29" t="s">
        <v>526</v>
      </c>
      <c r="B29">
        <v>10287</v>
      </c>
      <c r="C29" t="s">
        <v>454</v>
      </c>
      <c r="D29" s="14">
        <v>20000</v>
      </c>
      <c r="E29" s="14">
        <f t="shared" si="0"/>
        <v>323000</v>
      </c>
      <c r="F29" s="14">
        <f t="shared" si="1"/>
        <v>277000</v>
      </c>
    </row>
    <row r="30" spans="1:6" x14ac:dyDescent="0.35">
      <c r="A30" t="s">
        <v>527</v>
      </c>
      <c r="B30">
        <v>12407</v>
      </c>
      <c r="C30" t="s">
        <v>454</v>
      </c>
      <c r="D30" s="14">
        <v>10000</v>
      </c>
      <c r="E30" s="14">
        <f t="shared" si="0"/>
        <v>333000</v>
      </c>
      <c r="F30" s="14">
        <f t="shared" si="1"/>
        <v>267000</v>
      </c>
    </row>
    <row r="31" spans="1:6" x14ac:dyDescent="0.35">
      <c r="A31" t="s">
        <v>528</v>
      </c>
      <c r="B31">
        <v>13411</v>
      </c>
      <c r="C31" t="s">
        <v>454</v>
      </c>
      <c r="D31" s="14">
        <v>10000</v>
      </c>
      <c r="E31" s="14">
        <f t="shared" si="0"/>
        <v>343000</v>
      </c>
      <c r="F31" s="14">
        <f t="shared" si="1"/>
        <v>257000</v>
      </c>
    </row>
    <row r="32" spans="1:6" x14ac:dyDescent="0.35">
      <c r="A32" t="s">
        <v>529</v>
      </c>
      <c r="B32">
        <v>13250</v>
      </c>
      <c r="C32" t="s">
        <v>454</v>
      </c>
      <c r="D32" s="14">
        <v>9000</v>
      </c>
      <c r="E32" s="14">
        <f t="shared" si="0"/>
        <v>352000</v>
      </c>
      <c r="F32" s="14">
        <f t="shared" si="1"/>
        <v>248000</v>
      </c>
    </row>
    <row r="33" spans="1:6" x14ac:dyDescent="0.35">
      <c r="A33" t="s">
        <v>530</v>
      </c>
      <c r="B33">
        <v>12156</v>
      </c>
      <c r="C33" t="s">
        <v>454</v>
      </c>
      <c r="D33" s="14">
        <v>10000</v>
      </c>
      <c r="E33" s="14">
        <f t="shared" si="0"/>
        <v>362000</v>
      </c>
      <c r="F33" s="14">
        <f t="shared" si="1"/>
        <v>238000</v>
      </c>
    </row>
    <row r="34" spans="1:6" x14ac:dyDescent="0.35">
      <c r="A34" t="s">
        <v>531</v>
      </c>
      <c r="B34">
        <v>12574</v>
      </c>
      <c r="C34" t="s">
        <v>454</v>
      </c>
      <c r="D34" s="14">
        <v>10000</v>
      </c>
      <c r="E34" s="14">
        <f t="shared" si="0"/>
        <v>372000</v>
      </c>
      <c r="F34" s="14">
        <f t="shared" si="1"/>
        <v>228000</v>
      </c>
    </row>
    <row r="35" spans="1:6" x14ac:dyDescent="0.35">
      <c r="A35" t="s">
        <v>532</v>
      </c>
      <c r="B35">
        <v>13012</v>
      </c>
      <c r="C35" t="s">
        <v>454</v>
      </c>
      <c r="D35" s="14">
        <v>10000</v>
      </c>
      <c r="E35" s="14">
        <f t="shared" si="0"/>
        <v>382000</v>
      </c>
      <c r="F35" s="14">
        <f t="shared" si="1"/>
        <v>218000</v>
      </c>
    </row>
    <row r="36" spans="1:6" x14ac:dyDescent="0.35">
      <c r="A36" t="s">
        <v>533</v>
      </c>
      <c r="B36">
        <v>1323</v>
      </c>
      <c r="C36" t="s">
        <v>454</v>
      </c>
      <c r="D36" s="14">
        <v>20000</v>
      </c>
      <c r="E36" s="14">
        <f t="shared" si="0"/>
        <v>402000</v>
      </c>
      <c r="F36" s="14">
        <f t="shared" si="1"/>
        <v>198000</v>
      </c>
    </row>
    <row r="37" spans="1:6" x14ac:dyDescent="0.35">
      <c r="A37" t="s">
        <v>534</v>
      </c>
      <c r="B37">
        <v>10242</v>
      </c>
      <c r="C37" t="s">
        <v>454</v>
      </c>
      <c r="D37" s="14">
        <v>10000</v>
      </c>
      <c r="E37" s="14">
        <f t="shared" si="0"/>
        <v>412000</v>
      </c>
      <c r="F37" s="14">
        <f t="shared" si="1"/>
        <v>188000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C14" sqref="C14:C15"/>
    </sheetView>
  </sheetViews>
  <sheetFormatPr defaultRowHeight="14.5" x14ac:dyDescent="0.35"/>
  <cols>
    <col min="3" max="3" width="11.08984375" customWidth="1"/>
    <col min="4" max="4" width="11.54296875" customWidth="1"/>
    <col min="5" max="5" width="10.36328125" customWidth="1"/>
    <col min="6" max="6" width="12.7265625" customWidth="1"/>
  </cols>
  <sheetData>
    <row r="1" spans="1:8" ht="18.5" x14ac:dyDescent="0.45">
      <c r="A1" s="1" t="s">
        <v>600</v>
      </c>
      <c r="F1" s="1"/>
      <c r="G1" s="1" t="s">
        <v>611</v>
      </c>
      <c r="H1" s="1"/>
    </row>
    <row r="2" spans="1:8" ht="18.5" x14ac:dyDescent="0.45">
      <c r="A2" s="1" t="s">
        <v>601</v>
      </c>
      <c r="F2" s="1"/>
      <c r="G2" s="1" t="s">
        <v>612</v>
      </c>
      <c r="H2" s="1"/>
    </row>
    <row r="3" spans="1:8" ht="18.5" x14ac:dyDescent="0.45">
      <c r="A3" s="1" t="s">
        <v>602</v>
      </c>
      <c r="F3" s="1"/>
      <c r="G3" s="1" t="s">
        <v>613</v>
      </c>
      <c r="H3" s="1"/>
    </row>
    <row r="4" spans="1:8" ht="18.5" x14ac:dyDescent="0.45">
      <c r="A4" s="1" t="s">
        <v>603</v>
      </c>
    </row>
    <row r="5" spans="1:8" ht="18.5" x14ac:dyDescent="0.45">
      <c r="A5" s="1" t="s">
        <v>604</v>
      </c>
      <c r="D5" s="1"/>
      <c r="E5" s="1" t="s">
        <v>610</v>
      </c>
      <c r="F5" s="1"/>
      <c r="G5" s="1"/>
    </row>
    <row r="6" spans="1:8" ht="18.5" x14ac:dyDescent="0.45">
      <c r="A6" s="1" t="s">
        <v>615</v>
      </c>
    </row>
    <row r="7" spans="1:8" ht="18.5" x14ac:dyDescent="0.45">
      <c r="A7" s="60"/>
      <c r="B7" s="60" t="s">
        <v>605</v>
      </c>
      <c r="C7" s="60"/>
    </row>
    <row r="8" spans="1:8" ht="18.5" x14ac:dyDescent="0.45">
      <c r="A8" s="1" t="s">
        <v>606</v>
      </c>
      <c r="B8" s="1"/>
      <c r="C8" s="2"/>
      <c r="D8" s="1"/>
    </row>
    <row r="9" spans="1:8" ht="18.5" x14ac:dyDescent="0.45">
      <c r="A9" s="1" t="s">
        <v>607</v>
      </c>
      <c r="B9" s="37"/>
      <c r="C9" s="1"/>
      <c r="D9" s="1"/>
    </row>
    <row r="10" spans="1:8" ht="18.5" x14ac:dyDescent="0.45">
      <c r="A10" s="1" t="s">
        <v>608</v>
      </c>
      <c r="B10" s="1"/>
      <c r="C10" s="1"/>
      <c r="D10" s="1"/>
    </row>
    <row r="11" spans="1:8" ht="18.5" x14ac:dyDescent="0.45">
      <c r="A11" s="1" t="s">
        <v>609</v>
      </c>
      <c r="B11" s="1"/>
      <c r="C11" s="1"/>
      <c r="D11" s="1"/>
    </row>
    <row r="12" spans="1:8" x14ac:dyDescent="0.35">
      <c r="A12" s="51" t="s">
        <v>0</v>
      </c>
      <c r="B12" s="51" t="s">
        <v>1</v>
      </c>
      <c r="C12" s="51" t="s">
        <v>2</v>
      </c>
      <c r="D12" s="51" t="s">
        <v>3</v>
      </c>
      <c r="E12" s="51" t="s">
        <v>4</v>
      </c>
      <c r="F12" s="51" t="s">
        <v>5</v>
      </c>
    </row>
    <row r="13" spans="1:8" x14ac:dyDescent="0.35">
      <c r="A13" s="61" t="s">
        <v>614</v>
      </c>
      <c r="B13">
        <v>2128</v>
      </c>
      <c r="C13" t="s">
        <v>516</v>
      </c>
      <c r="D13" s="14">
        <v>100000</v>
      </c>
      <c r="E13" s="14">
        <v>100000</v>
      </c>
      <c r="F13" s="14">
        <v>700000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L-5404</vt:lpstr>
      <vt:lpstr>L-5429</vt:lpstr>
      <vt:lpstr>L-5435</vt:lpstr>
      <vt:lpstr>L-5436</vt:lpstr>
      <vt:lpstr>L-5437</vt:lpstr>
      <vt:lpstr>L-5438</vt:lpstr>
      <vt:lpstr>L-5441</vt:lpstr>
      <vt:lpstr>Sheet1</vt:lpstr>
      <vt:lpstr>L-5442</vt:lpstr>
      <vt:lpstr>L-5444</vt:lpstr>
      <vt:lpstr>L-5446</vt:lpstr>
      <vt:lpstr>L-5443</vt:lpstr>
      <vt:lpstr>L-5451</vt:lpstr>
      <vt:lpstr>L-5453</vt:lpstr>
      <vt:lpstr>L-5454</vt:lpstr>
      <vt:lpstr>L-5455</vt:lpstr>
      <vt:lpstr>L-5456</vt:lpstr>
      <vt:lpstr>L-5458</vt:lpstr>
      <vt:lpstr>L-5462</vt:lpstr>
      <vt:lpstr>L-5463</vt:lpstr>
      <vt:lpstr>L-5465</vt:lpstr>
      <vt:lpstr>L-5467</vt:lpstr>
      <vt:lpstr>L-5472</vt:lpstr>
      <vt:lpstr>L-5440</vt:lpstr>
      <vt:lpstr>L-5474</vt:lpstr>
      <vt:lpstr>L-5475</vt:lpstr>
      <vt:lpstr>L-5461</vt:lpstr>
      <vt:lpstr>L-5479</vt:lpstr>
      <vt:lpstr>L-5483</vt:lpstr>
      <vt:lpstr>L-5499</vt:lpstr>
      <vt:lpstr>L-5416</vt:lpstr>
      <vt:lpstr>L-5481</vt:lpstr>
      <vt:lpstr>L-5468</vt:lpstr>
      <vt:lpstr>L-5476</vt:lpstr>
      <vt:lpstr>L-5450</vt:lpstr>
      <vt:lpstr>L-5464</vt:lpstr>
      <vt:lpstr>L-5445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cv</cp:lastModifiedBy>
  <dcterms:created xsi:type="dcterms:W3CDTF">2026-02-22T00:47:34Z</dcterms:created>
  <dcterms:modified xsi:type="dcterms:W3CDTF">2026-09-28T10:59:05Z</dcterms:modified>
</cp:coreProperties>
</file>