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LOT-6001-7000\"/>
    </mc:Choice>
  </mc:AlternateContent>
  <xr:revisionPtr revIDLastSave="0" documentId="13_ncr:1_{890E8CBD-9AC1-455B-A306-E7F9295EAA49}" xr6:coauthVersionLast="47" xr6:coauthVersionMax="47" xr10:uidLastSave="{00000000-0000-0000-0000-000000000000}"/>
  <bookViews>
    <workbookView xWindow="-110" yWindow="-110" windowWidth="19420" windowHeight="10420" firstSheet="33" activeTab="42" xr2:uid="{2CF240DA-9C1D-42C0-9289-D140680E5886}"/>
  </bookViews>
  <sheets>
    <sheet name="MATEEN" sheetId="20" r:id="rId1"/>
    <sheet name="L-6101" sheetId="13" r:id="rId2"/>
    <sheet name="Amir Ali" sheetId="36" r:id="rId3"/>
    <sheet name="L-6102" sheetId="19" r:id="rId4"/>
    <sheet name="L-6103" sheetId="18" r:id="rId5"/>
    <sheet name="L-6106" sheetId="27" r:id="rId6"/>
    <sheet name="L-6109" sheetId="34" r:id="rId7"/>
    <sheet name="L-6110" sheetId="29" r:id="rId8"/>
    <sheet name="L-6111" sheetId="33" r:id="rId9"/>
    <sheet name="L-6112" sheetId="25" r:id="rId10"/>
    <sheet name="L-6113" sheetId="24" r:id="rId11"/>
    <sheet name="L-6115" sheetId="23" r:id="rId12"/>
    <sheet name="L-6117" sheetId="16" r:id="rId13"/>
    <sheet name="L-6152" sheetId="28" r:id="rId14"/>
    <sheet name="L-6157" sheetId="45" r:id="rId15"/>
    <sheet name="L-6158" sheetId="4" r:id="rId16"/>
    <sheet name="L-6159" sheetId="5" r:id="rId17"/>
    <sheet name="L-6160" sheetId="3" r:id="rId18"/>
    <sheet name="L-6162" sheetId="2" r:id="rId19"/>
    <sheet name="L-6163" sheetId="32" r:id="rId20"/>
    <sheet name="L-6164 D" sheetId="6" r:id="rId21"/>
    <sheet name="L-6164-B" sheetId="7" r:id="rId22"/>
    <sheet name="L-6164G" sheetId="15" r:id="rId23"/>
    <sheet name="L-6167" sheetId="21" r:id="rId24"/>
    <sheet name="L-6168" sheetId="22" r:id="rId25"/>
    <sheet name="L-6171" sheetId="26" r:id="rId26"/>
    <sheet name="L-6173" sheetId="46" r:id="rId27"/>
    <sheet name="L-6174" sheetId="9" r:id="rId28"/>
    <sheet name="L-6176" sheetId="14" r:id="rId29"/>
    <sheet name="L-6182" sheetId="12" r:id="rId30"/>
    <sheet name="L-6183" sheetId="11" r:id="rId31"/>
    <sheet name="L-6184" sheetId="10" r:id="rId32"/>
    <sheet name="L-6185" sheetId="1" r:id="rId33"/>
    <sheet name="Faheem" sheetId="35" r:id="rId34"/>
    <sheet name="L-6155" sheetId="38" r:id="rId35"/>
    <sheet name="L-6118" sheetId="40" r:id="rId36"/>
    <sheet name="L-6170" sheetId="41" r:id="rId37"/>
    <sheet name="L-6099" sheetId="42" r:id="rId38"/>
    <sheet name="L-6105" sheetId="43" r:id="rId39"/>
    <sheet name="L-6104" sheetId="44" r:id="rId40"/>
    <sheet name="6177A" sheetId="47" r:id="rId41"/>
    <sheet name="6177B" sheetId="48" r:id="rId42"/>
    <sheet name="L-6100" sheetId="49" r:id="rId4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49" l="1"/>
  <c r="F15" i="49"/>
  <c r="F14" i="49"/>
  <c r="F13" i="49"/>
  <c r="F12" i="49"/>
  <c r="F11" i="49"/>
  <c r="F10" i="49"/>
  <c r="F9" i="49"/>
  <c r="E16" i="49"/>
  <c r="E15" i="49"/>
  <c r="E14" i="49"/>
  <c r="E13" i="49"/>
  <c r="E12" i="49"/>
  <c r="E11" i="49"/>
  <c r="E10" i="49"/>
  <c r="E9" i="49"/>
  <c r="F16" i="26"/>
  <c r="E16" i="26"/>
  <c r="F13" i="18"/>
  <c r="E13" i="18"/>
  <c r="F39" i="9"/>
  <c r="E39" i="9"/>
  <c r="F20" i="14"/>
  <c r="F19" i="14"/>
  <c r="E20" i="14"/>
  <c r="E19" i="14"/>
  <c r="F49" i="34"/>
  <c r="F48" i="34"/>
  <c r="F47" i="34"/>
  <c r="F46" i="34"/>
  <c r="E49" i="34"/>
  <c r="E48" i="34"/>
  <c r="E47" i="34"/>
  <c r="E46" i="34"/>
  <c r="F44" i="11"/>
  <c r="F43" i="11"/>
  <c r="E44" i="11"/>
  <c r="E43" i="11"/>
  <c r="F16" i="1"/>
  <c r="E16" i="1"/>
  <c r="F47" i="21"/>
  <c r="E47" i="21"/>
  <c r="F46" i="21"/>
  <c r="E46" i="21"/>
  <c r="F45" i="21"/>
  <c r="E45" i="21"/>
  <c r="F44" i="21"/>
  <c r="E44" i="21"/>
  <c r="F43" i="21"/>
  <c r="E43" i="21"/>
  <c r="F42" i="21"/>
  <c r="E42" i="21"/>
  <c r="F41" i="21"/>
  <c r="E41" i="21"/>
  <c r="F40" i="21"/>
  <c r="E40" i="21"/>
  <c r="F39" i="21"/>
  <c r="E39" i="21"/>
  <c r="F38" i="21"/>
  <c r="E38" i="21"/>
  <c r="F37" i="21"/>
  <c r="E37" i="21"/>
  <c r="F36" i="21"/>
  <c r="E36" i="21"/>
  <c r="F35" i="21"/>
  <c r="E35" i="21"/>
  <c r="F34" i="21"/>
  <c r="E34" i="21"/>
  <c r="F33" i="21"/>
  <c r="E33" i="21"/>
  <c r="F32" i="21"/>
  <c r="E32" i="21"/>
  <c r="F31" i="21"/>
  <c r="E31" i="21"/>
  <c r="F30" i="21"/>
  <c r="F29" i="21"/>
  <c r="E30" i="21"/>
  <c r="E29" i="21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45" i="10"/>
  <c r="E45" i="10"/>
  <c r="F44" i="10"/>
  <c r="E44" i="10"/>
  <c r="F49" i="12"/>
  <c r="E49" i="12"/>
  <c r="F48" i="12"/>
  <c r="E48" i="12"/>
  <c r="F25" i="47"/>
  <c r="E25" i="47"/>
  <c r="F24" i="47"/>
  <c r="E24" i="47"/>
  <c r="F23" i="47"/>
  <c r="E23" i="47"/>
  <c r="F22" i="47"/>
  <c r="E22" i="47"/>
  <c r="F21" i="47"/>
  <c r="E21" i="47"/>
  <c r="F20" i="47"/>
  <c r="E20" i="47"/>
  <c r="F19" i="47"/>
  <c r="E19" i="47"/>
  <c r="F18" i="47"/>
  <c r="E18" i="47"/>
  <c r="F17" i="47"/>
  <c r="E17" i="47"/>
  <c r="F16" i="47"/>
  <c r="E16" i="47"/>
  <c r="F15" i="47"/>
  <c r="E15" i="47"/>
  <c r="F14" i="47"/>
  <c r="E14" i="47"/>
  <c r="F13" i="47"/>
  <c r="E13" i="47"/>
  <c r="F12" i="47"/>
  <c r="E12" i="47"/>
  <c r="F11" i="47"/>
  <c r="E11" i="47"/>
  <c r="F10" i="47"/>
  <c r="E10" i="47"/>
  <c r="F25" i="48"/>
  <c r="E25" i="48"/>
  <c r="F24" i="48"/>
  <c r="E24" i="48"/>
  <c r="F23" i="48"/>
  <c r="E23" i="48"/>
  <c r="F22" i="48"/>
  <c r="E22" i="48"/>
  <c r="F21" i="48"/>
  <c r="E21" i="48"/>
  <c r="F20" i="48"/>
  <c r="E20" i="48"/>
  <c r="F19" i="48"/>
  <c r="E19" i="48"/>
  <c r="F18" i="48"/>
  <c r="E18" i="48"/>
  <c r="F17" i="48"/>
  <c r="E17" i="48"/>
  <c r="F16" i="48"/>
  <c r="E16" i="48"/>
  <c r="F15" i="48"/>
  <c r="E15" i="48"/>
  <c r="F14" i="48"/>
  <c r="E14" i="48"/>
  <c r="F13" i="48"/>
  <c r="E13" i="48"/>
  <c r="F12" i="48"/>
  <c r="E12" i="48"/>
  <c r="F11" i="48"/>
  <c r="E11" i="48"/>
  <c r="F10" i="48"/>
  <c r="E10" i="48"/>
  <c r="F34" i="6" l="1"/>
  <c r="E34" i="6"/>
  <c r="F33" i="6"/>
  <c r="E33" i="6"/>
  <c r="F36" i="7"/>
  <c r="E36" i="7"/>
  <c r="F35" i="7"/>
  <c r="E35" i="7"/>
  <c r="F44" i="40"/>
  <c r="E44" i="40"/>
  <c r="F19" i="46"/>
  <c r="F18" i="46"/>
  <c r="F17" i="46"/>
  <c r="F16" i="46"/>
  <c r="F15" i="46"/>
  <c r="F14" i="46"/>
  <c r="F13" i="46"/>
  <c r="F12" i="46"/>
  <c r="F11" i="46"/>
  <c r="F10" i="46"/>
  <c r="E19" i="46"/>
  <c r="E18" i="46"/>
  <c r="E17" i="46"/>
  <c r="E16" i="46"/>
  <c r="E15" i="46"/>
  <c r="E14" i="46"/>
  <c r="E13" i="46"/>
  <c r="E12" i="46"/>
  <c r="E11" i="46"/>
  <c r="E10" i="46"/>
  <c r="F15" i="26"/>
  <c r="E15" i="26"/>
  <c r="F15" i="36"/>
  <c r="E15" i="36"/>
  <c r="F15" i="1"/>
  <c r="E15" i="1"/>
  <c r="F12" i="18"/>
  <c r="F11" i="18"/>
  <c r="E12" i="18"/>
  <c r="E11" i="18"/>
  <c r="F38" i="45"/>
  <c r="F37" i="45"/>
  <c r="F36" i="45"/>
  <c r="F35" i="45"/>
  <c r="F34" i="45"/>
  <c r="F33" i="45"/>
  <c r="F32" i="45"/>
  <c r="F31" i="45"/>
  <c r="F30" i="45"/>
  <c r="F29" i="45"/>
  <c r="F28" i="45"/>
  <c r="F27" i="45"/>
  <c r="F26" i="45"/>
  <c r="F25" i="45"/>
  <c r="F24" i="45"/>
  <c r="F23" i="45"/>
  <c r="F22" i="45"/>
  <c r="F21" i="45"/>
  <c r="F20" i="45"/>
  <c r="F19" i="45"/>
  <c r="F18" i="45"/>
  <c r="F17" i="45"/>
  <c r="F16" i="45"/>
  <c r="F15" i="45"/>
  <c r="F14" i="45"/>
  <c r="F13" i="45"/>
  <c r="F12" i="45"/>
  <c r="F11" i="45"/>
  <c r="F10" i="45"/>
  <c r="E38" i="45"/>
  <c r="E37" i="45"/>
  <c r="E36" i="45"/>
  <c r="E35" i="45"/>
  <c r="E34" i="45"/>
  <c r="E33" i="45"/>
  <c r="E32" i="45"/>
  <c r="E31" i="45"/>
  <c r="E30" i="45"/>
  <c r="E29" i="45"/>
  <c r="E28" i="45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F43" i="40"/>
  <c r="E43" i="40"/>
  <c r="F36" i="44"/>
  <c r="F35" i="44"/>
  <c r="F34" i="44"/>
  <c r="F33" i="44"/>
  <c r="F32" i="44"/>
  <c r="F31" i="44"/>
  <c r="F30" i="44"/>
  <c r="F29" i="44"/>
  <c r="F28" i="44"/>
  <c r="F27" i="44"/>
  <c r="F26" i="44"/>
  <c r="F25" i="44"/>
  <c r="F24" i="44"/>
  <c r="F23" i="44"/>
  <c r="F22" i="44"/>
  <c r="F21" i="44"/>
  <c r="F20" i="44"/>
  <c r="E36" i="44"/>
  <c r="E35" i="44"/>
  <c r="E34" i="44"/>
  <c r="E33" i="44"/>
  <c r="E32" i="44"/>
  <c r="E31" i="44"/>
  <c r="E30" i="44"/>
  <c r="E29" i="44"/>
  <c r="E28" i="44"/>
  <c r="E27" i="44"/>
  <c r="E26" i="44"/>
  <c r="E25" i="44"/>
  <c r="E24" i="44"/>
  <c r="E23" i="44"/>
  <c r="E22" i="44"/>
  <c r="E21" i="44"/>
  <c r="E20" i="44"/>
  <c r="F19" i="44"/>
  <c r="F18" i="44"/>
  <c r="F17" i="44"/>
  <c r="F16" i="44"/>
  <c r="F15" i="44"/>
  <c r="F14" i="44"/>
  <c r="F13" i="44"/>
  <c r="F12" i="44"/>
  <c r="F11" i="44"/>
  <c r="F10" i="44"/>
  <c r="E19" i="44"/>
  <c r="E18" i="44"/>
  <c r="E17" i="44"/>
  <c r="E16" i="44"/>
  <c r="E15" i="44"/>
  <c r="E14" i="44"/>
  <c r="E13" i="44"/>
  <c r="E12" i="44"/>
  <c r="E11" i="44"/>
  <c r="E10" i="44"/>
  <c r="F37" i="43"/>
  <c r="F36" i="43"/>
  <c r="F35" i="43"/>
  <c r="F34" i="43"/>
  <c r="F33" i="43"/>
  <c r="F32" i="43"/>
  <c r="F31" i="43"/>
  <c r="F30" i="43"/>
  <c r="F29" i="43"/>
  <c r="F28" i="43"/>
  <c r="F27" i="43"/>
  <c r="F26" i="43"/>
  <c r="F25" i="43"/>
  <c r="F24" i="43"/>
  <c r="F23" i="43"/>
  <c r="F22" i="43"/>
  <c r="F21" i="43"/>
  <c r="F20" i="43"/>
  <c r="F19" i="43"/>
  <c r="F18" i="43"/>
  <c r="F17" i="43"/>
  <c r="F16" i="43"/>
  <c r="F15" i="43"/>
  <c r="F14" i="43"/>
  <c r="F13" i="43"/>
  <c r="F12" i="43"/>
  <c r="F11" i="43"/>
  <c r="F10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F38" i="9"/>
  <c r="E38" i="9"/>
  <c r="F40" i="16"/>
  <c r="E40" i="16"/>
  <c r="F42" i="11"/>
  <c r="E42" i="11"/>
  <c r="F37" i="41"/>
  <c r="F36" i="41"/>
  <c r="F35" i="41"/>
  <c r="F34" i="41"/>
  <c r="F33" i="41"/>
  <c r="F32" i="41"/>
  <c r="F31" i="41"/>
  <c r="F30" i="41"/>
  <c r="F29" i="41"/>
  <c r="F28" i="41"/>
  <c r="F27" i="41"/>
  <c r="F26" i="41"/>
  <c r="F25" i="41"/>
  <c r="F24" i="41"/>
  <c r="F23" i="41"/>
  <c r="F22" i="41"/>
  <c r="F21" i="41"/>
  <c r="F20" i="41"/>
  <c r="E37" i="41"/>
  <c r="E36" i="41"/>
  <c r="E35" i="41"/>
  <c r="E34" i="41"/>
  <c r="E33" i="41"/>
  <c r="E32" i="41"/>
  <c r="E31" i="41"/>
  <c r="E30" i="41"/>
  <c r="E29" i="41"/>
  <c r="E28" i="41"/>
  <c r="E27" i="41"/>
  <c r="E26" i="41"/>
  <c r="E25" i="41"/>
  <c r="E24" i="41"/>
  <c r="E23" i="41"/>
  <c r="E22" i="41"/>
  <c r="E21" i="41"/>
  <c r="E20" i="41"/>
  <c r="F19" i="41"/>
  <c r="F18" i="41"/>
  <c r="F17" i="41"/>
  <c r="F16" i="41"/>
  <c r="F15" i="41"/>
  <c r="F14" i="41"/>
  <c r="F13" i="41"/>
  <c r="F12" i="41"/>
  <c r="F11" i="41"/>
  <c r="F10" i="41"/>
  <c r="E19" i="41"/>
  <c r="E18" i="41"/>
  <c r="E17" i="41"/>
  <c r="E16" i="41"/>
  <c r="E15" i="41"/>
  <c r="E14" i="41"/>
  <c r="E13" i="41"/>
  <c r="E12" i="41"/>
  <c r="E11" i="41"/>
  <c r="E10" i="41"/>
  <c r="F47" i="12"/>
  <c r="E47" i="12"/>
  <c r="F10" i="20"/>
  <c r="F9" i="20"/>
  <c r="E10" i="20"/>
  <c r="E9" i="20"/>
  <c r="F18" i="14"/>
  <c r="E18" i="14"/>
  <c r="F14" i="42"/>
  <c r="F13" i="42"/>
  <c r="F12" i="42"/>
  <c r="F11" i="42"/>
  <c r="F10" i="42"/>
  <c r="E14" i="42"/>
  <c r="E13" i="42"/>
  <c r="E12" i="42"/>
  <c r="E11" i="42"/>
  <c r="E10" i="42"/>
  <c r="F14" i="26"/>
  <c r="F13" i="26"/>
  <c r="E14" i="26"/>
  <c r="E13" i="26"/>
  <c r="F14" i="36"/>
  <c r="E14" i="36"/>
  <c r="F43" i="10"/>
  <c r="E43" i="10"/>
  <c r="F42" i="40"/>
  <c r="F41" i="40"/>
  <c r="F40" i="40"/>
  <c r="F39" i="40"/>
  <c r="F38" i="40"/>
  <c r="F37" i="40"/>
  <c r="F36" i="40"/>
  <c r="F35" i="40"/>
  <c r="F34" i="40"/>
  <c r="F33" i="40"/>
  <c r="F32" i="40"/>
  <c r="F31" i="40"/>
  <c r="F30" i="40"/>
  <c r="F29" i="40"/>
  <c r="F28" i="40"/>
  <c r="F27" i="40"/>
  <c r="F26" i="40"/>
  <c r="F25" i="40"/>
  <c r="F24" i="40"/>
  <c r="F23" i="40"/>
  <c r="F22" i="40"/>
  <c r="F21" i="40"/>
  <c r="F20" i="40"/>
  <c r="F19" i="40"/>
  <c r="F18" i="40"/>
  <c r="F17" i="40"/>
  <c r="F16" i="40"/>
  <c r="F15" i="40"/>
  <c r="F14" i="40"/>
  <c r="F13" i="40"/>
  <c r="F12" i="40"/>
  <c r="F11" i="40"/>
  <c r="E42" i="40"/>
  <c r="E41" i="40"/>
  <c r="E40" i="40"/>
  <c r="E39" i="40"/>
  <c r="E38" i="40"/>
  <c r="E37" i="40"/>
  <c r="E36" i="40"/>
  <c r="E35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E11" i="40"/>
  <c r="F36" i="38"/>
  <c r="F35" i="38"/>
  <c r="F34" i="38"/>
  <c r="F33" i="38"/>
  <c r="F32" i="38"/>
  <c r="F31" i="38"/>
  <c r="F30" i="38"/>
  <c r="F29" i="38"/>
  <c r="F28" i="38"/>
  <c r="F27" i="38"/>
  <c r="F26" i="38"/>
  <c r="F25" i="38"/>
  <c r="F24" i="38"/>
  <c r="F23" i="38"/>
  <c r="F22" i="38"/>
  <c r="F21" i="38"/>
  <c r="F20" i="38"/>
  <c r="E36" i="38"/>
  <c r="E35" i="38"/>
  <c r="E34" i="38"/>
  <c r="E33" i="38"/>
  <c r="E32" i="38"/>
  <c r="E31" i="38"/>
  <c r="E30" i="38"/>
  <c r="E29" i="38"/>
  <c r="E28" i="38"/>
  <c r="E27" i="38"/>
  <c r="E26" i="38"/>
  <c r="E25" i="38"/>
  <c r="E24" i="38"/>
  <c r="E23" i="38"/>
  <c r="E22" i="38"/>
  <c r="E21" i="38"/>
  <c r="E20" i="38"/>
  <c r="F16" i="38" l="1"/>
  <c r="F17" i="38" s="1"/>
  <c r="F18" i="38" s="1"/>
  <c r="F19" i="38" s="1"/>
  <c r="F15" i="38"/>
  <c r="F14" i="38"/>
  <c r="F13" i="38"/>
  <c r="F12" i="38"/>
  <c r="F11" i="38"/>
  <c r="F10" i="38"/>
  <c r="E15" i="38"/>
  <c r="E16" i="38" s="1"/>
  <c r="E17" i="38" s="1"/>
  <c r="E18" i="38" s="1"/>
  <c r="E19" i="38" s="1"/>
  <c r="E14" i="38"/>
  <c r="E13" i="38"/>
  <c r="E12" i="38"/>
  <c r="E11" i="38"/>
  <c r="E10" i="38"/>
  <c r="F39" i="16"/>
  <c r="E39" i="16"/>
  <c r="F17" i="14"/>
  <c r="E17" i="14"/>
  <c r="F11" i="19" l="1"/>
  <c r="E11" i="19"/>
  <c r="F10" i="19"/>
  <c r="E10" i="19"/>
  <c r="F10" i="36"/>
  <c r="F11" i="36" s="1"/>
  <c r="F12" i="36" s="1"/>
  <c r="F13" i="36" s="1"/>
  <c r="E10" i="36"/>
  <c r="E11" i="36" s="1"/>
  <c r="E12" i="36" s="1"/>
  <c r="E13" i="36" s="1"/>
  <c r="F9" i="36"/>
  <c r="E9" i="36"/>
  <c r="F14" i="1" l="1"/>
  <c r="E14" i="1"/>
  <c r="F44" i="12"/>
  <c r="F45" i="12" s="1"/>
  <c r="F46" i="12" s="1"/>
  <c r="E44" i="12"/>
  <c r="E45" i="12"/>
  <c r="E46" i="12" s="1"/>
  <c r="F34" i="7"/>
  <c r="E34" i="7"/>
  <c r="F32" i="6"/>
  <c r="E32" i="6"/>
  <c r="F19" i="34"/>
  <c r="F20" i="34" s="1"/>
  <c r="F21" i="34" s="1"/>
  <c r="F22" i="34" s="1"/>
  <c r="F23" i="34" s="1"/>
  <c r="F24" i="34" s="1"/>
  <c r="F25" i="34" s="1"/>
  <c r="F26" i="34" s="1"/>
  <c r="F27" i="34" s="1"/>
  <c r="F28" i="34" s="1"/>
  <c r="F29" i="34" s="1"/>
  <c r="F30" i="34" s="1"/>
  <c r="F31" i="34" s="1"/>
  <c r="F32" i="34" s="1"/>
  <c r="F33" i="34" s="1"/>
  <c r="F34" i="34" s="1"/>
  <c r="F35" i="34" s="1"/>
  <c r="F36" i="34" s="1"/>
  <c r="F37" i="34" s="1"/>
  <c r="F38" i="34" s="1"/>
  <c r="F39" i="34" s="1"/>
  <c r="F40" i="34" s="1"/>
  <c r="F41" i="34" s="1"/>
  <c r="F42" i="34" s="1"/>
  <c r="F43" i="34" s="1"/>
  <c r="F44" i="34" s="1"/>
  <c r="F45" i="34" s="1"/>
  <c r="E19" i="34"/>
  <c r="E20" i="34" s="1"/>
  <c r="E21" i="34" s="1"/>
  <c r="E22" i="34" s="1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E40" i="34" s="1"/>
  <c r="E41" i="34" s="1"/>
  <c r="E42" i="34" s="1"/>
  <c r="E43" i="34" s="1"/>
  <c r="E44" i="34" s="1"/>
  <c r="E45" i="34" s="1"/>
  <c r="F10" i="34"/>
  <c r="F11" i="34" s="1"/>
  <c r="F12" i="34" s="1"/>
  <c r="F13" i="34" s="1"/>
  <c r="F14" i="34" s="1"/>
  <c r="F15" i="34" s="1"/>
  <c r="F16" i="34" s="1"/>
  <c r="F17" i="34" s="1"/>
  <c r="F18" i="34" s="1"/>
  <c r="E10" i="34"/>
  <c r="E11" i="34" s="1"/>
  <c r="E12" i="34" s="1"/>
  <c r="E13" i="34" s="1"/>
  <c r="E14" i="34" s="1"/>
  <c r="E15" i="34" s="1"/>
  <c r="E16" i="34" s="1"/>
  <c r="E17" i="34" s="1"/>
  <c r="E18" i="34" s="1"/>
  <c r="F9" i="34"/>
  <c r="E9" i="34"/>
  <c r="F10" i="13"/>
  <c r="E10" i="13"/>
  <c r="F40" i="3"/>
  <c r="E40" i="3"/>
  <c r="F19" i="33"/>
  <c r="F20" i="33" s="1"/>
  <c r="F21" i="33" s="1"/>
  <c r="F22" i="33" s="1"/>
  <c r="F23" i="33" s="1"/>
  <c r="F24" i="33" s="1"/>
  <c r="F25" i="33" s="1"/>
  <c r="F26" i="33" s="1"/>
  <c r="F27" i="33" s="1"/>
  <c r="F28" i="33" s="1"/>
  <c r="F29" i="33" s="1"/>
  <c r="F30" i="33" s="1"/>
  <c r="F31" i="33" s="1"/>
  <c r="F32" i="33" s="1"/>
  <c r="F33" i="33" s="1"/>
  <c r="F34" i="33" s="1"/>
  <c r="E19" i="33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F10" i="33"/>
  <c r="F11" i="33" s="1"/>
  <c r="F12" i="33" s="1"/>
  <c r="F13" i="33" s="1"/>
  <c r="F14" i="33" s="1"/>
  <c r="F15" i="33" s="1"/>
  <c r="F16" i="33" s="1"/>
  <c r="F17" i="33" s="1"/>
  <c r="F18" i="33" s="1"/>
  <c r="E10" i="33"/>
  <c r="E11" i="33" s="1"/>
  <c r="E12" i="33" s="1"/>
  <c r="E13" i="33" s="1"/>
  <c r="E14" i="33" s="1"/>
  <c r="E15" i="33" s="1"/>
  <c r="E16" i="33" s="1"/>
  <c r="E17" i="33" s="1"/>
  <c r="E18" i="33" s="1"/>
  <c r="F9" i="33"/>
  <c r="E9" i="33"/>
  <c r="F10" i="18"/>
  <c r="E10" i="18"/>
  <c r="F17" i="32"/>
  <c r="F18" i="32" s="1"/>
  <c r="F19" i="32" s="1"/>
  <c r="F20" i="32" s="1"/>
  <c r="F21" i="32" s="1"/>
  <c r="F22" i="32" s="1"/>
  <c r="F23" i="32" s="1"/>
  <c r="F24" i="32" s="1"/>
  <c r="F25" i="32" s="1"/>
  <c r="F26" i="32" s="1"/>
  <c r="F27" i="32" s="1"/>
  <c r="E17" i="32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15" i="32"/>
  <c r="F19" i="28"/>
  <c r="F20" i="28" s="1"/>
  <c r="F21" i="28" s="1"/>
  <c r="F22" i="28" s="1"/>
  <c r="F23" i="28" s="1"/>
  <c r="F24" i="28" s="1"/>
  <c r="F25" i="28" s="1"/>
  <c r="F26" i="28" s="1"/>
  <c r="F27" i="28" s="1"/>
  <c r="F28" i="28" s="1"/>
  <c r="F29" i="28" s="1"/>
  <c r="F30" i="28" s="1"/>
  <c r="F31" i="28" s="1"/>
  <c r="E19" i="28"/>
  <c r="E20" i="28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F10" i="28"/>
  <c r="F11" i="28"/>
  <c r="F12" i="28"/>
  <c r="F13" i="28"/>
  <c r="F14" i="28" s="1"/>
  <c r="F15" i="28" s="1"/>
  <c r="F16" i="28" s="1"/>
  <c r="F17" i="28" s="1"/>
  <c r="F18" i="28" s="1"/>
  <c r="E10" i="28"/>
  <c r="E11" i="28" s="1"/>
  <c r="E12" i="28" s="1"/>
  <c r="E13" i="28" s="1"/>
  <c r="E14" i="28" s="1"/>
  <c r="E15" i="28" s="1"/>
  <c r="E16" i="28" s="1"/>
  <c r="E17" i="28" s="1"/>
  <c r="E18" i="28" s="1"/>
  <c r="F9" i="28"/>
  <c r="E9" i="28"/>
  <c r="F10" i="29"/>
  <c r="F11" i="29"/>
  <c r="F12" i="29" s="1"/>
  <c r="F13" i="29" s="1"/>
  <c r="F14" i="29" s="1"/>
  <c r="F15" i="29" s="1"/>
  <c r="E10" i="29"/>
  <c r="E11" i="29" s="1"/>
  <c r="E12" i="29" s="1"/>
  <c r="E13" i="29" s="1"/>
  <c r="E14" i="29" s="1"/>
  <c r="E15" i="29" s="1"/>
  <c r="F9" i="29"/>
  <c r="E9" i="29"/>
  <c r="F36" i="9"/>
  <c r="F37" i="9" s="1"/>
  <c r="E36" i="9"/>
  <c r="E37" i="9" s="1"/>
  <c r="F38" i="16"/>
  <c r="E38" i="16"/>
  <c r="F10" i="26"/>
  <c r="F11" i="26" s="1"/>
  <c r="F12" i="26" s="1"/>
  <c r="E10" i="26"/>
  <c r="E11" i="26" s="1"/>
  <c r="E12" i="26" s="1"/>
  <c r="F9" i="26"/>
  <c r="E9" i="26"/>
  <c r="F16" i="14"/>
  <c r="E16" i="14"/>
  <c r="F24" i="25"/>
  <c r="E24" i="25"/>
  <c r="F23" i="25"/>
  <c r="E23" i="25"/>
  <c r="E20" i="25"/>
  <c r="E21" i="25" s="1"/>
  <c r="E22" i="25" s="1"/>
  <c r="F19" i="25"/>
  <c r="F20" i="25" s="1"/>
  <c r="F21" i="25" s="1"/>
  <c r="F22" i="25" s="1"/>
  <c r="E19" i="25"/>
  <c r="F17" i="25"/>
  <c r="F18" i="25" s="1"/>
  <c r="E17" i="25"/>
  <c r="E18" i="25" s="1"/>
  <c r="F13" i="25"/>
  <c r="F14" i="25" s="1"/>
  <c r="F15" i="25" s="1"/>
  <c r="F16" i="25" s="1"/>
  <c r="E13" i="25"/>
  <c r="E14" i="25" s="1"/>
  <c r="E15" i="25" s="1"/>
  <c r="E16" i="25" s="1"/>
  <c r="F12" i="25"/>
  <c r="E12" i="25"/>
  <c r="F10" i="25"/>
  <c r="F11" i="25" s="1"/>
  <c r="F9" i="25"/>
  <c r="E9" i="25"/>
  <c r="E10" i="25" s="1"/>
  <c r="E11" i="25" s="1"/>
  <c r="F19" i="24"/>
  <c r="F20" i="24" s="1"/>
  <c r="F21" i="24" s="1"/>
  <c r="F22" i="24" s="1"/>
  <c r="F23" i="24" s="1"/>
  <c r="F24" i="24" s="1"/>
  <c r="E19" i="24"/>
  <c r="E20" i="24" s="1"/>
  <c r="E21" i="24" s="1"/>
  <c r="E22" i="24" s="1"/>
  <c r="E23" i="24" s="1"/>
  <c r="E24" i="24" s="1"/>
  <c r="F9" i="24"/>
  <c r="F10" i="24" s="1"/>
  <c r="F11" i="24" s="1"/>
  <c r="F12" i="24" s="1"/>
  <c r="F13" i="24" s="1"/>
  <c r="F14" i="24" s="1"/>
  <c r="F15" i="24" s="1"/>
  <c r="F16" i="24" s="1"/>
  <c r="F17" i="24" s="1"/>
  <c r="F18" i="24" s="1"/>
  <c r="E10" i="24"/>
  <c r="E11" i="24" s="1"/>
  <c r="E12" i="24" s="1"/>
  <c r="E13" i="24" s="1"/>
  <c r="E14" i="24" s="1"/>
  <c r="E15" i="24" s="1"/>
  <c r="E16" i="24" s="1"/>
  <c r="E17" i="24" s="1"/>
  <c r="E18" i="24" s="1"/>
  <c r="E9" i="24"/>
  <c r="F19" i="23"/>
  <c r="F20" i="23" s="1"/>
  <c r="F21" i="23" s="1"/>
  <c r="F22" i="23" s="1"/>
  <c r="F23" i="23" s="1"/>
  <c r="F24" i="23" s="1"/>
  <c r="F25" i="23" s="1"/>
  <c r="E19" i="23"/>
  <c r="E20" i="23" s="1"/>
  <c r="E21" i="23" s="1"/>
  <c r="E22" i="23" s="1"/>
  <c r="E23" i="23" s="1"/>
  <c r="E24" i="23" s="1"/>
  <c r="E25" i="23" s="1"/>
  <c r="F10" i="23"/>
  <c r="F11" i="23" s="1"/>
  <c r="F12" i="23" s="1"/>
  <c r="F13" i="23" s="1"/>
  <c r="F14" i="23" s="1"/>
  <c r="F15" i="23" s="1"/>
  <c r="F16" i="23" s="1"/>
  <c r="F17" i="23" s="1"/>
  <c r="F18" i="23" s="1"/>
  <c r="E10" i="23"/>
  <c r="E11" i="23" s="1"/>
  <c r="E12" i="23" s="1"/>
  <c r="E13" i="23" s="1"/>
  <c r="E14" i="23" s="1"/>
  <c r="E15" i="23" s="1"/>
  <c r="E16" i="23" s="1"/>
  <c r="E17" i="23" s="1"/>
  <c r="E18" i="23" s="1"/>
  <c r="F9" i="23"/>
  <c r="E9" i="23"/>
  <c r="F9" i="22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s="1"/>
  <c r="F22" i="22" s="1"/>
  <c r="F23" i="22" s="1"/>
  <c r="F24" i="22" s="1"/>
  <c r="F25" i="22" s="1"/>
  <c r="E9" i="22"/>
  <c r="E10" i="22" s="1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F19" i="21"/>
  <c r="F20" i="21" s="1"/>
  <c r="F21" i="21" s="1"/>
  <c r="F22" i="21" s="1"/>
  <c r="F23" i="21" s="1"/>
  <c r="F24" i="21" s="1"/>
  <c r="F25" i="21" s="1"/>
  <c r="E19" i="21"/>
  <c r="E20" i="21" s="1"/>
  <c r="E21" i="21" s="1"/>
  <c r="E22" i="21" s="1"/>
  <c r="E23" i="21" s="1"/>
  <c r="E24" i="21" s="1"/>
  <c r="E25" i="21" s="1"/>
  <c r="F10" i="21"/>
  <c r="F11" i="21" s="1"/>
  <c r="F12" i="21" s="1"/>
  <c r="F13" i="21" s="1"/>
  <c r="F14" i="21" s="1"/>
  <c r="F15" i="21" s="1"/>
  <c r="F16" i="21" s="1"/>
  <c r="F17" i="21" s="1"/>
  <c r="F18" i="21" s="1"/>
  <c r="E10" i="21"/>
  <c r="E11" i="21"/>
  <c r="E12" i="21" s="1"/>
  <c r="E13" i="21" s="1"/>
  <c r="E14" i="21" s="1"/>
  <c r="E15" i="21" s="1"/>
  <c r="E16" i="21" s="1"/>
  <c r="E17" i="21" s="1"/>
  <c r="E18" i="21" s="1"/>
  <c r="F9" i="21"/>
  <c r="E9" i="21"/>
  <c r="F31" i="6"/>
  <c r="E31" i="6"/>
  <c r="F33" i="7"/>
  <c r="E33" i="7"/>
  <c r="F9" i="18"/>
  <c r="E9" i="18"/>
  <c r="F9" i="16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E9" i="16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F9" i="15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E9" i="15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F9" i="14"/>
  <c r="F10" i="14" s="1"/>
  <c r="F11" i="14" s="1"/>
  <c r="F12" i="14" s="1"/>
  <c r="F13" i="14" s="1"/>
  <c r="F14" i="14" s="1"/>
  <c r="F15" i="14" s="1"/>
  <c r="E9" i="14"/>
  <c r="E10" i="14" s="1"/>
  <c r="E11" i="14" s="1"/>
  <c r="E12" i="14" s="1"/>
  <c r="E13" i="14" s="1"/>
  <c r="E14" i="14" s="1"/>
  <c r="E15" i="14" s="1"/>
  <c r="E10" i="12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0" i="12" s="1"/>
  <c r="E41" i="12" s="1"/>
  <c r="E42" i="12" s="1"/>
  <c r="E43" i="12" s="1"/>
  <c r="F9" i="12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E9" i="12"/>
  <c r="F9" i="1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E9" i="1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F10" i="10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9" i="10"/>
  <c r="E9" i="10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F9" i="9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E9" i="9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F10" i="6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E10" i="6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F9" i="6"/>
  <c r="E9" i="6"/>
  <c r="F8" i="5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E8" i="5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F8" i="4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F9" i="2"/>
  <c r="F10" i="2" s="1"/>
  <c r="F11" i="2" s="1"/>
  <c r="F12" i="2" s="1"/>
  <c r="F13" i="2" s="1"/>
  <c r="E9" i="2"/>
  <c r="E10" i="2" s="1"/>
  <c r="E11" i="2" s="1"/>
  <c r="E12" i="2" s="1"/>
  <c r="E13" i="2" s="1"/>
  <c r="F9" i="1"/>
  <c r="F10" i="1" s="1"/>
  <c r="F11" i="1" s="1"/>
  <c r="F12" i="1" s="1"/>
  <c r="F13" i="1" s="1"/>
  <c r="E9" i="1"/>
  <c r="E10" i="1" s="1"/>
  <c r="E11" i="1" s="1"/>
  <c r="E12" i="1" s="1"/>
  <c r="E13" i="1" s="1"/>
</calcChain>
</file>

<file path=xl/sharedStrings.xml><?xml version="1.0" encoding="utf-8"?>
<sst xmlns="http://schemas.openxmlformats.org/spreadsheetml/2006/main" count="2169" uniqueCount="770">
  <si>
    <t>Name : Muhammad Younus</t>
  </si>
  <si>
    <t>Father Name : Muhammad Sharif Khan</t>
  </si>
  <si>
    <t>CNIC #11201-3175411-9</t>
  </si>
  <si>
    <t xml:space="preserve">Contact # </t>
  </si>
  <si>
    <t>Cost :650,000</t>
  </si>
  <si>
    <t>Date</t>
  </si>
  <si>
    <t>R.NO</t>
  </si>
  <si>
    <t>Description</t>
  </si>
  <si>
    <t>Amount Rec</t>
  </si>
  <si>
    <t>Total Rec</t>
  </si>
  <si>
    <t>Amount Due</t>
  </si>
  <si>
    <t>16/9/2025</t>
  </si>
  <si>
    <t>Booking</t>
  </si>
  <si>
    <t>17/11/2025</t>
  </si>
  <si>
    <t>instalment</t>
  </si>
  <si>
    <t>14/12/2025</t>
  </si>
  <si>
    <t>Plot No : 6185</t>
  </si>
  <si>
    <t>Plot No : 6162</t>
  </si>
  <si>
    <t>Name : Eman Fatima</t>
  </si>
  <si>
    <t>Father Name : Mujahid Khan</t>
  </si>
  <si>
    <t>CNIC #42201-9007422-4</t>
  </si>
  <si>
    <t>Contact # 03701247092</t>
  </si>
  <si>
    <t>Cost :700,000</t>
  </si>
  <si>
    <t>21/6/2024</t>
  </si>
  <si>
    <t>RES Boking</t>
  </si>
  <si>
    <t>Name : Muhammad Ishaq</t>
  </si>
  <si>
    <t>Father Name : Abdul Malik</t>
  </si>
  <si>
    <t>CNIC #31201-4424626-7</t>
  </si>
  <si>
    <t>Contact # 03012388746</t>
  </si>
  <si>
    <t>Plot No : 6160</t>
  </si>
  <si>
    <t>Cost :430,000</t>
  </si>
  <si>
    <t>23/2/2022</t>
  </si>
  <si>
    <t>Adv Booking</t>
  </si>
  <si>
    <t>13/9/2023</t>
  </si>
  <si>
    <t>18/10/2022</t>
  </si>
  <si>
    <t>Reh instal</t>
  </si>
  <si>
    <t>24/4/2023</t>
  </si>
  <si>
    <t>28/5/2023</t>
  </si>
  <si>
    <t>25/8/2023</t>
  </si>
  <si>
    <t>26/9/2023</t>
  </si>
  <si>
    <t>26/10/2023</t>
  </si>
  <si>
    <t>26/11/2023</t>
  </si>
  <si>
    <t>26/12/2023</t>
  </si>
  <si>
    <t>27/1/2024</t>
  </si>
  <si>
    <t>27/2/2024</t>
  </si>
  <si>
    <t>26/3/2024</t>
  </si>
  <si>
    <t>19/5/2024</t>
  </si>
  <si>
    <t>29/6/2024</t>
  </si>
  <si>
    <t>29/8/2024</t>
  </si>
  <si>
    <t>27/9/2024</t>
  </si>
  <si>
    <t>27/10/2024</t>
  </si>
  <si>
    <t>30/11/2024</t>
  </si>
  <si>
    <t>27/12/2024</t>
  </si>
  <si>
    <t>18/1/2025</t>
  </si>
  <si>
    <t>24/6/2025</t>
  </si>
  <si>
    <t>26/8/2025</t>
  </si>
  <si>
    <t>13/11/2025</t>
  </si>
  <si>
    <t>24/12/2025</t>
  </si>
  <si>
    <t>Name : Muhammad Bilal</t>
  </si>
  <si>
    <t>CNIC #31201-0512074</t>
  </si>
  <si>
    <t>Contact # 03002257704</t>
  </si>
  <si>
    <t>Plot No : 6158</t>
  </si>
  <si>
    <t>13/9/2022</t>
  </si>
  <si>
    <t>15/12/2022</t>
  </si>
  <si>
    <t>13/3/2023</t>
  </si>
  <si>
    <t>27/5/2023</t>
  </si>
  <si>
    <t>Instalment</t>
  </si>
  <si>
    <t>29/4/2024</t>
  </si>
  <si>
    <t>28/5/2024</t>
  </si>
  <si>
    <t>Name : Muhammad Sagar</t>
  </si>
  <si>
    <t>Father Name : Muhammad Ashiq</t>
  </si>
  <si>
    <t>CNIC #31201-7664122-3</t>
  </si>
  <si>
    <t>Contact # 03087738787</t>
  </si>
  <si>
    <t>Plot No : 6159</t>
  </si>
  <si>
    <t>24/10/2022</t>
  </si>
  <si>
    <t>17/2/2023</t>
  </si>
  <si>
    <t>21/2/2024</t>
  </si>
  <si>
    <t>30/1/2025</t>
  </si>
  <si>
    <t>Name : Muhammad Yaseen</t>
  </si>
  <si>
    <t>Father Name : Abdul Kareem</t>
  </si>
  <si>
    <t>CNIC #42401-6482204-1</t>
  </si>
  <si>
    <t>Contact # 03102394545</t>
  </si>
  <si>
    <t>Cost :600,000</t>
  </si>
  <si>
    <t>20/3/2023</t>
  </si>
  <si>
    <t>18/6/2023</t>
  </si>
  <si>
    <t>21/6/2023</t>
  </si>
  <si>
    <t>18/7/2023</t>
  </si>
  <si>
    <t>26/8/2023</t>
  </si>
  <si>
    <t>27/9/2023</t>
  </si>
  <si>
    <t>24/10/2023</t>
  </si>
  <si>
    <t>31/12/2023</t>
  </si>
  <si>
    <t>31/1/2023</t>
  </si>
  <si>
    <t>Adj Reh</t>
  </si>
  <si>
    <t>26/2/2024</t>
  </si>
  <si>
    <t>30/3/2024</t>
  </si>
  <si>
    <t>15/6/2024</t>
  </si>
  <si>
    <t>23/12/2024</t>
  </si>
  <si>
    <t>15/10/2025</t>
  </si>
  <si>
    <t>20/1/2026</t>
  </si>
  <si>
    <t>24/2/2026</t>
  </si>
  <si>
    <t>Instalment n0v 24/feb25</t>
  </si>
  <si>
    <t>Plot No : 6164 B</t>
  </si>
  <si>
    <t>31/1/2024</t>
  </si>
  <si>
    <t xml:space="preserve"> Res Booking Adj</t>
  </si>
  <si>
    <t>20/2/2024</t>
  </si>
  <si>
    <t>23/9/2023</t>
  </si>
  <si>
    <t>18/3/2025</t>
  </si>
  <si>
    <t>22/10/2025</t>
  </si>
  <si>
    <t>Name : Muhammad Asif Iqbal Baig</t>
  </si>
  <si>
    <t>Father Name : Muhammad Iqbal</t>
  </si>
  <si>
    <t>CNIC #42201-5855628-1</t>
  </si>
  <si>
    <t>Contact # 03010225582</t>
  </si>
  <si>
    <t>Plot No : 6174</t>
  </si>
  <si>
    <t>23/10/2022</t>
  </si>
  <si>
    <t>14/5/2023</t>
  </si>
  <si>
    <t>16/7/2023</t>
  </si>
  <si>
    <t>23/8/2023</t>
  </si>
  <si>
    <t>16/9/2023</t>
  </si>
  <si>
    <t>15/10/2023</t>
  </si>
  <si>
    <t>22/11/2023</t>
  </si>
  <si>
    <t>16/12/2023</t>
  </si>
  <si>
    <t>Reh Adj</t>
  </si>
  <si>
    <t>13/3/2024</t>
  </si>
  <si>
    <t>16/4/2024</t>
  </si>
  <si>
    <t>18/7/2024</t>
  </si>
  <si>
    <t>14/8/2024</t>
  </si>
  <si>
    <t>24/9/2024</t>
  </si>
  <si>
    <t>14/11/2024</t>
  </si>
  <si>
    <t>13/12/2024</t>
  </si>
  <si>
    <t>17/9/2025</t>
  </si>
  <si>
    <t>26/1/2026</t>
  </si>
  <si>
    <t>21/2/2026</t>
  </si>
  <si>
    <t>Name : Ambreen</t>
  </si>
  <si>
    <t xml:space="preserve">Father Name : Muhammad Javed </t>
  </si>
  <si>
    <t>CNIC #42201-0720944-0</t>
  </si>
  <si>
    <t>Contact # 03452901969</t>
  </si>
  <si>
    <t>Plot No : 6184</t>
  </si>
  <si>
    <t>17/5/2023</t>
  </si>
  <si>
    <t>16/4/2023</t>
  </si>
  <si>
    <t>14/7/2023</t>
  </si>
  <si>
    <t>17/10/2023</t>
  </si>
  <si>
    <t>Res booking</t>
  </si>
  <si>
    <t>Token site</t>
  </si>
  <si>
    <t>instal july</t>
  </si>
  <si>
    <t>instal june</t>
  </si>
  <si>
    <t>20/11/2024</t>
  </si>
  <si>
    <t>28/4/2025</t>
  </si>
  <si>
    <t>Name : Imtiaz ul Hassan</t>
  </si>
  <si>
    <t>Father Name : Muhammad Ibrahim</t>
  </si>
  <si>
    <t>Contact # 03432423765</t>
  </si>
  <si>
    <t>CNIC #42401-1115999-5</t>
  </si>
  <si>
    <t>18/4/2023</t>
  </si>
  <si>
    <t>15/4/2023</t>
  </si>
  <si>
    <t>17/12/2023</t>
  </si>
  <si>
    <t>23/1/2024</t>
  </si>
  <si>
    <t xml:space="preserve"> Res booking</t>
  </si>
  <si>
    <t>14/7/2024</t>
  </si>
  <si>
    <t>13/8/2024</t>
  </si>
  <si>
    <t>16/9/2024</t>
  </si>
  <si>
    <t>13/10/2024</t>
  </si>
  <si>
    <t>13/1/2025</t>
  </si>
  <si>
    <t>13/2/2025</t>
  </si>
  <si>
    <t>20/4/2025</t>
  </si>
  <si>
    <t>28/9/2025</t>
  </si>
  <si>
    <t>14/1/2026</t>
  </si>
  <si>
    <t>Plot No : 6183</t>
  </si>
  <si>
    <t>Name : Syed Usman Ahmed</t>
  </si>
  <si>
    <t>Father Name : Syed Affaque Ahmed</t>
  </si>
  <si>
    <t>CNIC #42201-2543474-9</t>
  </si>
  <si>
    <t>Contact # 03323320257</t>
  </si>
  <si>
    <t>Plot No : 6182</t>
  </si>
  <si>
    <t>11//9/2023</t>
  </si>
  <si>
    <t>15/12/2024</t>
  </si>
  <si>
    <t>Name : Noman</t>
  </si>
  <si>
    <t>Father Name : Gul Muhammad</t>
  </si>
  <si>
    <t>CNIC #42301-3234588-3</t>
  </si>
  <si>
    <t>Contact # 03072679801</t>
  </si>
  <si>
    <t>Cost :800,000</t>
  </si>
  <si>
    <t>Plot No : 6101</t>
  </si>
  <si>
    <t>Name :Mr Aziz Noor</t>
  </si>
  <si>
    <t>Father Name : Shehzad Noor</t>
  </si>
  <si>
    <t>CNIC # 42401-9236527-7</t>
  </si>
  <si>
    <t>Cost :680,000</t>
  </si>
  <si>
    <t>Plot No : L-6176</t>
  </si>
  <si>
    <t>21/10/2025</t>
  </si>
  <si>
    <t>19/1/2025</t>
  </si>
  <si>
    <t>21/2/2025</t>
  </si>
  <si>
    <t xml:space="preserve">  </t>
  </si>
  <si>
    <t>Name :Fehmida Naz</t>
  </si>
  <si>
    <t>Father Name : Ashraf Ali</t>
  </si>
  <si>
    <t>CNIC # 42101-2097884-8</t>
  </si>
  <si>
    <t>Contact # 03042806210</t>
  </si>
  <si>
    <t>Cost :475,000</t>
  </si>
  <si>
    <t>15/1/2024</t>
  </si>
  <si>
    <t>Adj Rehman</t>
  </si>
  <si>
    <t>22/7/2024</t>
  </si>
  <si>
    <t>18/8/2024</t>
  </si>
  <si>
    <t>16/10/2024</t>
  </si>
  <si>
    <t>28/12/2024</t>
  </si>
  <si>
    <t>31/5/2025</t>
  </si>
  <si>
    <t>22/7/2025</t>
  </si>
  <si>
    <t>14/2/2026</t>
  </si>
  <si>
    <t>Name : Muhammad Rashid</t>
  </si>
  <si>
    <t>Father Name : Noor Muhammad</t>
  </si>
  <si>
    <t>CNIC #42201-7596090-1</t>
  </si>
  <si>
    <t>Contact # 03499815879</t>
  </si>
  <si>
    <t>Plot No : 6117</t>
  </si>
  <si>
    <t>Cost :525,000</t>
  </si>
  <si>
    <t>24/12/2023</t>
  </si>
  <si>
    <t>15/2/2023</t>
  </si>
  <si>
    <t>14/6/2023</t>
  </si>
  <si>
    <t>18/8/2023</t>
  </si>
  <si>
    <t>19/10/2023</t>
  </si>
  <si>
    <t>17/11/2023</t>
  </si>
  <si>
    <t>Token</t>
  </si>
  <si>
    <t>Res Booking</t>
  </si>
  <si>
    <t>17/1/2024</t>
  </si>
  <si>
    <t>19/2/2024</t>
  </si>
  <si>
    <t>21/4/2025</t>
  </si>
  <si>
    <t>21/5/2025</t>
  </si>
  <si>
    <t>21/7/2025</t>
  </si>
  <si>
    <t>18/8/2025</t>
  </si>
  <si>
    <t>24/9/2025</t>
  </si>
  <si>
    <t>18/10/2025</t>
  </si>
  <si>
    <t>16/12/2025</t>
  </si>
  <si>
    <t>19/1/2026</t>
  </si>
  <si>
    <t>13/3/2026</t>
  </si>
  <si>
    <t>14/3/2026</t>
  </si>
  <si>
    <t>Name : Muhammad Mubeen</t>
  </si>
  <si>
    <t>Father Name : Muhammad Bashir</t>
  </si>
  <si>
    <t>CNIC #32203-1282399-5</t>
  </si>
  <si>
    <t>Contact # 03112718189</t>
  </si>
  <si>
    <t>Plot No : 6103</t>
  </si>
  <si>
    <t>15/3/2026</t>
  </si>
  <si>
    <t>Name : Kabir Hussain</t>
  </si>
  <si>
    <t>Father Name : Muhammad Yaqoob</t>
  </si>
  <si>
    <t>Contact # 03490722966</t>
  </si>
  <si>
    <t>CNIC #42101-1648165-9</t>
  </si>
  <si>
    <t>17/3/2026</t>
  </si>
  <si>
    <t>Code Num;CKH7319593</t>
  </si>
  <si>
    <t>Plot No : L-6164-G</t>
  </si>
  <si>
    <t>Code Num;CMS6050414</t>
  </si>
  <si>
    <t>30/3/2026</t>
  </si>
  <si>
    <t>Plot No : 6164 D</t>
  </si>
  <si>
    <t>Plot No : 6100</t>
  </si>
  <si>
    <t>Name : Abdul Mateen Khan</t>
  </si>
  <si>
    <t>Father Name : Abdul Mubeen Khan</t>
  </si>
  <si>
    <t>CNIC #54400-7155905-7</t>
  </si>
  <si>
    <t>Code Num;BCP1389745</t>
  </si>
  <si>
    <t>Contact # 03340261865</t>
  </si>
  <si>
    <t>Cost :850,000</t>
  </si>
  <si>
    <t>Column1</t>
  </si>
  <si>
    <t>DEALAR DETAIL</t>
  </si>
  <si>
    <t>Name : Zaki chacha</t>
  </si>
  <si>
    <t>Father Name : Sami ullah</t>
  </si>
  <si>
    <t>CNIC #4230145916615</t>
  </si>
  <si>
    <t>COMMISION; 30,000</t>
  </si>
  <si>
    <t>Name : M.Rasheed</t>
  </si>
  <si>
    <t>Father Name :Toti Khan</t>
  </si>
  <si>
    <t>CNIC #42401-2038860-7</t>
  </si>
  <si>
    <t>Contact # 03142206075</t>
  </si>
  <si>
    <t>Plot No : 6167</t>
  </si>
  <si>
    <t>Cost :450,000</t>
  </si>
  <si>
    <t>23/5/2020</t>
  </si>
  <si>
    <t>25/8/2022</t>
  </si>
  <si>
    <t>18/12/2023</t>
  </si>
  <si>
    <t>20/6/2023</t>
  </si>
  <si>
    <t>17/9/2023</t>
  </si>
  <si>
    <t>Sobho Adj</t>
  </si>
  <si>
    <t>15/5/2024</t>
  </si>
  <si>
    <t>Plot No : 6168</t>
  </si>
  <si>
    <t>Name Danish Ashraf</t>
  </si>
  <si>
    <t>Father Name :Ashraf Hussain</t>
  </si>
  <si>
    <t>CNIC #42201-9994733-3</t>
  </si>
  <si>
    <t>Contact # 03072131324</t>
  </si>
  <si>
    <t>Plot No : 6115</t>
  </si>
  <si>
    <t>7/3/20203</t>
  </si>
  <si>
    <t>24/9/2023</t>
  </si>
  <si>
    <t>26/2/2023</t>
  </si>
  <si>
    <t>29/4/2023</t>
  </si>
  <si>
    <t>22/5/2023</t>
  </si>
  <si>
    <t>24/6/2023</t>
  </si>
  <si>
    <t>23/7/2023</t>
  </si>
  <si>
    <t>24/8/2023</t>
  </si>
  <si>
    <t>Adj Rehm</t>
  </si>
  <si>
    <t>sobho ins</t>
  </si>
  <si>
    <t>intalment</t>
  </si>
  <si>
    <t>13/11/2023</t>
  </si>
  <si>
    <t>17/2/2024</t>
  </si>
  <si>
    <t>17/3/2024</t>
  </si>
  <si>
    <t>DEVELOPMENT CONTINUE</t>
  </si>
  <si>
    <t>Name; Daniyal Ashraf Hussain Khan</t>
  </si>
  <si>
    <t>Contact # 03172131324</t>
  </si>
  <si>
    <t>Plot No : 6113</t>
  </si>
  <si>
    <t>Code Num;CQW8873802</t>
  </si>
  <si>
    <t>24/9/2022</t>
  </si>
  <si>
    <t>29/11/2025</t>
  </si>
  <si>
    <t xml:space="preserve">DEVELOPMENT </t>
  </si>
  <si>
    <t>Nill</t>
  </si>
  <si>
    <t>INSTALLMENT AND DEVELOPMENT BOTH CLEAR</t>
  </si>
  <si>
    <t>Plot No : 6112</t>
  </si>
  <si>
    <t>25/10/2025</t>
  </si>
  <si>
    <t>Code Num;CLY7771360</t>
  </si>
  <si>
    <t>15/12/2025</t>
  </si>
  <si>
    <t>installment</t>
  </si>
  <si>
    <t>Plot No : 6171</t>
  </si>
  <si>
    <t>Code Num;CFA3628483</t>
  </si>
  <si>
    <t>Name; Shamshad Ahmed</t>
  </si>
  <si>
    <t>Father Name :Nazir Ahmed</t>
  </si>
  <si>
    <t>CNIC #31301-3128032-5</t>
  </si>
  <si>
    <t>Contact # 03401128210</t>
  </si>
  <si>
    <t>Cost ;800,000</t>
  </si>
  <si>
    <t>Name; Syd Muzawar Hussain</t>
  </si>
  <si>
    <t>Father Name :Muhammad Gaffar Shah</t>
  </si>
  <si>
    <t>CNIC #32302-9511295-1</t>
  </si>
  <si>
    <t>Plot No : 6106</t>
  </si>
  <si>
    <t>Cost ;450,000</t>
  </si>
  <si>
    <t>Code Num;CNL3324233</t>
  </si>
  <si>
    <t>Al Rh Adj Booking</t>
  </si>
  <si>
    <t>INSTALLMENT CLEAR</t>
  </si>
  <si>
    <t>DEVELOPMNT CONTINUE</t>
  </si>
  <si>
    <t>13/4/2026</t>
  </si>
  <si>
    <t>Code Num;CGF4278747</t>
  </si>
  <si>
    <t>Code Num;CQN8686568</t>
  </si>
  <si>
    <t>20/3/2026</t>
  </si>
  <si>
    <t>14/4/2026</t>
  </si>
  <si>
    <t>Name : Sheikh Kashif</t>
  </si>
  <si>
    <t>Father Name : Sheikh M. Akhlaq</t>
  </si>
  <si>
    <t>CNIC #42201-6445485-1</t>
  </si>
  <si>
    <t>Contact # 03002710805</t>
  </si>
  <si>
    <t>Plot No : 6110</t>
  </si>
  <si>
    <t>25/9/2022</t>
  </si>
  <si>
    <t>16/3/2023</t>
  </si>
  <si>
    <t>30/5/2022</t>
  </si>
  <si>
    <t>21/8/2023</t>
  </si>
  <si>
    <t>leased Adj</t>
  </si>
  <si>
    <t>partcial pay</t>
  </si>
  <si>
    <t>30,000 DISCOUNT GIVEN BY SIR ARSHAD</t>
  </si>
  <si>
    <t>15/4/2026</t>
  </si>
  <si>
    <t>Development</t>
  </si>
  <si>
    <t>nill</t>
  </si>
  <si>
    <t>INSTALLMENT AND DEVELOPENT BOTH CLEAR</t>
  </si>
  <si>
    <t>Name; Shaikh Muhammad Ahmed</t>
  </si>
  <si>
    <t>CNIC #42201-8320166-9</t>
  </si>
  <si>
    <t>Contact # 03002413624</t>
  </si>
  <si>
    <t>Plot No : 6152</t>
  </si>
  <si>
    <t>Cost ;420,000</t>
  </si>
  <si>
    <t>Father Name :Sheikh M.Akhlaq</t>
  </si>
  <si>
    <t>Code Num;BYD0045584</t>
  </si>
  <si>
    <t>19/8/2022</t>
  </si>
  <si>
    <t>14/4/2023</t>
  </si>
  <si>
    <t>30/5/2023</t>
  </si>
  <si>
    <t>17/7/2023</t>
  </si>
  <si>
    <t>19/8./2023</t>
  </si>
  <si>
    <t>23/11/2023</t>
  </si>
  <si>
    <t>22/12/2023</t>
  </si>
  <si>
    <t>22/3/2024</t>
  </si>
  <si>
    <t>25/4/2024</t>
  </si>
  <si>
    <t>22/5/2024</t>
  </si>
  <si>
    <t>24/6/2024</t>
  </si>
  <si>
    <t>28/7/2024</t>
  </si>
  <si>
    <t>29/10/2024</t>
  </si>
  <si>
    <t>24/11/2024</t>
  </si>
  <si>
    <t>23/12/2023</t>
  </si>
  <si>
    <t>22/1/2025</t>
  </si>
  <si>
    <t>15/6/2025</t>
  </si>
  <si>
    <t>Code Num;CGu8165802</t>
  </si>
  <si>
    <t>Name ;NOOR Jahan</t>
  </si>
  <si>
    <t>Father Name :Javed</t>
  </si>
  <si>
    <t>CNIC #42401-1672636</t>
  </si>
  <si>
    <t>Contact # 03218856422</t>
  </si>
  <si>
    <t>Plot No : 6163</t>
  </si>
  <si>
    <t>Code Num;CKK8821519</t>
  </si>
  <si>
    <t>THIS FILE IS TRANSFFER TO;</t>
  </si>
  <si>
    <t>DETAIL OF TRANSFEER</t>
  </si>
  <si>
    <t>18/8/2022</t>
  </si>
  <si>
    <t>22/9/2024</t>
  </si>
  <si>
    <t>17/11/2024</t>
  </si>
  <si>
    <t>22/6/2025</t>
  </si>
  <si>
    <t>/7/2025</t>
  </si>
  <si>
    <t>Installment</t>
  </si>
  <si>
    <t>17/8/2025</t>
  </si>
  <si>
    <t>19/10/2025</t>
  </si>
  <si>
    <t>Name ;Shamim</t>
  </si>
  <si>
    <t>Father Name :Muhammad Yameen</t>
  </si>
  <si>
    <t>CNIC #45402-5157423-2</t>
  </si>
  <si>
    <t>Contact Num;03132776722</t>
  </si>
  <si>
    <t>19/4/2026</t>
  </si>
  <si>
    <t>Code Num;CJV0407891</t>
  </si>
  <si>
    <t>Name; Farhan Uddin</t>
  </si>
  <si>
    <t>Father Name :Umer Din</t>
  </si>
  <si>
    <t>CNIC #42101-7629182-7</t>
  </si>
  <si>
    <t>Contact # 03112321722</t>
  </si>
  <si>
    <t>Plot No : 6111</t>
  </si>
  <si>
    <t>Code Num;CCD7274915</t>
  </si>
  <si>
    <t>28/11/2022</t>
  </si>
  <si>
    <t>30/10/2022</t>
  </si>
  <si>
    <t>19/4/2023</t>
  </si>
  <si>
    <t>13/8/2023</t>
  </si>
  <si>
    <t>instllment</t>
  </si>
  <si>
    <t>Adjustment</t>
  </si>
  <si>
    <t>13/4/2024</t>
  </si>
  <si>
    <t>29/9/2024</t>
  </si>
  <si>
    <t>16/2/2025</t>
  </si>
  <si>
    <t>16/3/2025</t>
  </si>
  <si>
    <t>NILL</t>
  </si>
  <si>
    <t>Code Num;CNQ7355765</t>
  </si>
  <si>
    <t>21/4/2026</t>
  </si>
  <si>
    <t>23/4/2026</t>
  </si>
  <si>
    <t>25/4/2026</t>
  </si>
  <si>
    <t>Code Num;CLA2583951</t>
  </si>
  <si>
    <t>Name; Tasmia Farhan</t>
  </si>
  <si>
    <t>Father Name :Farhan</t>
  </si>
  <si>
    <t>CNIC #42301-1531462-6</t>
  </si>
  <si>
    <t>Contact # 03332279069</t>
  </si>
  <si>
    <t>Plot No : 6109</t>
  </si>
  <si>
    <t>Cost ;600,000</t>
  </si>
  <si>
    <t>25/10/2023</t>
  </si>
  <si>
    <t>25/3/2023</t>
  </si>
  <si>
    <t>15/7/2023</t>
  </si>
  <si>
    <t>18/9/2023</t>
  </si>
  <si>
    <t>14/2/2024</t>
  </si>
  <si>
    <t>14/3/2024</t>
  </si>
  <si>
    <t>17/4/2024</t>
  </si>
  <si>
    <t>16/5/2024</t>
  </si>
  <si>
    <t>16/6/2024</t>
  </si>
  <si>
    <t>19/7/2024</t>
  </si>
  <si>
    <t>15/8/2024</t>
  </si>
  <si>
    <t>14/10/2024</t>
  </si>
  <si>
    <t>17/2/2025</t>
  </si>
  <si>
    <t>20/3/2025</t>
  </si>
  <si>
    <t>17/4/2025</t>
  </si>
  <si>
    <t>14/5/2025</t>
  </si>
  <si>
    <t>14/6/2025</t>
  </si>
  <si>
    <t>15/7/2025</t>
  </si>
  <si>
    <t>13/9/2024</t>
  </si>
  <si>
    <t>16/8/2024</t>
  </si>
  <si>
    <t>18/9/2025</t>
  </si>
  <si>
    <t>17/1/2025</t>
  </si>
  <si>
    <t>18/1/2026</t>
  </si>
  <si>
    <t>17/2/2026</t>
  </si>
  <si>
    <t>Code Num;BXV1544035</t>
  </si>
  <si>
    <t>Code Num;BZL1011803</t>
  </si>
  <si>
    <t>27/4/2026</t>
  </si>
  <si>
    <t>Code Num;AQL3052777</t>
  </si>
  <si>
    <t>Code Num;CRP0624210</t>
  </si>
  <si>
    <t>INSTALMENT AND DEVELOPMENT BOTH CLEAR</t>
  </si>
  <si>
    <t>CODE NUM;BPS5802583</t>
  </si>
  <si>
    <t>Name : M. Naeem</t>
  </si>
  <si>
    <t>Father Name : M.Saleem</t>
  </si>
  <si>
    <t>CNIC #42401-1683281-9</t>
  </si>
  <si>
    <t>Contact # 03158490938</t>
  </si>
  <si>
    <t>Cost :480,000</t>
  </si>
  <si>
    <t>THIS FILE IS TRANSFERRED TO</t>
  </si>
  <si>
    <t>Detail of Transferred</t>
  </si>
  <si>
    <t>Contact # 03172227366</t>
  </si>
  <si>
    <t>27/8/2022</t>
  </si>
  <si>
    <t>Adjustmnt</t>
  </si>
  <si>
    <t>All AMOUNT GIVEN TO AL REHMAN BUILDER</t>
  </si>
  <si>
    <t>Name :Faheem</t>
  </si>
  <si>
    <t>CNIC #42101-9271136-1</t>
  </si>
  <si>
    <t>Code Num;CFZ5694306</t>
  </si>
  <si>
    <t>Code Num;CHX1656061</t>
  </si>
  <si>
    <t>Code Num;CQP0012883</t>
  </si>
  <si>
    <t>30/11/2025</t>
  </si>
  <si>
    <t>Name : Amir Ali</t>
  </si>
  <si>
    <t>Father Name : Anwar ul haq</t>
  </si>
  <si>
    <t>CNIC #31301-9568986-9</t>
  </si>
  <si>
    <t>Contact # 03121298481</t>
  </si>
  <si>
    <t>Code Num;</t>
  </si>
  <si>
    <t>plot number change hogh</t>
  </si>
  <si>
    <t>Code Num;BUC3478322</t>
  </si>
  <si>
    <t>13/5/026</t>
  </si>
  <si>
    <t xml:space="preserve"> </t>
  </si>
  <si>
    <t>PLOT NUM CHANGE HOGH</t>
  </si>
  <si>
    <t>16/5/2026</t>
  </si>
  <si>
    <t>NAME:</t>
  </si>
  <si>
    <t>F\NAME:</t>
  </si>
  <si>
    <t>CODE NO:</t>
  </si>
  <si>
    <t>CONTACT NO</t>
  </si>
  <si>
    <t>CNIC :</t>
  </si>
  <si>
    <t>PLOT NO:</t>
  </si>
  <si>
    <t>COST:</t>
  </si>
  <si>
    <t>GULAM RASOOL</t>
  </si>
  <si>
    <t>GULAM QAMAR</t>
  </si>
  <si>
    <t>CBV7274574</t>
  </si>
  <si>
    <t>0302-2497588</t>
  </si>
  <si>
    <t>33100-0111534-1</t>
  </si>
  <si>
    <t>15\08\023</t>
  </si>
  <si>
    <t>05\03\023</t>
  </si>
  <si>
    <t>20\04\023</t>
  </si>
  <si>
    <t>28\05\23</t>
  </si>
  <si>
    <t>03\07\023</t>
  </si>
  <si>
    <t>05\09\023</t>
  </si>
  <si>
    <t>23\10\023</t>
  </si>
  <si>
    <t>29\11\023</t>
  </si>
  <si>
    <t>22\01\024</t>
  </si>
  <si>
    <t>28\12\025</t>
  </si>
  <si>
    <t>27\03\024</t>
  </si>
  <si>
    <t>RESEDENTAIL BOOKING</t>
  </si>
  <si>
    <t>TOKEN SITE</t>
  </si>
  <si>
    <t>INSTALLMENT</t>
  </si>
  <si>
    <t>07\05\024</t>
  </si>
  <si>
    <t>01\06\024</t>
  </si>
  <si>
    <t>16\10\024</t>
  </si>
  <si>
    <t>23\11\024</t>
  </si>
  <si>
    <t>11\01\025</t>
  </si>
  <si>
    <t>20\02\025</t>
  </si>
  <si>
    <t>23\03\025</t>
  </si>
  <si>
    <t>22\04\025</t>
  </si>
  <si>
    <t>20\06\025</t>
  </si>
  <si>
    <t>28\07\025</t>
  </si>
  <si>
    <t>28\08\025</t>
  </si>
  <si>
    <t>01\10\025</t>
  </si>
  <si>
    <t>10\11\025</t>
  </si>
  <si>
    <t>15\12\025</t>
  </si>
  <si>
    <t>28\01\026</t>
  </si>
  <si>
    <t>28\02\026</t>
  </si>
  <si>
    <t>20\05\026</t>
  </si>
  <si>
    <t>CONTACT NO:</t>
  </si>
  <si>
    <t>CNIC:</t>
  </si>
  <si>
    <t>ABDUL AZIZ</t>
  </si>
  <si>
    <t>MUHAMMAD ISMAIL</t>
  </si>
  <si>
    <t>0344-2057320</t>
  </si>
  <si>
    <t>13503-3365118-9</t>
  </si>
  <si>
    <t>CCB1233070</t>
  </si>
  <si>
    <t>24\12\22</t>
  </si>
  <si>
    <t>11\1\23</t>
  </si>
  <si>
    <t>15\2\23</t>
  </si>
  <si>
    <t>20\3\23</t>
  </si>
  <si>
    <t>8\5\23</t>
  </si>
  <si>
    <t>14\6\23</t>
  </si>
  <si>
    <t>20\7\23</t>
  </si>
  <si>
    <t>18\8\23</t>
  </si>
  <si>
    <t>24\10\23</t>
  </si>
  <si>
    <t>17\11\23</t>
  </si>
  <si>
    <t>17\12\23</t>
  </si>
  <si>
    <t>17\1\24</t>
  </si>
  <si>
    <t>19\2\24</t>
  </si>
  <si>
    <t>9\4\24</t>
  </si>
  <si>
    <t>21\5\24</t>
  </si>
  <si>
    <t>22\6\24</t>
  </si>
  <si>
    <t>15\7\24</t>
  </si>
  <si>
    <t>23\10\24</t>
  </si>
  <si>
    <t>19\11\24</t>
  </si>
  <si>
    <t>23\12\24</t>
  </si>
  <si>
    <t>23\1\25</t>
  </si>
  <si>
    <t>24\2\25</t>
  </si>
  <si>
    <t>21\4\25</t>
  </si>
  <si>
    <t>24\5\25</t>
  </si>
  <si>
    <t>23\6\25</t>
  </si>
  <si>
    <t>21\7\25</t>
  </si>
  <si>
    <t>18\8\25</t>
  </si>
  <si>
    <t>24\9\25</t>
  </si>
  <si>
    <t>23\11\25</t>
  </si>
  <si>
    <t>16\12\25</t>
  </si>
  <si>
    <t>24\1\26</t>
  </si>
  <si>
    <t>28\2\26</t>
  </si>
  <si>
    <t>26\3\26</t>
  </si>
  <si>
    <t>22\5\26</t>
  </si>
  <si>
    <t>TOKEN</t>
  </si>
  <si>
    <t>RESEDENTIAL BOOKING</t>
  </si>
  <si>
    <t>COST</t>
  </si>
  <si>
    <t>MUHAMMAD HAMID</t>
  </si>
  <si>
    <t>MUHAMMAD SULIMAN</t>
  </si>
  <si>
    <t>42201-2184504-3</t>
  </si>
  <si>
    <t>0312-2044724</t>
  </si>
  <si>
    <t>CKZ1252853</t>
  </si>
  <si>
    <t>2\6\20</t>
  </si>
  <si>
    <t>6\8\20</t>
  </si>
  <si>
    <t>15\9\20</t>
  </si>
  <si>
    <t>3\10\20</t>
  </si>
  <si>
    <t>15\11\20</t>
  </si>
  <si>
    <t>13\12\20</t>
  </si>
  <si>
    <t>18\4\21</t>
  </si>
  <si>
    <t>23\5\21</t>
  </si>
  <si>
    <t>26\6\21</t>
  </si>
  <si>
    <t>11\12\21</t>
  </si>
  <si>
    <t>15\1\22</t>
  </si>
  <si>
    <t>24\2\22</t>
  </si>
  <si>
    <t>23\5\22</t>
  </si>
  <si>
    <t>3\8\22</t>
  </si>
  <si>
    <t>20\9\22</t>
  </si>
  <si>
    <t>4\12\22</t>
  </si>
  <si>
    <t>21\1\23</t>
  </si>
  <si>
    <t>26\2\23</t>
  </si>
  <si>
    <t>19\3\23</t>
  </si>
  <si>
    <t>28\5\23</t>
  </si>
  <si>
    <t>26\7\23</t>
  </si>
  <si>
    <t>26\8\23</t>
  </si>
  <si>
    <t>30\9\23</t>
  </si>
  <si>
    <t>15\10\23</t>
  </si>
  <si>
    <t>18\11\23</t>
  </si>
  <si>
    <t>20\1\24</t>
  </si>
  <si>
    <t>CODE NO</t>
  </si>
  <si>
    <t>BWX3980856</t>
  </si>
  <si>
    <t>8\6\026</t>
  </si>
  <si>
    <t>11\6\26</t>
  </si>
  <si>
    <t>10\5\26</t>
  </si>
  <si>
    <t xml:space="preserve">ZAHID ALI </t>
  </si>
  <si>
    <t>ARSHAD AHMAD</t>
  </si>
  <si>
    <t>0340-6342704</t>
  </si>
  <si>
    <t>31031-3700653-9</t>
  </si>
  <si>
    <t>30\11\25</t>
  </si>
  <si>
    <t>11\1\26</t>
  </si>
  <si>
    <t>3\2\26</t>
  </si>
  <si>
    <t>11\4\26</t>
  </si>
  <si>
    <t>BOOKING</t>
  </si>
  <si>
    <t>INSTALMENT</t>
  </si>
  <si>
    <t>13\6\26</t>
  </si>
  <si>
    <t>GUL ZAIB KA HER INSTALLMENT PAYMENT PER 50% COMMISION HAI</t>
  </si>
  <si>
    <t>5\5\26</t>
  </si>
  <si>
    <t>30\5\26</t>
  </si>
  <si>
    <t>14\6\26</t>
  </si>
  <si>
    <t>BOOKING ADVANCE</t>
  </si>
  <si>
    <t>CQC0946024</t>
  </si>
  <si>
    <t>17\6\26</t>
  </si>
  <si>
    <t>CQY8862925</t>
  </si>
  <si>
    <t>31\7\22</t>
  </si>
  <si>
    <t>16\9\22</t>
  </si>
  <si>
    <t>12\11\22</t>
  </si>
  <si>
    <t>12\3\23</t>
  </si>
  <si>
    <t>30\4\23</t>
  </si>
  <si>
    <t>27\5\23</t>
  </si>
  <si>
    <t>20\8\23</t>
  </si>
  <si>
    <t>24\9\23</t>
  </si>
  <si>
    <t>22\10\23</t>
  </si>
  <si>
    <t>19\11\23</t>
  </si>
  <si>
    <t>REHMAN ADJUSTMENT</t>
  </si>
  <si>
    <t>15\1\24</t>
  </si>
  <si>
    <t>15\2\24</t>
  </si>
  <si>
    <t>17\3\24</t>
  </si>
  <si>
    <t>7\4\24</t>
  </si>
  <si>
    <t>15\5\24</t>
  </si>
  <si>
    <t>13\6\24</t>
  </si>
  <si>
    <t>18\7\24</t>
  </si>
  <si>
    <t>14\8\24</t>
  </si>
  <si>
    <t>14\9\24</t>
  </si>
  <si>
    <t>14\10\24</t>
  </si>
  <si>
    <t>18\11\24</t>
  </si>
  <si>
    <t>14\12\24</t>
  </si>
  <si>
    <t>21\2\25</t>
  </si>
  <si>
    <t>14\1\25</t>
  </si>
  <si>
    <t>9\3\25</t>
  </si>
  <si>
    <t>16\4\25</t>
  </si>
  <si>
    <t>17\5\25</t>
  </si>
  <si>
    <t>15\6\25</t>
  </si>
  <si>
    <t>GHULAM HUSSAIN</t>
  </si>
  <si>
    <t>UMAR HUSSIAN</t>
  </si>
  <si>
    <t>0333-6492391</t>
  </si>
  <si>
    <t>42401-1474821-5</t>
  </si>
  <si>
    <t>CODE:</t>
  </si>
  <si>
    <t>CTG5854018</t>
  </si>
  <si>
    <t>6\9\22</t>
  </si>
  <si>
    <t>14\1\20</t>
  </si>
  <si>
    <t>GULAM HUSSIAN</t>
  </si>
  <si>
    <t>21\6\26</t>
  </si>
  <si>
    <t>development</t>
  </si>
  <si>
    <t>nil</t>
  </si>
  <si>
    <t>CUA7832023</t>
  </si>
  <si>
    <t>23\6\26</t>
  </si>
  <si>
    <t>CNIC NO:\</t>
  </si>
  <si>
    <t>CUL4181005</t>
  </si>
  <si>
    <t>23\2\22</t>
  </si>
  <si>
    <t>13\9\22</t>
  </si>
  <si>
    <t>15\12\22</t>
  </si>
  <si>
    <t>13\3\23</t>
  </si>
  <si>
    <t>6\5\23</t>
  </si>
  <si>
    <t>7\7\23</t>
  </si>
  <si>
    <t>25\8\23</t>
  </si>
  <si>
    <t>26\9\23</t>
  </si>
  <si>
    <t>26\10\23</t>
  </si>
  <si>
    <t>ADVANCE BOOKING</t>
  </si>
  <si>
    <t>26\11\23</t>
  </si>
  <si>
    <t>26\12\23</t>
  </si>
  <si>
    <t>21\1\24</t>
  </si>
  <si>
    <t>27\2\24</t>
  </si>
  <si>
    <t>26\3\24</t>
  </si>
  <si>
    <t>19\5\24</t>
  </si>
  <si>
    <t>29\6\24</t>
  </si>
  <si>
    <t>22\9\24</t>
  </si>
  <si>
    <t>27\10\24</t>
  </si>
  <si>
    <t>30\11\24</t>
  </si>
  <si>
    <t>27\12\24</t>
  </si>
  <si>
    <t>18\1\25</t>
  </si>
  <si>
    <t>5\3\25</t>
  </si>
  <si>
    <t>8\4\25</t>
  </si>
  <si>
    <t>8\5\25</t>
  </si>
  <si>
    <t>24\6\25</t>
  </si>
  <si>
    <t>26\8\25</t>
  </si>
  <si>
    <t>13\11\25</t>
  </si>
  <si>
    <t>24\12\25</t>
  </si>
  <si>
    <t>30\6\26</t>
  </si>
  <si>
    <t>DEVELOPMENT</t>
  </si>
  <si>
    <t>MUHAMMAD MUSTAQ</t>
  </si>
  <si>
    <t>ABDUL MALIK</t>
  </si>
  <si>
    <t>0301-2131256</t>
  </si>
  <si>
    <t>31201-7990867-3</t>
  </si>
  <si>
    <t>12\5\26</t>
  </si>
  <si>
    <t>1\7\26</t>
  </si>
  <si>
    <t>5\7\026</t>
  </si>
  <si>
    <t>14\7\26</t>
  </si>
  <si>
    <t>CNIC NO:</t>
  </si>
  <si>
    <t>AHY5228148</t>
  </si>
  <si>
    <t>6\11\20</t>
  </si>
  <si>
    <t>13\6\23</t>
  </si>
  <si>
    <t>30\7\23</t>
  </si>
  <si>
    <t>22\8\23</t>
  </si>
  <si>
    <t>3\10\23</t>
  </si>
  <si>
    <t>3\12\23</t>
  </si>
  <si>
    <t>14\1\24</t>
  </si>
  <si>
    <t>4\5\24</t>
  </si>
  <si>
    <t>8\6\24</t>
  </si>
  <si>
    <t>4\7\24</t>
  </si>
  <si>
    <t>ADJUSTMENT REHMAN</t>
  </si>
  <si>
    <t>12\7\26</t>
  </si>
  <si>
    <t>MUHAMMAD SAEEED</t>
  </si>
  <si>
    <t>0348-2190940</t>
  </si>
  <si>
    <t>42301-7798647-1</t>
  </si>
  <si>
    <t>23\7\2026</t>
  </si>
  <si>
    <t>29/5/26</t>
  </si>
  <si>
    <t>17/7/26</t>
  </si>
  <si>
    <t>31/10/23</t>
  </si>
  <si>
    <t>18/7/23</t>
  </si>
  <si>
    <t>25/9/23</t>
  </si>
  <si>
    <t>14/12/23</t>
  </si>
  <si>
    <t>27/10/24</t>
  </si>
  <si>
    <t>26/5/25</t>
  </si>
  <si>
    <t>30/7/26</t>
  </si>
  <si>
    <t>29/4/23</t>
  </si>
  <si>
    <t>17/8/24</t>
  </si>
  <si>
    <t>AL REHMAN</t>
  </si>
  <si>
    <t>HAQ NAWAZ</t>
  </si>
  <si>
    <t>ALI NAWAZ</t>
  </si>
  <si>
    <t>0313-1198513</t>
  </si>
  <si>
    <t>6177A</t>
  </si>
  <si>
    <t>44204-5856350-3</t>
  </si>
  <si>
    <t>CMM2248386</t>
  </si>
  <si>
    <t xml:space="preserve">KASHIF ALI </t>
  </si>
  <si>
    <t>44204-0171084-9</t>
  </si>
  <si>
    <t>BKX2795252</t>
  </si>
  <si>
    <t>6177B</t>
  </si>
  <si>
    <t>31/10/22</t>
  </si>
  <si>
    <t>24/9/23</t>
  </si>
  <si>
    <t>ADJ AL REHAN</t>
  </si>
  <si>
    <t>26/6/26</t>
  </si>
  <si>
    <t>6\7\2026</t>
  </si>
  <si>
    <t>CGD2161277</t>
  </si>
  <si>
    <t>16/4/25</t>
  </si>
  <si>
    <t>31/10/25</t>
  </si>
  <si>
    <t>18/2/26</t>
  </si>
  <si>
    <t>17/7/25</t>
  </si>
  <si>
    <t>DEVELOMENT</t>
  </si>
  <si>
    <t>CODE NO:c</t>
  </si>
  <si>
    <t>15/5/26</t>
  </si>
  <si>
    <t>16/6/26</t>
  </si>
  <si>
    <t>14/8/26</t>
  </si>
  <si>
    <t>15/7/26</t>
  </si>
  <si>
    <t>15/8/26</t>
  </si>
  <si>
    <t>16/8/26</t>
  </si>
  <si>
    <t xml:space="preserve">DEVELOPEMNRNT NILL </t>
  </si>
  <si>
    <t>DEVE</t>
  </si>
  <si>
    <t>SAGAR LI DEATH HOGAI HAI NOMME M YSKE BHIA KA NAME AYGA</t>
  </si>
  <si>
    <t>IS KA PLOT EXCHANGE HOGA</t>
  </si>
  <si>
    <t>Contact :0312-1298481</t>
  </si>
  <si>
    <t xml:space="preserve">Name : AMIR ALI </t>
  </si>
  <si>
    <t>Father Name : ANWAR UL HAQ</t>
  </si>
  <si>
    <t>30/11/25</t>
  </si>
  <si>
    <t>14/7/26</t>
  </si>
  <si>
    <t xml:space="preserve">INSTALLMENT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</si>
</sst>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A3DB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5" fillId="0" borderId="1" xfId="0" applyFont="1" applyBorder="1"/>
    <xf numFmtId="3" fontId="0" fillId="0" borderId="1" xfId="0" applyNumberFormat="1" applyBorder="1"/>
    <xf numFmtId="14" fontId="0" fillId="0" borderId="1" xfId="0" applyNumberFormat="1" applyBorder="1"/>
    <xf numFmtId="14" fontId="0" fillId="0" borderId="0" xfId="0" applyNumberFormat="1"/>
    <xf numFmtId="3" fontId="0" fillId="0" borderId="0" xfId="0" applyNumberFormat="1"/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/>
    <xf numFmtId="14" fontId="0" fillId="0" borderId="3" xfId="0" applyNumberFormat="1" applyBorder="1" applyAlignment="1">
      <alignment wrapText="1"/>
    </xf>
    <xf numFmtId="14" fontId="0" fillId="0" borderId="3" xfId="0" applyNumberFormat="1" applyBorder="1"/>
    <xf numFmtId="3" fontId="0" fillId="0" borderId="4" xfId="0" applyNumberFormat="1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14" fontId="0" fillId="0" borderId="8" xfId="0" applyNumberFormat="1" applyBorder="1"/>
    <xf numFmtId="0" fontId="0" fillId="0" borderId="9" xfId="0" applyBorder="1"/>
    <xf numFmtId="3" fontId="0" fillId="0" borderId="9" xfId="0" applyNumberFormat="1" applyBorder="1"/>
    <xf numFmtId="3" fontId="0" fillId="0" borderId="10" xfId="0" applyNumberFormat="1" applyBorder="1"/>
    <xf numFmtId="0" fontId="4" fillId="2" borderId="5" xfId="0" applyFont="1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3" borderId="1" xfId="0" applyFill="1" applyBorder="1"/>
    <xf numFmtId="3" fontId="0" fillId="3" borderId="1" xfId="0" applyNumberFormat="1" applyFill="1" applyBorder="1"/>
    <xf numFmtId="0" fontId="0" fillId="3" borderId="3" xfId="0" applyFill="1" applyBorder="1"/>
    <xf numFmtId="14" fontId="0" fillId="3" borderId="3" xfId="0" applyNumberFormat="1" applyFill="1" applyBorder="1"/>
    <xf numFmtId="3" fontId="0" fillId="3" borderId="4" xfId="0" applyNumberFormat="1" applyFill="1" applyBorder="1"/>
    <xf numFmtId="0" fontId="6" fillId="0" borderId="0" xfId="0" applyFont="1"/>
    <xf numFmtId="3" fontId="6" fillId="0" borderId="0" xfId="0" applyNumberFormat="1" applyFont="1"/>
    <xf numFmtId="17" fontId="0" fillId="0" borderId="0" xfId="0" applyNumberFormat="1"/>
    <xf numFmtId="0" fontId="7" fillId="0" borderId="0" xfId="0" applyFont="1"/>
    <xf numFmtId="0" fontId="0" fillId="0" borderId="2" xfId="0" applyBorder="1"/>
    <xf numFmtId="0" fontId="8" fillId="0" borderId="0" xfId="0" applyFont="1"/>
    <xf numFmtId="0" fontId="6" fillId="4" borderId="0" xfId="0" applyFont="1" applyFill="1" applyAlignment="1">
      <alignment vertical="center"/>
    </xf>
    <xf numFmtId="14" fontId="6" fillId="0" borderId="0" xfId="0" applyNumberFormat="1" applyFont="1"/>
    <xf numFmtId="0" fontId="0" fillId="0" borderId="2" xfId="0" applyBorder="1" applyAlignment="1">
      <alignment horizontal="left"/>
    </xf>
    <xf numFmtId="0" fontId="2" fillId="4" borderId="0" xfId="0" applyFont="1" applyFill="1"/>
    <xf numFmtId="0" fontId="0" fillId="4" borderId="0" xfId="0" applyFill="1"/>
    <xf numFmtId="0" fontId="9" fillId="4" borderId="0" xfId="0" applyFont="1" applyFill="1" applyAlignment="1">
      <alignment horizontal="left" vertical="center"/>
    </xf>
    <xf numFmtId="14" fontId="6" fillId="0" borderId="8" xfId="0" applyNumberFormat="1" applyFont="1" applyBorder="1"/>
    <xf numFmtId="0" fontId="6" fillId="0" borderId="9" xfId="0" applyFont="1" applyBorder="1"/>
    <xf numFmtId="3" fontId="6" fillId="0" borderId="9" xfId="0" applyNumberFormat="1" applyFont="1" applyBorder="1"/>
    <xf numFmtId="3" fontId="6" fillId="0" borderId="10" xfId="0" applyNumberFormat="1" applyFont="1" applyBorder="1"/>
    <xf numFmtId="0" fontId="4" fillId="4" borderId="5" xfId="0" applyFont="1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1" fillId="0" borderId="0" xfId="0" applyFont="1"/>
    <xf numFmtId="3" fontId="2" fillId="0" borderId="0" xfId="0" applyNumberFormat="1" applyFont="1"/>
    <xf numFmtId="0" fontId="0" fillId="0" borderId="9" xfId="0" applyBorder="1" applyAlignment="1">
      <alignment horizontal="left"/>
    </xf>
    <xf numFmtId="3" fontId="0" fillId="0" borderId="9" xfId="0" applyNumberFormat="1" applyBorder="1" applyAlignment="1">
      <alignment horizontal="left"/>
    </xf>
    <xf numFmtId="16" fontId="0" fillId="0" borderId="1" xfId="0" applyNumberFormat="1" applyBorder="1"/>
    <xf numFmtId="14" fontId="6" fillId="0" borderId="1" xfId="0" applyNumberFormat="1" applyFont="1" applyBorder="1"/>
    <xf numFmtId="0" fontId="6" fillId="0" borderId="1" xfId="0" applyFont="1" applyBorder="1"/>
    <xf numFmtId="0" fontId="4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Font="1" applyFill="1" applyBorder="1"/>
  </cellXfs>
  <cellStyles count="1">
    <cellStyle name="Normal" xfId="0" builtinId="0"/>
  </cellStyles>
  <dxfs count="25">
    <dxf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numFmt numFmtId="19" formatCode="m/d/yyyy"/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638BC0-CB3F-4233-B117-A4F9853031C7}" name="Table1" displayName="Table1" ref="A7:G8" totalsRowShown="0" headerRowDxfId="24">
  <autoFilter ref="A7:G8" xr:uid="{AC638BC0-CB3F-4233-B117-A4F9853031C7}"/>
  <tableColumns count="7">
    <tableColumn id="1" xr3:uid="{440A04E0-DCC8-4B2B-9A04-2FC4B812F475}" name="Date" dataDxfId="23"/>
    <tableColumn id="2" xr3:uid="{6976F173-4C84-4DBE-98E8-927F59A27A79}" name="R.NO"/>
    <tableColumn id="3" xr3:uid="{A205C0B9-815E-4F76-944D-E2B0D3C5C68D}" name="Description"/>
    <tableColumn id="4" xr3:uid="{EE4C20CB-6F1E-443E-AA65-5F18CE7671E3}" name="Amount Rec" dataDxfId="22"/>
    <tableColumn id="5" xr3:uid="{57A2578F-3716-40DB-9E08-80590AB39D7E}" name="Total Rec" dataDxfId="21"/>
    <tableColumn id="6" xr3:uid="{5AC64B5A-523C-4494-991D-B8E82AB8BEBE}" name="Amount Due" dataDxfId="20"/>
    <tableColumn id="7" xr3:uid="{B1C6384C-F3F2-473F-9048-AFCE55623F9B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B65057-90AF-44C8-BF8E-70CB032F1564}" name="Table2" displayName="Table2" ref="A7:F26" totalsRowShown="0" headerRowDxfId="19" headerRowBorderDxfId="18" tableBorderDxfId="17" totalsRowBorderDxfId="16">
  <autoFilter ref="A7:F26" xr:uid="{C3B65057-90AF-44C8-BF8E-70CB032F1564}"/>
  <tableColumns count="6">
    <tableColumn id="1" xr3:uid="{D807FD7B-EE77-4AFA-8F6E-961E72C28BF2}" name="Date" dataDxfId="15"/>
    <tableColumn id="2" xr3:uid="{DF396B57-70A9-4B6E-83D2-572F4B67C09B}" name="R.NO" dataDxfId="14"/>
    <tableColumn id="3" xr3:uid="{F7463909-AFFE-4A69-92AA-699D0AE1B87C}" name="Description" dataDxfId="13"/>
    <tableColumn id="4" xr3:uid="{5A5C6EDA-D72B-46D4-B160-4CB22BCF63B0}" name="Amount Rec" dataDxfId="12"/>
    <tableColumn id="5" xr3:uid="{A68F739C-48FE-420D-A525-A7152EAE835B}" name="Total Rec" dataDxfId="11">
      <calculatedColumnFormula>SUM(E7+D8)</calculatedColumnFormula>
    </tableColumn>
    <tableColumn id="6" xr3:uid="{7A02D36B-771D-4301-B942-385027A8635C}" name="Amount Due" dataDxfId="10">
      <calculatedColumnFormula>F7-D8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FF8454-C459-4CC4-8999-77C31E2E66E1}" name="Table3" displayName="Table3" ref="A7:F26" totalsRowShown="0" headerRowDxfId="9" headerRowBorderDxfId="8" tableBorderDxfId="7" totalsRowBorderDxfId="6">
  <autoFilter ref="A7:F26" xr:uid="{DBFF8454-C459-4CC4-8999-77C31E2E66E1}"/>
  <tableColumns count="6">
    <tableColumn id="1" xr3:uid="{E5A0C08C-342C-46E4-AC44-1DB5E0D6848B}" name="Date" dataDxfId="5"/>
    <tableColumn id="2" xr3:uid="{8FBCE52F-0388-4454-BC71-108C2F7EAA97}" name="R.NO" dataDxfId="4"/>
    <tableColumn id="3" xr3:uid="{A7FE34E0-AABD-49D0-BB0E-F457AF608FC7}" name="Description" dataDxfId="3"/>
    <tableColumn id="4" xr3:uid="{41145929-AE38-4158-83A2-444B03606E83}" name="Amount Rec" dataDxfId="2"/>
    <tableColumn id="5" xr3:uid="{D737168E-3EE3-453B-B319-9C89ABD68988}" name="Total Rec" dataDxfId="1">
      <calculatedColumnFormula>SUM(E7+D8)</calculatedColumnFormula>
    </tableColumn>
    <tableColumn id="6" xr3:uid="{C4F3395A-3AD1-4214-B17A-DC4EB39DF3A6}" name="Amount Due" dataDxfId="0">
      <calculatedColumnFormula>F7-D8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6D92-10BF-4BC2-A37B-C6D8C9AAB98E}">
  <dimension ref="A1:M10"/>
  <sheetViews>
    <sheetView workbookViewId="0">
      <selection activeCell="F2" sqref="F2"/>
    </sheetView>
  </sheetViews>
  <sheetFormatPr defaultRowHeight="14.5" x14ac:dyDescent="0.35"/>
  <cols>
    <col min="3" max="3" width="12.36328125" customWidth="1"/>
    <col min="4" max="4" width="13" customWidth="1"/>
    <col min="5" max="5" width="10.453125" customWidth="1"/>
    <col min="6" max="6" width="13.453125" customWidth="1"/>
    <col min="7" max="7" width="10.26953125" customWidth="1"/>
  </cols>
  <sheetData>
    <row r="1" spans="1:13" ht="18.5" x14ac:dyDescent="0.45">
      <c r="A1" s="1" t="s">
        <v>245</v>
      </c>
      <c r="B1" s="1"/>
      <c r="C1" s="2"/>
      <c r="D1" s="1"/>
      <c r="E1" s="1"/>
      <c r="F1" s="1"/>
      <c r="J1" s="1" t="s">
        <v>252</v>
      </c>
      <c r="K1" s="1"/>
      <c r="L1" s="2"/>
      <c r="M1" s="1"/>
    </row>
    <row r="2" spans="1:13" ht="18.5" x14ac:dyDescent="0.45">
      <c r="A2" s="1" t="s">
        <v>246</v>
      </c>
      <c r="C2" s="1"/>
      <c r="D2" s="1"/>
      <c r="E2" s="1"/>
      <c r="F2" s="1" t="s">
        <v>763</v>
      </c>
      <c r="J2" s="1" t="s">
        <v>253</v>
      </c>
      <c r="K2" s="1"/>
      <c r="L2" s="2"/>
      <c r="M2" s="1"/>
    </row>
    <row r="3" spans="1:13" ht="18.5" x14ac:dyDescent="0.45">
      <c r="A3" s="1" t="s">
        <v>247</v>
      </c>
      <c r="B3" s="1"/>
      <c r="C3" s="1"/>
      <c r="D3" s="1"/>
      <c r="E3" s="1"/>
      <c r="F3" s="1"/>
      <c r="J3" s="1" t="s">
        <v>254</v>
      </c>
      <c r="L3" s="1"/>
      <c r="M3" s="1"/>
    </row>
    <row r="4" spans="1:13" ht="18.5" x14ac:dyDescent="0.45">
      <c r="A4" s="1" t="s">
        <v>248</v>
      </c>
      <c r="B4" s="1"/>
      <c r="C4" s="1"/>
      <c r="D4" s="1"/>
      <c r="E4" s="1"/>
      <c r="F4" s="1"/>
      <c r="J4" s="1" t="s">
        <v>255</v>
      </c>
      <c r="K4" s="1"/>
      <c r="L4" s="1"/>
      <c r="M4" s="1"/>
    </row>
    <row r="5" spans="1:13" ht="18.5" x14ac:dyDescent="0.45">
      <c r="A5" s="1" t="s">
        <v>249</v>
      </c>
      <c r="B5" s="1"/>
      <c r="C5" s="1"/>
      <c r="D5" s="1"/>
      <c r="E5" s="1"/>
      <c r="F5" s="1"/>
      <c r="J5" s="1" t="s">
        <v>256</v>
      </c>
      <c r="K5" s="1"/>
      <c r="L5" s="1"/>
      <c r="M5" s="1"/>
    </row>
    <row r="6" spans="1:13" ht="18.5" x14ac:dyDescent="0.45">
      <c r="A6" s="1" t="s">
        <v>244</v>
      </c>
      <c r="B6" s="1"/>
      <c r="C6" s="1"/>
      <c r="D6" s="1" t="s">
        <v>250</v>
      </c>
      <c r="E6" s="1"/>
      <c r="F6" s="1"/>
    </row>
    <row r="7" spans="1:13" x14ac:dyDescent="0.35">
      <c r="A7" s="19" t="s">
        <v>5</v>
      </c>
      <c r="B7" s="20" t="s">
        <v>6</v>
      </c>
      <c r="C7" s="20" t="s">
        <v>7</v>
      </c>
      <c r="D7" s="20" t="s">
        <v>8</v>
      </c>
      <c r="E7" s="20" t="s">
        <v>9</v>
      </c>
      <c r="F7" s="20" t="s">
        <v>10</v>
      </c>
      <c r="G7" t="s">
        <v>251</v>
      </c>
    </row>
    <row r="8" spans="1:13" x14ac:dyDescent="0.35">
      <c r="A8" s="17">
        <v>46085</v>
      </c>
      <c r="B8">
        <v>13104</v>
      </c>
      <c r="C8" t="s">
        <v>12</v>
      </c>
      <c r="D8" s="18">
        <v>150000</v>
      </c>
      <c r="E8" s="18">
        <v>150000</v>
      </c>
      <c r="F8" s="18">
        <v>700000</v>
      </c>
    </row>
    <row r="9" spans="1:13" x14ac:dyDescent="0.35">
      <c r="A9" t="s">
        <v>611</v>
      </c>
      <c r="B9">
        <v>12942</v>
      </c>
      <c r="C9" t="s">
        <v>501</v>
      </c>
      <c r="D9" s="18">
        <v>10000</v>
      </c>
      <c r="E9" s="18">
        <f>Table1[Total Rec]+D9</f>
        <v>160000</v>
      </c>
      <c r="F9" s="18">
        <f>Table1[Amount Due]-D9</f>
        <v>690000</v>
      </c>
    </row>
    <row r="10" spans="1:13" x14ac:dyDescent="0.35">
      <c r="A10" t="s">
        <v>612</v>
      </c>
      <c r="B10">
        <v>13477</v>
      </c>
      <c r="C10" t="s">
        <v>501</v>
      </c>
      <c r="D10" s="18">
        <v>50000</v>
      </c>
      <c r="E10" s="18">
        <f>E9+D10</f>
        <v>210000</v>
      </c>
      <c r="F10" s="18">
        <f>F9-D10</f>
        <v>640000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B516-1C69-48CA-B72D-F0EBDF68EC91}">
  <dimension ref="A1:F10"/>
  <sheetViews>
    <sheetView workbookViewId="0">
      <selection sqref="A1:F7"/>
    </sheetView>
  </sheetViews>
  <sheetFormatPr defaultRowHeight="14.5" x14ac:dyDescent="0.35"/>
  <cols>
    <col min="6" max="6" width="12.453125" customWidth="1"/>
  </cols>
  <sheetData>
    <row r="1" spans="1:6" ht="18.5" x14ac:dyDescent="0.45">
      <c r="A1" s="1" t="s">
        <v>173</v>
      </c>
      <c r="B1" s="1"/>
      <c r="C1" s="2"/>
      <c r="D1" s="1"/>
      <c r="E1" s="1"/>
      <c r="F1" s="1"/>
    </row>
    <row r="2" spans="1:6" ht="18.5" x14ac:dyDescent="0.45">
      <c r="A2" s="1" t="s">
        <v>174</v>
      </c>
      <c r="C2" s="1"/>
      <c r="D2" s="1"/>
      <c r="E2" s="1"/>
      <c r="F2" s="1"/>
    </row>
    <row r="3" spans="1:6" ht="18.5" x14ac:dyDescent="0.45">
      <c r="A3" s="1" t="s">
        <v>175</v>
      </c>
      <c r="B3" s="1"/>
      <c r="C3" s="1"/>
      <c r="D3" s="1"/>
      <c r="E3" s="1"/>
      <c r="F3" s="1"/>
    </row>
    <row r="4" spans="1:6" ht="18.5" x14ac:dyDescent="0.45">
      <c r="A4" s="1" t="s">
        <v>410</v>
      </c>
      <c r="B4" s="1"/>
      <c r="C4" s="1"/>
      <c r="D4" s="1"/>
      <c r="E4" s="1"/>
      <c r="F4" s="1"/>
    </row>
    <row r="5" spans="1:6" ht="18.5" x14ac:dyDescent="0.45">
      <c r="A5" s="1" t="s">
        <v>176</v>
      </c>
      <c r="B5" s="1"/>
      <c r="C5" s="1"/>
      <c r="D5" s="1"/>
      <c r="E5" s="1"/>
      <c r="F5" s="1"/>
    </row>
    <row r="6" spans="1:6" ht="18.5" x14ac:dyDescent="0.45">
      <c r="A6" s="1" t="s">
        <v>178</v>
      </c>
      <c r="B6" s="1"/>
      <c r="C6" s="1"/>
      <c r="D6" s="1"/>
      <c r="E6" s="1" t="s">
        <v>177</v>
      </c>
      <c r="F6" s="1"/>
    </row>
    <row r="7" spans="1:6" x14ac:dyDescent="0.35">
      <c r="A7" s="21" t="s">
        <v>5</v>
      </c>
      <c r="B7" s="22" t="s">
        <v>6</v>
      </c>
      <c r="C7" s="22" t="s">
        <v>7</v>
      </c>
      <c r="D7" s="22" t="s">
        <v>8</v>
      </c>
      <c r="E7" s="22" t="s">
        <v>9</v>
      </c>
      <c r="F7" s="22" t="s">
        <v>10</v>
      </c>
    </row>
    <row r="8" spans="1:6" x14ac:dyDescent="0.35">
      <c r="A8" s="13" t="s">
        <v>131</v>
      </c>
      <c r="B8" s="13">
        <v>12550</v>
      </c>
      <c r="C8" s="13" t="s">
        <v>12</v>
      </c>
      <c r="D8" s="15">
        <v>150000</v>
      </c>
      <c r="E8" s="15">
        <v>150000</v>
      </c>
      <c r="F8" s="15">
        <v>650000</v>
      </c>
    </row>
    <row r="9" spans="1:6" x14ac:dyDescent="0.35">
      <c r="A9" s="13" t="s">
        <v>227</v>
      </c>
      <c r="B9" s="13">
        <v>12853</v>
      </c>
      <c r="C9" s="13" t="s">
        <v>14</v>
      </c>
      <c r="D9" s="15">
        <v>10000</v>
      </c>
      <c r="E9" s="15">
        <v>160000</v>
      </c>
      <c r="F9" s="15">
        <v>640000</v>
      </c>
    </row>
    <row r="10" spans="1:6" x14ac:dyDescent="0.35">
      <c r="A10" t="s">
        <v>409</v>
      </c>
      <c r="B10">
        <v>13056</v>
      </c>
      <c r="C10" s="13" t="s">
        <v>14</v>
      </c>
      <c r="D10" s="15">
        <v>10000</v>
      </c>
      <c r="E10" s="15">
        <f>SUM(E9+D9)</f>
        <v>170000</v>
      </c>
      <c r="F10" s="15">
        <f>F9-D10</f>
        <v>630000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C716-8377-4C31-BF51-950A574201B4}">
  <dimension ref="A1:K15"/>
  <sheetViews>
    <sheetView workbookViewId="0">
      <selection activeCell="F16" sqref="F16"/>
    </sheetView>
  </sheetViews>
  <sheetFormatPr defaultRowHeight="14.5" x14ac:dyDescent="0.35"/>
  <cols>
    <col min="1" max="1" width="10.26953125" customWidth="1"/>
    <col min="3" max="3" width="12.1796875" customWidth="1"/>
  </cols>
  <sheetData>
    <row r="1" spans="1:11" ht="18.5" x14ac:dyDescent="0.45">
      <c r="A1" s="1" t="s">
        <v>465</v>
      </c>
      <c r="B1" s="1"/>
      <c r="C1" s="2"/>
      <c r="D1" s="1"/>
      <c r="E1" s="1"/>
      <c r="F1" s="1"/>
    </row>
    <row r="2" spans="1:11" ht="18.5" x14ac:dyDescent="0.45">
      <c r="A2" s="1" t="s">
        <v>466</v>
      </c>
      <c r="C2" s="1"/>
      <c r="D2" s="1"/>
      <c r="E2" s="1"/>
      <c r="F2" s="1"/>
    </row>
    <row r="3" spans="1:11" ht="18.5" x14ac:dyDescent="0.45">
      <c r="A3" s="1" t="s">
        <v>467</v>
      </c>
      <c r="B3" s="1"/>
      <c r="C3" s="1"/>
      <c r="D3" s="1"/>
      <c r="E3" s="1"/>
      <c r="F3" s="1"/>
    </row>
    <row r="4" spans="1:11" ht="18.5" x14ac:dyDescent="0.45">
      <c r="A4" s="1" t="s">
        <v>469</v>
      </c>
      <c r="B4" s="1"/>
      <c r="C4" s="1"/>
      <c r="D4" s="1"/>
      <c r="E4" s="1"/>
      <c r="F4" s="1"/>
    </row>
    <row r="5" spans="1:11" ht="18.5" x14ac:dyDescent="0.45">
      <c r="A5" s="1" t="s">
        <v>468</v>
      </c>
      <c r="B5" s="1"/>
      <c r="C5" s="1"/>
      <c r="D5" s="1"/>
      <c r="E5" s="1"/>
      <c r="F5" s="1"/>
    </row>
    <row r="6" spans="1:11" ht="18.5" x14ac:dyDescent="0.45">
      <c r="A6" s="1" t="s">
        <v>244</v>
      </c>
      <c r="B6" s="1"/>
      <c r="C6" s="1"/>
      <c r="D6" s="1"/>
      <c r="E6" s="1" t="s">
        <v>22</v>
      </c>
      <c r="F6" s="1"/>
      <c r="H6" s="44" t="s">
        <v>470</v>
      </c>
      <c r="I6" s="44"/>
      <c r="J6" s="44"/>
      <c r="K6" s="44"/>
    </row>
    <row r="7" spans="1:11" x14ac:dyDescent="0.35">
      <c r="A7" s="21" t="s">
        <v>5</v>
      </c>
      <c r="B7" s="22" t="s">
        <v>6</v>
      </c>
      <c r="C7" s="22" t="s">
        <v>7</v>
      </c>
      <c r="D7" s="22" t="s">
        <v>8</v>
      </c>
      <c r="E7" s="22" t="s">
        <v>9</v>
      </c>
      <c r="F7" s="22" t="s">
        <v>10</v>
      </c>
    </row>
    <row r="8" spans="1:11" x14ac:dyDescent="0.35">
      <c r="A8" t="s">
        <v>464</v>
      </c>
      <c r="B8">
        <v>13246</v>
      </c>
      <c r="C8" t="s">
        <v>12</v>
      </c>
      <c r="D8" s="18">
        <v>150000</v>
      </c>
      <c r="E8" s="18">
        <v>150000</v>
      </c>
      <c r="F8" s="18">
        <v>550000</v>
      </c>
    </row>
    <row r="9" spans="1:11" x14ac:dyDescent="0.35">
      <c r="A9" s="17">
        <v>46327</v>
      </c>
      <c r="B9">
        <v>12079</v>
      </c>
      <c r="C9" t="s">
        <v>66</v>
      </c>
      <c r="D9" s="18">
        <v>10000</v>
      </c>
      <c r="E9" s="18">
        <f>E8+D9</f>
        <v>160000</v>
      </c>
      <c r="F9" s="18">
        <f>F8-D9</f>
        <v>540000</v>
      </c>
    </row>
    <row r="10" spans="1:11" x14ac:dyDescent="0.35">
      <c r="A10" s="17">
        <v>46267</v>
      </c>
      <c r="B10">
        <v>12409</v>
      </c>
      <c r="C10" t="s">
        <v>66</v>
      </c>
      <c r="D10" s="18">
        <v>10000</v>
      </c>
      <c r="E10" s="18">
        <f t="shared" ref="E10:E13" si="0">E9+D10</f>
        <v>170000</v>
      </c>
      <c r="F10" s="18">
        <f t="shared" ref="F10:F13" si="1">F9-D10</f>
        <v>530000</v>
      </c>
    </row>
    <row r="11" spans="1:11" x14ac:dyDescent="0.35">
      <c r="A11" s="17">
        <v>46268</v>
      </c>
      <c r="B11">
        <v>12794</v>
      </c>
      <c r="C11" t="s">
        <v>66</v>
      </c>
      <c r="D11" s="18">
        <v>10000</v>
      </c>
      <c r="E11" s="18">
        <f t="shared" si="0"/>
        <v>180000</v>
      </c>
      <c r="F11" s="18">
        <f t="shared" si="1"/>
        <v>520000</v>
      </c>
    </row>
    <row r="12" spans="1:11" x14ac:dyDescent="0.35">
      <c r="A12" s="17">
        <v>46330</v>
      </c>
      <c r="B12">
        <v>13220</v>
      </c>
      <c r="C12" t="s">
        <v>66</v>
      </c>
      <c r="D12" s="18">
        <v>10000</v>
      </c>
      <c r="E12" s="18">
        <f t="shared" si="0"/>
        <v>190000</v>
      </c>
      <c r="F12" s="18">
        <f t="shared" si="1"/>
        <v>510000</v>
      </c>
    </row>
    <row r="13" spans="1:11" x14ac:dyDescent="0.35">
      <c r="A13" s="17">
        <v>46300</v>
      </c>
      <c r="B13">
        <v>12988</v>
      </c>
      <c r="C13" t="s">
        <v>66</v>
      </c>
      <c r="D13" s="18">
        <v>10000</v>
      </c>
      <c r="E13" s="18">
        <f t="shared" si="0"/>
        <v>200000</v>
      </c>
      <c r="F13" s="18">
        <f t="shared" si="1"/>
        <v>500000</v>
      </c>
    </row>
    <row r="14" spans="1:11" x14ac:dyDescent="0.35">
      <c r="A14" t="s">
        <v>597</v>
      </c>
      <c r="B14">
        <v>13590</v>
      </c>
      <c r="C14" t="s">
        <v>66</v>
      </c>
      <c r="D14" s="18">
        <v>10000</v>
      </c>
      <c r="E14" s="18">
        <f>E13+D14</f>
        <v>210000</v>
      </c>
      <c r="F14" s="18">
        <f>F13-D14</f>
        <v>490000</v>
      </c>
    </row>
    <row r="15" spans="1:11" x14ac:dyDescent="0.35">
      <c r="A15" t="s">
        <v>701</v>
      </c>
      <c r="B15">
        <v>1487</v>
      </c>
      <c r="C15" t="s">
        <v>66</v>
      </c>
      <c r="D15" s="18">
        <v>10000</v>
      </c>
      <c r="E15" s="18">
        <f>E14+D15</f>
        <v>220000</v>
      </c>
      <c r="F15" s="18">
        <f>F14-D15</f>
        <v>480000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494D-7B5C-49E8-BB32-5F71337E5A82}">
  <dimension ref="A1:F11"/>
  <sheetViews>
    <sheetView workbookViewId="0">
      <selection activeCell="A6" sqref="A6"/>
    </sheetView>
  </sheetViews>
  <sheetFormatPr defaultRowHeight="14.5" x14ac:dyDescent="0.35"/>
  <cols>
    <col min="1" max="1" width="9.453125" bestFit="1" customWidth="1"/>
    <col min="3" max="3" width="10.08984375" customWidth="1"/>
    <col min="6" max="6" width="10.81640625" customWidth="1"/>
  </cols>
  <sheetData>
    <row r="1" spans="1:6" ht="18.5" x14ac:dyDescent="0.45">
      <c r="A1" s="1" t="s">
        <v>234</v>
      </c>
      <c r="B1" s="1"/>
      <c r="C1" s="2"/>
      <c r="D1" s="1"/>
      <c r="E1" s="1"/>
      <c r="F1" s="1"/>
    </row>
    <row r="2" spans="1:6" ht="18.5" x14ac:dyDescent="0.45">
      <c r="A2" s="1" t="s">
        <v>235</v>
      </c>
      <c r="C2" s="1"/>
      <c r="D2" s="1"/>
      <c r="E2" s="1"/>
      <c r="F2" s="1"/>
    </row>
    <row r="3" spans="1:6" ht="18.5" x14ac:dyDescent="0.45">
      <c r="A3" s="1" t="s">
        <v>237</v>
      </c>
      <c r="B3" s="1"/>
      <c r="C3" s="1"/>
      <c r="D3" s="1"/>
      <c r="E3" s="1"/>
      <c r="F3" s="1"/>
    </row>
    <row r="4" spans="1:6" ht="18.5" x14ac:dyDescent="0.45">
      <c r="A4" s="1" t="s">
        <v>471</v>
      </c>
      <c r="B4" s="1"/>
      <c r="C4" s="1"/>
      <c r="D4" s="1"/>
      <c r="E4" s="1"/>
      <c r="F4" s="1"/>
    </row>
    <row r="5" spans="1:6" ht="18.5" x14ac:dyDescent="0.45">
      <c r="A5" s="1" t="s">
        <v>236</v>
      </c>
      <c r="B5" s="1"/>
      <c r="C5" s="1"/>
      <c r="D5" s="1"/>
      <c r="E5" s="1"/>
      <c r="F5" s="1"/>
    </row>
    <row r="6" spans="1:6" ht="18.5" x14ac:dyDescent="0.45">
      <c r="A6" s="1" t="s">
        <v>473</v>
      </c>
      <c r="B6" s="1"/>
      <c r="C6" s="1"/>
      <c r="D6" s="1"/>
      <c r="E6" s="1" t="s">
        <v>177</v>
      </c>
      <c r="F6" s="1"/>
    </row>
    <row r="7" spans="1:6" x14ac:dyDescent="0.35">
      <c r="A7" s="21" t="s">
        <v>5</v>
      </c>
      <c r="B7" s="22" t="s">
        <v>6</v>
      </c>
      <c r="C7" s="22" t="s">
        <v>7</v>
      </c>
      <c r="D7" s="22" t="s">
        <v>8</v>
      </c>
      <c r="E7" s="22" t="s">
        <v>9</v>
      </c>
      <c r="F7" s="22" t="s">
        <v>10</v>
      </c>
    </row>
    <row r="8" spans="1:6" x14ac:dyDescent="0.35">
      <c r="A8" s="16">
        <v>45699</v>
      </c>
      <c r="B8" s="13">
        <v>13414</v>
      </c>
      <c r="C8" s="13" t="s">
        <v>214</v>
      </c>
      <c r="D8" s="15">
        <v>20000</v>
      </c>
      <c r="E8" s="15">
        <v>20000</v>
      </c>
      <c r="F8" s="15">
        <v>780000</v>
      </c>
    </row>
    <row r="9" spans="1:6" x14ac:dyDescent="0.35">
      <c r="A9" s="13" t="s">
        <v>233</v>
      </c>
      <c r="B9" s="13">
        <v>12870</v>
      </c>
      <c r="C9" s="13" t="s">
        <v>12</v>
      </c>
      <c r="D9" s="15">
        <v>130000</v>
      </c>
      <c r="E9" s="15">
        <v>150000</v>
      </c>
      <c r="F9" s="15">
        <v>650000</v>
      </c>
    </row>
    <row r="10" spans="1:6" x14ac:dyDescent="0.35">
      <c r="A10" t="s">
        <v>387</v>
      </c>
      <c r="B10">
        <v>13024</v>
      </c>
      <c r="C10" t="s">
        <v>66</v>
      </c>
      <c r="D10" s="18">
        <v>10000</v>
      </c>
      <c r="E10" s="15">
        <f>E9+D10</f>
        <v>160000</v>
      </c>
      <c r="F10" s="15">
        <f>F9-D10</f>
        <v>640000</v>
      </c>
    </row>
    <row r="11" spans="1:6" x14ac:dyDescent="0.35">
      <c r="A11" t="s">
        <v>472</v>
      </c>
      <c r="B11">
        <v>13358</v>
      </c>
      <c r="C11" t="s">
        <v>66</v>
      </c>
      <c r="D11" s="18">
        <v>10000</v>
      </c>
      <c r="E11" s="15">
        <f>E10+D11</f>
        <v>170000</v>
      </c>
      <c r="F11" s="15">
        <f>F10-D11</f>
        <v>630000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AAA27-63F3-4DA3-84FD-8110B031AA46}">
  <dimension ref="A1:F13"/>
  <sheetViews>
    <sheetView workbookViewId="0">
      <selection activeCell="F14" sqref="F14"/>
    </sheetView>
  </sheetViews>
  <sheetFormatPr defaultRowHeight="14.5" x14ac:dyDescent="0.35"/>
  <cols>
    <col min="1" max="1" width="9.453125" bestFit="1" customWidth="1"/>
    <col min="3" max="3" width="12.81640625" customWidth="1"/>
    <col min="6" max="6" width="11.36328125" customWidth="1"/>
  </cols>
  <sheetData>
    <row r="1" spans="1:6" ht="18.5" x14ac:dyDescent="0.45">
      <c r="A1" s="1" t="s">
        <v>228</v>
      </c>
      <c r="B1" s="1"/>
      <c r="C1" s="2"/>
      <c r="D1" s="1"/>
      <c r="E1" s="1"/>
      <c r="F1" s="1"/>
    </row>
    <row r="2" spans="1:6" ht="18.5" x14ac:dyDescent="0.45">
      <c r="A2" s="1" t="s">
        <v>229</v>
      </c>
      <c r="C2" s="1"/>
      <c r="D2" s="1"/>
      <c r="E2" s="1"/>
      <c r="F2" s="1"/>
    </row>
    <row r="3" spans="1:6" ht="18.5" x14ac:dyDescent="0.45">
      <c r="A3" s="1" t="s">
        <v>230</v>
      </c>
      <c r="B3" s="1"/>
      <c r="C3" s="1"/>
      <c r="D3" s="1"/>
      <c r="E3" s="1"/>
      <c r="F3" s="1"/>
    </row>
    <row r="4" spans="1:6" ht="18.5" x14ac:dyDescent="0.45">
      <c r="A4" s="1" t="s">
        <v>388</v>
      </c>
      <c r="B4" s="1"/>
      <c r="C4" s="1"/>
      <c r="D4" s="1"/>
      <c r="E4" s="1"/>
      <c r="F4" s="1"/>
    </row>
    <row r="5" spans="1:6" ht="18.5" x14ac:dyDescent="0.45">
      <c r="A5" s="1" t="s">
        <v>231</v>
      </c>
      <c r="B5" s="1"/>
      <c r="C5" s="1"/>
      <c r="D5" s="1"/>
      <c r="E5" s="1"/>
      <c r="F5" s="1"/>
    </row>
    <row r="6" spans="1:6" ht="18.5" x14ac:dyDescent="0.45">
      <c r="A6" s="1" t="s">
        <v>232</v>
      </c>
      <c r="B6" s="1"/>
      <c r="C6" s="1"/>
      <c r="D6" s="1"/>
      <c r="E6" s="1" t="s">
        <v>177</v>
      </c>
      <c r="F6" s="1"/>
    </row>
    <row r="7" spans="1:6" x14ac:dyDescent="0.35">
      <c r="A7" s="21" t="s">
        <v>5</v>
      </c>
      <c r="B7" s="22" t="s">
        <v>6</v>
      </c>
      <c r="C7" s="22" t="s">
        <v>7</v>
      </c>
      <c r="D7" s="22" t="s">
        <v>8</v>
      </c>
      <c r="E7" s="22" t="s">
        <v>9</v>
      </c>
      <c r="F7" s="22" t="s">
        <v>10</v>
      </c>
    </row>
    <row r="8" spans="1:6" x14ac:dyDescent="0.35">
      <c r="A8" s="16">
        <v>45699</v>
      </c>
      <c r="B8" s="13">
        <v>13415</v>
      </c>
      <c r="C8" s="13" t="s">
        <v>214</v>
      </c>
      <c r="D8" s="15">
        <v>20000</v>
      </c>
      <c r="E8" s="15">
        <v>20000</v>
      </c>
      <c r="F8" s="15">
        <v>780000</v>
      </c>
    </row>
    <row r="9" spans="1:6" x14ac:dyDescent="0.35">
      <c r="A9" s="13" t="s">
        <v>233</v>
      </c>
      <c r="B9" s="13">
        <v>12869</v>
      </c>
      <c r="C9" s="13" t="s">
        <v>12</v>
      </c>
      <c r="D9" s="15">
        <v>130000</v>
      </c>
      <c r="E9" s="15">
        <f>SUM(E8+D9)</f>
        <v>150000</v>
      </c>
      <c r="F9" s="15">
        <f>F8-D9</f>
        <v>650000</v>
      </c>
    </row>
    <row r="10" spans="1:6" x14ac:dyDescent="0.35">
      <c r="A10" t="s">
        <v>387</v>
      </c>
      <c r="B10">
        <v>13022</v>
      </c>
      <c r="C10" t="s">
        <v>380</v>
      </c>
      <c r="D10" s="18">
        <v>10000</v>
      </c>
      <c r="E10" s="15">
        <f>SUM(E9+D10)</f>
        <v>160000</v>
      </c>
      <c r="F10" s="15">
        <f>F9-D10</f>
        <v>640000</v>
      </c>
    </row>
    <row r="11" spans="1:6" x14ac:dyDescent="0.35">
      <c r="A11" t="s">
        <v>698</v>
      </c>
      <c r="B11">
        <v>13347</v>
      </c>
      <c r="C11" t="s">
        <v>380</v>
      </c>
      <c r="D11" s="18">
        <v>10000</v>
      </c>
      <c r="E11" s="18">
        <f>E10+D11</f>
        <v>170000</v>
      </c>
      <c r="F11" s="18">
        <f>F10-D11</f>
        <v>630000</v>
      </c>
    </row>
    <row r="12" spans="1:6" x14ac:dyDescent="0.35">
      <c r="A12" t="s">
        <v>699</v>
      </c>
      <c r="B12">
        <v>1355</v>
      </c>
      <c r="C12" t="s">
        <v>380</v>
      </c>
      <c r="D12" s="18">
        <v>20000</v>
      </c>
      <c r="E12" s="18">
        <f>E11+D12</f>
        <v>190000</v>
      </c>
      <c r="F12" s="18">
        <f>F11-D12</f>
        <v>610000</v>
      </c>
    </row>
    <row r="13" spans="1:6" x14ac:dyDescent="0.35">
      <c r="A13" s="17">
        <v>46211</v>
      </c>
      <c r="B13">
        <v>1669</v>
      </c>
      <c r="D13" s="18">
        <v>10000</v>
      </c>
      <c r="E13" s="18">
        <f>E12+D13</f>
        <v>200000</v>
      </c>
      <c r="F13" s="18">
        <f>F12-D13</f>
        <v>600000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9B9BC-8BBD-40A3-AD4B-DA77E44DAC25}">
  <dimension ref="A1:F13"/>
  <sheetViews>
    <sheetView workbookViewId="0">
      <selection activeCell="B5" sqref="B5"/>
    </sheetView>
  </sheetViews>
  <sheetFormatPr defaultRowHeight="14.5" x14ac:dyDescent="0.35"/>
  <cols>
    <col min="3" max="3" width="15.81640625" customWidth="1"/>
  </cols>
  <sheetData>
    <row r="1" spans="1:6" ht="18.5" x14ac:dyDescent="0.45">
      <c r="A1" s="1" t="s">
        <v>312</v>
      </c>
      <c r="B1" s="1"/>
      <c r="C1" s="2"/>
      <c r="D1" s="1"/>
      <c r="E1" s="1"/>
      <c r="F1" s="1"/>
    </row>
    <row r="2" spans="1:6" ht="18.5" x14ac:dyDescent="0.45">
      <c r="A2" s="1" t="s">
        <v>313</v>
      </c>
      <c r="C2" s="1"/>
      <c r="D2" s="1"/>
      <c r="E2" s="1"/>
      <c r="F2" s="1"/>
    </row>
    <row r="3" spans="1:6" ht="18.5" x14ac:dyDescent="0.45">
      <c r="A3" s="1" t="s">
        <v>314</v>
      </c>
      <c r="B3" s="1"/>
      <c r="C3" s="1"/>
      <c r="D3" s="1"/>
      <c r="E3" s="1"/>
      <c r="F3" s="1"/>
    </row>
    <row r="4" spans="1:6" ht="18.5" x14ac:dyDescent="0.45">
      <c r="A4" s="1" t="s">
        <v>317</v>
      </c>
      <c r="B4" s="1" t="s">
        <v>659</v>
      </c>
      <c r="C4" s="1"/>
      <c r="D4" s="1"/>
      <c r="E4" s="1"/>
      <c r="F4" s="1"/>
    </row>
    <row r="5" spans="1:6" ht="18.5" x14ac:dyDescent="0.45">
      <c r="A5" s="1" t="s">
        <v>3</v>
      </c>
      <c r="B5" s="1"/>
      <c r="C5" s="1"/>
      <c r="D5" s="1"/>
      <c r="E5" s="1"/>
      <c r="F5" s="1"/>
    </row>
    <row r="6" spans="1:6" ht="18.5" x14ac:dyDescent="0.45">
      <c r="A6" s="1" t="s">
        <v>315</v>
      </c>
      <c r="B6" s="1"/>
      <c r="C6" s="1"/>
      <c r="D6" s="1"/>
      <c r="E6" s="1" t="s">
        <v>316</v>
      </c>
      <c r="F6" s="1"/>
    </row>
    <row r="7" spans="1:6" x14ac:dyDescent="0.35">
      <c r="A7" s="37" t="s">
        <v>5</v>
      </c>
      <c r="B7" s="38" t="s">
        <v>6</v>
      </c>
      <c r="C7" s="38" t="s">
        <v>7</v>
      </c>
      <c r="D7" s="31" t="s">
        <v>8</v>
      </c>
      <c r="E7" s="31" t="s">
        <v>9</v>
      </c>
      <c r="F7" s="32" t="s">
        <v>10</v>
      </c>
    </row>
    <row r="8" spans="1:6" x14ac:dyDescent="0.35">
      <c r="A8" s="46">
        <v>44774</v>
      </c>
      <c r="B8">
        <v>12582</v>
      </c>
      <c r="C8" t="s">
        <v>318</v>
      </c>
      <c r="D8" s="18">
        <v>150000</v>
      </c>
      <c r="E8" s="18">
        <v>150000</v>
      </c>
      <c r="F8" s="18">
        <v>300000</v>
      </c>
    </row>
    <row r="9" spans="1:6" x14ac:dyDescent="0.35">
      <c r="A9" s="46">
        <v>45870</v>
      </c>
      <c r="B9">
        <v>12581</v>
      </c>
      <c r="C9" t="s">
        <v>14</v>
      </c>
      <c r="D9" s="18">
        <v>300000</v>
      </c>
      <c r="E9" s="18">
        <v>450000</v>
      </c>
      <c r="F9" t="s">
        <v>298</v>
      </c>
    </row>
    <row r="10" spans="1:6" ht="15.5" x14ac:dyDescent="0.35">
      <c r="A10" s="47" t="s">
        <v>319</v>
      </c>
      <c r="B10" s="47"/>
      <c r="C10" s="47"/>
      <c r="D10" s="47"/>
      <c r="E10" s="47"/>
      <c r="F10" s="47"/>
    </row>
    <row r="11" spans="1:6" ht="18.5" x14ac:dyDescent="0.45">
      <c r="A11" s="44" t="s">
        <v>320</v>
      </c>
      <c r="B11" s="44"/>
      <c r="C11" s="44"/>
      <c r="D11" s="44"/>
      <c r="E11" s="44"/>
    </row>
    <row r="13" spans="1:6" x14ac:dyDescent="0.35">
      <c r="A13" t="s">
        <v>656</v>
      </c>
      <c r="B13">
        <v>1701</v>
      </c>
      <c r="C13" t="s">
        <v>657</v>
      </c>
      <c r="D13" s="18">
        <v>150000</v>
      </c>
      <c r="E13" s="18">
        <v>220000</v>
      </c>
      <c r="F13" t="s">
        <v>658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0D3E-10B2-4748-906B-0FBA34B163BE}">
  <dimension ref="A1:G49"/>
  <sheetViews>
    <sheetView workbookViewId="0">
      <selection activeCell="A7" sqref="A7:G49"/>
    </sheetView>
  </sheetViews>
  <sheetFormatPr defaultRowHeight="14.5" x14ac:dyDescent="0.35"/>
  <cols>
    <col min="1" max="1" width="10.453125" customWidth="1"/>
    <col min="3" max="3" width="12.54296875" customWidth="1"/>
  </cols>
  <sheetData>
    <row r="1" spans="1:7" ht="18.5" x14ac:dyDescent="0.45">
      <c r="A1" s="1" t="s">
        <v>411</v>
      </c>
      <c r="B1" s="1"/>
      <c r="C1" s="2"/>
      <c r="D1" s="1"/>
      <c r="E1" s="1"/>
      <c r="F1" s="1"/>
    </row>
    <row r="2" spans="1:7" ht="18.5" x14ac:dyDescent="0.45">
      <c r="A2" s="1" t="s">
        <v>412</v>
      </c>
      <c r="C2" s="1"/>
      <c r="D2" s="1"/>
      <c r="E2" s="1"/>
      <c r="F2" s="1"/>
    </row>
    <row r="3" spans="1:7" ht="18.5" x14ac:dyDescent="0.45">
      <c r="A3" s="1" t="s">
        <v>413</v>
      </c>
      <c r="B3" s="1"/>
      <c r="C3" s="1"/>
      <c r="D3" s="1"/>
      <c r="E3" s="1"/>
      <c r="F3" s="1"/>
    </row>
    <row r="4" spans="1:7" ht="18.5" x14ac:dyDescent="0.45">
      <c r="A4" s="1" t="s">
        <v>441</v>
      </c>
      <c r="B4" s="1"/>
      <c r="C4" s="1"/>
      <c r="D4" s="1"/>
      <c r="E4" s="1"/>
      <c r="F4" s="1"/>
    </row>
    <row r="5" spans="1:7" ht="18.5" x14ac:dyDescent="0.45">
      <c r="A5" s="1" t="s">
        <v>414</v>
      </c>
      <c r="B5" s="1"/>
      <c r="C5" s="1"/>
      <c r="D5" s="1"/>
      <c r="E5" s="1"/>
      <c r="F5" s="1"/>
    </row>
    <row r="6" spans="1:7" ht="18.5" x14ac:dyDescent="0.45">
      <c r="A6" s="1" t="s">
        <v>415</v>
      </c>
      <c r="B6" s="1"/>
      <c r="C6" s="1"/>
      <c r="D6" s="1"/>
      <c r="E6" s="1" t="s">
        <v>416</v>
      </c>
      <c r="F6" s="1"/>
    </row>
    <row r="7" spans="1:7" x14ac:dyDescent="0.35">
      <c r="A7" s="69" t="s">
        <v>5</v>
      </c>
      <c r="B7" s="70" t="s">
        <v>6</v>
      </c>
      <c r="C7" s="70" t="s">
        <v>7</v>
      </c>
      <c r="D7" s="22" t="s">
        <v>8</v>
      </c>
      <c r="E7" s="22" t="s">
        <v>9</v>
      </c>
      <c r="F7" s="22" t="s">
        <v>10</v>
      </c>
      <c r="G7" s="13"/>
    </row>
    <row r="8" spans="1:7" x14ac:dyDescent="0.35">
      <c r="A8" s="13" t="s">
        <v>417</v>
      </c>
      <c r="B8" s="13">
        <v>1747</v>
      </c>
      <c r="C8" s="13" t="s">
        <v>194</v>
      </c>
      <c r="D8" s="15">
        <v>70000</v>
      </c>
      <c r="E8" s="15">
        <v>70000</v>
      </c>
      <c r="F8" s="15">
        <v>530000</v>
      </c>
      <c r="G8" s="13"/>
    </row>
    <row r="9" spans="1:7" x14ac:dyDescent="0.35">
      <c r="A9" s="13" t="s">
        <v>418</v>
      </c>
      <c r="B9" s="13">
        <v>6073</v>
      </c>
      <c r="C9" s="13" t="s">
        <v>304</v>
      </c>
      <c r="D9" s="15">
        <v>10000</v>
      </c>
      <c r="E9" s="15">
        <f>SUM(E8+D9)</f>
        <v>80000</v>
      </c>
      <c r="F9" s="15">
        <f>F8-D9</f>
        <v>520000</v>
      </c>
      <c r="G9" s="13"/>
    </row>
    <row r="10" spans="1:7" x14ac:dyDescent="0.35">
      <c r="A10" s="13" t="s">
        <v>152</v>
      </c>
      <c r="B10" s="13">
        <v>1162</v>
      </c>
      <c r="C10" s="13" t="s">
        <v>304</v>
      </c>
      <c r="D10" s="15">
        <v>10000</v>
      </c>
      <c r="E10" s="15">
        <f t="shared" ref="E10:E45" si="0">SUM(E9+D10)</f>
        <v>90000</v>
      </c>
      <c r="F10" s="15">
        <f t="shared" ref="F10:F45" si="1">F9-D10</f>
        <v>510000</v>
      </c>
      <c r="G10" s="13"/>
    </row>
    <row r="11" spans="1:7" x14ac:dyDescent="0.35">
      <c r="A11" s="13" t="s">
        <v>280</v>
      </c>
      <c r="B11" s="13">
        <v>651</v>
      </c>
      <c r="C11" s="13" t="s">
        <v>304</v>
      </c>
      <c r="D11" s="15">
        <v>10000</v>
      </c>
      <c r="E11" s="15">
        <f t="shared" si="0"/>
        <v>100000</v>
      </c>
      <c r="F11" s="15">
        <f t="shared" si="1"/>
        <v>500000</v>
      </c>
      <c r="G11" s="13"/>
    </row>
    <row r="12" spans="1:7" x14ac:dyDescent="0.35">
      <c r="A12" s="16">
        <v>45144</v>
      </c>
      <c r="B12" s="13">
        <v>372</v>
      </c>
      <c r="C12" s="13" t="s">
        <v>304</v>
      </c>
      <c r="D12" s="15">
        <v>10000</v>
      </c>
      <c r="E12" s="15">
        <f t="shared" si="0"/>
        <v>110000</v>
      </c>
      <c r="F12" s="15">
        <f t="shared" si="1"/>
        <v>490000</v>
      </c>
      <c r="G12" s="13"/>
    </row>
    <row r="13" spans="1:7" x14ac:dyDescent="0.35">
      <c r="A13" s="13" t="s">
        <v>419</v>
      </c>
      <c r="B13" s="13">
        <v>2780</v>
      </c>
      <c r="C13" s="13" t="s">
        <v>304</v>
      </c>
      <c r="D13" s="15">
        <v>10000</v>
      </c>
      <c r="E13" s="15">
        <f t="shared" si="0"/>
        <v>120000</v>
      </c>
      <c r="F13" s="15">
        <f t="shared" si="1"/>
        <v>480000</v>
      </c>
      <c r="G13" s="13"/>
    </row>
    <row r="14" spans="1:7" x14ac:dyDescent="0.35">
      <c r="A14" s="16">
        <v>44993</v>
      </c>
      <c r="B14" s="13">
        <v>2212</v>
      </c>
      <c r="C14" s="13" t="s">
        <v>304</v>
      </c>
      <c r="D14" s="15">
        <v>10000</v>
      </c>
      <c r="E14" s="15">
        <f t="shared" si="0"/>
        <v>130000</v>
      </c>
      <c r="F14" s="15">
        <f t="shared" si="1"/>
        <v>470000</v>
      </c>
      <c r="G14" s="13"/>
    </row>
    <row r="15" spans="1:7" x14ac:dyDescent="0.35">
      <c r="A15" s="13" t="s">
        <v>420</v>
      </c>
      <c r="B15" s="13">
        <v>3711</v>
      </c>
      <c r="C15" s="13" t="s">
        <v>304</v>
      </c>
      <c r="D15" s="15">
        <v>10000</v>
      </c>
      <c r="E15" s="15">
        <f t="shared" si="0"/>
        <v>140000</v>
      </c>
      <c r="F15" s="15">
        <f t="shared" si="1"/>
        <v>460000</v>
      </c>
      <c r="G15" s="13"/>
    </row>
    <row r="16" spans="1:7" x14ac:dyDescent="0.35">
      <c r="A16" s="16" t="s">
        <v>140</v>
      </c>
      <c r="B16" s="13">
        <v>4381</v>
      </c>
      <c r="C16" s="13" t="s">
        <v>304</v>
      </c>
      <c r="D16" s="15">
        <v>10000</v>
      </c>
      <c r="E16" s="15">
        <f t="shared" si="0"/>
        <v>150000</v>
      </c>
      <c r="F16" s="15">
        <f t="shared" si="1"/>
        <v>450000</v>
      </c>
      <c r="G16" s="13"/>
    </row>
    <row r="17" spans="1:7" x14ac:dyDescent="0.35">
      <c r="A17" s="13" t="s">
        <v>213</v>
      </c>
      <c r="B17" s="13">
        <v>4986</v>
      </c>
      <c r="C17" s="13" t="s">
        <v>304</v>
      </c>
      <c r="D17" s="15">
        <v>10000</v>
      </c>
      <c r="E17" s="15">
        <f t="shared" si="0"/>
        <v>160000</v>
      </c>
      <c r="F17" s="15">
        <f t="shared" si="1"/>
        <v>440000</v>
      </c>
      <c r="G17" s="13"/>
    </row>
    <row r="18" spans="1:7" x14ac:dyDescent="0.35">
      <c r="A18" s="16">
        <v>45242</v>
      </c>
      <c r="B18" s="13">
        <v>5476</v>
      </c>
      <c r="C18" s="13" t="s">
        <v>304</v>
      </c>
      <c r="D18" s="15">
        <v>10000</v>
      </c>
      <c r="E18" s="15">
        <f t="shared" si="0"/>
        <v>170000</v>
      </c>
      <c r="F18" s="15">
        <f t="shared" si="1"/>
        <v>430000</v>
      </c>
      <c r="G18" s="13"/>
    </row>
    <row r="19" spans="1:7" x14ac:dyDescent="0.35">
      <c r="A19" s="13" t="s">
        <v>193</v>
      </c>
      <c r="B19" s="13">
        <v>6212</v>
      </c>
      <c r="C19" s="13" t="s">
        <v>304</v>
      </c>
      <c r="D19" s="15">
        <v>10000</v>
      </c>
      <c r="E19" s="15">
        <f t="shared" si="0"/>
        <v>180000</v>
      </c>
      <c r="F19" s="15">
        <f t="shared" si="1"/>
        <v>420000</v>
      </c>
      <c r="G19" s="13"/>
    </row>
    <row r="20" spans="1:7" x14ac:dyDescent="0.35">
      <c r="A20" s="16" t="s">
        <v>421</v>
      </c>
      <c r="B20" s="13">
        <v>7161</v>
      </c>
      <c r="C20" s="13" t="s">
        <v>304</v>
      </c>
      <c r="D20" s="15">
        <v>10000</v>
      </c>
      <c r="E20" s="15">
        <f t="shared" si="0"/>
        <v>190000</v>
      </c>
      <c r="F20" s="15">
        <f t="shared" si="1"/>
        <v>410000</v>
      </c>
      <c r="G20" s="13"/>
    </row>
    <row r="21" spans="1:7" x14ac:dyDescent="0.35">
      <c r="A21" s="13" t="s">
        <v>422</v>
      </c>
      <c r="B21" s="13">
        <v>10552</v>
      </c>
      <c r="C21" s="13" t="s">
        <v>304</v>
      </c>
      <c r="D21" s="15">
        <v>10000</v>
      </c>
      <c r="E21" s="15">
        <f t="shared" si="0"/>
        <v>200000</v>
      </c>
      <c r="F21" s="15">
        <f t="shared" si="1"/>
        <v>400000</v>
      </c>
      <c r="G21" s="13"/>
    </row>
    <row r="22" spans="1:7" x14ac:dyDescent="0.35">
      <c r="A22" s="16" t="s">
        <v>423</v>
      </c>
      <c r="B22" s="13"/>
      <c r="C22" s="13" t="s">
        <v>304</v>
      </c>
      <c r="D22" s="15">
        <v>10000</v>
      </c>
      <c r="E22" s="15">
        <f t="shared" si="0"/>
        <v>210000</v>
      </c>
      <c r="F22" s="15">
        <f t="shared" si="1"/>
        <v>390000</v>
      </c>
      <c r="G22" s="13"/>
    </row>
    <row r="23" spans="1:7" x14ac:dyDescent="0.35">
      <c r="A23" s="13" t="s">
        <v>424</v>
      </c>
      <c r="B23" s="13"/>
      <c r="C23" s="13" t="s">
        <v>304</v>
      </c>
      <c r="D23" s="15">
        <v>10000</v>
      </c>
      <c r="E23" s="15">
        <f t="shared" si="0"/>
        <v>220000</v>
      </c>
      <c r="F23" s="15">
        <f t="shared" si="1"/>
        <v>380000</v>
      </c>
      <c r="G23" s="13"/>
    </row>
    <row r="24" spans="1:7" x14ac:dyDescent="0.35">
      <c r="A24" s="16" t="s">
        <v>425</v>
      </c>
      <c r="B24" s="13"/>
      <c r="C24" s="13" t="s">
        <v>304</v>
      </c>
      <c r="D24" s="15">
        <v>10000</v>
      </c>
      <c r="E24" s="15">
        <f t="shared" si="0"/>
        <v>230000</v>
      </c>
      <c r="F24" s="15">
        <f t="shared" si="1"/>
        <v>370000</v>
      </c>
      <c r="G24" s="13"/>
    </row>
    <row r="25" spans="1:7" x14ac:dyDescent="0.35">
      <c r="A25" s="13" t="s">
        <v>426</v>
      </c>
      <c r="B25" s="13"/>
      <c r="C25" s="13" t="s">
        <v>304</v>
      </c>
      <c r="D25" s="15">
        <v>10000</v>
      </c>
      <c r="E25" s="15">
        <f t="shared" si="0"/>
        <v>240000</v>
      </c>
      <c r="F25" s="15">
        <f t="shared" si="1"/>
        <v>360000</v>
      </c>
      <c r="G25" s="13"/>
    </row>
    <row r="26" spans="1:7" x14ac:dyDescent="0.35">
      <c r="A26" s="16" t="s">
        <v>427</v>
      </c>
      <c r="B26" s="13">
        <v>10552</v>
      </c>
      <c r="C26" s="13" t="s">
        <v>304</v>
      </c>
      <c r="D26" s="15">
        <v>10000</v>
      </c>
      <c r="E26" s="15">
        <f t="shared" si="0"/>
        <v>250000</v>
      </c>
      <c r="F26" s="15">
        <f t="shared" si="1"/>
        <v>350000</v>
      </c>
      <c r="G26" s="13"/>
    </row>
    <row r="27" spans="1:7" x14ac:dyDescent="0.35">
      <c r="A27" s="13" t="s">
        <v>428</v>
      </c>
      <c r="B27" s="13">
        <v>12945</v>
      </c>
      <c r="C27" s="13" t="s">
        <v>304</v>
      </c>
      <c r="D27" s="15">
        <v>10000</v>
      </c>
      <c r="E27" s="15">
        <f t="shared" si="0"/>
        <v>260000</v>
      </c>
      <c r="F27" s="15">
        <f t="shared" si="1"/>
        <v>340000</v>
      </c>
      <c r="G27" s="13"/>
    </row>
    <row r="28" spans="1:7" x14ac:dyDescent="0.35">
      <c r="A28" s="16" t="s">
        <v>127</v>
      </c>
      <c r="B28" s="13">
        <v>12945</v>
      </c>
      <c r="C28" s="13" t="s">
        <v>304</v>
      </c>
      <c r="D28" s="15">
        <v>10000</v>
      </c>
      <c r="E28" s="15">
        <f t="shared" si="0"/>
        <v>270000</v>
      </c>
      <c r="F28" s="15">
        <f t="shared" si="1"/>
        <v>330000</v>
      </c>
      <c r="G28" s="13"/>
    </row>
    <row r="29" spans="1:7" x14ac:dyDescent="0.35">
      <c r="A29" s="13" t="s">
        <v>128</v>
      </c>
      <c r="B29" s="13">
        <v>12945</v>
      </c>
      <c r="C29" s="13" t="s">
        <v>304</v>
      </c>
      <c r="D29" s="15">
        <v>10000</v>
      </c>
      <c r="E29" s="15">
        <f t="shared" si="0"/>
        <v>280000</v>
      </c>
      <c r="F29" s="15">
        <f t="shared" si="1"/>
        <v>320000</v>
      </c>
      <c r="G29" s="13"/>
    </row>
    <row r="30" spans="1:7" x14ac:dyDescent="0.35">
      <c r="A30" s="16" t="s">
        <v>160</v>
      </c>
      <c r="B30" s="13">
        <v>12945</v>
      </c>
      <c r="C30" s="13" t="s">
        <v>304</v>
      </c>
      <c r="D30" s="15">
        <v>10000</v>
      </c>
      <c r="E30" s="15">
        <f t="shared" si="0"/>
        <v>290000</v>
      </c>
      <c r="F30" s="15">
        <f t="shared" si="1"/>
        <v>310000</v>
      </c>
      <c r="G30" s="13"/>
    </row>
    <row r="31" spans="1:7" x14ac:dyDescent="0.35">
      <c r="A31" s="13" t="s">
        <v>429</v>
      </c>
      <c r="B31" s="13">
        <v>12945</v>
      </c>
      <c r="C31" s="13" t="s">
        <v>304</v>
      </c>
      <c r="D31" s="15">
        <v>10000</v>
      </c>
      <c r="E31" s="15">
        <f t="shared" si="0"/>
        <v>300000</v>
      </c>
      <c r="F31" s="15">
        <f t="shared" si="1"/>
        <v>300000</v>
      </c>
      <c r="G31" s="13"/>
    </row>
    <row r="32" spans="1:7" x14ac:dyDescent="0.35">
      <c r="A32" s="16" t="s">
        <v>430</v>
      </c>
      <c r="B32" s="13">
        <v>12945</v>
      </c>
      <c r="C32" s="13" t="s">
        <v>304</v>
      </c>
      <c r="D32" s="15">
        <v>10000</v>
      </c>
      <c r="E32" s="15">
        <f t="shared" si="0"/>
        <v>310000</v>
      </c>
      <c r="F32" s="15">
        <f t="shared" si="1"/>
        <v>290000</v>
      </c>
      <c r="G32" s="13"/>
    </row>
    <row r="33" spans="1:7" x14ac:dyDescent="0.35">
      <c r="A33" s="13" t="s">
        <v>431</v>
      </c>
      <c r="B33" s="13">
        <v>12945</v>
      </c>
      <c r="C33" s="13" t="s">
        <v>304</v>
      </c>
      <c r="D33" s="15">
        <v>10000</v>
      </c>
      <c r="E33" s="15">
        <f t="shared" si="0"/>
        <v>320000</v>
      </c>
      <c r="F33" s="15">
        <f t="shared" si="1"/>
        <v>280000</v>
      </c>
      <c r="G33" s="13"/>
    </row>
    <row r="34" spans="1:7" x14ac:dyDescent="0.35">
      <c r="A34" s="16" t="s">
        <v>432</v>
      </c>
      <c r="B34" s="13">
        <v>12945</v>
      </c>
      <c r="C34" s="13" t="s">
        <v>304</v>
      </c>
      <c r="D34" s="15">
        <v>10000</v>
      </c>
      <c r="E34" s="15">
        <f t="shared" si="0"/>
        <v>330000</v>
      </c>
      <c r="F34" s="15">
        <f t="shared" si="1"/>
        <v>270000</v>
      </c>
      <c r="G34" s="13"/>
    </row>
    <row r="35" spans="1:7" x14ac:dyDescent="0.35">
      <c r="A35" s="13" t="s">
        <v>433</v>
      </c>
      <c r="B35" s="13">
        <v>12945</v>
      </c>
      <c r="C35" s="13" t="s">
        <v>304</v>
      </c>
      <c r="D35" s="15">
        <v>10000</v>
      </c>
      <c r="E35" s="15">
        <f t="shared" si="0"/>
        <v>340000</v>
      </c>
      <c r="F35" s="15">
        <f t="shared" si="1"/>
        <v>260000</v>
      </c>
      <c r="G35" s="13"/>
    </row>
    <row r="36" spans="1:7" x14ac:dyDescent="0.35">
      <c r="A36" s="16" t="s">
        <v>434</v>
      </c>
      <c r="B36" s="13">
        <v>12945</v>
      </c>
      <c r="C36" s="13" t="s">
        <v>304</v>
      </c>
      <c r="D36" s="15">
        <v>10000</v>
      </c>
      <c r="E36" s="15">
        <f t="shared" si="0"/>
        <v>350000</v>
      </c>
      <c r="F36" s="15">
        <f t="shared" si="1"/>
        <v>250000</v>
      </c>
      <c r="G36" s="13"/>
    </row>
    <row r="37" spans="1:7" x14ac:dyDescent="0.35">
      <c r="A37" s="13" t="s">
        <v>435</v>
      </c>
      <c r="B37" s="13">
        <v>12945</v>
      </c>
      <c r="C37" s="13" t="s">
        <v>304</v>
      </c>
      <c r="D37" s="15">
        <v>10000</v>
      </c>
      <c r="E37" s="15">
        <f t="shared" si="0"/>
        <v>360000</v>
      </c>
      <c r="F37" s="15">
        <f t="shared" si="1"/>
        <v>240000</v>
      </c>
      <c r="G37" s="13"/>
    </row>
    <row r="38" spans="1:7" x14ac:dyDescent="0.35">
      <c r="A38" s="16" t="s">
        <v>436</v>
      </c>
      <c r="B38" s="13">
        <v>12944</v>
      </c>
      <c r="C38" s="13" t="s">
        <v>304</v>
      </c>
      <c r="D38" s="15">
        <v>10000</v>
      </c>
      <c r="E38" s="15">
        <f t="shared" si="0"/>
        <v>370000</v>
      </c>
      <c r="F38" s="15">
        <f t="shared" si="1"/>
        <v>230000</v>
      </c>
      <c r="G38" s="13"/>
    </row>
    <row r="39" spans="1:7" x14ac:dyDescent="0.35">
      <c r="A39" s="13" t="s">
        <v>437</v>
      </c>
      <c r="B39" s="13">
        <v>13923</v>
      </c>
      <c r="C39" s="13" t="s">
        <v>304</v>
      </c>
      <c r="D39" s="15">
        <v>10000</v>
      </c>
      <c r="E39" s="15">
        <f t="shared" si="0"/>
        <v>380000</v>
      </c>
      <c r="F39" s="15">
        <f t="shared" si="1"/>
        <v>220000</v>
      </c>
      <c r="G39" s="13"/>
    </row>
    <row r="40" spans="1:7" x14ac:dyDescent="0.35">
      <c r="A40" s="16" t="s">
        <v>223</v>
      </c>
      <c r="B40" s="13">
        <v>13658</v>
      </c>
      <c r="C40" s="13" t="s">
        <v>304</v>
      </c>
      <c r="D40" s="15">
        <v>10000</v>
      </c>
      <c r="E40" s="15">
        <f t="shared" si="0"/>
        <v>390000</v>
      </c>
      <c r="F40" s="15">
        <f t="shared" si="1"/>
        <v>210000</v>
      </c>
      <c r="G40" s="13"/>
    </row>
    <row r="41" spans="1:7" x14ac:dyDescent="0.35">
      <c r="A41" s="13" t="s">
        <v>438</v>
      </c>
      <c r="B41" s="13">
        <v>13012</v>
      </c>
      <c r="C41" s="13" t="s">
        <v>304</v>
      </c>
      <c r="D41" s="15">
        <v>10000</v>
      </c>
      <c r="E41" s="15">
        <f t="shared" si="0"/>
        <v>400000</v>
      </c>
      <c r="F41" s="15">
        <f t="shared" si="1"/>
        <v>200000</v>
      </c>
      <c r="G41" s="13"/>
    </row>
    <row r="42" spans="1:7" x14ac:dyDescent="0.35">
      <c r="A42" s="16" t="s">
        <v>57</v>
      </c>
      <c r="B42" s="13">
        <v>13812</v>
      </c>
      <c r="C42" s="13" t="s">
        <v>304</v>
      </c>
      <c r="D42" s="15">
        <v>10000</v>
      </c>
      <c r="E42" s="15">
        <f t="shared" si="0"/>
        <v>410000</v>
      </c>
      <c r="F42" s="15">
        <f t="shared" si="1"/>
        <v>190000</v>
      </c>
      <c r="G42" s="13"/>
    </row>
    <row r="43" spans="1:7" x14ac:dyDescent="0.35">
      <c r="A43" s="13" t="s">
        <v>439</v>
      </c>
      <c r="B43" s="13">
        <v>12176</v>
      </c>
      <c r="C43" s="13" t="s">
        <v>304</v>
      </c>
      <c r="D43" s="15">
        <v>10000</v>
      </c>
      <c r="E43" s="15">
        <f t="shared" si="0"/>
        <v>420000</v>
      </c>
      <c r="F43" s="15">
        <f t="shared" si="1"/>
        <v>180000</v>
      </c>
      <c r="G43" s="13"/>
    </row>
    <row r="44" spans="1:7" x14ac:dyDescent="0.35">
      <c r="A44" s="16" t="s">
        <v>440</v>
      </c>
      <c r="B44" s="13">
        <v>12504</v>
      </c>
      <c r="C44" s="13" t="s">
        <v>304</v>
      </c>
      <c r="D44" s="15">
        <v>10000</v>
      </c>
      <c r="E44" s="15">
        <f t="shared" si="0"/>
        <v>430000</v>
      </c>
      <c r="F44" s="15">
        <f t="shared" si="1"/>
        <v>170000</v>
      </c>
      <c r="G44" s="13"/>
    </row>
    <row r="45" spans="1:7" x14ac:dyDescent="0.35">
      <c r="A45" s="13" t="s">
        <v>409</v>
      </c>
      <c r="B45" s="13">
        <v>13600</v>
      </c>
      <c r="C45" s="13" t="s">
        <v>304</v>
      </c>
      <c r="D45" s="15">
        <v>20000</v>
      </c>
      <c r="E45" s="15">
        <f t="shared" si="0"/>
        <v>450000</v>
      </c>
      <c r="F45" s="15">
        <f t="shared" si="1"/>
        <v>150000</v>
      </c>
      <c r="G45" s="13"/>
    </row>
    <row r="46" spans="1:7" x14ac:dyDescent="0.35">
      <c r="A46" s="16" t="s">
        <v>754</v>
      </c>
      <c r="B46" s="13">
        <v>13377</v>
      </c>
      <c r="C46" s="13" t="s">
        <v>304</v>
      </c>
      <c r="D46" s="15">
        <v>10000</v>
      </c>
      <c r="E46" s="15">
        <f>E45+D46</f>
        <v>460000</v>
      </c>
      <c r="F46" s="15">
        <f>F45-D46</f>
        <v>140000</v>
      </c>
      <c r="G46" s="13"/>
    </row>
    <row r="47" spans="1:7" x14ac:dyDescent="0.35">
      <c r="A47" s="13" t="s">
        <v>755</v>
      </c>
      <c r="B47" s="13">
        <v>13652</v>
      </c>
      <c r="C47" s="13" t="s">
        <v>304</v>
      </c>
      <c r="D47" s="15">
        <v>10000</v>
      </c>
      <c r="E47" s="15">
        <f>E46+D47</f>
        <v>470000</v>
      </c>
      <c r="F47" s="15">
        <f>F46-D47</f>
        <v>130000</v>
      </c>
      <c r="G47" s="13"/>
    </row>
    <row r="48" spans="1:7" x14ac:dyDescent="0.35">
      <c r="A48" s="16">
        <v>46272</v>
      </c>
      <c r="B48" s="13">
        <v>1432</v>
      </c>
      <c r="C48" s="13" t="s">
        <v>304</v>
      </c>
      <c r="D48" s="15">
        <v>10000</v>
      </c>
      <c r="E48" s="15">
        <f>E47+D48</f>
        <v>480000</v>
      </c>
      <c r="F48" s="15">
        <f>F47-D48</f>
        <v>120000</v>
      </c>
      <c r="G48" s="13"/>
    </row>
    <row r="49" spans="1:7" x14ac:dyDescent="0.35">
      <c r="A49" s="13" t="s">
        <v>756</v>
      </c>
      <c r="B49" s="13">
        <v>1763</v>
      </c>
      <c r="C49" s="13" t="s">
        <v>304</v>
      </c>
      <c r="D49" s="15">
        <v>10000</v>
      </c>
      <c r="E49" s="15">
        <f>E48+D49</f>
        <v>490000</v>
      </c>
      <c r="F49" s="15">
        <f>F48-D49</f>
        <v>110000</v>
      </c>
      <c r="G49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E5C3-442A-4472-9411-05D971AC6399}">
  <dimension ref="A1:F18"/>
  <sheetViews>
    <sheetView workbookViewId="0">
      <selection activeCell="O8" sqref="O8"/>
    </sheetView>
  </sheetViews>
  <sheetFormatPr defaultRowHeight="14.5" x14ac:dyDescent="0.35"/>
  <cols>
    <col min="1" max="1" width="9.453125" bestFit="1" customWidth="1"/>
    <col min="3" max="3" width="11.1796875" customWidth="1"/>
    <col min="6" max="6" width="12.90625" customWidth="1"/>
  </cols>
  <sheetData>
    <row r="1" spans="1:6" ht="18.5" x14ac:dyDescent="0.45">
      <c r="A1" s="1" t="s">
        <v>326</v>
      </c>
      <c r="B1" s="1"/>
      <c r="C1" s="2"/>
      <c r="D1" s="1"/>
      <c r="E1" s="1"/>
      <c r="F1" s="1"/>
    </row>
    <row r="2" spans="1:6" ht="18.5" x14ac:dyDescent="0.45">
      <c r="A2" s="1" t="s">
        <v>327</v>
      </c>
      <c r="C2" s="1"/>
      <c r="D2" s="1"/>
      <c r="E2" s="1"/>
      <c r="F2" s="1"/>
    </row>
    <row r="3" spans="1:6" ht="18.5" x14ac:dyDescent="0.45">
      <c r="A3" s="1" t="s">
        <v>328</v>
      </c>
      <c r="B3" s="1"/>
      <c r="C3" s="1"/>
      <c r="D3" s="1"/>
      <c r="E3" s="1"/>
      <c r="F3" s="1"/>
    </row>
    <row r="4" spans="1:6" ht="18.5" x14ac:dyDescent="0.45">
      <c r="A4" s="1" t="s">
        <v>366</v>
      </c>
      <c r="B4" s="1"/>
      <c r="C4" s="1"/>
      <c r="D4" s="1"/>
      <c r="E4" s="1"/>
      <c r="F4" s="1"/>
    </row>
    <row r="5" spans="1:6" ht="18.5" x14ac:dyDescent="0.45">
      <c r="A5" s="1" t="s">
        <v>329</v>
      </c>
      <c r="B5" s="1"/>
      <c r="C5" s="1"/>
      <c r="D5" s="1"/>
      <c r="E5" s="1"/>
      <c r="F5" s="1"/>
    </row>
    <row r="6" spans="1:6" ht="18.5" x14ac:dyDescent="0.45">
      <c r="A6" s="1" t="s">
        <v>330</v>
      </c>
      <c r="B6" s="1"/>
      <c r="C6" s="1"/>
      <c r="D6" s="1" t="s">
        <v>30</v>
      </c>
      <c r="E6" s="1"/>
      <c r="F6" s="1"/>
    </row>
    <row r="7" spans="1:6" x14ac:dyDescent="0.35">
      <c r="A7" s="19" t="s">
        <v>5</v>
      </c>
      <c r="B7" s="20" t="s">
        <v>6</v>
      </c>
      <c r="C7" s="20" t="s">
        <v>7</v>
      </c>
      <c r="D7" s="20" t="s">
        <v>8</v>
      </c>
      <c r="E7" s="20" t="s">
        <v>9</v>
      </c>
      <c r="F7" s="20" t="s">
        <v>10</v>
      </c>
    </row>
    <row r="8" spans="1:6" x14ac:dyDescent="0.35">
      <c r="A8" s="17">
        <v>44903</v>
      </c>
      <c r="B8">
        <v>436</v>
      </c>
      <c r="C8" t="s">
        <v>304</v>
      </c>
      <c r="D8" s="18">
        <v>16000</v>
      </c>
      <c r="E8" s="18">
        <v>16000</v>
      </c>
      <c r="F8" s="18">
        <v>240000</v>
      </c>
    </row>
    <row r="9" spans="1:6" x14ac:dyDescent="0.35">
      <c r="A9" t="s">
        <v>331</v>
      </c>
      <c r="B9">
        <v>1311</v>
      </c>
      <c r="C9" t="s">
        <v>304</v>
      </c>
      <c r="D9" s="18">
        <v>10000</v>
      </c>
      <c r="E9" s="18">
        <f>SUM(E8+D9)</f>
        <v>26000</v>
      </c>
      <c r="F9" s="18">
        <f>F8-D9</f>
        <v>230000</v>
      </c>
    </row>
    <row r="10" spans="1:6" x14ac:dyDescent="0.35">
      <c r="A10" s="17">
        <v>44652</v>
      </c>
      <c r="B10">
        <v>2264</v>
      </c>
      <c r="C10" t="s">
        <v>194</v>
      </c>
      <c r="D10" s="18">
        <v>10000</v>
      </c>
      <c r="E10" s="18">
        <f t="shared" ref="E10:E15" si="0">SUM(E9+D10)</f>
        <v>36000</v>
      </c>
      <c r="F10" s="18">
        <f t="shared" ref="F10:F15" si="1">F9-D10</f>
        <v>220000</v>
      </c>
    </row>
    <row r="11" spans="1:6" x14ac:dyDescent="0.35">
      <c r="A11" s="17">
        <v>44652</v>
      </c>
      <c r="B11">
        <v>2264</v>
      </c>
      <c r="C11" t="s">
        <v>194</v>
      </c>
      <c r="D11" s="18">
        <v>10000</v>
      </c>
      <c r="E11" s="18">
        <f t="shared" si="0"/>
        <v>46000</v>
      </c>
      <c r="F11" s="18">
        <f t="shared" si="1"/>
        <v>210000</v>
      </c>
    </row>
    <row r="12" spans="1:6" x14ac:dyDescent="0.35">
      <c r="A12" t="s">
        <v>332</v>
      </c>
      <c r="B12">
        <v>2265</v>
      </c>
      <c r="C12" t="s">
        <v>304</v>
      </c>
      <c r="D12" s="18">
        <v>20000</v>
      </c>
      <c r="E12" s="18">
        <f t="shared" si="0"/>
        <v>66000</v>
      </c>
      <c r="F12" s="18">
        <f t="shared" si="1"/>
        <v>190000</v>
      </c>
    </row>
    <row r="13" spans="1:6" x14ac:dyDescent="0.35">
      <c r="A13" s="17">
        <v>44898</v>
      </c>
      <c r="B13">
        <v>1331</v>
      </c>
      <c r="C13" t="s">
        <v>335</v>
      </c>
      <c r="D13" s="18">
        <v>50000</v>
      </c>
      <c r="E13" s="18">
        <f t="shared" si="0"/>
        <v>116000</v>
      </c>
      <c r="F13" s="18">
        <f t="shared" si="1"/>
        <v>140000</v>
      </c>
    </row>
    <row r="14" spans="1:6" x14ac:dyDescent="0.35">
      <c r="A14" t="s">
        <v>333</v>
      </c>
      <c r="B14">
        <v>212</v>
      </c>
      <c r="C14" t="s">
        <v>304</v>
      </c>
      <c r="D14" s="18">
        <v>20000</v>
      </c>
      <c r="E14" s="18">
        <f t="shared" si="0"/>
        <v>136000</v>
      </c>
      <c r="F14" s="18">
        <f t="shared" si="1"/>
        <v>120000</v>
      </c>
    </row>
    <row r="15" spans="1:6" x14ac:dyDescent="0.35">
      <c r="A15" t="s">
        <v>334</v>
      </c>
      <c r="B15">
        <v>3104</v>
      </c>
      <c r="C15" t="s">
        <v>336</v>
      </c>
      <c r="D15" s="18">
        <v>90000</v>
      </c>
      <c r="E15" s="18">
        <f t="shared" si="0"/>
        <v>226000</v>
      </c>
      <c r="F15" s="18">
        <f t="shared" si="1"/>
        <v>30000</v>
      </c>
    </row>
    <row r="16" spans="1:6" x14ac:dyDescent="0.35">
      <c r="A16" t="s">
        <v>337</v>
      </c>
    </row>
    <row r="17" spans="1:6" x14ac:dyDescent="0.35">
      <c r="A17" t="s">
        <v>338</v>
      </c>
      <c r="B17">
        <v>5952</v>
      </c>
      <c r="C17" t="s">
        <v>339</v>
      </c>
      <c r="D17" s="18">
        <v>160000</v>
      </c>
      <c r="E17" s="18">
        <v>160000</v>
      </c>
      <c r="F17" t="s">
        <v>340</v>
      </c>
    </row>
    <row r="18" spans="1:6" ht="23.5" x14ac:dyDescent="0.55000000000000004">
      <c r="A18" s="49" t="s">
        <v>341</v>
      </c>
      <c r="B18" s="49"/>
      <c r="C18" s="49"/>
      <c r="D18" s="49"/>
      <c r="E18" s="49"/>
      <c r="F18" s="4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1B4B-66E0-4E6C-BA0E-2CBE69C9CDD2}">
  <dimension ref="A1:F37"/>
  <sheetViews>
    <sheetView workbookViewId="0">
      <selection activeCell="F4" sqref="F4"/>
    </sheetView>
  </sheetViews>
  <sheetFormatPr defaultRowHeight="14.5" x14ac:dyDescent="0.35"/>
  <cols>
    <col min="1" max="1" width="10.90625" customWidth="1"/>
    <col min="3" max="3" width="14.453125" customWidth="1"/>
    <col min="6" max="6" width="12.1796875" customWidth="1"/>
  </cols>
  <sheetData>
    <row r="1" spans="1:6" ht="18.5" x14ac:dyDescent="0.45">
      <c r="A1" s="1" t="s">
        <v>389</v>
      </c>
      <c r="B1" s="1"/>
      <c r="C1" s="2"/>
      <c r="D1" s="1"/>
      <c r="E1" s="1"/>
      <c r="F1" s="1"/>
    </row>
    <row r="2" spans="1:6" ht="18.5" x14ac:dyDescent="0.45">
      <c r="A2" s="1" t="s">
        <v>390</v>
      </c>
      <c r="C2" s="1"/>
      <c r="D2" s="1"/>
      <c r="E2" s="1"/>
      <c r="F2" s="1"/>
    </row>
    <row r="3" spans="1:6" ht="18.5" x14ac:dyDescent="0.45">
      <c r="A3" s="1" t="s">
        <v>391</v>
      </c>
      <c r="B3" s="1"/>
      <c r="C3" s="1"/>
      <c r="D3" s="1"/>
      <c r="E3" s="1"/>
      <c r="F3" s="1"/>
    </row>
    <row r="4" spans="1:6" ht="18.5" x14ac:dyDescent="0.45">
      <c r="A4" s="1" t="s">
        <v>394</v>
      </c>
      <c r="B4" s="1"/>
      <c r="C4" s="1"/>
      <c r="D4" s="1"/>
      <c r="E4" s="1"/>
      <c r="F4" s="1"/>
    </row>
    <row r="5" spans="1:6" ht="18.5" x14ac:dyDescent="0.45">
      <c r="A5" s="1" t="s">
        <v>392</v>
      </c>
      <c r="B5" s="1"/>
      <c r="C5" s="1"/>
      <c r="D5" s="1"/>
      <c r="E5" s="1"/>
      <c r="F5" s="1"/>
    </row>
    <row r="6" spans="1:6" ht="18.5" x14ac:dyDescent="0.45">
      <c r="A6" s="1" t="s">
        <v>393</v>
      </c>
      <c r="B6" s="1"/>
      <c r="C6" s="1"/>
      <c r="D6" s="1"/>
      <c r="E6" s="1" t="s">
        <v>262</v>
      </c>
      <c r="F6" s="1"/>
    </row>
    <row r="7" spans="1:6" x14ac:dyDescent="0.35">
      <c r="A7" s="37" t="s">
        <v>5</v>
      </c>
      <c r="B7" s="38" t="s">
        <v>6</v>
      </c>
      <c r="C7" s="38" t="s">
        <v>7</v>
      </c>
      <c r="D7" s="31" t="s">
        <v>8</v>
      </c>
      <c r="E7" s="31" t="s">
        <v>9</v>
      </c>
      <c r="F7" s="32" t="s">
        <v>10</v>
      </c>
    </row>
    <row r="8" spans="1:6" x14ac:dyDescent="0.35">
      <c r="A8" s="17">
        <v>44903</v>
      </c>
      <c r="B8">
        <v>442</v>
      </c>
      <c r="C8" t="s">
        <v>399</v>
      </c>
      <c r="D8" s="18">
        <v>10000</v>
      </c>
      <c r="E8" s="18">
        <v>10000</v>
      </c>
      <c r="F8" s="18">
        <v>310000</v>
      </c>
    </row>
    <row r="9" spans="1:6" x14ac:dyDescent="0.35">
      <c r="A9" s="17">
        <v>44874</v>
      </c>
      <c r="B9">
        <v>1179</v>
      </c>
      <c r="C9" t="s">
        <v>14</v>
      </c>
      <c r="D9" s="18">
        <v>10000</v>
      </c>
      <c r="E9" s="18">
        <f>SUM(E8+D9)</f>
        <v>20000</v>
      </c>
      <c r="F9" s="18">
        <f>F8-D9</f>
        <v>300000</v>
      </c>
    </row>
    <row r="10" spans="1:6" x14ac:dyDescent="0.35">
      <c r="A10" t="s">
        <v>395</v>
      </c>
      <c r="B10">
        <v>1538</v>
      </c>
      <c r="C10" t="s">
        <v>400</v>
      </c>
      <c r="D10" s="18">
        <v>30000</v>
      </c>
      <c r="E10" s="18">
        <f t="shared" ref="E10:E35" si="0">SUM(E9+D10)</f>
        <v>50000</v>
      </c>
      <c r="F10" s="18">
        <f t="shared" ref="F10:F34" si="1">F9-D10</f>
        <v>270000</v>
      </c>
    </row>
    <row r="11" spans="1:6" x14ac:dyDescent="0.35">
      <c r="A11" s="17">
        <v>45263</v>
      </c>
      <c r="B11">
        <v>1539</v>
      </c>
      <c r="C11" t="s">
        <v>14</v>
      </c>
      <c r="D11" s="18">
        <v>20000</v>
      </c>
      <c r="E11" s="18">
        <f t="shared" si="0"/>
        <v>70000</v>
      </c>
      <c r="F11" s="18">
        <f t="shared" si="1"/>
        <v>250000</v>
      </c>
    </row>
    <row r="12" spans="1:6" x14ac:dyDescent="0.35">
      <c r="A12" t="s">
        <v>396</v>
      </c>
      <c r="B12">
        <v>1844</v>
      </c>
      <c r="C12" t="s">
        <v>400</v>
      </c>
      <c r="D12" s="18">
        <v>10000</v>
      </c>
      <c r="E12" s="18">
        <f t="shared" si="0"/>
        <v>80000</v>
      </c>
      <c r="F12" s="18">
        <f t="shared" si="1"/>
        <v>240000</v>
      </c>
    </row>
    <row r="13" spans="1:6" x14ac:dyDescent="0.35">
      <c r="A13" t="s">
        <v>397</v>
      </c>
      <c r="B13">
        <v>1226</v>
      </c>
      <c r="C13" t="s">
        <v>14</v>
      </c>
      <c r="D13" s="18">
        <v>10000</v>
      </c>
      <c r="E13" s="18">
        <f t="shared" si="0"/>
        <v>90000</v>
      </c>
      <c r="F13" s="18">
        <f t="shared" si="1"/>
        <v>230000</v>
      </c>
    </row>
    <row r="14" spans="1:6" x14ac:dyDescent="0.35">
      <c r="A14" s="17">
        <v>45112</v>
      </c>
      <c r="B14">
        <v>701</v>
      </c>
      <c r="C14" t="s">
        <v>14</v>
      </c>
      <c r="D14" s="18">
        <v>10000</v>
      </c>
      <c r="E14" s="18">
        <f t="shared" si="0"/>
        <v>100000</v>
      </c>
      <c r="F14" s="18">
        <f t="shared" si="1"/>
        <v>220000</v>
      </c>
    </row>
    <row r="15" spans="1:6" x14ac:dyDescent="0.35">
      <c r="A15" s="17">
        <v>45236</v>
      </c>
      <c r="B15">
        <v>466</v>
      </c>
      <c r="C15" t="s">
        <v>14</v>
      </c>
      <c r="D15" s="18">
        <v>10000</v>
      </c>
      <c r="E15" s="18">
        <f t="shared" si="0"/>
        <v>110000</v>
      </c>
      <c r="F15" s="18">
        <f t="shared" si="1"/>
        <v>210000</v>
      </c>
    </row>
    <row r="16" spans="1:6" x14ac:dyDescent="0.35">
      <c r="A16" s="17">
        <v>45176</v>
      </c>
      <c r="B16">
        <v>2624</v>
      </c>
      <c r="C16" t="s">
        <v>14</v>
      </c>
      <c r="D16" s="18">
        <v>10000</v>
      </c>
      <c r="E16" s="18">
        <f t="shared" si="0"/>
        <v>120000</v>
      </c>
      <c r="F16" s="18">
        <f t="shared" si="1"/>
        <v>200000</v>
      </c>
    </row>
    <row r="17" spans="1:6" x14ac:dyDescent="0.35">
      <c r="A17" t="s">
        <v>398</v>
      </c>
      <c r="B17">
        <v>2411</v>
      </c>
      <c r="C17" t="s">
        <v>14</v>
      </c>
      <c r="D17" s="18">
        <v>10000</v>
      </c>
      <c r="E17" s="18">
        <f t="shared" si="0"/>
        <v>130000</v>
      </c>
      <c r="F17" s="18">
        <f t="shared" si="1"/>
        <v>190000</v>
      </c>
    </row>
    <row r="18" spans="1:6" x14ac:dyDescent="0.35">
      <c r="A18" s="17">
        <v>45208</v>
      </c>
      <c r="B18">
        <v>3509</v>
      </c>
      <c r="C18" t="s">
        <v>14</v>
      </c>
      <c r="D18" s="18">
        <v>10000</v>
      </c>
      <c r="E18" s="18">
        <f t="shared" si="0"/>
        <v>140000</v>
      </c>
      <c r="F18" s="18">
        <f t="shared" si="1"/>
        <v>180000</v>
      </c>
    </row>
    <row r="19" spans="1:6" x14ac:dyDescent="0.35">
      <c r="A19" s="17">
        <v>45148</v>
      </c>
      <c r="B19">
        <v>4092</v>
      </c>
      <c r="C19" t="s">
        <v>14</v>
      </c>
      <c r="D19" s="18">
        <v>10000</v>
      </c>
      <c r="E19" s="18">
        <f t="shared" si="0"/>
        <v>150000</v>
      </c>
      <c r="F19" s="18">
        <f t="shared" si="1"/>
        <v>170000</v>
      </c>
    </row>
    <row r="20" spans="1:6" x14ac:dyDescent="0.35">
      <c r="A20" s="17">
        <v>45057</v>
      </c>
      <c r="B20">
        <v>4652</v>
      </c>
      <c r="C20" t="s">
        <v>14</v>
      </c>
      <c r="D20" s="18">
        <v>10000</v>
      </c>
      <c r="E20" s="18">
        <f t="shared" si="0"/>
        <v>160000</v>
      </c>
      <c r="F20" s="18">
        <f t="shared" si="1"/>
        <v>160000</v>
      </c>
    </row>
    <row r="21" spans="1:6" x14ac:dyDescent="0.35">
      <c r="A21" s="17">
        <v>45211</v>
      </c>
      <c r="B21">
        <v>5429</v>
      </c>
      <c r="C21" t="s">
        <v>14</v>
      </c>
      <c r="D21" s="18">
        <v>10000</v>
      </c>
      <c r="E21" s="18">
        <f t="shared" si="0"/>
        <v>170000</v>
      </c>
      <c r="F21" s="18">
        <f t="shared" si="1"/>
        <v>150000</v>
      </c>
    </row>
    <row r="22" spans="1:6" x14ac:dyDescent="0.35">
      <c r="A22" s="17">
        <v>45474</v>
      </c>
      <c r="B22">
        <v>5970</v>
      </c>
      <c r="C22" t="s">
        <v>14</v>
      </c>
      <c r="D22" s="18">
        <v>10000</v>
      </c>
      <c r="E22" s="18">
        <f t="shared" si="0"/>
        <v>180000</v>
      </c>
      <c r="F22" s="18">
        <f t="shared" si="1"/>
        <v>140000</v>
      </c>
    </row>
    <row r="23" spans="1:6" x14ac:dyDescent="0.35">
      <c r="A23" s="17">
        <v>45445</v>
      </c>
      <c r="B23">
        <v>6560</v>
      </c>
      <c r="C23" t="s">
        <v>14</v>
      </c>
      <c r="D23" s="18">
        <v>10000</v>
      </c>
      <c r="E23" s="18">
        <f t="shared" si="0"/>
        <v>190000</v>
      </c>
      <c r="F23" s="18">
        <f t="shared" si="1"/>
        <v>130000</v>
      </c>
    </row>
    <row r="24" spans="1:6" x14ac:dyDescent="0.35">
      <c r="A24" s="17">
        <v>45568</v>
      </c>
      <c r="B24">
        <v>7253</v>
      </c>
      <c r="C24" t="s">
        <v>14</v>
      </c>
      <c r="D24" s="18">
        <v>10000</v>
      </c>
      <c r="E24" s="18">
        <f t="shared" si="0"/>
        <v>200000</v>
      </c>
      <c r="F24" s="18">
        <f t="shared" si="1"/>
        <v>120000</v>
      </c>
    </row>
    <row r="25" spans="1:6" x14ac:dyDescent="0.35">
      <c r="A25" t="s">
        <v>401</v>
      </c>
      <c r="B25">
        <v>7821</v>
      </c>
      <c r="C25" t="s">
        <v>14</v>
      </c>
      <c r="D25" s="18">
        <v>10000</v>
      </c>
      <c r="E25" s="18">
        <f t="shared" si="0"/>
        <v>210000</v>
      </c>
      <c r="F25" s="18">
        <f t="shared" si="1"/>
        <v>110000</v>
      </c>
    </row>
    <row r="26" spans="1:6" x14ac:dyDescent="0.35">
      <c r="A26" s="17">
        <v>45632</v>
      </c>
      <c r="B26">
        <v>8455</v>
      </c>
      <c r="C26" t="s">
        <v>14</v>
      </c>
      <c r="D26" s="18">
        <v>10000</v>
      </c>
      <c r="E26" s="18">
        <f t="shared" si="0"/>
        <v>220000</v>
      </c>
      <c r="F26" s="18">
        <f t="shared" si="1"/>
        <v>100000</v>
      </c>
    </row>
    <row r="27" spans="1:6" x14ac:dyDescent="0.35">
      <c r="A27" s="17">
        <v>45572</v>
      </c>
      <c r="B27">
        <v>9492</v>
      </c>
      <c r="C27" t="s">
        <v>14</v>
      </c>
      <c r="D27" s="18">
        <v>10000</v>
      </c>
      <c r="E27" s="18">
        <f t="shared" si="0"/>
        <v>230000</v>
      </c>
      <c r="F27" s="18">
        <f t="shared" si="1"/>
        <v>90000</v>
      </c>
    </row>
    <row r="28" spans="1:6" x14ac:dyDescent="0.35">
      <c r="A28" s="17">
        <v>45604</v>
      </c>
      <c r="B28">
        <v>11083</v>
      </c>
      <c r="C28" t="s">
        <v>14</v>
      </c>
      <c r="D28" s="18">
        <v>10000</v>
      </c>
      <c r="E28" s="18">
        <f t="shared" si="0"/>
        <v>240000</v>
      </c>
      <c r="F28" s="18">
        <f t="shared" si="1"/>
        <v>80000</v>
      </c>
    </row>
    <row r="29" spans="1:6" x14ac:dyDescent="0.35">
      <c r="A29" t="s">
        <v>402</v>
      </c>
      <c r="B29">
        <v>10149</v>
      </c>
      <c r="C29" t="s">
        <v>14</v>
      </c>
      <c r="D29" s="18">
        <v>10000</v>
      </c>
      <c r="E29" s="18">
        <f t="shared" si="0"/>
        <v>250000</v>
      </c>
      <c r="F29" s="18">
        <f t="shared" si="1"/>
        <v>70000</v>
      </c>
    </row>
    <row r="30" spans="1:6" x14ac:dyDescent="0.35">
      <c r="A30" t="s">
        <v>159</v>
      </c>
      <c r="B30">
        <v>11643</v>
      </c>
      <c r="C30" t="s">
        <v>14</v>
      </c>
      <c r="D30" s="18">
        <v>10000</v>
      </c>
      <c r="E30" s="18">
        <f t="shared" si="0"/>
        <v>260000</v>
      </c>
      <c r="F30" s="18">
        <f t="shared" si="1"/>
        <v>60000</v>
      </c>
    </row>
    <row r="31" spans="1:6" x14ac:dyDescent="0.35">
      <c r="A31" s="17">
        <v>45576</v>
      </c>
      <c r="B31">
        <v>11983</v>
      </c>
      <c r="C31" t="s">
        <v>14</v>
      </c>
      <c r="D31" s="18">
        <v>10000</v>
      </c>
      <c r="E31" s="18">
        <f t="shared" si="0"/>
        <v>270000</v>
      </c>
      <c r="F31" s="18">
        <f t="shared" si="1"/>
        <v>50000</v>
      </c>
    </row>
    <row r="32" spans="1:6" x14ac:dyDescent="0.35">
      <c r="A32" t="s">
        <v>172</v>
      </c>
      <c r="B32">
        <v>12632</v>
      </c>
      <c r="C32" t="s">
        <v>14</v>
      </c>
      <c r="D32" s="18">
        <v>10000</v>
      </c>
      <c r="E32" s="18">
        <f t="shared" si="0"/>
        <v>280000</v>
      </c>
      <c r="F32" s="18">
        <f t="shared" si="1"/>
        <v>40000</v>
      </c>
    </row>
    <row r="33" spans="1:6" x14ac:dyDescent="0.35">
      <c r="A33" s="17">
        <v>45992</v>
      </c>
      <c r="B33">
        <v>12053</v>
      </c>
      <c r="C33" t="s">
        <v>14</v>
      </c>
      <c r="D33" s="18">
        <v>10000</v>
      </c>
      <c r="E33" s="18">
        <f t="shared" si="0"/>
        <v>290000</v>
      </c>
      <c r="F33" s="18">
        <f t="shared" si="1"/>
        <v>30000</v>
      </c>
    </row>
    <row r="34" spans="1:6" x14ac:dyDescent="0.35">
      <c r="A34" t="s">
        <v>403</v>
      </c>
      <c r="B34">
        <v>9421</v>
      </c>
      <c r="C34" t="s">
        <v>14</v>
      </c>
      <c r="D34" s="18">
        <v>10000</v>
      </c>
      <c r="E34" s="18">
        <f t="shared" si="0"/>
        <v>300000</v>
      </c>
      <c r="F34" s="18">
        <f t="shared" si="1"/>
        <v>20000</v>
      </c>
    </row>
    <row r="35" spans="1:6" x14ac:dyDescent="0.35">
      <c r="A35" s="17" t="s">
        <v>404</v>
      </c>
      <c r="B35">
        <v>9810</v>
      </c>
      <c r="C35" t="s">
        <v>14</v>
      </c>
      <c r="D35" s="18">
        <v>10000</v>
      </c>
      <c r="E35" s="18">
        <f t="shared" si="0"/>
        <v>310000</v>
      </c>
      <c r="F35" s="18" t="s">
        <v>405</v>
      </c>
    </row>
    <row r="36" spans="1:6" x14ac:dyDescent="0.35">
      <c r="A36" s="17">
        <v>45666</v>
      </c>
      <c r="B36">
        <v>3458</v>
      </c>
      <c r="C36" t="s">
        <v>339</v>
      </c>
      <c r="D36" s="18">
        <v>200000</v>
      </c>
      <c r="E36" s="18">
        <v>200000</v>
      </c>
      <c r="F36" t="s">
        <v>405</v>
      </c>
    </row>
    <row r="37" spans="1:6" ht="18.5" x14ac:dyDescent="0.45">
      <c r="A37" s="51" t="s">
        <v>299</v>
      </c>
      <c r="B37" s="44"/>
      <c r="C37" s="44"/>
      <c r="D37" s="44"/>
      <c r="E37" s="44"/>
      <c r="F37" s="4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1F258-1C74-4FB3-A35C-CD18B48B0264}">
  <dimension ref="A1:F26"/>
  <sheetViews>
    <sheetView workbookViewId="0">
      <selection activeCell="I19" sqref="I19"/>
    </sheetView>
  </sheetViews>
  <sheetFormatPr defaultRowHeight="14.5" x14ac:dyDescent="0.35"/>
  <cols>
    <col min="1" max="1" width="10.453125" bestFit="1" customWidth="1"/>
    <col min="4" max="4" width="9.26953125" bestFit="1" customWidth="1"/>
    <col min="5" max="5" width="11.1796875" bestFit="1" customWidth="1"/>
  </cols>
  <sheetData>
    <row r="1" spans="1:6" ht="18.5" x14ac:dyDescent="0.45">
      <c r="A1" s="1" t="s">
        <v>291</v>
      </c>
      <c r="B1" s="1"/>
      <c r="C1" s="2"/>
      <c r="D1" s="1"/>
      <c r="E1" s="1"/>
      <c r="F1" s="1"/>
    </row>
    <row r="2" spans="1:6" ht="18.5" x14ac:dyDescent="0.45">
      <c r="A2" s="1" t="s">
        <v>272</v>
      </c>
      <c r="C2" s="1"/>
      <c r="D2" s="1"/>
      <c r="E2" s="1"/>
      <c r="F2" s="1"/>
    </row>
    <row r="3" spans="1:6" ht="18.5" x14ac:dyDescent="0.45">
      <c r="A3" s="1" t="s">
        <v>273</v>
      </c>
      <c r="B3" s="1"/>
      <c r="C3" s="1"/>
      <c r="D3" s="1"/>
      <c r="E3" s="1"/>
      <c r="F3" s="1"/>
    </row>
    <row r="4" spans="1:6" ht="18.5" x14ac:dyDescent="0.45">
      <c r="A4" s="1" t="s">
        <v>294</v>
      </c>
      <c r="B4" s="1"/>
      <c r="C4" s="1"/>
      <c r="D4" s="1"/>
      <c r="E4" s="1"/>
      <c r="F4" s="1"/>
    </row>
    <row r="5" spans="1:6" ht="18.5" x14ac:dyDescent="0.45">
      <c r="A5" s="1" t="s">
        <v>292</v>
      </c>
      <c r="B5" s="1"/>
      <c r="C5" s="1"/>
      <c r="D5" s="1"/>
      <c r="E5" s="1"/>
      <c r="F5" s="1"/>
    </row>
    <row r="6" spans="1:6" ht="18.5" x14ac:dyDescent="0.45">
      <c r="A6" s="1" t="s">
        <v>300</v>
      </c>
      <c r="B6" s="1"/>
      <c r="C6" s="1"/>
      <c r="D6" s="1"/>
      <c r="E6" s="1" t="s">
        <v>262</v>
      </c>
      <c r="F6" s="1"/>
    </row>
    <row r="7" spans="1:6" x14ac:dyDescent="0.35">
      <c r="A7" s="37" t="s">
        <v>5</v>
      </c>
      <c r="B7" s="38" t="s">
        <v>6</v>
      </c>
      <c r="C7" s="38" t="s">
        <v>7</v>
      </c>
      <c r="D7" s="31" t="s">
        <v>8</v>
      </c>
      <c r="E7" s="31" t="s">
        <v>9</v>
      </c>
      <c r="F7" s="32" t="s">
        <v>10</v>
      </c>
    </row>
    <row r="8" spans="1:6" x14ac:dyDescent="0.35">
      <c r="A8" s="17">
        <v>44873</v>
      </c>
      <c r="B8">
        <v>424</v>
      </c>
      <c r="C8" t="s">
        <v>14</v>
      </c>
      <c r="D8" s="18">
        <v>10000</v>
      </c>
      <c r="E8" s="18">
        <v>10000</v>
      </c>
      <c r="F8" s="18">
        <v>280000</v>
      </c>
    </row>
    <row r="9" spans="1:6" x14ac:dyDescent="0.35">
      <c r="A9" t="s">
        <v>34</v>
      </c>
      <c r="B9">
        <v>2740</v>
      </c>
      <c r="C9" t="s">
        <v>194</v>
      </c>
      <c r="D9" s="18">
        <v>60000</v>
      </c>
      <c r="E9" s="18">
        <f>SUM(E8+D9)</f>
        <v>70000</v>
      </c>
      <c r="F9" s="18">
        <f>F8-D9</f>
        <v>220000</v>
      </c>
    </row>
    <row r="10" spans="1:6" x14ac:dyDescent="0.35">
      <c r="A10" t="s">
        <v>295</v>
      </c>
      <c r="B10">
        <v>1296</v>
      </c>
      <c r="C10" t="s">
        <v>14</v>
      </c>
      <c r="D10" s="18">
        <v>10000</v>
      </c>
      <c r="E10" s="18">
        <f t="shared" ref="E10:E11" si="0">SUM(E9+D10)</f>
        <v>80000</v>
      </c>
      <c r="F10" s="18">
        <f t="shared" ref="F10:F11" si="1">F9-D10</f>
        <v>210000</v>
      </c>
    </row>
    <row r="11" spans="1:6" x14ac:dyDescent="0.35">
      <c r="A11" s="17" t="s">
        <v>278</v>
      </c>
      <c r="B11">
        <v>1432</v>
      </c>
      <c r="C11" t="s">
        <v>14</v>
      </c>
      <c r="D11" s="18">
        <v>15000</v>
      </c>
      <c r="E11" s="18">
        <f t="shared" si="0"/>
        <v>95000</v>
      </c>
      <c r="F11" s="18">
        <f t="shared" si="1"/>
        <v>195000</v>
      </c>
    </row>
    <row r="12" spans="1:6" x14ac:dyDescent="0.35">
      <c r="A12" s="17">
        <v>45110</v>
      </c>
      <c r="B12">
        <v>2744</v>
      </c>
      <c r="C12" t="s">
        <v>14</v>
      </c>
      <c r="D12" s="18">
        <v>15000</v>
      </c>
      <c r="E12" s="18">
        <f t="shared" ref="E12:E24" si="2">SUM(E11+D12)</f>
        <v>110000</v>
      </c>
      <c r="F12" s="18">
        <f t="shared" ref="F12:F24" si="3">F11-D12</f>
        <v>180000</v>
      </c>
    </row>
    <row r="13" spans="1:6" x14ac:dyDescent="0.35">
      <c r="A13" t="s">
        <v>279</v>
      </c>
      <c r="B13">
        <v>1341</v>
      </c>
      <c r="C13" t="s">
        <v>14</v>
      </c>
      <c r="D13" s="18">
        <v>15000</v>
      </c>
      <c r="E13" s="18">
        <f t="shared" si="2"/>
        <v>125000</v>
      </c>
      <c r="F13" s="18">
        <f t="shared" si="3"/>
        <v>165000</v>
      </c>
    </row>
    <row r="14" spans="1:6" x14ac:dyDescent="0.35">
      <c r="A14" t="s">
        <v>280</v>
      </c>
      <c r="B14">
        <v>212</v>
      </c>
      <c r="C14" t="s">
        <v>14</v>
      </c>
      <c r="D14" s="18">
        <v>15000</v>
      </c>
      <c r="E14" s="18">
        <f t="shared" si="2"/>
        <v>140000</v>
      </c>
      <c r="F14" s="18">
        <f t="shared" si="3"/>
        <v>150000</v>
      </c>
    </row>
    <row r="15" spans="1:6" x14ac:dyDescent="0.35">
      <c r="A15" t="s">
        <v>281</v>
      </c>
      <c r="B15">
        <v>2032</v>
      </c>
      <c r="C15" t="s">
        <v>14</v>
      </c>
      <c r="D15" s="18">
        <v>15000</v>
      </c>
      <c r="E15" s="18">
        <f t="shared" si="2"/>
        <v>155000</v>
      </c>
      <c r="F15" s="18">
        <f t="shared" si="3"/>
        <v>135000</v>
      </c>
    </row>
    <row r="16" spans="1:6" x14ac:dyDescent="0.35">
      <c r="A16" t="s">
        <v>282</v>
      </c>
      <c r="B16">
        <v>2938</v>
      </c>
      <c r="C16" t="s">
        <v>14</v>
      </c>
      <c r="D16" s="18">
        <v>15000</v>
      </c>
      <c r="E16" s="18">
        <f t="shared" si="2"/>
        <v>170000</v>
      </c>
      <c r="F16" s="18">
        <f t="shared" si="3"/>
        <v>120000</v>
      </c>
    </row>
    <row r="17" spans="1:6" x14ac:dyDescent="0.35">
      <c r="A17" s="17" t="s">
        <v>283</v>
      </c>
      <c r="B17">
        <v>3180</v>
      </c>
      <c r="C17" t="s">
        <v>14</v>
      </c>
      <c r="D17" s="18">
        <v>15000</v>
      </c>
      <c r="E17" s="18">
        <f t="shared" si="2"/>
        <v>185000</v>
      </c>
      <c r="F17" s="18">
        <f t="shared" si="3"/>
        <v>105000</v>
      </c>
    </row>
    <row r="18" spans="1:6" x14ac:dyDescent="0.35">
      <c r="A18" t="s">
        <v>39</v>
      </c>
      <c r="B18">
        <v>3937</v>
      </c>
      <c r="C18" t="s">
        <v>14</v>
      </c>
      <c r="D18" s="18">
        <v>15000</v>
      </c>
      <c r="E18" s="18">
        <f t="shared" si="2"/>
        <v>200000</v>
      </c>
      <c r="F18" s="18">
        <f t="shared" si="3"/>
        <v>90000</v>
      </c>
    </row>
    <row r="19" spans="1:6" x14ac:dyDescent="0.35">
      <c r="A19" s="17">
        <v>45240</v>
      </c>
      <c r="B19">
        <v>4199</v>
      </c>
      <c r="C19" t="s">
        <v>14</v>
      </c>
      <c r="D19" s="18">
        <v>15000</v>
      </c>
      <c r="E19" s="18">
        <f t="shared" si="2"/>
        <v>215000</v>
      </c>
      <c r="F19" s="18">
        <f t="shared" si="3"/>
        <v>75000</v>
      </c>
    </row>
    <row r="20" spans="1:6" x14ac:dyDescent="0.35">
      <c r="A20" s="17" t="s">
        <v>287</v>
      </c>
      <c r="B20">
        <v>4866</v>
      </c>
      <c r="C20" t="s">
        <v>14</v>
      </c>
      <c r="D20" s="18">
        <v>15000</v>
      </c>
      <c r="E20" s="18">
        <f t="shared" si="2"/>
        <v>230000</v>
      </c>
      <c r="F20" s="18">
        <f t="shared" si="3"/>
        <v>60000</v>
      </c>
    </row>
    <row r="21" spans="1:6" x14ac:dyDescent="0.35">
      <c r="A21" s="17">
        <v>45211</v>
      </c>
      <c r="B21">
        <v>5418</v>
      </c>
      <c r="C21" t="s">
        <v>14</v>
      </c>
      <c r="D21" s="18">
        <v>15000</v>
      </c>
      <c r="E21" s="18">
        <f t="shared" si="2"/>
        <v>245000</v>
      </c>
      <c r="F21" s="18">
        <f t="shared" si="3"/>
        <v>45000</v>
      </c>
    </row>
    <row r="22" spans="1:6" x14ac:dyDescent="0.35">
      <c r="A22" s="17">
        <v>45474</v>
      </c>
      <c r="B22">
        <v>5944</v>
      </c>
      <c r="C22" t="s">
        <v>14</v>
      </c>
      <c r="D22" s="18">
        <v>15000</v>
      </c>
      <c r="E22" s="18">
        <f t="shared" si="2"/>
        <v>260000</v>
      </c>
      <c r="F22" s="18">
        <f t="shared" si="3"/>
        <v>30000</v>
      </c>
    </row>
    <row r="23" spans="1:6" x14ac:dyDescent="0.35">
      <c r="A23" s="17" t="s">
        <v>288</v>
      </c>
      <c r="B23">
        <v>6639</v>
      </c>
      <c r="C23" t="s">
        <v>14</v>
      </c>
      <c r="D23" s="18">
        <v>15000</v>
      </c>
      <c r="E23" s="18">
        <f t="shared" si="2"/>
        <v>275000</v>
      </c>
      <c r="F23" s="18">
        <f t="shared" si="3"/>
        <v>15000</v>
      </c>
    </row>
    <row r="24" spans="1:6" x14ac:dyDescent="0.35">
      <c r="A24" s="17" t="s">
        <v>289</v>
      </c>
      <c r="B24">
        <v>7407</v>
      </c>
      <c r="C24" t="s">
        <v>14</v>
      </c>
      <c r="D24" s="18">
        <v>15000</v>
      </c>
      <c r="E24" s="18">
        <f t="shared" si="2"/>
        <v>290000</v>
      </c>
      <c r="F24" s="18">
        <f t="shared" si="3"/>
        <v>0</v>
      </c>
    </row>
    <row r="25" spans="1:6" ht="18.5" x14ac:dyDescent="0.45">
      <c r="A25" s="44" t="s">
        <v>301</v>
      </c>
      <c r="B25" s="44">
        <v>3385</v>
      </c>
      <c r="C25" s="44" t="s">
        <v>297</v>
      </c>
      <c r="D25" s="45">
        <v>180000</v>
      </c>
      <c r="E25" s="45">
        <v>1800000</v>
      </c>
      <c r="F25" s="44" t="s">
        <v>298</v>
      </c>
    </row>
    <row r="26" spans="1:6" ht="18.5" x14ac:dyDescent="0.45">
      <c r="A26" s="44" t="s">
        <v>299</v>
      </c>
      <c r="B26" s="44"/>
      <c r="C26" s="44"/>
      <c r="D26" s="4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5932-FCBD-4965-BAA3-3F705792AC91}">
  <dimension ref="A1:F26"/>
  <sheetViews>
    <sheetView workbookViewId="0">
      <selection sqref="A1:G7"/>
    </sheetView>
  </sheetViews>
  <sheetFormatPr defaultRowHeight="14.5" x14ac:dyDescent="0.35"/>
  <cols>
    <col min="1" max="1" width="10.453125" bestFit="1" customWidth="1"/>
    <col min="2" max="2" width="8.81640625" bestFit="1" customWidth="1"/>
    <col min="3" max="3" width="13.6328125" customWidth="1"/>
    <col min="4" max="5" width="9.26953125" bestFit="1" customWidth="1"/>
  </cols>
  <sheetData>
    <row r="1" spans="1:6" ht="18.5" x14ac:dyDescent="0.45">
      <c r="A1" s="1" t="s">
        <v>291</v>
      </c>
      <c r="B1" s="1"/>
      <c r="C1" s="2"/>
      <c r="D1" s="1"/>
      <c r="E1" s="1"/>
      <c r="F1" s="1"/>
    </row>
    <row r="2" spans="1:6" ht="18.5" x14ac:dyDescent="0.45">
      <c r="A2" s="1" t="s">
        <v>272</v>
      </c>
      <c r="C2" s="1"/>
      <c r="D2" s="1"/>
      <c r="E2" s="1"/>
      <c r="F2" s="1"/>
    </row>
    <row r="3" spans="1:6" ht="18.5" x14ac:dyDescent="0.45">
      <c r="A3" s="1" t="s">
        <v>273</v>
      </c>
      <c r="B3" s="1"/>
      <c r="C3" s="1"/>
      <c r="D3" s="1"/>
      <c r="E3" s="1"/>
      <c r="F3" s="1"/>
    </row>
    <row r="4" spans="1:6" ht="18.5" x14ac:dyDescent="0.45">
      <c r="A4" s="1" t="s">
        <v>294</v>
      </c>
      <c r="B4" s="1"/>
      <c r="C4" s="1"/>
      <c r="D4" s="1"/>
      <c r="E4" s="1"/>
      <c r="F4" s="1"/>
    </row>
    <row r="5" spans="1:6" ht="18.5" x14ac:dyDescent="0.45">
      <c r="A5" s="1" t="s">
        <v>292</v>
      </c>
      <c r="B5" s="1"/>
      <c r="C5" s="1"/>
      <c r="D5" s="1"/>
      <c r="E5" s="1"/>
      <c r="F5" s="1"/>
    </row>
    <row r="6" spans="1:6" ht="18.5" x14ac:dyDescent="0.45">
      <c r="A6" s="1" t="s">
        <v>293</v>
      </c>
      <c r="B6" s="1"/>
      <c r="C6" s="1"/>
      <c r="D6" s="1"/>
      <c r="E6" s="1" t="s">
        <v>262</v>
      </c>
      <c r="F6" s="1"/>
    </row>
    <row r="7" spans="1:6" x14ac:dyDescent="0.35">
      <c r="A7" s="37" t="s">
        <v>5</v>
      </c>
      <c r="B7" s="38" t="s">
        <v>6</v>
      </c>
      <c r="C7" s="38" t="s">
        <v>7</v>
      </c>
      <c r="D7" s="31" t="s">
        <v>8</v>
      </c>
      <c r="E7" s="31" t="s">
        <v>9</v>
      </c>
      <c r="F7" s="32" t="s">
        <v>10</v>
      </c>
    </row>
    <row r="8" spans="1:6" x14ac:dyDescent="0.35">
      <c r="A8" s="17">
        <v>44873</v>
      </c>
      <c r="B8">
        <v>425</v>
      </c>
      <c r="C8" t="s">
        <v>14</v>
      </c>
      <c r="D8" s="18">
        <v>10000</v>
      </c>
      <c r="E8" s="18">
        <v>10000</v>
      </c>
      <c r="F8" s="18">
        <v>280000</v>
      </c>
    </row>
    <row r="9" spans="1:6" x14ac:dyDescent="0.35">
      <c r="A9" t="s">
        <v>34</v>
      </c>
      <c r="B9">
        <v>2739</v>
      </c>
      <c r="C9" t="s">
        <v>194</v>
      </c>
      <c r="D9" s="18">
        <v>60000</v>
      </c>
      <c r="E9" s="18">
        <f>SUM(E8+D9)</f>
        <v>70000</v>
      </c>
      <c r="F9" s="18">
        <f>F8-D9</f>
        <v>220000</v>
      </c>
    </row>
    <row r="10" spans="1:6" x14ac:dyDescent="0.35">
      <c r="A10" t="s">
        <v>295</v>
      </c>
      <c r="B10">
        <v>1297</v>
      </c>
      <c r="C10" t="s">
        <v>14</v>
      </c>
      <c r="D10" s="18">
        <v>10000</v>
      </c>
      <c r="E10" s="18">
        <f t="shared" ref="E10:E24" si="0">SUM(E9+D10)</f>
        <v>80000</v>
      </c>
      <c r="F10" s="18">
        <f t="shared" ref="F10:F24" si="1">F9-D10</f>
        <v>210000</v>
      </c>
    </row>
    <row r="11" spans="1:6" x14ac:dyDescent="0.35">
      <c r="A11" s="17">
        <v>45110</v>
      </c>
      <c r="B11">
        <v>2743</v>
      </c>
      <c r="C11" t="s">
        <v>14</v>
      </c>
      <c r="D11" s="18">
        <v>15000</v>
      </c>
      <c r="E11" s="18">
        <f t="shared" si="0"/>
        <v>95000</v>
      </c>
      <c r="F11" s="18">
        <f t="shared" si="1"/>
        <v>195000</v>
      </c>
    </row>
    <row r="12" spans="1:6" x14ac:dyDescent="0.35">
      <c r="A12" t="s">
        <v>278</v>
      </c>
      <c r="B12">
        <v>1433</v>
      </c>
      <c r="C12" t="s">
        <v>14</v>
      </c>
      <c r="D12" s="18">
        <v>15000</v>
      </c>
      <c r="E12" s="18">
        <f t="shared" si="0"/>
        <v>110000</v>
      </c>
      <c r="F12" s="18">
        <f t="shared" si="1"/>
        <v>180000</v>
      </c>
    </row>
    <row r="13" spans="1:6" x14ac:dyDescent="0.35">
      <c r="A13" t="s">
        <v>279</v>
      </c>
      <c r="B13">
        <v>1339</v>
      </c>
      <c r="C13" t="s">
        <v>14</v>
      </c>
      <c r="D13" s="18">
        <v>15000</v>
      </c>
      <c r="E13" s="18">
        <f t="shared" si="0"/>
        <v>125000</v>
      </c>
      <c r="F13" s="18">
        <f t="shared" si="1"/>
        <v>165000</v>
      </c>
    </row>
    <row r="14" spans="1:6" x14ac:dyDescent="0.35">
      <c r="A14" t="s">
        <v>280</v>
      </c>
      <c r="B14">
        <v>210</v>
      </c>
      <c r="C14" t="s">
        <v>14</v>
      </c>
      <c r="D14" s="18">
        <v>15000</v>
      </c>
      <c r="E14" s="18">
        <f t="shared" si="0"/>
        <v>140000</v>
      </c>
      <c r="F14" s="18">
        <f t="shared" si="1"/>
        <v>150000</v>
      </c>
    </row>
    <row r="15" spans="1:6" x14ac:dyDescent="0.35">
      <c r="A15" t="s">
        <v>281</v>
      </c>
      <c r="B15">
        <v>2030</v>
      </c>
      <c r="C15" t="s">
        <v>14</v>
      </c>
      <c r="D15" s="18">
        <v>15000</v>
      </c>
      <c r="E15" s="18">
        <f t="shared" si="0"/>
        <v>155000</v>
      </c>
      <c r="F15" s="18">
        <f t="shared" si="1"/>
        <v>135000</v>
      </c>
    </row>
    <row r="16" spans="1:6" x14ac:dyDescent="0.35">
      <c r="A16" t="s">
        <v>282</v>
      </c>
      <c r="B16">
        <v>2937</v>
      </c>
      <c r="C16" t="s">
        <v>14</v>
      </c>
      <c r="D16" s="18">
        <v>15000</v>
      </c>
      <c r="E16" s="18">
        <f t="shared" si="0"/>
        <v>170000</v>
      </c>
      <c r="F16" s="18">
        <f t="shared" si="1"/>
        <v>120000</v>
      </c>
    </row>
    <row r="17" spans="1:6" x14ac:dyDescent="0.35">
      <c r="A17" t="s">
        <v>283</v>
      </c>
      <c r="B17">
        <v>3181</v>
      </c>
      <c r="C17" t="s">
        <v>14</v>
      </c>
      <c r="D17" s="18">
        <v>15000</v>
      </c>
      <c r="E17" s="18">
        <f t="shared" si="0"/>
        <v>185000</v>
      </c>
      <c r="F17" s="18">
        <f t="shared" si="1"/>
        <v>105000</v>
      </c>
    </row>
    <row r="18" spans="1:6" x14ac:dyDescent="0.35">
      <c r="A18" t="s">
        <v>39</v>
      </c>
      <c r="B18">
        <v>3938</v>
      </c>
      <c r="C18" t="s">
        <v>14</v>
      </c>
      <c r="D18" s="18">
        <v>15000</v>
      </c>
      <c r="E18" s="18">
        <f t="shared" si="0"/>
        <v>200000</v>
      </c>
      <c r="F18" s="18">
        <f t="shared" si="1"/>
        <v>90000</v>
      </c>
    </row>
    <row r="19" spans="1:6" x14ac:dyDescent="0.35">
      <c r="A19" s="17">
        <v>45240</v>
      </c>
      <c r="B19">
        <v>4198</v>
      </c>
      <c r="C19" t="s">
        <v>14</v>
      </c>
      <c r="D19" s="18">
        <v>15000</v>
      </c>
      <c r="E19" s="18">
        <f t="shared" si="0"/>
        <v>215000</v>
      </c>
      <c r="F19" s="18">
        <f t="shared" si="1"/>
        <v>75000</v>
      </c>
    </row>
    <row r="20" spans="1:6" x14ac:dyDescent="0.35">
      <c r="A20" t="s">
        <v>287</v>
      </c>
      <c r="B20">
        <v>4867</v>
      </c>
      <c r="C20" t="s">
        <v>14</v>
      </c>
      <c r="D20" s="18">
        <v>15000</v>
      </c>
      <c r="E20" s="18">
        <f t="shared" si="0"/>
        <v>230000</v>
      </c>
      <c r="F20" s="18">
        <f t="shared" si="1"/>
        <v>60000</v>
      </c>
    </row>
    <row r="21" spans="1:6" x14ac:dyDescent="0.35">
      <c r="A21" s="17">
        <v>45211</v>
      </c>
      <c r="B21">
        <v>5420</v>
      </c>
      <c r="C21" t="s">
        <v>14</v>
      </c>
      <c r="D21" s="18">
        <v>15000</v>
      </c>
      <c r="E21" s="18">
        <f t="shared" si="0"/>
        <v>245000</v>
      </c>
      <c r="F21" s="18">
        <f t="shared" si="1"/>
        <v>45000</v>
      </c>
    </row>
    <row r="22" spans="1:6" x14ac:dyDescent="0.35">
      <c r="A22" s="17">
        <v>45474</v>
      </c>
      <c r="B22">
        <v>5943</v>
      </c>
      <c r="C22" t="s">
        <v>14</v>
      </c>
      <c r="D22" s="18">
        <v>15000</v>
      </c>
      <c r="E22" s="18">
        <f t="shared" si="0"/>
        <v>260000</v>
      </c>
      <c r="F22" s="18">
        <f t="shared" si="1"/>
        <v>30000</v>
      </c>
    </row>
    <row r="23" spans="1:6" x14ac:dyDescent="0.35">
      <c r="A23" t="s">
        <v>288</v>
      </c>
      <c r="B23">
        <v>6633</v>
      </c>
      <c r="C23" t="s">
        <v>14</v>
      </c>
      <c r="D23" s="18">
        <v>15000</v>
      </c>
      <c r="E23" s="18">
        <f t="shared" si="0"/>
        <v>275000</v>
      </c>
      <c r="F23" s="18">
        <f t="shared" si="1"/>
        <v>15000</v>
      </c>
    </row>
    <row r="24" spans="1:6" x14ac:dyDescent="0.35">
      <c r="A24" t="s">
        <v>289</v>
      </c>
      <c r="B24">
        <v>7408</v>
      </c>
      <c r="C24" t="s">
        <v>14</v>
      </c>
      <c r="D24" s="18">
        <v>15000</v>
      </c>
      <c r="E24" s="18">
        <f t="shared" si="0"/>
        <v>290000</v>
      </c>
      <c r="F24" s="18">
        <f t="shared" si="1"/>
        <v>0</v>
      </c>
    </row>
    <row r="25" spans="1:6" ht="18.5" x14ac:dyDescent="0.45">
      <c r="A25" s="44" t="s">
        <v>296</v>
      </c>
      <c r="B25" s="44">
        <v>3884</v>
      </c>
      <c r="C25" s="44" t="s">
        <v>297</v>
      </c>
      <c r="D25" s="45">
        <v>150000</v>
      </c>
      <c r="E25" s="45">
        <v>150000</v>
      </c>
      <c r="F25" s="44" t="s">
        <v>298</v>
      </c>
    </row>
    <row r="26" spans="1:6" ht="18.5" x14ac:dyDescent="0.45">
      <c r="A26" s="44" t="s">
        <v>299</v>
      </c>
      <c r="B26" s="44"/>
      <c r="C26" s="44"/>
      <c r="D26" s="4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F623-6B7B-47A4-A770-B81C4126A3BE}">
  <dimension ref="A1:F26"/>
  <sheetViews>
    <sheetView workbookViewId="0">
      <selection activeCell="M14" sqref="M14"/>
    </sheetView>
  </sheetViews>
  <sheetFormatPr defaultRowHeight="14.5" x14ac:dyDescent="0.35"/>
  <cols>
    <col min="1" max="1" width="10.453125" bestFit="1" customWidth="1"/>
  </cols>
  <sheetData>
    <row r="1" spans="1:6" ht="18.5" x14ac:dyDescent="0.45">
      <c r="A1" s="1" t="s">
        <v>271</v>
      </c>
      <c r="B1" s="1"/>
      <c r="C1" s="2"/>
      <c r="D1" s="1"/>
      <c r="E1" s="1"/>
      <c r="F1" s="1"/>
    </row>
    <row r="2" spans="1:6" ht="18.5" x14ac:dyDescent="0.45">
      <c r="A2" s="1" t="s">
        <v>272</v>
      </c>
      <c r="C2" s="1"/>
      <c r="D2" s="1"/>
      <c r="E2" s="1"/>
      <c r="F2" s="1"/>
    </row>
    <row r="3" spans="1:6" ht="18.5" x14ac:dyDescent="0.45">
      <c r="A3" s="1" t="s">
        <v>273</v>
      </c>
      <c r="B3" s="1"/>
      <c r="C3" s="1"/>
      <c r="D3" s="1"/>
      <c r="E3" s="1"/>
      <c r="F3" s="1"/>
    </row>
    <row r="4" spans="1:6" ht="18.5" x14ac:dyDescent="0.45">
      <c r="A4" s="1" t="s">
        <v>445</v>
      </c>
      <c r="B4" s="1"/>
      <c r="C4" s="1"/>
      <c r="D4" s="1"/>
      <c r="E4" s="1"/>
      <c r="F4" s="1"/>
    </row>
    <row r="5" spans="1:6" ht="18.5" x14ac:dyDescent="0.45">
      <c r="A5" s="1" t="s">
        <v>274</v>
      </c>
      <c r="B5" s="1"/>
      <c r="C5" s="1"/>
      <c r="D5" s="1"/>
      <c r="E5" s="1"/>
      <c r="F5" s="1"/>
    </row>
    <row r="6" spans="1:6" ht="18.5" x14ac:dyDescent="0.45">
      <c r="A6" s="1" t="s">
        <v>275</v>
      </c>
      <c r="B6" s="1"/>
      <c r="C6" s="1"/>
      <c r="D6" s="1"/>
      <c r="E6" s="1" t="s">
        <v>262</v>
      </c>
      <c r="F6" s="1"/>
    </row>
    <row r="7" spans="1:6" x14ac:dyDescent="0.35">
      <c r="A7" s="37" t="s">
        <v>5</v>
      </c>
      <c r="B7" s="38" t="s">
        <v>6</v>
      </c>
      <c r="C7" s="38" t="s">
        <v>7</v>
      </c>
      <c r="D7" s="31" t="s">
        <v>8</v>
      </c>
      <c r="E7" s="31" t="s">
        <v>9</v>
      </c>
      <c r="F7" s="32" t="s">
        <v>10</v>
      </c>
    </row>
    <row r="8" spans="1:6" x14ac:dyDescent="0.35">
      <c r="A8" s="17">
        <v>44085</v>
      </c>
      <c r="B8">
        <v>2746</v>
      </c>
      <c r="C8" t="s">
        <v>284</v>
      </c>
      <c r="D8" s="18">
        <v>160000</v>
      </c>
      <c r="E8" s="18">
        <v>160000</v>
      </c>
      <c r="F8" s="18">
        <v>290000</v>
      </c>
    </row>
    <row r="9" spans="1:6" x14ac:dyDescent="0.35">
      <c r="A9" s="17">
        <v>44873</v>
      </c>
      <c r="B9">
        <v>2747</v>
      </c>
      <c r="C9" t="s">
        <v>14</v>
      </c>
      <c r="D9" s="18">
        <v>10000</v>
      </c>
      <c r="E9" s="18">
        <f>SUM(E8+D9)</f>
        <v>170000</v>
      </c>
      <c r="F9" s="18">
        <f>F8-D9</f>
        <v>280000</v>
      </c>
    </row>
    <row r="10" spans="1:6" x14ac:dyDescent="0.35">
      <c r="A10" t="s">
        <v>34</v>
      </c>
      <c r="B10">
        <v>2748</v>
      </c>
      <c r="C10" t="s">
        <v>284</v>
      </c>
      <c r="D10" s="18">
        <v>60000</v>
      </c>
      <c r="E10" s="18">
        <f t="shared" ref="E10:E25" si="0">SUM(E9+D10)</f>
        <v>230000</v>
      </c>
      <c r="F10" s="18">
        <f t="shared" ref="F10:F25" si="1">F9-D10</f>
        <v>220000</v>
      </c>
    </row>
    <row r="11" spans="1:6" x14ac:dyDescent="0.35">
      <c r="A11" t="s">
        <v>276</v>
      </c>
      <c r="B11">
        <v>2745</v>
      </c>
      <c r="C11" t="s">
        <v>14</v>
      </c>
      <c r="D11" s="18">
        <v>15000</v>
      </c>
      <c r="E11" s="18">
        <f t="shared" si="0"/>
        <v>245000</v>
      </c>
      <c r="F11" s="18">
        <f t="shared" si="1"/>
        <v>205000</v>
      </c>
    </row>
    <row r="12" spans="1:6" x14ac:dyDescent="0.35">
      <c r="A12" t="s">
        <v>277</v>
      </c>
      <c r="B12">
        <v>1298</v>
      </c>
      <c r="C12" t="s">
        <v>285</v>
      </c>
      <c r="D12" s="18">
        <v>10000</v>
      </c>
      <c r="E12" s="18">
        <f t="shared" si="0"/>
        <v>255000</v>
      </c>
      <c r="F12" s="18">
        <f t="shared" si="1"/>
        <v>195000</v>
      </c>
    </row>
    <row r="13" spans="1:6" x14ac:dyDescent="0.35">
      <c r="A13" t="s">
        <v>278</v>
      </c>
      <c r="B13">
        <v>1434</v>
      </c>
      <c r="C13" t="s">
        <v>286</v>
      </c>
      <c r="D13" s="18">
        <v>15000</v>
      </c>
      <c r="E13" s="18">
        <f t="shared" si="0"/>
        <v>270000</v>
      </c>
      <c r="F13" s="18">
        <f t="shared" si="1"/>
        <v>180000</v>
      </c>
    </row>
    <row r="14" spans="1:6" x14ac:dyDescent="0.35">
      <c r="A14" t="s">
        <v>279</v>
      </c>
      <c r="B14">
        <v>1340</v>
      </c>
      <c r="C14" t="s">
        <v>286</v>
      </c>
      <c r="D14" s="18">
        <v>15000</v>
      </c>
      <c r="E14" s="18">
        <f t="shared" si="0"/>
        <v>285000</v>
      </c>
      <c r="F14" s="18">
        <f t="shared" si="1"/>
        <v>165000</v>
      </c>
    </row>
    <row r="15" spans="1:6" x14ac:dyDescent="0.35">
      <c r="A15" t="s">
        <v>280</v>
      </c>
      <c r="B15">
        <v>211</v>
      </c>
      <c r="C15" t="s">
        <v>286</v>
      </c>
      <c r="D15" s="18">
        <v>15000</v>
      </c>
      <c r="E15" s="18">
        <f t="shared" si="0"/>
        <v>300000</v>
      </c>
      <c r="F15" s="18">
        <f t="shared" si="1"/>
        <v>150000</v>
      </c>
    </row>
    <row r="16" spans="1:6" x14ac:dyDescent="0.35">
      <c r="A16" t="s">
        <v>281</v>
      </c>
      <c r="B16">
        <v>2031</v>
      </c>
      <c r="C16" t="s">
        <v>286</v>
      </c>
      <c r="D16" s="18">
        <v>15000</v>
      </c>
      <c r="E16" s="18">
        <f t="shared" si="0"/>
        <v>315000</v>
      </c>
      <c r="F16" s="18">
        <f t="shared" si="1"/>
        <v>135000</v>
      </c>
    </row>
    <row r="17" spans="1:6" x14ac:dyDescent="0.35">
      <c r="A17" t="s">
        <v>282</v>
      </c>
      <c r="B17">
        <v>2936</v>
      </c>
      <c r="C17" t="s">
        <v>286</v>
      </c>
      <c r="D17" s="18">
        <v>15000</v>
      </c>
      <c r="E17" s="18">
        <f t="shared" si="0"/>
        <v>330000</v>
      </c>
      <c r="F17" s="18">
        <f t="shared" si="1"/>
        <v>120000</v>
      </c>
    </row>
    <row r="18" spans="1:6" x14ac:dyDescent="0.35">
      <c r="A18" t="s">
        <v>283</v>
      </c>
      <c r="B18">
        <v>3179</v>
      </c>
      <c r="C18" t="s">
        <v>286</v>
      </c>
      <c r="D18" s="18">
        <v>15000</v>
      </c>
      <c r="E18" s="18">
        <f t="shared" si="0"/>
        <v>345000</v>
      </c>
      <c r="F18" s="18">
        <f t="shared" si="1"/>
        <v>105000</v>
      </c>
    </row>
    <row r="19" spans="1:6" x14ac:dyDescent="0.35">
      <c r="A19" t="s">
        <v>39</v>
      </c>
      <c r="B19">
        <v>3939</v>
      </c>
      <c r="C19" t="s">
        <v>286</v>
      </c>
      <c r="D19" s="18">
        <v>15000</v>
      </c>
      <c r="E19" s="18">
        <f t="shared" si="0"/>
        <v>360000</v>
      </c>
      <c r="F19" s="18">
        <f t="shared" si="1"/>
        <v>90000</v>
      </c>
    </row>
    <row r="20" spans="1:6" x14ac:dyDescent="0.35">
      <c r="A20" s="17">
        <v>45240</v>
      </c>
      <c r="B20">
        <v>4197</v>
      </c>
      <c r="C20" t="s">
        <v>286</v>
      </c>
      <c r="D20" s="18">
        <v>15000</v>
      </c>
      <c r="E20" s="18">
        <f t="shared" si="0"/>
        <v>375000</v>
      </c>
      <c r="F20" s="18">
        <f t="shared" si="1"/>
        <v>75000</v>
      </c>
    </row>
    <row r="21" spans="1:6" x14ac:dyDescent="0.35">
      <c r="A21" t="s">
        <v>287</v>
      </c>
      <c r="B21">
        <v>4868</v>
      </c>
      <c r="C21" t="s">
        <v>286</v>
      </c>
      <c r="D21" s="18">
        <v>15000</v>
      </c>
      <c r="E21" s="18">
        <f t="shared" si="0"/>
        <v>390000</v>
      </c>
      <c r="F21" s="18">
        <f t="shared" si="1"/>
        <v>60000</v>
      </c>
    </row>
    <row r="22" spans="1:6" x14ac:dyDescent="0.35">
      <c r="A22" s="17">
        <v>45211</v>
      </c>
      <c r="B22">
        <v>5419</v>
      </c>
      <c r="C22" t="s">
        <v>286</v>
      </c>
      <c r="D22" s="18">
        <v>15000</v>
      </c>
      <c r="E22" s="18">
        <f t="shared" si="0"/>
        <v>405000</v>
      </c>
      <c r="F22" s="18">
        <f t="shared" si="1"/>
        <v>45000</v>
      </c>
    </row>
    <row r="23" spans="1:6" x14ac:dyDescent="0.35">
      <c r="A23" s="17">
        <v>45474</v>
      </c>
      <c r="B23">
        <v>5945</v>
      </c>
      <c r="C23" t="s">
        <v>286</v>
      </c>
      <c r="D23" s="18">
        <v>15000</v>
      </c>
      <c r="E23" s="18">
        <f t="shared" si="0"/>
        <v>420000</v>
      </c>
      <c r="F23" s="18">
        <f t="shared" si="1"/>
        <v>30000</v>
      </c>
    </row>
    <row r="24" spans="1:6" x14ac:dyDescent="0.35">
      <c r="A24" t="s">
        <v>288</v>
      </c>
      <c r="B24">
        <v>6635</v>
      </c>
      <c r="C24" t="s">
        <v>286</v>
      </c>
      <c r="D24" s="18">
        <v>15000</v>
      </c>
      <c r="E24" s="18">
        <f t="shared" si="0"/>
        <v>435000</v>
      </c>
      <c r="F24" s="18">
        <f t="shared" si="1"/>
        <v>15000</v>
      </c>
    </row>
    <row r="25" spans="1:6" x14ac:dyDescent="0.35">
      <c r="A25" t="s">
        <v>289</v>
      </c>
      <c r="B25">
        <v>7406</v>
      </c>
      <c r="C25" t="s">
        <v>286</v>
      </c>
      <c r="D25" s="18">
        <v>15000</v>
      </c>
      <c r="E25" s="18">
        <f t="shared" si="0"/>
        <v>450000</v>
      </c>
      <c r="F25" s="18">
        <f t="shared" si="1"/>
        <v>0</v>
      </c>
    </row>
    <row r="26" spans="1:6" ht="18.5" x14ac:dyDescent="0.45">
      <c r="A26" s="44" t="s">
        <v>446</v>
      </c>
      <c r="B26" s="44"/>
      <c r="C26" s="44"/>
      <c r="D26" s="44"/>
      <c r="E26" s="44"/>
      <c r="F26" s="4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46C8-A912-4493-B984-A1D207332241}">
  <dimension ref="A1:F40"/>
  <sheetViews>
    <sheetView workbookViewId="0">
      <selection activeCell="F41" sqref="F41"/>
    </sheetView>
  </sheetViews>
  <sheetFormatPr defaultRowHeight="14.5" x14ac:dyDescent="0.35"/>
  <cols>
    <col min="1" max="1" width="11.26953125" customWidth="1"/>
    <col min="3" max="3" width="13.26953125" customWidth="1"/>
    <col min="4" max="4" width="11.1796875" customWidth="1"/>
    <col min="6" max="6" width="13.6328125" customWidth="1"/>
  </cols>
  <sheetData>
    <row r="1" spans="1:6" ht="18.5" x14ac:dyDescent="0.45">
      <c r="A1" s="1" t="s">
        <v>202</v>
      </c>
      <c r="B1" s="1"/>
      <c r="C1" s="2"/>
      <c r="D1" s="1"/>
      <c r="E1" s="1"/>
      <c r="F1" s="1"/>
    </row>
    <row r="2" spans="1:6" ht="18.5" x14ac:dyDescent="0.45">
      <c r="A2" s="1" t="s">
        <v>203</v>
      </c>
      <c r="C2" s="1"/>
      <c r="D2" s="1"/>
      <c r="E2" s="1"/>
      <c r="F2" s="1"/>
    </row>
    <row r="3" spans="1:6" ht="18.5" x14ac:dyDescent="0.45">
      <c r="A3" s="1" t="s">
        <v>204</v>
      </c>
      <c r="B3" s="1"/>
      <c r="C3" s="1"/>
      <c r="D3" s="1"/>
      <c r="E3" s="1"/>
      <c r="F3" s="1"/>
    </row>
    <row r="4" spans="1:6" ht="18.5" x14ac:dyDescent="0.45">
      <c r="A4" s="1" t="s">
        <v>322</v>
      </c>
      <c r="B4" s="1"/>
      <c r="C4" s="1"/>
      <c r="D4" s="1"/>
      <c r="E4" s="1"/>
      <c r="F4" s="1"/>
    </row>
    <row r="5" spans="1:6" ht="18.5" x14ac:dyDescent="0.45">
      <c r="A5" s="1" t="s">
        <v>205</v>
      </c>
      <c r="B5" s="1"/>
      <c r="C5" s="1"/>
      <c r="D5" s="1"/>
      <c r="E5" s="1"/>
      <c r="F5" s="1"/>
    </row>
    <row r="6" spans="1:6" ht="18.5" x14ac:dyDescent="0.45">
      <c r="A6" s="1" t="s">
        <v>206</v>
      </c>
      <c r="B6" s="1"/>
      <c r="C6" s="1"/>
      <c r="D6" s="1" t="s">
        <v>207</v>
      </c>
      <c r="E6" s="1"/>
      <c r="F6" s="1"/>
    </row>
    <row r="7" spans="1:6" x14ac:dyDescent="0.35">
      <c r="A7" s="19" t="s">
        <v>5</v>
      </c>
      <c r="B7" s="20" t="s">
        <v>6</v>
      </c>
      <c r="C7" s="20" t="s">
        <v>7</v>
      </c>
      <c r="D7" s="20" t="s">
        <v>8</v>
      </c>
      <c r="E7" s="20" t="s">
        <v>9</v>
      </c>
      <c r="F7" s="20" t="s">
        <v>10</v>
      </c>
    </row>
    <row r="8" spans="1:6" x14ac:dyDescent="0.35">
      <c r="A8" s="24" t="s">
        <v>208</v>
      </c>
      <c r="B8" s="24">
        <v>2494</v>
      </c>
      <c r="C8" s="24" t="s">
        <v>214</v>
      </c>
      <c r="D8" s="25">
        <v>10000</v>
      </c>
      <c r="E8" s="25">
        <v>10000</v>
      </c>
      <c r="F8" s="25">
        <v>515000</v>
      </c>
    </row>
    <row r="9" spans="1:6" x14ac:dyDescent="0.35">
      <c r="A9" s="23">
        <v>45231</v>
      </c>
      <c r="B9" s="24">
        <v>1939</v>
      </c>
      <c r="C9" s="24" t="s">
        <v>215</v>
      </c>
      <c r="D9" s="25">
        <v>110000</v>
      </c>
      <c r="E9" s="25">
        <f>SUM(E8+D9)</f>
        <v>120000</v>
      </c>
      <c r="F9" s="25">
        <f>F8-D9</f>
        <v>405000</v>
      </c>
    </row>
    <row r="10" spans="1:6" x14ac:dyDescent="0.35">
      <c r="A10" s="24" t="s">
        <v>209</v>
      </c>
      <c r="B10" s="24">
        <v>1940</v>
      </c>
      <c r="C10" s="24" t="s">
        <v>14</v>
      </c>
      <c r="D10" s="25">
        <v>10000</v>
      </c>
      <c r="E10" s="25">
        <f t="shared" ref="E10:E39" si="0">SUM(E9+D10)</f>
        <v>130000</v>
      </c>
      <c r="F10" s="25">
        <f t="shared" ref="F10:F39" si="1">F9-D10</f>
        <v>395000</v>
      </c>
    </row>
    <row r="11" spans="1:6" x14ac:dyDescent="0.35">
      <c r="A11" s="23">
        <v>45019</v>
      </c>
      <c r="B11" s="24">
        <v>30</v>
      </c>
      <c r="C11" s="24" t="s">
        <v>14</v>
      </c>
      <c r="D11" s="25">
        <v>10000</v>
      </c>
      <c r="E11" s="25">
        <f t="shared" si="0"/>
        <v>140000</v>
      </c>
      <c r="F11" s="25">
        <f t="shared" si="1"/>
        <v>385000</v>
      </c>
    </row>
    <row r="12" spans="1:6" x14ac:dyDescent="0.35">
      <c r="A12" s="23">
        <v>45144</v>
      </c>
      <c r="B12" s="24">
        <v>717</v>
      </c>
      <c r="C12" s="24" t="s">
        <v>14</v>
      </c>
      <c r="D12" s="25">
        <v>20000</v>
      </c>
      <c r="E12" s="25">
        <f t="shared" si="0"/>
        <v>160000</v>
      </c>
      <c r="F12" s="25">
        <f t="shared" si="1"/>
        <v>365000</v>
      </c>
    </row>
    <row r="13" spans="1:6" x14ac:dyDescent="0.35">
      <c r="A13" s="24" t="s">
        <v>210</v>
      </c>
      <c r="B13" s="24">
        <v>523</v>
      </c>
      <c r="C13" s="24" t="s">
        <v>14</v>
      </c>
      <c r="D13" s="25">
        <v>10000</v>
      </c>
      <c r="E13" s="25">
        <f t="shared" si="0"/>
        <v>170000</v>
      </c>
      <c r="F13" s="25">
        <f t="shared" si="1"/>
        <v>355000</v>
      </c>
    </row>
    <row r="14" spans="1:6" x14ac:dyDescent="0.35">
      <c r="A14" s="24" t="s">
        <v>211</v>
      </c>
      <c r="B14" s="24">
        <v>3007</v>
      </c>
      <c r="C14" s="24" t="s">
        <v>14</v>
      </c>
      <c r="D14" s="25">
        <v>15000</v>
      </c>
      <c r="E14" s="25">
        <f t="shared" si="0"/>
        <v>185000</v>
      </c>
      <c r="F14" s="25">
        <f t="shared" si="1"/>
        <v>340000</v>
      </c>
    </row>
    <row r="15" spans="1:6" x14ac:dyDescent="0.35">
      <c r="A15" s="24" t="s">
        <v>39</v>
      </c>
      <c r="B15" s="24">
        <v>3936</v>
      </c>
      <c r="C15" s="24" t="s">
        <v>14</v>
      </c>
      <c r="D15" s="25">
        <v>10000</v>
      </c>
      <c r="E15" s="25">
        <f t="shared" si="0"/>
        <v>195000</v>
      </c>
      <c r="F15" s="25">
        <f t="shared" si="1"/>
        <v>330000</v>
      </c>
    </row>
    <row r="16" spans="1:6" x14ac:dyDescent="0.35">
      <c r="A16" s="24" t="s">
        <v>212</v>
      </c>
      <c r="B16" s="24">
        <v>4411</v>
      </c>
      <c r="C16" s="24" t="s">
        <v>14</v>
      </c>
      <c r="D16" s="25">
        <v>10000</v>
      </c>
      <c r="E16" s="25">
        <f t="shared" si="0"/>
        <v>205000</v>
      </c>
      <c r="F16" s="25">
        <f t="shared" si="1"/>
        <v>320000</v>
      </c>
    </row>
    <row r="17" spans="1:6" x14ac:dyDescent="0.35">
      <c r="A17" s="24" t="s">
        <v>213</v>
      </c>
      <c r="B17" s="24">
        <v>4976</v>
      </c>
      <c r="C17" s="24" t="s">
        <v>14</v>
      </c>
      <c r="D17" s="25">
        <v>10000</v>
      </c>
      <c r="E17" s="25">
        <f t="shared" si="0"/>
        <v>215000</v>
      </c>
      <c r="F17" s="25">
        <f t="shared" si="1"/>
        <v>310000</v>
      </c>
    </row>
    <row r="18" spans="1:6" x14ac:dyDescent="0.35">
      <c r="A18" s="24" t="s">
        <v>153</v>
      </c>
      <c r="B18" s="24">
        <v>5652</v>
      </c>
      <c r="C18" s="24" t="s">
        <v>14</v>
      </c>
      <c r="D18" s="25">
        <v>10000</v>
      </c>
      <c r="E18" s="25">
        <f t="shared" si="0"/>
        <v>225000</v>
      </c>
      <c r="F18" s="25">
        <f t="shared" si="1"/>
        <v>300000</v>
      </c>
    </row>
    <row r="19" spans="1:6" x14ac:dyDescent="0.35">
      <c r="A19" s="24" t="s">
        <v>216</v>
      </c>
      <c r="B19" s="24">
        <v>6274</v>
      </c>
      <c r="C19" s="24" t="s">
        <v>14</v>
      </c>
      <c r="D19" s="25">
        <v>15000</v>
      </c>
      <c r="E19" s="25">
        <f t="shared" si="0"/>
        <v>240000</v>
      </c>
      <c r="F19" s="25">
        <f t="shared" si="1"/>
        <v>285000</v>
      </c>
    </row>
    <row r="20" spans="1:6" x14ac:dyDescent="0.35">
      <c r="A20" s="24" t="s">
        <v>217</v>
      </c>
      <c r="B20" s="24">
        <v>6683</v>
      </c>
      <c r="C20" s="24" t="s">
        <v>14</v>
      </c>
      <c r="D20" s="25">
        <v>10000</v>
      </c>
      <c r="E20" s="25">
        <f t="shared" si="0"/>
        <v>250000</v>
      </c>
      <c r="F20" s="25">
        <f t="shared" si="1"/>
        <v>275000</v>
      </c>
    </row>
    <row r="21" spans="1:6" x14ac:dyDescent="0.35">
      <c r="A21" s="23">
        <v>45539</v>
      </c>
      <c r="B21" s="24">
        <v>7790</v>
      </c>
      <c r="C21" s="24" t="s">
        <v>14</v>
      </c>
      <c r="D21" s="25">
        <v>20000</v>
      </c>
      <c r="E21" s="25">
        <f t="shared" si="0"/>
        <v>270000</v>
      </c>
      <c r="F21" s="25">
        <f t="shared" si="1"/>
        <v>255000</v>
      </c>
    </row>
    <row r="22" spans="1:6" x14ac:dyDescent="0.35">
      <c r="A22" s="23">
        <v>45358</v>
      </c>
      <c r="B22" s="24">
        <v>10555</v>
      </c>
      <c r="C22" s="24" t="s">
        <v>14</v>
      </c>
      <c r="D22" s="25">
        <v>20000</v>
      </c>
      <c r="E22" s="25">
        <f t="shared" si="0"/>
        <v>290000</v>
      </c>
      <c r="F22" s="25">
        <f t="shared" si="1"/>
        <v>235000</v>
      </c>
    </row>
    <row r="23" spans="1:6" x14ac:dyDescent="0.35">
      <c r="A23" s="23">
        <v>45452</v>
      </c>
      <c r="B23" s="24">
        <v>10556</v>
      </c>
      <c r="C23" s="24" t="s">
        <v>14</v>
      </c>
      <c r="D23" s="25">
        <v>18000</v>
      </c>
      <c r="E23" s="25">
        <f t="shared" si="0"/>
        <v>308000</v>
      </c>
      <c r="F23" s="25">
        <f t="shared" si="1"/>
        <v>217000</v>
      </c>
    </row>
    <row r="24" spans="1:6" x14ac:dyDescent="0.35">
      <c r="A24" s="23">
        <v>45422</v>
      </c>
      <c r="B24" s="24">
        <v>349</v>
      </c>
      <c r="C24" s="24" t="s">
        <v>14</v>
      </c>
      <c r="D24" s="25">
        <v>22000</v>
      </c>
      <c r="E24" s="25">
        <f t="shared" si="0"/>
        <v>330000</v>
      </c>
      <c r="F24" s="25">
        <f t="shared" si="1"/>
        <v>195000</v>
      </c>
    </row>
    <row r="25" spans="1:6" x14ac:dyDescent="0.35">
      <c r="A25" s="24" t="s">
        <v>127</v>
      </c>
      <c r="B25" s="24">
        <v>10984</v>
      </c>
      <c r="C25" s="24" t="s">
        <v>14</v>
      </c>
      <c r="D25" s="25">
        <v>10000</v>
      </c>
      <c r="E25" s="25">
        <f t="shared" si="0"/>
        <v>340000</v>
      </c>
      <c r="F25" s="25">
        <f t="shared" si="1"/>
        <v>185000</v>
      </c>
    </row>
    <row r="26" spans="1:6" x14ac:dyDescent="0.35">
      <c r="A26" s="24" t="s">
        <v>128</v>
      </c>
      <c r="B26" s="24">
        <v>12377</v>
      </c>
      <c r="C26" s="24" t="s">
        <v>14</v>
      </c>
      <c r="D26" s="25">
        <v>10000</v>
      </c>
      <c r="E26" s="25">
        <f t="shared" si="0"/>
        <v>350000</v>
      </c>
      <c r="F26" s="25">
        <f t="shared" si="1"/>
        <v>175000</v>
      </c>
    </row>
    <row r="27" spans="1:6" x14ac:dyDescent="0.35">
      <c r="A27" s="23">
        <v>45810</v>
      </c>
      <c r="B27" s="24">
        <v>9241</v>
      </c>
      <c r="C27" s="24" t="s">
        <v>14</v>
      </c>
      <c r="D27" s="25">
        <v>15000</v>
      </c>
      <c r="E27" s="25">
        <f t="shared" si="0"/>
        <v>365000</v>
      </c>
      <c r="F27" s="25">
        <f t="shared" si="1"/>
        <v>160000</v>
      </c>
    </row>
    <row r="28" spans="1:6" x14ac:dyDescent="0.35">
      <c r="A28" s="24" t="s">
        <v>218</v>
      </c>
      <c r="B28" s="24">
        <v>10006</v>
      </c>
      <c r="C28" s="24" t="s">
        <v>14</v>
      </c>
      <c r="D28" s="25">
        <v>15000</v>
      </c>
      <c r="E28" s="25">
        <f t="shared" si="0"/>
        <v>380000</v>
      </c>
      <c r="F28" s="25">
        <f t="shared" si="1"/>
        <v>145000</v>
      </c>
    </row>
    <row r="29" spans="1:6" x14ac:dyDescent="0.35">
      <c r="A29" s="24" t="s">
        <v>219</v>
      </c>
      <c r="B29" s="24">
        <v>10835</v>
      </c>
      <c r="C29" s="24" t="s">
        <v>14</v>
      </c>
      <c r="D29" s="25">
        <v>10000</v>
      </c>
      <c r="E29" s="25">
        <f t="shared" si="0"/>
        <v>390000</v>
      </c>
      <c r="F29" s="25">
        <f t="shared" si="1"/>
        <v>135000</v>
      </c>
    </row>
    <row r="30" spans="1:6" x14ac:dyDescent="0.35">
      <c r="A30" s="24" t="s">
        <v>220</v>
      </c>
      <c r="B30" s="24">
        <v>12234</v>
      </c>
      <c r="C30" s="24" t="s">
        <v>14</v>
      </c>
      <c r="D30" s="25">
        <v>10000</v>
      </c>
      <c r="E30" s="25">
        <f t="shared" si="0"/>
        <v>400000</v>
      </c>
      <c r="F30" s="25">
        <f t="shared" si="1"/>
        <v>125000</v>
      </c>
    </row>
    <row r="31" spans="1:6" x14ac:dyDescent="0.35">
      <c r="A31" s="24" t="s">
        <v>221</v>
      </c>
      <c r="B31" s="24">
        <v>12978</v>
      </c>
      <c r="C31" s="24" t="s">
        <v>14</v>
      </c>
      <c r="D31" s="25">
        <v>15000</v>
      </c>
      <c r="E31" s="25">
        <f t="shared" si="0"/>
        <v>415000</v>
      </c>
      <c r="F31" s="25">
        <f t="shared" si="1"/>
        <v>110000</v>
      </c>
    </row>
    <row r="32" spans="1:6" x14ac:dyDescent="0.35">
      <c r="A32" s="24" t="s">
        <v>222</v>
      </c>
      <c r="B32" s="24">
        <v>13979</v>
      </c>
      <c r="C32" s="24" t="s">
        <v>14</v>
      </c>
      <c r="D32" s="25">
        <v>10000</v>
      </c>
      <c r="E32" s="25">
        <f t="shared" si="0"/>
        <v>425000</v>
      </c>
      <c r="F32" s="25">
        <f t="shared" si="1"/>
        <v>100000</v>
      </c>
    </row>
    <row r="33" spans="1:6" x14ac:dyDescent="0.35">
      <c r="A33" s="23" t="s">
        <v>223</v>
      </c>
      <c r="B33" s="24">
        <v>13657</v>
      </c>
      <c r="C33" s="24" t="s">
        <v>14</v>
      </c>
      <c r="D33" s="25">
        <v>10000</v>
      </c>
      <c r="E33" s="25">
        <f t="shared" si="0"/>
        <v>435000</v>
      </c>
      <c r="F33" s="25">
        <f t="shared" si="1"/>
        <v>90000</v>
      </c>
    </row>
    <row r="34" spans="1:6" x14ac:dyDescent="0.35">
      <c r="A34" s="24" t="s">
        <v>13</v>
      </c>
      <c r="B34" s="24">
        <v>13007</v>
      </c>
      <c r="C34" s="24" t="s">
        <v>14</v>
      </c>
      <c r="D34" s="25">
        <v>10000</v>
      </c>
      <c r="E34" s="25">
        <f t="shared" si="0"/>
        <v>445000</v>
      </c>
      <c r="F34" s="25">
        <f t="shared" si="1"/>
        <v>80000</v>
      </c>
    </row>
    <row r="35" spans="1:6" x14ac:dyDescent="0.35">
      <c r="A35" s="24" t="s">
        <v>224</v>
      </c>
      <c r="B35" s="24">
        <v>12630</v>
      </c>
      <c r="C35" s="24" t="s">
        <v>14</v>
      </c>
      <c r="D35" s="25">
        <v>10000</v>
      </c>
      <c r="E35" s="25">
        <f t="shared" si="0"/>
        <v>455000</v>
      </c>
      <c r="F35" s="25">
        <f t="shared" si="1"/>
        <v>70000</v>
      </c>
    </row>
    <row r="36" spans="1:6" x14ac:dyDescent="0.35">
      <c r="A36" s="24" t="s">
        <v>225</v>
      </c>
      <c r="B36" s="24">
        <v>12202</v>
      </c>
      <c r="C36" s="24" t="s">
        <v>14</v>
      </c>
      <c r="D36" s="25">
        <v>10000</v>
      </c>
      <c r="E36" s="25">
        <f t="shared" si="0"/>
        <v>465000</v>
      </c>
      <c r="F36" s="25">
        <f t="shared" si="1"/>
        <v>60000</v>
      </c>
    </row>
    <row r="37" spans="1:6" x14ac:dyDescent="0.35">
      <c r="A37" s="24" t="s">
        <v>226</v>
      </c>
      <c r="B37" s="24">
        <v>12852</v>
      </c>
      <c r="C37" s="24" t="s">
        <v>14</v>
      </c>
      <c r="D37" s="25">
        <v>20000</v>
      </c>
      <c r="E37" s="25">
        <f t="shared" si="0"/>
        <v>485000</v>
      </c>
      <c r="F37" s="25">
        <f t="shared" si="1"/>
        <v>40000</v>
      </c>
    </row>
    <row r="38" spans="1:6" x14ac:dyDescent="0.35">
      <c r="A38" s="24" t="s">
        <v>321</v>
      </c>
      <c r="B38" s="24">
        <v>13275</v>
      </c>
      <c r="C38" s="24" t="s">
        <v>14</v>
      </c>
      <c r="D38" s="15">
        <v>10000</v>
      </c>
      <c r="E38" s="25">
        <f t="shared" si="0"/>
        <v>495000</v>
      </c>
      <c r="F38" s="25">
        <f t="shared" si="1"/>
        <v>30000</v>
      </c>
    </row>
    <row r="39" spans="1:6" x14ac:dyDescent="0.35">
      <c r="A39" s="52" t="s">
        <v>475</v>
      </c>
      <c r="B39" s="52">
        <v>13382</v>
      </c>
      <c r="C39" s="24" t="s">
        <v>14</v>
      </c>
      <c r="D39" s="15">
        <v>10000</v>
      </c>
      <c r="E39" s="25">
        <f t="shared" si="0"/>
        <v>505000</v>
      </c>
      <c r="F39" s="25">
        <f t="shared" si="1"/>
        <v>20000</v>
      </c>
    </row>
    <row r="40" spans="1:6" x14ac:dyDescent="0.35">
      <c r="A40" s="52" t="s">
        <v>613</v>
      </c>
      <c r="B40" s="52">
        <v>13642</v>
      </c>
      <c r="C40" s="52" t="s">
        <v>14</v>
      </c>
      <c r="D40" s="18">
        <v>10000</v>
      </c>
      <c r="E40" s="18">
        <f>E39+D40</f>
        <v>515000</v>
      </c>
      <c r="F40" s="18">
        <f>F39-D40</f>
        <v>10000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A173-67F5-4A24-A0ED-CEE8DCE9BC54}">
  <dimension ref="A1:F33"/>
  <sheetViews>
    <sheetView workbookViewId="0">
      <selection activeCell="A7" sqref="A7:F7"/>
    </sheetView>
  </sheetViews>
  <sheetFormatPr defaultRowHeight="14.5" x14ac:dyDescent="0.35"/>
  <cols>
    <col min="1" max="1" width="9.7265625" customWidth="1"/>
    <col min="3" max="3" width="12.453125" customWidth="1"/>
    <col min="6" max="6" width="10.453125" customWidth="1"/>
  </cols>
  <sheetData>
    <row r="1" spans="1:6" ht="18.5" x14ac:dyDescent="0.45">
      <c r="A1" s="1" t="s">
        <v>342</v>
      </c>
      <c r="B1" s="1"/>
      <c r="C1" s="2"/>
      <c r="D1" s="1"/>
      <c r="E1" s="1"/>
      <c r="F1" s="1"/>
    </row>
    <row r="2" spans="1:6" ht="18.5" x14ac:dyDescent="0.45">
      <c r="A2" s="1" t="s">
        <v>347</v>
      </c>
      <c r="C2" s="1"/>
      <c r="D2" s="1"/>
      <c r="E2" s="1"/>
      <c r="F2" s="1"/>
    </row>
    <row r="3" spans="1:6" ht="18.5" x14ac:dyDescent="0.45">
      <c r="A3" s="1" t="s">
        <v>343</v>
      </c>
      <c r="B3" s="1"/>
      <c r="C3" s="1"/>
      <c r="D3" s="1"/>
      <c r="E3" s="1"/>
      <c r="F3" s="1"/>
    </row>
    <row r="4" spans="1:6" ht="18.5" x14ac:dyDescent="0.45">
      <c r="A4" s="1" t="s">
        <v>348</v>
      </c>
      <c r="B4" s="1"/>
      <c r="C4" s="1"/>
      <c r="D4" s="1"/>
      <c r="E4" s="1"/>
      <c r="F4" s="1"/>
    </row>
    <row r="5" spans="1:6" ht="18.5" x14ac:dyDescent="0.45">
      <c r="A5" s="1" t="s">
        <v>344</v>
      </c>
      <c r="B5" s="1"/>
      <c r="C5" s="1"/>
      <c r="D5" s="1"/>
      <c r="E5" s="1"/>
      <c r="F5" s="1"/>
    </row>
    <row r="6" spans="1:6" ht="18.5" x14ac:dyDescent="0.45">
      <c r="A6" s="1" t="s">
        <v>345</v>
      </c>
      <c r="B6" s="1"/>
      <c r="C6" s="1"/>
      <c r="D6" s="1"/>
      <c r="E6" s="1" t="s">
        <v>346</v>
      </c>
      <c r="F6" s="1"/>
    </row>
    <row r="7" spans="1:6" x14ac:dyDescent="0.35">
      <c r="A7" s="60" t="s">
        <v>5</v>
      </c>
      <c r="B7" s="61" t="s">
        <v>6</v>
      </c>
      <c r="C7" s="61" t="s">
        <v>7</v>
      </c>
      <c r="D7" s="31" t="s">
        <v>8</v>
      </c>
      <c r="E7" s="31" t="s">
        <v>9</v>
      </c>
      <c r="F7" s="32" t="s">
        <v>10</v>
      </c>
    </row>
    <row r="8" spans="1:6" x14ac:dyDescent="0.35">
      <c r="A8" t="s">
        <v>349</v>
      </c>
      <c r="B8">
        <v>1373</v>
      </c>
      <c r="C8" t="s">
        <v>66</v>
      </c>
      <c r="D8" s="18">
        <v>16000</v>
      </c>
      <c r="E8" s="18">
        <v>16000</v>
      </c>
      <c r="F8" s="18">
        <v>280000</v>
      </c>
    </row>
    <row r="9" spans="1:6" x14ac:dyDescent="0.35">
      <c r="A9" t="s">
        <v>331</v>
      </c>
      <c r="B9">
        <v>1312</v>
      </c>
      <c r="C9" t="s">
        <v>66</v>
      </c>
      <c r="D9" s="18">
        <v>10000</v>
      </c>
      <c r="E9" s="18">
        <f>SUM(E8+D9)</f>
        <v>26000</v>
      </c>
      <c r="F9" s="18">
        <f>F8-D9</f>
        <v>270000</v>
      </c>
    </row>
    <row r="10" spans="1:6" x14ac:dyDescent="0.35">
      <c r="A10" s="17">
        <v>44663</v>
      </c>
      <c r="B10">
        <v>2768</v>
      </c>
      <c r="C10" t="s">
        <v>194</v>
      </c>
      <c r="D10" s="18">
        <v>20000</v>
      </c>
      <c r="E10" s="18">
        <f t="shared" ref="E10:E31" si="0">SUM(E9+D10)</f>
        <v>46000</v>
      </c>
      <c r="F10" s="18">
        <f t="shared" ref="F10:F31" si="1">F9-D10</f>
        <v>250000</v>
      </c>
    </row>
    <row r="11" spans="1:6" x14ac:dyDescent="0.35">
      <c r="A11" t="s">
        <v>332</v>
      </c>
      <c r="B11">
        <v>2267</v>
      </c>
      <c r="C11" t="s">
        <v>66</v>
      </c>
      <c r="D11" s="18">
        <v>20000</v>
      </c>
      <c r="E11" s="18">
        <f t="shared" si="0"/>
        <v>66000</v>
      </c>
      <c r="F11" s="18">
        <f t="shared" si="1"/>
        <v>230000</v>
      </c>
    </row>
    <row r="12" spans="1:6" x14ac:dyDescent="0.35">
      <c r="A12" t="s">
        <v>350</v>
      </c>
      <c r="B12">
        <v>1159</v>
      </c>
      <c r="C12" t="s">
        <v>66</v>
      </c>
      <c r="D12" s="18">
        <v>10000</v>
      </c>
      <c r="E12" s="18">
        <f t="shared" si="0"/>
        <v>76000</v>
      </c>
      <c r="F12" s="18">
        <f t="shared" si="1"/>
        <v>220000</v>
      </c>
    </row>
    <row r="13" spans="1:6" x14ac:dyDescent="0.35">
      <c r="A13" t="s">
        <v>351</v>
      </c>
      <c r="B13">
        <v>209</v>
      </c>
      <c r="C13" t="s">
        <v>66</v>
      </c>
      <c r="D13" s="18">
        <v>10000</v>
      </c>
      <c r="E13" s="18">
        <f t="shared" si="0"/>
        <v>86000</v>
      </c>
      <c r="F13" s="18">
        <f t="shared" si="1"/>
        <v>210000</v>
      </c>
    </row>
    <row r="14" spans="1:6" x14ac:dyDescent="0.35">
      <c r="A14" t="s">
        <v>352</v>
      </c>
      <c r="B14">
        <v>2816</v>
      </c>
      <c r="C14" t="s">
        <v>66</v>
      </c>
      <c r="D14" s="18">
        <v>10000</v>
      </c>
      <c r="E14" s="18">
        <f t="shared" si="0"/>
        <v>96000</v>
      </c>
      <c r="F14" s="18">
        <f t="shared" si="1"/>
        <v>200000</v>
      </c>
    </row>
    <row r="15" spans="1:6" x14ac:dyDescent="0.35">
      <c r="A15" t="s">
        <v>353</v>
      </c>
      <c r="B15">
        <v>3046</v>
      </c>
      <c r="C15" t="s">
        <v>66</v>
      </c>
      <c r="D15" s="18">
        <v>20000</v>
      </c>
      <c r="E15" s="18">
        <f t="shared" si="0"/>
        <v>116000</v>
      </c>
      <c r="F15" s="18">
        <f t="shared" si="1"/>
        <v>180000</v>
      </c>
    </row>
    <row r="16" spans="1:6" x14ac:dyDescent="0.35">
      <c r="A16" s="17">
        <v>44995</v>
      </c>
      <c r="B16">
        <v>254</v>
      </c>
      <c r="C16" t="s">
        <v>66</v>
      </c>
      <c r="D16" s="18">
        <v>10000</v>
      </c>
      <c r="E16" s="18">
        <f t="shared" si="0"/>
        <v>126000</v>
      </c>
      <c r="F16" s="18">
        <f t="shared" si="1"/>
        <v>170000</v>
      </c>
    </row>
    <row r="17" spans="1:6" x14ac:dyDescent="0.35">
      <c r="A17" t="s">
        <v>354</v>
      </c>
      <c r="B17">
        <v>5083</v>
      </c>
      <c r="C17" t="s">
        <v>66</v>
      </c>
      <c r="D17" s="18">
        <v>20000</v>
      </c>
      <c r="E17" s="18">
        <f t="shared" si="0"/>
        <v>146000</v>
      </c>
      <c r="F17" s="18">
        <f t="shared" si="1"/>
        <v>150000</v>
      </c>
    </row>
    <row r="18" spans="1:6" x14ac:dyDescent="0.35">
      <c r="A18" t="s">
        <v>355</v>
      </c>
      <c r="B18">
        <v>5749</v>
      </c>
      <c r="C18" t="s">
        <v>66</v>
      </c>
      <c r="D18" s="18">
        <v>10000</v>
      </c>
      <c r="E18" s="18">
        <f t="shared" si="0"/>
        <v>156000</v>
      </c>
      <c r="F18" s="18">
        <f t="shared" si="1"/>
        <v>140000</v>
      </c>
    </row>
    <row r="19" spans="1:6" x14ac:dyDescent="0.35">
      <c r="A19" t="s">
        <v>154</v>
      </c>
      <c r="B19">
        <v>6391</v>
      </c>
      <c r="C19" t="s">
        <v>66</v>
      </c>
      <c r="D19" s="18">
        <v>10000</v>
      </c>
      <c r="E19" s="18">
        <f t="shared" si="0"/>
        <v>166000</v>
      </c>
      <c r="F19" s="18">
        <f t="shared" si="1"/>
        <v>130000</v>
      </c>
    </row>
    <row r="20" spans="1:6" x14ac:dyDescent="0.35">
      <c r="A20" t="s">
        <v>76</v>
      </c>
      <c r="B20">
        <v>672</v>
      </c>
      <c r="C20" t="s">
        <v>66</v>
      </c>
      <c r="D20" s="18">
        <v>10000</v>
      </c>
      <c r="E20" s="18">
        <f t="shared" si="0"/>
        <v>176000</v>
      </c>
      <c r="F20" s="18">
        <f t="shared" si="1"/>
        <v>120000</v>
      </c>
    </row>
    <row r="21" spans="1:6" x14ac:dyDescent="0.35">
      <c r="A21" t="s">
        <v>356</v>
      </c>
      <c r="B21">
        <v>7506</v>
      </c>
      <c r="C21" t="s">
        <v>66</v>
      </c>
      <c r="D21" s="18">
        <v>10000</v>
      </c>
      <c r="E21" s="18">
        <f t="shared" si="0"/>
        <v>186000</v>
      </c>
      <c r="F21" s="18">
        <f t="shared" si="1"/>
        <v>110000</v>
      </c>
    </row>
    <row r="22" spans="1:6" x14ac:dyDescent="0.35">
      <c r="A22" t="s">
        <v>357</v>
      </c>
      <c r="B22">
        <v>8099</v>
      </c>
      <c r="C22" t="s">
        <v>66</v>
      </c>
      <c r="D22" s="18">
        <v>10000</v>
      </c>
      <c r="E22" s="18">
        <f t="shared" si="0"/>
        <v>196000</v>
      </c>
      <c r="F22" s="18">
        <f t="shared" si="1"/>
        <v>100000</v>
      </c>
    </row>
    <row r="23" spans="1:6" x14ac:dyDescent="0.35">
      <c r="A23" t="s">
        <v>358</v>
      </c>
      <c r="B23">
        <v>8669</v>
      </c>
      <c r="C23" t="s">
        <v>66</v>
      </c>
      <c r="D23" s="18">
        <v>10000</v>
      </c>
      <c r="E23" s="18">
        <f t="shared" si="0"/>
        <v>206000</v>
      </c>
      <c r="F23" s="18">
        <f t="shared" si="1"/>
        <v>90000</v>
      </c>
    </row>
    <row r="24" spans="1:6" x14ac:dyDescent="0.35">
      <c r="A24" t="s">
        <v>359</v>
      </c>
      <c r="B24">
        <v>9263</v>
      </c>
      <c r="C24" t="s">
        <v>66</v>
      </c>
      <c r="D24" s="18">
        <v>10000</v>
      </c>
      <c r="E24" s="18">
        <f t="shared" si="0"/>
        <v>216000</v>
      </c>
      <c r="F24" s="18">
        <f t="shared" si="1"/>
        <v>80000</v>
      </c>
    </row>
    <row r="25" spans="1:6" x14ac:dyDescent="0.35">
      <c r="A25" t="s">
        <v>360</v>
      </c>
      <c r="B25">
        <v>9789</v>
      </c>
      <c r="C25" t="s">
        <v>66</v>
      </c>
      <c r="D25" s="18">
        <v>10000</v>
      </c>
      <c r="E25" s="18">
        <f t="shared" si="0"/>
        <v>226000</v>
      </c>
      <c r="F25" s="18">
        <f t="shared" si="1"/>
        <v>70000</v>
      </c>
    </row>
    <row r="26" spans="1:6" x14ac:dyDescent="0.35">
      <c r="A26" s="17">
        <v>45574</v>
      </c>
      <c r="B26">
        <v>10664</v>
      </c>
      <c r="C26" t="s">
        <v>66</v>
      </c>
      <c r="D26" s="18">
        <v>10000</v>
      </c>
      <c r="E26" s="18">
        <f t="shared" si="0"/>
        <v>236000</v>
      </c>
      <c r="F26" s="18">
        <f t="shared" si="1"/>
        <v>60000</v>
      </c>
    </row>
    <row r="27" spans="1:6" x14ac:dyDescent="0.35">
      <c r="A27" t="s">
        <v>361</v>
      </c>
      <c r="B27">
        <v>11526</v>
      </c>
      <c r="C27" t="s">
        <v>66</v>
      </c>
      <c r="D27" s="18">
        <v>10000</v>
      </c>
      <c r="E27" s="18">
        <f t="shared" si="0"/>
        <v>246000</v>
      </c>
      <c r="F27" s="18">
        <f t="shared" si="1"/>
        <v>50000</v>
      </c>
    </row>
    <row r="28" spans="1:6" x14ac:dyDescent="0.35">
      <c r="A28" t="s">
        <v>362</v>
      </c>
      <c r="B28">
        <v>12444</v>
      </c>
      <c r="C28" t="s">
        <v>66</v>
      </c>
      <c r="D28" s="18">
        <v>10000</v>
      </c>
      <c r="E28" s="18">
        <f t="shared" si="0"/>
        <v>256000</v>
      </c>
      <c r="F28" s="18">
        <f t="shared" si="1"/>
        <v>40000</v>
      </c>
    </row>
    <row r="29" spans="1:6" x14ac:dyDescent="0.35">
      <c r="A29" t="s">
        <v>363</v>
      </c>
      <c r="B29">
        <v>12763</v>
      </c>
      <c r="C29" t="s">
        <v>66</v>
      </c>
      <c r="D29" s="18">
        <v>10000</v>
      </c>
      <c r="E29" s="18">
        <f t="shared" si="0"/>
        <v>266000</v>
      </c>
      <c r="F29" s="18">
        <f t="shared" si="1"/>
        <v>30000</v>
      </c>
    </row>
    <row r="30" spans="1:6" x14ac:dyDescent="0.35">
      <c r="A30" t="s">
        <v>364</v>
      </c>
      <c r="B30">
        <v>9085</v>
      </c>
      <c r="C30" t="s">
        <v>66</v>
      </c>
      <c r="D30" s="18">
        <v>10000</v>
      </c>
      <c r="E30" s="18">
        <f t="shared" si="0"/>
        <v>276000</v>
      </c>
      <c r="F30" s="18">
        <f t="shared" si="1"/>
        <v>20000</v>
      </c>
    </row>
    <row r="31" spans="1:6" x14ac:dyDescent="0.35">
      <c r="A31" t="s">
        <v>365</v>
      </c>
      <c r="B31">
        <v>9969</v>
      </c>
      <c r="C31" t="s">
        <v>66</v>
      </c>
      <c r="D31" s="18">
        <v>20000</v>
      </c>
      <c r="E31" s="18">
        <f t="shared" si="0"/>
        <v>296000</v>
      </c>
      <c r="F31" s="18">
        <f t="shared" si="1"/>
        <v>0</v>
      </c>
    </row>
    <row r="32" spans="1:6" x14ac:dyDescent="0.35">
      <c r="A32" t="s">
        <v>338</v>
      </c>
      <c r="B32">
        <v>5950</v>
      </c>
      <c r="C32" t="s">
        <v>339</v>
      </c>
      <c r="D32" s="18">
        <v>150000</v>
      </c>
      <c r="E32" s="18">
        <v>150000</v>
      </c>
      <c r="F32" t="s">
        <v>298</v>
      </c>
    </row>
    <row r="33" spans="1:6" ht="18.5" x14ac:dyDescent="0.45">
      <c r="A33" s="44" t="s">
        <v>299</v>
      </c>
      <c r="B33" s="44"/>
      <c r="C33" s="44"/>
      <c r="D33" s="44"/>
      <c r="E33" s="44"/>
      <c r="F33" s="4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0430-E4AF-429D-997E-50DEFB109468}">
  <dimension ref="A1:F41"/>
  <sheetViews>
    <sheetView topLeftCell="A21" workbookViewId="0">
      <selection activeCell="O34" sqref="O34"/>
    </sheetView>
  </sheetViews>
  <sheetFormatPr defaultRowHeight="14.5" x14ac:dyDescent="0.35"/>
  <cols>
    <col min="6" max="6" width="9.26953125" bestFit="1" customWidth="1"/>
  </cols>
  <sheetData>
    <row r="1" spans="1:6" x14ac:dyDescent="0.35">
      <c r="A1" t="s">
        <v>476</v>
      </c>
      <c r="B1" t="s">
        <v>694</v>
      </c>
    </row>
    <row r="2" spans="1:6" x14ac:dyDescent="0.35">
      <c r="A2" t="s">
        <v>477</v>
      </c>
      <c r="B2" t="s">
        <v>695</v>
      </c>
    </row>
    <row r="3" spans="1:6" x14ac:dyDescent="0.35">
      <c r="A3" t="s">
        <v>519</v>
      </c>
      <c r="B3" t="s">
        <v>696</v>
      </c>
    </row>
    <row r="4" spans="1:6" x14ac:dyDescent="0.35">
      <c r="A4" t="s">
        <v>661</v>
      </c>
      <c r="B4" t="s">
        <v>697</v>
      </c>
    </row>
    <row r="5" spans="1:6" x14ac:dyDescent="0.35">
      <c r="A5" t="s">
        <v>478</v>
      </c>
      <c r="B5" t="s">
        <v>662</v>
      </c>
    </row>
    <row r="6" spans="1:6" ht="18.5" x14ac:dyDescent="0.45">
      <c r="A6" t="s">
        <v>481</v>
      </c>
      <c r="B6">
        <v>6157</v>
      </c>
      <c r="F6" s="63">
        <v>430000</v>
      </c>
    </row>
    <row r="8" spans="1:6" x14ac:dyDescent="0.35">
      <c r="A8" s="60" t="s">
        <v>5</v>
      </c>
      <c r="B8" s="61" t="s">
        <v>6</v>
      </c>
      <c r="C8" s="61" t="s">
        <v>7</v>
      </c>
      <c r="D8" s="31" t="s">
        <v>8</v>
      </c>
      <c r="E8" s="31" t="s">
        <v>9</v>
      </c>
      <c r="F8" s="32" t="s">
        <v>10</v>
      </c>
    </row>
    <row r="9" spans="1:6" x14ac:dyDescent="0.35">
      <c r="A9" t="s">
        <v>663</v>
      </c>
      <c r="B9">
        <v>150</v>
      </c>
      <c r="C9" t="s">
        <v>672</v>
      </c>
      <c r="D9" s="18">
        <v>100000</v>
      </c>
      <c r="E9" s="18">
        <v>100000</v>
      </c>
      <c r="F9" s="18">
        <v>330000</v>
      </c>
    </row>
    <row r="10" spans="1:6" x14ac:dyDescent="0.35">
      <c r="A10" t="s">
        <v>581</v>
      </c>
      <c r="B10">
        <v>109</v>
      </c>
      <c r="C10" t="s">
        <v>501</v>
      </c>
      <c r="D10" s="18">
        <v>10000</v>
      </c>
      <c r="E10" s="18">
        <f t="shared" ref="E10:E38" si="0">E9+D10</f>
        <v>110000</v>
      </c>
      <c r="F10" s="18">
        <f t="shared" ref="F10:F38" si="1">F9-D10</f>
        <v>320000</v>
      </c>
    </row>
    <row r="11" spans="1:6" x14ac:dyDescent="0.35">
      <c r="A11" t="s">
        <v>664</v>
      </c>
      <c r="B11">
        <v>1224</v>
      </c>
      <c r="C11" t="s">
        <v>501</v>
      </c>
      <c r="D11" s="18">
        <v>10000</v>
      </c>
      <c r="E11" s="18">
        <f t="shared" si="0"/>
        <v>120000</v>
      </c>
      <c r="F11" s="18">
        <f t="shared" si="1"/>
        <v>310000</v>
      </c>
    </row>
    <row r="12" spans="1:6" x14ac:dyDescent="0.35">
      <c r="A12" t="s">
        <v>665</v>
      </c>
      <c r="B12">
        <v>2362</v>
      </c>
      <c r="C12" t="s">
        <v>628</v>
      </c>
      <c r="D12" s="18">
        <v>10000</v>
      </c>
      <c r="E12" s="18">
        <f t="shared" si="0"/>
        <v>130000</v>
      </c>
      <c r="F12" s="18">
        <f t="shared" si="1"/>
        <v>300000</v>
      </c>
    </row>
    <row r="13" spans="1:6" x14ac:dyDescent="0.35">
      <c r="A13" t="s">
        <v>666</v>
      </c>
      <c r="B13">
        <v>2363</v>
      </c>
      <c r="C13" t="s">
        <v>501</v>
      </c>
      <c r="D13" s="18">
        <v>20000</v>
      </c>
      <c r="E13" s="18">
        <f t="shared" si="0"/>
        <v>150000</v>
      </c>
      <c r="F13" s="18">
        <f t="shared" si="1"/>
        <v>280000</v>
      </c>
    </row>
    <row r="14" spans="1:6" x14ac:dyDescent="0.35">
      <c r="A14" t="s">
        <v>667</v>
      </c>
      <c r="B14">
        <v>1480</v>
      </c>
      <c r="C14" t="s">
        <v>501</v>
      </c>
      <c r="D14" s="18">
        <v>10000</v>
      </c>
      <c r="E14" s="18">
        <f t="shared" si="0"/>
        <v>160000</v>
      </c>
      <c r="F14" s="18">
        <f t="shared" si="1"/>
        <v>270000</v>
      </c>
    </row>
    <row r="15" spans="1:6" x14ac:dyDescent="0.35">
      <c r="A15" t="s">
        <v>587</v>
      </c>
      <c r="B15">
        <v>155</v>
      </c>
      <c r="C15" t="s">
        <v>501</v>
      </c>
      <c r="D15" s="18">
        <v>10000</v>
      </c>
      <c r="E15" s="18">
        <f t="shared" si="0"/>
        <v>170000</v>
      </c>
      <c r="F15" s="18">
        <f t="shared" si="1"/>
        <v>260000</v>
      </c>
    </row>
    <row r="16" spans="1:6" x14ac:dyDescent="0.35">
      <c r="A16" t="s">
        <v>668</v>
      </c>
      <c r="B16">
        <v>2170</v>
      </c>
      <c r="C16" t="s">
        <v>501</v>
      </c>
      <c r="D16" s="18">
        <v>10000</v>
      </c>
      <c r="E16" s="18">
        <f t="shared" si="0"/>
        <v>180000</v>
      </c>
      <c r="F16" s="18">
        <f t="shared" si="1"/>
        <v>250000</v>
      </c>
    </row>
    <row r="17" spans="1:6" x14ac:dyDescent="0.35">
      <c r="A17" t="s">
        <v>669</v>
      </c>
      <c r="B17">
        <v>3205</v>
      </c>
      <c r="C17" t="s">
        <v>501</v>
      </c>
      <c r="D17" s="18">
        <v>10000</v>
      </c>
      <c r="E17" s="18">
        <f t="shared" si="0"/>
        <v>190000</v>
      </c>
      <c r="F17" s="18">
        <f t="shared" si="1"/>
        <v>240000</v>
      </c>
    </row>
    <row r="18" spans="1:6" x14ac:dyDescent="0.35">
      <c r="A18" t="s">
        <v>670</v>
      </c>
      <c r="B18">
        <v>3934</v>
      </c>
      <c r="C18" t="s">
        <v>501</v>
      </c>
      <c r="D18" s="18">
        <v>10000</v>
      </c>
      <c r="E18" s="18">
        <f t="shared" si="0"/>
        <v>200000</v>
      </c>
      <c r="F18" s="18">
        <f t="shared" si="1"/>
        <v>230000</v>
      </c>
    </row>
    <row r="19" spans="1:6" x14ac:dyDescent="0.35">
      <c r="A19" t="s">
        <v>671</v>
      </c>
      <c r="B19">
        <v>4525</v>
      </c>
      <c r="C19" t="s">
        <v>501</v>
      </c>
      <c r="D19" s="18">
        <v>10000</v>
      </c>
      <c r="E19" s="18">
        <f t="shared" si="0"/>
        <v>210000</v>
      </c>
      <c r="F19" s="18">
        <f t="shared" si="1"/>
        <v>220000</v>
      </c>
    </row>
    <row r="20" spans="1:6" x14ac:dyDescent="0.35">
      <c r="A20" t="s">
        <v>673</v>
      </c>
      <c r="B20">
        <v>5131</v>
      </c>
      <c r="C20" t="s">
        <v>501</v>
      </c>
      <c r="D20" s="18">
        <v>10000</v>
      </c>
      <c r="E20" s="18">
        <f t="shared" si="0"/>
        <v>220000</v>
      </c>
      <c r="F20" s="18">
        <f t="shared" si="1"/>
        <v>210000</v>
      </c>
    </row>
    <row r="21" spans="1:6" x14ac:dyDescent="0.35">
      <c r="A21" t="s">
        <v>674</v>
      </c>
      <c r="B21">
        <v>5809</v>
      </c>
      <c r="C21" t="s">
        <v>501</v>
      </c>
      <c r="D21" s="18">
        <v>10000</v>
      </c>
      <c r="E21" s="18">
        <f t="shared" si="0"/>
        <v>230000</v>
      </c>
      <c r="F21" s="18">
        <f t="shared" si="1"/>
        <v>200000</v>
      </c>
    </row>
    <row r="22" spans="1:6" x14ac:dyDescent="0.35">
      <c r="A22" t="s">
        <v>675</v>
      </c>
      <c r="B22">
        <v>6439</v>
      </c>
      <c r="C22" t="s">
        <v>501</v>
      </c>
      <c r="D22" s="18">
        <v>10000</v>
      </c>
      <c r="E22" s="18">
        <f t="shared" si="0"/>
        <v>240000</v>
      </c>
      <c r="F22" s="18">
        <f t="shared" si="1"/>
        <v>190000</v>
      </c>
    </row>
    <row r="23" spans="1:6" x14ac:dyDescent="0.35">
      <c r="A23" t="s">
        <v>676</v>
      </c>
      <c r="B23">
        <v>6817</v>
      </c>
      <c r="C23" t="s">
        <v>501</v>
      </c>
      <c r="D23" s="18">
        <v>10000</v>
      </c>
      <c r="E23" s="18">
        <f t="shared" si="0"/>
        <v>250000</v>
      </c>
      <c r="F23" s="18">
        <f t="shared" si="1"/>
        <v>180000</v>
      </c>
    </row>
    <row r="24" spans="1:6" x14ac:dyDescent="0.35">
      <c r="A24" t="s">
        <v>677</v>
      </c>
      <c r="B24">
        <v>7583</v>
      </c>
      <c r="C24" t="s">
        <v>501</v>
      </c>
      <c r="D24" s="18">
        <v>10000</v>
      </c>
      <c r="E24" s="18">
        <f t="shared" si="0"/>
        <v>260000</v>
      </c>
      <c r="F24" s="18">
        <f t="shared" si="1"/>
        <v>170000</v>
      </c>
    </row>
    <row r="25" spans="1:6" x14ac:dyDescent="0.35">
      <c r="A25" t="s">
        <v>678</v>
      </c>
      <c r="B25">
        <v>8598</v>
      </c>
      <c r="C25" t="s">
        <v>501</v>
      </c>
      <c r="D25" s="18">
        <v>20000</v>
      </c>
      <c r="E25" s="18">
        <f t="shared" si="0"/>
        <v>280000</v>
      </c>
      <c r="F25" s="18">
        <f t="shared" si="1"/>
        <v>150000</v>
      </c>
    </row>
    <row r="26" spans="1:6" x14ac:dyDescent="0.35">
      <c r="A26" t="s">
        <v>679</v>
      </c>
      <c r="B26">
        <v>9316</v>
      </c>
      <c r="C26" t="s">
        <v>501</v>
      </c>
      <c r="D26" s="18">
        <v>10000</v>
      </c>
      <c r="E26" s="18">
        <f t="shared" si="0"/>
        <v>290000</v>
      </c>
      <c r="F26" s="18">
        <f t="shared" si="1"/>
        <v>140000</v>
      </c>
    </row>
    <row r="27" spans="1:6" x14ac:dyDescent="0.35">
      <c r="A27" t="s">
        <v>680</v>
      </c>
      <c r="B27">
        <v>10884</v>
      </c>
      <c r="C27" t="s">
        <v>501</v>
      </c>
      <c r="D27" s="18">
        <v>30000</v>
      </c>
      <c r="E27" s="18">
        <f t="shared" si="0"/>
        <v>320000</v>
      </c>
      <c r="F27" s="18">
        <f t="shared" si="1"/>
        <v>110000</v>
      </c>
    </row>
    <row r="28" spans="1:6" x14ac:dyDescent="0.35">
      <c r="A28" t="s">
        <v>681</v>
      </c>
      <c r="B28">
        <v>10398</v>
      </c>
      <c r="C28" t="s">
        <v>501</v>
      </c>
      <c r="D28" s="18">
        <v>10000</v>
      </c>
      <c r="E28" s="18">
        <f t="shared" si="0"/>
        <v>330000</v>
      </c>
      <c r="F28" s="18">
        <f t="shared" si="1"/>
        <v>100000</v>
      </c>
    </row>
    <row r="29" spans="1:6" x14ac:dyDescent="0.35">
      <c r="A29" t="s">
        <v>682</v>
      </c>
      <c r="B29">
        <v>12544</v>
      </c>
      <c r="C29" t="s">
        <v>501</v>
      </c>
      <c r="D29" s="18">
        <v>10000</v>
      </c>
      <c r="E29" s="18">
        <f t="shared" si="0"/>
        <v>340000</v>
      </c>
      <c r="F29" s="18">
        <f t="shared" si="1"/>
        <v>90000</v>
      </c>
    </row>
    <row r="30" spans="1:6" x14ac:dyDescent="0.35">
      <c r="A30" t="s">
        <v>683</v>
      </c>
      <c r="B30">
        <v>12794</v>
      </c>
      <c r="C30" t="s">
        <v>501</v>
      </c>
      <c r="D30" s="18">
        <v>10000</v>
      </c>
      <c r="E30" s="18">
        <f t="shared" si="0"/>
        <v>350000</v>
      </c>
      <c r="F30" s="18">
        <f t="shared" si="1"/>
        <v>80000</v>
      </c>
    </row>
    <row r="31" spans="1:6" x14ac:dyDescent="0.35">
      <c r="A31" t="s">
        <v>684</v>
      </c>
      <c r="B31">
        <v>9046</v>
      </c>
      <c r="C31" t="s">
        <v>501</v>
      </c>
      <c r="D31" s="18">
        <v>10000</v>
      </c>
      <c r="E31" s="18">
        <f t="shared" si="0"/>
        <v>360000</v>
      </c>
      <c r="F31" s="18">
        <f t="shared" si="1"/>
        <v>70000</v>
      </c>
    </row>
    <row r="32" spans="1:6" x14ac:dyDescent="0.35">
      <c r="A32" t="s">
        <v>685</v>
      </c>
      <c r="B32">
        <v>9616</v>
      </c>
      <c r="C32" t="s">
        <v>501</v>
      </c>
      <c r="D32" s="18">
        <v>10000</v>
      </c>
      <c r="E32" s="18">
        <f t="shared" si="0"/>
        <v>370000</v>
      </c>
      <c r="F32" s="18">
        <f t="shared" si="1"/>
        <v>60000</v>
      </c>
    </row>
    <row r="33" spans="1:6" x14ac:dyDescent="0.35">
      <c r="A33" t="s">
        <v>686</v>
      </c>
      <c r="B33">
        <v>9968</v>
      </c>
      <c r="C33" t="s">
        <v>501</v>
      </c>
      <c r="D33" s="18">
        <v>10000</v>
      </c>
      <c r="E33" s="18">
        <f t="shared" si="0"/>
        <v>380000</v>
      </c>
      <c r="F33" s="18">
        <f t="shared" si="1"/>
        <v>50000</v>
      </c>
    </row>
    <row r="34" spans="1:6" x14ac:dyDescent="0.35">
      <c r="A34" t="s">
        <v>687</v>
      </c>
      <c r="B34">
        <v>10375</v>
      </c>
      <c r="C34" t="s">
        <v>501</v>
      </c>
      <c r="D34" s="18">
        <v>10000</v>
      </c>
      <c r="E34" s="18">
        <f t="shared" si="0"/>
        <v>390000</v>
      </c>
      <c r="F34" s="18">
        <f t="shared" si="1"/>
        <v>40000</v>
      </c>
    </row>
    <row r="35" spans="1:6" x14ac:dyDescent="0.35">
      <c r="A35" t="s">
        <v>688</v>
      </c>
      <c r="B35">
        <v>12003</v>
      </c>
      <c r="C35" t="s">
        <v>501</v>
      </c>
      <c r="D35" s="18">
        <v>10000</v>
      </c>
      <c r="E35" s="18">
        <f t="shared" si="0"/>
        <v>400000</v>
      </c>
      <c r="F35" s="18">
        <f t="shared" si="1"/>
        <v>30000</v>
      </c>
    </row>
    <row r="36" spans="1:6" x14ac:dyDescent="0.35">
      <c r="A36" t="s">
        <v>689</v>
      </c>
      <c r="B36">
        <v>12552</v>
      </c>
      <c r="C36" t="s">
        <v>501</v>
      </c>
      <c r="D36" s="18">
        <v>10000</v>
      </c>
      <c r="E36" s="18">
        <f t="shared" si="0"/>
        <v>410000</v>
      </c>
      <c r="F36" s="18">
        <f t="shared" si="1"/>
        <v>20000</v>
      </c>
    </row>
    <row r="37" spans="1:6" x14ac:dyDescent="0.35">
      <c r="A37" t="s">
        <v>690</v>
      </c>
      <c r="B37">
        <v>13361</v>
      </c>
      <c r="C37" t="s">
        <v>501</v>
      </c>
      <c r="D37" s="18">
        <v>10000</v>
      </c>
      <c r="E37" s="18">
        <f t="shared" si="0"/>
        <v>420000</v>
      </c>
      <c r="F37" s="18">
        <f t="shared" si="1"/>
        <v>10000</v>
      </c>
    </row>
    <row r="38" spans="1:6" x14ac:dyDescent="0.35">
      <c r="A38" t="s">
        <v>691</v>
      </c>
      <c r="B38">
        <v>13817</v>
      </c>
      <c r="C38" t="s">
        <v>501</v>
      </c>
      <c r="D38" s="18">
        <v>10000</v>
      </c>
      <c r="E38" s="18">
        <f t="shared" si="0"/>
        <v>430000</v>
      </c>
      <c r="F38" s="18">
        <f t="shared" si="1"/>
        <v>0</v>
      </c>
    </row>
    <row r="41" spans="1:6" x14ac:dyDescent="0.35">
      <c r="A41" t="s">
        <v>692</v>
      </c>
      <c r="B41">
        <v>1736</v>
      </c>
      <c r="C41" t="s">
        <v>693</v>
      </c>
      <c r="D41" s="18">
        <v>200000</v>
      </c>
      <c r="E41" s="18">
        <v>200000</v>
      </c>
      <c r="F41" t="s">
        <v>405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296A-98B7-4F39-AE27-E0219BE03637}">
  <dimension ref="A1:F36"/>
  <sheetViews>
    <sheetView workbookViewId="0">
      <selection activeCell="H10" sqref="H10"/>
    </sheetView>
  </sheetViews>
  <sheetFormatPr defaultRowHeight="14.5" x14ac:dyDescent="0.35"/>
  <cols>
    <col min="3" max="3" width="10.26953125" bestFit="1" customWidth="1"/>
    <col min="4" max="4" width="10.90625" bestFit="1" customWidth="1"/>
    <col min="5" max="5" width="8.36328125" bestFit="1" customWidth="1"/>
  </cols>
  <sheetData>
    <row r="1" spans="1:6" ht="18.5" x14ac:dyDescent="0.45">
      <c r="A1" s="1" t="s">
        <v>58</v>
      </c>
      <c r="B1" s="1"/>
      <c r="C1" s="2"/>
      <c r="D1" s="1"/>
      <c r="E1" s="1"/>
      <c r="F1" s="1"/>
    </row>
    <row r="2" spans="1:6" ht="18.5" x14ac:dyDescent="0.45">
      <c r="A2" s="1" t="s">
        <v>26</v>
      </c>
      <c r="C2" s="1"/>
      <c r="D2" s="1"/>
      <c r="E2" s="1"/>
      <c r="F2" s="1"/>
    </row>
    <row r="3" spans="1:6" ht="18.5" x14ac:dyDescent="0.45">
      <c r="A3" s="1" t="s">
        <v>59</v>
      </c>
      <c r="B3" s="1"/>
      <c r="C3" s="1"/>
      <c r="D3" s="1"/>
      <c r="E3" s="1"/>
      <c r="F3" s="1"/>
    </row>
    <row r="4" spans="1:6" ht="18.5" x14ac:dyDescent="0.45">
      <c r="A4" s="1" t="s">
        <v>60</v>
      </c>
      <c r="B4" s="1"/>
      <c r="C4" s="1"/>
      <c r="D4" s="1"/>
      <c r="E4" s="1"/>
      <c r="F4" s="1"/>
    </row>
    <row r="5" spans="1:6" ht="18.5" x14ac:dyDescent="0.45">
      <c r="A5" s="1" t="s">
        <v>61</v>
      </c>
      <c r="B5" s="1"/>
      <c r="C5" s="1"/>
      <c r="D5" s="1" t="s">
        <v>30</v>
      </c>
      <c r="E5" s="1"/>
      <c r="F5" s="1"/>
    </row>
    <row r="6" spans="1:6" x14ac:dyDescent="0.35">
      <c r="A6" s="4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</row>
    <row r="7" spans="1:6" x14ac:dyDescent="0.35">
      <c r="A7" s="14" t="s">
        <v>31</v>
      </c>
      <c r="B7" s="13">
        <v>152</v>
      </c>
      <c r="C7" s="13" t="s">
        <v>32</v>
      </c>
      <c r="D7" s="15">
        <v>100000</v>
      </c>
      <c r="E7" s="15">
        <v>100000</v>
      </c>
      <c r="F7" s="15">
        <v>330000</v>
      </c>
    </row>
    <row r="8" spans="1:6" x14ac:dyDescent="0.35">
      <c r="A8" s="16">
        <v>44628</v>
      </c>
      <c r="B8" s="13">
        <v>112</v>
      </c>
      <c r="C8" s="13" t="s">
        <v>14</v>
      </c>
      <c r="D8" s="15">
        <v>10000</v>
      </c>
      <c r="E8" s="15">
        <f>SUM(E7+D8)</f>
        <v>110000</v>
      </c>
      <c r="F8" s="15">
        <f>F7-D8</f>
        <v>320000</v>
      </c>
    </row>
    <row r="9" spans="1:6" x14ac:dyDescent="0.35">
      <c r="A9" s="13" t="s">
        <v>62</v>
      </c>
      <c r="B9" s="13">
        <v>1203</v>
      </c>
      <c r="C9" s="13" t="s">
        <v>14</v>
      </c>
      <c r="D9" s="15">
        <v>10000</v>
      </c>
      <c r="E9" s="15">
        <f t="shared" ref="E9:E36" si="0">SUM(E8+D9)</f>
        <v>120000</v>
      </c>
      <c r="F9" s="15">
        <f t="shared" ref="F9:F36" si="1">F8-D9</f>
        <v>310000</v>
      </c>
    </row>
    <row r="10" spans="1:6" x14ac:dyDescent="0.35">
      <c r="A10" s="13" t="s">
        <v>63</v>
      </c>
      <c r="B10" s="13">
        <v>2366</v>
      </c>
      <c r="C10" s="13" t="s">
        <v>14</v>
      </c>
      <c r="D10" s="15">
        <v>10000</v>
      </c>
      <c r="E10" s="15">
        <f t="shared" si="0"/>
        <v>130000</v>
      </c>
      <c r="F10" s="15">
        <f t="shared" si="1"/>
        <v>300000</v>
      </c>
    </row>
    <row r="11" spans="1:6" x14ac:dyDescent="0.35">
      <c r="A11" s="13" t="s">
        <v>64</v>
      </c>
      <c r="B11" s="13">
        <v>2367</v>
      </c>
      <c r="C11" s="13" t="s">
        <v>14</v>
      </c>
      <c r="D11" s="15">
        <v>20000</v>
      </c>
      <c r="E11" s="15">
        <f t="shared" si="0"/>
        <v>150000</v>
      </c>
      <c r="F11" s="15">
        <f t="shared" si="1"/>
        <v>280000</v>
      </c>
    </row>
    <row r="12" spans="1:6" x14ac:dyDescent="0.35">
      <c r="A12" s="16">
        <v>45082</v>
      </c>
      <c r="B12" s="13">
        <v>1481</v>
      </c>
      <c r="C12" s="13" t="s">
        <v>66</v>
      </c>
      <c r="D12" s="15">
        <v>10000</v>
      </c>
      <c r="E12" s="15">
        <f t="shared" si="0"/>
        <v>160000</v>
      </c>
      <c r="F12" s="15">
        <f t="shared" si="1"/>
        <v>270000</v>
      </c>
    </row>
    <row r="13" spans="1:6" x14ac:dyDescent="0.35">
      <c r="A13" s="13" t="s">
        <v>65</v>
      </c>
      <c r="B13" s="13">
        <v>154</v>
      </c>
      <c r="C13" s="13" t="s">
        <v>66</v>
      </c>
      <c r="D13" s="15">
        <v>10000</v>
      </c>
      <c r="E13" s="15">
        <f t="shared" si="0"/>
        <v>170000</v>
      </c>
      <c r="F13" s="15">
        <f t="shared" si="1"/>
        <v>260000</v>
      </c>
    </row>
    <row r="14" spans="1:6" x14ac:dyDescent="0.35">
      <c r="A14" s="16">
        <v>45114</v>
      </c>
      <c r="B14" s="13">
        <v>2169</v>
      </c>
      <c r="C14" s="13" t="s">
        <v>66</v>
      </c>
      <c r="D14" s="15">
        <v>10000</v>
      </c>
      <c r="E14" s="15">
        <f t="shared" si="0"/>
        <v>180000</v>
      </c>
      <c r="F14" s="15">
        <f t="shared" si="1"/>
        <v>250000</v>
      </c>
    </row>
    <row r="15" spans="1:6" x14ac:dyDescent="0.35">
      <c r="A15" s="13" t="s">
        <v>38</v>
      </c>
      <c r="B15" s="13">
        <v>3204</v>
      </c>
      <c r="C15" s="13" t="s">
        <v>66</v>
      </c>
      <c r="D15" s="15">
        <v>10000</v>
      </c>
      <c r="E15" s="15">
        <f t="shared" si="0"/>
        <v>190000</v>
      </c>
      <c r="F15" s="15">
        <f t="shared" si="1"/>
        <v>240000</v>
      </c>
    </row>
    <row r="16" spans="1:6" x14ac:dyDescent="0.35">
      <c r="A16" s="16" t="s">
        <v>39</v>
      </c>
      <c r="B16" s="13">
        <v>3935</v>
      </c>
      <c r="C16" s="13" t="s">
        <v>66</v>
      </c>
      <c r="D16" s="15">
        <v>10000</v>
      </c>
      <c r="E16" s="15">
        <f t="shared" si="0"/>
        <v>200000</v>
      </c>
      <c r="F16" s="15">
        <f t="shared" si="1"/>
        <v>230000</v>
      </c>
    </row>
    <row r="17" spans="1:6" x14ac:dyDescent="0.35">
      <c r="A17" s="13" t="s">
        <v>40</v>
      </c>
      <c r="B17" s="13">
        <v>4527</v>
      </c>
      <c r="C17" s="13" t="s">
        <v>66</v>
      </c>
      <c r="D17" s="15">
        <v>10000</v>
      </c>
      <c r="E17" s="15">
        <f t="shared" si="0"/>
        <v>210000</v>
      </c>
      <c r="F17" s="15">
        <f t="shared" si="1"/>
        <v>220000</v>
      </c>
    </row>
    <row r="18" spans="1:6" x14ac:dyDescent="0.35">
      <c r="A18" s="16" t="s">
        <v>41</v>
      </c>
      <c r="B18" s="13">
        <v>5133</v>
      </c>
      <c r="C18" s="13" t="s">
        <v>66</v>
      </c>
      <c r="D18" s="15">
        <v>10000</v>
      </c>
      <c r="E18" s="15">
        <f t="shared" si="0"/>
        <v>220000</v>
      </c>
      <c r="F18" s="15">
        <f t="shared" si="1"/>
        <v>210000</v>
      </c>
    </row>
    <row r="19" spans="1:6" x14ac:dyDescent="0.35">
      <c r="A19" s="13" t="s">
        <v>42</v>
      </c>
      <c r="B19" s="13">
        <v>5808</v>
      </c>
      <c r="C19" s="13" t="s">
        <v>66</v>
      </c>
      <c r="D19" s="15">
        <v>10000</v>
      </c>
      <c r="E19" s="15">
        <f t="shared" si="0"/>
        <v>230000</v>
      </c>
      <c r="F19" s="15">
        <f t="shared" si="1"/>
        <v>200000</v>
      </c>
    </row>
    <row r="20" spans="1:6" x14ac:dyDescent="0.35">
      <c r="A20" s="16" t="s">
        <v>43</v>
      </c>
      <c r="B20" s="13">
        <v>6437</v>
      </c>
      <c r="C20" s="13" t="s">
        <v>66</v>
      </c>
      <c r="D20" s="15">
        <v>10000</v>
      </c>
      <c r="E20" s="15">
        <f t="shared" si="0"/>
        <v>240000</v>
      </c>
      <c r="F20" s="15">
        <f t="shared" si="1"/>
        <v>190000</v>
      </c>
    </row>
    <row r="21" spans="1:6" x14ac:dyDescent="0.35">
      <c r="A21" s="13" t="s">
        <v>44</v>
      </c>
      <c r="B21" s="13">
        <v>6818</v>
      </c>
      <c r="C21" s="13" t="s">
        <v>66</v>
      </c>
      <c r="D21" s="15">
        <v>10000</v>
      </c>
      <c r="E21" s="15">
        <f t="shared" si="0"/>
        <v>250000</v>
      </c>
      <c r="F21" s="15">
        <f t="shared" si="1"/>
        <v>180000</v>
      </c>
    </row>
    <row r="22" spans="1:6" x14ac:dyDescent="0.35">
      <c r="A22" s="16" t="s">
        <v>45</v>
      </c>
      <c r="B22" s="13">
        <v>7584</v>
      </c>
      <c r="C22" s="13" t="s">
        <v>66</v>
      </c>
      <c r="D22" s="15">
        <v>10000</v>
      </c>
      <c r="E22" s="15">
        <f t="shared" si="0"/>
        <v>260000</v>
      </c>
      <c r="F22" s="15">
        <f t="shared" si="1"/>
        <v>170000</v>
      </c>
    </row>
    <row r="23" spans="1:6" x14ac:dyDescent="0.35">
      <c r="A23" s="13" t="s">
        <v>67</v>
      </c>
      <c r="B23" s="13">
        <v>9314</v>
      </c>
      <c r="C23" s="13" t="s">
        <v>66</v>
      </c>
      <c r="D23" s="15">
        <v>10000</v>
      </c>
      <c r="E23" s="15">
        <f t="shared" si="0"/>
        <v>270000</v>
      </c>
      <c r="F23" s="15">
        <f t="shared" si="1"/>
        <v>160000</v>
      </c>
    </row>
    <row r="24" spans="1:6" x14ac:dyDescent="0.35">
      <c r="A24" s="16" t="s">
        <v>68</v>
      </c>
      <c r="B24" s="13">
        <v>8740</v>
      </c>
      <c r="C24" s="13" t="s">
        <v>14</v>
      </c>
      <c r="D24" s="15">
        <v>20000</v>
      </c>
      <c r="E24" s="15">
        <f t="shared" si="0"/>
        <v>290000</v>
      </c>
      <c r="F24" s="15">
        <f t="shared" si="1"/>
        <v>140000</v>
      </c>
    </row>
    <row r="25" spans="1:6" x14ac:dyDescent="0.35">
      <c r="A25" s="13" t="s">
        <v>48</v>
      </c>
      <c r="B25" s="13">
        <v>10443</v>
      </c>
      <c r="C25" s="13" t="s">
        <v>14</v>
      </c>
      <c r="D25" s="15">
        <v>20000</v>
      </c>
      <c r="E25" s="15">
        <f t="shared" si="0"/>
        <v>310000</v>
      </c>
      <c r="F25" s="15">
        <f t="shared" si="1"/>
        <v>120000</v>
      </c>
    </row>
    <row r="26" spans="1:6" x14ac:dyDescent="0.35">
      <c r="A26" s="16" t="s">
        <v>49</v>
      </c>
      <c r="B26" s="13">
        <v>10159</v>
      </c>
      <c r="C26" s="13" t="s">
        <v>14</v>
      </c>
      <c r="D26" s="15">
        <v>10000</v>
      </c>
      <c r="E26" s="15">
        <f t="shared" si="0"/>
        <v>320000</v>
      </c>
      <c r="F26" s="15">
        <f t="shared" si="1"/>
        <v>110000</v>
      </c>
    </row>
    <row r="27" spans="1:6" x14ac:dyDescent="0.35">
      <c r="A27" s="13" t="s">
        <v>50</v>
      </c>
      <c r="B27" s="13">
        <v>10399</v>
      </c>
      <c r="C27" s="13" t="s">
        <v>14</v>
      </c>
      <c r="D27" s="15">
        <v>10000</v>
      </c>
      <c r="E27" s="15">
        <f t="shared" si="0"/>
        <v>330000</v>
      </c>
      <c r="F27" s="15">
        <f t="shared" si="1"/>
        <v>100000</v>
      </c>
    </row>
    <row r="28" spans="1:6" x14ac:dyDescent="0.35">
      <c r="A28" s="16" t="s">
        <v>51</v>
      </c>
      <c r="B28" s="13">
        <v>12542</v>
      </c>
      <c r="C28" s="13" t="s">
        <v>14</v>
      </c>
      <c r="D28" s="15">
        <v>10000</v>
      </c>
      <c r="E28" s="15">
        <f t="shared" si="0"/>
        <v>340000</v>
      </c>
      <c r="F28" s="15">
        <f t="shared" si="1"/>
        <v>90000</v>
      </c>
    </row>
    <row r="29" spans="1:6" x14ac:dyDescent="0.35">
      <c r="A29" s="13" t="s">
        <v>53</v>
      </c>
      <c r="B29" s="13">
        <v>9047</v>
      </c>
      <c r="C29" s="13" t="s">
        <v>14</v>
      </c>
      <c r="D29" s="15">
        <v>20000</v>
      </c>
      <c r="E29" s="15">
        <f t="shared" si="0"/>
        <v>360000</v>
      </c>
      <c r="F29" s="15">
        <f t="shared" si="1"/>
        <v>70000</v>
      </c>
    </row>
    <row r="30" spans="1:6" x14ac:dyDescent="0.35">
      <c r="A30" s="16">
        <v>45780</v>
      </c>
      <c r="B30" s="13">
        <v>9617</v>
      </c>
      <c r="C30" s="13" t="s">
        <v>14</v>
      </c>
      <c r="D30" s="15">
        <v>10000</v>
      </c>
      <c r="E30" s="15">
        <f t="shared" si="0"/>
        <v>370000</v>
      </c>
      <c r="F30" s="15">
        <f t="shared" si="1"/>
        <v>60000</v>
      </c>
    </row>
    <row r="31" spans="1:6" x14ac:dyDescent="0.35">
      <c r="A31" s="16">
        <v>45874</v>
      </c>
      <c r="B31" s="13">
        <v>10376</v>
      </c>
      <c r="C31" s="13" t="s">
        <v>14</v>
      </c>
      <c r="D31" s="15">
        <v>10000</v>
      </c>
      <c r="E31" s="15">
        <f t="shared" si="0"/>
        <v>380000</v>
      </c>
      <c r="F31" s="15">
        <f t="shared" si="1"/>
        <v>50000</v>
      </c>
    </row>
    <row r="32" spans="1:6" x14ac:dyDescent="0.35">
      <c r="A32" s="16" t="s">
        <v>54</v>
      </c>
      <c r="B32" s="13">
        <v>12002</v>
      </c>
      <c r="C32" s="13" t="s">
        <v>14</v>
      </c>
      <c r="D32" s="15">
        <v>10000</v>
      </c>
      <c r="E32" s="15">
        <f t="shared" si="0"/>
        <v>390000</v>
      </c>
      <c r="F32" s="15">
        <f t="shared" si="1"/>
        <v>40000</v>
      </c>
    </row>
    <row r="33" spans="1:6" x14ac:dyDescent="0.35">
      <c r="A33" s="16" t="s">
        <v>55</v>
      </c>
      <c r="B33" s="13">
        <v>12551</v>
      </c>
      <c r="C33" s="13" t="s">
        <v>14</v>
      </c>
      <c r="D33" s="15">
        <v>10000</v>
      </c>
      <c r="E33" s="15">
        <f t="shared" si="0"/>
        <v>400000</v>
      </c>
      <c r="F33" s="15">
        <f t="shared" si="1"/>
        <v>30000</v>
      </c>
    </row>
    <row r="34" spans="1:6" x14ac:dyDescent="0.35">
      <c r="A34" s="16" t="s">
        <v>56</v>
      </c>
      <c r="B34" s="13">
        <v>13360</v>
      </c>
      <c r="C34" s="13" t="s">
        <v>14</v>
      </c>
      <c r="D34" s="15">
        <v>10000</v>
      </c>
      <c r="E34" s="15">
        <f t="shared" si="0"/>
        <v>410000</v>
      </c>
      <c r="F34" s="15">
        <f t="shared" si="1"/>
        <v>20000</v>
      </c>
    </row>
    <row r="35" spans="1:6" x14ac:dyDescent="0.35">
      <c r="A35" s="16" t="s">
        <v>57</v>
      </c>
      <c r="B35" s="13">
        <v>13315</v>
      </c>
      <c r="C35" s="13" t="s">
        <v>14</v>
      </c>
      <c r="D35" s="15">
        <v>10000</v>
      </c>
      <c r="E35" s="15">
        <f t="shared" si="0"/>
        <v>420000</v>
      </c>
      <c r="F35" s="15">
        <f t="shared" si="1"/>
        <v>10000</v>
      </c>
    </row>
    <row r="36" spans="1:6" x14ac:dyDescent="0.35">
      <c r="A36" s="16">
        <v>46175</v>
      </c>
      <c r="B36" s="13">
        <v>12361</v>
      </c>
      <c r="C36" s="13" t="s">
        <v>14</v>
      </c>
      <c r="D36" s="15">
        <v>10000</v>
      </c>
      <c r="E36" s="15">
        <f t="shared" si="0"/>
        <v>430000</v>
      </c>
      <c r="F36" s="15">
        <f t="shared" si="1"/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9553-D430-4B73-8AFC-D8E88ABBD3CA}">
  <dimension ref="A1:F39"/>
  <sheetViews>
    <sheetView topLeftCell="A33" workbookViewId="0">
      <selection activeCell="A39" sqref="A39"/>
    </sheetView>
  </sheetViews>
  <sheetFormatPr defaultRowHeight="14.5" x14ac:dyDescent="0.35"/>
  <cols>
    <col min="3" max="3" width="10.26953125" bestFit="1" customWidth="1"/>
    <col min="4" max="4" width="10.90625" bestFit="1" customWidth="1"/>
    <col min="5" max="5" width="8.36328125" bestFit="1" customWidth="1"/>
    <col min="6" max="6" width="15.26953125" bestFit="1" customWidth="1"/>
  </cols>
  <sheetData>
    <row r="1" spans="1:6" ht="18.5" x14ac:dyDescent="0.45">
      <c r="A1" s="1" t="s">
        <v>69</v>
      </c>
      <c r="B1" s="1"/>
      <c r="C1" s="2"/>
      <c r="D1" s="1"/>
      <c r="E1" s="1"/>
      <c r="F1" s="1"/>
    </row>
    <row r="2" spans="1:6" ht="18.5" x14ac:dyDescent="0.45">
      <c r="A2" s="1" t="s">
        <v>70</v>
      </c>
      <c r="C2" s="1"/>
      <c r="D2" s="1"/>
      <c r="E2" s="1"/>
      <c r="F2" s="1"/>
    </row>
    <row r="3" spans="1:6" ht="18.5" x14ac:dyDescent="0.45">
      <c r="A3" s="1" t="s">
        <v>71</v>
      </c>
      <c r="B3" s="1"/>
      <c r="C3" s="1"/>
      <c r="D3" s="1"/>
      <c r="E3" s="1"/>
      <c r="F3" s="1"/>
    </row>
    <row r="4" spans="1:6" ht="18.5" x14ac:dyDescent="0.45">
      <c r="A4" s="1" t="s">
        <v>72</v>
      </c>
      <c r="B4" s="1"/>
      <c r="C4" s="1"/>
      <c r="D4" s="1"/>
      <c r="E4" s="1"/>
      <c r="F4" s="1"/>
    </row>
    <row r="5" spans="1:6" ht="18.5" x14ac:dyDescent="0.45">
      <c r="A5" s="1" t="s">
        <v>73</v>
      </c>
      <c r="B5" s="1"/>
      <c r="C5" s="1"/>
      <c r="D5" s="1"/>
      <c r="E5" s="1" t="s">
        <v>30</v>
      </c>
      <c r="F5" s="1"/>
    </row>
    <row r="6" spans="1:6" x14ac:dyDescent="0.35">
      <c r="A6" s="4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</row>
    <row r="7" spans="1:6" x14ac:dyDescent="0.35">
      <c r="A7" s="17">
        <v>44720</v>
      </c>
      <c r="B7">
        <v>159</v>
      </c>
      <c r="C7" t="s">
        <v>32</v>
      </c>
      <c r="D7" s="18">
        <v>100000</v>
      </c>
      <c r="E7" s="18">
        <v>100000</v>
      </c>
      <c r="F7" s="18">
        <v>330000</v>
      </c>
    </row>
    <row r="8" spans="1:6" x14ac:dyDescent="0.35">
      <c r="A8" s="17">
        <v>44659</v>
      </c>
      <c r="B8">
        <v>147</v>
      </c>
      <c r="C8" t="s">
        <v>14</v>
      </c>
      <c r="D8" s="18">
        <v>10000</v>
      </c>
      <c r="E8" s="18">
        <f>SUM(E7+D8)</f>
        <v>110000</v>
      </c>
      <c r="F8" s="18">
        <f>F7-D8</f>
        <v>320000</v>
      </c>
    </row>
    <row r="9" spans="1:6" x14ac:dyDescent="0.35">
      <c r="A9" t="s">
        <v>62</v>
      </c>
      <c r="B9">
        <v>1223</v>
      </c>
      <c r="C9" t="s">
        <v>14</v>
      </c>
      <c r="D9" s="18">
        <v>10000</v>
      </c>
      <c r="E9" s="18">
        <f t="shared" ref="E9:E33" si="0">SUM(E8+D9)</f>
        <v>120000</v>
      </c>
      <c r="F9" s="18">
        <f t="shared" ref="F9:F26" si="1">F8-D9</f>
        <v>310000</v>
      </c>
    </row>
    <row r="10" spans="1:6" x14ac:dyDescent="0.35">
      <c r="A10" t="s">
        <v>74</v>
      </c>
      <c r="B10">
        <v>1884</v>
      </c>
      <c r="C10" t="s">
        <v>14</v>
      </c>
      <c r="D10" s="18">
        <v>10000</v>
      </c>
      <c r="E10" s="18">
        <f t="shared" si="0"/>
        <v>130000</v>
      </c>
      <c r="F10" s="18">
        <f t="shared" si="1"/>
        <v>300000</v>
      </c>
    </row>
    <row r="11" spans="1:6" x14ac:dyDescent="0.35">
      <c r="A11" t="s">
        <v>75</v>
      </c>
      <c r="B11">
        <v>1885</v>
      </c>
      <c r="C11" t="s">
        <v>14</v>
      </c>
      <c r="D11" s="18">
        <v>10000</v>
      </c>
      <c r="E11" s="18">
        <f t="shared" si="0"/>
        <v>140000</v>
      </c>
      <c r="F11" s="18">
        <f t="shared" si="1"/>
        <v>290000</v>
      </c>
    </row>
    <row r="12" spans="1:6" x14ac:dyDescent="0.35">
      <c r="A12" s="17">
        <v>45020</v>
      </c>
      <c r="B12">
        <v>1842</v>
      </c>
      <c r="C12" t="s">
        <v>14</v>
      </c>
      <c r="D12" s="18">
        <v>10000</v>
      </c>
      <c r="E12" s="18">
        <f t="shared" si="0"/>
        <v>150000</v>
      </c>
      <c r="F12" s="18">
        <f t="shared" si="1"/>
        <v>280000</v>
      </c>
    </row>
    <row r="13" spans="1:6" x14ac:dyDescent="0.35">
      <c r="A13" t="s">
        <v>65</v>
      </c>
      <c r="B13">
        <v>153</v>
      </c>
      <c r="C13" t="s">
        <v>14</v>
      </c>
      <c r="D13" s="18">
        <v>20000</v>
      </c>
      <c r="E13" s="18">
        <f t="shared" si="0"/>
        <v>170000</v>
      </c>
      <c r="F13" s="18">
        <f t="shared" si="1"/>
        <v>260000</v>
      </c>
    </row>
    <row r="14" spans="1:6" x14ac:dyDescent="0.35">
      <c r="A14" s="17">
        <v>45114</v>
      </c>
      <c r="B14">
        <v>2167</v>
      </c>
      <c r="C14" t="s">
        <v>14</v>
      </c>
      <c r="D14" s="18">
        <v>10000</v>
      </c>
      <c r="E14" s="18">
        <f t="shared" si="0"/>
        <v>180000</v>
      </c>
      <c r="F14" s="18">
        <f t="shared" si="1"/>
        <v>250000</v>
      </c>
    </row>
    <row r="15" spans="1:6" x14ac:dyDescent="0.35">
      <c r="A15" t="s">
        <v>38</v>
      </c>
      <c r="B15">
        <v>3207</v>
      </c>
      <c r="C15" t="s">
        <v>14</v>
      </c>
      <c r="D15" s="18">
        <v>10000</v>
      </c>
      <c r="E15" s="18">
        <f t="shared" si="0"/>
        <v>190000</v>
      </c>
      <c r="F15" s="18">
        <f t="shared" si="1"/>
        <v>240000</v>
      </c>
    </row>
    <row r="16" spans="1:6" x14ac:dyDescent="0.35">
      <c r="A16" s="17" t="s">
        <v>39</v>
      </c>
      <c r="B16">
        <v>3933</v>
      </c>
      <c r="C16" t="s">
        <v>14</v>
      </c>
      <c r="D16" s="18">
        <v>10000</v>
      </c>
      <c r="E16" s="18">
        <f t="shared" si="0"/>
        <v>200000</v>
      </c>
      <c r="F16" s="18">
        <f t="shared" si="1"/>
        <v>230000</v>
      </c>
    </row>
    <row r="17" spans="1:6" x14ac:dyDescent="0.35">
      <c r="A17" t="s">
        <v>40</v>
      </c>
      <c r="B17">
        <v>4526</v>
      </c>
      <c r="C17" t="s">
        <v>14</v>
      </c>
      <c r="D17" s="18">
        <v>10000</v>
      </c>
      <c r="E17" s="18">
        <f t="shared" si="0"/>
        <v>210000</v>
      </c>
      <c r="F17" s="18">
        <f t="shared" si="1"/>
        <v>220000</v>
      </c>
    </row>
    <row r="18" spans="1:6" x14ac:dyDescent="0.35">
      <c r="A18" s="17" t="s">
        <v>41</v>
      </c>
      <c r="B18">
        <v>5132</v>
      </c>
      <c r="C18" t="s">
        <v>14</v>
      </c>
      <c r="D18" s="18">
        <v>10000</v>
      </c>
      <c r="E18" s="18">
        <f t="shared" si="0"/>
        <v>220000</v>
      </c>
      <c r="F18" s="18">
        <f t="shared" si="1"/>
        <v>210000</v>
      </c>
    </row>
    <row r="19" spans="1:6" x14ac:dyDescent="0.35">
      <c r="A19" t="s">
        <v>42</v>
      </c>
      <c r="B19">
        <v>5805</v>
      </c>
      <c r="C19" t="s">
        <v>14</v>
      </c>
      <c r="D19" s="18">
        <v>10000</v>
      </c>
      <c r="E19" s="18">
        <f t="shared" si="0"/>
        <v>230000</v>
      </c>
      <c r="F19" s="18">
        <f t="shared" si="1"/>
        <v>200000</v>
      </c>
    </row>
    <row r="20" spans="1:6" x14ac:dyDescent="0.35">
      <c r="A20" s="17" t="s">
        <v>43</v>
      </c>
      <c r="B20">
        <v>6440</v>
      </c>
      <c r="C20" t="s">
        <v>14</v>
      </c>
      <c r="D20" s="18">
        <v>10000</v>
      </c>
      <c r="E20" s="18">
        <f t="shared" si="0"/>
        <v>240000</v>
      </c>
      <c r="F20" s="18">
        <f t="shared" si="1"/>
        <v>190000</v>
      </c>
    </row>
    <row r="21" spans="1:6" x14ac:dyDescent="0.35">
      <c r="A21" t="s">
        <v>76</v>
      </c>
      <c r="B21">
        <v>6819</v>
      </c>
      <c r="C21" t="s">
        <v>14</v>
      </c>
      <c r="D21" s="18">
        <v>10000</v>
      </c>
      <c r="E21" s="18">
        <f t="shared" si="0"/>
        <v>250000</v>
      </c>
      <c r="F21" s="18">
        <f t="shared" si="1"/>
        <v>180000</v>
      </c>
    </row>
    <row r="22" spans="1:6" x14ac:dyDescent="0.35">
      <c r="A22" s="17" t="s">
        <v>45</v>
      </c>
      <c r="B22">
        <v>7581</v>
      </c>
      <c r="C22" t="s">
        <v>14</v>
      </c>
      <c r="D22" s="18">
        <v>10000</v>
      </c>
      <c r="E22" s="18">
        <f t="shared" si="0"/>
        <v>260000</v>
      </c>
      <c r="F22" s="18">
        <f t="shared" si="1"/>
        <v>170000</v>
      </c>
    </row>
    <row r="23" spans="1:6" x14ac:dyDescent="0.35">
      <c r="A23" t="s">
        <v>67</v>
      </c>
      <c r="B23">
        <v>10444</v>
      </c>
      <c r="C23" t="s">
        <v>14</v>
      </c>
      <c r="D23" s="18">
        <v>20000</v>
      </c>
      <c r="E23" s="18">
        <f t="shared" si="0"/>
        <v>280000</v>
      </c>
      <c r="F23" s="18">
        <f t="shared" si="1"/>
        <v>150000</v>
      </c>
    </row>
    <row r="24" spans="1:6" x14ac:dyDescent="0.35">
      <c r="A24" s="17" t="s">
        <v>68</v>
      </c>
      <c r="B24">
        <v>8741</v>
      </c>
      <c r="C24" t="s">
        <v>14</v>
      </c>
      <c r="D24" s="18">
        <v>10000</v>
      </c>
      <c r="E24" s="18">
        <f t="shared" si="0"/>
        <v>290000</v>
      </c>
      <c r="F24" s="18">
        <f t="shared" si="1"/>
        <v>140000</v>
      </c>
    </row>
    <row r="25" spans="1:6" x14ac:dyDescent="0.35">
      <c r="A25" t="s">
        <v>49</v>
      </c>
      <c r="B25">
        <v>10138</v>
      </c>
      <c r="C25" t="s">
        <v>14</v>
      </c>
      <c r="D25" s="18">
        <v>20000</v>
      </c>
      <c r="E25" s="18">
        <f t="shared" si="0"/>
        <v>310000</v>
      </c>
      <c r="F25" s="18">
        <f t="shared" si="1"/>
        <v>120000</v>
      </c>
    </row>
    <row r="26" spans="1:6" x14ac:dyDescent="0.35">
      <c r="A26" s="17" t="s">
        <v>50</v>
      </c>
      <c r="B26">
        <v>10400</v>
      </c>
      <c r="C26" t="s">
        <v>14</v>
      </c>
      <c r="D26" s="18">
        <v>10000</v>
      </c>
      <c r="E26" s="18">
        <f t="shared" si="0"/>
        <v>320000</v>
      </c>
      <c r="F26" s="18">
        <f t="shared" si="1"/>
        <v>110000</v>
      </c>
    </row>
    <row r="27" spans="1:6" x14ac:dyDescent="0.35">
      <c r="A27" t="s">
        <v>51</v>
      </c>
      <c r="B27">
        <v>12543</v>
      </c>
      <c r="C27" t="s">
        <v>14</v>
      </c>
      <c r="D27" s="18">
        <v>10000</v>
      </c>
      <c r="E27" s="18">
        <f t="shared" si="0"/>
        <v>330000</v>
      </c>
      <c r="F27" s="18">
        <f>F26-D27</f>
        <v>100000</v>
      </c>
    </row>
    <row r="28" spans="1:6" x14ac:dyDescent="0.35">
      <c r="A28" s="17" t="s">
        <v>77</v>
      </c>
      <c r="B28">
        <v>9169</v>
      </c>
      <c r="C28" t="s">
        <v>14</v>
      </c>
      <c r="D28" s="18">
        <v>20000</v>
      </c>
      <c r="E28" s="18">
        <f t="shared" si="0"/>
        <v>350000</v>
      </c>
      <c r="F28" s="18">
        <f t="shared" ref="F28:F33" si="2">F27-D28</f>
        <v>80000</v>
      </c>
    </row>
    <row r="29" spans="1:6" x14ac:dyDescent="0.35">
      <c r="A29" s="17">
        <v>45780</v>
      </c>
      <c r="B29">
        <v>9618</v>
      </c>
      <c r="C29" t="s">
        <v>14</v>
      </c>
      <c r="D29" s="18">
        <v>10000</v>
      </c>
      <c r="E29" s="18">
        <f t="shared" si="0"/>
        <v>360000</v>
      </c>
      <c r="F29" s="18">
        <f t="shared" si="2"/>
        <v>70000</v>
      </c>
    </row>
    <row r="30" spans="1:6" x14ac:dyDescent="0.35">
      <c r="A30" s="17">
        <v>45874</v>
      </c>
      <c r="B30">
        <v>10378</v>
      </c>
      <c r="C30" t="s">
        <v>14</v>
      </c>
      <c r="D30" s="18">
        <v>20000</v>
      </c>
      <c r="E30" s="18">
        <f t="shared" si="0"/>
        <v>380000</v>
      </c>
      <c r="F30" s="18">
        <f t="shared" si="2"/>
        <v>50000</v>
      </c>
    </row>
    <row r="31" spans="1:6" x14ac:dyDescent="0.35">
      <c r="A31" s="17" t="s">
        <v>56</v>
      </c>
      <c r="B31">
        <v>13362</v>
      </c>
      <c r="C31" t="s">
        <v>14</v>
      </c>
      <c r="D31" s="18">
        <v>20000</v>
      </c>
      <c r="E31" s="18">
        <f t="shared" si="0"/>
        <v>400000</v>
      </c>
      <c r="F31" s="18">
        <f t="shared" si="2"/>
        <v>30000</v>
      </c>
    </row>
    <row r="32" spans="1:6" x14ac:dyDescent="0.35">
      <c r="A32" s="17" t="s">
        <v>57</v>
      </c>
      <c r="B32">
        <v>13816</v>
      </c>
      <c r="C32" t="s">
        <v>14</v>
      </c>
      <c r="D32" s="18">
        <v>20000</v>
      </c>
      <c r="E32" s="18">
        <f t="shared" si="0"/>
        <v>420000</v>
      </c>
      <c r="F32" s="18">
        <f t="shared" si="2"/>
        <v>10000</v>
      </c>
    </row>
    <row r="33" spans="1:6" x14ac:dyDescent="0.35">
      <c r="A33" s="17">
        <v>46175</v>
      </c>
      <c r="B33">
        <v>12362</v>
      </c>
      <c r="C33" t="s">
        <v>14</v>
      </c>
      <c r="D33" s="18">
        <v>10000</v>
      </c>
      <c r="E33" s="18">
        <f t="shared" si="0"/>
        <v>430000</v>
      </c>
      <c r="F33" s="18">
        <f t="shared" si="2"/>
        <v>0</v>
      </c>
    </row>
    <row r="34" spans="1:6" x14ac:dyDescent="0.35">
      <c r="A34" s="17"/>
      <c r="D34" s="18"/>
      <c r="E34" s="18"/>
      <c r="F34" s="18"/>
    </row>
    <row r="35" spans="1:6" x14ac:dyDescent="0.35">
      <c r="A35" s="17" t="s">
        <v>760</v>
      </c>
      <c r="D35" s="18"/>
      <c r="E35" s="18"/>
      <c r="F35" s="18"/>
    </row>
    <row r="36" spans="1:6" x14ac:dyDescent="0.35">
      <c r="A36" s="17">
        <v>46273</v>
      </c>
      <c r="B36">
        <v>3755</v>
      </c>
      <c r="C36" t="s">
        <v>761</v>
      </c>
      <c r="D36" s="18">
        <v>200000</v>
      </c>
      <c r="E36" s="18">
        <v>200000</v>
      </c>
      <c r="F36" s="18" t="s">
        <v>405</v>
      </c>
    </row>
    <row r="39" spans="1:6" x14ac:dyDescent="0.35">
      <c r="A39" t="s">
        <v>762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F30AC-8A35-4A73-B48C-C02F9EB77163}">
  <dimension ref="A1:G43"/>
  <sheetViews>
    <sheetView workbookViewId="0">
      <selection activeCell="G1" sqref="G1"/>
    </sheetView>
  </sheetViews>
  <sheetFormatPr defaultRowHeight="14.5" x14ac:dyDescent="0.35"/>
  <cols>
    <col min="3" max="3" width="10.26953125" bestFit="1" customWidth="1"/>
    <col min="4" max="4" width="10.90625" bestFit="1" customWidth="1"/>
    <col min="5" max="5" width="8.36328125" bestFit="1" customWidth="1"/>
    <col min="6" max="6" width="15.26953125" bestFit="1" customWidth="1"/>
  </cols>
  <sheetData>
    <row r="1" spans="1:6" ht="18.5" x14ac:dyDescent="0.45">
      <c r="A1" s="1" t="s">
        <v>25</v>
      </c>
      <c r="B1" s="1"/>
      <c r="C1" s="2"/>
      <c r="D1" s="1"/>
      <c r="E1" s="1"/>
      <c r="F1" s="1"/>
    </row>
    <row r="2" spans="1:6" ht="18.5" x14ac:dyDescent="0.45">
      <c r="A2" s="1" t="s">
        <v>26</v>
      </c>
      <c r="C2" s="1"/>
      <c r="D2" s="1"/>
      <c r="E2" s="1"/>
      <c r="F2" s="1"/>
    </row>
    <row r="3" spans="1:6" ht="18.5" x14ac:dyDescent="0.45">
      <c r="A3" s="1" t="s">
        <v>406</v>
      </c>
      <c r="C3" s="1"/>
      <c r="D3" s="1"/>
      <c r="E3" s="1"/>
      <c r="F3" s="1"/>
    </row>
    <row r="4" spans="1:6" ht="18.5" x14ac:dyDescent="0.45">
      <c r="A4" s="1" t="s">
        <v>27</v>
      </c>
      <c r="B4" s="1"/>
      <c r="C4" s="1"/>
      <c r="D4" s="1"/>
      <c r="E4" s="1"/>
      <c r="F4" s="1"/>
    </row>
    <row r="5" spans="1:6" ht="18.5" x14ac:dyDescent="0.45">
      <c r="A5" s="1" t="s">
        <v>28</v>
      </c>
      <c r="B5" s="1"/>
      <c r="C5" s="1"/>
      <c r="D5" s="1"/>
      <c r="E5" s="1"/>
      <c r="F5" s="1"/>
    </row>
    <row r="6" spans="1:6" ht="18.5" x14ac:dyDescent="0.45">
      <c r="A6" s="1" t="s">
        <v>29</v>
      </c>
      <c r="B6" s="1"/>
      <c r="C6" s="1"/>
      <c r="D6" s="1" t="s">
        <v>30</v>
      </c>
      <c r="E6" s="1"/>
      <c r="F6" s="1"/>
    </row>
    <row r="7" spans="1:6" x14ac:dyDescent="0.35">
      <c r="A7" s="4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14" t="s">
        <v>31</v>
      </c>
      <c r="B8" s="13">
        <v>153</v>
      </c>
      <c r="C8" s="13" t="s">
        <v>32</v>
      </c>
      <c r="D8" s="15">
        <v>100000</v>
      </c>
      <c r="E8" s="15">
        <v>100000</v>
      </c>
      <c r="F8" s="15">
        <v>330000</v>
      </c>
    </row>
    <row r="9" spans="1:6" x14ac:dyDescent="0.35">
      <c r="A9" s="16">
        <v>44623</v>
      </c>
      <c r="B9" s="13">
        <v>111</v>
      </c>
      <c r="C9" s="13" t="s">
        <v>14</v>
      </c>
      <c r="D9" s="15">
        <v>10000</v>
      </c>
      <c r="E9" s="15">
        <f>SUM(E8+D9)</f>
        <v>110000</v>
      </c>
      <c r="F9" s="15">
        <f>F8-D9</f>
        <v>320000</v>
      </c>
    </row>
    <row r="10" spans="1:6" x14ac:dyDescent="0.35">
      <c r="A10" s="13" t="s">
        <v>33</v>
      </c>
      <c r="B10" s="13">
        <v>1225</v>
      </c>
      <c r="C10" s="13" t="s">
        <v>14</v>
      </c>
      <c r="D10" s="15">
        <v>10000</v>
      </c>
      <c r="E10" s="15">
        <f>SUM(E9+D10)</f>
        <v>120000</v>
      </c>
      <c r="F10" s="15">
        <f>F9-D10</f>
        <v>310000</v>
      </c>
    </row>
    <row r="11" spans="1:6" x14ac:dyDescent="0.35">
      <c r="A11" s="13" t="s">
        <v>34</v>
      </c>
      <c r="B11" s="13">
        <v>986</v>
      </c>
      <c r="C11" s="13" t="s">
        <v>35</v>
      </c>
      <c r="D11" s="15">
        <v>10000</v>
      </c>
      <c r="E11" s="15">
        <f>SUM(E10+D11)</f>
        <v>130000</v>
      </c>
      <c r="F11" s="15">
        <f>F10-D11</f>
        <v>300000</v>
      </c>
    </row>
    <row r="12" spans="1:6" x14ac:dyDescent="0.35">
      <c r="A12" s="13" t="s">
        <v>36</v>
      </c>
      <c r="B12" s="13">
        <v>487</v>
      </c>
      <c r="C12" s="13" t="s">
        <v>14</v>
      </c>
      <c r="D12" s="15">
        <v>10000</v>
      </c>
      <c r="E12" s="15">
        <f t="shared" ref="E12:E40" si="0">SUM(E11+D12)</f>
        <v>140000</v>
      </c>
      <c r="F12" s="15">
        <f t="shared" ref="F12:F40" si="1">F11-D12</f>
        <v>290000</v>
      </c>
    </row>
    <row r="13" spans="1:6" x14ac:dyDescent="0.35">
      <c r="A13" s="16">
        <v>45020</v>
      </c>
      <c r="B13" s="13">
        <v>1841</v>
      </c>
      <c r="C13" s="13" t="s">
        <v>14</v>
      </c>
      <c r="D13" s="15">
        <v>10000</v>
      </c>
      <c r="E13" s="15">
        <f t="shared" si="0"/>
        <v>150000</v>
      </c>
      <c r="F13" s="15">
        <f t="shared" si="1"/>
        <v>280000</v>
      </c>
    </row>
    <row r="14" spans="1:6" x14ac:dyDescent="0.35">
      <c r="A14" s="13" t="s">
        <v>37</v>
      </c>
      <c r="B14" s="13">
        <v>152</v>
      </c>
      <c r="C14" s="13" t="s">
        <v>14</v>
      </c>
      <c r="D14" s="15">
        <v>10000</v>
      </c>
      <c r="E14" s="15">
        <f t="shared" si="0"/>
        <v>160000</v>
      </c>
      <c r="F14" s="15">
        <f t="shared" si="1"/>
        <v>270000</v>
      </c>
    </row>
    <row r="15" spans="1:6" x14ac:dyDescent="0.35">
      <c r="A15" s="16">
        <v>45083</v>
      </c>
      <c r="B15" s="13">
        <v>1482</v>
      </c>
      <c r="C15" s="13" t="s">
        <v>14</v>
      </c>
      <c r="D15" s="15">
        <v>10000</v>
      </c>
      <c r="E15" s="15">
        <f t="shared" si="0"/>
        <v>170000</v>
      </c>
      <c r="F15" s="15">
        <f t="shared" si="1"/>
        <v>260000</v>
      </c>
    </row>
    <row r="16" spans="1:6" x14ac:dyDescent="0.35">
      <c r="A16" s="16">
        <v>45114</v>
      </c>
      <c r="B16" s="13">
        <v>2168</v>
      </c>
      <c r="C16" s="13" t="s">
        <v>14</v>
      </c>
      <c r="D16" s="15">
        <v>10000</v>
      </c>
      <c r="E16" s="15">
        <f t="shared" si="0"/>
        <v>180000</v>
      </c>
      <c r="F16" s="15">
        <f t="shared" si="1"/>
        <v>250000</v>
      </c>
    </row>
    <row r="17" spans="1:6" x14ac:dyDescent="0.35">
      <c r="A17" s="13" t="s">
        <v>38</v>
      </c>
      <c r="B17" s="13">
        <v>3206</v>
      </c>
      <c r="C17" s="13" t="s">
        <v>14</v>
      </c>
      <c r="D17" s="15">
        <v>10000</v>
      </c>
      <c r="E17" s="15">
        <f t="shared" si="0"/>
        <v>190000</v>
      </c>
      <c r="F17" s="15">
        <f t="shared" si="1"/>
        <v>240000</v>
      </c>
    </row>
    <row r="18" spans="1:6" x14ac:dyDescent="0.35">
      <c r="A18" s="13" t="s">
        <v>39</v>
      </c>
      <c r="B18" s="13">
        <v>3932</v>
      </c>
      <c r="C18" s="13" t="s">
        <v>14</v>
      </c>
      <c r="D18" s="15">
        <v>10000</v>
      </c>
      <c r="E18" s="15">
        <f t="shared" si="0"/>
        <v>200000</v>
      </c>
      <c r="F18" s="15">
        <f t="shared" si="1"/>
        <v>230000</v>
      </c>
    </row>
    <row r="19" spans="1:6" x14ac:dyDescent="0.35">
      <c r="A19" s="13" t="s">
        <v>40</v>
      </c>
      <c r="B19" s="13">
        <v>4254</v>
      </c>
      <c r="C19" s="13" t="s">
        <v>14</v>
      </c>
      <c r="D19" s="15">
        <v>10000</v>
      </c>
      <c r="E19" s="15">
        <f t="shared" si="0"/>
        <v>210000</v>
      </c>
      <c r="F19" s="15">
        <f t="shared" si="1"/>
        <v>220000</v>
      </c>
    </row>
    <row r="20" spans="1:6" x14ac:dyDescent="0.35">
      <c r="A20" s="13" t="s">
        <v>41</v>
      </c>
      <c r="B20" s="13">
        <v>5134</v>
      </c>
      <c r="C20" s="13" t="s">
        <v>14</v>
      </c>
      <c r="D20" s="15">
        <v>10000</v>
      </c>
      <c r="E20" s="15">
        <f t="shared" si="0"/>
        <v>220000</v>
      </c>
      <c r="F20" s="15">
        <f t="shared" si="1"/>
        <v>210000</v>
      </c>
    </row>
    <row r="21" spans="1:6" x14ac:dyDescent="0.35">
      <c r="A21" s="13" t="s">
        <v>42</v>
      </c>
      <c r="B21" s="13">
        <v>5807</v>
      </c>
      <c r="C21" s="13" t="s">
        <v>14</v>
      </c>
      <c r="D21" s="15">
        <v>10000</v>
      </c>
      <c r="E21" s="15">
        <f t="shared" si="0"/>
        <v>230000</v>
      </c>
      <c r="F21" s="15">
        <f t="shared" si="1"/>
        <v>200000</v>
      </c>
    </row>
    <row r="22" spans="1:6" x14ac:dyDescent="0.35">
      <c r="A22" s="13" t="s">
        <v>43</v>
      </c>
      <c r="B22" s="13">
        <v>6438</v>
      </c>
      <c r="C22" s="13" t="s">
        <v>14</v>
      </c>
      <c r="D22" s="15">
        <v>10000</v>
      </c>
      <c r="E22" s="15">
        <f t="shared" si="0"/>
        <v>240000</v>
      </c>
      <c r="F22" s="15">
        <f t="shared" si="1"/>
        <v>190000</v>
      </c>
    </row>
    <row r="23" spans="1:6" x14ac:dyDescent="0.35">
      <c r="A23" s="13" t="s">
        <v>44</v>
      </c>
      <c r="B23" s="13">
        <v>6816</v>
      </c>
      <c r="C23" s="13" t="s">
        <v>14</v>
      </c>
      <c r="D23" s="15">
        <v>10000</v>
      </c>
      <c r="E23" s="15">
        <f t="shared" si="0"/>
        <v>250000</v>
      </c>
      <c r="F23" s="15">
        <f t="shared" si="1"/>
        <v>180000</v>
      </c>
    </row>
    <row r="24" spans="1:6" x14ac:dyDescent="0.35">
      <c r="A24" s="13" t="s">
        <v>45</v>
      </c>
      <c r="B24" s="13">
        <v>7582</v>
      </c>
      <c r="C24" s="13" t="s">
        <v>14</v>
      </c>
      <c r="D24" s="15">
        <v>10000</v>
      </c>
      <c r="E24" s="15">
        <f t="shared" si="0"/>
        <v>260000</v>
      </c>
      <c r="F24" s="15">
        <f t="shared" si="1"/>
        <v>170000</v>
      </c>
    </row>
    <row r="25" spans="1:6" x14ac:dyDescent="0.35">
      <c r="A25" s="13" t="s">
        <v>46</v>
      </c>
      <c r="B25" s="13">
        <v>8597</v>
      </c>
      <c r="C25" s="13" t="s">
        <v>14</v>
      </c>
      <c r="D25" s="15">
        <v>20000</v>
      </c>
      <c r="E25" s="15">
        <f t="shared" si="0"/>
        <v>280000</v>
      </c>
      <c r="F25" s="15">
        <f t="shared" si="1"/>
        <v>150000</v>
      </c>
    </row>
    <row r="26" spans="1:6" x14ac:dyDescent="0.35">
      <c r="A26" s="13" t="s">
        <v>47</v>
      </c>
      <c r="B26" s="13">
        <v>9315</v>
      </c>
      <c r="C26" s="13" t="s">
        <v>14</v>
      </c>
      <c r="D26" s="15">
        <v>10000</v>
      </c>
      <c r="E26" s="15">
        <f t="shared" si="0"/>
        <v>290000</v>
      </c>
      <c r="F26" s="15">
        <f t="shared" si="1"/>
        <v>140000</v>
      </c>
    </row>
    <row r="27" spans="1:6" x14ac:dyDescent="0.35">
      <c r="A27" s="13" t="s">
        <v>48</v>
      </c>
      <c r="B27" s="13">
        <v>10445</v>
      </c>
      <c r="C27" s="13" t="s">
        <v>14</v>
      </c>
      <c r="D27" s="15">
        <v>15000</v>
      </c>
      <c r="E27" s="15">
        <f t="shared" si="0"/>
        <v>305000</v>
      </c>
      <c r="F27" s="15">
        <f t="shared" si="1"/>
        <v>125000</v>
      </c>
    </row>
    <row r="28" spans="1:6" x14ac:dyDescent="0.35">
      <c r="A28" s="13" t="s">
        <v>49</v>
      </c>
      <c r="B28" s="13">
        <v>10140</v>
      </c>
      <c r="C28" s="13" t="s">
        <v>14</v>
      </c>
      <c r="D28" s="15">
        <v>10000</v>
      </c>
      <c r="E28" s="15">
        <f t="shared" si="0"/>
        <v>315000</v>
      </c>
      <c r="F28" s="15">
        <f t="shared" si="1"/>
        <v>115000</v>
      </c>
    </row>
    <row r="29" spans="1:6" x14ac:dyDescent="0.35">
      <c r="A29" s="13" t="s">
        <v>50</v>
      </c>
      <c r="B29" s="13">
        <v>11501</v>
      </c>
      <c r="C29" s="13" t="s">
        <v>14</v>
      </c>
      <c r="D29" s="15">
        <v>10000</v>
      </c>
      <c r="E29" s="15">
        <f t="shared" si="0"/>
        <v>325000</v>
      </c>
      <c r="F29" s="15">
        <f t="shared" si="1"/>
        <v>105000</v>
      </c>
    </row>
    <row r="30" spans="1:6" x14ac:dyDescent="0.35">
      <c r="A30" s="13" t="s">
        <v>51</v>
      </c>
      <c r="B30" s="13">
        <v>12541</v>
      </c>
      <c r="C30" s="13" t="s">
        <v>14</v>
      </c>
      <c r="D30" s="15">
        <v>10000</v>
      </c>
      <c r="E30" s="15">
        <f t="shared" si="0"/>
        <v>335000</v>
      </c>
      <c r="F30" s="15">
        <f t="shared" si="1"/>
        <v>95000</v>
      </c>
    </row>
    <row r="31" spans="1:6" x14ac:dyDescent="0.35">
      <c r="A31" s="13" t="s">
        <v>52</v>
      </c>
      <c r="B31" s="13">
        <v>12795</v>
      </c>
      <c r="C31" s="13" t="s">
        <v>14</v>
      </c>
      <c r="D31" s="15">
        <v>10000</v>
      </c>
      <c r="E31" s="15">
        <f t="shared" si="0"/>
        <v>345000</v>
      </c>
      <c r="F31" s="15">
        <f t="shared" si="1"/>
        <v>85000</v>
      </c>
    </row>
    <row r="32" spans="1:6" x14ac:dyDescent="0.35">
      <c r="A32" s="13" t="s">
        <v>53</v>
      </c>
      <c r="B32" s="13">
        <v>9045</v>
      </c>
      <c r="C32" s="13" t="s">
        <v>14</v>
      </c>
      <c r="D32" s="15">
        <v>10000</v>
      </c>
      <c r="E32" s="15">
        <f t="shared" si="0"/>
        <v>355000</v>
      </c>
      <c r="F32" s="15">
        <f t="shared" si="1"/>
        <v>75000</v>
      </c>
    </row>
    <row r="33" spans="1:7" x14ac:dyDescent="0.35">
      <c r="A33" s="16">
        <v>45780</v>
      </c>
      <c r="B33" s="13">
        <v>9619</v>
      </c>
      <c r="C33" s="13" t="s">
        <v>14</v>
      </c>
      <c r="D33" s="15">
        <v>10000</v>
      </c>
      <c r="E33" s="15">
        <f t="shared" si="0"/>
        <v>365000</v>
      </c>
      <c r="F33" s="15">
        <f t="shared" si="1"/>
        <v>65000</v>
      </c>
    </row>
    <row r="34" spans="1:7" x14ac:dyDescent="0.35">
      <c r="A34" s="16">
        <v>45874</v>
      </c>
      <c r="B34" s="13">
        <v>10377</v>
      </c>
      <c r="C34" s="13" t="s">
        <v>14</v>
      </c>
      <c r="D34" s="15">
        <v>10000</v>
      </c>
      <c r="E34" s="15">
        <f t="shared" si="0"/>
        <v>375000</v>
      </c>
      <c r="F34" s="15">
        <f t="shared" si="1"/>
        <v>55000</v>
      </c>
    </row>
    <row r="35" spans="1:7" x14ac:dyDescent="0.35">
      <c r="A35" s="13" t="s">
        <v>54</v>
      </c>
      <c r="B35" s="13">
        <v>12001</v>
      </c>
      <c r="C35" s="13" t="s">
        <v>14</v>
      </c>
      <c r="D35" s="15">
        <v>10000</v>
      </c>
      <c r="E35" s="15">
        <f t="shared" si="0"/>
        <v>385000</v>
      </c>
      <c r="F35" s="15">
        <f t="shared" si="1"/>
        <v>45000</v>
      </c>
    </row>
    <row r="36" spans="1:7" x14ac:dyDescent="0.35">
      <c r="A36" s="13" t="s">
        <v>55</v>
      </c>
      <c r="B36" s="13">
        <v>12550</v>
      </c>
      <c r="C36" s="13" t="s">
        <v>14</v>
      </c>
      <c r="D36" s="15">
        <v>10000</v>
      </c>
      <c r="E36" s="15">
        <f t="shared" si="0"/>
        <v>395000</v>
      </c>
      <c r="F36" s="15">
        <f t="shared" si="1"/>
        <v>35000</v>
      </c>
    </row>
    <row r="37" spans="1:7" x14ac:dyDescent="0.35">
      <c r="A37" s="13" t="s">
        <v>56</v>
      </c>
      <c r="B37" s="13">
        <v>13359</v>
      </c>
      <c r="C37" s="13" t="s">
        <v>14</v>
      </c>
      <c r="D37" s="15">
        <v>10000</v>
      </c>
      <c r="E37" s="15">
        <f t="shared" si="0"/>
        <v>405000</v>
      </c>
      <c r="F37" s="15">
        <f t="shared" si="1"/>
        <v>25000</v>
      </c>
    </row>
    <row r="38" spans="1:7" x14ac:dyDescent="0.35">
      <c r="A38" s="13" t="s">
        <v>57</v>
      </c>
      <c r="B38" s="13">
        <v>13814</v>
      </c>
      <c r="C38" s="13" t="s">
        <v>14</v>
      </c>
      <c r="D38" s="15">
        <v>10000</v>
      </c>
      <c r="E38" s="15">
        <f t="shared" si="0"/>
        <v>415000</v>
      </c>
      <c r="F38" s="15">
        <f t="shared" si="1"/>
        <v>15000</v>
      </c>
    </row>
    <row r="39" spans="1:7" x14ac:dyDescent="0.35">
      <c r="A39" s="16">
        <v>46175</v>
      </c>
      <c r="B39" s="13">
        <v>12360</v>
      </c>
      <c r="C39" s="13" t="s">
        <v>14</v>
      </c>
      <c r="D39" s="15">
        <v>10000</v>
      </c>
      <c r="E39" s="15">
        <f t="shared" si="0"/>
        <v>425000</v>
      </c>
      <c r="F39" s="15">
        <f t="shared" si="1"/>
        <v>5000</v>
      </c>
    </row>
    <row r="40" spans="1:7" x14ac:dyDescent="0.35">
      <c r="A40" s="48" t="s">
        <v>407</v>
      </c>
      <c r="B40" s="48">
        <v>13045</v>
      </c>
      <c r="C40" s="48" t="s">
        <v>14</v>
      </c>
      <c r="D40" s="18">
        <v>5000</v>
      </c>
      <c r="E40" s="15">
        <f t="shared" si="0"/>
        <v>430000</v>
      </c>
      <c r="F40" s="15">
        <f t="shared" si="1"/>
        <v>0</v>
      </c>
    </row>
    <row r="42" spans="1:7" x14ac:dyDescent="0.35">
      <c r="A42" t="s">
        <v>408</v>
      </c>
      <c r="B42">
        <v>1305</v>
      </c>
      <c r="C42" t="s">
        <v>339</v>
      </c>
      <c r="E42" s="18">
        <v>200000</v>
      </c>
      <c r="F42" t="s">
        <v>405</v>
      </c>
    </row>
    <row r="43" spans="1:7" ht="18.5" x14ac:dyDescent="0.45">
      <c r="A43" s="44" t="s">
        <v>299</v>
      </c>
      <c r="B43" s="44"/>
      <c r="C43" s="44"/>
      <c r="D43" s="44"/>
      <c r="E43" s="44"/>
      <c r="F43" s="44"/>
      <c r="G43" s="4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3CBA-67CE-4699-8B0C-F54DCECF821D}">
  <dimension ref="A1:F13"/>
  <sheetViews>
    <sheetView workbookViewId="0">
      <selection activeCell="D4" sqref="D4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0.90625" bestFit="1" customWidth="1"/>
    <col min="5" max="5" width="8.36328125" bestFit="1" customWidth="1"/>
    <col min="6" max="6" width="15.26953125" bestFit="1" customWidth="1"/>
  </cols>
  <sheetData>
    <row r="1" spans="1:6" ht="18.5" x14ac:dyDescent="0.45">
      <c r="A1" s="1" t="s">
        <v>18</v>
      </c>
      <c r="B1" s="1"/>
      <c r="C1" s="2"/>
      <c r="D1" s="1"/>
      <c r="E1" s="1"/>
      <c r="F1" s="1"/>
    </row>
    <row r="2" spans="1:6" ht="18.5" x14ac:dyDescent="0.45">
      <c r="A2" s="1" t="s">
        <v>19</v>
      </c>
      <c r="C2" s="1"/>
      <c r="D2" s="1"/>
      <c r="E2" s="1"/>
      <c r="F2" s="1"/>
    </row>
    <row r="3" spans="1:6" ht="18.5" x14ac:dyDescent="0.45">
      <c r="A3" s="1" t="s">
        <v>20</v>
      </c>
      <c r="B3" s="1"/>
      <c r="C3" s="1"/>
      <c r="D3" s="1"/>
      <c r="E3" s="1"/>
      <c r="F3" s="1"/>
    </row>
    <row r="4" spans="1:6" ht="18.5" x14ac:dyDescent="0.45">
      <c r="A4" s="1" t="s">
        <v>239</v>
      </c>
      <c r="B4" s="1"/>
      <c r="C4" s="1"/>
      <c r="D4" s="1"/>
      <c r="E4" s="1"/>
      <c r="F4" s="1"/>
    </row>
    <row r="5" spans="1:6" ht="18.5" x14ac:dyDescent="0.45">
      <c r="A5" s="1" t="s">
        <v>21</v>
      </c>
      <c r="B5" s="1"/>
      <c r="C5" s="1"/>
      <c r="D5" s="1"/>
      <c r="E5" s="1"/>
      <c r="F5" s="1"/>
    </row>
    <row r="6" spans="1:6" ht="18.5" x14ac:dyDescent="0.45">
      <c r="A6" s="1" t="s">
        <v>17</v>
      </c>
      <c r="B6" s="1"/>
      <c r="C6" s="1"/>
      <c r="D6" s="1" t="s">
        <v>22</v>
      </c>
      <c r="F6" s="1"/>
    </row>
    <row r="7" spans="1:6" x14ac:dyDescent="0.35">
      <c r="A7" s="4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10" t="s">
        <v>23</v>
      </c>
      <c r="B8" s="9">
        <v>9214</v>
      </c>
      <c r="C8" s="9" t="s">
        <v>24</v>
      </c>
      <c r="D8" s="11">
        <v>10000</v>
      </c>
      <c r="E8" s="11">
        <v>10000</v>
      </c>
      <c r="F8" s="11">
        <v>690000</v>
      </c>
    </row>
    <row r="9" spans="1:6" x14ac:dyDescent="0.35">
      <c r="A9" s="12">
        <v>45787</v>
      </c>
      <c r="B9" s="9">
        <v>13897</v>
      </c>
      <c r="C9" s="9" t="s">
        <v>14</v>
      </c>
      <c r="D9" s="11">
        <v>50000</v>
      </c>
      <c r="E9" s="11">
        <f>SUM(E8+D9)</f>
        <v>60000</v>
      </c>
      <c r="F9" s="11">
        <f>F8-D9</f>
        <v>640000</v>
      </c>
    </row>
    <row r="10" spans="1:6" x14ac:dyDescent="0.35">
      <c r="A10" s="12">
        <v>45973</v>
      </c>
      <c r="B10" s="9">
        <v>13161</v>
      </c>
      <c r="C10" s="9" t="s">
        <v>14</v>
      </c>
      <c r="D10" s="11">
        <v>10000</v>
      </c>
      <c r="E10" s="11">
        <f>SUM(E9+D10)</f>
        <v>70000</v>
      </c>
      <c r="F10" s="11">
        <f>F9-D10</f>
        <v>630000</v>
      </c>
    </row>
    <row r="11" spans="1:6" x14ac:dyDescent="0.35">
      <c r="A11" s="12">
        <v>46327</v>
      </c>
      <c r="B11" s="9">
        <v>12074</v>
      </c>
      <c r="C11" s="9" t="s">
        <v>14</v>
      </c>
      <c r="D11" s="11">
        <v>10000</v>
      </c>
      <c r="E11" s="11">
        <f>SUM(E10+D11)</f>
        <v>80000</v>
      </c>
      <c r="F11" s="11">
        <f>F10-D11</f>
        <v>620000</v>
      </c>
    </row>
    <row r="12" spans="1:6" x14ac:dyDescent="0.35">
      <c r="A12" s="12">
        <v>46175</v>
      </c>
      <c r="B12" s="9">
        <v>12351</v>
      </c>
      <c r="C12" s="9" t="s">
        <v>14</v>
      </c>
      <c r="D12" s="11">
        <v>10000</v>
      </c>
      <c r="E12" s="11">
        <f>SUM(E11+D12)</f>
        <v>90000</v>
      </c>
      <c r="F12" s="11">
        <f>F11-D12</f>
        <v>610000</v>
      </c>
    </row>
    <row r="13" spans="1:6" x14ac:dyDescent="0.35">
      <c r="A13" t="s">
        <v>238</v>
      </c>
      <c r="B13" s="26">
        <v>12892</v>
      </c>
      <c r="C13" s="9" t="s">
        <v>14</v>
      </c>
      <c r="D13" s="11">
        <v>10000</v>
      </c>
      <c r="E13" s="11">
        <f>SUM(E12+D13)</f>
        <v>100000</v>
      </c>
      <c r="F13" s="11">
        <f>F12-D13</f>
        <v>600000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6494-592A-4644-880C-EF359BE67C5C}">
  <dimension ref="A1:F29"/>
  <sheetViews>
    <sheetView topLeftCell="A7" workbookViewId="0">
      <selection activeCell="J25" sqref="J25"/>
    </sheetView>
  </sheetViews>
  <sheetFormatPr defaultRowHeight="14.5" x14ac:dyDescent="0.35"/>
  <cols>
    <col min="1" max="1" width="9.453125" bestFit="1" customWidth="1"/>
    <col min="3" max="3" width="9.81640625" customWidth="1"/>
    <col min="6" max="6" width="10.90625" customWidth="1"/>
  </cols>
  <sheetData>
    <row r="1" spans="1:6" ht="18.5" x14ac:dyDescent="0.45">
      <c r="A1" s="1" t="s">
        <v>367</v>
      </c>
      <c r="B1" s="1"/>
      <c r="C1" s="2"/>
      <c r="D1" s="1"/>
      <c r="E1" s="1"/>
      <c r="F1" s="1"/>
    </row>
    <row r="2" spans="1:6" ht="18.5" x14ac:dyDescent="0.45">
      <c r="A2" s="1" t="s">
        <v>368</v>
      </c>
      <c r="C2" s="1"/>
      <c r="D2" s="1"/>
      <c r="E2" s="1"/>
      <c r="F2" s="1"/>
    </row>
    <row r="3" spans="1:6" ht="18.5" x14ac:dyDescent="0.45">
      <c r="A3" s="1" t="s">
        <v>369</v>
      </c>
      <c r="B3" s="1"/>
      <c r="C3" s="1"/>
      <c r="D3" s="1"/>
      <c r="E3" s="1"/>
      <c r="F3" s="1"/>
    </row>
    <row r="4" spans="1:6" ht="18.5" x14ac:dyDescent="0.45">
      <c r="A4" s="1" t="s">
        <v>372</v>
      </c>
      <c r="B4" s="1"/>
      <c r="C4" s="1"/>
      <c r="D4" s="1"/>
      <c r="E4" s="1"/>
      <c r="F4" s="1"/>
    </row>
    <row r="5" spans="1:6" ht="18.5" x14ac:dyDescent="0.45">
      <c r="A5" s="1" t="s">
        <v>370</v>
      </c>
      <c r="B5" s="1"/>
      <c r="C5" s="1"/>
      <c r="D5" s="1"/>
      <c r="E5" s="1"/>
      <c r="F5" s="1"/>
    </row>
    <row r="6" spans="1:6" ht="18.5" x14ac:dyDescent="0.45">
      <c r="A6" s="1" t="s">
        <v>371</v>
      </c>
      <c r="B6" s="1"/>
      <c r="C6" s="1"/>
      <c r="D6" s="1"/>
      <c r="E6" s="1" t="s">
        <v>22</v>
      </c>
      <c r="F6" s="1"/>
    </row>
    <row r="7" spans="1:6" ht="18.5" x14ac:dyDescent="0.35">
      <c r="A7" s="50" t="s">
        <v>373</v>
      </c>
      <c r="B7" s="50"/>
      <c r="C7" s="50"/>
      <c r="D7" s="50"/>
      <c r="E7" s="50"/>
      <c r="F7" s="50"/>
    </row>
    <row r="8" spans="1:6" ht="18.5" x14ac:dyDescent="0.45">
      <c r="A8" s="1" t="s">
        <v>374</v>
      </c>
    </row>
    <row r="9" spans="1:6" ht="18.5" x14ac:dyDescent="0.45">
      <c r="A9" s="1" t="s">
        <v>383</v>
      </c>
      <c r="B9" s="1"/>
      <c r="C9" s="2"/>
      <c r="D9" s="1"/>
    </row>
    <row r="10" spans="1:6" ht="18.5" x14ac:dyDescent="0.45">
      <c r="A10" s="1" t="s">
        <v>384</v>
      </c>
      <c r="C10" s="1"/>
      <c r="D10" s="1"/>
    </row>
    <row r="11" spans="1:6" ht="18.5" x14ac:dyDescent="0.45">
      <c r="A11" s="1" t="s">
        <v>385</v>
      </c>
      <c r="B11" s="1"/>
      <c r="C11" s="1"/>
      <c r="D11" s="1"/>
    </row>
    <row r="12" spans="1:6" ht="18.5" x14ac:dyDescent="0.45">
      <c r="A12" s="1" t="s">
        <v>386</v>
      </c>
      <c r="B12" s="1"/>
      <c r="C12" s="1"/>
      <c r="D12" s="1"/>
    </row>
    <row r="13" spans="1:6" x14ac:dyDescent="0.35">
      <c r="A13" s="37" t="s">
        <v>5</v>
      </c>
      <c r="B13" s="38" t="s">
        <v>6</v>
      </c>
      <c r="C13" s="38" t="s">
        <v>7</v>
      </c>
      <c r="D13" s="31" t="s">
        <v>8</v>
      </c>
      <c r="E13" s="31" t="s">
        <v>9</v>
      </c>
      <c r="F13" s="32" t="s">
        <v>10</v>
      </c>
    </row>
    <row r="14" spans="1:6" x14ac:dyDescent="0.35">
      <c r="A14" t="s">
        <v>375</v>
      </c>
      <c r="B14">
        <v>1368</v>
      </c>
      <c r="C14" t="s">
        <v>380</v>
      </c>
      <c r="D14" s="18">
        <v>10000</v>
      </c>
      <c r="E14" s="18">
        <v>10000</v>
      </c>
      <c r="F14" s="18">
        <v>70000</v>
      </c>
    </row>
    <row r="15" spans="1:6" x14ac:dyDescent="0.35">
      <c r="A15" s="17">
        <v>44602</v>
      </c>
      <c r="B15">
        <v>1798</v>
      </c>
      <c r="C15" t="s">
        <v>380</v>
      </c>
      <c r="D15" s="18">
        <v>70000</v>
      </c>
      <c r="E15" s="18">
        <f>SUM(E14+D15)</f>
        <v>80000</v>
      </c>
      <c r="F15" t="s">
        <v>298</v>
      </c>
    </row>
    <row r="16" spans="1:6" x14ac:dyDescent="0.35">
      <c r="A16" t="s">
        <v>376</v>
      </c>
      <c r="B16">
        <v>10879</v>
      </c>
      <c r="C16" t="s">
        <v>380</v>
      </c>
      <c r="D16" s="18">
        <v>20000</v>
      </c>
      <c r="E16" s="18">
        <v>100000</v>
      </c>
      <c r="F16" s="18">
        <v>330000</v>
      </c>
    </row>
    <row r="17" spans="1:6" x14ac:dyDescent="0.35">
      <c r="A17" t="s">
        <v>159</v>
      </c>
      <c r="B17">
        <v>11638</v>
      </c>
      <c r="C17" t="s">
        <v>380</v>
      </c>
      <c r="D17" s="18">
        <v>50000</v>
      </c>
      <c r="E17" s="18">
        <f>E16+D17</f>
        <v>150000</v>
      </c>
      <c r="F17" s="18">
        <f>F16-D17</f>
        <v>280000</v>
      </c>
    </row>
    <row r="18" spans="1:6" x14ac:dyDescent="0.35">
      <c r="A18" t="s">
        <v>377</v>
      </c>
      <c r="B18">
        <v>12115</v>
      </c>
      <c r="C18" t="s">
        <v>380</v>
      </c>
      <c r="D18" s="18">
        <v>30000</v>
      </c>
      <c r="E18" s="18">
        <f t="shared" ref="E18:E27" si="0">E17+D18</f>
        <v>180000</v>
      </c>
      <c r="F18" s="18">
        <f t="shared" ref="F18:F27" si="1">F17-D18</f>
        <v>250000</v>
      </c>
    </row>
    <row r="19" spans="1:6" x14ac:dyDescent="0.35">
      <c r="A19" t="s">
        <v>172</v>
      </c>
      <c r="B19">
        <v>12633</v>
      </c>
      <c r="C19" t="s">
        <v>380</v>
      </c>
      <c r="D19" s="18">
        <v>50000</v>
      </c>
      <c r="E19" s="18">
        <f t="shared" si="0"/>
        <v>230000</v>
      </c>
      <c r="F19" s="18">
        <f t="shared" si="1"/>
        <v>200000</v>
      </c>
    </row>
    <row r="20" spans="1:6" x14ac:dyDescent="0.35">
      <c r="A20" s="17">
        <v>45992</v>
      </c>
      <c r="B20">
        <v>12034</v>
      </c>
      <c r="C20" t="s">
        <v>380</v>
      </c>
      <c r="D20" s="18">
        <v>20000</v>
      </c>
      <c r="E20" s="18">
        <f t="shared" si="0"/>
        <v>250000</v>
      </c>
      <c r="F20" s="18">
        <f t="shared" si="1"/>
        <v>180000</v>
      </c>
    </row>
    <row r="21" spans="1:6" x14ac:dyDescent="0.35">
      <c r="A21" s="17">
        <v>45903</v>
      </c>
      <c r="B21">
        <v>9676</v>
      </c>
      <c r="C21" t="s">
        <v>380</v>
      </c>
      <c r="D21" s="18">
        <v>40000</v>
      </c>
      <c r="E21" s="18">
        <f t="shared" si="0"/>
        <v>290000</v>
      </c>
      <c r="F21" s="18">
        <f t="shared" si="1"/>
        <v>140000</v>
      </c>
    </row>
    <row r="22" spans="1:6" x14ac:dyDescent="0.35">
      <c r="A22" s="17">
        <v>45966</v>
      </c>
      <c r="B22">
        <v>10939</v>
      </c>
      <c r="C22" t="s">
        <v>380</v>
      </c>
      <c r="D22" s="18">
        <v>20000</v>
      </c>
      <c r="E22" s="18">
        <f t="shared" si="0"/>
        <v>310000</v>
      </c>
      <c r="F22" s="18">
        <f t="shared" si="1"/>
        <v>120000</v>
      </c>
    </row>
    <row r="23" spans="1:6" x14ac:dyDescent="0.35">
      <c r="A23" t="s">
        <v>378</v>
      </c>
      <c r="B23">
        <v>11885</v>
      </c>
      <c r="C23" t="s">
        <v>380</v>
      </c>
      <c r="D23" s="18">
        <v>15000</v>
      </c>
      <c r="E23" s="18">
        <f t="shared" si="0"/>
        <v>325000</v>
      </c>
      <c r="F23" s="18">
        <f t="shared" si="1"/>
        <v>105000</v>
      </c>
    </row>
    <row r="24" spans="1:6" x14ac:dyDescent="0.35">
      <c r="A24" t="s">
        <v>379</v>
      </c>
      <c r="B24">
        <v>12889</v>
      </c>
      <c r="C24" t="s">
        <v>380</v>
      </c>
      <c r="D24" s="18">
        <v>15000</v>
      </c>
      <c r="E24" s="18">
        <f t="shared" si="0"/>
        <v>340000</v>
      </c>
      <c r="F24" s="18">
        <f t="shared" si="1"/>
        <v>90000</v>
      </c>
    </row>
    <row r="25" spans="1:6" x14ac:dyDescent="0.35">
      <c r="A25" t="s">
        <v>381</v>
      </c>
      <c r="B25">
        <v>12961</v>
      </c>
      <c r="C25" t="s">
        <v>380</v>
      </c>
      <c r="D25" s="18">
        <v>40000</v>
      </c>
      <c r="E25" s="18">
        <f t="shared" si="0"/>
        <v>380000</v>
      </c>
      <c r="F25" s="18">
        <f t="shared" si="1"/>
        <v>50000</v>
      </c>
    </row>
    <row r="26" spans="1:6" x14ac:dyDescent="0.35">
      <c r="A26" t="s">
        <v>11</v>
      </c>
      <c r="B26">
        <v>12790</v>
      </c>
      <c r="C26" t="s">
        <v>380</v>
      </c>
      <c r="D26" s="18">
        <v>30000</v>
      </c>
      <c r="E26" s="18">
        <f t="shared" si="0"/>
        <v>410000</v>
      </c>
      <c r="F26" s="18">
        <f t="shared" si="1"/>
        <v>20000</v>
      </c>
    </row>
    <row r="27" spans="1:6" x14ac:dyDescent="0.35">
      <c r="A27" t="s">
        <v>382</v>
      </c>
      <c r="B27">
        <v>13676</v>
      </c>
      <c r="C27" t="s">
        <v>380</v>
      </c>
      <c r="D27" s="18">
        <v>20000</v>
      </c>
      <c r="E27" s="18">
        <f t="shared" si="0"/>
        <v>430000</v>
      </c>
      <c r="F27" s="18">
        <f t="shared" si="1"/>
        <v>0</v>
      </c>
    </row>
    <row r="28" spans="1:6" ht="15.5" x14ac:dyDescent="0.35">
      <c r="A28" s="47" t="s">
        <v>319</v>
      </c>
      <c r="B28" s="47"/>
      <c r="C28" s="47"/>
      <c r="D28" s="47"/>
      <c r="E28" s="47"/>
    </row>
    <row r="29" spans="1:6" ht="18.5" x14ac:dyDescent="0.45">
      <c r="A29" s="44" t="s">
        <v>290</v>
      </c>
      <c r="B29" s="44"/>
      <c r="C29" s="44"/>
      <c r="D29" s="44"/>
      <c r="E29" s="44"/>
      <c r="F29" s="4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EA03B-C415-4CE8-A299-9E25CB7846B1}">
  <dimension ref="A1:F34"/>
  <sheetViews>
    <sheetView topLeftCell="A18" workbookViewId="0">
      <selection activeCell="A38" sqref="A38"/>
    </sheetView>
  </sheetViews>
  <sheetFormatPr defaultRowHeight="14.5" x14ac:dyDescent="0.35"/>
  <cols>
    <col min="1" max="1" width="9.453125" bestFit="1" customWidth="1"/>
    <col min="3" max="3" width="21.453125" bestFit="1" customWidth="1"/>
    <col min="4" max="4" width="15.26953125" bestFit="1" customWidth="1"/>
    <col min="5" max="5" width="8.36328125" bestFit="1" customWidth="1"/>
    <col min="6" max="6" width="11.36328125" bestFit="1" customWidth="1"/>
  </cols>
  <sheetData>
    <row r="1" spans="1:6" ht="18.5" x14ac:dyDescent="0.45">
      <c r="A1" s="1" t="s">
        <v>78</v>
      </c>
      <c r="B1" s="1"/>
      <c r="C1" s="2"/>
      <c r="D1" s="1"/>
      <c r="E1" s="1"/>
      <c r="F1" s="1"/>
    </row>
    <row r="2" spans="1:6" ht="18.5" x14ac:dyDescent="0.45">
      <c r="A2" s="1" t="s">
        <v>79</v>
      </c>
      <c r="C2" s="1"/>
      <c r="D2" s="1"/>
      <c r="E2" s="1"/>
      <c r="F2" s="1"/>
    </row>
    <row r="3" spans="1:6" ht="18.5" x14ac:dyDescent="0.45">
      <c r="A3" s="1" t="s">
        <v>80</v>
      </c>
      <c r="B3" s="1"/>
      <c r="C3" s="1"/>
      <c r="D3" s="1"/>
      <c r="E3" s="1"/>
      <c r="F3" s="1"/>
    </row>
    <row r="4" spans="1:6" ht="18.5" x14ac:dyDescent="0.45">
      <c r="A4" s="1" t="s">
        <v>442</v>
      </c>
      <c r="B4" s="1"/>
      <c r="C4" s="1"/>
      <c r="D4" s="1"/>
      <c r="E4" s="1"/>
      <c r="F4" s="1"/>
    </row>
    <row r="5" spans="1:6" ht="18.5" x14ac:dyDescent="0.45">
      <c r="A5" s="1" t="s">
        <v>81</v>
      </c>
      <c r="B5" s="1"/>
      <c r="C5" s="1"/>
      <c r="D5" s="1"/>
      <c r="E5" s="1"/>
      <c r="F5" s="1"/>
    </row>
    <row r="6" spans="1:6" ht="18.5" x14ac:dyDescent="0.45">
      <c r="A6" s="1" t="s">
        <v>243</v>
      </c>
      <c r="B6" s="1"/>
      <c r="C6" s="1"/>
      <c r="D6" s="1" t="s">
        <v>82</v>
      </c>
      <c r="E6" s="1"/>
      <c r="F6" s="1"/>
    </row>
    <row r="7" spans="1:6" x14ac:dyDescent="0.35">
      <c r="A7" s="21" t="s">
        <v>5</v>
      </c>
      <c r="B7" s="22" t="s">
        <v>6</v>
      </c>
      <c r="C7" s="22" t="s">
        <v>7</v>
      </c>
      <c r="D7" s="22" t="s">
        <v>8</v>
      </c>
      <c r="E7" s="22" t="s">
        <v>9</v>
      </c>
      <c r="F7" s="22" t="s">
        <v>10</v>
      </c>
    </row>
    <row r="8" spans="1:6" x14ac:dyDescent="0.35">
      <c r="A8" s="16">
        <v>44724</v>
      </c>
      <c r="B8" s="13">
        <v>62</v>
      </c>
      <c r="C8" s="13" t="s">
        <v>92</v>
      </c>
      <c r="D8" s="15">
        <v>120000</v>
      </c>
      <c r="E8" s="15">
        <v>120000</v>
      </c>
      <c r="F8" s="15">
        <v>480000</v>
      </c>
    </row>
    <row r="9" spans="1:6" x14ac:dyDescent="0.35">
      <c r="A9" s="13" t="s">
        <v>83</v>
      </c>
      <c r="B9" s="13">
        <v>63</v>
      </c>
      <c r="C9" s="13" t="s">
        <v>14</v>
      </c>
      <c r="D9" s="15">
        <v>20000</v>
      </c>
      <c r="E9" s="15">
        <f>SUM(E8+D9)</f>
        <v>140000</v>
      </c>
      <c r="F9" s="15">
        <f>F8-D9</f>
        <v>460000</v>
      </c>
    </row>
    <row r="10" spans="1:6" x14ac:dyDescent="0.35">
      <c r="A10" s="13" t="s">
        <v>84</v>
      </c>
      <c r="B10" s="13">
        <v>914</v>
      </c>
      <c r="C10" s="13" t="s">
        <v>14</v>
      </c>
      <c r="D10" s="15">
        <v>20000</v>
      </c>
      <c r="E10" s="15">
        <f t="shared" ref="E10:E32" si="0">SUM(E9+D10)</f>
        <v>160000</v>
      </c>
      <c r="F10" s="15">
        <f t="shared" ref="F10:F32" si="1">F9-D10</f>
        <v>440000</v>
      </c>
    </row>
    <row r="11" spans="1:6" x14ac:dyDescent="0.35">
      <c r="A11" s="13" t="s">
        <v>85</v>
      </c>
      <c r="B11" s="13">
        <v>961</v>
      </c>
      <c r="C11" s="13" t="s">
        <v>14</v>
      </c>
      <c r="D11" s="15">
        <v>10000</v>
      </c>
      <c r="E11" s="15">
        <f t="shared" si="0"/>
        <v>170000</v>
      </c>
      <c r="F11" s="15">
        <f t="shared" si="1"/>
        <v>430000</v>
      </c>
    </row>
    <row r="12" spans="1:6" x14ac:dyDescent="0.35">
      <c r="A12" s="13" t="s">
        <v>86</v>
      </c>
      <c r="B12" s="13">
        <v>2854</v>
      </c>
      <c r="C12" s="13" t="s">
        <v>14</v>
      </c>
      <c r="D12" s="15">
        <v>10000</v>
      </c>
      <c r="E12" s="15">
        <f t="shared" si="0"/>
        <v>180000</v>
      </c>
      <c r="F12" s="15">
        <f t="shared" si="1"/>
        <v>420000</v>
      </c>
    </row>
    <row r="13" spans="1:6" x14ac:dyDescent="0.35">
      <c r="A13" s="13" t="s">
        <v>87</v>
      </c>
      <c r="B13" s="13">
        <v>3230</v>
      </c>
      <c r="C13" s="13" t="s">
        <v>14</v>
      </c>
      <c r="D13" s="15">
        <v>10000</v>
      </c>
      <c r="E13" s="15">
        <f t="shared" si="0"/>
        <v>190000</v>
      </c>
      <c r="F13" s="15">
        <f t="shared" si="1"/>
        <v>410000</v>
      </c>
    </row>
    <row r="14" spans="1:6" x14ac:dyDescent="0.35">
      <c r="A14" s="13" t="s">
        <v>88</v>
      </c>
      <c r="B14" s="13">
        <v>3819</v>
      </c>
      <c r="C14" s="13" t="s">
        <v>14</v>
      </c>
      <c r="D14" s="15">
        <v>10000</v>
      </c>
      <c r="E14" s="15">
        <f t="shared" si="0"/>
        <v>200000</v>
      </c>
      <c r="F14" s="15">
        <f t="shared" si="1"/>
        <v>400000</v>
      </c>
    </row>
    <row r="15" spans="1:6" x14ac:dyDescent="0.35">
      <c r="A15" s="13" t="s">
        <v>89</v>
      </c>
      <c r="B15" s="13">
        <v>4491</v>
      </c>
      <c r="C15" s="13" t="s">
        <v>14</v>
      </c>
      <c r="D15" s="15">
        <v>10000</v>
      </c>
      <c r="E15" s="15">
        <f t="shared" si="0"/>
        <v>210000</v>
      </c>
      <c r="F15" s="15">
        <f t="shared" si="1"/>
        <v>390000</v>
      </c>
    </row>
    <row r="16" spans="1:6" x14ac:dyDescent="0.35">
      <c r="A16" s="13" t="s">
        <v>41</v>
      </c>
      <c r="B16" s="13">
        <v>5138</v>
      </c>
      <c r="C16" s="13" t="s">
        <v>14</v>
      </c>
      <c r="D16" s="15">
        <v>10000</v>
      </c>
      <c r="E16" s="15">
        <f t="shared" si="0"/>
        <v>220000</v>
      </c>
      <c r="F16" s="15">
        <f t="shared" si="1"/>
        <v>380000</v>
      </c>
    </row>
    <row r="17" spans="1:6" x14ac:dyDescent="0.35">
      <c r="A17" s="13" t="s">
        <v>90</v>
      </c>
      <c r="B17" s="13">
        <v>5878</v>
      </c>
      <c r="C17" s="13" t="s">
        <v>14</v>
      </c>
      <c r="D17" s="15">
        <v>10000</v>
      </c>
      <c r="E17" s="15">
        <f t="shared" si="0"/>
        <v>230000</v>
      </c>
      <c r="F17" s="15">
        <f t="shared" si="1"/>
        <v>370000</v>
      </c>
    </row>
    <row r="18" spans="1:6" x14ac:dyDescent="0.35">
      <c r="A18" s="13" t="s">
        <v>91</v>
      </c>
      <c r="B18" s="13">
        <v>6485</v>
      </c>
      <c r="C18" s="13" t="s">
        <v>14</v>
      </c>
      <c r="D18" s="15">
        <v>10000</v>
      </c>
      <c r="E18" s="15">
        <f t="shared" si="0"/>
        <v>240000</v>
      </c>
      <c r="F18" s="15">
        <f t="shared" si="1"/>
        <v>360000</v>
      </c>
    </row>
    <row r="19" spans="1:6" x14ac:dyDescent="0.35">
      <c r="A19" s="13" t="s">
        <v>93</v>
      </c>
      <c r="B19" s="13">
        <v>6805</v>
      </c>
      <c r="C19" s="13" t="s">
        <v>14</v>
      </c>
      <c r="D19" s="15">
        <v>10000</v>
      </c>
      <c r="E19" s="15">
        <f t="shared" si="0"/>
        <v>250000</v>
      </c>
      <c r="F19" s="15">
        <f t="shared" si="1"/>
        <v>350000</v>
      </c>
    </row>
    <row r="20" spans="1:6" x14ac:dyDescent="0.35">
      <c r="A20" s="13" t="s">
        <v>94</v>
      </c>
      <c r="B20" s="13">
        <v>7615</v>
      </c>
      <c r="C20" s="13" t="s">
        <v>14</v>
      </c>
      <c r="D20" s="15">
        <v>10000</v>
      </c>
      <c r="E20" s="15">
        <f t="shared" si="0"/>
        <v>260000</v>
      </c>
      <c r="F20" s="15">
        <f t="shared" si="1"/>
        <v>340000</v>
      </c>
    </row>
    <row r="21" spans="1:6" x14ac:dyDescent="0.35">
      <c r="A21" s="16">
        <v>45417</v>
      </c>
      <c r="B21" s="13">
        <v>8243</v>
      </c>
      <c r="C21" s="13" t="s">
        <v>14</v>
      </c>
      <c r="D21" s="15">
        <v>10000</v>
      </c>
      <c r="E21" s="15">
        <f t="shared" si="0"/>
        <v>270000</v>
      </c>
      <c r="F21" s="15">
        <f t="shared" si="1"/>
        <v>330000</v>
      </c>
    </row>
    <row r="22" spans="1:6" x14ac:dyDescent="0.35">
      <c r="A22" s="13" t="s">
        <v>95</v>
      </c>
      <c r="B22" s="13">
        <v>9101</v>
      </c>
      <c r="C22" s="13" t="s">
        <v>14</v>
      </c>
      <c r="D22" s="15">
        <v>10000</v>
      </c>
      <c r="E22" s="15">
        <f t="shared" si="0"/>
        <v>280000</v>
      </c>
      <c r="F22" s="15">
        <f t="shared" si="1"/>
        <v>320000</v>
      </c>
    </row>
    <row r="23" spans="1:6" x14ac:dyDescent="0.35">
      <c r="A23" s="16">
        <v>45510</v>
      </c>
      <c r="B23" s="13">
        <v>10056</v>
      </c>
      <c r="C23" s="13" t="s">
        <v>14</v>
      </c>
      <c r="D23" s="15">
        <v>10000</v>
      </c>
      <c r="E23" s="15">
        <f t="shared" si="0"/>
        <v>290000</v>
      </c>
      <c r="F23" s="15">
        <f t="shared" si="1"/>
        <v>310000</v>
      </c>
    </row>
    <row r="24" spans="1:6" x14ac:dyDescent="0.35">
      <c r="A24" s="16">
        <v>45574</v>
      </c>
      <c r="B24" s="13">
        <v>347</v>
      </c>
      <c r="C24" s="13" t="s">
        <v>14</v>
      </c>
      <c r="D24" s="15">
        <v>20000</v>
      </c>
      <c r="E24" s="15">
        <f t="shared" si="0"/>
        <v>310000</v>
      </c>
      <c r="F24" s="15">
        <f t="shared" si="1"/>
        <v>290000</v>
      </c>
    </row>
    <row r="25" spans="1:6" x14ac:dyDescent="0.35">
      <c r="A25" s="13" t="s">
        <v>96</v>
      </c>
      <c r="B25" s="13">
        <v>12739</v>
      </c>
      <c r="C25" s="13" t="s">
        <v>14</v>
      </c>
      <c r="D25" s="15">
        <v>10000</v>
      </c>
      <c r="E25" s="15">
        <f t="shared" si="0"/>
        <v>320000</v>
      </c>
      <c r="F25" s="15">
        <f t="shared" si="1"/>
        <v>280000</v>
      </c>
    </row>
    <row r="26" spans="1:6" x14ac:dyDescent="0.35">
      <c r="A26" s="13" t="s">
        <v>97</v>
      </c>
      <c r="B26" s="13">
        <v>13638</v>
      </c>
      <c r="C26" s="13" t="s">
        <v>14</v>
      </c>
      <c r="D26" s="15">
        <v>30000</v>
      </c>
      <c r="E26" s="15">
        <f t="shared" si="0"/>
        <v>350000</v>
      </c>
      <c r="F26" s="15">
        <f t="shared" si="1"/>
        <v>250000</v>
      </c>
    </row>
    <row r="27" spans="1:6" x14ac:dyDescent="0.35">
      <c r="A27" s="16">
        <v>45912</v>
      </c>
      <c r="B27" s="13">
        <v>13127</v>
      </c>
      <c r="C27" s="13" t="s">
        <v>14</v>
      </c>
      <c r="D27" s="15">
        <v>10000</v>
      </c>
      <c r="E27" s="15">
        <f t="shared" si="0"/>
        <v>360000</v>
      </c>
      <c r="F27" s="15">
        <f t="shared" si="1"/>
        <v>240000</v>
      </c>
    </row>
    <row r="28" spans="1:6" x14ac:dyDescent="0.35">
      <c r="A28" s="13" t="s">
        <v>98</v>
      </c>
      <c r="B28" s="13">
        <v>12209</v>
      </c>
      <c r="C28" s="13" t="s">
        <v>14</v>
      </c>
      <c r="D28" s="15">
        <v>10000</v>
      </c>
      <c r="E28" s="15">
        <f t="shared" si="0"/>
        <v>370000</v>
      </c>
      <c r="F28" s="15">
        <f t="shared" si="1"/>
        <v>230000</v>
      </c>
    </row>
    <row r="29" spans="1:6" x14ac:dyDescent="0.35">
      <c r="A29" s="16">
        <v>46358</v>
      </c>
      <c r="B29" s="13">
        <v>12443</v>
      </c>
      <c r="C29" s="13" t="s">
        <v>14</v>
      </c>
      <c r="D29" s="15">
        <v>10000</v>
      </c>
      <c r="E29" s="15">
        <f t="shared" si="0"/>
        <v>380000</v>
      </c>
      <c r="F29" s="15">
        <f t="shared" si="1"/>
        <v>220000</v>
      </c>
    </row>
    <row r="30" spans="1:6" x14ac:dyDescent="0.35">
      <c r="A30" s="13" t="s">
        <v>99</v>
      </c>
      <c r="B30" s="13">
        <v>12578</v>
      </c>
      <c r="C30" s="13" t="s">
        <v>100</v>
      </c>
      <c r="D30" s="15">
        <v>20000</v>
      </c>
      <c r="E30" s="15">
        <f t="shared" si="0"/>
        <v>400000</v>
      </c>
      <c r="F30" s="15">
        <f t="shared" si="1"/>
        <v>200000</v>
      </c>
    </row>
    <row r="31" spans="1:6" x14ac:dyDescent="0.35">
      <c r="A31" s="16" t="s">
        <v>242</v>
      </c>
      <c r="B31" s="13">
        <v>13984</v>
      </c>
      <c r="C31" s="13" t="s">
        <v>66</v>
      </c>
      <c r="D31" s="15">
        <v>10000</v>
      </c>
      <c r="E31" s="15">
        <f t="shared" si="0"/>
        <v>410000</v>
      </c>
      <c r="F31" s="15">
        <f t="shared" si="1"/>
        <v>190000</v>
      </c>
    </row>
    <row r="32" spans="1:6" x14ac:dyDescent="0.35">
      <c r="A32" s="13" t="s">
        <v>443</v>
      </c>
      <c r="B32" s="13">
        <v>13077</v>
      </c>
      <c r="C32" s="13" t="s">
        <v>66</v>
      </c>
      <c r="D32" s="15">
        <v>20000</v>
      </c>
      <c r="E32" s="15">
        <f t="shared" si="0"/>
        <v>430000</v>
      </c>
      <c r="F32" s="15">
        <f t="shared" si="1"/>
        <v>170000</v>
      </c>
    </row>
    <row r="33" spans="1:6" x14ac:dyDescent="0.35">
      <c r="A33" s="16" t="s">
        <v>720</v>
      </c>
      <c r="B33" s="13">
        <v>13485</v>
      </c>
      <c r="C33" s="13"/>
      <c r="D33" s="15">
        <v>10000</v>
      </c>
      <c r="E33" s="15">
        <f>E32+D33</f>
        <v>440000</v>
      </c>
      <c r="F33" s="15">
        <f>F32-D33</f>
        <v>160000</v>
      </c>
    </row>
    <row r="34" spans="1:6" x14ac:dyDescent="0.35">
      <c r="A34" s="13" t="s">
        <v>721</v>
      </c>
      <c r="B34" s="13">
        <v>1524</v>
      </c>
      <c r="C34" s="13"/>
      <c r="D34" s="15">
        <v>10000</v>
      </c>
      <c r="E34" s="15">
        <f>E33+D34</f>
        <v>450000</v>
      </c>
      <c r="F34" s="15">
        <f>F33-D34</f>
        <v>150000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3B0C-55F0-4931-AE33-EAFDAB49C72B}">
  <dimension ref="A1:F36"/>
  <sheetViews>
    <sheetView topLeftCell="A19" workbookViewId="0">
      <selection activeCell="C38" sqref="C38"/>
    </sheetView>
  </sheetViews>
  <sheetFormatPr defaultRowHeight="14.5" x14ac:dyDescent="0.35"/>
  <cols>
    <col min="1" max="1" width="9.453125" bestFit="1" customWidth="1"/>
    <col min="3" max="3" width="17.6328125" customWidth="1"/>
    <col min="4" max="4" width="15.26953125" bestFit="1" customWidth="1"/>
    <col min="6" max="6" width="11.36328125" bestFit="1" customWidth="1"/>
  </cols>
  <sheetData>
    <row r="1" spans="1:6" ht="18.5" x14ac:dyDescent="0.45">
      <c r="A1" s="1" t="s">
        <v>78</v>
      </c>
      <c r="B1" s="1"/>
      <c r="C1" s="2"/>
      <c r="D1" s="1"/>
      <c r="E1" s="1"/>
      <c r="F1" s="1"/>
    </row>
    <row r="2" spans="1:6" ht="18.5" x14ac:dyDescent="0.45">
      <c r="A2" s="1" t="s">
        <v>79</v>
      </c>
      <c r="C2" s="1"/>
      <c r="D2" s="1"/>
      <c r="E2" s="1"/>
      <c r="F2" s="1"/>
    </row>
    <row r="3" spans="1:6" ht="18.5" x14ac:dyDescent="0.45">
      <c r="A3" s="1" t="s">
        <v>80</v>
      </c>
      <c r="B3" s="1"/>
      <c r="C3" s="1"/>
      <c r="D3" s="1"/>
      <c r="E3" s="1"/>
      <c r="F3" s="1"/>
    </row>
    <row r="4" spans="1:6" ht="18.5" x14ac:dyDescent="0.45">
      <c r="A4" s="1" t="s">
        <v>444</v>
      </c>
      <c r="B4" s="1"/>
      <c r="C4" s="1"/>
      <c r="D4" s="1"/>
      <c r="E4" s="1"/>
      <c r="F4" s="1"/>
    </row>
    <row r="5" spans="1:6" ht="18.5" x14ac:dyDescent="0.45">
      <c r="A5" s="1" t="s">
        <v>81</v>
      </c>
      <c r="B5" s="1"/>
      <c r="C5" s="1"/>
      <c r="D5" s="1"/>
      <c r="E5" s="1"/>
      <c r="F5" s="1"/>
    </row>
    <row r="6" spans="1:6" ht="18.5" x14ac:dyDescent="0.45">
      <c r="A6" s="1" t="s">
        <v>101</v>
      </c>
      <c r="B6" s="1"/>
      <c r="C6" s="1"/>
      <c r="D6" s="1" t="s">
        <v>82</v>
      </c>
      <c r="E6" s="1"/>
      <c r="F6" s="1"/>
    </row>
    <row r="7" spans="1:6" x14ac:dyDescent="0.35">
      <c r="A7" s="19" t="s">
        <v>5</v>
      </c>
      <c r="B7" s="20" t="s">
        <v>6</v>
      </c>
      <c r="C7" s="20" t="s">
        <v>7</v>
      </c>
      <c r="D7" s="20" t="s">
        <v>8</v>
      </c>
      <c r="E7" s="20" t="s">
        <v>9</v>
      </c>
      <c r="F7" s="20" t="s">
        <v>10</v>
      </c>
    </row>
    <row r="8" spans="1:6" x14ac:dyDescent="0.35">
      <c r="A8" s="23">
        <v>44724</v>
      </c>
      <c r="B8" s="24">
        <v>60</v>
      </c>
      <c r="C8" s="24" t="s">
        <v>103</v>
      </c>
      <c r="D8" s="25">
        <v>120000</v>
      </c>
      <c r="E8" s="25">
        <v>120000</v>
      </c>
      <c r="F8" s="25">
        <v>480000</v>
      </c>
    </row>
    <row r="9" spans="1:6" x14ac:dyDescent="0.35">
      <c r="A9" s="24" t="s">
        <v>83</v>
      </c>
      <c r="B9" s="24">
        <v>61</v>
      </c>
      <c r="C9" s="24" t="s">
        <v>14</v>
      </c>
      <c r="D9" s="25">
        <v>20000</v>
      </c>
      <c r="E9" s="25">
        <f>SUM(E8+D9)</f>
        <v>140000</v>
      </c>
      <c r="F9" s="25">
        <f>F8-D9</f>
        <v>460000</v>
      </c>
    </row>
    <row r="10" spans="1:6" x14ac:dyDescent="0.35">
      <c r="A10" s="24" t="s">
        <v>84</v>
      </c>
      <c r="B10" s="24">
        <v>913</v>
      </c>
      <c r="C10" s="24" t="s">
        <v>14</v>
      </c>
      <c r="D10" s="25">
        <v>20000</v>
      </c>
      <c r="E10" s="25">
        <f t="shared" ref="E10:E34" si="0">SUM(E9+D10)</f>
        <v>160000</v>
      </c>
      <c r="F10" s="25">
        <f t="shared" ref="F10:F34" si="1">F9-D10</f>
        <v>440000</v>
      </c>
    </row>
    <row r="11" spans="1:6" x14ac:dyDescent="0.35">
      <c r="A11" s="24" t="s">
        <v>85</v>
      </c>
      <c r="B11" s="24">
        <v>962</v>
      </c>
      <c r="C11" s="24" t="s">
        <v>14</v>
      </c>
      <c r="D11" s="25">
        <v>10000</v>
      </c>
      <c r="E11" s="25">
        <f t="shared" si="0"/>
        <v>170000</v>
      </c>
      <c r="F11" s="25">
        <f t="shared" si="1"/>
        <v>430000</v>
      </c>
    </row>
    <row r="12" spans="1:6" x14ac:dyDescent="0.35">
      <c r="A12" s="24" t="s">
        <v>86</v>
      </c>
      <c r="B12" s="24">
        <v>2853</v>
      </c>
      <c r="C12" s="24" t="s">
        <v>14</v>
      </c>
      <c r="D12" s="25">
        <v>10000</v>
      </c>
      <c r="E12" s="25">
        <f t="shared" si="0"/>
        <v>180000</v>
      </c>
      <c r="F12" s="25">
        <f t="shared" si="1"/>
        <v>420000</v>
      </c>
    </row>
    <row r="13" spans="1:6" x14ac:dyDescent="0.35">
      <c r="A13" s="24" t="s">
        <v>87</v>
      </c>
      <c r="B13" s="24">
        <v>3231</v>
      </c>
      <c r="C13" s="24" t="s">
        <v>14</v>
      </c>
      <c r="D13" s="25">
        <v>10000</v>
      </c>
      <c r="E13" s="25">
        <f t="shared" si="0"/>
        <v>190000</v>
      </c>
      <c r="F13" s="25">
        <f t="shared" si="1"/>
        <v>410000</v>
      </c>
    </row>
    <row r="14" spans="1:6" x14ac:dyDescent="0.35">
      <c r="A14" s="24" t="s">
        <v>88</v>
      </c>
      <c r="B14" s="24">
        <v>3816</v>
      </c>
      <c r="C14" s="24" t="s">
        <v>14</v>
      </c>
      <c r="D14" s="25">
        <v>10000</v>
      </c>
      <c r="E14" s="25">
        <f t="shared" si="0"/>
        <v>200000</v>
      </c>
      <c r="F14" s="25">
        <f t="shared" si="1"/>
        <v>400000</v>
      </c>
    </row>
    <row r="15" spans="1:6" x14ac:dyDescent="0.35">
      <c r="A15" s="24" t="s">
        <v>89</v>
      </c>
      <c r="B15" s="24">
        <v>4492</v>
      </c>
      <c r="C15" s="24" t="s">
        <v>14</v>
      </c>
      <c r="D15" s="25">
        <v>10000</v>
      </c>
      <c r="E15" s="25">
        <f t="shared" si="0"/>
        <v>210000</v>
      </c>
      <c r="F15" s="25">
        <f t="shared" si="1"/>
        <v>390000</v>
      </c>
    </row>
    <row r="16" spans="1:6" x14ac:dyDescent="0.35">
      <c r="A16" s="24" t="s">
        <v>41</v>
      </c>
      <c r="B16" s="24">
        <v>5137</v>
      </c>
      <c r="C16" s="24" t="s">
        <v>14</v>
      </c>
      <c r="D16" s="25">
        <v>10000</v>
      </c>
      <c r="E16" s="25">
        <f t="shared" si="0"/>
        <v>220000</v>
      </c>
      <c r="F16" s="25">
        <f t="shared" si="1"/>
        <v>380000</v>
      </c>
    </row>
    <row r="17" spans="1:6" x14ac:dyDescent="0.35">
      <c r="A17" s="24" t="s">
        <v>90</v>
      </c>
      <c r="B17" s="24">
        <v>5877</v>
      </c>
      <c r="C17" s="24" t="s">
        <v>14</v>
      </c>
      <c r="D17" s="25">
        <v>10000</v>
      </c>
      <c r="E17" s="25">
        <f t="shared" si="0"/>
        <v>230000</v>
      </c>
      <c r="F17" s="25">
        <f t="shared" si="1"/>
        <v>370000</v>
      </c>
    </row>
    <row r="18" spans="1:6" x14ac:dyDescent="0.35">
      <c r="A18" s="24" t="s">
        <v>102</v>
      </c>
      <c r="B18" s="24">
        <v>6486</v>
      </c>
      <c r="C18" s="24" t="s">
        <v>14</v>
      </c>
      <c r="D18" s="25">
        <v>10000</v>
      </c>
      <c r="E18" s="25">
        <f t="shared" si="0"/>
        <v>240000</v>
      </c>
      <c r="F18" s="25">
        <f t="shared" si="1"/>
        <v>360000</v>
      </c>
    </row>
    <row r="19" spans="1:6" x14ac:dyDescent="0.35">
      <c r="A19" s="24" t="s">
        <v>104</v>
      </c>
      <c r="B19" s="24">
        <v>6804</v>
      </c>
      <c r="C19" s="24" t="s">
        <v>14</v>
      </c>
      <c r="D19" s="25">
        <v>10000</v>
      </c>
      <c r="E19" s="25">
        <f t="shared" si="0"/>
        <v>250000</v>
      </c>
      <c r="F19" s="25">
        <f t="shared" si="1"/>
        <v>350000</v>
      </c>
    </row>
    <row r="20" spans="1:6" x14ac:dyDescent="0.35">
      <c r="A20" s="24" t="s">
        <v>94</v>
      </c>
      <c r="B20" s="24">
        <v>7614</v>
      </c>
      <c r="C20" s="24" t="s">
        <v>14</v>
      </c>
      <c r="D20" s="25">
        <v>10000</v>
      </c>
      <c r="E20" s="25">
        <f t="shared" si="0"/>
        <v>260000</v>
      </c>
      <c r="F20" s="25">
        <f t="shared" si="1"/>
        <v>340000</v>
      </c>
    </row>
    <row r="21" spans="1:6" x14ac:dyDescent="0.35">
      <c r="A21" s="23">
        <v>45417</v>
      </c>
      <c r="B21" s="24">
        <v>8244</v>
      </c>
      <c r="C21" s="24" t="s">
        <v>14</v>
      </c>
      <c r="D21" s="25">
        <v>10000</v>
      </c>
      <c r="E21" s="25">
        <f t="shared" si="0"/>
        <v>270000</v>
      </c>
      <c r="F21" s="25">
        <f t="shared" si="1"/>
        <v>330000</v>
      </c>
    </row>
    <row r="22" spans="1:6" x14ac:dyDescent="0.35">
      <c r="A22" s="24" t="s">
        <v>95</v>
      </c>
      <c r="B22" s="24">
        <v>9102</v>
      </c>
      <c r="C22" s="24" t="s">
        <v>14</v>
      </c>
      <c r="D22" s="25">
        <v>10000</v>
      </c>
      <c r="E22" s="25">
        <f t="shared" si="0"/>
        <v>280000</v>
      </c>
      <c r="F22" s="25">
        <f t="shared" si="1"/>
        <v>320000</v>
      </c>
    </row>
    <row r="23" spans="1:6" x14ac:dyDescent="0.35">
      <c r="A23" s="23">
        <v>45451</v>
      </c>
      <c r="B23" s="24">
        <v>10057</v>
      </c>
      <c r="C23" s="24" t="s">
        <v>14</v>
      </c>
      <c r="D23" s="25">
        <v>10000</v>
      </c>
      <c r="E23" s="25">
        <f t="shared" si="0"/>
        <v>290000</v>
      </c>
      <c r="F23" s="25">
        <f t="shared" si="1"/>
        <v>310000</v>
      </c>
    </row>
    <row r="24" spans="1:6" x14ac:dyDescent="0.35">
      <c r="A24" s="24" t="s">
        <v>105</v>
      </c>
      <c r="B24" s="24">
        <v>382</v>
      </c>
      <c r="C24" s="24" t="s">
        <v>14</v>
      </c>
      <c r="D24" s="25">
        <v>20000</v>
      </c>
      <c r="E24" s="25">
        <f t="shared" si="0"/>
        <v>310000</v>
      </c>
      <c r="F24" s="25">
        <f t="shared" si="1"/>
        <v>290000</v>
      </c>
    </row>
    <row r="25" spans="1:6" x14ac:dyDescent="0.35">
      <c r="A25" s="23" t="s">
        <v>96</v>
      </c>
      <c r="B25" s="24">
        <v>12738</v>
      </c>
      <c r="C25" s="24" t="s">
        <v>14</v>
      </c>
      <c r="D25" s="25">
        <v>10000</v>
      </c>
      <c r="E25" s="25">
        <f t="shared" si="0"/>
        <v>320000</v>
      </c>
      <c r="F25" s="25">
        <f t="shared" si="1"/>
        <v>280000</v>
      </c>
    </row>
    <row r="26" spans="1:6" x14ac:dyDescent="0.35">
      <c r="A26" s="24" t="s">
        <v>106</v>
      </c>
      <c r="B26" s="24">
        <v>12973</v>
      </c>
      <c r="C26" s="24" t="s">
        <v>14</v>
      </c>
      <c r="D26" s="25">
        <v>20000</v>
      </c>
      <c r="E26" s="25">
        <f t="shared" si="0"/>
        <v>340000</v>
      </c>
      <c r="F26" s="25">
        <f t="shared" si="1"/>
        <v>260000</v>
      </c>
    </row>
    <row r="27" spans="1:6" x14ac:dyDescent="0.35">
      <c r="A27" s="23">
        <v>45666</v>
      </c>
      <c r="B27" s="24">
        <v>12594</v>
      </c>
      <c r="C27" s="24" t="s">
        <v>14</v>
      </c>
      <c r="D27" s="25">
        <v>10000</v>
      </c>
      <c r="E27" s="25">
        <f t="shared" si="0"/>
        <v>350000</v>
      </c>
      <c r="F27" s="25">
        <f t="shared" si="1"/>
        <v>250000</v>
      </c>
    </row>
    <row r="28" spans="1:6" x14ac:dyDescent="0.35">
      <c r="A28" s="24" t="s">
        <v>107</v>
      </c>
      <c r="B28" s="24">
        <v>13547</v>
      </c>
      <c r="C28" s="24" t="s">
        <v>14</v>
      </c>
      <c r="D28" s="25">
        <v>10000</v>
      </c>
      <c r="E28" s="25">
        <f t="shared" si="0"/>
        <v>360000</v>
      </c>
      <c r="F28" s="25">
        <f t="shared" si="1"/>
        <v>240000</v>
      </c>
    </row>
    <row r="29" spans="1:6" x14ac:dyDescent="0.35">
      <c r="A29" s="23">
        <v>45759</v>
      </c>
      <c r="B29" s="24">
        <v>13274</v>
      </c>
      <c r="C29" s="24" t="s">
        <v>14</v>
      </c>
      <c r="D29" s="25">
        <v>20000</v>
      </c>
      <c r="E29" s="25">
        <f t="shared" si="0"/>
        <v>380000</v>
      </c>
      <c r="F29" s="25">
        <f t="shared" si="1"/>
        <v>220000</v>
      </c>
    </row>
    <row r="30" spans="1:6" x14ac:dyDescent="0.35">
      <c r="A30" s="24" t="s">
        <v>98</v>
      </c>
      <c r="B30" s="24">
        <v>12208</v>
      </c>
      <c r="C30" s="24" t="s">
        <v>14</v>
      </c>
      <c r="D30" s="25">
        <v>20000</v>
      </c>
      <c r="E30" s="25">
        <f t="shared" si="0"/>
        <v>400000</v>
      </c>
      <c r="F30" s="25">
        <f t="shared" si="1"/>
        <v>200000</v>
      </c>
    </row>
    <row r="31" spans="1:6" x14ac:dyDescent="0.35">
      <c r="A31" s="23">
        <v>46358</v>
      </c>
      <c r="B31" s="24">
        <v>12442</v>
      </c>
      <c r="C31" s="24" t="s">
        <v>14</v>
      </c>
      <c r="D31" s="25">
        <v>10000</v>
      </c>
      <c r="E31" s="25">
        <f t="shared" si="0"/>
        <v>410000</v>
      </c>
      <c r="F31" s="25">
        <f t="shared" si="1"/>
        <v>190000</v>
      </c>
    </row>
    <row r="32" spans="1:6" x14ac:dyDescent="0.35">
      <c r="A32" s="24" t="s">
        <v>99</v>
      </c>
      <c r="B32" s="24">
        <v>12577</v>
      </c>
      <c r="C32" s="24" t="s">
        <v>14</v>
      </c>
      <c r="D32" s="25">
        <v>20000</v>
      </c>
      <c r="E32" s="25">
        <f t="shared" si="0"/>
        <v>430000</v>
      </c>
      <c r="F32" s="25">
        <f t="shared" si="1"/>
        <v>170000</v>
      </c>
    </row>
    <row r="33" spans="1:6" x14ac:dyDescent="0.35">
      <c r="A33" s="23" t="s">
        <v>242</v>
      </c>
      <c r="B33" s="24">
        <v>13985</v>
      </c>
      <c r="C33" s="24" t="s">
        <v>14</v>
      </c>
      <c r="D33" s="25">
        <v>10000</v>
      </c>
      <c r="E33" s="25">
        <f t="shared" si="0"/>
        <v>440000</v>
      </c>
      <c r="F33" s="25">
        <f t="shared" si="1"/>
        <v>160000</v>
      </c>
    </row>
    <row r="34" spans="1:6" x14ac:dyDescent="0.35">
      <c r="A34" t="s">
        <v>443</v>
      </c>
      <c r="B34" s="52">
        <v>13076</v>
      </c>
      <c r="C34" s="24" t="s">
        <v>14</v>
      </c>
      <c r="D34" s="25">
        <v>10000</v>
      </c>
      <c r="E34" s="25">
        <f t="shared" si="0"/>
        <v>450000</v>
      </c>
      <c r="F34" s="25">
        <f t="shared" si="1"/>
        <v>150000</v>
      </c>
    </row>
    <row r="35" spans="1:6" x14ac:dyDescent="0.35">
      <c r="A35" t="s">
        <v>720</v>
      </c>
      <c r="B35" s="52">
        <v>13486</v>
      </c>
      <c r="C35" s="52" t="s">
        <v>14</v>
      </c>
      <c r="D35" s="18">
        <v>20000</v>
      </c>
      <c r="E35" s="18">
        <f>E34+D35</f>
        <v>470000</v>
      </c>
      <c r="F35" s="18">
        <f>F34-D35</f>
        <v>130000</v>
      </c>
    </row>
    <row r="36" spans="1:6" x14ac:dyDescent="0.35">
      <c r="A36" t="s">
        <v>721</v>
      </c>
      <c r="B36" s="52">
        <v>1523</v>
      </c>
      <c r="C36" s="52" t="s">
        <v>14</v>
      </c>
      <c r="D36" s="18">
        <v>10000</v>
      </c>
      <c r="E36" s="18">
        <f>E35+D36</f>
        <v>480000</v>
      </c>
      <c r="F36" s="18">
        <f>F35-D36</f>
        <v>120000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88FB-B8B6-4DE5-BFE7-A12CFEB93F17}">
  <dimension ref="A1:H28"/>
  <sheetViews>
    <sheetView workbookViewId="0">
      <selection activeCell="K5" sqref="K5"/>
    </sheetView>
  </sheetViews>
  <sheetFormatPr defaultRowHeight="14.5" x14ac:dyDescent="0.35"/>
  <cols>
    <col min="1" max="1" width="10.81640625" customWidth="1"/>
    <col min="3" max="3" width="13.7265625" customWidth="1"/>
    <col min="4" max="4" width="13.54296875" customWidth="1"/>
    <col min="6" max="6" width="13.54296875" customWidth="1"/>
  </cols>
  <sheetData>
    <row r="1" spans="1:8" ht="18.5" x14ac:dyDescent="0.45">
      <c r="A1" s="1" t="s">
        <v>188</v>
      </c>
      <c r="B1" s="1"/>
      <c r="C1" s="1"/>
      <c r="D1" s="1"/>
      <c r="E1" s="1"/>
      <c r="F1" s="1"/>
    </row>
    <row r="2" spans="1:8" ht="18.5" x14ac:dyDescent="0.45">
      <c r="A2" s="1" t="s">
        <v>189</v>
      </c>
      <c r="B2" s="1"/>
      <c r="C2" s="1"/>
      <c r="D2" s="1"/>
      <c r="E2" s="1"/>
      <c r="F2" s="1"/>
    </row>
    <row r="3" spans="1:8" ht="18.5" x14ac:dyDescent="0.45">
      <c r="A3" s="1" t="s">
        <v>190</v>
      </c>
      <c r="B3" s="1"/>
      <c r="C3" s="1"/>
      <c r="D3" s="1"/>
      <c r="E3" s="1"/>
      <c r="F3" s="1"/>
    </row>
    <row r="4" spans="1:8" ht="18.5" x14ac:dyDescent="0.45">
      <c r="A4" s="1" t="s">
        <v>241</v>
      </c>
      <c r="B4" s="1"/>
      <c r="C4" s="1"/>
      <c r="D4" s="1"/>
      <c r="E4" s="1"/>
      <c r="F4" s="1"/>
    </row>
    <row r="5" spans="1:8" ht="18.5" x14ac:dyDescent="0.45">
      <c r="A5" s="1" t="s">
        <v>191</v>
      </c>
      <c r="B5" s="1"/>
      <c r="C5" s="1"/>
      <c r="D5" s="1"/>
      <c r="E5" s="1"/>
      <c r="F5" s="1"/>
      <c r="H5" t="s">
        <v>187</v>
      </c>
    </row>
    <row r="6" spans="1:8" ht="18.5" x14ac:dyDescent="0.45">
      <c r="A6" s="1" t="s">
        <v>240</v>
      </c>
      <c r="B6" s="1"/>
      <c r="C6" s="1"/>
      <c r="D6" s="1" t="s">
        <v>192</v>
      </c>
      <c r="E6" s="1"/>
      <c r="F6" s="1"/>
    </row>
    <row r="7" spans="1:8" x14ac:dyDescent="0.35">
      <c r="A7" s="24" t="s">
        <v>5</v>
      </c>
      <c r="B7" s="24" t="s">
        <v>6</v>
      </c>
      <c r="C7" s="24" t="s">
        <v>7</v>
      </c>
      <c r="D7" s="24" t="s">
        <v>8</v>
      </c>
      <c r="E7" s="24" t="s">
        <v>9</v>
      </c>
      <c r="F7" s="24" t="s">
        <v>10</v>
      </c>
    </row>
    <row r="8" spans="1:8" x14ac:dyDescent="0.35">
      <c r="A8" s="23">
        <v>44846</v>
      </c>
      <c r="B8" s="24">
        <v>2852</v>
      </c>
      <c r="C8" s="24" t="s">
        <v>194</v>
      </c>
      <c r="D8" s="25">
        <v>150000</v>
      </c>
      <c r="E8" s="25">
        <v>150000</v>
      </c>
      <c r="F8" s="25">
        <v>325000</v>
      </c>
    </row>
    <row r="9" spans="1:8" x14ac:dyDescent="0.35">
      <c r="A9" s="23">
        <v>44960</v>
      </c>
      <c r="B9" s="24">
        <v>2861</v>
      </c>
      <c r="C9" s="24" t="s">
        <v>14</v>
      </c>
      <c r="D9" s="25">
        <v>10000</v>
      </c>
      <c r="E9" s="25">
        <f>SUM(E8+D9)</f>
        <v>160000</v>
      </c>
      <c r="F9" s="25">
        <f>F8-D9</f>
        <v>315000</v>
      </c>
    </row>
    <row r="10" spans="1:8" x14ac:dyDescent="0.35">
      <c r="A10" s="23">
        <v>45265</v>
      </c>
      <c r="B10" s="24">
        <v>1561</v>
      </c>
      <c r="C10" s="24" t="s">
        <v>14</v>
      </c>
      <c r="D10" s="25">
        <v>20000</v>
      </c>
      <c r="E10" s="25">
        <f t="shared" ref="E10:E28" si="0">SUM(E9+D10)</f>
        <v>180000</v>
      </c>
      <c r="F10" s="25">
        <f t="shared" ref="F10:F28" si="1">F9-D10</f>
        <v>295000</v>
      </c>
    </row>
    <row r="11" spans="1:8" x14ac:dyDescent="0.35">
      <c r="A11" s="23">
        <v>45176</v>
      </c>
      <c r="B11" s="24">
        <v>2630</v>
      </c>
      <c r="C11" s="24" t="s">
        <v>14</v>
      </c>
      <c r="D11" s="25">
        <v>20000</v>
      </c>
      <c r="E11" s="25">
        <f t="shared" si="0"/>
        <v>200000</v>
      </c>
      <c r="F11" s="25">
        <f t="shared" si="1"/>
        <v>275000</v>
      </c>
    </row>
    <row r="12" spans="1:8" x14ac:dyDescent="0.35">
      <c r="A12" s="23">
        <v>45146</v>
      </c>
      <c r="B12" s="24">
        <v>2289</v>
      </c>
      <c r="C12" s="24" t="s">
        <v>14</v>
      </c>
      <c r="D12" s="25">
        <v>10000</v>
      </c>
      <c r="E12" s="25">
        <f t="shared" si="0"/>
        <v>210000</v>
      </c>
      <c r="F12" s="25">
        <f t="shared" si="1"/>
        <v>265000</v>
      </c>
    </row>
    <row r="13" spans="1:8" x14ac:dyDescent="0.35">
      <c r="A13" s="23">
        <v>45239</v>
      </c>
      <c r="B13" s="24">
        <v>3534</v>
      </c>
      <c r="C13" s="24" t="s">
        <v>14</v>
      </c>
      <c r="D13" s="25">
        <v>10000</v>
      </c>
      <c r="E13" s="25">
        <f t="shared" si="0"/>
        <v>220000</v>
      </c>
      <c r="F13" s="25">
        <f t="shared" si="1"/>
        <v>255000</v>
      </c>
    </row>
    <row r="14" spans="1:8" x14ac:dyDescent="0.35">
      <c r="A14" s="23">
        <v>45209</v>
      </c>
      <c r="B14" s="24">
        <v>4176</v>
      </c>
      <c r="C14" s="24" t="s">
        <v>14</v>
      </c>
      <c r="D14" s="25">
        <v>10000</v>
      </c>
      <c r="E14" s="25">
        <f t="shared" si="0"/>
        <v>230000</v>
      </c>
      <c r="F14" s="25">
        <f t="shared" si="1"/>
        <v>245000</v>
      </c>
    </row>
    <row r="15" spans="1:8" x14ac:dyDescent="0.35">
      <c r="A15" s="23">
        <v>45118</v>
      </c>
      <c r="B15" s="24">
        <v>4681</v>
      </c>
      <c r="C15" s="24" t="s">
        <v>14</v>
      </c>
      <c r="D15" s="25">
        <v>10000</v>
      </c>
      <c r="E15" s="25">
        <f t="shared" si="0"/>
        <v>240000</v>
      </c>
      <c r="F15" s="25">
        <f t="shared" si="1"/>
        <v>235000</v>
      </c>
    </row>
    <row r="16" spans="1:8" x14ac:dyDescent="0.35">
      <c r="A16" s="24" t="s">
        <v>120</v>
      </c>
      <c r="B16" s="24">
        <v>5596</v>
      </c>
      <c r="C16" s="24" t="s">
        <v>14</v>
      </c>
      <c r="D16" s="25">
        <v>10000</v>
      </c>
      <c r="E16" s="25">
        <f t="shared" si="0"/>
        <v>250000</v>
      </c>
      <c r="F16" s="25">
        <f t="shared" si="1"/>
        <v>225000</v>
      </c>
    </row>
    <row r="17" spans="1:6" x14ac:dyDescent="0.35">
      <c r="A17" s="24" t="s">
        <v>193</v>
      </c>
      <c r="B17" s="24">
        <v>6232</v>
      </c>
      <c r="C17" s="24" t="s">
        <v>14</v>
      </c>
      <c r="D17" s="25">
        <v>10000</v>
      </c>
      <c r="E17" s="25">
        <f t="shared" si="0"/>
        <v>260000</v>
      </c>
      <c r="F17" s="25">
        <f t="shared" si="1"/>
        <v>215000</v>
      </c>
    </row>
    <row r="18" spans="1:6" x14ac:dyDescent="0.35">
      <c r="A18" s="23">
        <v>45598</v>
      </c>
      <c r="B18" s="24">
        <v>7073</v>
      </c>
      <c r="C18" s="24" t="s">
        <v>14</v>
      </c>
      <c r="D18" s="25">
        <v>10000</v>
      </c>
      <c r="E18" s="25">
        <f t="shared" si="0"/>
        <v>270000</v>
      </c>
      <c r="F18" s="25">
        <f t="shared" si="1"/>
        <v>205000</v>
      </c>
    </row>
    <row r="19" spans="1:6" x14ac:dyDescent="0.35">
      <c r="A19" s="23">
        <v>45568</v>
      </c>
      <c r="B19" s="24">
        <v>7227</v>
      </c>
      <c r="C19" s="24" t="s">
        <v>14</v>
      </c>
      <c r="D19" s="25">
        <v>10000</v>
      </c>
      <c r="E19" s="25">
        <f t="shared" si="0"/>
        <v>280000</v>
      </c>
      <c r="F19" s="25">
        <f t="shared" si="1"/>
        <v>195000</v>
      </c>
    </row>
    <row r="20" spans="1:6" x14ac:dyDescent="0.35">
      <c r="A20" s="24" t="s">
        <v>195</v>
      </c>
      <c r="B20" s="24">
        <v>9745</v>
      </c>
      <c r="C20" s="24" t="s">
        <v>14</v>
      </c>
      <c r="D20" s="25">
        <v>40000</v>
      </c>
      <c r="E20" s="25">
        <f t="shared" si="0"/>
        <v>320000</v>
      </c>
      <c r="F20" s="25">
        <f t="shared" si="1"/>
        <v>155000</v>
      </c>
    </row>
    <row r="21" spans="1:6" x14ac:dyDescent="0.35">
      <c r="A21" s="24" t="s">
        <v>196</v>
      </c>
      <c r="B21" s="24">
        <v>11198</v>
      </c>
      <c r="C21" s="24" t="s">
        <v>14</v>
      </c>
      <c r="D21" s="25">
        <v>10000</v>
      </c>
      <c r="E21" s="25">
        <f t="shared" si="0"/>
        <v>330000</v>
      </c>
      <c r="F21" s="25">
        <f t="shared" si="1"/>
        <v>145000</v>
      </c>
    </row>
    <row r="22" spans="1:6" x14ac:dyDescent="0.35">
      <c r="A22" s="23">
        <v>45605</v>
      </c>
      <c r="B22" s="24">
        <v>356</v>
      </c>
      <c r="C22" s="24" t="s">
        <v>14</v>
      </c>
      <c r="D22" s="25">
        <v>10000</v>
      </c>
      <c r="E22" s="25">
        <f t="shared" si="0"/>
        <v>340000</v>
      </c>
      <c r="F22" s="25">
        <f t="shared" si="1"/>
        <v>135000</v>
      </c>
    </row>
    <row r="23" spans="1:6" x14ac:dyDescent="0.35">
      <c r="A23" s="24" t="s">
        <v>197</v>
      </c>
      <c r="B23" s="24">
        <v>10227</v>
      </c>
      <c r="C23" s="24" t="s">
        <v>14</v>
      </c>
      <c r="D23" s="25">
        <v>10000</v>
      </c>
      <c r="E23" s="25">
        <f t="shared" si="0"/>
        <v>350000</v>
      </c>
      <c r="F23" s="25">
        <f t="shared" si="1"/>
        <v>125000</v>
      </c>
    </row>
    <row r="24" spans="1:6" x14ac:dyDescent="0.35">
      <c r="A24" s="24" t="s">
        <v>198</v>
      </c>
      <c r="B24" s="24">
        <v>12801</v>
      </c>
      <c r="C24" s="24" t="s">
        <v>14</v>
      </c>
      <c r="D24" s="25">
        <v>10000</v>
      </c>
      <c r="E24" s="25">
        <f t="shared" si="0"/>
        <v>360000</v>
      </c>
      <c r="F24" s="25">
        <f t="shared" si="1"/>
        <v>115000</v>
      </c>
    </row>
    <row r="25" spans="1:6" x14ac:dyDescent="0.35">
      <c r="A25" s="23">
        <v>45933</v>
      </c>
      <c r="B25" s="24">
        <v>9693</v>
      </c>
      <c r="C25" s="24" t="s">
        <v>14</v>
      </c>
      <c r="D25" s="25">
        <v>10000</v>
      </c>
      <c r="E25" s="25">
        <f t="shared" si="0"/>
        <v>370000</v>
      </c>
      <c r="F25" s="25">
        <f t="shared" si="1"/>
        <v>105000</v>
      </c>
    </row>
    <row r="26" spans="1:6" x14ac:dyDescent="0.35">
      <c r="A26" s="24" t="s">
        <v>199</v>
      </c>
      <c r="B26" s="24">
        <v>10418</v>
      </c>
      <c r="C26" s="24" t="s">
        <v>14</v>
      </c>
      <c r="D26" s="25">
        <v>10000</v>
      </c>
      <c r="E26" s="25">
        <f t="shared" si="0"/>
        <v>380000</v>
      </c>
      <c r="F26" s="25">
        <f t="shared" si="1"/>
        <v>95000</v>
      </c>
    </row>
    <row r="27" spans="1:6" x14ac:dyDescent="0.35">
      <c r="A27" s="24" t="s">
        <v>200</v>
      </c>
      <c r="B27" s="24">
        <v>12257</v>
      </c>
      <c r="C27" s="24" t="s">
        <v>14</v>
      </c>
      <c r="D27" s="25">
        <v>20000</v>
      </c>
      <c r="E27" s="25">
        <f t="shared" si="0"/>
        <v>400000</v>
      </c>
      <c r="F27" s="25">
        <f t="shared" si="1"/>
        <v>75000</v>
      </c>
    </row>
    <row r="28" spans="1:6" x14ac:dyDescent="0.35">
      <c r="A28" s="24" t="s">
        <v>201</v>
      </c>
      <c r="B28" s="24">
        <v>12458</v>
      </c>
      <c r="C28" s="24" t="s">
        <v>14</v>
      </c>
      <c r="D28" s="25">
        <v>75000</v>
      </c>
      <c r="E28" s="25">
        <f t="shared" si="0"/>
        <v>475000</v>
      </c>
      <c r="F28" s="25">
        <f t="shared" si="1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E63F-3B14-40A4-9902-F7FCDF548BFF}">
  <dimension ref="A1:F47"/>
  <sheetViews>
    <sheetView topLeftCell="A41" workbookViewId="0">
      <selection activeCell="A27" sqref="A27:F47"/>
    </sheetView>
  </sheetViews>
  <sheetFormatPr defaultRowHeight="14.5" x14ac:dyDescent="0.35"/>
  <cols>
    <col min="1" max="1" width="13.26953125" bestFit="1" customWidth="1"/>
    <col min="3" max="3" width="14.26953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257</v>
      </c>
      <c r="B1" s="1"/>
      <c r="C1" s="2"/>
      <c r="D1" s="1"/>
      <c r="E1" s="1"/>
      <c r="F1" s="1"/>
    </row>
    <row r="2" spans="1:6" ht="18.5" x14ac:dyDescent="0.45">
      <c r="A2" s="1" t="s">
        <v>258</v>
      </c>
      <c r="C2" s="1"/>
      <c r="D2" s="1"/>
      <c r="E2" s="1"/>
      <c r="F2" s="1"/>
    </row>
    <row r="3" spans="1:6" ht="18.5" x14ac:dyDescent="0.45">
      <c r="A3" s="1" t="s">
        <v>259</v>
      </c>
      <c r="B3" s="1"/>
      <c r="C3" s="1"/>
      <c r="D3" s="1"/>
      <c r="E3" s="1"/>
      <c r="F3" s="1"/>
    </row>
    <row r="4" spans="1:6" ht="18.5" x14ac:dyDescent="0.45">
      <c r="A4" s="1" t="s">
        <v>469</v>
      </c>
      <c r="B4" s="1" t="s">
        <v>747</v>
      </c>
      <c r="C4" s="1"/>
      <c r="D4" s="1"/>
      <c r="E4" s="1"/>
      <c r="F4" s="1"/>
    </row>
    <row r="5" spans="1:6" ht="18.5" x14ac:dyDescent="0.45">
      <c r="A5" s="1" t="s">
        <v>260</v>
      </c>
      <c r="B5" s="1"/>
      <c r="C5" s="1"/>
      <c r="D5" s="1"/>
      <c r="E5" s="1"/>
      <c r="F5" s="1"/>
    </row>
    <row r="6" spans="1:6" ht="18.5" x14ac:dyDescent="0.45">
      <c r="A6" s="1" t="s">
        <v>261</v>
      </c>
      <c r="B6" s="1"/>
      <c r="C6" s="1"/>
      <c r="D6" s="1"/>
      <c r="E6" s="1" t="s">
        <v>262</v>
      </c>
      <c r="F6" s="1"/>
    </row>
    <row r="7" spans="1:6" x14ac:dyDescent="0.35">
      <c r="A7" s="37" t="s">
        <v>5</v>
      </c>
      <c r="B7" s="38" t="s">
        <v>6</v>
      </c>
      <c r="C7" s="38" t="s">
        <v>7</v>
      </c>
      <c r="D7" s="31" t="s">
        <v>8</v>
      </c>
      <c r="E7" s="31" t="s">
        <v>9</v>
      </c>
      <c r="F7" s="32" t="s">
        <v>10</v>
      </c>
    </row>
    <row r="8" spans="1:6" x14ac:dyDescent="0.35">
      <c r="A8" s="27" t="s">
        <v>263</v>
      </c>
      <c r="B8" s="13">
        <v>1654</v>
      </c>
      <c r="C8" s="13" t="s">
        <v>194</v>
      </c>
      <c r="D8" s="15">
        <v>100000</v>
      </c>
      <c r="E8" s="15">
        <v>100000</v>
      </c>
      <c r="F8" s="30">
        <v>350000</v>
      </c>
    </row>
    <row r="9" spans="1:6" x14ac:dyDescent="0.35">
      <c r="A9" s="28">
        <v>44657</v>
      </c>
      <c r="B9" s="13">
        <v>1655</v>
      </c>
      <c r="C9" s="13" t="s">
        <v>194</v>
      </c>
      <c r="D9" s="15">
        <v>60000</v>
      </c>
      <c r="E9" s="15">
        <f>SUM(E8+D9)</f>
        <v>160000</v>
      </c>
      <c r="F9" s="30">
        <f>F8-D9</f>
        <v>290000</v>
      </c>
    </row>
    <row r="10" spans="1:6" x14ac:dyDescent="0.35">
      <c r="A10" s="27" t="s">
        <v>264</v>
      </c>
      <c r="B10" s="13">
        <v>1656</v>
      </c>
      <c r="C10" s="13" t="s">
        <v>268</v>
      </c>
      <c r="D10" s="15">
        <v>10000</v>
      </c>
      <c r="E10" s="15">
        <f t="shared" ref="E10:E25" si="0">SUM(E9+D10)</f>
        <v>170000</v>
      </c>
      <c r="F10" s="30">
        <f t="shared" ref="F10:F25" si="1">F9-D10</f>
        <v>280000</v>
      </c>
    </row>
    <row r="11" spans="1:6" x14ac:dyDescent="0.35">
      <c r="A11" s="27" t="s">
        <v>83</v>
      </c>
      <c r="B11" s="13">
        <v>76</v>
      </c>
      <c r="C11" s="13" t="s">
        <v>14</v>
      </c>
      <c r="D11" s="15">
        <v>20000</v>
      </c>
      <c r="E11" s="15">
        <f t="shared" si="0"/>
        <v>190000</v>
      </c>
      <c r="F11" s="30">
        <f t="shared" si="1"/>
        <v>260000</v>
      </c>
    </row>
    <row r="12" spans="1:6" x14ac:dyDescent="0.35">
      <c r="A12" s="27" t="s">
        <v>265</v>
      </c>
      <c r="B12" s="13">
        <v>1657</v>
      </c>
      <c r="C12" s="13" t="s">
        <v>14</v>
      </c>
      <c r="D12" s="15">
        <v>65000</v>
      </c>
      <c r="E12" s="15">
        <f t="shared" si="0"/>
        <v>255000</v>
      </c>
      <c r="F12" s="30">
        <f t="shared" si="1"/>
        <v>195000</v>
      </c>
    </row>
    <row r="13" spans="1:6" x14ac:dyDescent="0.35">
      <c r="A13" s="29">
        <v>45113</v>
      </c>
      <c r="B13" s="13">
        <v>1884</v>
      </c>
      <c r="C13" s="13" t="s">
        <v>14</v>
      </c>
      <c r="D13" s="15">
        <v>10000</v>
      </c>
      <c r="E13" s="15">
        <f t="shared" si="0"/>
        <v>265000</v>
      </c>
      <c r="F13" s="30">
        <f t="shared" si="1"/>
        <v>185000</v>
      </c>
    </row>
    <row r="14" spans="1:6" x14ac:dyDescent="0.35">
      <c r="A14" s="27" t="s">
        <v>266</v>
      </c>
      <c r="B14" s="13">
        <v>955</v>
      </c>
      <c r="C14" s="13" t="s">
        <v>14</v>
      </c>
      <c r="D14" s="15">
        <v>30000</v>
      </c>
      <c r="E14" s="15">
        <f t="shared" si="0"/>
        <v>295000</v>
      </c>
      <c r="F14" s="30">
        <f t="shared" si="1"/>
        <v>155000</v>
      </c>
    </row>
    <row r="15" spans="1:6" x14ac:dyDescent="0.35">
      <c r="A15" s="29">
        <v>45085</v>
      </c>
      <c r="B15" s="13">
        <v>2238</v>
      </c>
      <c r="C15" s="13" t="s">
        <v>14</v>
      </c>
      <c r="D15" s="15">
        <v>10000</v>
      </c>
      <c r="E15" s="15">
        <f t="shared" si="0"/>
        <v>305000</v>
      </c>
      <c r="F15" s="30">
        <f t="shared" si="1"/>
        <v>145000</v>
      </c>
    </row>
    <row r="16" spans="1:6" x14ac:dyDescent="0.35">
      <c r="A16" s="27" t="s">
        <v>267</v>
      </c>
      <c r="B16" s="13">
        <v>3695</v>
      </c>
      <c r="C16" s="13" t="s">
        <v>14</v>
      </c>
      <c r="D16" s="15">
        <v>10000</v>
      </c>
      <c r="E16" s="15">
        <f t="shared" si="0"/>
        <v>315000</v>
      </c>
      <c r="F16" s="30">
        <f t="shared" si="1"/>
        <v>135000</v>
      </c>
    </row>
    <row r="17" spans="1:6" x14ac:dyDescent="0.35">
      <c r="A17" s="29">
        <v>45057</v>
      </c>
      <c r="B17" s="13">
        <v>4643</v>
      </c>
      <c r="C17" s="13" t="s">
        <v>14</v>
      </c>
      <c r="D17" s="15">
        <v>20000</v>
      </c>
      <c r="E17" s="15">
        <f t="shared" si="0"/>
        <v>335000</v>
      </c>
      <c r="F17" s="30">
        <f t="shared" si="1"/>
        <v>115000</v>
      </c>
    </row>
    <row r="18" spans="1:6" x14ac:dyDescent="0.35">
      <c r="A18" s="27" t="s">
        <v>208</v>
      </c>
      <c r="B18" s="13">
        <v>5763</v>
      </c>
      <c r="C18" s="13" t="s">
        <v>14</v>
      </c>
      <c r="D18" s="15">
        <v>20000</v>
      </c>
      <c r="E18" s="15">
        <f t="shared" si="0"/>
        <v>355000</v>
      </c>
      <c r="F18" s="30">
        <f t="shared" si="1"/>
        <v>95000</v>
      </c>
    </row>
    <row r="19" spans="1:6" x14ac:dyDescent="0.35">
      <c r="A19" s="29">
        <v>45415</v>
      </c>
      <c r="B19" s="13">
        <v>6884</v>
      </c>
      <c r="C19" s="13" t="s">
        <v>14</v>
      </c>
      <c r="D19" s="15">
        <v>20000</v>
      </c>
      <c r="E19" s="15">
        <f t="shared" si="0"/>
        <v>375000</v>
      </c>
      <c r="F19" s="30">
        <f t="shared" si="1"/>
        <v>75000</v>
      </c>
    </row>
    <row r="20" spans="1:6" x14ac:dyDescent="0.35">
      <c r="A20" s="27" t="s">
        <v>269</v>
      </c>
      <c r="B20" s="13">
        <v>8537</v>
      </c>
      <c r="C20" s="13" t="s">
        <v>14</v>
      </c>
      <c r="D20" s="15">
        <v>20000</v>
      </c>
      <c r="E20" s="15">
        <f t="shared" si="0"/>
        <v>395000</v>
      </c>
      <c r="F20" s="30">
        <f t="shared" si="1"/>
        <v>55000</v>
      </c>
    </row>
    <row r="21" spans="1:6" x14ac:dyDescent="0.35">
      <c r="A21" s="29">
        <v>45571</v>
      </c>
      <c r="B21" s="13">
        <v>8975</v>
      </c>
      <c r="C21" s="13" t="s">
        <v>14</v>
      </c>
      <c r="D21" s="15">
        <v>10000</v>
      </c>
      <c r="E21" s="15">
        <f t="shared" si="0"/>
        <v>405000</v>
      </c>
      <c r="F21" s="30">
        <f t="shared" si="1"/>
        <v>45000</v>
      </c>
    </row>
    <row r="22" spans="1:6" x14ac:dyDescent="0.35">
      <c r="A22" s="29">
        <v>45450</v>
      </c>
      <c r="B22" s="13">
        <v>9398</v>
      </c>
      <c r="C22" s="13" t="s">
        <v>14</v>
      </c>
      <c r="D22" s="15">
        <v>10000</v>
      </c>
      <c r="E22" s="15">
        <f t="shared" si="0"/>
        <v>415000</v>
      </c>
      <c r="F22" s="30">
        <f t="shared" si="1"/>
        <v>35000</v>
      </c>
    </row>
    <row r="23" spans="1:6" x14ac:dyDescent="0.35">
      <c r="A23" s="29">
        <v>45451</v>
      </c>
      <c r="B23" s="13">
        <v>10066</v>
      </c>
      <c r="C23" s="13" t="s">
        <v>14</v>
      </c>
      <c r="D23" s="15">
        <v>10000</v>
      </c>
      <c r="E23" s="15">
        <f t="shared" si="0"/>
        <v>425000</v>
      </c>
      <c r="F23" s="30">
        <f t="shared" si="1"/>
        <v>25000</v>
      </c>
    </row>
    <row r="24" spans="1:6" x14ac:dyDescent="0.35">
      <c r="A24" s="29">
        <v>45513</v>
      </c>
      <c r="B24" s="13">
        <v>10580</v>
      </c>
      <c r="C24" s="13" t="s">
        <v>14</v>
      </c>
      <c r="D24" s="15">
        <v>10000</v>
      </c>
      <c r="E24" s="15">
        <f t="shared" si="0"/>
        <v>435000</v>
      </c>
      <c r="F24" s="30">
        <f t="shared" si="1"/>
        <v>15000</v>
      </c>
    </row>
    <row r="25" spans="1:6" x14ac:dyDescent="0.35">
      <c r="A25" s="33">
        <v>45422</v>
      </c>
      <c r="B25" s="34">
        <v>346</v>
      </c>
      <c r="C25" s="34" t="s">
        <v>14</v>
      </c>
      <c r="D25" s="35">
        <v>15000</v>
      </c>
      <c r="E25" s="35">
        <f t="shared" si="0"/>
        <v>450000</v>
      </c>
      <c r="F25" s="36">
        <f t="shared" si="1"/>
        <v>0</v>
      </c>
    </row>
    <row r="26" spans="1:6" ht="18.5" x14ac:dyDescent="0.45">
      <c r="A26" s="56" t="s">
        <v>290</v>
      </c>
      <c r="B26" s="57"/>
      <c r="C26" s="57"/>
      <c r="D26" s="58"/>
      <c r="E26" s="58"/>
      <c r="F26" s="59"/>
    </row>
    <row r="27" spans="1:6" ht="18.5" x14ac:dyDescent="0.45">
      <c r="A27" s="67">
        <v>45422</v>
      </c>
      <c r="B27" s="68"/>
      <c r="C27" s="68" t="s">
        <v>693</v>
      </c>
      <c r="D27" s="68"/>
      <c r="E27" s="68"/>
      <c r="F27" s="68"/>
    </row>
    <row r="28" spans="1:6" ht="18.5" x14ac:dyDescent="0.45">
      <c r="A28" s="67">
        <v>45576</v>
      </c>
      <c r="B28" s="68">
        <v>222</v>
      </c>
      <c r="C28" s="68" t="s">
        <v>693</v>
      </c>
      <c r="D28" s="68">
        <v>15000</v>
      </c>
      <c r="E28" s="68">
        <v>15000</v>
      </c>
      <c r="F28" s="68">
        <v>435000</v>
      </c>
    </row>
    <row r="29" spans="1:6" ht="18.5" x14ac:dyDescent="0.45">
      <c r="A29" s="16">
        <v>45485</v>
      </c>
      <c r="B29" s="13">
        <v>278</v>
      </c>
      <c r="C29" s="68" t="s">
        <v>693</v>
      </c>
      <c r="D29" s="13">
        <v>15000</v>
      </c>
      <c r="E29" s="13">
        <f t="shared" ref="E29:E47" si="2">E28+D29</f>
        <v>30000</v>
      </c>
      <c r="F29" s="13">
        <f t="shared" ref="F29:F47" si="3">F28-D29</f>
        <v>420000</v>
      </c>
    </row>
    <row r="30" spans="1:6" ht="18.5" x14ac:dyDescent="0.45">
      <c r="A30" s="16">
        <v>45748</v>
      </c>
      <c r="B30" s="13">
        <v>536</v>
      </c>
      <c r="C30" s="68" t="s">
        <v>693</v>
      </c>
      <c r="D30" s="15">
        <v>10000</v>
      </c>
      <c r="E30" s="15">
        <f t="shared" si="2"/>
        <v>40000</v>
      </c>
      <c r="F30" s="15">
        <f t="shared" si="3"/>
        <v>410000</v>
      </c>
    </row>
    <row r="31" spans="1:6" ht="18.5" x14ac:dyDescent="0.45">
      <c r="A31" s="16">
        <v>45780</v>
      </c>
      <c r="B31" s="13">
        <v>981</v>
      </c>
      <c r="C31" s="68" t="s">
        <v>693</v>
      </c>
      <c r="D31" s="15">
        <v>20000</v>
      </c>
      <c r="E31" s="15">
        <f t="shared" si="2"/>
        <v>60000</v>
      </c>
      <c r="F31" s="15">
        <f t="shared" si="3"/>
        <v>390000</v>
      </c>
    </row>
    <row r="32" spans="1:6" ht="18.5" x14ac:dyDescent="0.45">
      <c r="A32" s="13" t="s">
        <v>748</v>
      </c>
      <c r="B32" s="13">
        <v>736</v>
      </c>
      <c r="C32" s="68" t="s">
        <v>693</v>
      </c>
      <c r="D32" s="15">
        <v>10000</v>
      </c>
      <c r="E32" s="15">
        <f t="shared" si="2"/>
        <v>70000</v>
      </c>
      <c r="F32" s="15">
        <f t="shared" si="3"/>
        <v>380000</v>
      </c>
    </row>
    <row r="33" spans="1:6" ht="18.5" x14ac:dyDescent="0.45">
      <c r="A33" s="16">
        <v>45782</v>
      </c>
      <c r="B33" s="13">
        <v>10338</v>
      </c>
      <c r="C33" s="68" t="s">
        <v>693</v>
      </c>
      <c r="D33" s="15">
        <v>10000</v>
      </c>
      <c r="E33" s="15">
        <f t="shared" si="2"/>
        <v>80000</v>
      </c>
      <c r="F33" s="15">
        <f t="shared" si="3"/>
        <v>370000</v>
      </c>
    </row>
    <row r="34" spans="1:6" ht="18.5" x14ac:dyDescent="0.45">
      <c r="A34" s="16">
        <v>45783</v>
      </c>
      <c r="B34" s="13">
        <v>637</v>
      </c>
      <c r="C34" s="68" t="s">
        <v>693</v>
      </c>
      <c r="D34" s="15">
        <v>10000</v>
      </c>
      <c r="E34" s="15">
        <f t="shared" si="2"/>
        <v>90000</v>
      </c>
      <c r="F34" s="15">
        <f t="shared" si="3"/>
        <v>360000</v>
      </c>
    </row>
    <row r="35" spans="1:6" ht="18.5" x14ac:dyDescent="0.45">
      <c r="A35" s="16">
        <v>45845</v>
      </c>
      <c r="B35" s="13">
        <v>3030</v>
      </c>
      <c r="C35" s="68" t="s">
        <v>693</v>
      </c>
      <c r="D35" s="15">
        <v>10000</v>
      </c>
      <c r="E35" s="15">
        <f t="shared" si="2"/>
        <v>100000</v>
      </c>
      <c r="F35" s="15">
        <f t="shared" si="3"/>
        <v>350000</v>
      </c>
    </row>
    <row r="36" spans="1:6" ht="18.5" x14ac:dyDescent="0.45">
      <c r="A36" s="16">
        <v>45938</v>
      </c>
      <c r="B36" s="13">
        <v>3926</v>
      </c>
      <c r="C36" s="68" t="s">
        <v>693</v>
      </c>
      <c r="D36" s="15">
        <v>10000</v>
      </c>
      <c r="E36" s="15">
        <f t="shared" si="2"/>
        <v>110000</v>
      </c>
      <c r="F36" s="15">
        <f t="shared" si="3"/>
        <v>340000</v>
      </c>
    </row>
    <row r="37" spans="1:6" ht="18.5" x14ac:dyDescent="0.45">
      <c r="A37" s="16">
        <v>45726</v>
      </c>
      <c r="B37" s="13">
        <v>3237</v>
      </c>
      <c r="C37" s="68" t="s">
        <v>693</v>
      </c>
      <c r="D37" s="15">
        <v>20000</v>
      </c>
      <c r="E37" s="15">
        <f t="shared" si="2"/>
        <v>130000</v>
      </c>
      <c r="F37" s="15">
        <f t="shared" si="3"/>
        <v>320000</v>
      </c>
    </row>
    <row r="38" spans="1:6" ht="18.5" x14ac:dyDescent="0.45">
      <c r="A38" s="13" t="s">
        <v>749</v>
      </c>
      <c r="B38" s="13">
        <v>3628</v>
      </c>
      <c r="C38" s="68" t="s">
        <v>693</v>
      </c>
      <c r="D38" s="15">
        <v>10000</v>
      </c>
      <c r="E38" s="15">
        <f t="shared" si="2"/>
        <v>140000</v>
      </c>
      <c r="F38" s="15">
        <f t="shared" si="3"/>
        <v>310000</v>
      </c>
    </row>
    <row r="39" spans="1:6" ht="18.5" x14ac:dyDescent="0.45">
      <c r="A39" s="16">
        <v>45820</v>
      </c>
      <c r="B39" s="13">
        <v>5017</v>
      </c>
      <c r="C39" s="68" t="s">
        <v>693</v>
      </c>
      <c r="D39" s="15">
        <v>10000</v>
      </c>
      <c r="E39" s="15">
        <f t="shared" si="2"/>
        <v>150000</v>
      </c>
      <c r="F39" s="15">
        <f t="shared" si="3"/>
        <v>300000</v>
      </c>
    </row>
    <row r="40" spans="1:6" ht="18.5" x14ac:dyDescent="0.45">
      <c r="A40" s="16">
        <v>46174</v>
      </c>
      <c r="B40" s="13">
        <v>5229</v>
      </c>
      <c r="C40" s="68" t="s">
        <v>693</v>
      </c>
      <c r="D40" s="15">
        <v>10000</v>
      </c>
      <c r="E40" s="15">
        <f t="shared" si="2"/>
        <v>160000</v>
      </c>
      <c r="F40" s="15">
        <f t="shared" si="3"/>
        <v>290000</v>
      </c>
    </row>
    <row r="41" spans="1:6" ht="18.5" x14ac:dyDescent="0.45">
      <c r="A41" s="13" t="s">
        <v>750</v>
      </c>
      <c r="B41" s="13">
        <v>5560</v>
      </c>
      <c r="C41" s="68" t="s">
        <v>693</v>
      </c>
      <c r="D41" s="15">
        <v>10000</v>
      </c>
      <c r="E41" s="15">
        <f t="shared" si="2"/>
        <v>170000</v>
      </c>
      <c r="F41" s="15">
        <f t="shared" si="3"/>
        <v>280000</v>
      </c>
    </row>
    <row r="42" spans="1:6" ht="18.5" x14ac:dyDescent="0.45">
      <c r="A42" s="16">
        <v>46298</v>
      </c>
      <c r="B42" s="13">
        <v>5683</v>
      </c>
      <c r="C42" s="68" t="s">
        <v>693</v>
      </c>
      <c r="D42" s="15">
        <v>10000</v>
      </c>
      <c r="E42" s="15">
        <f t="shared" si="2"/>
        <v>180000</v>
      </c>
      <c r="F42" s="15">
        <f t="shared" si="3"/>
        <v>270000</v>
      </c>
    </row>
    <row r="43" spans="1:6" ht="18.5" x14ac:dyDescent="0.45">
      <c r="A43" s="16">
        <v>46116</v>
      </c>
      <c r="B43" s="13">
        <v>5824</v>
      </c>
      <c r="C43" s="68" t="s">
        <v>693</v>
      </c>
      <c r="D43" s="15">
        <v>10000</v>
      </c>
      <c r="E43" s="15">
        <f t="shared" si="2"/>
        <v>190000</v>
      </c>
      <c r="F43" s="15">
        <f t="shared" si="3"/>
        <v>260000</v>
      </c>
    </row>
    <row r="44" spans="1:6" ht="18.5" x14ac:dyDescent="0.45">
      <c r="A44" s="16">
        <v>46147</v>
      </c>
      <c r="B44" s="13">
        <v>1373</v>
      </c>
      <c r="C44" s="68" t="s">
        <v>693</v>
      </c>
      <c r="D44" s="15">
        <v>10000</v>
      </c>
      <c r="E44" s="15">
        <f t="shared" si="2"/>
        <v>200000</v>
      </c>
      <c r="F44" s="15">
        <f t="shared" si="3"/>
        <v>250000</v>
      </c>
    </row>
    <row r="45" spans="1:6" ht="18.5" x14ac:dyDescent="0.45">
      <c r="A45" s="16">
        <v>46179</v>
      </c>
      <c r="B45" s="13">
        <v>1580</v>
      </c>
      <c r="C45" s="68" t="s">
        <v>693</v>
      </c>
      <c r="D45" s="15">
        <v>10000</v>
      </c>
      <c r="E45" s="15">
        <f t="shared" si="2"/>
        <v>210000</v>
      </c>
      <c r="F45" s="15">
        <f t="shared" si="3"/>
        <v>240000</v>
      </c>
    </row>
    <row r="46" spans="1:6" ht="18.5" x14ac:dyDescent="0.45">
      <c r="A46" s="16">
        <v>46119</v>
      </c>
      <c r="B46" s="13">
        <v>1750</v>
      </c>
      <c r="C46" s="68" t="s">
        <v>693</v>
      </c>
      <c r="D46" s="15">
        <v>10000</v>
      </c>
      <c r="E46" s="15">
        <f t="shared" si="2"/>
        <v>220000</v>
      </c>
      <c r="F46" s="15">
        <f t="shared" si="3"/>
        <v>230000</v>
      </c>
    </row>
    <row r="47" spans="1:6" ht="18.5" x14ac:dyDescent="0.45">
      <c r="A47" s="16">
        <v>46061</v>
      </c>
      <c r="B47" s="13">
        <v>3717</v>
      </c>
      <c r="C47" s="68" t="s">
        <v>693</v>
      </c>
      <c r="D47" s="15">
        <v>10000</v>
      </c>
      <c r="E47" s="15">
        <f t="shared" si="2"/>
        <v>230000</v>
      </c>
      <c r="F47" s="15">
        <f t="shared" si="3"/>
        <v>220000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3859-E64B-435F-BA76-5942D273CAD2}">
  <dimension ref="A1:F47"/>
  <sheetViews>
    <sheetView topLeftCell="A28" workbookViewId="0">
      <selection activeCell="A44" sqref="A44"/>
    </sheetView>
  </sheetViews>
  <sheetFormatPr defaultRowHeight="14.5" x14ac:dyDescent="0.35"/>
  <cols>
    <col min="1" max="1" width="13.26953125" bestFit="1" customWidth="1"/>
    <col min="3" max="3" width="12.36328125" customWidth="1"/>
    <col min="4" max="4" width="13" customWidth="1"/>
    <col min="5" max="5" width="10.453125" customWidth="1"/>
    <col min="6" max="6" width="15" customWidth="1"/>
  </cols>
  <sheetData>
    <row r="1" spans="1:6" ht="18.5" x14ac:dyDescent="0.45">
      <c r="A1" s="1" t="s">
        <v>257</v>
      </c>
      <c r="B1" s="1"/>
      <c r="C1" s="2"/>
      <c r="D1" s="1"/>
      <c r="E1" s="1"/>
      <c r="F1" s="1"/>
    </row>
    <row r="2" spans="1:6" ht="18.5" x14ac:dyDescent="0.45">
      <c r="A2" s="1" t="s">
        <v>258</v>
      </c>
      <c r="C2" s="1"/>
      <c r="D2" s="1"/>
      <c r="E2" s="1"/>
      <c r="F2" s="1"/>
    </row>
    <row r="3" spans="1:6" ht="18.5" x14ac:dyDescent="0.45">
      <c r="A3" s="1" t="s">
        <v>259</v>
      </c>
      <c r="B3" s="1"/>
      <c r="C3" s="1"/>
      <c r="D3" s="1"/>
      <c r="E3" s="1"/>
      <c r="F3" s="1"/>
    </row>
    <row r="4" spans="1:6" ht="18.5" x14ac:dyDescent="0.45">
      <c r="A4" s="1" t="s">
        <v>462</v>
      </c>
      <c r="B4" s="1"/>
      <c r="C4" s="1"/>
      <c r="D4" s="1"/>
      <c r="E4" s="1"/>
      <c r="F4" s="1"/>
    </row>
    <row r="5" spans="1:6" ht="18.5" x14ac:dyDescent="0.45">
      <c r="A5" s="1" t="s">
        <v>260</v>
      </c>
      <c r="B5" s="1"/>
      <c r="C5" s="1"/>
      <c r="D5" s="1"/>
      <c r="E5" s="1"/>
      <c r="F5" s="1"/>
    </row>
    <row r="6" spans="1:6" ht="18.5" x14ac:dyDescent="0.45">
      <c r="A6" s="1" t="s">
        <v>270</v>
      </c>
      <c r="B6" s="1"/>
      <c r="C6" s="1"/>
      <c r="D6" s="1"/>
      <c r="E6" s="1" t="s">
        <v>262</v>
      </c>
      <c r="F6" s="1"/>
    </row>
    <row r="7" spans="1:6" x14ac:dyDescent="0.35">
      <c r="A7" s="37" t="s">
        <v>5</v>
      </c>
      <c r="B7" s="38" t="s">
        <v>6</v>
      </c>
      <c r="C7" s="38" t="s">
        <v>7</v>
      </c>
      <c r="D7" s="31" t="s">
        <v>8</v>
      </c>
      <c r="E7" s="31" t="s">
        <v>9</v>
      </c>
      <c r="F7" s="32" t="s">
        <v>10</v>
      </c>
    </row>
    <row r="8" spans="1:6" x14ac:dyDescent="0.35">
      <c r="A8" s="27" t="s">
        <v>263</v>
      </c>
      <c r="B8" s="13">
        <v>1660</v>
      </c>
      <c r="C8" s="13" t="s">
        <v>194</v>
      </c>
      <c r="D8" s="15">
        <v>100000</v>
      </c>
      <c r="E8" s="15">
        <v>100000</v>
      </c>
      <c r="F8" s="30">
        <v>350000</v>
      </c>
    </row>
    <row r="9" spans="1:6" x14ac:dyDescent="0.35">
      <c r="A9" s="28">
        <v>44657</v>
      </c>
      <c r="B9" s="13">
        <v>1661</v>
      </c>
      <c r="C9" s="13" t="s">
        <v>194</v>
      </c>
      <c r="D9" s="15">
        <v>60000</v>
      </c>
      <c r="E9" s="15">
        <f>SUM(E8+D9)</f>
        <v>160000</v>
      </c>
      <c r="F9" s="30">
        <f>F8-D9</f>
        <v>290000</v>
      </c>
    </row>
    <row r="10" spans="1:6" x14ac:dyDescent="0.35">
      <c r="A10" s="41" t="s">
        <v>264</v>
      </c>
      <c r="B10" s="13">
        <v>1662</v>
      </c>
      <c r="C10" s="39" t="s">
        <v>268</v>
      </c>
      <c r="D10" s="40">
        <v>10000</v>
      </c>
      <c r="E10" s="40">
        <f t="shared" ref="E10:E25" si="0">SUM(E9+D10)</f>
        <v>170000</v>
      </c>
      <c r="F10" s="43">
        <f t="shared" ref="F10:F25" si="1">F9-D10</f>
        <v>280000</v>
      </c>
    </row>
    <row r="11" spans="1:6" x14ac:dyDescent="0.35">
      <c r="A11" s="27" t="s">
        <v>83</v>
      </c>
      <c r="B11" s="13">
        <v>76</v>
      </c>
      <c r="C11" s="13" t="s">
        <v>14</v>
      </c>
      <c r="D11" s="15">
        <v>20000</v>
      </c>
      <c r="E11" s="15">
        <f t="shared" si="0"/>
        <v>190000</v>
      </c>
      <c r="F11" s="30">
        <f t="shared" si="1"/>
        <v>260000</v>
      </c>
    </row>
    <row r="12" spans="1:6" x14ac:dyDescent="0.35">
      <c r="A12" s="41" t="s">
        <v>265</v>
      </c>
      <c r="B12" s="13">
        <v>1663</v>
      </c>
      <c r="C12" s="39" t="s">
        <v>14</v>
      </c>
      <c r="D12" s="40">
        <v>65000</v>
      </c>
      <c r="E12" s="40">
        <f t="shared" si="0"/>
        <v>255000</v>
      </c>
      <c r="F12" s="43">
        <f t="shared" si="1"/>
        <v>195000</v>
      </c>
    </row>
    <row r="13" spans="1:6" x14ac:dyDescent="0.35">
      <c r="A13" s="29">
        <v>45113</v>
      </c>
      <c r="B13" s="13">
        <v>1885</v>
      </c>
      <c r="C13" s="13" t="s">
        <v>14</v>
      </c>
      <c r="D13" s="15">
        <v>10000</v>
      </c>
      <c r="E13" s="15">
        <f t="shared" si="0"/>
        <v>265000</v>
      </c>
      <c r="F13" s="30">
        <f t="shared" si="1"/>
        <v>185000</v>
      </c>
    </row>
    <row r="14" spans="1:6" x14ac:dyDescent="0.35">
      <c r="A14" s="41" t="s">
        <v>266</v>
      </c>
      <c r="B14" s="13">
        <v>956</v>
      </c>
      <c r="C14" s="39" t="s">
        <v>14</v>
      </c>
      <c r="D14" s="40">
        <v>30000</v>
      </c>
      <c r="E14" s="40">
        <f t="shared" si="0"/>
        <v>295000</v>
      </c>
      <c r="F14" s="43">
        <f t="shared" si="1"/>
        <v>155000</v>
      </c>
    </row>
    <row r="15" spans="1:6" x14ac:dyDescent="0.35">
      <c r="A15" s="29">
        <v>45085</v>
      </c>
      <c r="B15" s="13">
        <v>2237</v>
      </c>
      <c r="C15" s="13" t="s">
        <v>14</v>
      </c>
      <c r="D15" s="15">
        <v>10000</v>
      </c>
      <c r="E15" s="15">
        <f t="shared" si="0"/>
        <v>305000</v>
      </c>
      <c r="F15" s="30">
        <f t="shared" si="1"/>
        <v>145000</v>
      </c>
    </row>
    <row r="16" spans="1:6" x14ac:dyDescent="0.35">
      <c r="A16" s="41" t="s">
        <v>267</v>
      </c>
      <c r="B16" s="13">
        <v>3696</v>
      </c>
      <c r="C16" s="39" t="s">
        <v>14</v>
      </c>
      <c r="D16" s="40">
        <v>10000</v>
      </c>
      <c r="E16" s="40">
        <f t="shared" si="0"/>
        <v>315000</v>
      </c>
      <c r="F16" s="43">
        <f t="shared" si="1"/>
        <v>135000</v>
      </c>
    </row>
    <row r="17" spans="1:6" x14ac:dyDescent="0.35">
      <c r="A17" s="29">
        <v>45057</v>
      </c>
      <c r="B17" s="13">
        <v>4150</v>
      </c>
      <c r="C17" s="13" t="s">
        <v>14</v>
      </c>
      <c r="D17" s="15">
        <v>20000</v>
      </c>
      <c r="E17" s="15">
        <f t="shared" si="0"/>
        <v>335000</v>
      </c>
      <c r="F17" s="30">
        <f t="shared" si="1"/>
        <v>115000</v>
      </c>
    </row>
    <row r="18" spans="1:6" x14ac:dyDescent="0.35">
      <c r="A18" s="41" t="s">
        <v>208</v>
      </c>
      <c r="B18" s="13">
        <v>5764</v>
      </c>
      <c r="C18" s="39" t="s">
        <v>14</v>
      </c>
      <c r="D18" s="40">
        <v>20000</v>
      </c>
      <c r="E18" s="40">
        <f t="shared" si="0"/>
        <v>355000</v>
      </c>
      <c r="F18" s="43">
        <f t="shared" si="1"/>
        <v>95000</v>
      </c>
    </row>
    <row r="19" spans="1:6" x14ac:dyDescent="0.35">
      <c r="A19" s="29">
        <v>45415</v>
      </c>
      <c r="B19" s="13">
        <v>6885</v>
      </c>
      <c r="C19" s="13" t="s">
        <v>14</v>
      </c>
      <c r="D19" s="15">
        <v>20000</v>
      </c>
      <c r="E19" s="15">
        <f t="shared" si="0"/>
        <v>375000</v>
      </c>
      <c r="F19" s="30">
        <f t="shared" si="1"/>
        <v>75000</v>
      </c>
    </row>
    <row r="20" spans="1:6" x14ac:dyDescent="0.35">
      <c r="A20" s="41" t="s">
        <v>269</v>
      </c>
      <c r="B20" s="13">
        <v>8538</v>
      </c>
      <c r="C20" s="39" t="s">
        <v>14</v>
      </c>
      <c r="D20" s="40">
        <v>20000</v>
      </c>
      <c r="E20" s="40">
        <f t="shared" si="0"/>
        <v>395000</v>
      </c>
      <c r="F20" s="43">
        <f t="shared" si="1"/>
        <v>55000</v>
      </c>
    </row>
    <row r="21" spans="1:6" x14ac:dyDescent="0.35">
      <c r="A21" s="29">
        <v>45571</v>
      </c>
      <c r="B21" s="13">
        <v>8976</v>
      </c>
      <c r="C21" s="13" t="s">
        <v>14</v>
      </c>
      <c r="D21" s="15">
        <v>10000</v>
      </c>
      <c r="E21" s="15">
        <f t="shared" si="0"/>
        <v>405000</v>
      </c>
      <c r="F21" s="30">
        <f t="shared" si="1"/>
        <v>45000</v>
      </c>
    </row>
    <row r="22" spans="1:6" x14ac:dyDescent="0.35">
      <c r="A22" s="42">
        <v>45450</v>
      </c>
      <c r="B22" s="13">
        <v>9399</v>
      </c>
      <c r="C22" s="39" t="s">
        <v>14</v>
      </c>
      <c r="D22" s="40">
        <v>10000</v>
      </c>
      <c r="E22" s="40">
        <f t="shared" si="0"/>
        <v>415000</v>
      </c>
      <c r="F22" s="43">
        <f t="shared" si="1"/>
        <v>35000</v>
      </c>
    </row>
    <row r="23" spans="1:6" x14ac:dyDescent="0.35">
      <c r="A23" s="29">
        <v>45451</v>
      </c>
      <c r="B23" s="13">
        <v>10067</v>
      </c>
      <c r="C23" s="13" t="s">
        <v>14</v>
      </c>
      <c r="D23" s="15">
        <v>10000</v>
      </c>
      <c r="E23" s="15">
        <f t="shared" si="0"/>
        <v>425000</v>
      </c>
      <c r="F23" s="30">
        <f t="shared" si="1"/>
        <v>25000</v>
      </c>
    </row>
    <row r="24" spans="1:6" x14ac:dyDescent="0.35">
      <c r="A24" s="42">
        <v>45513</v>
      </c>
      <c r="B24" s="13">
        <v>10579</v>
      </c>
      <c r="C24" s="39" t="s">
        <v>14</v>
      </c>
      <c r="D24" s="40">
        <v>10000</v>
      </c>
      <c r="E24" s="40">
        <f t="shared" si="0"/>
        <v>435000</v>
      </c>
      <c r="F24" s="43">
        <f t="shared" si="1"/>
        <v>15000</v>
      </c>
    </row>
    <row r="25" spans="1:6" x14ac:dyDescent="0.35">
      <c r="A25" s="33">
        <v>45422</v>
      </c>
      <c r="B25" s="34">
        <v>347</v>
      </c>
      <c r="C25" s="34" t="s">
        <v>14</v>
      </c>
      <c r="D25" s="35">
        <v>15000</v>
      </c>
      <c r="E25" s="35">
        <f t="shared" si="0"/>
        <v>450000</v>
      </c>
      <c r="F25" s="36">
        <f t="shared" si="1"/>
        <v>0</v>
      </c>
    </row>
    <row r="26" spans="1:6" ht="18.5" x14ac:dyDescent="0.45">
      <c r="A26" s="56" t="s">
        <v>290</v>
      </c>
      <c r="B26" s="57"/>
      <c r="C26" s="57"/>
      <c r="D26" s="58"/>
      <c r="E26" s="58"/>
      <c r="F26" s="59"/>
    </row>
    <row r="27" spans="1:6" ht="18.5" x14ac:dyDescent="0.45">
      <c r="A27" s="51"/>
      <c r="B27" s="44"/>
      <c r="C27" s="44"/>
      <c r="D27" s="44"/>
      <c r="E27" s="44"/>
      <c r="F27" s="44"/>
    </row>
    <row r="28" spans="1:6" ht="18.5" x14ac:dyDescent="0.45">
      <c r="A28" s="67">
        <v>45576</v>
      </c>
      <c r="B28" s="68">
        <v>223</v>
      </c>
      <c r="C28" s="13" t="s">
        <v>752</v>
      </c>
      <c r="D28" s="68">
        <v>15000</v>
      </c>
      <c r="E28" s="68">
        <v>15000</v>
      </c>
      <c r="F28" s="68">
        <v>435000</v>
      </c>
    </row>
    <row r="29" spans="1:6" x14ac:dyDescent="0.35">
      <c r="A29" s="12">
        <v>45485</v>
      </c>
      <c r="B29" s="13">
        <v>279</v>
      </c>
      <c r="C29" s="13" t="s">
        <v>752</v>
      </c>
      <c r="D29" s="13">
        <v>15000</v>
      </c>
      <c r="E29" s="13">
        <f>E28+D28</f>
        <v>30000</v>
      </c>
      <c r="F29" s="13">
        <f t="shared" ref="F29:F47" si="2">F28-D29</f>
        <v>420000</v>
      </c>
    </row>
    <row r="30" spans="1:6" x14ac:dyDescent="0.35">
      <c r="A30" s="12">
        <v>45748</v>
      </c>
      <c r="B30" s="13">
        <v>537</v>
      </c>
      <c r="C30" s="13" t="s">
        <v>752</v>
      </c>
      <c r="D30" s="15">
        <v>10000</v>
      </c>
      <c r="E30" s="15">
        <f>D30+D30</f>
        <v>20000</v>
      </c>
      <c r="F30" s="15">
        <f t="shared" si="2"/>
        <v>410000</v>
      </c>
    </row>
    <row r="31" spans="1:6" x14ac:dyDescent="0.35">
      <c r="A31" s="12">
        <v>45780</v>
      </c>
      <c r="B31" s="13">
        <v>981</v>
      </c>
      <c r="C31" s="13" t="s">
        <v>752</v>
      </c>
      <c r="D31" s="15">
        <v>20000</v>
      </c>
      <c r="E31" s="15">
        <f t="shared" ref="E31:E47" si="3">E30+D31</f>
        <v>40000</v>
      </c>
      <c r="F31" s="15">
        <f t="shared" si="2"/>
        <v>390000</v>
      </c>
    </row>
    <row r="32" spans="1:6" x14ac:dyDescent="0.35">
      <c r="A32" s="12" t="s">
        <v>748</v>
      </c>
      <c r="B32" s="13">
        <v>737</v>
      </c>
      <c r="C32" s="13" t="s">
        <v>752</v>
      </c>
      <c r="D32" s="15">
        <v>10000</v>
      </c>
      <c r="E32" s="15">
        <f t="shared" si="3"/>
        <v>50000</v>
      </c>
      <c r="F32" s="15">
        <f t="shared" si="2"/>
        <v>380000</v>
      </c>
    </row>
    <row r="33" spans="1:6" x14ac:dyDescent="0.35">
      <c r="A33" s="12">
        <v>45782</v>
      </c>
      <c r="B33" s="13">
        <v>10339</v>
      </c>
      <c r="C33" s="13" t="s">
        <v>752</v>
      </c>
      <c r="D33" s="15">
        <v>10000</v>
      </c>
      <c r="E33" s="15">
        <f t="shared" si="3"/>
        <v>60000</v>
      </c>
      <c r="F33" s="15">
        <f t="shared" si="2"/>
        <v>370000</v>
      </c>
    </row>
    <row r="34" spans="1:6" x14ac:dyDescent="0.35">
      <c r="A34" s="12">
        <v>45783</v>
      </c>
      <c r="B34" s="13">
        <v>638</v>
      </c>
      <c r="C34" s="13" t="s">
        <v>752</v>
      </c>
      <c r="D34" s="15">
        <v>10000</v>
      </c>
      <c r="E34" s="15">
        <f t="shared" si="3"/>
        <v>70000</v>
      </c>
      <c r="F34" s="15">
        <f t="shared" si="2"/>
        <v>360000</v>
      </c>
    </row>
    <row r="35" spans="1:6" x14ac:dyDescent="0.35">
      <c r="A35" s="9" t="s">
        <v>751</v>
      </c>
      <c r="B35" s="13">
        <v>3103</v>
      </c>
      <c r="C35" s="13" t="s">
        <v>752</v>
      </c>
      <c r="D35" s="15">
        <v>10000</v>
      </c>
      <c r="E35" s="15">
        <f t="shared" si="3"/>
        <v>80000</v>
      </c>
      <c r="F35" s="15">
        <f t="shared" si="2"/>
        <v>350000</v>
      </c>
    </row>
    <row r="36" spans="1:6" x14ac:dyDescent="0.35">
      <c r="A36" s="12">
        <v>45938</v>
      </c>
      <c r="B36" s="13">
        <v>3925</v>
      </c>
      <c r="C36" s="13" t="s">
        <v>752</v>
      </c>
      <c r="D36" s="15">
        <v>10000</v>
      </c>
      <c r="E36" s="15">
        <f t="shared" si="3"/>
        <v>90000</v>
      </c>
      <c r="F36" s="15">
        <f t="shared" si="2"/>
        <v>340000</v>
      </c>
    </row>
    <row r="37" spans="1:6" x14ac:dyDescent="0.35">
      <c r="A37" s="12">
        <v>45726</v>
      </c>
      <c r="B37" s="13">
        <v>3238</v>
      </c>
      <c r="C37" s="13" t="s">
        <v>752</v>
      </c>
      <c r="D37" s="15">
        <v>20000</v>
      </c>
      <c r="E37" s="15">
        <f t="shared" si="3"/>
        <v>110000</v>
      </c>
      <c r="F37" s="15">
        <f t="shared" si="2"/>
        <v>320000</v>
      </c>
    </row>
    <row r="38" spans="1:6" x14ac:dyDescent="0.35">
      <c r="A38" s="9" t="s">
        <v>749</v>
      </c>
      <c r="B38" s="13">
        <v>3629</v>
      </c>
      <c r="C38" s="13" t="s">
        <v>752</v>
      </c>
      <c r="D38" s="15">
        <v>10000</v>
      </c>
      <c r="E38" s="15">
        <f t="shared" si="3"/>
        <v>120000</v>
      </c>
      <c r="F38" s="15">
        <f t="shared" si="2"/>
        <v>310000</v>
      </c>
    </row>
    <row r="39" spans="1:6" x14ac:dyDescent="0.35">
      <c r="A39" s="12">
        <v>45820</v>
      </c>
      <c r="B39" s="13">
        <v>5018</v>
      </c>
      <c r="C39" s="13" t="s">
        <v>752</v>
      </c>
      <c r="D39" s="15">
        <v>10000</v>
      </c>
      <c r="E39" s="15">
        <f t="shared" si="3"/>
        <v>130000</v>
      </c>
      <c r="F39" s="15">
        <f t="shared" si="2"/>
        <v>300000</v>
      </c>
    </row>
    <row r="40" spans="1:6" x14ac:dyDescent="0.35">
      <c r="A40" s="12">
        <v>46174</v>
      </c>
      <c r="B40" s="13">
        <v>5228</v>
      </c>
      <c r="C40" s="13" t="s">
        <v>752</v>
      </c>
      <c r="D40" s="15">
        <v>10000</v>
      </c>
      <c r="E40" s="15">
        <f t="shared" si="3"/>
        <v>140000</v>
      </c>
      <c r="F40" s="15">
        <f t="shared" si="2"/>
        <v>290000</v>
      </c>
    </row>
    <row r="41" spans="1:6" x14ac:dyDescent="0.35">
      <c r="A41" s="9" t="s">
        <v>750</v>
      </c>
      <c r="B41" s="13">
        <v>5561</v>
      </c>
      <c r="C41" s="13" t="s">
        <v>752</v>
      </c>
      <c r="D41" s="15">
        <v>10000</v>
      </c>
      <c r="E41" s="15">
        <f t="shared" si="3"/>
        <v>150000</v>
      </c>
      <c r="F41" s="15">
        <f t="shared" si="2"/>
        <v>280000</v>
      </c>
    </row>
    <row r="42" spans="1:6" x14ac:dyDescent="0.35">
      <c r="A42" s="12">
        <v>46298</v>
      </c>
      <c r="B42" s="13">
        <v>5684</v>
      </c>
      <c r="C42" s="13" t="s">
        <v>752</v>
      </c>
      <c r="D42" s="15">
        <v>10000</v>
      </c>
      <c r="E42" s="15">
        <f t="shared" si="3"/>
        <v>160000</v>
      </c>
      <c r="F42" s="15">
        <f t="shared" si="2"/>
        <v>270000</v>
      </c>
    </row>
    <row r="43" spans="1:6" x14ac:dyDescent="0.35">
      <c r="A43" s="12">
        <v>46116</v>
      </c>
      <c r="B43" s="13">
        <v>5825</v>
      </c>
      <c r="C43" s="13" t="s">
        <v>752</v>
      </c>
      <c r="D43" s="15">
        <v>10000</v>
      </c>
      <c r="E43" s="15">
        <f t="shared" si="3"/>
        <v>170000</v>
      </c>
      <c r="F43" s="15">
        <f t="shared" si="2"/>
        <v>260000</v>
      </c>
    </row>
    <row r="44" spans="1:6" x14ac:dyDescent="0.35">
      <c r="A44" s="12">
        <v>46147</v>
      </c>
      <c r="B44" s="13">
        <v>1372</v>
      </c>
      <c r="C44" s="13" t="s">
        <v>752</v>
      </c>
      <c r="D44" s="15">
        <v>10000</v>
      </c>
      <c r="E44" s="15">
        <f t="shared" si="3"/>
        <v>180000</v>
      </c>
      <c r="F44" s="15">
        <f t="shared" si="2"/>
        <v>250000</v>
      </c>
    </row>
    <row r="45" spans="1:6" x14ac:dyDescent="0.35">
      <c r="A45" s="12">
        <v>46179</v>
      </c>
      <c r="B45" s="13">
        <v>1581</v>
      </c>
      <c r="C45" s="13" t="s">
        <v>752</v>
      </c>
      <c r="D45" s="15">
        <v>10000</v>
      </c>
      <c r="E45" s="15">
        <f t="shared" si="3"/>
        <v>190000</v>
      </c>
      <c r="F45" s="15">
        <f t="shared" si="2"/>
        <v>240000</v>
      </c>
    </row>
    <row r="46" spans="1:6" x14ac:dyDescent="0.35">
      <c r="A46" s="12">
        <v>46119</v>
      </c>
      <c r="B46" s="13">
        <v>1751</v>
      </c>
      <c r="C46" s="13" t="s">
        <v>752</v>
      </c>
      <c r="D46" s="15">
        <v>10000</v>
      </c>
      <c r="E46" s="15">
        <f t="shared" si="3"/>
        <v>200000</v>
      </c>
      <c r="F46" s="15">
        <f t="shared" si="2"/>
        <v>230000</v>
      </c>
    </row>
    <row r="47" spans="1:6" x14ac:dyDescent="0.35">
      <c r="A47" s="12">
        <v>46061</v>
      </c>
      <c r="B47" s="13">
        <v>3718</v>
      </c>
      <c r="C47" s="13" t="s">
        <v>752</v>
      </c>
      <c r="D47" s="15">
        <v>10000</v>
      </c>
      <c r="E47" s="15">
        <f t="shared" si="3"/>
        <v>210000</v>
      </c>
      <c r="F47" s="15">
        <f t="shared" si="2"/>
        <v>220000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9271-1F33-474F-9087-8365FFF266A4}">
  <dimension ref="A1:I16"/>
  <sheetViews>
    <sheetView workbookViewId="0">
      <selection activeCell="F17" sqref="F17"/>
    </sheetView>
  </sheetViews>
  <sheetFormatPr defaultRowHeight="14.5" x14ac:dyDescent="0.35"/>
  <cols>
    <col min="1" max="1" width="11.36328125" customWidth="1"/>
    <col min="3" max="3" width="11.54296875" customWidth="1"/>
    <col min="6" max="6" width="11.7265625" customWidth="1"/>
  </cols>
  <sheetData>
    <row r="1" spans="1:9" ht="18.5" x14ac:dyDescent="0.45">
      <c r="A1" s="1" t="s">
        <v>307</v>
      </c>
      <c r="B1" s="1"/>
      <c r="C1" s="2"/>
      <c r="D1" s="1"/>
      <c r="E1" s="1"/>
      <c r="F1" s="1"/>
    </row>
    <row r="2" spans="1:9" ht="18.5" x14ac:dyDescent="0.45">
      <c r="A2" s="1" t="s">
        <v>308</v>
      </c>
      <c r="C2" s="1"/>
      <c r="D2" s="1"/>
      <c r="E2" s="1"/>
      <c r="F2" s="1"/>
    </row>
    <row r="3" spans="1:9" ht="18.5" x14ac:dyDescent="0.45">
      <c r="A3" s="1" t="s">
        <v>309</v>
      </c>
      <c r="B3" s="1"/>
      <c r="C3" s="1"/>
      <c r="D3" s="1"/>
      <c r="E3" s="1"/>
      <c r="F3" s="1"/>
    </row>
    <row r="4" spans="1:9" ht="18.5" x14ac:dyDescent="0.45">
      <c r="A4" s="1" t="s">
        <v>306</v>
      </c>
      <c r="B4" s="1"/>
      <c r="C4" s="1"/>
      <c r="D4" s="1"/>
      <c r="E4" s="1"/>
      <c r="F4" s="1"/>
    </row>
    <row r="5" spans="1:9" ht="18.5" x14ac:dyDescent="0.45">
      <c r="A5" s="1" t="s">
        <v>310</v>
      </c>
      <c r="B5" s="1"/>
      <c r="C5" s="1"/>
      <c r="D5" s="1"/>
      <c r="E5" s="1"/>
      <c r="F5" s="1"/>
    </row>
    <row r="6" spans="1:9" ht="18.5" x14ac:dyDescent="0.45">
      <c r="A6" s="1" t="s">
        <v>305</v>
      </c>
      <c r="B6" s="1"/>
      <c r="C6" s="1"/>
      <c r="D6" s="1"/>
      <c r="E6" s="1" t="s">
        <v>311</v>
      </c>
      <c r="F6" s="1"/>
      <c r="G6" s="44" t="s">
        <v>474</v>
      </c>
      <c r="H6" s="44"/>
      <c r="I6" s="44"/>
    </row>
    <row r="7" spans="1:9" x14ac:dyDescent="0.35">
      <c r="A7" s="37" t="s">
        <v>5</v>
      </c>
      <c r="B7" s="38" t="s">
        <v>6</v>
      </c>
      <c r="C7" s="38" t="s">
        <v>7</v>
      </c>
      <c r="D7" s="31" t="s">
        <v>8</v>
      </c>
      <c r="E7" s="31" t="s">
        <v>9</v>
      </c>
      <c r="F7" s="32" t="s">
        <v>10</v>
      </c>
    </row>
    <row r="8" spans="1:9" x14ac:dyDescent="0.35">
      <c r="A8" t="s">
        <v>303</v>
      </c>
      <c r="B8">
        <v>12609</v>
      </c>
      <c r="C8" t="s">
        <v>12</v>
      </c>
      <c r="D8" s="18">
        <v>200000</v>
      </c>
      <c r="E8" s="18">
        <v>200000</v>
      </c>
      <c r="F8" s="18">
        <v>600000</v>
      </c>
    </row>
    <row r="9" spans="1:9" x14ac:dyDescent="0.35">
      <c r="A9" s="17">
        <v>46327</v>
      </c>
      <c r="B9">
        <v>12077</v>
      </c>
      <c r="C9" t="s">
        <v>304</v>
      </c>
      <c r="D9" s="18">
        <v>20000</v>
      </c>
      <c r="E9" s="18">
        <f>SUM(E8+D9)</f>
        <v>220000</v>
      </c>
      <c r="F9" s="18">
        <f>F8-D9</f>
        <v>580000</v>
      </c>
    </row>
    <row r="10" spans="1:9" x14ac:dyDescent="0.35">
      <c r="A10" s="17">
        <v>46267</v>
      </c>
      <c r="B10">
        <v>12410</v>
      </c>
      <c r="C10" t="s">
        <v>304</v>
      </c>
      <c r="D10" s="18">
        <v>20000</v>
      </c>
      <c r="E10" s="18">
        <f t="shared" ref="E10:E12" si="0">SUM(E9+D10)</f>
        <v>240000</v>
      </c>
      <c r="F10" s="18">
        <f t="shared" ref="F10:F12" si="1">F9-D10</f>
        <v>560000</v>
      </c>
    </row>
    <row r="11" spans="1:9" x14ac:dyDescent="0.35">
      <c r="A11" s="17">
        <v>46206</v>
      </c>
      <c r="B11">
        <v>12759</v>
      </c>
      <c r="C11" t="s">
        <v>304</v>
      </c>
      <c r="D11" s="18">
        <v>20000</v>
      </c>
      <c r="E11" s="18">
        <f t="shared" si="0"/>
        <v>260000</v>
      </c>
      <c r="F11" s="18">
        <f t="shared" si="1"/>
        <v>540000</v>
      </c>
    </row>
    <row r="12" spans="1:9" x14ac:dyDescent="0.35">
      <c r="A12" s="17">
        <v>46330</v>
      </c>
      <c r="B12">
        <v>13218</v>
      </c>
      <c r="C12" t="s">
        <v>304</v>
      </c>
      <c r="D12" s="18">
        <v>20000</v>
      </c>
      <c r="E12" s="18">
        <f t="shared" si="0"/>
        <v>280000</v>
      </c>
      <c r="F12" s="18">
        <f t="shared" si="1"/>
        <v>520000</v>
      </c>
    </row>
    <row r="13" spans="1:9" x14ac:dyDescent="0.35">
      <c r="A13" t="s">
        <v>598</v>
      </c>
      <c r="B13">
        <v>13316</v>
      </c>
      <c r="C13" t="s">
        <v>304</v>
      </c>
      <c r="D13" s="18">
        <v>20000</v>
      </c>
      <c r="E13" s="18">
        <f>E12+D13</f>
        <v>300000</v>
      </c>
      <c r="F13" s="18">
        <f>F12-D13</f>
        <v>500000</v>
      </c>
    </row>
    <row r="14" spans="1:9" x14ac:dyDescent="0.35">
      <c r="A14" t="s">
        <v>597</v>
      </c>
      <c r="B14">
        <v>13588</v>
      </c>
      <c r="C14" t="s">
        <v>304</v>
      </c>
      <c r="D14" s="18">
        <v>20000</v>
      </c>
      <c r="E14" s="18">
        <f>E13+D14</f>
        <v>320000</v>
      </c>
      <c r="F14" s="18">
        <f>F13-D14</f>
        <v>480000</v>
      </c>
    </row>
    <row r="15" spans="1:9" x14ac:dyDescent="0.35">
      <c r="A15" t="s">
        <v>701</v>
      </c>
      <c r="B15">
        <v>1488</v>
      </c>
      <c r="C15" t="s">
        <v>304</v>
      </c>
      <c r="D15" s="18">
        <v>20000</v>
      </c>
      <c r="E15" s="18">
        <f>E14+D15</f>
        <v>340000</v>
      </c>
      <c r="F15" s="18">
        <f>F14-D15</f>
        <v>460000</v>
      </c>
    </row>
    <row r="16" spans="1:9" x14ac:dyDescent="0.35">
      <c r="A16" s="17">
        <v>46334</v>
      </c>
      <c r="B16">
        <v>1733</v>
      </c>
      <c r="D16" s="18">
        <v>10000</v>
      </c>
      <c r="E16" s="18">
        <f>E15+D16</f>
        <v>350000</v>
      </c>
      <c r="F16" s="18">
        <f>F15-D16</f>
        <v>450000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86D83-920D-4F21-B4E7-9227C45BD9DB}">
  <dimension ref="A1:F22"/>
  <sheetViews>
    <sheetView workbookViewId="0">
      <selection activeCell="E7" sqref="E7"/>
    </sheetView>
  </sheetViews>
  <sheetFormatPr defaultRowHeight="14.5" x14ac:dyDescent="0.35"/>
  <sheetData>
    <row r="1" spans="1:6" x14ac:dyDescent="0.35">
      <c r="A1" t="s">
        <v>476</v>
      </c>
      <c r="B1" t="s">
        <v>716</v>
      </c>
    </row>
    <row r="2" spans="1:6" x14ac:dyDescent="0.35">
      <c r="A2" t="s">
        <v>477</v>
      </c>
      <c r="B2" t="s">
        <v>521</v>
      </c>
    </row>
    <row r="3" spans="1:6" x14ac:dyDescent="0.35">
      <c r="A3" t="s">
        <v>519</v>
      </c>
      <c r="B3" t="s">
        <v>717</v>
      </c>
    </row>
    <row r="4" spans="1:6" x14ac:dyDescent="0.35">
      <c r="A4" t="s">
        <v>702</v>
      </c>
      <c r="B4" t="s">
        <v>718</v>
      </c>
    </row>
    <row r="5" spans="1:6" x14ac:dyDescent="0.35">
      <c r="A5" t="s">
        <v>478</v>
      </c>
      <c r="B5" t="s">
        <v>703</v>
      </c>
    </row>
    <row r="6" spans="1:6" x14ac:dyDescent="0.35">
      <c r="A6" t="s">
        <v>481</v>
      </c>
      <c r="B6">
        <v>6173</v>
      </c>
      <c r="E6" s="18">
        <v>400000</v>
      </c>
    </row>
    <row r="8" spans="1:6" x14ac:dyDescent="0.35">
      <c r="A8" s="37" t="s">
        <v>5</v>
      </c>
      <c r="B8" s="38" t="s">
        <v>6</v>
      </c>
      <c r="C8" s="38" t="s">
        <v>7</v>
      </c>
      <c r="D8" s="31" t="s">
        <v>8</v>
      </c>
      <c r="E8" s="31" t="s">
        <v>9</v>
      </c>
      <c r="F8" s="32" t="s">
        <v>10</v>
      </c>
    </row>
    <row r="9" spans="1:6" x14ac:dyDescent="0.35">
      <c r="A9" t="s">
        <v>704</v>
      </c>
      <c r="B9">
        <v>1110</v>
      </c>
      <c r="C9" t="s">
        <v>714</v>
      </c>
      <c r="D9" s="18">
        <v>220000</v>
      </c>
      <c r="E9" s="18">
        <v>220000</v>
      </c>
      <c r="F9" s="18">
        <v>180000</v>
      </c>
    </row>
    <row r="10" spans="1:6" x14ac:dyDescent="0.35">
      <c r="A10" t="s">
        <v>705</v>
      </c>
      <c r="B10">
        <v>1111</v>
      </c>
      <c r="C10" t="s">
        <v>501</v>
      </c>
      <c r="D10" s="18">
        <v>20000</v>
      </c>
      <c r="E10" s="18">
        <f t="shared" ref="E10:E19" si="0">E9+D10</f>
        <v>240000</v>
      </c>
      <c r="F10" s="18">
        <f t="shared" ref="F10:F19" si="1">F9-D10</f>
        <v>160000</v>
      </c>
    </row>
    <row r="11" spans="1:6" x14ac:dyDescent="0.35">
      <c r="A11" t="s">
        <v>706</v>
      </c>
      <c r="B11">
        <v>2540</v>
      </c>
      <c r="C11" t="s">
        <v>501</v>
      </c>
      <c r="D11" s="18">
        <v>30000</v>
      </c>
      <c r="E11" s="18">
        <f t="shared" si="0"/>
        <v>270000</v>
      </c>
      <c r="F11" s="18">
        <f t="shared" si="1"/>
        <v>130000</v>
      </c>
    </row>
    <row r="12" spans="1:6" x14ac:dyDescent="0.35">
      <c r="A12" t="s">
        <v>707</v>
      </c>
      <c r="B12">
        <v>3152</v>
      </c>
      <c r="C12" t="s">
        <v>501</v>
      </c>
      <c r="D12" s="18">
        <v>10000</v>
      </c>
      <c r="E12" s="18">
        <f t="shared" si="0"/>
        <v>280000</v>
      </c>
      <c r="F12" s="18">
        <f t="shared" si="1"/>
        <v>120000</v>
      </c>
    </row>
    <row r="13" spans="1:6" x14ac:dyDescent="0.35">
      <c r="A13" t="s">
        <v>708</v>
      </c>
      <c r="B13">
        <v>267</v>
      </c>
      <c r="C13" t="s">
        <v>501</v>
      </c>
      <c r="D13" s="18">
        <v>20000</v>
      </c>
      <c r="E13" s="18">
        <f t="shared" si="0"/>
        <v>300000</v>
      </c>
      <c r="F13" s="18">
        <f t="shared" si="1"/>
        <v>100000</v>
      </c>
    </row>
    <row r="14" spans="1:6" x14ac:dyDescent="0.35">
      <c r="A14" t="s">
        <v>709</v>
      </c>
      <c r="B14">
        <v>5265</v>
      </c>
      <c r="C14" t="s">
        <v>501</v>
      </c>
      <c r="D14" s="18">
        <v>20000</v>
      </c>
      <c r="E14" s="18">
        <f t="shared" si="0"/>
        <v>320000</v>
      </c>
      <c r="F14" s="18">
        <f t="shared" si="1"/>
        <v>80000</v>
      </c>
    </row>
    <row r="15" spans="1:6" x14ac:dyDescent="0.35">
      <c r="A15" t="s">
        <v>710</v>
      </c>
      <c r="B15">
        <v>6172</v>
      </c>
      <c r="C15" t="s">
        <v>501</v>
      </c>
      <c r="D15" s="18">
        <v>20000</v>
      </c>
      <c r="E15" s="18">
        <f t="shared" si="0"/>
        <v>340000</v>
      </c>
      <c r="F15" s="18">
        <f t="shared" si="1"/>
        <v>60000</v>
      </c>
    </row>
    <row r="16" spans="1:6" x14ac:dyDescent="0.35">
      <c r="A16" t="s">
        <v>711</v>
      </c>
      <c r="B16">
        <v>8200</v>
      </c>
      <c r="C16" t="s">
        <v>501</v>
      </c>
      <c r="D16" s="18">
        <v>20000</v>
      </c>
      <c r="E16" s="18">
        <f t="shared" si="0"/>
        <v>360000</v>
      </c>
      <c r="F16" s="18">
        <f t="shared" si="1"/>
        <v>40000</v>
      </c>
    </row>
    <row r="17" spans="1:6" x14ac:dyDescent="0.35">
      <c r="A17" t="s">
        <v>712</v>
      </c>
      <c r="B17">
        <v>12837</v>
      </c>
      <c r="C17" t="s">
        <v>501</v>
      </c>
      <c r="D17" s="18">
        <v>10000</v>
      </c>
      <c r="E17" s="18">
        <f t="shared" si="0"/>
        <v>370000</v>
      </c>
      <c r="F17" s="18">
        <f t="shared" si="1"/>
        <v>30000</v>
      </c>
    </row>
    <row r="18" spans="1:6" x14ac:dyDescent="0.35">
      <c r="A18" t="s">
        <v>713</v>
      </c>
      <c r="B18">
        <v>12838</v>
      </c>
      <c r="C18" t="s">
        <v>501</v>
      </c>
      <c r="D18" s="18">
        <v>10000</v>
      </c>
      <c r="E18" s="18">
        <f t="shared" si="0"/>
        <v>380000</v>
      </c>
      <c r="F18" s="18">
        <f t="shared" si="1"/>
        <v>20000</v>
      </c>
    </row>
    <row r="19" spans="1:6" x14ac:dyDescent="0.35">
      <c r="A19" t="s">
        <v>681</v>
      </c>
      <c r="B19">
        <v>12839</v>
      </c>
      <c r="C19" t="s">
        <v>501</v>
      </c>
      <c r="D19" s="18">
        <v>20000</v>
      </c>
      <c r="E19" s="18">
        <f t="shared" si="0"/>
        <v>400000</v>
      </c>
      <c r="F19" s="18">
        <f t="shared" si="1"/>
        <v>0</v>
      </c>
    </row>
    <row r="22" spans="1:6" x14ac:dyDescent="0.35">
      <c r="A22" t="s">
        <v>715</v>
      </c>
      <c r="B22">
        <v>1827</v>
      </c>
      <c r="C22" t="s">
        <v>693</v>
      </c>
      <c r="D22" s="18">
        <v>149000</v>
      </c>
      <c r="E22" s="18">
        <v>258000</v>
      </c>
      <c r="F22" t="s">
        <v>405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E826-19A5-4B31-8A80-D5E1FFA7335D}">
  <dimension ref="A1:F39"/>
  <sheetViews>
    <sheetView topLeftCell="A33" workbookViewId="0">
      <selection activeCell="A37" sqref="A37:F39"/>
    </sheetView>
  </sheetViews>
  <sheetFormatPr defaultRowHeight="14.5" x14ac:dyDescent="0.35"/>
  <cols>
    <col min="1" max="1" width="9.453125" bestFit="1" customWidth="1"/>
    <col min="3" max="3" width="10.26953125" bestFit="1" customWidth="1"/>
    <col min="4" max="4" width="15.26953125" bestFit="1" customWidth="1"/>
    <col min="5" max="5" width="8.36328125" bestFit="1" customWidth="1"/>
    <col min="6" max="6" width="11.36328125" bestFit="1" customWidth="1"/>
  </cols>
  <sheetData>
    <row r="1" spans="1:6" ht="18.5" x14ac:dyDescent="0.45">
      <c r="A1" s="1" t="s">
        <v>108</v>
      </c>
      <c r="B1" s="1"/>
      <c r="C1" s="2"/>
      <c r="D1" s="1"/>
      <c r="E1" s="1"/>
      <c r="F1" s="1"/>
    </row>
    <row r="2" spans="1:6" ht="18.5" x14ac:dyDescent="0.45">
      <c r="A2" s="1" t="s">
        <v>109</v>
      </c>
      <c r="C2" s="1"/>
      <c r="D2" s="1"/>
      <c r="E2" s="1"/>
      <c r="F2" s="1"/>
    </row>
    <row r="3" spans="1:6" ht="18.5" x14ac:dyDescent="0.45">
      <c r="A3" s="1" t="s">
        <v>110</v>
      </c>
      <c r="B3" s="1"/>
      <c r="C3" s="1"/>
      <c r="D3" s="1"/>
      <c r="E3" s="1"/>
      <c r="F3" s="1"/>
    </row>
    <row r="4" spans="1:6" ht="18.5" x14ac:dyDescent="0.45">
      <c r="A4" s="1" t="s">
        <v>323</v>
      </c>
      <c r="B4" s="1"/>
      <c r="C4" s="1"/>
      <c r="D4" s="1"/>
      <c r="E4" s="1"/>
      <c r="F4" s="1"/>
    </row>
    <row r="5" spans="1:6" ht="18.5" x14ac:dyDescent="0.45">
      <c r="A5" s="1" t="s">
        <v>111</v>
      </c>
      <c r="B5" s="1"/>
      <c r="C5" s="1"/>
      <c r="D5" s="1"/>
      <c r="E5" s="1"/>
      <c r="F5" s="1"/>
    </row>
    <row r="6" spans="1:6" ht="18.5" x14ac:dyDescent="0.45">
      <c r="A6" s="1" t="s">
        <v>112</v>
      </c>
      <c r="B6" s="1"/>
      <c r="C6" s="1"/>
      <c r="D6" s="1" t="s">
        <v>82</v>
      </c>
      <c r="F6" s="1"/>
    </row>
    <row r="7" spans="1:6" x14ac:dyDescent="0.35">
      <c r="A7" s="21" t="s">
        <v>5</v>
      </c>
      <c r="B7" s="22" t="s">
        <v>6</v>
      </c>
      <c r="C7" s="22" t="s">
        <v>7</v>
      </c>
      <c r="D7" s="22" t="s">
        <v>8</v>
      </c>
      <c r="E7" s="22" t="s">
        <v>9</v>
      </c>
      <c r="F7" s="22" t="s">
        <v>10</v>
      </c>
    </row>
    <row r="8" spans="1:6" x14ac:dyDescent="0.35">
      <c r="A8" s="13" t="s">
        <v>113</v>
      </c>
      <c r="B8" s="13">
        <v>1071</v>
      </c>
      <c r="C8" s="13" t="s">
        <v>121</v>
      </c>
      <c r="D8" s="15">
        <v>70000</v>
      </c>
      <c r="E8" s="15">
        <v>70000</v>
      </c>
      <c r="F8" s="15">
        <v>530000</v>
      </c>
    </row>
    <row r="9" spans="1:6" x14ac:dyDescent="0.35">
      <c r="A9" s="16">
        <v>45142</v>
      </c>
      <c r="B9" s="13">
        <v>1025</v>
      </c>
      <c r="C9" s="13" t="s">
        <v>14</v>
      </c>
      <c r="D9" s="15">
        <v>20000</v>
      </c>
      <c r="E9" s="15">
        <f>SUM(E8+D9)</f>
        <v>90000</v>
      </c>
      <c r="F9" s="15">
        <f>F8-D9</f>
        <v>510000</v>
      </c>
    </row>
    <row r="10" spans="1:6" x14ac:dyDescent="0.35">
      <c r="A10" s="13" t="s">
        <v>114</v>
      </c>
      <c r="B10" s="13">
        <v>1559</v>
      </c>
      <c r="C10" s="13" t="s">
        <v>14</v>
      </c>
      <c r="D10" s="15">
        <v>10000</v>
      </c>
      <c r="E10" s="15">
        <f t="shared" ref="E10:E37" si="0">SUM(E9+D10)</f>
        <v>100000</v>
      </c>
      <c r="F10" s="15">
        <f t="shared" ref="F10:F37" si="1">F9-D10</f>
        <v>500000</v>
      </c>
    </row>
    <row r="11" spans="1:6" x14ac:dyDescent="0.35">
      <c r="A11" s="13" t="s">
        <v>84</v>
      </c>
      <c r="B11" s="13">
        <v>904</v>
      </c>
      <c r="C11" s="13" t="s">
        <v>14</v>
      </c>
      <c r="D11" s="15">
        <v>10000</v>
      </c>
      <c r="E11" s="15">
        <f t="shared" si="0"/>
        <v>110000</v>
      </c>
      <c r="F11" s="15">
        <f t="shared" si="1"/>
        <v>490000</v>
      </c>
    </row>
    <row r="12" spans="1:6" x14ac:dyDescent="0.35">
      <c r="A12" s="13" t="s">
        <v>115</v>
      </c>
      <c r="B12" s="13">
        <v>2798</v>
      </c>
      <c r="C12" s="13" t="s">
        <v>14</v>
      </c>
      <c r="D12" s="15">
        <v>10000</v>
      </c>
      <c r="E12" s="15">
        <f t="shared" si="0"/>
        <v>120000</v>
      </c>
      <c r="F12" s="15">
        <f t="shared" si="1"/>
        <v>480000</v>
      </c>
    </row>
    <row r="13" spans="1:6" x14ac:dyDescent="0.35">
      <c r="A13" s="13" t="s">
        <v>116</v>
      </c>
      <c r="B13" s="13">
        <v>3165</v>
      </c>
      <c r="C13" s="13" t="s">
        <v>14</v>
      </c>
      <c r="D13" s="15">
        <v>10000</v>
      </c>
      <c r="E13" s="15">
        <f t="shared" si="0"/>
        <v>130000</v>
      </c>
      <c r="F13" s="15">
        <f t="shared" si="1"/>
        <v>470000</v>
      </c>
    </row>
    <row r="14" spans="1:6" x14ac:dyDescent="0.35">
      <c r="A14" s="13" t="s">
        <v>117</v>
      </c>
      <c r="B14" s="13">
        <v>3642</v>
      </c>
      <c r="C14" s="13" t="s">
        <v>14</v>
      </c>
      <c r="D14" s="15">
        <v>10000</v>
      </c>
      <c r="E14" s="15">
        <f t="shared" si="0"/>
        <v>140000</v>
      </c>
      <c r="F14" s="15">
        <f t="shared" si="1"/>
        <v>460000</v>
      </c>
    </row>
    <row r="15" spans="1:6" x14ac:dyDescent="0.35">
      <c r="A15" s="13" t="s">
        <v>118</v>
      </c>
      <c r="B15" s="13">
        <v>4279</v>
      </c>
      <c r="C15" s="13" t="s">
        <v>14</v>
      </c>
      <c r="D15" s="15">
        <v>10000</v>
      </c>
      <c r="E15" s="15">
        <f t="shared" si="0"/>
        <v>150000</v>
      </c>
      <c r="F15" s="15">
        <f t="shared" si="1"/>
        <v>450000</v>
      </c>
    </row>
    <row r="16" spans="1:6" x14ac:dyDescent="0.35">
      <c r="A16" s="13" t="s">
        <v>119</v>
      </c>
      <c r="B16" s="13">
        <v>5077</v>
      </c>
      <c r="C16" s="13" t="s">
        <v>14</v>
      </c>
      <c r="D16" s="15">
        <v>10000</v>
      </c>
      <c r="E16" s="15">
        <f t="shared" si="0"/>
        <v>160000</v>
      </c>
      <c r="F16" s="15">
        <f t="shared" si="1"/>
        <v>440000</v>
      </c>
    </row>
    <row r="17" spans="1:6" x14ac:dyDescent="0.35">
      <c r="A17" s="13" t="s">
        <v>120</v>
      </c>
      <c r="B17" s="13">
        <v>5595</v>
      </c>
      <c r="C17" s="13" t="s">
        <v>14</v>
      </c>
      <c r="D17" s="15">
        <v>10000</v>
      </c>
      <c r="E17" s="15">
        <f t="shared" si="0"/>
        <v>170000</v>
      </c>
      <c r="F17" s="15">
        <f t="shared" si="1"/>
        <v>430000</v>
      </c>
    </row>
    <row r="18" spans="1:6" x14ac:dyDescent="0.35">
      <c r="A18" s="16">
        <v>45627</v>
      </c>
      <c r="B18" s="13">
        <v>6124</v>
      </c>
      <c r="C18" s="13" t="s">
        <v>14</v>
      </c>
      <c r="D18" s="15">
        <v>10000</v>
      </c>
      <c r="E18" s="15">
        <f t="shared" si="0"/>
        <v>180000</v>
      </c>
      <c r="F18" s="15">
        <f t="shared" si="1"/>
        <v>420000</v>
      </c>
    </row>
    <row r="19" spans="1:6" x14ac:dyDescent="0.35">
      <c r="A19" s="16">
        <v>45628</v>
      </c>
      <c r="B19" s="13">
        <v>7113</v>
      </c>
      <c r="C19" s="13" t="s">
        <v>14</v>
      </c>
      <c r="D19" s="15">
        <v>10000</v>
      </c>
      <c r="E19" s="15">
        <f t="shared" si="0"/>
        <v>190000</v>
      </c>
      <c r="F19" s="15">
        <f t="shared" si="1"/>
        <v>410000</v>
      </c>
    </row>
    <row r="20" spans="1:6" x14ac:dyDescent="0.35">
      <c r="A20" s="13" t="s">
        <v>122</v>
      </c>
      <c r="B20" s="13">
        <v>7349</v>
      </c>
      <c r="C20" s="13" t="s">
        <v>14</v>
      </c>
      <c r="D20" s="15">
        <v>10000</v>
      </c>
      <c r="E20" s="15">
        <f t="shared" si="0"/>
        <v>200000</v>
      </c>
      <c r="F20" s="15">
        <f t="shared" si="1"/>
        <v>400000</v>
      </c>
    </row>
    <row r="21" spans="1:6" x14ac:dyDescent="0.35">
      <c r="A21" s="13" t="s">
        <v>123</v>
      </c>
      <c r="B21" s="13">
        <v>7887</v>
      </c>
      <c r="C21" s="13" t="s">
        <v>14</v>
      </c>
      <c r="D21" s="15">
        <v>10000</v>
      </c>
      <c r="E21" s="15">
        <f t="shared" si="0"/>
        <v>210000</v>
      </c>
      <c r="F21" s="15">
        <f t="shared" si="1"/>
        <v>390000</v>
      </c>
    </row>
    <row r="22" spans="1:6" x14ac:dyDescent="0.35">
      <c r="A22" s="16">
        <v>45631</v>
      </c>
      <c r="B22" s="13">
        <v>8469</v>
      </c>
      <c r="C22" s="13" t="s">
        <v>14</v>
      </c>
      <c r="D22" s="15">
        <v>10000</v>
      </c>
      <c r="E22" s="15">
        <f t="shared" si="0"/>
        <v>220000</v>
      </c>
      <c r="F22" s="15">
        <f t="shared" si="1"/>
        <v>380000</v>
      </c>
    </row>
    <row r="23" spans="1:6" x14ac:dyDescent="0.35">
      <c r="A23" s="16">
        <v>45541</v>
      </c>
      <c r="B23" s="13">
        <v>8939</v>
      </c>
      <c r="C23" s="13" t="s">
        <v>14</v>
      </c>
      <c r="D23" s="15">
        <v>10000</v>
      </c>
      <c r="E23" s="15">
        <f t="shared" si="0"/>
        <v>230000</v>
      </c>
      <c r="F23" s="15">
        <f t="shared" si="1"/>
        <v>370000</v>
      </c>
    </row>
    <row r="24" spans="1:6" x14ac:dyDescent="0.35">
      <c r="A24" s="13" t="s">
        <v>124</v>
      </c>
      <c r="B24" s="13">
        <v>9674</v>
      </c>
      <c r="C24" s="13" t="s">
        <v>14</v>
      </c>
      <c r="D24" s="15">
        <v>10000</v>
      </c>
      <c r="E24" s="15">
        <f t="shared" si="0"/>
        <v>240000</v>
      </c>
      <c r="F24" s="15">
        <f t="shared" si="1"/>
        <v>360000</v>
      </c>
    </row>
    <row r="25" spans="1:6" x14ac:dyDescent="0.35">
      <c r="A25" s="13" t="s">
        <v>125</v>
      </c>
      <c r="B25" s="13">
        <v>11122</v>
      </c>
      <c r="C25" s="13" t="s">
        <v>14</v>
      </c>
      <c r="D25" s="15">
        <v>10000</v>
      </c>
      <c r="E25" s="15">
        <f t="shared" si="0"/>
        <v>250000</v>
      </c>
      <c r="F25" s="15">
        <f t="shared" si="1"/>
        <v>350000</v>
      </c>
    </row>
    <row r="26" spans="1:6" x14ac:dyDescent="0.35">
      <c r="A26" s="13" t="s">
        <v>126</v>
      </c>
      <c r="B26" s="13">
        <v>10108</v>
      </c>
      <c r="C26" s="13" t="s">
        <v>14</v>
      </c>
      <c r="D26" s="15">
        <v>10000</v>
      </c>
      <c r="E26" s="15">
        <f t="shared" si="0"/>
        <v>260000</v>
      </c>
      <c r="F26" s="15">
        <f t="shared" si="1"/>
        <v>340000</v>
      </c>
    </row>
    <row r="27" spans="1:6" x14ac:dyDescent="0.35">
      <c r="A27" s="16">
        <v>45422</v>
      </c>
      <c r="B27" s="13">
        <v>341</v>
      </c>
      <c r="C27" s="13" t="s">
        <v>14</v>
      </c>
      <c r="D27" s="15">
        <v>10000</v>
      </c>
      <c r="E27" s="15">
        <f t="shared" si="0"/>
        <v>270000</v>
      </c>
      <c r="F27" s="15">
        <f t="shared" si="1"/>
        <v>330000</v>
      </c>
    </row>
    <row r="28" spans="1:6" x14ac:dyDescent="0.35">
      <c r="A28" s="13" t="s">
        <v>127</v>
      </c>
      <c r="B28" s="13">
        <v>10982</v>
      </c>
      <c r="C28" s="13" t="s">
        <v>14</v>
      </c>
      <c r="D28" s="15">
        <v>10000</v>
      </c>
      <c r="E28" s="15">
        <f t="shared" si="0"/>
        <v>280000</v>
      </c>
      <c r="F28" s="15">
        <f t="shared" si="1"/>
        <v>320000</v>
      </c>
    </row>
    <row r="29" spans="1:6" x14ac:dyDescent="0.35">
      <c r="A29" s="13" t="s">
        <v>128</v>
      </c>
      <c r="B29" s="13">
        <v>12382</v>
      </c>
      <c r="C29" s="13" t="s">
        <v>14</v>
      </c>
      <c r="D29" s="15">
        <v>10000</v>
      </c>
      <c r="E29" s="15">
        <f t="shared" si="0"/>
        <v>290000</v>
      </c>
      <c r="F29" s="15">
        <f t="shared" si="1"/>
        <v>310000</v>
      </c>
    </row>
    <row r="30" spans="1:6" x14ac:dyDescent="0.35">
      <c r="A30" s="16">
        <v>45932</v>
      </c>
      <c r="B30" s="13">
        <v>9322</v>
      </c>
      <c r="C30" s="13" t="s">
        <v>14</v>
      </c>
      <c r="D30" s="15">
        <v>20000</v>
      </c>
      <c r="E30" s="15">
        <f t="shared" si="0"/>
        <v>310000</v>
      </c>
      <c r="F30" s="15">
        <f t="shared" si="1"/>
        <v>290000</v>
      </c>
    </row>
    <row r="31" spans="1:6" x14ac:dyDescent="0.35">
      <c r="A31" s="16">
        <v>45843</v>
      </c>
      <c r="B31" s="13">
        <v>10356</v>
      </c>
      <c r="C31" s="13" t="s">
        <v>14</v>
      </c>
      <c r="D31" s="15">
        <v>10000</v>
      </c>
      <c r="E31" s="15">
        <f t="shared" si="0"/>
        <v>320000</v>
      </c>
      <c r="F31" s="15">
        <f t="shared" si="1"/>
        <v>280000</v>
      </c>
    </row>
    <row r="32" spans="1:6" x14ac:dyDescent="0.35">
      <c r="A32" s="16">
        <v>45723</v>
      </c>
      <c r="B32" s="13">
        <v>12046</v>
      </c>
      <c r="C32" s="13" t="s">
        <v>14</v>
      </c>
      <c r="D32" s="15">
        <v>40000</v>
      </c>
      <c r="E32" s="15">
        <f t="shared" si="0"/>
        <v>360000</v>
      </c>
      <c r="F32" s="15">
        <f t="shared" si="1"/>
        <v>240000</v>
      </c>
    </row>
    <row r="33" spans="1:6" x14ac:dyDescent="0.35">
      <c r="A33" s="13" t="s">
        <v>129</v>
      </c>
      <c r="B33" s="13">
        <v>3702</v>
      </c>
      <c r="C33" s="13" t="s">
        <v>14</v>
      </c>
      <c r="D33" s="15">
        <v>20000</v>
      </c>
      <c r="E33" s="15">
        <f t="shared" si="0"/>
        <v>380000</v>
      </c>
      <c r="F33" s="15">
        <f t="shared" si="1"/>
        <v>220000</v>
      </c>
    </row>
    <row r="34" spans="1:6" x14ac:dyDescent="0.35">
      <c r="A34" s="13" t="s">
        <v>130</v>
      </c>
      <c r="B34" s="13">
        <v>12276</v>
      </c>
      <c r="C34" s="13" t="s">
        <v>14</v>
      </c>
      <c r="D34" s="15">
        <v>20000</v>
      </c>
      <c r="E34" s="15">
        <f t="shared" si="0"/>
        <v>400000</v>
      </c>
      <c r="F34" s="15">
        <f t="shared" si="1"/>
        <v>200000</v>
      </c>
    </row>
    <row r="35" spans="1:6" x14ac:dyDescent="0.35">
      <c r="A35" s="13" t="s">
        <v>131</v>
      </c>
      <c r="B35" s="13">
        <v>12553</v>
      </c>
      <c r="C35" s="13" t="s">
        <v>14</v>
      </c>
      <c r="D35" s="15">
        <v>10000</v>
      </c>
      <c r="E35" s="15">
        <f t="shared" si="0"/>
        <v>410000</v>
      </c>
      <c r="F35" s="15">
        <f t="shared" si="1"/>
        <v>190000</v>
      </c>
    </row>
    <row r="36" spans="1:6" x14ac:dyDescent="0.35">
      <c r="A36" s="48" t="s">
        <v>324</v>
      </c>
      <c r="B36" s="48">
        <v>13937</v>
      </c>
      <c r="C36" s="34" t="s">
        <v>14</v>
      </c>
      <c r="D36" s="35">
        <v>10000</v>
      </c>
      <c r="E36" s="35">
        <f t="shared" si="0"/>
        <v>420000</v>
      </c>
      <c r="F36" s="35">
        <f t="shared" si="1"/>
        <v>180000</v>
      </c>
    </row>
    <row r="37" spans="1:6" x14ac:dyDescent="0.35">
      <c r="A37" s="13" t="s">
        <v>325</v>
      </c>
      <c r="B37" s="13">
        <v>13280</v>
      </c>
      <c r="C37" s="13" t="s">
        <v>14</v>
      </c>
      <c r="D37" s="15">
        <v>40000</v>
      </c>
      <c r="E37" s="15">
        <f t="shared" si="0"/>
        <v>460000</v>
      </c>
      <c r="F37" s="15">
        <f t="shared" si="1"/>
        <v>140000</v>
      </c>
    </row>
    <row r="38" spans="1:6" x14ac:dyDescent="0.35">
      <c r="A38" s="13" t="s">
        <v>616</v>
      </c>
      <c r="B38" s="13">
        <v>13662</v>
      </c>
      <c r="C38" s="13" t="s">
        <v>14</v>
      </c>
      <c r="D38" s="15">
        <v>10000</v>
      </c>
      <c r="E38" s="15">
        <f>E37+D38</f>
        <v>470000</v>
      </c>
      <c r="F38" s="15">
        <f>F37-D38</f>
        <v>130000</v>
      </c>
    </row>
    <row r="39" spans="1:6" x14ac:dyDescent="0.35">
      <c r="A39" s="13" t="s">
        <v>759</v>
      </c>
      <c r="B39" s="13">
        <v>1826</v>
      </c>
      <c r="C39" s="13" t="s">
        <v>14</v>
      </c>
      <c r="D39" s="15">
        <v>10000</v>
      </c>
      <c r="E39" s="15">
        <f>E38+D39</f>
        <v>480000</v>
      </c>
      <c r="F39" s="15">
        <f>F38-D39</f>
        <v>120000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56183-E9B1-4DE4-874F-FE77C49A7DDD}">
  <dimension ref="A1:H20"/>
  <sheetViews>
    <sheetView topLeftCell="A13" workbookViewId="0">
      <selection activeCell="A17" sqref="A17:F20"/>
    </sheetView>
  </sheetViews>
  <sheetFormatPr defaultRowHeight="14.5" x14ac:dyDescent="0.35"/>
  <cols>
    <col min="1" max="1" width="9.453125" bestFit="1" customWidth="1"/>
    <col min="3" max="3" width="10.26953125" bestFit="1" customWidth="1"/>
    <col min="6" max="6" width="11.36328125" bestFit="1" customWidth="1"/>
  </cols>
  <sheetData>
    <row r="1" spans="1:8" ht="18.5" x14ac:dyDescent="0.45">
      <c r="A1" s="1" t="s">
        <v>179</v>
      </c>
      <c r="B1" s="1"/>
      <c r="C1" s="1"/>
      <c r="D1" s="1"/>
      <c r="E1" s="1"/>
      <c r="F1" s="1"/>
    </row>
    <row r="2" spans="1:8" ht="18.5" x14ac:dyDescent="0.45">
      <c r="A2" s="1" t="s">
        <v>180</v>
      </c>
      <c r="B2" s="1"/>
      <c r="C2" s="1"/>
      <c r="D2" s="1"/>
      <c r="E2" s="1"/>
      <c r="F2" s="1"/>
    </row>
    <row r="3" spans="1:8" ht="18.5" x14ac:dyDescent="0.45">
      <c r="A3" s="1" t="s">
        <v>181</v>
      </c>
      <c r="B3" s="1"/>
      <c r="C3" s="1"/>
      <c r="D3" s="1"/>
      <c r="E3" s="1"/>
      <c r="F3" s="1"/>
      <c r="H3" t="s">
        <v>610</v>
      </c>
    </row>
    <row r="4" spans="1:8" ht="18.5" x14ac:dyDescent="0.45">
      <c r="A4" s="1" t="s">
        <v>302</v>
      </c>
      <c r="B4" s="1"/>
      <c r="C4" s="1"/>
      <c r="D4" s="1"/>
      <c r="E4" s="1"/>
      <c r="F4" s="1"/>
    </row>
    <row r="5" spans="1:8" ht="18.5" x14ac:dyDescent="0.45">
      <c r="A5" s="1" t="s">
        <v>3</v>
      </c>
      <c r="B5" s="1"/>
      <c r="C5" s="1"/>
      <c r="D5" s="1"/>
      <c r="E5" s="1"/>
      <c r="F5" s="1"/>
    </row>
    <row r="6" spans="1:8" ht="18.5" x14ac:dyDescent="0.45">
      <c r="A6" s="1" t="s">
        <v>183</v>
      </c>
      <c r="B6" s="1"/>
      <c r="C6" s="1"/>
      <c r="D6" s="1" t="s">
        <v>182</v>
      </c>
      <c r="E6" s="1"/>
      <c r="F6" s="1"/>
    </row>
    <row r="7" spans="1:8" x14ac:dyDescent="0.35">
      <c r="A7" s="13" t="s">
        <v>5</v>
      </c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</row>
    <row r="8" spans="1:8" x14ac:dyDescent="0.35">
      <c r="A8" s="13" t="s">
        <v>11</v>
      </c>
      <c r="B8" s="13">
        <v>13905</v>
      </c>
      <c r="C8" s="13" t="s">
        <v>12</v>
      </c>
      <c r="D8" s="15">
        <v>20000</v>
      </c>
      <c r="E8" s="15">
        <v>20000</v>
      </c>
      <c r="F8" s="15">
        <v>660000</v>
      </c>
    </row>
    <row r="9" spans="1:8" x14ac:dyDescent="0.35">
      <c r="A9" s="13" t="s">
        <v>11</v>
      </c>
      <c r="B9" s="13">
        <v>13906</v>
      </c>
      <c r="C9" s="13" t="s">
        <v>14</v>
      </c>
      <c r="D9" s="15">
        <v>10000</v>
      </c>
      <c r="E9" s="15">
        <f>SUM(E8+D9)</f>
        <v>30000</v>
      </c>
      <c r="F9" s="15">
        <f>F8-D9</f>
        <v>650000</v>
      </c>
    </row>
    <row r="10" spans="1:8" x14ac:dyDescent="0.35">
      <c r="A10" s="16" t="s">
        <v>184</v>
      </c>
      <c r="B10" s="13">
        <v>13527</v>
      </c>
      <c r="C10" s="13" t="s">
        <v>14</v>
      </c>
      <c r="D10" s="15">
        <v>10000</v>
      </c>
      <c r="E10" s="15">
        <f t="shared" ref="E10:E17" si="0">SUM(E9+D10)</f>
        <v>40000</v>
      </c>
      <c r="F10" s="15">
        <f t="shared" ref="F10:F17" si="1">F9-D10</f>
        <v>640000</v>
      </c>
    </row>
    <row r="11" spans="1:8" x14ac:dyDescent="0.35">
      <c r="A11" s="13" t="s">
        <v>13</v>
      </c>
      <c r="B11" s="13">
        <v>13396</v>
      </c>
      <c r="C11" s="13" t="s">
        <v>14</v>
      </c>
      <c r="D11" s="15">
        <v>10000</v>
      </c>
      <c r="E11" s="15">
        <f t="shared" si="0"/>
        <v>50000</v>
      </c>
      <c r="F11" s="15">
        <f t="shared" si="1"/>
        <v>630000</v>
      </c>
    </row>
    <row r="12" spans="1:8" x14ac:dyDescent="0.35">
      <c r="A12" s="13" t="s">
        <v>15</v>
      </c>
      <c r="B12" s="13">
        <v>13195</v>
      </c>
      <c r="C12" s="13" t="s">
        <v>14</v>
      </c>
      <c r="D12" s="15">
        <v>10000</v>
      </c>
      <c r="E12" s="15">
        <f t="shared" si="0"/>
        <v>60000</v>
      </c>
      <c r="F12" s="15">
        <f t="shared" si="1"/>
        <v>620000</v>
      </c>
    </row>
    <row r="13" spans="1:8" x14ac:dyDescent="0.35">
      <c r="A13" s="13" t="s">
        <v>185</v>
      </c>
      <c r="B13" s="13">
        <v>12199</v>
      </c>
      <c r="C13" s="13" t="s">
        <v>14</v>
      </c>
      <c r="D13" s="15">
        <v>10000</v>
      </c>
      <c r="E13" s="15">
        <f t="shared" si="0"/>
        <v>70000</v>
      </c>
      <c r="F13" s="15">
        <f t="shared" si="1"/>
        <v>610000</v>
      </c>
    </row>
    <row r="14" spans="1:8" x14ac:dyDescent="0.35">
      <c r="A14" s="13" t="s">
        <v>186</v>
      </c>
      <c r="B14" s="13">
        <v>12546</v>
      </c>
      <c r="C14" s="13" t="s">
        <v>14</v>
      </c>
      <c r="D14" s="15">
        <v>10000</v>
      </c>
      <c r="E14" s="15">
        <f t="shared" si="0"/>
        <v>80000</v>
      </c>
      <c r="F14" s="15">
        <f t="shared" si="1"/>
        <v>600000</v>
      </c>
    </row>
    <row r="15" spans="1:8" x14ac:dyDescent="0.35">
      <c r="A15" s="16">
        <v>46026</v>
      </c>
      <c r="B15" s="13">
        <v>13990</v>
      </c>
      <c r="C15" s="13" t="s">
        <v>14</v>
      </c>
      <c r="D15" s="15">
        <v>10000</v>
      </c>
      <c r="E15" s="15">
        <f t="shared" si="0"/>
        <v>90000</v>
      </c>
      <c r="F15" s="15">
        <f t="shared" si="1"/>
        <v>590000</v>
      </c>
    </row>
    <row r="16" spans="1:8" x14ac:dyDescent="0.35">
      <c r="A16" s="16">
        <v>46299</v>
      </c>
      <c r="B16" s="13">
        <v>13990</v>
      </c>
      <c r="C16" s="13" t="s">
        <v>14</v>
      </c>
      <c r="D16" s="15">
        <v>10000</v>
      </c>
      <c r="E16" s="15">
        <f t="shared" si="0"/>
        <v>100000</v>
      </c>
      <c r="F16" s="15">
        <f t="shared" si="1"/>
        <v>580000</v>
      </c>
    </row>
    <row r="17" spans="1:6" x14ac:dyDescent="0.35">
      <c r="A17" s="16">
        <v>46331</v>
      </c>
      <c r="B17" s="13">
        <v>13327</v>
      </c>
      <c r="C17" s="13" t="s">
        <v>14</v>
      </c>
      <c r="D17" s="15">
        <v>10000</v>
      </c>
      <c r="E17" s="15">
        <f t="shared" si="0"/>
        <v>110000</v>
      </c>
      <c r="F17" s="15">
        <f t="shared" si="1"/>
        <v>570000</v>
      </c>
    </row>
    <row r="18" spans="1:6" x14ac:dyDescent="0.35">
      <c r="A18" s="13" t="s">
        <v>609</v>
      </c>
      <c r="B18" s="13">
        <v>13610</v>
      </c>
      <c r="C18" s="13" t="s">
        <v>14</v>
      </c>
      <c r="D18" s="15">
        <v>10000</v>
      </c>
      <c r="E18" s="15">
        <f>E17+D18</f>
        <v>120000</v>
      </c>
      <c r="F18" s="15">
        <f>F17-D18</f>
        <v>560000</v>
      </c>
    </row>
    <row r="19" spans="1:6" x14ac:dyDescent="0.35">
      <c r="A19" s="13" t="s">
        <v>757</v>
      </c>
      <c r="B19" s="13">
        <v>1494</v>
      </c>
      <c r="C19" s="13" t="s">
        <v>14</v>
      </c>
      <c r="D19" s="15">
        <v>10000</v>
      </c>
      <c r="E19" s="15">
        <f>E18+D19</f>
        <v>130000</v>
      </c>
      <c r="F19" s="15">
        <f>F18-D19</f>
        <v>550000</v>
      </c>
    </row>
    <row r="20" spans="1:6" x14ac:dyDescent="0.35">
      <c r="A20" s="13" t="s">
        <v>758</v>
      </c>
      <c r="B20" s="13">
        <v>1806</v>
      </c>
      <c r="C20" s="13" t="s">
        <v>14</v>
      </c>
      <c r="D20" s="15">
        <v>10000</v>
      </c>
      <c r="E20" s="15">
        <f>E19+D20</f>
        <v>140000</v>
      </c>
      <c r="F20" s="15">
        <f>F19-D20</f>
        <v>540000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EBBA-083D-41D0-AE9C-A5C764391531}">
  <dimension ref="A1:F49"/>
  <sheetViews>
    <sheetView topLeftCell="A30" workbookViewId="0">
      <selection activeCell="A49" sqref="A49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0.90625" bestFit="1" customWidth="1"/>
  </cols>
  <sheetData>
    <row r="1" spans="1:6" ht="18.5" x14ac:dyDescent="0.45">
      <c r="A1" s="1" t="s">
        <v>166</v>
      </c>
      <c r="B1" s="1"/>
      <c r="C1" s="2"/>
      <c r="D1" s="1"/>
      <c r="E1" s="1"/>
      <c r="F1" s="1"/>
    </row>
    <row r="2" spans="1:6" ht="18.5" x14ac:dyDescent="0.45">
      <c r="A2" s="1" t="s">
        <v>167</v>
      </c>
      <c r="C2" s="1"/>
      <c r="D2" s="1"/>
      <c r="E2" s="1"/>
      <c r="F2" s="1"/>
    </row>
    <row r="3" spans="1:6" ht="18.5" x14ac:dyDescent="0.45">
      <c r="A3" s="1" t="s">
        <v>168</v>
      </c>
      <c r="B3" s="1"/>
      <c r="C3" s="1"/>
      <c r="D3" s="1"/>
      <c r="E3" s="1"/>
      <c r="F3" s="1"/>
    </row>
    <row r="4" spans="1:6" ht="18.5" x14ac:dyDescent="0.45">
      <c r="A4" s="1" t="s">
        <v>447</v>
      </c>
      <c r="B4" s="1"/>
      <c r="C4" s="1"/>
      <c r="D4" s="1"/>
      <c r="E4" s="1"/>
      <c r="F4" s="1"/>
    </row>
    <row r="5" spans="1:6" ht="18.5" x14ac:dyDescent="0.45">
      <c r="A5" s="1" t="s">
        <v>169</v>
      </c>
      <c r="B5" s="1"/>
      <c r="C5" s="1"/>
      <c r="D5" s="1"/>
      <c r="E5" s="1"/>
      <c r="F5" s="1"/>
    </row>
    <row r="6" spans="1:6" ht="18.5" x14ac:dyDescent="0.45">
      <c r="A6" s="1" t="s">
        <v>170</v>
      </c>
      <c r="B6" s="1"/>
      <c r="C6" s="1"/>
      <c r="D6" s="1"/>
      <c r="E6" s="1" t="s">
        <v>22</v>
      </c>
      <c r="F6" s="1"/>
    </row>
    <row r="7" spans="1:6" x14ac:dyDescent="0.35">
      <c r="A7" s="19" t="s">
        <v>5</v>
      </c>
      <c r="B7" s="20" t="s">
        <v>6</v>
      </c>
      <c r="C7" s="20" t="s">
        <v>7</v>
      </c>
      <c r="D7" s="20" t="s">
        <v>8</v>
      </c>
      <c r="E7" s="20" t="s">
        <v>9</v>
      </c>
      <c r="F7" s="20" t="s">
        <v>10</v>
      </c>
    </row>
    <row r="8" spans="1:6" x14ac:dyDescent="0.35">
      <c r="A8" s="24" t="s">
        <v>151</v>
      </c>
      <c r="B8" s="24">
        <v>1222</v>
      </c>
      <c r="C8" s="24" t="s">
        <v>141</v>
      </c>
      <c r="D8" s="25">
        <v>40000</v>
      </c>
      <c r="E8" s="25">
        <v>40000</v>
      </c>
      <c r="F8" s="25">
        <v>660000</v>
      </c>
    </row>
    <row r="9" spans="1:6" x14ac:dyDescent="0.35">
      <c r="A9" s="24" t="s">
        <v>152</v>
      </c>
      <c r="B9" s="24">
        <v>272</v>
      </c>
      <c r="C9" s="24" t="s">
        <v>142</v>
      </c>
      <c r="D9" s="25">
        <v>10000</v>
      </c>
      <c r="E9" s="25">
        <f>SUM(E8+D9)</f>
        <v>50000</v>
      </c>
      <c r="F9" s="25">
        <f>F8-D9</f>
        <v>650000</v>
      </c>
    </row>
    <row r="10" spans="1:6" x14ac:dyDescent="0.35">
      <c r="A10" s="23">
        <v>45082</v>
      </c>
      <c r="B10" s="24">
        <v>1479</v>
      </c>
      <c r="C10" s="24" t="s">
        <v>14</v>
      </c>
      <c r="D10" s="25">
        <v>10000</v>
      </c>
      <c r="E10" s="25">
        <f t="shared" ref="E10:E46" si="0">SUM(E9+D10)</f>
        <v>60000</v>
      </c>
      <c r="F10" s="25">
        <f t="shared" ref="F10:F46" si="1">F9-D10</f>
        <v>640000</v>
      </c>
    </row>
    <row r="11" spans="1:6" x14ac:dyDescent="0.35">
      <c r="A11" s="23">
        <v>45205</v>
      </c>
      <c r="B11" s="24">
        <v>125</v>
      </c>
      <c r="C11" s="24" t="s">
        <v>14</v>
      </c>
      <c r="D11" s="25">
        <v>10000</v>
      </c>
      <c r="E11" s="25">
        <f t="shared" si="0"/>
        <v>70000</v>
      </c>
      <c r="F11" s="25">
        <f t="shared" si="1"/>
        <v>630000</v>
      </c>
    </row>
    <row r="12" spans="1:6" x14ac:dyDescent="0.35">
      <c r="A12" s="24" t="s">
        <v>139</v>
      </c>
      <c r="B12" s="24">
        <v>2768</v>
      </c>
      <c r="C12" s="24" t="s">
        <v>14</v>
      </c>
      <c r="D12" s="25">
        <v>10000</v>
      </c>
      <c r="E12" s="25">
        <f t="shared" si="0"/>
        <v>80000</v>
      </c>
      <c r="F12" s="25">
        <f t="shared" si="1"/>
        <v>620000</v>
      </c>
    </row>
    <row r="13" spans="1:6" x14ac:dyDescent="0.35">
      <c r="A13" s="23">
        <v>45238</v>
      </c>
      <c r="B13" s="24">
        <v>2376</v>
      </c>
      <c r="C13" s="24" t="s">
        <v>14</v>
      </c>
      <c r="D13" s="25">
        <v>10000</v>
      </c>
      <c r="E13" s="25">
        <f t="shared" si="0"/>
        <v>90000</v>
      </c>
      <c r="F13" s="25">
        <f t="shared" si="1"/>
        <v>610000</v>
      </c>
    </row>
    <row r="14" spans="1:6" x14ac:dyDescent="0.35">
      <c r="A14" s="24" t="s">
        <v>171</v>
      </c>
      <c r="B14" s="24">
        <v>4724</v>
      </c>
      <c r="C14" s="24" t="s">
        <v>14</v>
      </c>
      <c r="D14" s="25">
        <v>10000</v>
      </c>
      <c r="E14" s="25">
        <f t="shared" si="0"/>
        <v>100000</v>
      </c>
      <c r="F14" s="25">
        <f t="shared" si="1"/>
        <v>600000</v>
      </c>
    </row>
    <row r="15" spans="1:6" x14ac:dyDescent="0.35">
      <c r="A15" s="24" t="s">
        <v>140</v>
      </c>
      <c r="B15" s="24">
        <v>4725</v>
      </c>
      <c r="C15" s="24" t="s">
        <v>14</v>
      </c>
      <c r="D15" s="25">
        <v>10000</v>
      </c>
      <c r="E15" s="25">
        <f t="shared" si="0"/>
        <v>110000</v>
      </c>
      <c r="F15" s="25">
        <f t="shared" si="1"/>
        <v>590000</v>
      </c>
    </row>
    <row r="16" spans="1:6" x14ac:dyDescent="0.35">
      <c r="A16" s="23">
        <v>45180</v>
      </c>
      <c r="B16" s="24">
        <v>4726</v>
      </c>
      <c r="C16" s="24" t="s">
        <v>14</v>
      </c>
      <c r="D16" s="25">
        <v>10000</v>
      </c>
      <c r="E16" s="25">
        <f t="shared" si="0"/>
        <v>120000</v>
      </c>
      <c r="F16" s="25">
        <f t="shared" si="1"/>
        <v>580000</v>
      </c>
    </row>
    <row r="17" spans="1:6" x14ac:dyDescent="0.35">
      <c r="A17" s="23">
        <v>45242</v>
      </c>
      <c r="B17" s="24">
        <v>5459</v>
      </c>
      <c r="C17" s="24" t="s">
        <v>14</v>
      </c>
      <c r="D17" s="25">
        <v>10000</v>
      </c>
      <c r="E17" s="25">
        <f t="shared" si="0"/>
        <v>130000</v>
      </c>
      <c r="F17" s="25">
        <f t="shared" si="1"/>
        <v>570000</v>
      </c>
    </row>
    <row r="18" spans="1:6" x14ac:dyDescent="0.35">
      <c r="A18" s="23">
        <v>45505</v>
      </c>
      <c r="B18" s="24">
        <v>5992</v>
      </c>
      <c r="C18" s="24" t="s">
        <v>14</v>
      </c>
      <c r="D18" s="25">
        <v>10000</v>
      </c>
      <c r="E18" s="25">
        <f t="shared" si="0"/>
        <v>140000</v>
      </c>
      <c r="F18" s="25">
        <f t="shared" si="1"/>
        <v>560000</v>
      </c>
    </row>
    <row r="19" spans="1:6" x14ac:dyDescent="0.35">
      <c r="A19" s="23">
        <v>45628</v>
      </c>
      <c r="B19" s="24">
        <v>7103</v>
      </c>
      <c r="C19" s="24" t="s">
        <v>14</v>
      </c>
      <c r="D19" s="25">
        <v>10000</v>
      </c>
      <c r="E19" s="25">
        <f t="shared" si="0"/>
        <v>150000</v>
      </c>
      <c r="F19" s="25">
        <f t="shared" si="1"/>
        <v>550000</v>
      </c>
    </row>
    <row r="20" spans="1:6" x14ac:dyDescent="0.35">
      <c r="A20" s="23">
        <v>45476</v>
      </c>
      <c r="B20" s="24">
        <v>6912</v>
      </c>
      <c r="C20" s="24" t="s">
        <v>14</v>
      </c>
      <c r="D20" s="25">
        <v>10000</v>
      </c>
      <c r="E20" s="25">
        <f t="shared" si="0"/>
        <v>160000</v>
      </c>
      <c r="F20" s="25">
        <f t="shared" si="1"/>
        <v>540000</v>
      </c>
    </row>
    <row r="21" spans="1:6" x14ac:dyDescent="0.35">
      <c r="A21" s="23">
        <v>45447</v>
      </c>
      <c r="B21" s="24">
        <v>9193</v>
      </c>
      <c r="C21" s="24" t="s">
        <v>14</v>
      </c>
      <c r="D21" s="25">
        <v>10000</v>
      </c>
      <c r="E21" s="25">
        <f t="shared" si="0"/>
        <v>170000</v>
      </c>
      <c r="F21" s="25">
        <f t="shared" si="1"/>
        <v>530000</v>
      </c>
    </row>
    <row r="22" spans="1:6" x14ac:dyDescent="0.35">
      <c r="A22" s="23">
        <v>45509</v>
      </c>
      <c r="B22" s="24">
        <v>9193</v>
      </c>
      <c r="C22" s="24" t="s">
        <v>14</v>
      </c>
      <c r="D22" s="25">
        <v>10000</v>
      </c>
      <c r="E22" s="25">
        <f t="shared" si="0"/>
        <v>180000</v>
      </c>
      <c r="F22" s="25">
        <f t="shared" si="1"/>
        <v>520000</v>
      </c>
    </row>
    <row r="23" spans="1:6" x14ac:dyDescent="0.35">
      <c r="A23" s="23">
        <v>45357</v>
      </c>
      <c r="B23" s="24">
        <v>9193</v>
      </c>
      <c r="C23" s="24" t="s">
        <v>14</v>
      </c>
      <c r="D23" s="25">
        <v>10000</v>
      </c>
      <c r="E23" s="25">
        <f t="shared" si="0"/>
        <v>190000</v>
      </c>
      <c r="F23" s="25">
        <f t="shared" si="1"/>
        <v>510000</v>
      </c>
    </row>
    <row r="24" spans="1:6" x14ac:dyDescent="0.35">
      <c r="A24" s="23">
        <v>45419</v>
      </c>
      <c r="B24" s="24">
        <v>9193</v>
      </c>
      <c r="C24" s="24" t="s">
        <v>14</v>
      </c>
      <c r="D24" s="25">
        <v>10000</v>
      </c>
      <c r="E24" s="25">
        <f t="shared" si="0"/>
        <v>200000</v>
      </c>
      <c r="F24" s="25">
        <f t="shared" si="1"/>
        <v>500000</v>
      </c>
    </row>
    <row r="25" spans="1:6" x14ac:dyDescent="0.35">
      <c r="A25" s="23">
        <v>45420</v>
      </c>
      <c r="B25" s="24">
        <v>9193</v>
      </c>
      <c r="C25" s="24" t="s">
        <v>14</v>
      </c>
      <c r="D25" s="25">
        <v>10000</v>
      </c>
      <c r="E25" s="25">
        <f t="shared" si="0"/>
        <v>210000</v>
      </c>
      <c r="F25" s="25">
        <f t="shared" si="1"/>
        <v>490000</v>
      </c>
    </row>
    <row r="26" spans="1:6" x14ac:dyDescent="0.35">
      <c r="A26" s="23">
        <v>45482</v>
      </c>
      <c r="B26" s="24">
        <v>9193</v>
      </c>
      <c r="C26" s="24" t="s">
        <v>14</v>
      </c>
      <c r="D26" s="25">
        <v>10000</v>
      </c>
      <c r="E26" s="25">
        <f t="shared" si="0"/>
        <v>220000</v>
      </c>
      <c r="F26" s="25">
        <f t="shared" si="1"/>
        <v>480000</v>
      </c>
    </row>
    <row r="27" spans="1:6" x14ac:dyDescent="0.35">
      <c r="A27" s="23">
        <v>45545</v>
      </c>
      <c r="B27" s="24">
        <v>9193</v>
      </c>
      <c r="C27" s="24" t="s">
        <v>14</v>
      </c>
      <c r="D27" s="25">
        <v>10000</v>
      </c>
      <c r="E27" s="25">
        <f t="shared" si="0"/>
        <v>230000</v>
      </c>
      <c r="F27" s="25">
        <f t="shared" si="1"/>
        <v>470000</v>
      </c>
    </row>
    <row r="28" spans="1:6" x14ac:dyDescent="0.35">
      <c r="A28" s="23">
        <v>45607</v>
      </c>
      <c r="B28" s="24">
        <v>9193</v>
      </c>
      <c r="C28" s="24" t="s">
        <v>14</v>
      </c>
      <c r="D28" s="25">
        <v>10000</v>
      </c>
      <c r="E28" s="25">
        <f t="shared" si="0"/>
        <v>240000</v>
      </c>
      <c r="F28" s="25">
        <f t="shared" si="1"/>
        <v>460000</v>
      </c>
    </row>
    <row r="29" spans="1:6" x14ac:dyDescent="0.35">
      <c r="A29" s="24" t="s">
        <v>172</v>
      </c>
      <c r="B29" s="24">
        <v>9193</v>
      </c>
      <c r="C29" s="24" t="s">
        <v>14</v>
      </c>
      <c r="D29" s="25">
        <v>10000</v>
      </c>
      <c r="E29" s="25">
        <f t="shared" si="0"/>
        <v>250000</v>
      </c>
      <c r="F29" s="25">
        <f t="shared" si="1"/>
        <v>450000</v>
      </c>
    </row>
    <row r="30" spans="1:6" x14ac:dyDescent="0.35">
      <c r="A30" s="23">
        <v>45778</v>
      </c>
      <c r="B30" s="24">
        <v>9193</v>
      </c>
      <c r="C30" s="24" t="s">
        <v>14</v>
      </c>
      <c r="D30" s="25">
        <v>10000</v>
      </c>
      <c r="E30" s="25">
        <f t="shared" si="0"/>
        <v>260000</v>
      </c>
      <c r="F30" s="25">
        <f t="shared" si="1"/>
        <v>440000</v>
      </c>
    </row>
    <row r="31" spans="1:6" x14ac:dyDescent="0.35">
      <c r="A31" s="23">
        <v>45690</v>
      </c>
      <c r="B31" s="24">
        <v>9194</v>
      </c>
      <c r="C31" s="24" t="s">
        <v>14</v>
      </c>
      <c r="D31" s="25">
        <v>10000</v>
      </c>
      <c r="E31" s="25">
        <f t="shared" si="0"/>
        <v>270000</v>
      </c>
      <c r="F31" s="25">
        <f t="shared" si="1"/>
        <v>430000</v>
      </c>
    </row>
    <row r="32" spans="1:6" x14ac:dyDescent="0.35">
      <c r="A32" s="23">
        <v>45691</v>
      </c>
      <c r="B32" s="24">
        <v>9584</v>
      </c>
      <c r="C32" s="24" t="s">
        <v>14</v>
      </c>
      <c r="D32" s="25">
        <v>10000</v>
      </c>
      <c r="E32" s="25">
        <f t="shared" si="0"/>
        <v>280000</v>
      </c>
      <c r="F32" s="25">
        <f t="shared" si="1"/>
        <v>420000</v>
      </c>
    </row>
    <row r="33" spans="1:6" x14ac:dyDescent="0.35">
      <c r="A33" s="23"/>
      <c r="B33" s="24"/>
      <c r="C33" s="24" t="s">
        <v>14</v>
      </c>
      <c r="D33" s="25">
        <v>10000</v>
      </c>
      <c r="E33" s="25">
        <f t="shared" si="0"/>
        <v>290000</v>
      </c>
      <c r="F33" s="25">
        <f t="shared" si="1"/>
        <v>410000</v>
      </c>
    </row>
    <row r="34" spans="1:6" x14ac:dyDescent="0.35">
      <c r="A34" s="23">
        <v>45782</v>
      </c>
      <c r="B34" s="24">
        <v>10332</v>
      </c>
      <c r="C34" s="24" t="s">
        <v>14</v>
      </c>
      <c r="D34" s="25">
        <v>10000</v>
      </c>
      <c r="E34" s="25">
        <f t="shared" si="0"/>
        <v>300000</v>
      </c>
      <c r="F34" s="25">
        <f t="shared" si="1"/>
        <v>400000</v>
      </c>
    </row>
    <row r="35" spans="1:6" x14ac:dyDescent="0.35">
      <c r="A35" s="23">
        <v>45783</v>
      </c>
      <c r="B35" s="24">
        <v>10465</v>
      </c>
      <c r="C35" s="24" t="s">
        <v>14</v>
      </c>
      <c r="D35" s="25">
        <v>10000</v>
      </c>
      <c r="E35" s="25">
        <f t="shared" si="0"/>
        <v>310000</v>
      </c>
      <c r="F35" s="25">
        <f t="shared" si="1"/>
        <v>390000</v>
      </c>
    </row>
    <row r="36" spans="1:6" x14ac:dyDescent="0.35">
      <c r="A36" s="23">
        <v>45723</v>
      </c>
      <c r="B36" s="24">
        <v>12051</v>
      </c>
      <c r="C36" s="24" t="s">
        <v>14</v>
      </c>
      <c r="D36" s="25">
        <v>10000</v>
      </c>
      <c r="E36" s="25">
        <f t="shared" si="0"/>
        <v>320000</v>
      </c>
      <c r="F36" s="25">
        <f t="shared" si="1"/>
        <v>380000</v>
      </c>
    </row>
    <row r="37" spans="1:6" x14ac:dyDescent="0.35">
      <c r="A37" s="23">
        <v>45665</v>
      </c>
      <c r="B37" s="24">
        <v>12347</v>
      </c>
      <c r="C37" s="24" t="s">
        <v>14</v>
      </c>
      <c r="D37" s="25">
        <v>10000</v>
      </c>
      <c r="E37" s="25">
        <f t="shared" si="0"/>
        <v>330000</v>
      </c>
      <c r="F37" s="25">
        <f t="shared" si="1"/>
        <v>370000</v>
      </c>
    </row>
    <row r="38" spans="1:6" x14ac:dyDescent="0.35">
      <c r="A38" s="23">
        <v>45725</v>
      </c>
      <c r="B38" s="24">
        <v>12608</v>
      </c>
      <c r="C38" s="24" t="s">
        <v>14</v>
      </c>
      <c r="D38" s="25">
        <v>10000</v>
      </c>
      <c r="E38" s="25">
        <f t="shared" si="0"/>
        <v>340000</v>
      </c>
      <c r="F38" s="25">
        <f t="shared" si="1"/>
        <v>360000</v>
      </c>
    </row>
    <row r="39" spans="1:6" x14ac:dyDescent="0.35">
      <c r="A39" s="23">
        <v>45757</v>
      </c>
      <c r="B39" s="24">
        <v>13863</v>
      </c>
      <c r="C39" s="24" t="s">
        <v>14</v>
      </c>
      <c r="D39" s="25">
        <v>10000</v>
      </c>
      <c r="E39" s="25">
        <f t="shared" si="0"/>
        <v>350000</v>
      </c>
      <c r="F39" s="25">
        <f t="shared" si="1"/>
        <v>350000</v>
      </c>
    </row>
    <row r="40" spans="1:6" x14ac:dyDescent="0.35">
      <c r="A40" s="23">
        <v>45727</v>
      </c>
      <c r="B40" s="24">
        <v>13427</v>
      </c>
      <c r="C40" s="24" t="s">
        <v>14</v>
      </c>
      <c r="D40" s="25">
        <v>10000</v>
      </c>
      <c r="E40" s="25">
        <f t="shared" si="0"/>
        <v>360000</v>
      </c>
      <c r="F40" s="25">
        <f t="shared" si="1"/>
        <v>340000</v>
      </c>
    </row>
    <row r="41" spans="1:6" x14ac:dyDescent="0.35">
      <c r="A41" s="23">
        <v>45728</v>
      </c>
      <c r="B41" s="24">
        <v>13272</v>
      </c>
      <c r="C41" s="24" t="s">
        <v>14</v>
      </c>
      <c r="D41" s="25">
        <v>10000</v>
      </c>
      <c r="E41" s="25">
        <f t="shared" si="0"/>
        <v>370000</v>
      </c>
      <c r="F41" s="25">
        <f t="shared" si="1"/>
        <v>330000</v>
      </c>
    </row>
    <row r="42" spans="1:6" x14ac:dyDescent="0.35">
      <c r="A42" s="23">
        <v>46082</v>
      </c>
      <c r="B42" s="24">
        <v>13872</v>
      </c>
      <c r="C42" s="24" t="s">
        <v>14</v>
      </c>
      <c r="D42" s="25">
        <v>10000</v>
      </c>
      <c r="E42" s="25">
        <f t="shared" si="0"/>
        <v>380000</v>
      </c>
      <c r="F42" s="25">
        <f t="shared" si="1"/>
        <v>320000</v>
      </c>
    </row>
    <row r="43" spans="1:6" x14ac:dyDescent="0.35">
      <c r="A43" s="23">
        <v>46083</v>
      </c>
      <c r="B43" s="24">
        <v>12315</v>
      </c>
      <c r="C43" s="24" t="s">
        <v>14</v>
      </c>
      <c r="D43" s="25">
        <v>10000</v>
      </c>
      <c r="E43" s="25">
        <f t="shared" si="0"/>
        <v>390000</v>
      </c>
      <c r="F43" s="25">
        <f t="shared" si="1"/>
        <v>310000</v>
      </c>
    </row>
    <row r="44" spans="1:6" x14ac:dyDescent="0.35">
      <c r="A44" s="17">
        <v>46115</v>
      </c>
      <c r="B44" s="52">
        <v>12734</v>
      </c>
      <c r="C44" s="24" t="s">
        <v>14</v>
      </c>
      <c r="D44" s="25">
        <v>10000</v>
      </c>
      <c r="E44" s="25">
        <f t="shared" si="0"/>
        <v>400000</v>
      </c>
      <c r="F44" s="25">
        <f t="shared" si="1"/>
        <v>300000</v>
      </c>
    </row>
    <row r="45" spans="1:6" x14ac:dyDescent="0.35">
      <c r="A45" s="17">
        <v>46026</v>
      </c>
      <c r="B45" s="52">
        <v>13996</v>
      </c>
      <c r="C45" s="24" t="s">
        <v>14</v>
      </c>
      <c r="D45" s="25">
        <v>10000</v>
      </c>
      <c r="E45" s="25">
        <f t="shared" si="0"/>
        <v>410000</v>
      </c>
      <c r="F45" s="25">
        <f t="shared" si="1"/>
        <v>290000</v>
      </c>
    </row>
    <row r="46" spans="1:6" x14ac:dyDescent="0.35">
      <c r="A46" s="17">
        <v>46058</v>
      </c>
      <c r="B46" s="52">
        <v>12907</v>
      </c>
      <c r="C46" s="24" t="s">
        <v>14</v>
      </c>
      <c r="D46" s="25">
        <v>10000</v>
      </c>
      <c r="E46" s="25">
        <f t="shared" si="0"/>
        <v>420000</v>
      </c>
      <c r="F46" s="25">
        <f t="shared" si="1"/>
        <v>280000</v>
      </c>
    </row>
    <row r="47" spans="1:6" x14ac:dyDescent="0.35">
      <c r="A47" t="s">
        <v>613</v>
      </c>
      <c r="B47" s="52">
        <v>13636</v>
      </c>
      <c r="C47" s="52" t="s">
        <v>14</v>
      </c>
      <c r="D47" s="18">
        <v>10000</v>
      </c>
      <c r="E47" s="18">
        <f>E46+D47</f>
        <v>430000</v>
      </c>
      <c r="F47" s="18">
        <f>F46-D47</f>
        <v>270000</v>
      </c>
    </row>
    <row r="48" spans="1:6" x14ac:dyDescent="0.35">
      <c r="A48" s="17">
        <v>46119</v>
      </c>
      <c r="B48" s="52">
        <v>1374</v>
      </c>
      <c r="D48" s="18">
        <v>10000</v>
      </c>
      <c r="E48" s="18">
        <f>E47+D48</f>
        <v>440000</v>
      </c>
      <c r="F48" s="18">
        <f>F47-D48</f>
        <v>260000</v>
      </c>
    </row>
    <row r="49" spans="1:6" x14ac:dyDescent="0.35">
      <c r="A49" s="17">
        <v>46030</v>
      </c>
      <c r="B49" s="52">
        <v>1611</v>
      </c>
      <c r="D49" s="18">
        <v>10000</v>
      </c>
      <c r="E49" s="18">
        <f>E48+D49</f>
        <v>450000</v>
      </c>
      <c r="F49" s="18">
        <f>F48-D49</f>
        <v>250000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AA6C-8A08-4F7B-BBDC-3B22CF7057BC}">
  <dimension ref="A1:F44"/>
  <sheetViews>
    <sheetView topLeftCell="A29" workbookViewId="0">
      <selection activeCell="D3" sqref="D3"/>
    </sheetView>
  </sheetViews>
  <sheetFormatPr defaultRowHeight="14.5" x14ac:dyDescent="0.35"/>
  <cols>
    <col min="1" max="1" width="10.453125" bestFit="1" customWidth="1"/>
    <col min="3" max="3" width="10.26953125" bestFit="1" customWidth="1"/>
    <col min="6" max="6" width="15.26953125" bestFit="1" customWidth="1"/>
  </cols>
  <sheetData>
    <row r="1" spans="1:6" ht="18.5" x14ac:dyDescent="0.45">
      <c r="A1" s="1" t="s">
        <v>147</v>
      </c>
      <c r="B1" s="1"/>
      <c r="C1" s="2"/>
      <c r="D1" s="1"/>
      <c r="E1" s="1"/>
      <c r="F1" s="1"/>
    </row>
    <row r="2" spans="1:6" ht="18.5" x14ac:dyDescent="0.45">
      <c r="A2" s="1" t="s">
        <v>148</v>
      </c>
      <c r="C2" s="1"/>
      <c r="D2" s="1"/>
      <c r="E2" s="1"/>
      <c r="F2" s="1"/>
    </row>
    <row r="3" spans="1:6" ht="18.5" x14ac:dyDescent="0.45">
      <c r="A3" s="1" t="s">
        <v>753</v>
      </c>
      <c r="B3" t="s">
        <v>615</v>
      </c>
      <c r="C3" s="1"/>
      <c r="D3" s="1"/>
      <c r="E3" s="1"/>
      <c r="F3" s="1"/>
    </row>
    <row r="4" spans="1:6" ht="18.5" x14ac:dyDescent="0.45">
      <c r="A4" s="1" t="s">
        <v>150</v>
      </c>
      <c r="B4" s="1"/>
      <c r="C4" s="1"/>
      <c r="D4" s="1"/>
      <c r="E4" s="1"/>
      <c r="F4" s="1"/>
    </row>
    <row r="5" spans="1:6" ht="18.5" x14ac:dyDescent="0.45">
      <c r="A5" s="1" t="s">
        <v>149</v>
      </c>
      <c r="B5" s="1"/>
      <c r="C5" s="1"/>
      <c r="D5" s="1"/>
      <c r="E5" s="1"/>
      <c r="F5" s="1"/>
    </row>
    <row r="6" spans="1:6" ht="18.5" x14ac:dyDescent="0.45">
      <c r="A6" s="1" t="s">
        <v>165</v>
      </c>
      <c r="B6" s="1"/>
      <c r="C6" s="1"/>
      <c r="D6" s="1"/>
      <c r="E6" s="1" t="s">
        <v>4</v>
      </c>
      <c r="F6" s="1"/>
    </row>
    <row r="7" spans="1:6" x14ac:dyDescent="0.35">
      <c r="A7" s="21" t="s">
        <v>5</v>
      </c>
      <c r="B7" s="22" t="s">
        <v>6</v>
      </c>
      <c r="C7" s="22" t="s">
        <v>7</v>
      </c>
      <c r="D7" s="22" t="s">
        <v>8</v>
      </c>
      <c r="E7" s="22" t="s">
        <v>9</v>
      </c>
      <c r="F7" s="22" t="s">
        <v>10</v>
      </c>
    </row>
    <row r="8" spans="1:6" x14ac:dyDescent="0.35">
      <c r="A8" s="13" t="s">
        <v>151</v>
      </c>
      <c r="B8" s="13">
        <v>1223</v>
      </c>
      <c r="C8" s="13" t="s">
        <v>155</v>
      </c>
      <c r="D8" s="15">
        <v>70000</v>
      </c>
      <c r="E8" s="15">
        <v>70000</v>
      </c>
      <c r="F8" s="15">
        <v>580000</v>
      </c>
    </row>
    <row r="9" spans="1:6" x14ac:dyDescent="0.35">
      <c r="A9" s="13" t="s">
        <v>152</v>
      </c>
      <c r="B9" s="13">
        <v>273</v>
      </c>
      <c r="C9" s="13" t="s">
        <v>142</v>
      </c>
      <c r="D9" s="15">
        <v>10000</v>
      </c>
      <c r="E9" s="15">
        <f>SUM(E8+D9)</f>
        <v>80000</v>
      </c>
      <c r="F9" s="15">
        <f>F8-D9</f>
        <v>570000</v>
      </c>
    </row>
    <row r="10" spans="1:6" x14ac:dyDescent="0.35">
      <c r="A10" s="16">
        <v>45112</v>
      </c>
      <c r="B10" s="13">
        <v>1495</v>
      </c>
      <c r="C10" s="13" t="s">
        <v>14</v>
      </c>
      <c r="D10" s="15">
        <v>10000</v>
      </c>
      <c r="E10" s="15">
        <f t="shared" ref="E10:E41" si="0">SUM(E9+D10)</f>
        <v>90000</v>
      </c>
      <c r="F10" s="15">
        <f t="shared" ref="F10:F41" si="1">F9-D10</f>
        <v>560000</v>
      </c>
    </row>
    <row r="11" spans="1:6" x14ac:dyDescent="0.35">
      <c r="A11" s="16">
        <v>45236</v>
      </c>
      <c r="B11" s="13">
        <v>465</v>
      </c>
      <c r="C11" s="13" t="s">
        <v>14</v>
      </c>
      <c r="D11" s="15">
        <v>10000</v>
      </c>
      <c r="E11" s="15">
        <f t="shared" si="0"/>
        <v>100000</v>
      </c>
      <c r="F11" s="15">
        <f t="shared" si="1"/>
        <v>550000</v>
      </c>
    </row>
    <row r="12" spans="1:6" x14ac:dyDescent="0.35">
      <c r="A12" s="13" t="s">
        <v>139</v>
      </c>
      <c r="B12" s="13">
        <v>2767</v>
      </c>
      <c r="C12" s="13" t="s">
        <v>14</v>
      </c>
      <c r="D12" s="15">
        <v>10000</v>
      </c>
      <c r="E12" s="15">
        <f t="shared" si="0"/>
        <v>110000</v>
      </c>
      <c r="F12" s="15">
        <f t="shared" si="1"/>
        <v>540000</v>
      </c>
    </row>
    <row r="13" spans="1:6" x14ac:dyDescent="0.35">
      <c r="A13" s="16">
        <v>45269</v>
      </c>
      <c r="B13" s="13">
        <v>3591</v>
      </c>
      <c r="C13" s="13" t="s">
        <v>14</v>
      </c>
      <c r="D13" s="15">
        <v>10000</v>
      </c>
      <c r="E13" s="15">
        <f t="shared" si="0"/>
        <v>120000</v>
      </c>
      <c r="F13" s="15">
        <f t="shared" si="1"/>
        <v>530000</v>
      </c>
    </row>
    <row r="14" spans="1:6" x14ac:dyDescent="0.35">
      <c r="A14" s="16">
        <v>45148</v>
      </c>
      <c r="B14" s="13">
        <v>4112</v>
      </c>
      <c r="C14" s="13" t="s">
        <v>14</v>
      </c>
      <c r="D14" s="15">
        <v>20000</v>
      </c>
      <c r="E14" s="15">
        <f t="shared" si="0"/>
        <v>140000</v>
      </c>
      <c r="F14" s="15">
        <f t="shared" si="1"/>
        <v>510000</v>
      </c>
    </row>
    <row r="15" spans="1:6" x14ac:dyDescent="0.35">
      <c r="A15" s="16">
        <v>45271</v>
      </c>
      <c r="B15" s="13">
        <v>4843</v>
      </c>
      <c r="C15" s="13" t="s">
        <v>14</v>
      </c>
      <c r="D15" s="15">
        <v>10000</v>
      </c>
      <c r="E15" s="15">
        <f t="shared" si="0"/>
        <v>150000</v>
      </c>
      <c r="F15" s="15">
        <f t="shared" si="1"/>
        <v>500000</v>
      </c>
    </row>
    <row r="16" spans="1:6" x14ac:dyDescent="0.35">
      <c r="A16" s="13" t="s">
        <v>153</v>
      </c>
      <c r="B16" s="13">
        <v>5625</v>
      </c>
      <c r="C16" s="13" t="s">
        <v>14</v>
      </c>
      <c r="D16" s="15">
        <v>10000</v>
      </c>
      <c r="E16" s="15">
        <f t="shared" si="0"/>
        <v>160000</v>
      </c>
      <c r="F16" s="15">
        <f t="shared" si="1"/>
        <v>490000</v>
      </c>
    </row>
    <row r="17" spans="1:6" x14ac:dyDescent="0.35">
      <c r="A17" s="13" t="s">
        <v>154</v>
      </c>
      <c r="B17" s="13">
        <v>6400</v>
      </c>
      <c r="C17" s="13" t="s">
        <v>14</v>
      </c>
      <c r="D17" s="15">
        <v>10000</v>
      </c>
      <c r="E17" s="15">
        <f t="shared" si="0"/>
        <v>170000</v>
      </c>
      <c r="F17" s="15">
        <f t="shared" si="1"/>
        <v>480000</v>
      </c>
    </row>
    <row r="18" spans="1:6" x14ac:dyDescent="0.35">
      <c r="A18" s="16">
        <v>45598</v>
      </c>
      <c r="B18" s="13">
        <v>7079</v>
      </c>
      <c r="C18" s="13" t="s">
        <v>14</v>
      </c>
      <c r="D18" s="15">
        <v>10000</v>
      </c>
      <c r="E18" s="15">
        <f t="shared" si="0"/>
        <v>180000</v>
      </c>
      <c r="F18" s="15">
        <f t="shared" si="1"/>
        <v>470000</v>
      </c>
    </row>
    <row r="19" spans="1:6" x14ac:dyDescent="0.35">
      <c r="A19" s="16">
        <v>45538</v>
      </c>
      <c r="B19" s="13">
        <v>6982</v>
      </c>
      <c r="C19" s="13" t="s">
        <v>14</v>
      </c>
      <c r="D19" s="15">
        <v>10000</v>
      </c>
      <c r="E19" s="15">
        <f t="shared" si="0"/>
        <v>190000</v>
      </c>
      <c r="F19" s="15">
        <f t="shared" si="1"/>
        <v>460000</v>
      </c>
    </row>
    <row r="20" spans="1:6" x14ac:dyDescent="0.35">
      <c r="A20" s="16">
        <v>45417</v>
      </c>
      <c r="B20" s="13">
        <v>8216</v>
      </c>
      <c r="C20" s="13" t="s">
        <v>14</v>
      </c>
      <c r="D20" s="15">
        <v>10000</v>
      </c>
      <c r="E20" s="15">
        <f t="shared" si="0"/>
        <v>200000</v>
      </c>
      <c r="F20" s="15">
        <f t="shared" si="1"/>
        <v>450000</v>
      </c>
    </row>
    <row r="21" spans="1:6" x14ac:dyDescent="0.35">
      <c r="A21" s="16">
        <v>45541</v>
      </c>
      <c r="B21" s="13">
        <v>8935</v>
      </c>
      <c r="C21" s="13" t="s">
        <v>14</v>
      </c>
      <c r="D21" s="15">
        <v>10000</v>
      </c>
      <c r="E21" s="15">
        <f t="shared" si="0"/>
        <v>210000</v>
      </c>
      <c r="F21" s="15">
        <f t="shared" si="1"/>
        <v>440000</v>
      </c>
    </row>
    <row r="22" spans="1:6" x14ac:dyDescent="0.35">
      <c r="A22" s="13" t="s">
        <v>156</v>
      </c>
      <c r="B22" s="13">
        <v>9587</v>
      </c>
      <c r="C22" s="13" t="s">
        <v>14</v>
      </c>
      <c r="D22" s="15">
        <v>10000</v>
      </c>
      <c r="E22" s="15">
        <f t="shared" si="0"/>
        <v>220000</v>
      </c>
      <c r="F22" s="15">
        <f t="shared" si="1"/>
        <v>430000</v>
      </c>
    </row>
    <row r="23" spans="1:6" x14ac:dyDescent="0.35">
      <c r="A23" s="13" t="s">
        <v>157</v>
      </c>
      <c r="B23" s="13">
        <v>11108</v>
      </c>
      <c r="C23" s="13" t="s">
        <v>14</v>
      </c>
      <c r="D23" s="15">
        <v>10000</v>
      </c>
      <c r="E23" s="15">
        <f t="shared" si="0"/>
        <v>230000</v>
      </c>
      <c r="F23" s="15">
        <f t="shared" si="1"/>
        <v>420000</v>
      </c>
    </row>
    <row r="24" spans="1:6" x14ac:dyDescent="0.35">
      <c r="A24" s="13" t="s">
        <v>158</v>
      </c>
      <c r="B24" s="13">
        <v>10806</v>
      </c>
      <c r="C24" s="13" t="s">
        <v>14</v>
      </c>
      <c r="D24" s="15">
        <v>10000</v>
      </c>
      <c r="E24" s="15">
        <f t="shared" si="0"/>
        <v>240000</v>
      </c>
      <c r="F24" s="15">
        <f t="shared" si="1"/>
        <v>410000</v>
      </c>
    </row>
    <row r="25" spans="1:6" x14ac:dyDescent="0.35">
      <c r="A25" s="13" t="s">
        <v>159</v>
      </c>
      <c r="B25" s="13">
        <v>11623</v>
      </c>
      <c r="C25" s="13" t="s">
        <v>14</v>
      </c>
      <c r="D25" s="15">
        <v>10000</v>
      </c>
      <c r="E25" s="15">
        <f t="shared" si="0"/>
        <v>250000</v>
      </c>
      <c r="F25" s="15">
        <f t="shared" si="1"/>
        <v>400000</v>
      </c>
    </row>
    <row r="26" spans="1:6" x14ac:dyDescent="0.35">
      <c r="A26" s="16">
        <v>45576</v>
      </c>
      <c r="B26" s="13">
        <v>11953</v>
      </c>
      <c r="C26" s="13" t="s">
        <v>14</v>
      </c>
      <c r="D26" s="15">
        <v>10000</v>
      </c>
      <c r="E26" s="15">
        <f t="shared" si="0"/>
        <v>260000</v>
      </c>
      <c r="F26" s="15">
        <f t="shared" si="1"/>
        <v>390000</v>
      </c>
    </row>
    <row r="27" spans="1:6" x14ac:dyDescent="0.35">
      <c r="A27" s="16">
        <v>45608</v>
      </c>
      <c r="B27" s="13">
        <v>12352</v>
      </c>
      <c r="C27" s="13" t="s">
        <v>14</v>
      </c>
      <c r="D27" s="15">
        <v>10000</v>
      </c>
      <c r="E27" s="15">
        <f t="shared" si="0"/>
        <v>270000</v>
      </c>
      <c r="F27" s="15">
        <f t="shared" si="1"/>
        <v>380000</v>
      </c>
    </row>
    <row r="28" spans="1:6" x14ac:dyDescent="0.35">
      <c r="A28" s="13" t="s">
        <v>160</v>
      </c>
      <c r="B28" s="13">
        <v>12079</v>
      </c>
      <c r="C28" s="13" t="s">
        <v>14</v>
      </c>
      <c r="D28" s="15">
        <v>10000</v>
      </c>
      <c r="E28" s="15">
        <f t="shared" si="0"/>
        <v>280000</v>
      </c>
      <c r="F28" s="15">
        <f t="shared" si="1"/>
        <v>370000</v>
      </c>
    </row>
    <row r="29" spans="1:6" x14ac:dyDescent="0.35">
      <c r="A29" s="13" t="s">
        <v>161</v>
      </c>
      <c r="B29" s="13">
        <v>9380</v>
      </c>
      <c r="C29" s="13" t="s">
        <v>14</v>
      </c>
      <c r="D29" s="15">
        <v>10000</v>
      </c>
      <c r="E29" s="15">
        <f t="shared" si="0"/>
        <v>290000</v>
      </c>
      <c r="F29" s="15">
        <f t="shared" si="1"/>
        <v>360000</v>
      </c>
    </row>
    <row r="30" spans="1:6" x14ac:dyDescent="0.35">
      <c r="A30" s="16">
        <v>45994</v>
      </c>
      <c r="B30" s="13">
        <v>9747</v>
      </c>
      <c r="C30" s="13" t="s">
        <v>14</v>
      </c>
      <c r="D30" s="15">
        <v>10000</v>
      </c>
      <c r="E30" s="15">
        <f t="shared" si="0"/>
        <v>300000</v>
      </c>
      <c r="F30" s="15">
        <f t="shared" si="1"/>
        <v>350000</v>
      </c>
    </row>
    <row r="31" spans="1:6" x14ac:dyDescent="0.35">
      <c r="A31" s="13" t="s">
        <v>162</v>
      </c>
      <c r="B31" s="13">
        <v>10223</v>
      </c>
      <c r="C31" s="13" t="s">
        <v>14</v>
      </c>
      <c r="D31" s="15">
        <v>10000</v>
      </c>
      <c r="E31" s="15">
        <f t="shared" si="0"/>
        <v>310000</v>
      </c>
      <c r="F31" s="15">
        <f t="shared" si="1"/>
        <v>340000</v>
      </c>
    </row>
    <row r="32" spans="1:6" x14ac:dyDescent="0.35">
      <c r="A32" s="16">
        <v>45996</v>
      </c>
      <c r="B32" s="13">
        <v>3110</v>
      </c>
      <c r="C32" s="13" t="s">
        <v>14</v>
      </c>
      <c r="D32" s="15">
        <v>10000</v>
      </c>
      <c r="E32" s="15">
        <f t="shared" si="0"/>
        <v>320000</v>
      </c>
      <c r="F32" s="15">
        <f t="shared" si="1"/>
        <v>330000</v>
      </c>
    </row>
    <row r="33" spans="1:6" x14ac:dyDescent="0.35">
      <c r="A33" s="13" t="s">
        <v>163</v>
      </c>
      <c r="B33" s="13">
        <v>13838</v>
      </c>
      <c r="C33" s="13" t="s">
        <v>14</v>
      </c>
      <c r="D33" s="15">
        <v>10000</v>
      </c>
      <c r="E33" s="15">
        <f t="shared" si="0"/>
        <v>330000</v>
      </c>
      <c r="F33" s="15">
        <f t="shared" si="1"/>
        <v>320000</v>
      </c>
    </row>
    <row r="34" spans="1:6" x14ac:dyDescent="0.35">
      <c r="A34" s="16" t="s">
        <v>97</v>
      </c>
      <c r="B34" s="13">
        <v>13636</v>
      </c>
      <c r="C34" s="13" t="s">
        <v>14</v>
      </c>
      <c r="D34" s="15">
        <v>10000</v>
      </c>
      <c r="E34" s="15">
        <f t="shared" si="0"/>
        <v>340000</v>
      </c>
      <c r="F34" s="15">
        <f t="shared" si="1"/>
        <v>310000</v>
      </c>
    </row>
    <row r="35" spans="1:6" x14ac:dyDescent="0.35">
      <c r="A35" s="16">
        <v>45941</v>
      </c>
      <c r="B35" s="13">
        <v>13308</v>
      </c>
      <c r="C35" s="13" t="s">
        <v>14</v>
      </c>
      <c r="D35" s="15">
        <v>10000</v>
      </c>
      <c r="E35" s="15">
        <f t="shared" si="0"/>
        <v>350000</v>
      </c>
      <c r="F35" s="15">
        <f t="shared" si="1"/>
        <v>300000</v>
      </c>
    </row>
    <row r="36" spans="1:6" x14ac:dyDescent="0.35">
      <c r="A36" s="16">
        <v>45912</v>
      </c>
      <c r="B36" s="13">
        <v>13130</v>
      </c>
      <c r="C36" s="13" t="s">
        <v>14</v>
      </c>
      <c r="D36" s="15">
        <v>10000</v>
      </c>
      <c r="E36" s="15">
        <f t="shared" si="0"/>
        <v>360000</v>
      </c>
      <c r="F36" s="15">
        <f t="shared" si="1"/>
        <v>290000</v>
      </c>
    </row>
    <row r="37" spans="1:6" x14ac:dyDescent="0.35">
      <c r="A37" s="13" t="s">
        <v>164</v>
      </c>
      <c r="B37" s="13">
        <v>12138</v>
      </c>
      <c r="C37" s="13" t="s">
        <v>14</v>
      </c>
      <c r="D37" s="15">
        <v>10000</v>
      </c>
      <c r="E37" s="15">
        <f t="shared" si="0"/>
        <v>370000</v>
      </c>
      <c r="F37" s="15">
        <f t="shared" si="1"/>
        <v>280000</v>
      </c>
    </row>
    <row r="38" spans="1:6" x14ac:dyDescent="0.35">
      <c r="A38" s="16">
        <v>46144</v>
      </c>
      <c r="B38" s="13">
        <v>12335</v>
      </c>
      <c r="C38" s="13" t="s">
        <v>14</v>
      </c>
      <c r="D38" s="15">
        <v>10000</v>
      </c>
      <c r="E38" s="15">
        <f t="shared" si="0"/>
        <v>380000</v>
      </c>
      <c r="F38" s="15">
        <f t="shared" si="1"/>
        <v>270000</v>
      </c>
    </row>
    <row r="39" spans="1:6" x14ac:dyDescent="0.35">
      <c r="A39" s="16">
        <v>46176</v>
      </c>
      <c r="B39" s="13">
        <v>12755</v>
      </c>
      <c r="C39" s="13" t="s">
        <v>14</v>
      </c>
      <c r="D39" s="15">
        <v>10000</v>
      </c>
      <c r="E39" s="15">
        <f t="shared" si="0"/>
        <v>390000</v>
      </c>
      <c r="F39" s="15">
        <f t="shared" si="1"/>
        <v>260000</v>
      </c>
    </row>
    <row r="40" spans="1:6" x14ac:dyDescent="0.35">
      <c r="A40" s="16">
        <v>46026</v>
      </c>
      <c r="B40" s="13">
        <v>13998</v>
      </c>
      <c r="C40" s="13" t="s">
        <v>14</v>
      </c>
      <c r="D40" s="15">
        <v>10000</v>
      </c>
      <c r="E40" s="15">
        <f t="shared" si="0"/>
        <v>400000</v>
      </c>
      <c r="F40" s="15">
        <f t="shared" si="1"/>
        <v>250000</v>
      </c>
    </row>
    <row r="41" spans="1:6" x14ac:dyDescent="0.35">
      <c r="A41" s="16">
        <v>46058</v>
      </c>
      <c r="B41" s="13">
        <v>12905</v>
      </c>
      <c r="C41" s="13" t="s">
        <v>14</v>
      </c>
      <c r="D41" s="15">
        <v>10000</v>
      </c>
      <c r="E41" s="15">
        <f t="shared" si="0"/>
        <v>410000</v>
      </c>
      <c r="F41" s="15">
        <f t="shared" si="1"/>
        <v>240000</v>
      </c>
    </row>
    <row r="42" spans="1:6" x14ac:dyDescent="0.35">
      <c r="A42" s="13" t="s">
        <v>613</v>
      </c>
      <c r="B42" s="13">
        <v>13641</v>
      </c>
      <c r="C42" s="13" t="s">
        <v>14</v>
      </c>
      <c r="D42" s="15">
        <v>10000</v>
      </c>
      <c r="E42" s="15">
        <f>E41+D42</f>
        <v>420000</v>
      </c>
      <c r="F42" s="15">
        <f>F41-D42</f>
        <v>230000</v>
      </c>
    </row>
    <row r="43" spans="1:6" x14ac:dyDescent="0.35">
      <c r="A43" s="16">
        <v>46210</v>
      </c>
      <c r="B43" s="13">
        <v>1419</v>
      </c>
      <c r="C43" s="13" t="s">
        <v>14</v>
      </c>
      <c r="D43" s="15">
        <v>10000</v>
      </c>
      <c r="E43" s="15">
        <f>E42+D43</f>
        <v>430000</v>
      </c>
      <c r="F43" s="15">
        <f>F42-D43</f>
        <v>220000</v>
      </c>
    </row>
    <row r="44" spans="1:6" x14ac:dyDescent="0.35">
      <c r="A44" s="16">
        <v>46273</v>
      </c>
      <c r="B44" s="13">
        <v>1686</v>
      </c>
      <c r="C44" s="13" t="s">
        <v>14</v>
      </c>
      <c r="D44" s="15">
        <v>10000</v>
      </c>
      <c r="E44" s="15">
        <f>E43+D44</f>
        <v>440000</v>
      </c>
      <c r="F44" s="15">
        <f>F43-D44</f>
        <v>210000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7703-50E5-4220-ABBD-DD61A93FFA54}">
  <dimension ref="A1:F45"/>
  <sheetViews>
    <sheetView topLeftCell="A33" workbookViewId="0">
      <selection activeCell="D39" sqref="D39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0.90625" bestFit="1" customWidth="1"/>
    <col min="6" max="6" width="15.26953125" bestFit="1" customWidth="1"/>
  </cols>
  <sheetData>
    <row r="1" spans="1:6" ht="18.5" x14ac:dyDescent="0.45">
      <c r="A1" s="1" t="s">
        <v>132</v>
      </c>
      <c r="B1" s="1"/>
      <c r="C1" s="2"/>
      <c r="D1" s="1"/>
      <c r="E1" s="1"/>
      <c r="F1" s="1"/>
    </row>
    <row r="2" spans="1:6" ht="18.5" x14ac:dyDescent="0.45">
      <c r="A2" s="1" t="s">
        <v>133</v>
      </c>
      <c r="C2" s="1"/>
      <c r="D2" s="1"/>
      <c r="E2" s="1"/>
      <c r="F2" s="1"/>
    </row>
    <row r="3" spans="1:6" ht="18.5" x14ac:dyDescent="0.45">
      <c r="A3" s="1" t="s">
        <v>134</v>
      </c>
      <c r="B3" s="1"/>
      <c r="C3" s="1"/>
      <c r="D3" s="1"/>
      <c r="E3" s="1"/>
      <c r="F3" s="1"/>
    </row>
    <row r="4" spans="1:6" ht="18.5" x14ac:dyDescent="0.45">
      <c r="A4" s="1" t="s">
        <v>594</v>
      </c>
      <c r="B4" s="1" t="s">
        <v>595</v>
      </c>
      <c r="C4" s="1"/>
      <c r="D4" s="1"/>
      <c r="E4" s="1"/>
      <c r="F4" s="1"/>
    </row>
    <row r="5" spans="1:6" ht="18.5" x14ac:dyDescent="0.45">
      <c r="A5" s="1" t="s">
        <v>135</v>
      </c>
      <c r="B5" s="1"/>
      <c r="C5" s="1"/>
      <c r="D5" s="1"/>
      <c r="E5" s="1"/>
      <c r="F5" s="1"/>
    </row>
    <row r="6" spans="1:6" ht="18.5" x14ac:dyDescent="0.45">
      <c r="A6" s="1" t="s">
        <v>136</v>
      </c>
      <c r="B6" s="1"/>
      <c r="C6" s="1"/>
      <c r="D6" s="1"/>
      <c r="E6" s="1"/>
      <c r="F6" s="1" t="s">
        <v>22</v>
      </c>
    </row>
    <row r="7" spans="1:6" x14ac:dyDescent="0.35">
      <c r="A7" s="19" t="s">
        <v>5</v>
      </c>
      <c r="B7" s="20" t="s">
        <v>6</v>
      </c>
      <c r="C7" s="20" t="s">
        <v>7</v>
      </c>
      <c r="D7" s="20" t="s">
        <v>8</v>
      </c>
      <c r="E7" s="20" t="s">
        <v>9</v>
      </c>
      <c r="F7" s="20" t="s">
        <v>10</v>
      </c>
    </row>
    <row r="8" spans="1:6" x14ac:dyDescent="0.35">
      <c r="A8" s="24" t="s">
        <v>137</v>
      </c>
      <c r="B8" s="24">
        <v>847</v>
      </c>
      <c r="C8" s="24" t="s">
        <v>141</v>
      </c>
      <c r="D8" s="25">
        <v>40000</v>
      </c>
      <c r="E8" s="25">
        <v>40000</v>
      </c>
      <c r="F8" s="25">
        <v>660000</v>
      </c>
    </row>
    <row r="9" spans="1:6" x14ac:dyDescent="0.35">
      <c r="A9" s="24" t="s">
        <v>138</v>
      </c>
      <c r="B9" s="24">
        <v>278</v>
      </c>
      <c r="C9" s="24" t="s">
        <v>142</v>
      </c>
      <c r="D9" s="25">
        <v>10000</v>
      </c>
      <c r="E9" s="25">
        <f>SUM(E8+D9)</f>
        <v>50000</v>
      </c>
      <c r="F9" s="25">
        <f>F8-D9</f>
        <v>650000</v>
      </c>
    </row>
    <row r="10" spans="1:6" x14ac:dyDescent="0.35">
      <c r="A10" s="24" t="s">
        <v>139</v>
      </c>
      <c r="B10" s="24">
        <v>2766</v>
      </c>
      <c r="C10" s="24" t="s">
        <v>143</v>
      </c>
      <c r="D10" s="25">
        <v>10000</v>
      </c>
      <c r="E10" s="25">
        <f t="shared" ref="E10:E42" si="0">SUM(E9+D10)</f>
        <v>60000</v>
      </c>
      <c r="F10" s="25">
        <f t="shared" ref="F10:F42" si="1">F9-D10</f>
        <v>640000</v>
      </c>
    </row>
    <row r="11" spans="1:6" x14ac:dyDescent="0.35">
      <c r="A11" s="23">
        <v>45205</v>
      </c>
      <c r="B11" s="24">
        <v>426</v>
      </c>
      <c r="C11" s="24" t="s">
        <v>144</v>
      </c>
      <c r="D11" s="25">
        <v>10000</v>
      </c>
      <c r="E11" s="25">
        <f t="shared" si="0"/>
        <v>70000</v>
      </c>
      <c r="F11" s="25">
        <f t="shared" si="1"/>
        <v>630000</v>
      </c>
    </row>
    <row r="12" spans="1:6" x14ac:dyDescent="0.35">
      <c r="A12" s="23">
        <v>45238</v>
      </c>
      <c r="B12" s="24">
        <v>2375</v>
      </c>
      <c r="C12" s="24" t="s">
        <v>14</v>
      </c>
      <c r="D12" s="25">
        <v>10000</v>
      </c>
      <c r="E12" s="25">
        <f t="shared" si="0"/>
        <v>80000</v>
      </c>
      <c r="F12" s="25">
        <f t="shared" si="1"/>
        <v>620000</v>
      </c>
    </row>
    <row r="13" spans="1:6" x14ac:dyDescent="0.35">
      <c r="A13" s="23">
        <v>45239</v>
      </c>
      <c r="B13" s="24">
        <v>4721</v>
      </c>
      <c r="C13" s="24" t="s">
        <v>14</v>
      </c>
      <c r="D13" s="25">
        <v>10000</v>
      </c>
      <c r="E13" s="25">
        <f t="shared" si="0"/>
        <v>90000</v>
      </c>
      <c r="F13" s="25">
        <f t="shared" si="1"/>
        <v>610000</v>
      </c>
    </row>
    <row r="14" spans="1:6" x14ac:dyDescent="0.35">
      <c r="A14" s="24" t="s">
        <v>140</v>
      </c>
      <c r="B14" s="24">
        <v>4722</v>
      </c>
      <c r="C14" s="24" t="s">
        <v>14</v>
      </c>
      <c r="D14" s="25">
        <v>10000</v>
      </c>
      <c r="E14" s="25">
        <f t="shared" si="0"/>
        <v>100000</v>
      </c>
      <c r="F14" s="25">
        <f t="shared" si="1"/>
        <v>600000</v>
      </c>
    </row>
    <row r="15" spans="1:6" x14ac:dyDescent="0.35">
      <c r="A15" s="23">
        <v>45180</v>
      </c>
      <c r="B15" s="24">
        <v>4723</v>
      </c>
      <c r="C15" s="24" t="s">
        <v>14</v>
      </c>
      <c r="D15" s="25">
        <v>10000</v>
      </c>
      <c r="E15" s="25">
        <f t="shared" si="0"/>
        <v>110000</v>
      </c>
      <c r="F15" s="25">
        <f t="shared" si="1"/>
        <v>590000</v>
      </c>
    </row>
    <row r="16" spans="1:6" x14ac:dyDescent="0.35">
      <c r="A16" s="23">
        <v>45242</v>
      </c>
      <c r="B16" s="24">
        <v>5460</v>
      </c>
      <c r="C16" s="24" t="s">
        <v>14</v>
      </c>
      <c r="D16" s="25">
        <v>10000</v>
      </c>
      <c r="E16" s="25">
        <f t="shared" si="0"/>
        <v>120000</v>
      </c>
      <c r="F16" s="25">
        <f t="shared" si="1"/>
        <v>580000</v>
      </c>
    </row>
    <row r="17" spans="1:6" x14ac:dyDescent="0.35">
      <c r="A17" s="23">
        <v>45505</v>
      </c>
      <c r="B17" s="24">
        <v>5993</v>
      </c>
      <c r="C17" s="24" t="s">
        <v>14</v>
      </c>
      <c r="D17" s="25">
        <v>10000</v>
      </c>
      <c r="E17" s="25">
        <f t="shared" si="0"/>
        <v>130000</v>
      </c>
      <c r="F17" s="25">
        <f t="shared" si="1"/>
        <v>570000</v>
      </c>
    </row>
    <row r="18" spans="1:6" x14ac:dyDescent="0.35">
      <c r="A18" s="23">
        <v>45628</v>
      </c>
      <c r="B18" s="24">
        <v>7104</v>
      </c>
      <c r="C18" s="24" t="s">
        <v>14</v>
      </c>
      <c r="D18" s="25">
        <v>10000</v>
      </c>
      <c r="E18" s="25">
        <f t="shared" si="0"/>
        <v>140000</v>
      </c>
      <c r="F18" s="25">
        <f t="shared" si="1"/>
        <v>560000</v>
      </c>
    </row>
    <row r="19" spans="1:6" x14ac:dyDescent="0.35">
      <c r="A19" s="23">
        <v>45476</v>
      </c>
      <c r="B19" s="24">
        <v>6913</v>
      </c>
      <c r="C19" s="24" t="s">
        <v>14</v>
      </c>
      <c r="D19" s="25">
        <v>10000</v>
      </c>
      <c r="E19" s="25">
        <f t="shared" si="0"/>
        <v>150000</v>
      </c>
      <c r="F19" s="25">
        <f t="shared" si="1"/>
        <v>550000</v>
      </c>
    </row>
    <row r="20" spans="1:6" x14ac:dyDescent="0.35">
      <c r="A20" s="23">
        <v>45447</v>
      </c>
      <c r="B20" s="24">
        <v>9191</v>
      </c>
      <c r="C20" s="24" t="s">
        <v>14</v>
      </c>
      <c r="D20" s="25">
        <v>10000</v>
      </c>
      <c r="E20" s="25">
        <f t="shared" si="0"/>
        <v>160000</v>
      </c>
      <c r="F20" s="25">
        <f t="shared" si="1"/>
        <v>540000</v>
      </c>
    </row>
    <row r="21" spans="1:6" x14ac:dyDescent="0.35">
      <c r="A21" s="23">
        <v>45509</v>
      </c>
      <c r="B21" s="24">
        <v>9191</v>
      </c>
      <c r="C21" s="24" t="s">
        <v>14</v>
      </c>
      <c r="D21" s="25">
        <v>10000</v>
      </c>
      <c r="E21" s="25">
        <f t="shared" si="0"/>
        <v>170000</v>
      </c>
      <c r="F21" s="25">
        <f t="shared" si="1"/>
        <v>530000</v>
      </c>
    </row>
    <row r="22" spans="1:6" x14ac:dyDescent="0.35">
      <c r="A22" s="23">
        <v>45357</v>
      </c>
      <c r="B22" s="24">
        <v>9191</v>
      </c>
      <c r="C22" s="24" t="s">
        <v>14</v>
      </c>
      <c r="D22" s="25">
        <v>10000</v>
      </c>
      <c r="E22" s="25">
        <f t="shared" si="0"/>
        <v>180000</v>
      </c>
      <c r="F22" s="25">
        <f t="shared" si="1"/>
        <v>520000</v>
      </c>
    </row>
    <row r="23" spans="1:6" x14ac:dyDescent="0.35">
      <c r="A23" s="23">
        <v>45420</v>
      </c>
      <c r="B23" s="24">
        <v>9191</v>
      </c>
      <c r="C23" s="24" t="s">
        <v>14</v>
      </c>
      <c r="D23" s="25">
        <v>20000</v>
      </c>
      <c r="E23" s="25">
        <f t="shared" si="0"/>
        <v>200000</v>
      </c>
      <c r="F23" s="25">
        <f t="shared" si="1"/>
        <v>500000</v>
      </c>
    </row>
    <row r="24" spans="1:6" x14ac:dyDescent="0.35">
      <c r="A24" s="23">
        <v>45544</v>
      </c>
      <c r="B24" s="24">
        <v>9192</v>
      </c>
      <c r="C24" s="24" t="s">
        <v>14</v>
      </c>
      <c r="D24" s="25">
        <v>10000</v>
      </c>
      <c r="E24" s="25">
        <f t="shared" si="0"/>
        <v>210000</v>
      </c>
      <c r="F24" s="25">
        <f t="shared" si="1"/>
        <v>490000</v>
      </c>
    </row>
    <row r="25" spans="1:6" x14ac:dyDescent="0.35">
      <c r="A25" s="23">
        <v>45545</v>
      </c>
      <c r="B25" s="24">
        <v>9191</v>
      </c>
      <c r="C25" s="24" t="s">
        <v>14</v>
      </c>
      <c r="D25" s="25">
        <v>10000</v>
      </c>
      <c r="E25" s="25">
        <f t="shared" si="0"/>
        <v>220000</v>
      </c>
      <c r="F25" s="25">
        <f t="shared" si="1"/>
        <v>480000</v>
      </c>
    </row>
    <row r="26" spans="1:6" x14ac:dyDescent="0.35">
      <c r="A26" s="24" t="s">
        <v>145</v>
      </c>
      <c r="B26" s="24">
        <v>9191</v>
      </c>
      <c r="C26" s="24" t="s">
        <v>14</v>
      </c>
      <c r="D26" s="25">
        <v>10000</v>
      </c>
      <c r="E26" s="25">
        <f t="shared" si="0"/>
        <v>230000</v>
      </c>
      <c r="F26" s="25">
        <f t="shared" si="1"/>
        <v>470000</v>
      </c>
    </row>
    <row r="27" spans="1:6" x14ac:dyDescent="0.35">
      <c r="A27" s="23">
        <v>45809</v>
      </c>
      <c r="B27" s="24">
        <v>9191</v>
      </c>
      <c r="C27" s="24" t="s">
        <v>14</v>
      </c>
      <c r="D27" s="25">
        <v>20000</v>
      </c>
      <c r="E27" s="25">
        <f t="shared" si="0"/>
        <v>250000</v>
      </c>
      <c r="F27" s="25">
        <f t="shared" si="1"/>
        <v>450000</v>
      </c>
    </row>
    <row r="28" spans="1:6" x14ac:dyDescent="0.35">
      <c r="A28" s="23">
        <v>45690</v>
      </c>
      <c r="B28" s="24">
        <v>9192</v>
      </c>
      <c r="C28" s="24" t="s">
        <v>14</v>
      </c>
      <c r="D28" s="25">
        <v>10000</v>
      </c>
      <c r="E28" s="25">
        <f t="shared" si="0"/>
        <v>260000</v>
      </c>
      <c r="F28" s="25">
        <f t="shared" si="1"/>
        <v>440000</v>
      </c>
    </row>
    <row r="29" spans="1:6" x14ac:dyDescent="0.35">
      <c r="A29" s="23">
        <v>45750</v>
      </c>
      <c r="B29" s="24">
        <v>9613</v>
      </c>
      <c r="C29" s="24" t="s">
        <v>14</v>
      </c>
      <c r="D29" s="25">
        <v>10000</v>
      </c>
      <c r="E29" s="25">
        <f t="shared" si="0"/>
        <v>270000</v>
      </c>
      <c r="F29" s="25">
        <f t="shared" si="1"/>
        <v>430000</v>
      </c>
    </row>
    <row r="30" spans="1:6" x14ac:dyDescent="0.35">
      <c r="A30" s="24" t="s">
        <v>146</v>
      </c>
      <c r="B30" s="24">
        <v>9906</v>
      </c>
      <c r="C30" s="24" t="s">
        <v>14</v>
      </c>
      <c r="D30" s="25">
        <v>10000</v>
      </c>
      <c r="E30" s="25">
        <f t="shared" si="0"/>
        <v>280000</v>
      </c>
      <c r="F30" s="25">
        <f t="shared" si="1"/>
        <v>420000</v>
      </c>
    </row>
    <row r="31" spans="1:6" x14ac:dyDescent="0.35">
      <c r="A31" s="23">
        <v>45996</v>
      </c>
      <c r="B31" s="24">
        <v>10946</v>
      </c>
      <c r="C31" s="24" t="s">
        <v>14</v>
      </c>
      <c r="D31" s="25">
        <v>10000</v>
      </c>
      <c r="E31" s="25">
        <f t="shared" si="0"/>
        <v>290000</v>
      </c>
      <c r="F31" s="25">
        <f t="shared" si="1"/>
        <v>410000</v>
      </c>
    </row>
    <row r="32" spans="1:6" x14ac:dyDescent="0.35">
      <c r="A32" s="23">
        <v>45783</v>
      </c>
      <c r="B32" s="24">
        <v>10464</v>
      </c>
      <c r="C32" s="24" t="s">
        <v>14</v>
      </c>
      <c r="D32" s="25">
        <v>20000</v>
      </c>
      <c r="E32" s="25">
        <f t="shared" si="0"/>
        <v>310000</v>
      </c>
      <c r="F32" s="25">
        <f t="shared" si="1"/>
        <v>390000</v>
      </c>
    </row>
    <row r="33" spans="1:6" x14ac:dyDescent="0.35">
      <c r="A33" s="23">
        <v>45665</v>
      </c>
      <c r="B33" s="24">
        <v>12348</v>
      </c>
      <c r="C33" s="24" t="s">
        <v>14</v>
      </c>
      <c r="D33" s="25">
        <v>10000</v>
      </c>
      <c r="E33" s="25">
        <f t="shared" si="0"/>
        <v>320000</v>
      </c>
      <c r="F33" s="25">
        <f t="shared" si="1"/>
        <v>380000</v>
      </c>
    </row>
    <row r="34" spans="1:6" x14ac:dyDescent="0.35">
      <c r="A34" s="23">
        <v>45725</v>
      </c>
      <c r="B34" s="24">
        <v>12607</v>
      </c>
      <c r="C34" s="24" t="s">
        <v>14</v>
      </c>
      <c r="D34" s="25">
        <v>10000</v>
      </c>
      <c r="E34" s="25">
        <f t="shared" si="0"/>
        <v>330000</v>
      </c>
      <c r="F34" s="25">
        <f t="shared" si="1"/>
        <v>370000</v>
      </c>
    </row>
    <row r="35" spans="1:6" x14ac:dyDescent="0.35">
      <c r="A35" s="23">
        <v>45848</v>
      </c>
      <c r="B35" s="24">
        <v>13704</v>
      </c>
      <c r="C35" s="24" t="s">
        <v>14</v>
      </c>
      <c r="D35" s="25">
        <v>10000</v>
      </c>
      <c r="E35" s="25">
        <f t="shared" si="0"/>
        <v>340000</v>
      </c>
      <c r="F35" s="25">
        <f t="shared" si="1"/>
        <v>360000</v>
      </c>
    </row>
    <row r="36" spans="1:6" x14ac:dyDescent="0.35">
      <c r="A36" s="23">
        <v>45727</v>
      </c>
      <c r="B36" s="24">
        <v>13428</v>
      </c>
      <c r="C36" s="24" t="s">
        <v>14</v>
      </c>
      <c r="D36" s="25">
        <v>10000</v>
      </c>
      <c r="E36" s="25">
        <f t="shared" si="0"/>
        <v>350000</v>
      </c>
      <c r="F36" s="25">
        <f t="shared" si="1"/>
        <v>350000</v>
      </c>
    </row>
    <row r="37" spans="1:6" x14ac:dyDescent="0.35">
      <c r="A37" s="23">
        <v>45728</v>
      </c>
      <c r="B37" s="24">
        <v>13273</v>
      </c>
      <c r="C37" s="24" t="s">
        <v>14</v>
      </c>
      <c r="D37" s="25">
        <v>10000</v>
      </c>
      <c r="E37" s="25">
        <f t="shared" si="0"/>
        <v>360000</v>
      </c>
      <c r="F37" s="25">
        <f t="shared" si="1"/>
        <v>340000</v>
      </c>
    </row>
    <row r="38" spans="1:6" x14ac:dyDescent="0.35">
      <c r="A38" s="23">
        <v>46082</v>
      </c>
      <c r="B38" s="24">
        <v>13873</v>
      </c>
      <c r="C38" s="24" t="s">
        <v>14</v>
      </c>
      <c r="D38" s="25">
        <v>10000</v>
      </c>
      <c r="E38" s="25">
        <f t="shared" si="0"/>
        <v>370000</v>
      </c>
      <c r="F38" s="25">
        <f t="shared" si="1"/>
        <v>330000</v>
      </c>
    </row>
    <row r="39" spans="1:6" x14ac:dyDescent="0.35">
      <c r="A39" s="23">
        <v>46083</v>
      </c>
      <c r="B39" s="24">
        <v>12316</v>
      </c>
      <c r="C39" s="24" t="s">
        <v>14</v>
      </c>
      <c r="D39" s="25">
        <v>10000</v>
      </c>
      <c r="E39" s="25">
        <f t="shared" si="0"/>
        <v>380000</v>
      </c>
      <c r="F39" s="25">
        <f t="shared" si="1"/>
        <v>320000</v>
      </c>
    </row>
    <row r="40" spans="1:6" x14ac:dyDescent="0.35">
      <c r="A40" s="17">
        <v>46176</v>
      </c>
      <c r="B40" s="52">
        <v>12756</v>
      </c>
      <c r="C40" s="24" t="s">
        <v>14</v>
      </c>
      <c r="D40" s="25">
        <v>10000</v>
      </c>
      <c r="E40" s="25">
        <f t="shared" si="0"/>
        <v>390000</v>
      </c>
      <c r="F40" s="25">
        <f t="shared" si="1"/>
        <v>310000</v>
      </c>
    </row>
    <row r="41" spans="1:6" x14ac:dyDescent="0.35">
      <c r="A41" s="17">
        <v>46026</v>
      </c>
      <c r="B41" s="52">
        <v>13997</v>
      </c>
      <c r="C41" s="24" t="s">
        <v>14</v>
      </c>
      <c r="D41" s="25">
        <v>10000</v>
      </c>
      <c r="E41" s="25">
        <f t="shared" si="0"/>
        <v>400000</v>
      </c>
      <c r="F41" s="25">
        <f t="shared" si="1"/>
        <v>300000</v>
      </c>
    </row>
    <row r="42" spans="1:6" x14ac:dyDescent="0.35">
      <c r="A42" s="17">
        <v>46058</v>
      </c>
      <c r="B42" s="52">
        <v>12906</v>
      </c>
      <c r="C42" s="64" t="s">
        <v>14</v>
      </c>
      <c r="D42" s="65">
        <v>10000</v>
      </c>
      <c r="E42" s="65">
        <f t="shared" si="0"/>
        <v>410000</v>
      </c>
      <c r="F42" s="65">
        <f t="shared" si="1"/>
        <v>290000</v>
      </c>
    </row>
    <row r="43" spans="1:6" x14ac:dyDescent="0.35">
      <c r="A43" s="13" t="s">
        <v>596</v>
      </c>
      <c r="B43" s="24">
        <v>13556</v>
      </c>
      <c r="C43" s="24" t="s">
        <v>14</v>
      </c>
      <c r="D43" s="25">
        <v>10000</v>
      </c>
      <c r="E43" s="25">
        <f>E42+D43</f>
        <v>420000</v>
      </c>
      <c r="F43" s="25">
        <f>F42-D43</f>
        <v>280000</v>
      </c>
    </row>
    <row r="44" spans="1:6" x14ac:dyDescent="0.35">
      <c r="A44" s="66" t="s">
        <v>746</v>
      </c>
      <c r="B44" s="24">
        <v>1410</v>
      </c>
      <c r="C44" s="24" t="s">
        <v>14</v>
      </c>
      <c r="D44" s="15">
        <v>10000</v>
      </c>
      <c r="E44" s="15">
        <f>E43+D44</f>
        <v>430000</v>
      </c>
      <c r="F44" s="15">
        <f>F43-D44</f>
        <v>270000</v>
      </c>
    </row>
    <row r="45" spans="1:6" x14ac:dyDescent="0.35">
      <c r="A45" s="16">
        <v>46030</v>
      </c>
      <c r="B45" s="24">
        <v>1612</v>
      </c>
      <c r="C45" s="24" t="s">
        <v>14</v>
      </c>
      <c r="D45" s="15">
        <v>10000</v>
      </c>
      <c r="E45" s="15">
        <f>E44+D45</f>
        <v>440000</v>
      </c>
      <c r="F45" s="15">
        <f>F44-D45</f>
        <v>260000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1C9FD-9285-438C-8211-A114AA8F90F0}">
  <dimension ref="A1:F16"/>
  <sheetViews>
    <sheetView workbookViewId="0">
      <selection sqref="A1:F7"/>
    </sheetView>
  </sheetViews>
  <sheetFormatPr defaultRowHeight="14.5" x14ac:dyDescent="0.35"/>
  <cols>
    <col min="1" max="1" width="9.453125" bestFit="1" customWidth="1"/>
    <col min="6" max="6" width="15.26953125" bestFit="1" customWidth="1"/>
  </cols>
  <sheetData>
    <row r="1" spans="1:6" ht="18.5" x14ac:dyDescent="0.45">
      <c r="A1" s="1" t="s">
        <v>0</v>
      </c>
      <c r="B1" s="1"/>
      <c r="C1" s="2"/>
      <c r="D1" s="1"/>
      <c r="E1" s="1"/>
      <c r="F1" s="1"/>
    </row>
    <row r="2" spans="1:6" ht="18.5" x14ac:dyDescent="0.45">
      <c r="A2" s="1" t="s">
        <v>1</v>
      </c>
      <c r="C2" s="1"/>
      <c r="D2" s="1"/>
      <c r="E2" s="1"/>
      <c r="F2" s="1"/>
    </row>
    <row r="3" spans="1:6" ht="18.5" x14ac:dyDescent="0.45">
      <c r="A3" s="1" t="s">
        <v>2</v>
      </c>
      <c r="B3" s="1"/>
      <c r="C3" s="1"/>
      <c r="D3" s="1"/>
      <c r="E3" s="1"/>
      <c r="F3" s="1"/>
    </row>
    <row r="4" spans="1:6" ht="18.5" x14ac:dyDescent="0.45">
      <c r="A4" s="1" t="s">
        <v>463</v>
      </c>
      <c r="B4" s="1"/>
      <c r="C4" s="1"/>
      <c r="D4" s="1"/>
      <c r="E4" s="1"/>
      <c r="F4" s="1"/>
    </row>
    <row r="5" spans="1:6" ht="18.5" x14ac:dyDescent="0.45">
      <c r="A5" s="1" t="s">
        <v>3</v>
      </c>
      <c r="B5" s="1"/>
      <c r="C5" s="1"/>
      <c r="D5" s="1"/>
      <c r="E5" s="1"/>
      <c r="F5" s="1"/>
    </row>
    <row r="6" spans="1:6" ht="18.5" x14ac:dyDescent="0.45">
      <c r="A6" s="1" t="s">
        <v>16</v>
      </c>
      <c r="B6" s="1"/>
      <c r="C6" s="1"/>
      <c r="D6" s="1"/>
      <c r="E6" s="1"/>
      <c r="F6" s="1" t="s">
        <v>4</v>
      </c>
    </row>
    <row r="7" spans="1:6" x14ac:dyDescent="0.35">
      <c r="A7" s="4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5" t="s">
        <v>11</v>
      </c>
      <c r="B8" s="3">
        <v>13913</v>
      </c>
      <c r="C8" s="3" t="s">
        <v>12</v>
      </c>
      <c r="D8" s="6">
        <v>10000</v>
      </c>
      <c r="E8" s="6">
        <v>10000</v>
      </c>
      <c r="F8" s="6">
        <v>640000</v>
      </c>
    </row>
    <row r="9" spans="1:6" x14ac:dyDescent="0.35">
      <c r="A9" s="7" t="s">
        <v>13</v>
      </c>
      <c r="B9" s="3">
        <v>13002</v>
      </c>
      <c r="C9" s="3" t="s">
        <v>14</v>
      </c>
      <c r="D9" s="6">
        <v>50000</v>
      </c>
      <c r="E9" s="6">
        <f t="shared" ref="E9:E14" si="0">SUM(E8+D9)</f>
        <v>60000</v>
      </c>
      <c r="F9" s="6">
        <f t="shared" ref="F9:F14" si="1">F8-D9</f>
        <v>590000</v>
      </c>
    </row>
    <row r="10" spans="1:6" x14ac:dyDescent="0.35">
      <c r="A10" s="3" t="s">
        <v>13</v>
      </c>
      <c r="B10" s="3">
        <v>13003</v>
      </c>
      <c r="C10" s="3" t="s">
        <v>14</v>
      </c>
      <c r="D10" s="6">
        <v>20000</v>
      </c>
      <c r="E10" s="6">
        <f t="shared" si="0"/>
        <v>80000</v>
      </c>
      <c r="F10" s="6">
        <f t="shared" si="1"/>
        <v>570000</v>
      </c>
    </row>
    <row r="11" spans="1:6" x14ac:dyDescent="0.35">
      <c r="A11" s="3" t="s">
        <v>15</v>
      </c>
      <c r="B11" s="3">
        <v>13194</v>
      </c>
      <c r="C11" s="3" t="s">
        <v>14</v>
      </c>
      <c r="D11" s="6">
        <v>10000</v>
      </c>
      <c r="E11" s="6">
        <f t="shared" si="0"/>
        <v>90000</v>
      </c>
      <c r="F11" s="6">
        <f t="shared" si="1"/>
        <v>560000</v>
      </c>
    </row>
    <row r="12" spans="1:6" x14ac:dyDescent="0.35">
      <c r="A12" s="8">
        <v>46144</v>
      </c>
      <c r="B12" s="3">
        <v>12350</v>
      </c>
      <c r="C12" s="3" t="s">
        <v>14</v>
      </c>
      <c r="D12" s="6">
        <v>16000</v>
      </c>
      <c r="E12" s="6">
        <f t="shared" si="0"/>
        <v>106000</v>
      </c>
      <c r="F12" s="6">
        <f t="shared" si="1"/>
        <v>544000</v>
      </c>
    </row>
    <row r="13" spans="1:6" x14ac:dyDescent="0.35">
      <c r="A13" s="16">
        <v>46146</v>
      </c>
      <c r="B13" s="3">
        <v>13138</v>
      </c>
      <c r="C13" s="3" t="s">
        <v>14</v>
      </c>
      <c r="D13" s="6">
        <v>16000</v>
      </c>
      <c r="E13" s="6">
        <f t="shared" si="0"/>
        <v>122000</v>
      </c>
      <c r="F13" s="6">
        <f t="shared" si="1"/>
        <v>528000</v>
      </c>
    </row>
    <row r="14" spans="1:6" x14ac:dyDescent="0.35">
      <c r="A14" s="16">
        <v>46300</v>
      </c>
      <c r="B14" s="3">
        <v>13000</v>
      </c>
      <c r="C14" s="3" t="s">
        <v>14</v>
      </c>
      <c r="D14" s="15">
        <v>8000</v>
      </c>
      <c r="E14" s="6">
        <f t="shared" si="0"/>
        <v>130000</v>
      </c>
      <c r="F14" s="6">
        <f t="shared" si="1"/>
        <v>520000</v>
      </c>
    </row>
    <row r="15" spans="1:6" x14ac:dyDescent="0.35">
      <c r="A15" s="9" t="s">
        <v>700</v>
      </c>
      <c r="B15" s="3">
        <v>1395</v>
      </c>
      <c r="C15" s="3" t="s">
        <v>14</v>
      </c>
      <c r="D15" s="11">
        <v>16000</v>
      </c>
      <c r="E15" s="11">
        <f>E14+D15</f>
        <v>146000</v>
      </c>
      <c r="F15" s="11">
        <f>F14-D15</f>
        <v>504000</v>
      </c>
    </row>
    <row r="16" spans="1:6" x14ac:dyDescent="0.35">
      <c r="A16" s="12">
        <v>46273</v>
      </c>
      <c r="B16" s="3">
        <v>1694</v>
      </c>
      <c r="C16" s="3" t="s">
        <v>14</v>
      </c>
      <c r="D16" s="11">
        <v>8000</v>
      </c>
      <c r="E16" s="11">
        <f>E15+D16</f>
        <v>154000</v>
      </c>
      <c r="F16" s="11">
        <f>F15-D16</f>
        <v>496000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AE1D-16F3-4E60-8E2C-E5917DEEA79C}">
  <dimension ref="A1:G17"/>
  <sheetViews>
    <sheetView workbookViewId="0">
      <selection activeCell="A5" sqref="A5"/>
    </sheetView>
  </sheetViews>
  <sheetFormatPr defaultRowHeight="14.5" x14ac:dyDescent="0.35"/>
  <sheetData>
    <row r="1" spans="1:7" ht="18.5" x14ac:dyDescent="0.45">
      <c r="A1" s="1" t="s">
        <v>448</v>
      </c>
      <c r="B1" s="1"/>
      <c r="C1" s="2"/>
      <c r="D1" s="1"/>
      <c r="E1" s="1"/>
      <c r="F1" s="1"/>
    </row>
    <row r="2" spans="1:7" ht="18.5" x14ac:dyDescent="0.45">
      <c r="A2" s="1" t="s">
        <v>449</v>
      </c>
      <c r="C2" s="1"/>
      <c r="D2" s="1"/>
      <c r="E2" s="1"/>
      <c r="F2" s="1"/>
    </row>
    <row r="3" spans="1:7" ht="18.5" x14ac:dyDescent="0.45">
      <c r="A3" s="1" t="s">
        <v>450</v>
      </c>
      <c r="B3" s="1"/>
      <c r="C3" s="1"/>
      <c r="D3" s="1"/>
      <c r="E3" s="1"/>
      <c r="F3" s="1"/>
    </row>
    <row r="4" spans="1:7" ht="18.5" x14ac:dyDescent="0.45">
      <c r="A4" s="1" t="s">
        <v>451</v>
      </c>
      <c r="B4" s="1"/>
      <c r="C4" s="1"/>
      <c r="D4" s="1"/>
      <c r="E4" s="1"/>
      <c r="F4" s="1"/>
    </row>
    <row r="5" spans="1:7" ht="18.5" x14ac:dyDescent="0.45">
      <c r="A5" s="1" t="s">
        <v>305</v>
      </c>
      <c r="B5" s="1"/>
      <c r="C5" s="1"/>
      <c r="D5" s="1" t="s">
        <v>452</v>
      </c>
      <c r="E5" s="1"/>
      <c r="F5" s="1"/>
    </row>
    <row r="6" spans="1:7" ht="18.5" x14ac:dyDescent="0.45">
      <c r="A6" s="53"/>
      <c r="B6" s="53"/>
      <c r="C6" s="53"/>
      <c r="D6" s="53"/>
      <c r="E6" s="53"/>
      <c r="F6" s="53"/>
      <c r="G6" s="54"/>
    </row>
    <row r="7" spans="1:7" ht="15.5" x14ac:dyDescent="0.35">
      <c r="A7" s="55" t="s">
        <v>453</v>
      </c>
      <c r="B7" s="55"/>
      <c r="C7" s="55"/>
      <c r="D7" s="55"/>
      <c r="E7" s="55"/>
      <c r="F7" s="55"/>
      <c r="G7" s="54"/>
    </row>
    <row r="8" spans="1:7" ht="18.5" x14ac:dyDescent="0.45">
      <c r="A8" s="1" t="s">
        <v>454</v>
      </c>
    </row>
    <row r="9" spans="1:7" ht="18.5" x14ac:dyDescent="0.45">
      <c r="A9" s="1" t="s">
        <v>459</v>
      </c>
      <c r="B9" s="1"/>
      <c r="C9" s="2"/>
      <c r="D9" s="1"/>
      <c r="E9" s="1"/>
    </row>
    <row r="10" spans="1:7" ht="18.5" x14ac:dyDescent="0.45">
      <c r="A10" s="1" t="s">
        <v>235</v>
      </c>
      <c r="C10" s="1"/>
      <c r="D10" s="1"/>
      <c r="E10" s="1"/>
    </row>
    <row r="11" spans="1:7" ht="18.5" x14ac:dyDescent="0.45">
      <c r="A11" s="1" t="s">
        <v>460</v>
      </c>
      <c r="B11" s="1"/>
      <c r="C11" s="1"/>
      <c r="D11" s="1"/>
      <c r="E11" s="1"/>
    </row>
    <row r="12" spans="1:7" ht="18.5" x14ac:dyDescent="0.45">
      <c r="A12" s="1" t="s">
        <v>461</v>
      </c>
      <c r="B12" s="1"/>
      <c r="C12" s="1"/>
      <c r="D12" s="1"/>
      <c r="E12" s="1"/>
    </row>
    <row r="13" spans="1:7" ht="18.5" x14ac:dyDescent="0.45">
      <c r="A13" s="1" t="s">
        <v>455</v>
      </c>
      <c r="B13" s="1"/>
      <c r="C13" s="1"/>
      <c r="D13" s="1"/>
      <c r="E13" s="1"/>
    </row>
    <row r="14" spans="1:7" ht="18.5" x14ac:dyDescent="0.45">
      <c r="A14" s="1" t="s">
        <v>305</v>
      </c>
      <c r="B14" s="1"/>
      <c r="C14" s="1"/>
      <c r="D14" s="1" t="s">
        <v>452</v>
      </c>
      <c r="E14" s="1"/>
    </row>
    <row r="15" spans="1:7" x14ac:dyDescent="0.35">
      <c r="A15" s="19" t="s">
        <v>5</v>
      </c>
      <c r="B15" s="20" t="s">
        <v>6</v>
      </c>
      <c r="C15" s="20" t="s">
        <v>7</v>
      </c>
      <c r="D15" s="20" t="s">
        <v>8</v>
      </c>
      <c r="E15" s="20" t="s">
        <v>9</v>
      </c>
      <c r="F15" s="20" t="s">
        <v>10</v>
      </c>
    </row>
    <row r="16" spans="1:7" x14ac:dyDescent="0.35">
      <c r="A16" t="s">
        <v>456</v>
      </c>
      <c r="B16">
        <v>1434</v>
      </c>
      <c r="C16" t="s">
        <v>14</v>
      </c>
      <c r="D16" s="18">
        <v>5000</v>
      </c>
      <c r="E16" s="18">
        <v>5000</v>
      </c>
      <c r="F16" t="s">
        <v>457</v>
      </c>
    </row>
    <row r="17" spans="2:2" x14ac:dyDescent="0.35">
      <c r="B17" t="s">
        <v>458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6E26-019F-474F-AF46-104FE04E9C89}">
  <dimension ref="A1:F36"/>
  <sheetViews>
    <sheetView workbookViewId="0">
      <selection activeCell="A8" sqref="A8:F8"/>
    </sheetView>
  </sheetViews>
  <sheetFormatPr defaultRowHeight="14.5" x14ac:dyDescent="0.35"/>
  <cols>
    <col min="1" max="1" width="11.54296875" customWidth="1"/>
  </cols>
  <sheetData>
    <row r="1" spans="1:6" x14ac:dyDescent="0.35">
      <c r="A1" s="62" t="s">
        <v>476</v>
      </c>
      <c r="B1" t="s">
        <v>483</v>
      </c>
    </row>
    <row r="2" spans="1:6" x14ac:dyDescent="0.35">
      <c r="A2" s="62" t="s">
        <v>477</v>
      </c>
      <c r="B2" t="s">
        <v>484</v>
      </c>
    </row>
    <row r="3" spans="1:6" x14ac:dyDescent="0.35">
      <c r="A3" s="62" t="s">
        <v>478</v>
      </c>
      <c r="B3" t="s">
        <v>485</v>
      </c>
    </row>
    <row r="4" spans="1:6" x14ac:dyDescent="0.35">
      <c r="A4" s="62" t="s">
        <v>479</v>
      </c>
      <c r="B4" t="s">
        <v>486</v>
      </c>
    </row>
    <row r="5" spans="1:6" x14ac:dyDescent="0.35">
      <c r="A5" s="62" t="s">
        <v>480</v>
      </c>
      <c r="B5" t="s">
        <v>487</v>
      </c>
    </row>
    <row r="6" spans="1:6" x14ac:dyDescent="0.35">
      <c r="A6" s="62" t="s">
        <v>481</v>
      </c>
      <c r="B6">
        <v>6155</v>
      </c>
      <c r="E6" s="62" t="s">
        <v>482</v>
      </c>
      <c r="F6" s="18">
        <v>650000</v>
      </c>
    </row>
    <row r="8" spans="1:6" x14ac:dyDescent="0.35">
      <c r="A8" s="4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</row>
    <row r="9" spans="1:6" x14ac:dyDescent="0.35">
      <c r="A9" s="62" t="s">
        <v>488</v>
      </c>
      <c r="B9">
        <v>2250</v>
      </c>
      <c r="C9" t="s">
        <v>499</v>
      </c>
      <c r="D9" s="18">
        <v>140000</v>
      </c>
      <c r="E9" s="18">
        <v>140000</v>
      </c>
      <c r="F9" s="18">
        <v>510000</v>
      </c>
    </row>
    <row r="10" spans="1:6" x14ac:dyDescent="0.35">
      <c r="A10" s="62" t="s">
        <v>489</v>
      </c>
      <c r="B10">
        <v>240</v>
      </c>
      <c r="C10" t="s">
        <v>500</v>
      </c>
      <c r="D10" s="18">
        <v>10000</v>
      </c>
      <c r="E10" s="18">
        <f t="shared" ref="E10:E36" si="0">E9+D10</f>
        <v>150000</v>
      </c>
      <c r="F10" s="18">
        <f t="shared" ref="F10:F36" si="1">F9-D10</f>
        <v>500000</v>
      </c>
    </row>
    <row r="11" spans="1:6" x14ac:dyDescent="0.35">
      <c r="A11" s="62" t="s">
        <v>490</v>
      </c>
      <c r="B11">
        <v>1266</v>
      </c>
      <c r="C11" t="s">
        <v>501</v>
      </c>
      <c r="D11" s="18">
        <v>10000</v>
      </c>
      <c r="E11" s="18">
        <f t="shared" si="0"/>
        <v>160000</v>
      </c>
      <c r="F11" s="18">
        <f t="shared" si="1"/>
        <v>490000</v>
      </c>
    </row>
    <row r="12" spans="1:6" x14ac:dyDescent="0.35">
      <c r="A12" s="62" t="s">
        <v>491</v>
      </c>
      <c r="B12">
        <v>156</v>
      </c>
      <c r="C12" t="s">
        <v>501</v>
      </c>
      <c r="D12" s="18">
        <v>10000</v>
      </c>
      <c r="E12" s="18">
        <f t="shared" si="0"/>
        <v>170000</v>
      </c>
      <c r="F12" s="18">
        <f t="shared" si="1"/>
        <v>480000</v>
      </c>
    </row>
    <row r="13" spans="1:6" x14ac:dyDescent="0.35">
      <c r="A13" s="62" t="s">
        <v>492</v>
      </c>
      <c r="B13">
        <v>2105</v>
      </c>
      <c r="C13" t="s">
        <v>501</v>
      </c>
      <c r="D13" s="18">
        <v>10000</v>
      </c>
      <c r="E13" s="18">
        <f t="shared" si="0"/>
        <v>180000</v>
      </c>
      <c r="F13" s="18">
        <f t="shared" si="1"/>
        <v>470000</v>
      </c>
    </row>
    <row r="14" spans="1:6" x14ac:dyDescent="0.35">
      <c r="A14" s="62" t="s">
        <v>493</v>
      </c>
      <c r="B14">
        <v>3405</v>
      </c>
      <c r="C14" t="s">
        <v>501</v>
      </c>
      <c r="D14" s="18">
        <v>10000</v>
      </c>
      <c r="E14" s="18">
        <f t="shared" si="0"/>
        <v>190000</v>
      </c>
      <c r="F14" s="18">
        <f t="shared" si="1"/>
        <v>460000</v>
      </c>
    </row>
    <row r="15" spans="1:6" x14ac:dyDescent="0.35">
      <c r="A15" s="62" t="s">
        <v>494</v>
      </c>
      <c r="B15">
        <v>4483</v>
      </c>
      <c r="C15" t="s">
        <v>501</v>
      </c>
      <c r="D15" s="18">
        <v>20000</v>
      </c>
      <c r="E15" s="18">
        <f t="shared" si="0"/>
        <v>210000</v>
      </c>
      <c r="F15" s="18">
        <f t="shared" si="1"/>
        <v>440000</v>
      </c>
    </row>
    <row r="16" spans="1:6" x14ac:dyDescent="0.35">
      <c r="A16" s="62" t="s">
        <v>495</v>
      </c>
      <c r="B16">
        <v>5197</v>
      </c>
      <c r="C16" t="s">
        <v>501</v>
      </c>
      <c r="D16" s="18">
        <v>10000</v>
      </c>
      <c r="E16" s="18">
        <f t="shared" si="0"/>
        <v>220000</v>
      </c>
      <c r="F16" s="18">
        <f t="shared" si="1"/>
        <v>430000</v>
      </c>
    </row>
    <row r="17" spans="1:6" x14ac:dyDescent="0.35">
      <c r="A17" s="62" t="s">
        <v>496</v>
      </c>
      <c r="B17">
        <v>6377</v>
      </c>
      <c r="C17" t="s">
        <v>501</v>
      </c>
      <c r="D17" s="18">
        <v>10000</v>
      </c>
      <c r="E17" s="18">
        <f t="shared" si="0"/>
        <v>230000</v>
      </c>
      <c r="F17" s="18">
        <f t="shared" si="1"/>
        <v>420000</v>
      </c>
    </row>
    <row r="18" spans="1:6" x14ac:dyDescent="0.35">
      <c r="A18" s="62" t="s">
        <v>497</v>
      </c>
      <c r="B18">
        <v>5842</v>
      </c>
      <c r="C18" t="s">
        <v>501</v>
      </c>
      <c r="D18" s="18">
        <v>10000</v>
      </c>
      <c r="E18" s="18">
        <f t="shared" si="0"/>
        <v>240000</v>
      </c>
      <c r="F18" s="18">
        <f t="shared" si="1"/>
        <v>410000</v>
      </c>
    </row>
    <row r="19" spans="1:6" x14ac:dyDescent="0.35">
      <c r="A19" s="62" t="s">
        <v>498</v>
      </c>
      <c r="B19">
        <v>7590</v>
      </c>
      <c r="C19" t="s">
        <v>501</v>
      </c>
      <c r="D19" s="18">
        <v>10000</v>
      </c>
      <c r="E19" s="18">
        <f t="shared" si="0"/>
        <v>250000</v>
      </c>
      <c r="F19" s="18">
        <f t="shared" si="1"/>
        <v>400000</v>
      </c>
    </row>
    <row r="20" spans="1:6" x14ac:dyDescent="0.35">
      <c r="A20" s="62" t="s">
        <v>502</v>
      </c>
      <c r="B20">
        <v>8299</v>
      </c>
      <c r="C20" t="s">
        <v>501</v>
      </c>
      <c r="D20" s="18">
        <v>10000</v>
      </c>
      <c r="E20" s="18">
        <f t="shared" si="0"/>
        <v>260000</v>
      </c>
      <c r="F20" s="18">
        <f t="shared" si="1"/>
        <v>390000</v>
      </c>
    </row>
    <row r="21" spans="1:6" x14ac:dyDescent="0.35">
      <c r="A21" s="62" t="s">
        <v>503</v>
      </c>
      <c r="B21">
        <v>8804</v>
      </c>
      <c r="C21" t="s">
        <v>501</v>
      </c>
      <c r="D21" s="18">
        <v>20000</v>
      </c>
      <c r="E21" s="18">
        <f t="shared" si="0"/>
        <v>280000</v>
      </c>
      <c r="F21" s="18">
        <f t="shared" si="1"/>
        <v>370000</v>
      </c>
    </row>
    <row r="22" spans="1:6" x14ac:dyDescent="0.35">
      <c r="A22" s="62" t="s">
        <v>504</v>
      </c>
      <c r="B22">
        <v>10207</v>
      </c>
      <c r="C22" t="s">
        <v>501</v>
      </c>
      <c r="D22" s="18">
        <v>20000</v>
      </c>
      <c r="E22" s="18">
        <f t="shared" si="0"/>
        <v>300000</v>
      </c>
      <c r="F22" s="18">
        <f t="shared" si="1"/>
        <v>350000</v>
      </c>
    </row>
    <row r="23" spans="1:6" x14ac:dyDescent="0.35">
      <c r="A23" s="62" t="s">
        <v>505</v>
      </c>
      <c r="B23">
        <v>12417</v>
      </c>
      <c r="C23" t="s">
        <v>501</v>
      </c>
      <c r="D23" s="18">
        <v>10000</v>
      </c>
      <c r="E23" s="18">
        <f t="shared" si="0"/>
        <v>310000</v>
      </c>
      <c r="F23" s="18">
        <f t="shared" si="1"/>
        <v>340000</v>
      </c>
    </row>
    <row r="24" spans="1:6" x14ac:dyDescent="0.35">
      <c r="A24" s="62" t="s">
        <v>506</v>
      </c>
      <c r="B24">
        <v>12003</v>
      </c>
      <c r="C24" t="s">
        <v>501</v>
      </c>
      <c r="D24" s="18">
        <v>20000</v>
      </c>
      <c r="E24" s="18">
        <f t="shared" si="0"/>
        <v>330000</v>
      </c>
      <c r="F24" s="18">
        <f t="shared" si="1"/>
        <v>320000</v>
      </c>
    </row>
    <row r="25" spans="1:6" x14ac:dyDescent="0.35">
      <c r="A25" s="62" t="s">
        <v>507</v>
      </c>
      <c r="B25">
        <v>11819</v>
      </c>
      <c r="C25" t="s">
        <v>501</v>
      </c>
      <c r="D25" s="18">
        <v>10000</v>
      </c>
      <c r="E25" s="18">
        <f t="shared" si="0"/>
        <v>340000</v>
      </c>
      <c r="F25" s="18">
        <f t="shared" si="1"/>
        <v>310000</v>
      </c>
    </row>
    <row r="26" spans="1:6" x14ac:dyDescent="0.35">
      <c r="A26" s="62" t="s">
        <v>508</v>
      </c>
      <c r="B26">
        <v>11820</v>
      </c>
      <c r="C26" t="s">
        <v>501</v>
      </c>
      <c r="D26" s="18">
        <v>10000</v>
      </c>
      <c r="E26" s="18">
        <f t="shared" si="0"/>
        <v>350000</v>
      </c>
      <c r="F26" s="18">
        <f t="shared" si="1"/>
        <v>300000</v>
      </c>
    </row>
    <row r="27" spans="1:6" x14ac:dyDescent="0.35">
      <c r="A27" s="62" t="s">
        <v>509</v>
      </c>
      <c r="B27">
        <v>11821</v>
      </c>
      <c r="C27" t="s">
        <v>501</v>
      </c>
      <c r="D27" s="18">
        <v>10000</v>
      </c>
      <c r="E27" s="18">
        <f t="shared" si="0"/>
        <v>360000</v>
      </c>
      <c r="F27" s="18">
        <f t="shared" si="1"/>
        <v>290000</v>
      </c>
    </row>
    <row r="28" spans="1:6" x14ac:dyDescent="0.35">
      <c r="A28" s="62" t="s">
        <v>510</v>
      </c>
      <c r="B28">
        <v>11822</v>
      </c>
      <c r="C28" t="s">
        <v>501</v>
      </c>
      <c r="D28" s="18">
        <v>10000</v>
      </c>
      <c r="E28" s="18">
        <f t="shared" si="0"/>
        <v>370000</v>
      </c>
      <c r="F28" s="18">
        <f t="shared" si="1"/>
        <v>280000</v>
      </c>
    </row>
    <row r="29" spans="1:6" x14ac:dyDescent="0.35">
      <c r="A29" s="62" t="s">
        <v>511</v>
      </c>
      <c r="B29">
        <v>12311</v>
      </c>
      <c r="C29" t="s">
        <v>501</v>
      </c>
      <c r="D29" s="18">
        <v>10000</v>
      </c>
      <c r="E29" s="18">
        <f t="shared" si="0"/>
        <v>380000</v>
      </c>
      <c r="F29" s="18">
        <f t="shared" si="1"/>
        <v>270000</v>
      </c>
    </row>
    <row r="30" spans="1:6" x14ac:dyDescent="0.35">
      <c r="A30" s="62" t="s">
        <v>512</v>
      </c>
      <c r="B30">
        <v>12568</v>
      </c>
      <c r="C30" t="s">
        <v>501</v>
      </c>
      <c r="D30" s="18">
        <v>10000</v>
      </c>
      <c r="E30" s="18">
        <f t="shared" si="0"/>
        <v>390000</v>
      </c>
      <c r="F30" s="18">
        <f t="shared" si="1"/>
        <v>260000</v>
      </c>
    </row>
    <row r="31" spans="1:6" x14ac:dyDescent="0.35">
      <c r="A31" s="62" t="s">
        <v>513</v>
      </c>
      <c r="B31">
        <v>13848</v>
      </c>
      <c r="C31" t="s">
        <v>501</v>
      </c>
      <c r="D31" s="18">
        <v>10000</v>
      </c>
      <c r="E31" s="18">
        <f t="shared" si="0"/>
        <v>400000</v>
      </c>
      <c r="F31" s="18">
        <f t="shared" si="1"/>
        <v>250000</v>
      </c>
    </row>
    <row r="32" spans="1:6" x14ac:dyDescent="0.35">
      <c r="A32" s="62" t="s">
        <v>514</v>
      </c>
      <c r="B32">
        <v>13306</v>
      </c>
      <c r="C32" t="s">
        <v>501</v>
      </c>
      <c r="D32" s="18">
        <v>10000</v>
      </c>
      <c r="E32" s="18">
        <f t="shared" si="0"/>
        <v>410000</v>
      </c>
      <c r="F32" s="18">
        <f t="shared" si="1"/>
        <v>240000</v>
      </c>
    </row>
    <row r="33" spans="1:6" x14ac:dyDescent="0.35">
      <c r="A33" s="62" t="s">
        <v>515</v>
      </c>
      <c r="B33">
        <v>12616</v>
      </c>
      <c r="C33" t="s">
        <v>501</v>
      </c>
      <c r="D33" s="18">
        <v>10000</v>
      </c>
      <c r="E33" s="18">
        <f t="shared" si="0"/>
        <v>420000</v>
      </c>
      <c r="F33" s="18">
        <f t="shared" si="1"/>
        <v>230000</v>
      </c>
    </row>
    <row r="34" spans="1:6" x14ac:dyDescent="0.35">
      <c r="A34" s="62" t="s">
        <v>516</v>
      </c>
      <c r="B34">
        <v>12289</v>
      </c>
      <c r="C34" t="s">
        <v>501</v>
      </c>
      <c r="D34" s="18">
        <v>10000</v>
      </c>
      <c r="E34" s="18">
        <f t="shared" si="0"/>
        <v>430000</v>
      </c>
      <c r="F34" s="18">
        <f t="shared" si="1"/>
        <v>220000</v>
      </c>
    </row>
    <row r="35" spans="1:6" x14ac:dyDescent="0.35">
      <c r="A35" s="62" t="s">
        <v>517</v>
      </c>
      <c r="B35">
        <v>12704</v>
      </c>
      <c r="C35" t="s">
        <v>501</v>
      </c>
      <c r="D35" s="18">
        <v>10000</v>
      </c>
      <c r="E35" s="18">
        <f t="shared" si="0"/>
        <v>440000</v>
      </c>
      <c r="F35" s="18">
        <f t="shared" si="1"/>
        <v>210000</v>
      </c>
    </row>
    <row r="36" spans="1:6" x14ac:dyDescent="0.35">
      <c r="A36" s="62" t="s">
        <v>518</v>
      </c>
      <c r="B36">
        <v>13433</v>
      </c>
      <c r="C36" t="s">
        <v>501</v>
      </c>
      <c r="D36" s="18">
        <v>20000</v>
      </c>
      <c r="E36" s="18">
        <f t="shared" si="0"/>
        <v>460000</v>
      </c>
      <c r="F36" s="18">
        <f t="shared" si="1"/>
        <v>190000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D32F-0193-4444-BCED-A68EE48D6757}">
  <dimension ref="A1:F44"/>
  <sheetViews>
    <sheetView topLeftCell="A40" workbookViewId="0">
      <selection activeCell="E56" sqref="E56"/>
    </sheetView>
  </sheetViews>
  <sheetFormatPr defaultRowHeight="14.5" x14ac:dyDescent="0.35"/>
  <sheetData>
    <row r="1" spans="1:6" x14ac:dyDescent="0.35">
      <c r="A1" t="s">
        <v>476</v>
      </c>
      <c r="B1" t="s">
        <v>521</v>
      </c>
    </row>
    <row r="2" spans="1:6" x14ac:dyDescent="0.35">
      <c r="A2" t="s">
        <v>477</v>
      </c>
      <c r="B2" t="s">
        <v>522</v>
      </c>
    </row>
    <row r="3" spans="1:6" x14ac:dyDescent="0.35">
      <c r="A3" t="s">
        <v>519</v>
      </c>
      <c r="B3" t="s">
        <v>523</v>
      </c>
    </row>
    <row r="4" spans="1:6" x14ac:dyDescent="0.35">
      <c r="A4" t="s">
        <v>520</v>
      </c>
      <c r="B4" t="s">
        <v>524</v>
      </c>
    </row>
    <row r="5" spans="1:6" x14ac:dyDescent="0.35">
      <c r="A5" t="s">
        <v>478</v>
      </c>
      <c r="B5" t="s">
        <v>525</v>
      </c>
    </row>
    <row r="6" spans="1:6" x14ac:dyDescent="0.35">
      <c r="A6" t="s">
        <v>481</v>
      </c>
      <c r="B6">
        <v>6118</v>
      </c>
      <c r="E6" t="s">
        <v>562</v>
      </c>
      <c r="F6" s="18">
        <v>525000</v>
      </c>
    </row>
    <row r="8" spans="1:6" x14ac:dyDescent="0.35">
      <c r="A8" s="4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</row>
    <row r="9" spans="1:6" x14ac:dyDescent="0.35">
      <c r="A9" t="s">
        <v>526</v>
      </c>
      <c r="B9">
        <v>2494</v>
      </c>
      <c r="C9" t="s">
        <v>560</v>
      </c>
      <c r="D9" s="18">
        <v>10000</v>
      </c>
      <c r="E9" s="18">
        <v>10000</v>
      </c>
      <c r="F9" s="18">
        <v>515000</v>
      </c>
    </row>
    <row r="10" spans="1:6" x14ac:dyDescent="0.35">
      <c r="A10" t="s">
        <v>527</v>
      </c>
      <c r="B10">
        <v>1941</v>
      </c>
      <c r="C10" t="s">
        <v>561</v>
      </c>
      <c r="D10" s="18">
        <v>110000</v>
      </c>
      <c r="E10" s="18">
        <v>120000</v>
      </c>
      <c r="F10" s="18">
        <v>405000</v>
      </c>
    </row>
    <row r="11" spans="1:6" x14ac:dyDescent="0.35">
      <c r="A11" t="s">
        <v>528</v>
      </c>
      <c r="B11">
        <v>1942</v>
      </c>
      <c r="C11" t="s">
        <v>501</v>
      </c>
      <c r="D11" s="18">
        <v>10000</v>
      </c>
      <c r="E11" s="18">
        <f t="shared" ref="E11:E42" si="0">E10+D11</f>
        <v>130000</v>
      </c>
      <c r="F11" s="18">
        <f t="shared" ref="F11:F42" si="1">F10-D11</f>
        <v>395000</v>
      </c>
    </row>
    <row r="12" spans="1:6" x14ac:dyDescent="0.35">
      <c r="A12" t="s">
        <v>529</v>
      </c>
      <c r="B12">
        <v>297</v>
      </c>
      <c r="C12" t="s">
        <v>501</v>
      </c>
      <c r="D12" s="18">
        <v>10000</v>
      </c>
      <c r="E12" s="18">
        <f t="shared" si="0"/>
        <v>140000</v>
      </c>
      <c r="F12" s="18">
        <f t="shared" si="1"/>
        <v>385000</v>
      </c>
    </row>
    <row r="13" spans="1:6" x14ac:dyDescent="0.35">
      <c r="A13" t="s">
        <v>530</v>
      </c>
      <c r="B13">
        <v>718</v>
      </c>
      <c r="C13" t="s">
        <v>501</v>
      </c>
      <c r="D13" s="18">
        <v>20000</v>
      </c>
      <c r="E13" s="18">
        <f t="shared" si="0"/>
        <v>160000</v>
      </c>
      <c r="F13" s="18">
        <f t="shared" si="1"/>
        <v>365000</v>
      </c>
    </row>
    <row r="14" spans="1:6" x14ac:dyDescent="0.35">
      <c r="A14" t="s">
        <v>531</v>
      </c>
      <c r="B14">
        <v>524</v>
      </c>
      <c r="C14" t="s">
        <v>501</v>
      </c>
      <c r="D14" s="18">
        <v>10000</v>
      </c>
      <c r="E14" s="18">
        <f t="shared" si="0"/>
        <v>170000</v>
      </c>
      <c r="F14" s="18">
        <f t="shared" si="1"/>
        <v>355000</v>
      </c>
    </row>
    <row r="15" spans="1:6" x14ac:dyDescent="0.35">
      <c r="A15" t="s">
        <v>532</v>
      </c>
      <c r="B15">
        <v>2893</v>
      </c>
      <c r="C15" t="s">
        <v>501</v>
      </c>
      <c r="D15" s="18">
        <v>10000</v>
      </c>
      <c r="E15" s="18">
        <f t="shared" si="0"/>
        <v>180000</v>
      </c>
      <c r="F15" s="18">
        <f t="shared" si="1"/>
        <v>345000</v>
      </c>
    </row>
    <row r="16" spans="1:6" x14ac:dyDescent="0.35">
      <c r="A16" t="s">
        <v>533</v>
      </c>
      <c r="B16">
        <v>3038</v>
      </c>
      <c r="C16" t="s">
        <v>501</v>
      </c>
      <c r="D16" s="18">
        <v>10000</v>
      </c>
      <c r="E16" s="18">
        <f t="shared" si="0"/>
        <v>190000</v>
      </c>
      <c r="F16" s="18">
        <f t="shared" si="1"/>
        <v>335000</v>
      </c>
    </row>
    <row r="17" spans="1:6" x14ac:dyDescent="0.35">
      <c r="A17" t="s">
        <v>534</v>
      </c>
      <c r="B17">
        <v>4497</v>
      </c>
      <c r="C17" t="s">
        <v>501</v>
      </c>
      <c r="D17" s="18">
        <v>15000</v>
      </c>
      <c r="E17" s="18">
        <f t="shared" si="0"/>
        <v>205000</v>
      </c>
      <c r="F17" s="18">
        <f t="shared" si="1"/>
        <v>320000</v>
      </c>
    </row>
    <row r="18" spans="1:6" x14ac:dyDescent="0.35">
      <c r="A18" t="s">
        <v>535</v>
      </c>
      <c r="B18">
        <v>4974</v>
      </c>
      <c r="C18" t="s">
        <v>501</v>
      </c>
      <c r="D18" s="18">
        <v>10000</v>
      </c>
      <c r="E18" s="18">
        <f t="shared" si="0"/>
        <v>215000</v>
      </c>
      <c r="F18" s="18">
        <f t="shared" si="1"/>
        <v>310000</v>
      </c>
    </row>
    <row r="19" spans="1:6" x14ac:dyDescent="0.35">
      <c r="A19" t="s">
        <v>536</v>
      </c>
      <c r="B19">
        <v>5651</v>
      </c>
      <c r="C19" t="s">
        <v>501</v>
      </c>
      <c r="D19" s="18">
        <v>10000</v>
      </c>
      <c r="E19" s="18">
        <f t="shared" si="0"/>
        <v>225000</v>
      </c>
      <c r="F19" s="18">
        <f t="shared" si="1"/>
        <v>300000</v>
      </c>
    </row>
    <row r="20" spans="1:6" x14ac:dyDescent="0.35">
      <c r="A20" t="s">
        <v>537</v>
      </c>
      <c r="B20">
        <v>6278</v>
      </c>
      <c r="C20" t="s">
        <v>501</v>
      </c>
      <c r="D20" s="18">
        <v>10000</v>
      </c>
      <c r="E20" s="18">
        <f t="shared" si="0"/>
        <v>235000</v>
      </c>
      <c r="F20" s="18">
        <f t="shared" si="1"/>
        <v>290000</v>
      </c>
    </row>
    <row r="21" spans="1:6" x14ac:dyDescent="0.35">
      <c r="A21" t="s">
        <v>538</v>
      </c>
      <c r="B21">
        <v>6684</v>
      </c>
      <c r="C21" t="s">
        <v>501</v>
      </c>
      <c r="D21" s="18">
        <v>15000</v>
      </c>
      <c r="E21" s="18">
        <f t="shared" si="0"/>
        <v>250000</v>
      </c>
      <c r="F21" s="18">
        <f t="shared" si="1"/>
        <v>275000</v>
      </c>
    </row>
    <row r="22" spans="1:6" x14ac:dyDescent="0.35">
      <c r="A22" t="s">
        <v>539</v>
      </c>
      <c r="B22">
        <v>7791</v>
      </c>
      <c r="C22" t="s">
        <v>501</v>
      </c>
      <c r="D22" s="18">
        <v>20000</v>
      </c>
      <c r="E22" s="18">
        <f t="shared" si="0"/>
        <v>270000</v>
      </c>
      <c r="F22" s="18">
        <f t="shared" si="1"/>
        <v>255000</v>
      </c>
    </row>
    <row r="23" spans="1:6" x14ac:dyDescent="0.35">
      <c r="A23" t="s">
        <v>540</v>
      </c>
      <c r="B23">
        <v>8661</v>
      </c>
      <c r="C23" t="s">
        <v>501</v>
      </c>
      <c r="D23" s="18">
        <v>10000</v>
      </c>
      <c r="E23" s="18">
        <f t="shared" si="0"/>
        <v>280000</v>
      </c>
      <c r="F23" s="18">
        <f t="shared" si="1"/>
        <v>245000</v>
      </c>
    </row>
    <row r="24" spans="1:6" x14ac:dyDescent="0.35">
      <c r="A24" t="s">
        <v>541</v>
      </c>
      <c r="B24">
        <v>9032</v>
      </c>
      <c r="C24" t="s">
        <v>501</v>
      </c>
      <c r="D24" s="18">
        <v>10000</v>
      </c>
      <c r="E24" s="18">
        <f t="shared" si="0"/>
        <v>290000</v>
      </c>
      <c r="F24" s="18">
        <f t="shared" si="1"/>
        <v>235000</v>
      </c>
    </row>
    <row r="25" spans="1:6" x14ac:dyDescent="0.35">
      <c r="A25" t="s">
        <v>542</v>
      </c>
      <c r="B25">
        <v>11144</v>
      </c>
      <c r="C25" t="s">
        <v>501</v>
      </c>
      <c r="D25" s="18">
        <v>20000</v>
      </c>
      <c r="E25" s="18">
        <f t="shared" si="0"/>
        <v>310000</v>
      </c>
      <c r="F25" s="18">
        <f t="shared" si="1"/>
        <v>215000</v>
      </c>
    </row>
    <row r="26" spans="1:6" x14ac:dyDescent="0.35">
      <c r="A26" t="s">
        <v>543</v>
      </c>
      <c r="B26">
        <v>10340</v>
      </c>
      <c r="C26" t="s">
        <v>501</v>
      </c>
      <c r="D26" s="18">
        <v>10000</v>
      </c>
      <c r="E26" s="18">
        <f t="shared" si="0"/>
        <v>320000</v>
      </c>
      <c r="F26" s="18">
        <f t="shared" si="1"/>
        <v>205000</v>
      </c>
    </row>
    <row r="27" spans="1:6" x14ac:dyDescent="0.35">
      <c r="A27" t="s">
        <v>544</v>
      </c>
      <c r="B27">
        <v>12154</v>
      </c>
      <c r="C27" t="s">
        <v>501</v>
      </c>
      <c r="D27" s="18">
        <v>10000</v>
      </c>
      <c r="E27" s="18">
        <f t="shared" si="0"/>
        <v>330000</v>
      </c>
      <c r="F27" s="18">
        <f t="shared" si="1"/>
        <v>195000</v>
      </c>
    </row>
    <row r="28" spans="1:6" x14ac:dyDescent="0.35">
      <c r="A28" t="s">
        <v>545</v>
      </c>
      <c r="B28">
        <v>12747</v>
      </c>
      <c r="C28" t="s">
        <v>501</v>
      </c>
      <c r="D28" s="18">
        <v>10000</v>
      </c>
      <c r="E28" s="18">
        <f t="shared" si="0"/>
        <v>340000</v>
      </c>
      <c r="F28" s="18">
        <f t="shared" si="1"/>
        <v>185000</v>
      </c>
    </row>
    <row r="29" spans="1:6" x14ac:dyDescent="0.35">
      <c r="A29" t="s">
        <v>546</v>
      </c>
      <c r="B29">
        <v>9090</v>
      </c>
      <c r="C29" t="s">
        <v>501</v>
      </c>
      <c r="D29" s="18">
        <v>10000</v>
      </c>
      <c r="E29" s="18">
        <f t="shared" si="0"/>
        <v>350000</v>
      </c>
      <c r="F29" s="18">
        <f t="shared" si="1"/>
        <v>175000</v>
      </c>
    </row>
    <row r="30" spans="1:6" x14ac:dyDescent="0.35">
      <c r="A30" t="s">
        <v>547</v>
      </c>
      <c r="B30">
        <v>9524</v>
      </c>
      <c r="C30" t="s">
        <v>501</v>
      </c>
      <c r="D30" s="18">
        <v>10000</v>
      </c>
      <c r="E30" s="18">
        <f t="shared" si="0"/>
        <v>360000</v>
      </c>
      <c r="F30" s="18">
        <f t="shared" si="1"/>
        <v>165000</v>
      </c>
    </row>
    <row r="31" spans="1:6" x14ac:dyDescent="0.35">
      <c r="A31" t="s">
        <v>548</v>
      </c>
      <c r="B31">
        <v>1005</v>
      </c>
      <c r="C31" t="s">
        <v>501</v>
      </c>
      <c r="D31" s="18">
        <v>20000</v>
      </c>
      <c r="E31" s="18">
        <f t="shared" si="0"/>
        <v>380000</v>
      </c>
      <c r="F31" s="18">
        <f t="shared" si="1"/>
        <v>145000</v>
      </c>
    </row>
    <row r="32" spans="1:6" x14ac:dyDescent="0.35">
      <c r="A32" t="s">
        <v>549</v>
      </c>
      <c r="B32">
        <v>10851</v>
      </c>
      <c r="C32" t="s">
        <v>501</v>
      </c>
      <c r="D32" s="18">
        <v>10000</v>
      </c>
      <c r="E32" s="18">
        <f t="shared" si="0"/>
        <v>390000</v>
      </c>
      <c r="F32" s="18">
        <f t="shared" si="1"/>
        <v>135000</v>
      </c>
    </row>
    <row r="33" spans="1:6" x14ac:dyDescent="0.35">
      <c r="A33" t="s">
        <v>550</v>
      </c>
      <c r="B33">
        <v>10290</v>
      </c>
      <c r="C33" t="s">
        <v>501</v>
      </c>
      <c r="D33" s="18">
        <v>10000</v>
      </c>
      <c r="E33" s="18">
        <f t="shared" si="0"/>
        <v>400000</v>
      </c>
      <c r="F33" s="18">
        <f t="shared" si="1"/>
        <v>125000</v>
      </c>
    </row>
    <row r="34" spans="1:6" x14ac:dyDescent="0.35">
      <c r="A34" t="s">
        <v>551</v>
      </c>
      <c r="B34">
        <v>12231</v>
      </c>
      <c r="C34" t="s">
        <v>501</v>
      </c>
      <c r="D34" s="18">
        <v>10000</v>
      </c>
      <c r="E34" s="18">
        <f t="shared" si="0"/>
        <v>410000</v>
      </c>
      <c r="F34" s="18">
        <f t="shared" si="1"/>
        <v>115000</v>
      </c>
    </row>
    <row r="35" spans="1:6" x14ac:dyDescent="0.35">
      <c r="A35" t="s">
        <v>552</v>
      </c>
      <c r="B35">
        <v>12977</v>
      </c>
      <c r="C35" t="s">
        <v>501</v>
      </c>
      <c r="D35" s="18">
        <v>10000</v>
      </c>
      <c r="E35" s="18">
        <f t="shared" si="0"/>
        <v>420000</v>
      </c>
      <c r="F35" s="18">
        <f t="shared" si="1"/>
        <v>105000</v>
      </c>
    </row>
    <row r="36" spans="1:6" x14ac:dyDescent="0.35">
      <c r="A36" t="s">
        <v>553</v>
      </c>
      <c r="B36">
        <v>13988</v>
      </c>
      <c r="C36" t="s">
        <v>501</v>
      </c>
      <c r="D36" s="18">
        <v>10000</v>
      </c>
      <c r="E36" s="18">
        <f t="shared" si="0"/>
        <v>430000</v>
      </c>
      <c r="F36" s="18">
        <f t="shared" si="1"/>
        <v>95000</v>
      </c>
    </row>
    <row r="37" spans="1:6" x14ac:dyDescent="0.35">
      <c r="A37" t="s">
        <v>554</v>
      </c>
      <c r="B37">
        <v>13075</v>
      </c>
      <c r="C37" t="s">
        <v>501</v>
      </c>
      <c r="D37" s="18">
        <v>10000</v>
      </c>
      <c r="E37" s="18">
        <f t="shared" si="0"/>
        <v>440000</v>
      </c>
      <c r="F37" s="18">
        <f t="shared" si="1"/>
        <v>85000</v>
      </c>
    </row>
    <row r="38" spans="1:6" x14ac:dyDescent="0.35">
      <c r="A38" t="s">
        <v>555</v>
      </c>
      <c r="B38">
        <v>12331</v>
      </c>
      <c r="C38" t="s">
        <v>501</v>
      </c>
      <c r="D38" s="18">
        <v>10000</v>
      </c>
      <c r="E38" s="18">
        <f t="shared" si="0"/>
        <v>450000</v>
      </c>
      <c r="F38" s="18">
        <f t="shared" si="1"/>
        <v>75000</v>
      </c>
    </row>
    <row r="39" spans="1:6" x14ac:dyDescent="0.35">
      <c r="A39" t="s">
        <v>556</v>
      </c>
      <c r="B39">
        <v>12255</v>
      </c>
      <c r="C39" t="s">
        <v>501</v>
      </c>
      <c r="D39" s="18">
        <v>10000</v>
      </c>
      <c r="E39" s="18">
        <f t="shared" si="0"/>
        <v>460000</v>
      </c>
      <c r="F39" s="18">
        <f t="shared" si="1"/>
        <v>65000</v>
      </c>
    </row>
    <row r="40" spans="1:6" x14ac:dyDescent="0.35">
      <c r="A40" t="s">
        <v>557</v>
      </c>
      <c r="B40">
        <v>12706</v>
      </c>
      <c r="C40" t="s">
        <v>501</v>
      </c>
      <c r="D40" s="18">
        <v>10000</v>
      </c>
      <c r="E40" s="18">
        <f t="shared" si="0"/>
        <v>470000</v>
      </c>
      <c r="F40" s="18">
        <f t="shared" si="1"/>
        <v>55000</v>
      </c>
    </row>
    <row r="41" spans="1:6" x14ac:dyDescent="0.35">
      <c r="A41" t="s">
        <v>558</v>
      </c>
      <c r="B41">
        <v>13965</v>
      </c>
      <c r="C41" t="s">
        <v>501</v>
      </c>
      <c r="D41" s="18">
        <v>20000</v>
      </c>
      <c r="E41" s="18">
        <f t="shared" si="0"/>
        <v>490000</v>
      </c>
      <c r="F41" s="18">
        <f t="shared" si="1"/>
        <v>35000</v>
      </c>
    </row>
    <row r="42" spans="1:6" x14ac:dyDescent="0.35">
      <c r="A42" t="s">
        <v>559</v>
      </c>
      <c r="B42">
        <v>13449</v>
      </c>
      <c r="C42" t="s">
        <v>501</v>
      </c>
      <c r="D42" s="18">
        <v>10000</v>
      </c>
      <c r="E42" s="18">
        <f t="shared" si="0"/>
        <v>500000</v>
      </c>
      <c r="F42" s="18">
        <f t="shared" si="1"/>
        <v>25000</v>
      </c>
    </row>
    <row r="43" spans="1:6" x14ac:dyDescent="0.35">
      <c r="A43" t="s">
        <v>660</v>
      </c>
      <c r="B43">
        <v>1318</v>
      </c>
      <c r="C43" t="s">
        <v>501</v>
      </c>
      <c r="D43" s="18">
        <v>10000</v>
      </c>
      <c r="E43" s="18">
        <f>E42+D43</f>
        <v>510000</v>
      </c>
      <c r="F43" s="18">
        <f>F42-D43</f>
        <v>15000</v>
      </c>
    </row>
    <row r="44" spans="1:6" x14ac:dyDescent="0.35">
      <c r="A44" t="s">
        <v>719</v>
      </c>
      <c r="B44">
        <v>1574</v>
      </c>
      <c r="C44" t="s">
        <v>501</v>
      </c>
      <c r="D44" s="18">
        <v>10000</v>
      </c>
      <c r="E44" s="18">
        <f>E43+D44</f>
        <v>520000</v>
      </c>
      <c r="F44" s="18">
        <f>F43-D44</f>
        <v>5000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DC1A-0797-4054-8ECB-83E2819A25D9}">
  <dimension ref="A1:F37"/>
  <sheetViews>
    <sheetView workbookViewId="0">
      <selection activeCell="A38" sqref="A38"/>
    </sheetView>
  </sheetViews>
  <sheetFormatPr defaultRowHeight="14.5" x14ac:dyDescent="0.35"/>
  <sheetData>
    <row r="1" spans="1:6" x14ac:dyDescent="0.35">
      <c r="A1" t="s">
        <v>476</v>
      </c>
      <c r="B1" t="s">
        <v>563</v>
      </c>
    </row>
    <row r="2" spans="1:6" x14ac:dyDescent="0.35">
      <c r="A2" t="s">
        <v>477</v>
      </c>
      <c r="B2" t="s">
        <v>564</v>
      </c>
    </row>
    <row r="3" spans="1:6" x14ac:dyDescent="0.35">
      <c r="A3" t="s">
        <v>520</v>
      </c>
      <c r="B3" t="s">
        <v>565</v>
      </c>
    </row>
    <row r="4" spans="1:6" x14ac:dyDescent="0.35">
      <c r="A4" t="s">
        <v>519</v>
      </c>
      <c r="B4" t="s">
        <v>566</v>
      </c>
    </row>
    <row r="5" spans="1:6" x14ac:dyDescent="0.35">
      <c r="A5" t="s">
        <v>478</v>
      </c>
      <c r="B5" t="s">
        <v>567</v>
      </c>
    </row>
    <row r="6" spans="1:6" x14ac:dyDescent="0.35">
      <c r="A6" t="s">
        <v>481</v>
      </c>
      <c r="B6">
        <v>6170</v>
      </c>
    </row>
    <row r="8" spans="1:6" x14ac:dyDescent="0.35">
      <c r="A8" s="4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</row>
    <row r="9" spans="1:6" x14ac:dyDescent="0.35">
      <c r="A9" t="s">
        <v>568</v>
      </c>
      <c r="B9">
        <v>120</v>
      </c>
      <c r="C9" t="s">
        <v>614</v>
      </c>
      <c r="D9" s="18">
        <v>100000</v>
      </c>
      <c r="E9" s="18">
        <v>100000</v>
      </c>
      <c r="F9" s="18">
        <v>290000</v>
      </c>
    </row>
    <row r="10" spans="1:6" x14ac:dyDescent="0.35">
      <c r="A10" t="s">
        <v>569</v>
      </c>
      <c r="B10">
        <v>119</v>
      </c>
      <c r="C10" t="s">
        <v>608</v>
      </c>
      <c r="D10" s="18">
        <v>10000</v>
      </c>
      <c r="E10" s="18">
        <f t="shared" ref="E10:E37" si="0">E9+D10</f>
        <v>110000</v>
      </c>
      <c r="F10" s="18">
        <f t="shared" ref="F10:F37" si="1">F9-D10</f>
        <v>280000</v>
      </c>
    </row>
    <row r="11" spans="1:6" x14ac:dyDescent="0.35">
      <c r="A11" t="s">
        <v>570</v>
      </c>
      <c r="B11">
        <v>119</v>
      </c>
      <c r="C11" t="s">
        <v>608</v>
      </c>
      <c r="D11" s="18">
        <v>10000</v>
      </c>
      <c r="E11" s="18">
        <f t="shared" si="0"/>
        <v>120000</v>
      </c>
      <c r="F11" s="18">
        <f t="shared" si="1"/>
        <v>270000</v>
      </c>
    </row>
    <row r="12" spans="1:6" x14ac:dyDescent="0.35">
      <c r="A12" t="s">
        <v>571</v>
      </c>
      <c r="B12">
        <v>119</v>
      </c>
      <c r="C12" t="s">
        <v>608</v>
      </c>
      <c r="D12" s="18">
        <v>10000</v>
      </c>
      <c r="E12" s="18">
        <f t="shared" si="0"/>
        <v>130000</v>
      </c>
      <c r="F12" s="18">
        <f t="shared" si="1"/>
        <v>260000</v>
      </c>
    </row>
    <row r="13" spans="1:6" x14ac:dyDescent="0.35">
      <c r="A13" t="s">
        <v>572</v>
      </c>
      <c r="B13">
        <v>119</v>
      </c>
      <c r="C13" t="s">
        <v>608</v>
      </c>
      <c r="D13" s="18">
        <v>10000</v>
      </c>
      <c r="E13" s="18">
        <f t="shared" si="0"/>
        <v>140000</v>
      </c>
      <c r="F13" s="18">
        <f t="shared" si="1"/>
        <v>250000</v>
      </c>
    </row>
    <row r="14" spans="1:6" x14ac:dyDescent="0.35">
      <c r="A14" t="s">
        <v>573</v>
      </c>
      <c r="B14">
        <v>119</v>
      </c>
      <c r="C14" t="s">
        <v>608</v>
      </c>
      <c r="D14" s="18">
        <v>10000</v>
      </c>
      <c r="E14" s="18">
        <f t="shared" si="0"/>
        <v>150000</v>
      </c>
      <c r="F14" s="18">
        <f t="shared" si="1"/>
        <v>240000</v>
      </c>
    </row>
    <row r="15" spans="1:6" x14ac:dyDescent="0.35">
      <c r="A15" t="s">
        <v>574</v>
      </c>
      <c r="B15">
        <v>119</v>
      </c>
      <c r="C15" t="s">
        <v>608</v>
      </c>
      <c r="D15" s="18">
        <v>10000</v>
      </c>
      <c r="E15" s="18">
        <f t="shared" si="0"/>
        <v>160000</v>
      </c>
      <c r="F15" s="18">
        <f t="shared" si="1"/>
        <v>230000</v>
      </c>
    </row>
    <row r="16" spans="1:6" x14ac:dyDescent="0.35">
      <c r="A16" t="s">
        <v>575</v>
      </c>
      <c r="B16">
        <v>119</v>
      </c>
      <c r="C16" t="s">
        <v>608</v>
      </c>
      <c r="D16" s="18">
        <v>10000</v>
      </c>
      <c r="E16" s="18">
        <f t="shared" si="0"/>
        <v>170000</v>
      </c>
      <c r="F16" s="18">
        <f t="shared" si="1"/>
        <v>220000</v>
      </c>
    </row>
    <row r="17" spans="1:6" x14ac:dyDescent="0.35">
      <c r="A17" t="s">
        <v>576</v>
      </c>
      <c r="B17">
        <v>119</v>
      </c>
      <c r="C17" t="s">
        <v>608</v>
      </c>
      <c r="D17" s="18">
        <v>10000</v>
      </c>
      <c r="E17" s="18">
        <f t="shared" si="0"/>
        <v>180000</v>
      </c>
      <c r="F17" s="18">
        <f t="shared" si="1"/>
        <v>210000</v>
      </c>
    </row>
    <row r="18" spans="1:6" x14ac:dyDescent="0.35">
      <c r="A18" t="s">
        <v>577</v>
      </c>
      <c r="B18">
        <v>119</v>
      </c>
      <c r="C18" t="s">
        <v>608</v>
      </c>
      <c r="D18" s="18">
        <v>10000</v>
      </c>
      <c r="E18" s="18">
        <f t="shared" si="0"/>
        <v>190000</v>
      </c>
      <c r="F18" s="18">
        <f t="shared" si="1"/>
        <v>200000</v>
      </c>
    </row>
    <row r="19" spans="1:6" x14ac:dyDescent="0.35">
      <c r="A19" t="s">
        <v>578</v>
      </c>
      <c r="B19">
        <v>119</v>
      </c>
      <c r="C19" t="s">
        <v>608</v>
      </c>
      <c r="D19" s="18">
        <v>10000</v>
      </c>
      <c r="E19" s="18">
        <f t="shared" si="0"/>
        <v>200000</v>
      </c>
      <c r="F19" s="18">
        <f t="shared" si="1"/>
        <v>190000</v>
      </c>
    </row>
    <row r="20" spans="1:6" x14ac:dyDescent="0.35">
      <c r="A20" t="s">
        <v>579</v>
      </c>
      <c r="B20">
        <v>119</v>
      </c>
      <c r="C20" t="s">
        <v>608</v>
      </c>
      <c r="D20" s="18">
        <v>10000</v>
      </c>
      <c r="E20" s="18">
        <f t="shared" si="0"/>
        <v>210000</v>
      </c>
      <c r="F20" s="18">
        <f t="shared" si="1"/>
        <v>180000</v>
      </c>
    </row>
    <row r="21" spans="1:6" x14ac:dyDescent="0.35">
      <c r="A21" t="s">
        <v>579</v>
      </c>
      <c r="B21">
        <v>119</v>
      </c>
      <c r="C21" t="s">
        <v>608</v>
      </c>
      <c r="D21" s="18">
        <v>20000</v>
      </c>
      <c r="E21" s="18">
        <f t="shared" si="0"/>
        <v>230000</v>
      </c>
      <c r="F21" s="18">
        <f t="shared" si="1"/>
        <v>160000</v>
      </c>
    </row>
    <row r="22" spans="1:6" x14ac:dyDescent="0.35">
      <c r="A22" t="s">
        <v>580</v>
      </c>
      <c r="B22">
        <v>119</v>
      </c>
      <c r="C22" t="s">
        <v>608</v>
      </c>
      <c r="D22" s="18">
        <v>10000</v>
      </c>
      <c r="E22" s="18">
        <f t="shared" si="0"/>
        <v>240000</v>
      </c>
      <c r="F22" s="18">
        <f t="shared" si="1"/>
        <v>150000</v>
      </c>
    </row>
    <row r="23" spans="1:6" x14ac:dyDescent="0.35">
      <c r="A23" t="s">
        <v>581</v>
      </c>
      <c r="B23">
        <v>119</v>
      </c>
      <c r="C23" t="s">
        <v>608</v>
      </c>
      <c r="D23" s="18">
        <v>10000</v>
      </c>
      <c r="E23" s="18">
        <f t="shared" si="0"/>
        <v>250000</v>
      </c>
      <c r="F23" s="18">
        <f t="shared" si="1"/>
        <v>140000</v>
      </c>
    </row>
    <row r="24" spans="1:6" x14ac:dyDescent="0.35">
      <c r="A24" t="s">
        <v>582</v>
      </c>
      <c r="B24">
        <v>121</v>
      </c>
      <c r="C24" t="s">
        <v>608</v>
      </c>
      <c r="D24" s="18">
        <v>10000</v>
      </c>
      <c r="E24" s="18">
        <f t="shared" si="0"/>
        <v>260000</v>
      </c>
      <c r="F24" s="18">
        <f t="shared" si="1"/>
        <v>130000</v>
      </c>
    </row>
    <row r="25" spans="1:6" x14ac:dyDescent="0.35">
      <c r="A25" t="s">
        <v>583</v>
      </c>
      <c r="B25">
        <v>1236</v>
      </c>
      <c r="C25" t="s">
        <v>608</v>
      </c>
      <c r="D25" s="18">
        <v>10000</v>
      </c>
      <c r="E25" s="18">
        <f t="shared" si="0"/>
        <v>270000</v>
      </c>
      <c r="F25" s="18">
        <f t="shared" si="1"/>
        <v>120000</v>
      </c>
    </row>
    <row r="26" spans="1:6" x14ac:dyDescent="0.35">
      <c r="A26" t="s">
        <v>584</v>
      </c>
      <c r="B26">
        <v>2420</v>
      </c>
      <c r="C26" t="s">
        <v>608</v>
      </c>
      <c r="D26" s="18">
        <v>10000</v>
      </c>
      <c r="E26" s="18">
        <f t="shared" si="0"/>
        <v>280000</v>
      </c>
      <c r="F26" s="18">
        <f t="shared" si="1"/>
        <v>110000</v>
      </c>
    </row>
    <row r="27" spans="1:6" x14ac:dyDescent="0.35">
      <c r="A27" t="s">
        <v>585</v>
      </c>
      <c r="B27">
        <v>2419</v>
      </c>
      <c r="C27" t="s">
        <v>608</v>
      </c>
      <c r="D27" s="18">
        <v>10000</v>
      </c>
      <c r="E27" s="18">
        <f t="shared" si="0"/>
        <v>290000</v>
      </c>
      <c r="F27" s="18">
        <f t="shared" si="1"/>
        <v>100000</v>
      </c>
    </row>
    <row r="28" spans="1:6" x14ac:dyDescent="0.35">
      <c r="A28" t="s">
        <v>586</v>
      </c>
      <c r="B28">
        <v>2421</v>
      </c>
      <c r="C28" t="s">
        <v>608</v>
      </c>
      <c r="D28" s="18">
        <v>10000</v>
      </c>
      <c r="E28" s="18">
        <f t="shared" si="0"/>
        <v>300000</v>
      </c>
      <c r="F28" s="18">
        <f t="shared" si="1"/>
        <v>90000</v>
      </c>
    </row>
    <row r="29" spans="1:6" x14ac:dyDescent="0.35">
      <c r="A29" t="s">
        <v>587</v>
      </c>
      <c r="B29">
        <v>2595</v>
      </c>
      <c r="C29" t="s">
        <v>608</v>
      </c>
      <c r="D29" s="18">
        <v>10000</v>
      </c>
      <c r="E29" s="18">
        <f t="shared" si="0"/>
        <v>310000</v>
      </c>
      <c r="F29" s="18">
        <f t="shared" si="1"/>
        <v>80000</v>
      </c>
    </row>
    <row r="30" spans="1:6" x14ac:dyDescent="0.35">
      <c r="A30" t="s">
        <v>588</v>
      </c>
      <c r="B30">
        <v>161</v>
      </c>
      <c r="C30" t="s">
        <v>608</v>
      </c>
      <c r="D30" s="18">
        <v>10000</v>
      </c>
      <c r="E30" s="18">
        <f t="shared" si="0"/>
        <v>320000</v>
      </c>
      <c r="F30" s="18">
        <f t="shared" si="1"/>
        <v>70000</v>
      </c>
    </row>
    <row r="31" spans="1:6" x14ac:dyDescent="0.35">
      <c r="A31" t="s">
        <v>589</v>
      </c>
      <c r="B31">
        <v>2991</v>
      </c>
      <c r="C31" t="s">
        <v>608</v>
      </c>
      <c r="D31" s="18">
        <v>10000</v>
      </c>
      <c r="E31" s="18">
        <f t="shared" si="0"/>
        <v>330000</v>
      </c>
      <c r="F31" s="18">
        <f t="shared" si="1"/>
        <v>60000</v>
      </c>
    </row>
    <row r="32" spans="1:6" x14ac:dyDescent="0.35">
      <c r="A32" t="s">
        <v>590</v>
      </c>
      <c r="B32">
        <v>3235</v>
      </c>
      <c r="C32" t="s">
        <v>608</v>
      </c>
      <c r="D32" s="18">
        <v>10000</v>
      </c>
      <c r="E32" s="18">
        <f t="shared" si="0"/>
        <v>340000</v>
      </c>
      <c r="F32" s="18">
        <f t="shared" si="1"/>
        <v>50000</v>
      </c>
    </row>
    <row r="33" spans="1:6" x14ac:dyDescent="0.35">
      <c r="A33" t="s">
        <v>591</v>
      </c>
      <c r="B33">
        <v>3852</v>
      </c>
      <c r="C33" t="s">
        <v>608</v>
      </c>
      <c r="D33" s="18">
        <v>10000</v>
      </c>
      <c r="E33" s="18">
        <f t="shared" si="0"/>
        <v>350000</v>
      </c>
      <c r="F33" s="18">
        <f t="shared" si="1"/>
        <v>40000</v>
      </c>
    </row>
    <row r="34" spans="1:6" x14ac:dyDescent="0.35">
      <c r="A34" t="s">
        <v>592</v>
      </c>
      <c r="B34">
        <v>4276</v>
      </c>
      <c r="C34" t="s">
        <v>608</v>
      </c>
      <c r="D34" s="18">
        <v>10000</v>
      </c>
      <c r="E34" s="18">
        <f t="shared" si="0"/>
        <v>360000</v>
      </c>
      <c r="F34" s="18">
        <f t="shared" si="1"/>
        <v>30000</v>
      </c>
    </row>
    <row r="35" spans="1:6" x14ac:dyDescent="0.35">
      <c r="A35" t="s">
        <v>536</v>
      </c>
      <c r="B35">
        <v>4988</v>
      </c>
      <c r="C35" t="s">
        <v>608</v>
      </c>
      <c r="D35" s="18">
        <v>10000</v>
      </c>
      <c r="E35" s="18">
        <f t="shared" si="0"/>
        <v>370000</v>
      </c>
      <c r="F35" s="18">
        <f t="shared" si="1"/>
        <v>20000</v>
      </c>
    </row>
    <row r="36" spans="1:6" x14ac:dyDescent="0.35">
      <c r="A36" t="s">
        <v>593</v>
      </c>
      <c r="B36">
        <v>5643</v>
      </c>
      <c r="C36" t="s">
        <v>608</v>
      </c>
      <c r="D36" s="18">
        <v>10000</v>
      </c>
      <c r="E36" s="18">
        <f t="shared" si="0"/>
        <v>380000</v>
      </c>
      <c r="F36" s="18">
        <f t="shared" si="1"/>
        <v>10000</v>
      </c>
    </row>
    <row r="37" spans="1:6" x14ac:dyDescent="0.35">
      <c r="A37" t="s">
        <v>593</v>
      </c>
      <c r="B37">
        <v>6316</v>
      </c>
      <c r="C37" t="s">
        <v>608</v>
      </c>
      <c r="D37" s="18">
        <v>10000</v>
      </c>
      <c r="E37" s="18">
        <f t="shared" si="0"/>
        <v>390000</v>
      </c>
      <c r="F37" s="18">
        <f t="shared" si="1"/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BDD6-33D2-45D7-A3C7-ED802F0263F3}">
  <dimension ref="A1:F14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476</v>
      </c>
      <c r="B1" t="s">
        <v>599</v>
      </c>
    </row>
    <row r="2" spans="1:6" x14ac:dyDescent="0.35">
      <c r="A2" t="s">
        <v>477</v>
      </c>
      <c r="B2" t="s">
        <v>600</v>
      </c>
    </row>
    <row r="3" spans="1:6" x14ac:dyDescent="0.35">
      <c r="A3" t="s">
        <v>519</v>
      </c>
      <c r="B3" t="s">
        <v>601</v>
      </c>
    </row>
    <row r="4" spans="1:6" x14ac:dyDescent="0.35">
      <c r="A4" t="s">
        <v>520</v>
      </c>
      <c r="B4" t="s">
        <v>602</v>
      </c>
    </row>
    <row r="5" spans="1:6" x14ac:dyDescent="0.35">
      <c r="A5" t="s">
        <v>478</v>
      </c>
    </row>
    <row r="6" spans="1:6" x14ac:dyDescent="0.35">
      <c r="A6" t="s">
        <v>481</v>
      </c>
      <c r="B6">
        <v>6099</v>
      </c>
    </row>
    <row r="8" spans="1:6" x14ac:dyDescent="0.35">
      <c r="A8" s="4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</row>
    <row r="9" spans="1:6" x14ac:dyDescent="0.35">
      <c r="A9" t="s">
        <v>603</v>
      </c>
      <c r="B9">
        <v>13245</v>
      </c>
      <c r="C9" t="s">
        <v>607</v>
      </c>
      <c r="D9" s="18">
        <v>150000</v>
      </c>
      <c r="E9" s="18">
        <v>150000</v>
      </c>
      <c r="F9" s="18">
        <v>550000</v>
      </c>
    </row>
    <row r="10" spans="1:6" x14ac:dyDescent="0.35">
      <c r="A10" t="s">
        <v>604</v>
      </c>
      <c r="B10">
        <v>12078</v>
      </c>
      <c r="C10" t="s">
        <v>608</v>
      </c>
      <c r="D10" s="18">
        <v>10000</v>
      </c>
      <c r="E10" s="18">
        <f>E9+D10</f>
        <v>160000</v>
      </c>
      <c r="F10" s="18">
        <f>F9-D10</f>
        <v>540000</v>
      </c>
    </row>
    <row r="11" spans="1:6" x14ac:dyDescent="0.35">
      <c r="A11" t="s">
        <v>605</v>
      </c>
      <c r="B11">
        <v>12408</v>
      </c>
      <c r="C11" t="s">
        <v>608</v>
      </c>
      <c r="D11" s="18">
        <v>10000</v>
      </c>
      <c r="E11" s="18">
        <f>E10+D11</f>
        <v>170000</v>
      </c>
      <c r="F11" s="18">
        <f>F10-D11</f>
        <v>530000</v>
      </c>
    </row>
    <row r="12" spans="1:6" x14ac:dyDescent="0.35">
      <c r="A12" t="s">
        <v>606</v>
      </c>
      <c r="B12">
        <v>13219</v>
      </c>
      <c r="C12" t="s">
        <v>608</v>
      </c>
      <c r="D12" s="18">
        <v>20000</v>
      </c>
      <c r="E12" s="18">
        <f>E11+D12</f>
        <v>190000</v>
      </c>
      <c r="F12" s="18">
        <f>F11-D12</f>
        <v>510000</v>
      </c>
    </row>
    <row r="13" spans="1:6" x14ac:dyDescent="0.35">
      <c r="A13" t="s">
        <v>598</v>
      </c>
      <c r="B13">
        <v>13317</v>
      </c>
      <c r="C13" t="s">
        <v>608</v>
      </c>
      <c r="D13" s="18">
        <v>10000</v>
      </c>
      <c r="E13" s="18">
        <f>E12+D13</f>
        <v>200000</v>
      </c>
      <c r="F13" s="18">
        <f>F12-D13</f>
        <v>500000</v>
      </c>
    </row>
    <row r="14" spans="1:6" x14ac:dyDescent="0.35">
      <c r="A14" t="s">
        <v>597</v>
      </c>
      <c r="B14">
        <v>13589</v>
      </c>
      <c r="C14" t="s">
        <v>608</v>
      </c>
      <c r="D14" s="18">
        <v>10000</v>
      </c>
      <c r="E14" s="18">
        <f>E13+D14</f>
        <v>210000</v>
      </c>
      <c r="F14" s="18">
        <f>F13-D14</f>
        <v>490000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333C-348A-4CD5-8052-9AA715342630}">
  <dimension ref="A1:F37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476</v>
      </c>
      <c r="B1" t="s">
        <v>647</v>
      </c>
    </row>
    <row r="2" spans="1:6" x14ac:dyDescent="0.35">
      <c r="A2" t="s">
        <v>477</v>
      </c>
      <c r="B2" t="s">
        <v>648</v>
      </c>
    </row>
    <row r="3" spans="1:6" x14ac:dyDescent="0.35">
      <c r="A3" t="s">
        <v>519</v>
      </c>
      <c r="B3" t="s">
        <v>649</v>
      </c>
    </row>
    <row r="4" spans="1:6" x14ac:dyDescent="0.35">
      <c r="A4" t="s">
        <v>520</v>
      </c>
      <c r="B4" t="s">
        <v>650</v>
      </c>
    </row>
    <row r="5" spans="1:6" x14ac:dyDescent="0.35">
      <c r="A5" t="s">
        <v>478</v>
      </c>
      <c r="B5" t="s">
        <v>617</v>
      </c>
    </row>
    <row r="6" spans="1:6" x14ac:dyDescent="0.35">
      <c r="A6" t="s">
        <v>481</v>
      </c>
      <c r="B6">
        <v>6105</v>
      </c>
    </row>
    <row r="8" spans="1:6" x14ac:dyDescent="0.35">
      <c r="A8" s="4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</row>
    <row r="9" spans="1:6" x14ac:dyDescent="0.35">
      <c r="A9" t="s">
        <v>618</v>
      </c>
      <c r="B9">
        <v>11</v>
      </c>
      <c r="C9" t="s">
        <v>501</v>
      </c>
      <c r="D9" s="18">
        <v>10000</v>
      </c>
      <c r="E9" s="18">
        <v>10000</v>
      </c>
      <c r="F9" s="18">
        <v>310000</v>
      </c>
    </row>
    <row r="10" spans="1:6" x14ac:dyDescent="0.35">
      <c r="A10" t="s">
        <v>619</v>
      </c>
      <c r="B10">
        <v>1631</v>
      </c>
      <c r="C10" t="s">
        <v>501</v>
      </c>
      <c r="D10" s="18">
        <v>10000</v>
      </c>
      <c r="E10" s="18">
        <f t="shared" ref="E10:E37" si="0">E9+D10</f>
        <v>20000</v>
      </c>
      <c r="F10" s="18">
        <f t="shared" ref="F10:F37" si="1">F9-D10</f>
        <v>300000</v>
      </c>
    </row>
    <row r="11" spans="1:6" x14ac:dyDescent="0.35">
      <c r="A11" t="s">
        <v>620</v>
      </c>
      <c r="B11">
        <v>1362</v>
      </c>
      <c r="C11" t="s">
        <v>628</v>
      </c>
      <c r="D11" s="18">
        <v>20000</v>
      </c>
      <c r="E11" s="18">
        <f t="shared" si="0"/>
        <v>40000</v>
      </c>
      <c r="F11" s="18">
        <f t="shared" si="1"/>
        <v>280000</v>
      </c>
    </row>
    <row r="12" spans="1:6" x14ac:dyDescent="0.35">
      <c r="A12" t="s">
        <v>621</v>
      </c>
      <c r="B12">
        <v>1537</v>
      </c>
      <c r="C12" t="s">
        <v>501</v>
      </c>
      <c r="D12" s="18">
        <v>10000</v>
      </c>
      <c r="E12" s="18">
        <f t="shared" si="0"/>
        <v>50000</v>
      </c>
      <c r="F12" s="18">
        <f t="shared" si="1"/>
        <v>270000</v>
      </c>
    </row>
    <row r="13" spans="1:6" x14ac:dyDescent="0.35">
      <c r="A13" t="s">
        <v>622</v>
      </c>
      <c r="B13">
        <v>1363</v>
      </c>
      <c r="C13" t="s">
        <v>501</v>
      </c>
      <c r="D13" s="18">
        <v>10000</v>
      </c>
      <c r="E13" s="18">
        <f t="shared" si="0"/>
        <v>60000</v>
      </c>
      <c r="F13" s="18">
        <f t="shared" si="1"/>
        <v>260000</v>
      </c>
    </row>
    <row r="14" spans="1:6" x14ac:dyDescent="0.35">
      <c r="A14" t="s">
        <v>623</v>
      </c>
      <c r="B14">
        <v>148</v>
      </c>
      <c r="C14" t="s">
        <v>501</v>
      </c>
      <c r="D14" s="18">
        <v>10000</v>
      </c>
      <c r="E14" s="18">
        <f t="shared" si="0"/>
        <v>70000</v>
      </c>
      <c r="F14" s="18">
        <f t="shared" si="1"/>
        <v>250000</v>
      </c>
    </row>
    <row r="15" spans="1:6" x14ac:dyDescent="0.35">
      <c r="A15" t="s">
        <v>624</v>
      </c>
      <c r="B15">
        <v>3089</v>
      </c>
      <c r="C15" t="s">
        <v>501</v>
      </c>
      <c r="D15" s="18">
        <v>20000</v>
      </c>
      <c r="E15" s="18">
        <f t="shared" si="0"/>
        <v>90000</v>
      </c>
      <c r="F15" s="18">
        <f t="shared" si="1"/>
        <v>230000</v>
      </c>
    </row>
    <row r="16" spans="1:6" x14ac:dyDescent="0.35">
      <c r="A16" t="s">
        <v>625</v>
      </c>
      <c r="B16">
        <v>3884</v>
      </c>
      <c r="C16" t="s">
        <v>501</v>
      </c>
      <c r="D16" s="18">
        <v>10000</v>
      </c>
      <c r="E16" s="18">
        <f t="shared" si="0"/>
        <v>100000</v>
      </c>
      <c r="F16" s="18">
        <f t="shared" si="1"/>
        <v>220000</v>
      </c>
    </row>
    <row r="17" spans="1:6" x14ac:dyDescent="0.35">
      <c r="A17" t="s">
        <v>626</v>
      </c>
      <c r="B17">
        <v>4447</v>
      </c>
      <c r="C17" t="s">
        <v>501</v>
      </c>
      <c r="D17" s="18">
        <v>20000</v>
      </c>
      <c r="E17" s="18">
        <f t="shared" si="0"/>
        <v>120000</v>
      </c>
      <c r="F17" s="18">
        <f t="shared" si="1"/>
        <v>200000</v>
      </c>
    </row>
    <row r="18" spans="1:6" x14ac:dyDescent="0.35">
      <c r="A18" t="s">
        <v>627</v>
      </c>
      <c r="B18">
        <v>5023</v>
      </c>
      <c r="C18" t="s">
        <v>501</v>
      </c>
      <c r="D18" s="18">
        <v>10000</v>
      </c>
      <c r="E18" s="18">
        <f t="shared" si="0"/>
        <v>130000</v>
      </c>
      <c r="F18" s="18">
        <f t="shared" si="1"/>
        <v>190000</v>
      </c>
    </row>
    <row r="19" spans="1:6" x14ac:dyDescent="0.35">
      <c r="A19" t="s">
        <v>536</v>
      </c>
      <c r="B19">
        <v>5668</v>
      </c>
      <c r="C19" t="s">
        <v>501</v>
      </c>
      <c r="D19" s="18">
        <v>10000</v>
      </c>
      <c r="E19" s="18">
        <f t="shared" si="0"/>
        <v>140000</v>
      </c>
      <c r="F19" s="18">
        <f t="shared" si="1"/>
        <v>180000</v>
      </c>
    </row>
    <row r="20" spans="1:6" x14ac:dyDescent="0.35">
      <c r="A20" t="s">
        <v>629</v>
      </c>
      <c r="B20">
        <v>6215</v>
      </c>
      <c r="C20" t="s">
        <v>501</v>
      </c>
      <c r="D20" s="18">
        <v>10000</v>
      </c>
      <c r="E20" s="18">
        <f t="shared" si="0"/>
        <v>150000</v>
      </c>
      <c r="F20" s="18">
        <f t="shared" si="1"/>
        <v>170000</v>
      </c>
    </row>
    <row r="21" spans="1:6" x14ac:dyDescent="0.35">
      <c r="A21" t="s">
        <v>630</v>
      </c>
      <c r="B21">
        <v>7195</v>
      </c>
      <c r="C21" t="s">
        <v>501</v>
      </c>
      <c r="D21" s="18">
        <v>10000</v>
      </c>
      <c r="E21" s="18">
        <f t="shared" si="0"/>
        <v>160000</v>
      </c>
      <c r="F21" s="18">
        <f t="shared" si="1"/>
        <v>160000</v>
      </c>
    </row>
    <row r="22" spans="1:6" x14ac:dyDescent="0.35">
      <c r="A22" t="s">
        <v>631</v>
      </c>
      <c r="B22">
        <v>7437</v>
      </c>
      <c r="C22" t="s">
        <v>501</v>
      </c>
      <c r="D22" s="18">
        <v>10000</v>
      </c>
      <c r="E22" s="18">
        <f t="shared" si="0"/>
        <v>170000</v>
      </c>
      <c r="F22" s="18">
        <f t="shared" si="1"/>
        <v>150000</v>
      </c>
    </row>
    <row r="23" spans="1:6" x14ac:dyDescent="0.35">
      <c r="A23" t="s">
        <v>632</v>
      </c>
      <c r="B23">
        <v>7743</v>
      </c>
      <c r="C23" t="s">
        <v>501</v>
      </c>
      <c r="D23" s="18">
        <v>10000</v>
      </c>
      <c r="E23" s="18">
        <f t="shared" si="0"/>
        <v>180000</v>
      </c>
      <c r="F23" s="18">
        <f t="shared" si="1"/>
        <v>140000</v>
      </c>
    </row>
    <row r="24" spans="1:6" x14ac:dyDescent="0.35">
      <c r="A24" t="s">
        <v>633</v>
      </c>
      <c r="B24">
        <v>8532</v>
      </c>
      <c r="C24" t="s">
        <v>501</v>
      </c>
      <c r="D24" s="18">
        <v>10000</v>
      </c>
      <c r="E24" s="18">
        <f t="shared" si="0"/>
        <v>190000</v>
      </c>
      <c r="F24" s="18">
        <f t="shared" si="1"/>
        <v>130000</v>
      </c>
    </row>
    <row r="25" spans="1:6" x14ac:dyDescent="0.35">
      <c r="A25" t="s">
        <v>634</v>
      </c>
      <c r="B25">
        <v>9070</v>
      </c>
      <c r="C25" t="s">
        <v>501</v>
      </c>
      <c r="D25" s="18">
        <v>10000</v>
      </c>
      <c r="E25" s="18">
        <f t="shared" si="0"/>
        <v>200000</v>
      </c>
      <c r="F25" s="18">
        <f t="shared" si="1"/>
        <v>120000</v>
      </c>
    </row>
    <row r="26" spans="1:6" x14ac:dyDescent="0.35">
      <c r="A26" t="s">
        <v>635</v>
      </c>
      <c r="B26">
        <v>9673</v>
      </c>
      <c r="C26" t="s">
        <v>501</v>
      </c>
      <c r="D26" s="18">
        <v>10000</v>
      </c>
      <c r="E26" s="18">
        <f t="shared" si="0"/>
        <v>210000</v>
      </c>
      <c r="F26" s="18">
        <f t="shared" si="1"/>
        <v>110000</v>
      </c>
    </row>
    <row r="27" spans="1:6" x14ac:dyDescent="0.35">
      <c r="A27" t="s">
        <v>636</v>
      </c>
      <c r="B27">
        <v>12136</v>
      </c>
      <c r="C27" t="s">
        <v>501</v>
      </c>
      <c r="D27" s="18">
        <v>10000</v>
      </c>
      <c r="E27" s="18">
        <f t="shared" si="0"/>
        <v>220000</v>
      </c>
      <c r="F27" s="18">
        <f t="shared" si="1"/>
        <v>100000</v>
      </c>
    </row>
    <row r="28" spans="1:6" x14ac:dyDescent="0.35">
      <c r="A28" t="s">
        <v>637</v>
      </c>
      <c r="B28">
        <v>13757</v>
      </c>
      <c r="C28" t="s">
        <v>501</v>
      </c>
      <c r="D28" s="18">
        <v>10000</v>
      </c>
      <c r="E28" s="18">
        <f t="shared" si="0"/>
        <v>230000</v>
      </c>
      <c r="F28" s="18">
        <f t="shared" si="1"/>
        <v>90000</v>
      </c>
    </row>
    <row r="29" spans="1:6" x14ac:dyDescent="0.35">
      <c r="A29" t="s">
        <v>638</v>
      </c>
      <c r="B29">
        <v>11673</v>
      </c>
      <c r="C29" t="s">
        <v>501</v>
      </c>
      <c r="D29" s="18">
        <v>10000</v>
      </c>
      <c r="E29" s="18">
        <f t="shared" si="0"/>
        <v>240000</v>
      </c>
      <c r="F29" s="18">
        <f t="shared" si="1"/>
        <v>80000</v>
      </c>
    </row>
    <row r="30" spans="1:6" x14ac:dyDescent="0.35">
      <c r="A30" t="s">
        <v>639</v>
      </c>
      <c r="B30">
        <v>12138</v>
      </c>
      <c r="C30" t="s">
        <v>501</v>
      </c>
      <c r="D30" s="18">
        <v>10000</v>
      </c>
      <c r="E30" s="18">
        <f t="shared" si="0"/>
        <v>250000</v>
      </c>
      <c r="F30" s="18">
        <f t="shared" si="1"/>
        <v>70000</v>
      </c>
    </row>
    <row r="31" spans="1:6" x14ac:dyDescent="0.35">
      <c r="A31" t="s">
        <v>640</v>
      </c>
      <c r="B31">
        <v>12397</v>
      </c>
      <c r="C31" t="s">
        <v>501</v>
      </c>
      <c r="D31" s="18">
        <v>10000</v>
      </c>
      <c r="E31" s="18">
        <f t="shared" si="0"/>
        <v>260000</v>
      </c>
      <c r="F31" s="18">
        <f t="shared" si="1"/>
        <v>60000</v>
      </c>
    </row>
    <row r="32" spans="1:6" x14ac:dyDescent="0.35">
      <c r="A32" t="s">
        <v>641</v>
      </c>
      <c r="B32">
        <v>19473</v>
      </c>
      <c r="C32" t="s">
        <v>501</v>
      </c>
      <c r="D32" s="18">
        <v>10000</v>
      </c>
      <c r="E32" s="18">
        <f t="shared" si="0"/>
        <v>270000</v>
      </c>
      <c r="F32" s="18">
        <f t="shared" si="1"/>
        <v>50000</v>
      </c>
    </row>
    <row r="33" spans="1:6" x14ac:dyDescent="0.35">
      <c r="A33" t="s">
        <v>642</v>
      </c>
      <c r="B33">
        <v>12097</v>
      </c>
      <c r="C33" t="s">
        <v>501</v>
      </c>
      <c r="D33" s="18">
        <v>10000</v>
      </c>
      <c r="E33" s="18">
        <f t="shared" si="0"/>
        <v>280000</v>
      </c>
      <c r="F33" s="18">
        <f t="shared" si="1"/>
        <v>40000</v>
      </c>
    </row>
    <row r="34" spans="1:6" x14ac:dyDescent="0.35">
      <c r="A34" t="s">
        <v>643</v>
      </c>
      <c r="B34">
        <v>9674</v>
      </c>
      <c r="C34" t="s">
        <v>501</v>
      </c>
      <c r="D34" s="18">
        <v>10000</v>
      </c>
      <c r="E34" s="18">
        <f t="shared" si="0"/>
        <v>290000</v>
      </c>
      <c r="F34" s="18">
        <f t="shared" si="1"/>
        <v>30000</v>
      </c>
    </row>
    <row r="35" spans="1:6" x14ac:dyDescent="0.35">
      <c r="A35" t="s">
        <v>644</v>
      </c>
      <c r="B35">
        <v>9963</v>
      </c>
      <c r="C35" t="s">
        <v>501</v>
      </c>
      <c r="D35" s="18">
        <v>10000</v>
      </c>
      <c r="E35" s="18">
        <f t="shared" si="0"/>
        <v>300000</v>
      </c>
      <c r="F35" s="18">
        <f t="shared" si="1"/>
        <v>20000</v>
      </c>
    </row>
    <row r="36" spans="1:6" x14ac:dyDescent="0.35">
      <c r="A36" t="s">
        <v>645</v>
      </c>
      <c r="B36">
        <v>9964</v>
      </c>
      <c r="C36" t="s">
        <v>501</v>
      </c>
      <c r="D36" s="18">
        <v>10000</v>
      </c>
      <c r="E36" s="18">
        <f t="shared" si="0"/>
        <v>310000</v>
      </c>
      <c r="F36" s="18">
        <f t="shared" si="1"/>
        <v>10000</v>
      </c>
    </row>
    <row r="37" spans="1:6" x14ac:dyDescent="0.35">
      <c r="A37" t="s">
        <v>646</v>
      </c>
      <c r="B37">
        <v>9965</v>
      </c>
      <c r="C37" t="s">
        <v>501</v>
      </c>
      <c r="D37" s="18">
        <v>10000</v>
      </c>
      <c r="E37" s="18">
        <f t="shared" si="0"/>
        <v>320000</v>
      </c>
      <c r="F37" s="18">
        <f t="shared" si="1"/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1C63-2C4D-4D16-A782-BAC5AD94DA93}">
  <dimension ref="A1:F36"/>
  <sheetViews>
    <sheetView workbookViewId="0">
      <selection sqref="A1:G8"/>
    </sheetView>
  </sheetViews>
  <sheetFormatPr defaultRowHeight="14.5" x14ac:dyDescent="0.35"/>
  <sheetData>
    <row r="1" spans="1:6" x14ac:dyDescent="0.35">
      <c r="A1" t="s">
        <v>476</v>
      </c>
      <c r="B1" t="s">
        <v>655</v>
      </c>
    </row>
    <row r="2" spans="1:6" x14ac:dyDescent="0.35">
      <c r="A2" t="s">
        <v>477</v>
      </c>
      <c r="B2" t="s">
        <v>648</v>
      </c>
    </row>
    <row r="3" spans="1:6" x14ac:dyDescent="0.35">
      <c r="A3" t="s">
        <v>519</v>
      </c>
      <c r="B3" t="s">
        <v>649</v>
      </c>
    </row>
    <row r="4" spans="1:6" x14ac:dyDescent="0.35">
      <c r="A4" t="s">
        <v>520</v>
      </c>
      <c r="B4" t="s">
        <v>650</v>
      </c>
    </row>
    <row r="5" spans="1:6" x14ac:dyDescent="0.35">
      <c r="A5" t="s">
        <v>651</v>
      </c>
      <c r="B5" t="s">
        <v>652</v>
      </c>
    </row>
    <row r="6" spans="1:6" x14ac:dyDescent="0.35">
      <c r="A6" t="s">
        <v>481</v>
      </c>
      <c r="B6">
        <v>6104</v>
      </c>
    </row>
    <row r="8" spans="1:6" x14ac:dyDescent="0.35">
      <c r="A8" s="4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</row>
    <row r="9" spans="1:6" x14ac:dyDescent="0.35">
      <c r="A9" t="s">
        <v>618</v>
      </c>
      <c r="B9">
        <v>10</v>
      </c>
      <c r="C9" t="s">
        <v>501</v>
      </c>
      <c r="D9" s="18">
        <v>10000</v>
      </c>
      <c r="E9" s="18">
        <v>10000</v>
      </c>
      <c r="F9" s="18">
        <v>300000</v>
      </c>
    </row>
    <row r="10" spans="1:6" x14ac:dyDescent="0.35">
      <c r="A10" t="s">
        <v>653</v>
      </c>
      <c r="B10">
        <v>1632</v>
      </c>
      <c r="C10" t="s">
        <v>501</v>
      </c>
      <c r="D10" s="18">
        <v>10000</v>
      </c>
      <c r="E10" s="18">
        <f t="shared" ref="E10:E36" si="0">E9+D10</f>
        <v>20000</v>
      </c>
      <c r="F10" s="18">
        <f t="shared" ref="F10:F36" si="1">F9-D10</f>
        <v>290000</v>
      </c>
    </row>
    <row r="11" spans="1:6" x14ac:dyDescent="0.35">
      <c r="A11" t="s">
        <v>620</v>
      </c>
      <c r="B11">
        <v>1364</v>
      </c>
      <c r="C11" t="s">
        <v>628</v>
      </c>
      <c r="D11" s="18">
        <v>20000</v>
      </c>
      <c r="E11" s="18">
        <f t="shared" si="0"/>
        <v>40000</v>
      </c>
      <c r="F11" s="18">
        <f t="shared" si="1"/>
        <v>270000</v>
      </c>
    </row>
    <row r="12" spans="1:6" x14ac:dyDescent="0.35">
      <c r="A12" t="s">
        <v>621</v>
      </c>
      <c r="B12">
        <v>1536</v>
      </c>
      <c r="C12" t="s">
        <v>501</v>
      </c>
      <c r="D12" s="18">
        <v>10000</v>
      </c>
      <c r="E12" s="18">
        <f t="shared" si="0"/>
        <v>50000</v>
      </c>
      <c r="F12" s="18">
        <f t="shared" si="1"/>
        <v>260000</v>
      </c>
    </row>
    <row r="13" spans="1:6" x14ac:dyDescent="0.35">
      <c r="A13" t="s">
        <v>622</v>
      </c>
      <c r="B13">
        <v>1365</v>
      </c>
      <c r="C13" t="s">
        <v>501</v>
      </c>
      <c r="D13" s="18">
        <v>10000</v>
      </c>
      <c r="E13" s="18">
        <f t="shared" si="0"/>
        <v>60000</v>
      </c>
      <c r="F13" s="18">
        <f t="shared" si="1"/>
        <v>250000</v>
      </c>
    </row>
    <row r="14" spans="1:6" x14ac:dyDescent="0.35">
      <c r="A14" t="s">
        <v>623</v>
      </c>
      <c r="B14">
        <v>149</v>
      </c>
      <c r="C14" t="s">
        <v>501</v>
      </c>
      <c r="D14" s="18">
        <v>10000</v>
      </c>
      <c r="E14" s="18">
        <f t="shared" si="0"/>
        <v>70000</v>
      </c>
      <c r="F14" s="18">
        <f t="shared" si="1"/>
        <v>240000</v>
      </c>
    </row>
    <row r="15" spans="1:6" x14ac:dyDescent="0.35">
      <c r="A15" t="s">
        <v>624</v>
      </c>
      <c r="B15">
        <v>3090</v>
      </c>
      <c r="C15" t="s">
        <v>501</v>
      </c>
      <c r="D15" s="18">
        <v>20000</v>
      </c>
      <c r="E15" s="18">
        <f t="shared" si="0"/>
        <v>90000</v>
      </c>
      <c r="F15" s="18">
        <f t="shared" si="1"/>
        <v>220000</v>
      </c>
    </row>
    <row r="16" spans="1:6" x14ac:dyDescent="0.35">
      <c r="A16" t="s">
        <v>625</v>
      </c>
      <c r="B16">
        <v>3885</v>
      </c>
      <c r="C16" t="s">
        <v>501</v>
      </c>
      <c r="D16" s="18">
        <v>10000</v>
      </c>
      <c r="E16" s="18">
        <f t="shared" si="0"/>
        <v>100000</v>
      </c>
      <c r="F16" s="18">
        <f t="shared" si="1"/>
        <v>210000</v>
      </c>
    </row>
    <row r="17" spans="1:6" x14ac:dyDescent="0.35">
      <c r="A17" t="s">
        <v>626</v>
      </c>
      <c r="B17">
        <v>4446</v>
      </c>
      <c r="C17" t="s">
        <v>501</v>
      </c>
      <c r="D17" s="18">
        <v>20000</v>
      </c>
      <c r="E17" s="18">
        <f t="shared" si="0"/>
        <v>120000</v>
      </c>
      <c r="F17" s="18">
        <f t="shared" si="1"/>
        <v>190000</v>
      </c>
    </row>
    <row r="18" spans="1:6" x14ac:dyDescent="0.35">
      <c r="A18" t="s">
        <v>627</v>
      </c>
      <c r="B18">
        <v>5022</v>
      </c>
      <c r="C18" t="s">
        <v>501</v>
      </c>
      <c r="D18" s="18">
        <v>10000</v>
      </c>
      <c r="E18" s="18">
        <f t="shared" si="0"/>
        <v>130000</v>
      </c>
      <c r="F18" s="18">
        <f t="shared" si="1"/>
        <v>180000</v>
      </c>
    </row>
    <row r="19" spans="1:6" x14ac:dyDescent="0.35">
      <c r="A19" t="s">
        <v>536</v>
      </c>
      <c r="B19">
        <v>5667</v>
      </c>
      <c r="C19" t="s">
        <v>501</v>
      </c>
      <c r="D19" s="18">
        <v>10000</v>
      </c>
      <c r="E19" s="18">
        <f t="shared" si="0"/>
        <v>140000</v>
      </c>
      <c r="F19" s="18">
        <f t="shared" si="1"/>
        <v>170000</v>
      </c>
    </row>
    <row r="20" spans="1:6" x14ac:dyDescent="0.35">
      <c r="A20" t="s">
        <v>629</v>
      </c>
      <c r="B20">
        <v>6214</v>
      </c>
      <c r="C20" t="s">
        <v>501</v>
      </c>
      <c r="D20" s="18">
        <v>10000</v>
      </c>
      <c r="E20" s="18">
        <f t="shared" si="0"/>
        <v>150000</v>
      </c>
      <c r="F20" s="18">
        <f t="shared" si="1"/>
        <v>160000</v>
      </c>
    </row>
    <row r="21" spans="1:6" x14ac:dyDescent="0.35">
      <c r="A21" t="s">
        <v>630</v>
      </c>
      <c r="B21">
        <v>7196</v>
      </c>
      <c r="C21" t="s">
        <v>501</v>
      </c>
      <c r="D21" s="18">
        <v>10000</v>
      </c>
      <c r="E21" s="18">
        <f t="shared" si="0"/>
        <v>160000</v>
      </c>
      <c r="F21" s="18">
        <f t="shared" si="1"/>
        <v>150000</v>
      </c>
    </row>
    <row r="22" spans="1:6" x14ac:dyDescent="0.35">
      <c r="A22" t="s">
        <v>631</v>
      </c>
      <c r="B22">
        <v>7436</v>
      </c>
      <c r="C22" t="s">
        <v>501</v>
      </c>
      <c r="D22" s="18">
        <v>10000</v>
      </c>
      <c r="E22" s="18">
        <f t="shared" si="0"/>
        <v>170000</v>
      </c>
      <c r="F22" s="18">
        <f t="shared" si="1"/>
        <v>140000</v>
      </c>
    </row>
    <row r="23" spans="1:6" x14ac:dyDescent="0.35">
      <c r="A23" t="s">
        <v>632</v>
      </c>
      <c r="B23">
        <v>774</v>
      </c>
      <c r="C23" t="s">
        <v>501</v>
      </c>
      <c r="D23" s="18">
        <v>10000</v>
      </c>
      <c r="E23" s="18">
        <f t="shared" si="0"/>
        <v>180000</v>
      </c>
      <c r="F23" s="18">
        <f t="shared" si="1"/>
        <v>130000</v>
      </c>
    </row>
    <row r="24" spans="1:6" x14ac:dyDescent="0.35">
      <c r="A24" t="s">
        <v>633</v>
      </c>
      <c r="B24">
        <v>8531</v>
      </c>
      <c r="C24" t="s">
        <v>501</v>
      </c>
      <c r="D24" s="18">
        <v>10000</v>
      </c>
      <c r="E24" s="18">
        <f t="shared" si="0"/>
        <v>190000</v>
      </c>
      <c r="F24" s="18">
        <f t="shared" si="1"/>
        <v>120000</v>
      </c>
    </row>
    <row r="25" spans="1:6" x14ac:dyDescent="0.35">
      <c r="A25" t="s">
        <v>634</v>
      </c>
      <c r="B25">
        <v>9069</v>
      </c>
      <c r="C25" t="s">
        <v>501</v>
      </c>
      <c r="D25" s="18">
        <v>10000</v>
      </c>
      <c r="E25" s="18">
        <f t="shared" si="0"/>
        <v>200000</v>
      </c>
      <c r="F25" s="18">
        <f t="shared" si="1"/>
        <v>110000</v>
      </c>
    </row>
    <row r="26" spans="1:6" x14ac:dyDescent="0.35">
      <c r="A26" t="s">
        <v>635</v>
      </c>
      <c r="B26">
        <v>9672</v>
      </c>
      <c r="C26" t="s">
        <v>501</v>
      </c>
      <c r="D26" s="18">
        <v>10000</v>
      </c>
      <c r="E26" s="18">
        <f t="shared" si="0"/>
        <v>210000</v>
      </c>
      <c r="F26" s="18">
        <f t="shared" si="1"/>
        <v>100000</v>
      </c>
    </row>
    <row r="27" spans="1:6" x14ac:dyDescent="0.35">
      <c r="A27" t="s">
        <v>636</v>
      </c>
      <c r="B27">
        <v>12135</v>
      </c>
      <c r="C27" t="s">
        <v>501</v>
      </c>
      <c r="D27" s="18">
        <v>10000</v>
      </c>
      <c r="E27" s="18">
        <f t="shared" si="0"/>
        <v>220000</v>
      </c>
      <c r="F27" s="18">
        <f t="shared" si="1"/>
        <v>90000</v>
      </c>
    </row>
    <row r="28" spans="1:6" x14ac:dyDescent="0.35">
      <c r="A28" t="s">
        <v>637</v>
      </c>
      <c r="B28">
        <v>10756</v>
      </c>
      <c r="C28" t="s">
        <v>501</v>
      </c>
      <c r="D28" s="18">
        <v>10000</v>
      </c>
      <c r="E28" s="18">
        <f t="shared" si="0"/>
        <v>230000</v>
      </c>
      <c r="F28" s="18">
        <f t="shared" si="1"/>
        <v>80000</v>
      </c>
    </row>
    <row r="29" spans="1:6" x14ac:dyDescent="0.35">
      <c r="A29" t="s">
        <v>638</v>
      </c>
      <c r="B29">
        <v>11672</v>
      </c>
      <c r="C29" t="s">
        <v>501</v>
      </c>
      <c r="D29" s="18">
        <v>10000</v>
      </c>
      <c r="E29" s="18">
        <f t="shared" si="0"/>
        <v>240000</v>
      </c>
      <c r="F29" s="18">
        <f t="shared" si="1"/>
        <v>70000</v>
      </c>
    </row>
    <row r="30" spans="1:6" x14ac:dyDescent="0.35">
      <c r="A30" t="s">
        <v>639</v>
      </c>
      <c r="B30">
        <v>12137</v>
      </c>
      <c r="C30" t="s">
        <v>501</v>
      </c>
      <c r="D30" s="18">
        <v>10000</v>
      </c>
      <c r="E30" s="18">
        <f t="shared" si="0"/>
        <v>250000</v>
      </c>
      <c r="F30" s="18">
        <f t="shared" si="1"/>
        <v>60000</v>
      </c>
    </row>
    <row r="31" spans="1:6" x14ac:dyDescent="0.35">
      <c r="A31" t="s">
        <v>654</v>
      </c>
      <c r="B31">
        <v>12396</v>
      </c>
      <c r="C31" t="s">
        <v>501</v>
      </c>
      <c r="D31" s="18">
        <v>10000</v>
      </c>
      <c r="E31" s="18">
        <f t="shared" si="0"/>
        <v>260000</v>
      </c>
      <c r="F31" s="18">
        <f t="shared" si="1"/>
        <v>50000</v>
      </c>
    </row>
    <row r="32" spans="1:6" x14ac:dyDescent="0.35">
      <c r="A32" t="s">
        <v>641</v>
      </c>
      <c r="B32">
        <v>12096</v>
      </c>
      <c r="C32" t="s">
        <v>501</v>
      </c>
      <c r="D32" s="18">
        <v>10000</v>
      </c>
      <c r="E32" s="18">
        <f t="shared" si="0"/>
        <v>270000</v>
      </c>
      <c r="F32" s="18">
        <f t="shared" si="1"/>
        <v>40000</v>
      </c>
    </row>
    <row r="33" spans="1:6" x14ac:dyDescent="0.35">
      <c r="A33" t="s">
        <v>643</v>
      </c>
      <c r="B33">
        <v>9472</v>
      </c>
      <c r="C33" t="s">
        <v>501</v>
      </c>
      <c r="D33" s="18">
        <v>10000</v>
      </c>
      <c r="E33" s="18">
        <f t="shared" si="0"/>
        <v>280000</v>
      </c>
      <c r="F33" s="18">
        <f t="shared" si="1"/>
        <v>30000</v>
      </c>
    </row>
    <row r="34" spans="1:6" x14ac:dyDescent="0.35">
      <c r="A34" t="s">
        <v>644</v>
      </c>
      <c r="B34">
        <v>9675</v>
      </c>
      <c r="C34" t="s">
        <v>501</v>
      </c>
      <c r="D34" s="18">
        <v>10000</v>
      </c>
      <c r="E34" s="18">
        <f t="shared" si="0"/>
        <v>290000</v>
      </c>
      <c r="F34" s="18">
        <f t="shared" si="1"/>
        <v>20000</v>
      </c>
    </row>
    <row r="35" spans="1:6" x14ac:dyDescent="0.35">
      <c r="A35" t="s">
        <v>645</v>
      </c>
      <c r="C35" t="s">
        <v>501</v>
      </c>
      <c r="D35" s="18">
        <v>10000</v>
      </c>
      <c r="E35" s="18">
        <f t="shared" si="0"/>
        <v>300000</v>
      </c>
      <c r="F35" s="18">
        <f t="shared" si="1"/>
        <v>10000</v>
      </c>
    </row>
    <row r="36" spans="1:6" x14ac:dyDescent="0.35">
      <c r="A36" t="s">
        <v>640</v>
      </c>
      <c r="C36" t="s">
        <v>501</v>
      </c>
      <c r="D36" s="18">
        <v>10000</v>
      </c>
      <c r="E36" s="18">
        <f t="shared" si="0"/>
        <v>310000</v>
      </c>
      <c r="F36" s="18">
        <f t="shared" si="1"/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40C6-2912-47DA-8B95-58C847EBCC93}">
  <dimension ref="A1:F25"/>
  <sheetViews>
    <sheetView workbookViewId="0">
      <selection activeCell="C23" sqref="C23"/>
    </sheetView>
  </sheetViews>
  <sheetFormatPr defaultRowHeight="14.5" x14ac:dyDescent="0.35"/>
  <sheetData>
    <row r="1" spans="1:6" x14ac:dyDescent="0.35">
      <c r="A1" s="62" t="s">
        <v>476</v>
      </c>
      <c r="B1" s="62" t="s">
        <v>732</v>
      </c>
      <c r="C1" s="62"/>
    </row>
    <row r="2" spans="1:6" x14ac:dyDescent="0.35">
      <c r="A2" s="62" t="s">
        <v>477</v>
      </c>
      <c r="B2" s="62" t="s">
        <v>733</v>
      </c>
      <c r="C2" s="62"/>
    </row>
    <row r="3" spans="1:6" x14ac:dyDescent="0.35">
      <c r="A3" s="62" t="s">
        <v>519</v>
      </c>
      <c r="B3" s="62" t="s">
        <v>734</v>
      </c>
      <c r="C3" s="62"/>
    </row>
    <row r="4" spans="1:6" x14ac:dyDescent="0.35">
      <c r="A4" s="62" t="s">
        <v>520</v>
      </c>
      <c r="B4" s="62" t="s">
        <v>736</v>
      </c>
      <c r="C4" s="62"/>
    </row>
    <row r="5" spans="1:6" x14ac:dyDescent="0.35">
      <c r="A5" s="62" t="s">
        <v>651</v>
      </c>
      <c r="B5" s="62" t="s">
        <v>737</v>
      </c>
      <c r="C5" s="62"/>
    </row>
    <row r="6" spans="1:6" x14ac:dyDescent="0.35">
      <c r="A6" s="62" t="s">
        <v>481</v>
      </c>
      <c r="B6" s="62" t="s">
        <v>735</v>
      </c>
      <c r="C6" s="62"/>
    </row>
    <row r="8" spans="1:6" x14ac:dyDescent="0.35">
      <c r="A8" s="4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</row>
    <row r="9" spans="1:6" x14ac:dyDescent="0.35">
      <c r="A9" s="13" t="s">
        <v>722</v>
      </c>
      <c r="B9" s="13">
        <v>1573</v>
      </c>
      <c r="C9" s="13" t="s">
        <v>731</v>
      </c>
      <c r="D9" s="15">
        <v>110000</v>
      </c>
      <c r="E9" s="15">
        <v>110000</v>
      </c>
      <c r="F9" s="15">
        <v>515000</v>
      </c>
    </row>
    <row r="10" spans="1:6" x14ac:dyDescent="0.35">
      <c r="A10" s="16">
        <v>45019</v>
      </c>
      <c r="B10" s="13">
        <v>2869</v>
      </c>
      <c r="C10" s="13" t="s">
        <v>14</v>
      </c>
      <c r="D10" s="15">
        <v>20000</v>
      </c>
      <c r="E10" s="18">
        <f t="shared" ref="E10:E25" si="0">E9+D10</f>
        <v>130000</v>
      </c>
      <c r="F10" s="15">
        <f t="shared" ref="F10:F25" si="1">F9-D10</f>
        <v>495000</v>
      </c>
    </row>
    <row r="11" spans="1:6" x14ac:dyDescent="0.35">
      <c r="A11" s="13" t="s">
        <v>729</v>
      </c>
      <c r="B11" s="13">
        <v>1338</v>
      </c>
      <c r="C11" s="13" t="s">
        <v>14</v>
      </c>
      <c r="D11" s="15">
        <v>20000</v>
      </c>
      <c r="E11" s="15">
        <f t="shared" si="0"/>
        <v>150000</v>
      </c>
      <c r="F11" s="15">
        <f t="shared" si="1"/>
        <v>475000</v>
      </c>
    </row>
    <row r="12" spans="1:6" x14ac:dyDescent="0.35">
      <c r="A12" s="13" t="s">
        <v>723</v>
      </c>
      <c r="B12" s="13">
        <v>2845</v>
      </c>
      <c r="C12" s="13" t="s">
        <v>14</v>
      </c>
      <c r="D12" s="15">
        <v>30000</v>
      </c>
      <c r="E12" s="15">
        <f t="shared" si="0"/>
        <v>180000</v>
      </c>
      <c r="F12" s="15">
        <f t="shared" si="1"/>
        <v>445000</v>
      </c>
    </row>
    <row r="13" spans="1:6" x14ac:dyDescent="0.35">
      <c r="A13" s="13" t="s">
        <v>724</v>
      </c>
      <c r="B13" s="13">
        <v>3899</v>
      </c>
      <c r="C13" s="13" t="s">
        <v>14</v>
      </c>
      <c r="D13" s="15">
        <v>30000</v>
      </c>
      <c r="E13" s="15">
        <f t="shared" si="0"/>
        <v>210000</v>
      </c>
      <c r="F13" s="15">
        <f t="shared" si="1"/>
        <v>415000</v>
      </c>
    </row>
    <row r="14" spans="1:6" x14ac:dyDescent="0.35">
      <c r="A14" s="16" t="s">
        <v>725</v>
      </c>
      <c r="B14" s="13">
        <v>5552</v>
      </c>
      <c r="C14" s="13" t="s">
        <v>14</v>
      </c>
      <c r="D14" s="15">
        <v>30000</v>
      </c>
      <c r="E14" s="15">
        <f t="shared" si="0"/>
        <v>240000</v>
      </c>
      <c r="F14" s="15">
        <f t="shared" si="1"/>
        <v>385000</v>
      </c>
    </row>
    <row r="15" spans="1:6" x14ac:dyDescent="0.35">
      <c r="A15" s="16">
        <v>45537</v>
      </c>
      <c r="B15" s="13">
        <v>6578</v>
      </c>
      <c r="C15" s="13" t="s">
        <v>14</v>
      </c>
      <c r="D15" s="15">
        <v>30000</v>
      </c>
      <c r="E15" s="15">
        <f t="shared" si="0"/>
        <v>270000</v>
      </c>
      <c r="F15" s="15">
        <f t="shared" si="1"/>
        <v>355000</v>
      </c>
    </row>
    <row r="16" spans="1:6" x14ac:dyDescent="0.35">
      <c r="A16" s="16">
        <v>45295</v>
      </c>
      <c r="B16" s="13">
        <v>7635</v>
      </c>
      <c r="C16" s="13" t="s">
        <v>14</v>
      </c>
      <c r="D16" s="15">
        <v>30000</v>
      </c>
      <c r="E16" s="15">
        <f t="shared" si="0"/>
        <v>300000</v>
      </c>
      <c r="F16" s="15">
        <f t="shared" si="1"/>
        <v>325000</v>
      </c>
    </row>
    <row r="17" spans="1:6" x14ac:dyDescent="0.35">
      <c r="A17" s="16">
        <v>45297</v>
      </c>
      <c r="B17" s="13">
        <v>8798</v>
      </c>
      <c r="C17" s="13" t="s">
        <v>14</v>
      </c>
      <c r="D17" s="15">
        <v>30000</v>
      </c>
      <c r="E17" s="15">
        <f t="shared" si="0"/>
        <v>330000</v>
      </c>
      <c r="F17" s="15">
        <f t="shared" si="1"/>
        <v>295000</v>
      </c>
    </row>
    <row r="18" spans="1:6" ht="18.5" customHeight="1" x14ac:dyDescent="0.35">
      <c r="A18" s="13" t="s">
        <v>730</v>
      </c>
      <c r="B18" s="13">
        <v>11164</v>
      </c>
      <c r="C18" s="13" t="s">
        <v>14</v>
      </c>
      <c r="D18" s="15">
        <v>30000</v>
      </c>
      <c r="E18" s="15">
        <f t="shared" si="0"/>
        <v>360000</v>
      </c>
      <c r="F18" s="15">
        <f t="shared" si="1"/>
        <v>265000</v>
      </c>
    </row>
    <row r="19" spans="1:6" x14ac:dyDescent="0.35">
      <c r="A19" s="16" t="s">
        <v>726</v>
      </c>
      <c r="B19" s="13">
        <v>10374</v>
      </c>
      <c r="C19" s="13" t="s">
        <v>14</v>
      </c>
      <c r="D19" s="15">
        <v>30000</v>
      </c>
      <c r="E19" s="15">
        <f t="shared" si="0"/>
        <v>390000</v>
      </c>
      <c r="F19" s="15">
        <f t="shared" si="1"/>
        <v>235000</v>
      </c>
    </row>
    <row r="20" spans="1:6" x14ac:dyDescent="0.35">
      <c r="A20" s="16">
        <v>45689</v>
      </c>
      <c r="B20" s="13">
        <v>12853</v>
      </c>
      <c r="C20" s="13" t="s">
        <v>14</v>
      </c>
      <c r="D20" s="15">
        <v>30000</v>
      </c>
      <c r="E20" s="15">
        <f t="shared" si="0"/>
        <v>420000</v>
      </c>
      <c r="F20" s="15">
        <f t="shared" si="1"/>
        <v>205000</v>
      </c>
    </row>
    <row r="21" spans="1:6" x14ac:dyDescent="0.35">
      <c r="A21" s="16">
        <v>45660</v>
      </c>
      <c r="B21" s="13">
        <v>9571</v>
      </c>
      <c r="C21" s="13" t="s">
        <v>14</v>
      </c>
      <c r="D21" s="15">
        <v>30000</v>
      </c>
      <c r="E21" s="15">
        <f t="shared" si="0"/>
        <v>450000</v>
      </c>
      <c r="F21" s="15">
        <f t="shared" si="1"/>
        <v>175000</v>
      </c>
    </row>
    <row r="22" spans="1:6" x14ac:dyDescent="0.35">
      <c r="A22" s="16" t="s">
        <v>727</v>
      </c>
      <c r="B22" s="13">
        <v>10887</v>
      </c>
      <c r="C22" s="13" t="s">
        <v>14</v>
      </c>
      <c r="D22" s="15">
        <v>30000</v>
      </c>
      <c r="E22" s="15">
        <f t="shared" si="0"/>
        <v>480000</v>
      </c>
      <c r="F22" s="15">
        <f t="shared" si="1"/>
        <v>145000</v>
      </c>
    </row>
    <row r="23" spans="1:6" x14ac:dyDescent="0.35">
      <c r="A23" s="16">
        <v>45697</v>
      </c>
      <c r="B23" s="13">
        <v>12599</v>
      </c>
      <c r="C23" s="13" t="s">
        <v>14</v>
      </c>
      <c r="D23" s="15">
        <v>30000</v>
      </c>
      <c r="E23" s="15">
        <f t="shared" si="0"/>
        <v>510000</v>
      </c>
      <c r="F23" s="15">
        <f t="shared" si="1"/>
        <v>115000</v>
      </c>
    </row>
    <row r="24" spans="1:6" x14ac:dyDescent="0.35">
      <c r="A24" s="16">
        <v>46023</v>
      </c>
      <c r="B24" s="13">
        <v>13861</v>
      </c>
      <c r="C24" s="13" t="s">
        <v>14</v>
      </c>
      <c r="D24" s="15">
        <v>30000</v>
      </c>
      <c r="E24" s="15">
        <f t="shared" si="0"/>
        <v>540000</v>
      </c>
      <c r="F24" s="15">
        <f t="shared" si="1"/>
        <v>85000</v>
      </c>
    </row>
    <row r="25" spans="1:6" x14ac:dyDescent="0.35">
      <c r="A25" s="13" t="s">
        <v>728</v>
      </c>
      <c r="B25" s="13">
        <v>1608</v>
      </c>
      <c r="C25" s="13" t="s">
        <v>14</v>
      </c>
      <c r="D25" s="15">
        <v>30000</v>
      </c>
      <c r="E25" s="15">
        <f t="shared" si="0"/>
        <v>570000</v>
      </c>
      <c r="F25" s="15">
        <f t="shared" si="1"/>
        <v>55000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4B31-7E9E-4C4D-A474-3B1FBB9CF833}">
  <dimension ref="A1:F27"/>
  <sheetViews>
    <sheetView topLeftCell="A17" workbookViewId="0">
      <selection activeCell="P31" sqref="P31"/>
    </sheetView>
  </sheetViews>
  <sheetFormatPr defaultRowHeight="14.5" x14ac:dyDescent="0.35"/>
  <sheetData>
    <row r="1" spans="1:6" x14ac:dyDescent="0.35">
      <c r="A1" s="62" t="s">
        <v>476</v>
      </c>
      <c r="B1" s="62" t="s">
        <v>738</v>
      </c>
      <c r="C1" s="62"/>
    </row>
    <row r="2" spans="1:6" x14ac:dyDescent="0.35">
      <c r="A2" s="62" t="s">
        <v>477</v>
      </c>
      <c r="B2" s="62" t="s">
        <v>733</v>
      </c>
      <c r="C2" s="62"/>
    </row>
    <row r="3" spans="1:6" x14ac:dyDescent="0.35">
      <c r="A3" s="62" t="s">
        <v>519</v>
      </c>
      <c r="B3" s="62" t="s">
        <v>734</v>
      </c>
      <c r="C3" s="62"/>
    </row>
    <row r="4" spans="1:6" x14ac:dyDescent="0.35">
      <c r="A4" s="62" t="s">
        <v>520</v>
      </c>
      <c r="B4" s="62" t="s">
        <v>739</v>
      </c>
      <c r="C4" s="62"/>
    </row>
    <row r="5" spans="1:6" x14ac:dyDescent="0.35">
      <c r="A5" s="62" t="s">
        <v>651</v>
      </c>
      <c r="B5" s="62" t="s">
        <v>740</v>
      </c>
      <c r="C5" s="62"/>
    </row>
    <row r="6" spans="1:6" x14ac:dyDescent="0.35">
      <c r="A6" s="62" t="s">
        <v>481</v>
      </c>
      <c r="B6" s="62" t="s">
        <v>741</v>
      </c>
      <c r="C6" s="62"/>
    </row>
    <row r="8" spans="1:6" x14ac:dyDescent="0.35">
      <c r="A8" s="4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</row>
    <row r="9" spans="1:6" x14ac:dyDescent="0.35">
      <c r="A9" s="13" t="s">
        <v>742</v>
      </c>
      <c r="B9" s="13">
        <v>1579</v>
      </c>
      <c r="C9" s="13" t="s">
        <v>744</v>
      </c>
      <c r="D9" s="15">
        <v>110000</v>
      </c>
      <c r="E9" s="15">
        <v>110000</v>
      </c>
      <c r="F9" s="15">
        <v>515000</v>
      </c>
    </row>
    <row r="10" spans="1:6" x14ac:dyDescent="0.35">
      <c r="A10" s="16">
        <v>45019</v>
      </c>
      <c r="B10" s="13">
        <v>2868</v>
      </c>
      <c r="C10" s="13" t="s">
        <v>14</v>
      </c>
      <c r="D10" s="15">
        <v>20000</v>
      </c>
      <c r="E10" s="15">
        <f>E9+D10</f>
        <v>130000</v>
      </c>
      <c r="F10" s="15">
        <f t="shared" ref="F10:F16" si="0">F9-D10</f>
        <v>495000</v>
      </c>
    </row>
    <row r="11" spans="1:6" x14ac:dyDescent="0.35">
      <c r="A11" s="13" t="s">
        <v>729</v>
      </c>
      <c r="B11" s="13">
        <v>1337</v>
      </c>
      <c r="C11" s="13" t="s">
        <v>14</v>
      </c>
      <c r="D11" s="15">
        <v>20000</v>
      </c>
      <c r="E11" s="15">
        <f>E10+D11</f>
        <v>150000</v>
      </c>
      <c r="F11" s="15">
        <f t="shared" si="0"/>
        <v>475000</v>
      </c>
    </row>
    <row r="12" spans="1:6" x14ac:dyDescent="0.35">
      <c r="A12" s="13" t="s">
        <v>723</v>
      </c>
      <c r="B12" s="13">
        <v>2846</v>
      </c>
      <c r="C12" s="13" t="s">
        <v>14</v>
      </c>
      <c r="D12" s="15">
        <v>30000</v>
      </c>
      <c r="E12" s="15">
        <f>E11+D13</f>
        <v>180000</v>
      </c>
      <c r="F12" s="15">
        <f t="shared" si="0"/>
        <v>445000</v>
      </c>
    </row>
    <row r="13" spans="1:6" x14ac:dyDescent="0.35">
      <c r="A13" s="13" t="s">
        <v>743</v>
      </c>
      <c r="B13" s="13">
        <v>3897</v>
      </c>
      <c r="C13" s="13" t="s">
        <v>14</v>
      </c>
      <c r="D13" s="15">
        <v>30000</v>
      </c>
      <c r="E13" s="15">
        <f t="shared" ref="E13:E25" si="1">E12+D13</f>
        <v>210000</v>
      </c>
      <c r="F13" s="15">
        <f t="shared" si="0"/>
        <v>415000</v>
      </c>
    </row>
    <row r="14" spans="1:6" x14ac:dyDescent="0.35">
      <c r="A14" s="13" t="s">
        <v>725</v>
      </c>
      <c r="B14" s="13">
        <v>5551</v>
      </c>
      <c r="C14" s="13" t="s">
        <v>14</v>
      </c>
      <c r="D14" s="15">
        <v>30000</v>
      </c>
      <c r="E14" s="15">
        <f t="shared" si="1"/>
        <v>240000</v>
      </c>
      <c r="F14" s="15">
        <f t="shared" si="0"/>
        <v>385000</v>
      </c>
    </row>
    <row r="15" spans="1:6" x14ac:dyDescent="0.35">
      <c r="A15" s="16">
        <v>45537</v>
      </c>
      <c r="B15" s="13">
        <v>6577</v>
      </c>
      <c r="C15" s="13" t="s">
        <v>14</v>
      </c>
      <c r="D15" s="15">
        <v>30000</v>
      </c>
      <c r="E15" s="15">
        <f t="shared" si="1"/>
        <v>270000</v>
      </c>
      <c r="F15" s="15">
        <f t="shared" si="0"/>
        <v>355000</v>
      </c>
    </row>
    <row r="16" spans="1:6" x14ac:dyDescent="0.35">
      <c r="A16" s="16">
        <v>45295</v>
      </c>
      <c r="B16" s="13">
        <v>7634</v>
      </c>
      <c r="C16" s="13" t="s">
        <v>14</v>
      </c>
      <c r="D16" s="15">
        <v>30000</v>
      </c>
      <c r="E16" s="15">
        <f t="shared" si="1"/>
        <v>300000</v>
      </c>
      <c r="F16" s="15">
        <f t="shared" si="0"/>
        <v>325000</v>
      </c>
    </row>
    <row r="17" spans="1:6" x14ac:dyDescent="0.35">
      <c r="A17" s="16">
        <v>45297</v>
      </c>
      <c r="B17" s="13">
        <v>8797</v>
      </c>
      <c r="C17" s="13" t="s">
        <v>14</v>
      </c>
      <c r="D17" s="15">
        <v>30000</v>
      </c>
      <c r="E17" s="15">
        <f t="shared" si="1"/>
        <v>330000</v>
      </c>
      <c r="F17" s="15">
        <f>F16-D18</f>
        <v>295000</v>
      </c>
    </row>
    <row r="18" spans="1:6" x14ac:dyDescent="0.35">
      <c r="A18" s="13" t="s">
        <v>730</v>
      </c>
      <c r="B18" s="13">
        <v>11163</v>
      </c>
      <c r="C18" s="13" t="s">
        <v>14</v>
      </c>
      <c r="D18" s="15">
        <v>30000</v>
      </c>
      <c r="E18" s="15">
        <f t="shared" si="1"/>
        <v>360000</v>
      </c>
      <c r="F18" s="15">
        <f t="shared" ref="F18:F25" si="2">F17-D18</f>
        <v>265000</v>
      </c>
    </row>
    <row r="19" spans="1:6" x14ac:dyDescent="0.35">
      <c r="A19" s="13" t="s">
        <v>726</v>
      </c>
      <c r="B19" s="13">
        <v>10375</v>
      </c>
      <c r="C19" s="13" t="s">
        <v>14</v>
      </c>
      <c r="D19" s="15">
        <v>30000</v>
      </c>
      <c r="E19" s="15">
        <f t="shared" si="1"/>
        <v>390000</v>
      </c>
      <c r="F19" s="15">
        <f t="shared" si="2"/>
        <v>235000</v>
      </c>
    </row>
    <row r="20" spans="1:6" x14ac:dyDescent="0.35">
      <c r="A20" s="16">
        <v>45689</v>
      </c>
      <c r="B20" s="13">
        <v>12854</v>
      </c>
      <c r="C20" s="13" t="s">
        <v>14</v>
      </c>
      <c r="D20" s="15">
        <v>30000</v>
      </c>
      <c r="E20" s="15">
        <f t="shared" si="1"/>
        <v>420000</v>
      </c>
      <c r="F20" s="15">
        <f t="shared" si="2"/>
        <v>205000</v>
      </c>
    </row>
    <row r="21" spans="1:6" x14ac:dyDescent="0.35">
      <c r="A21" s="16">
        <v>45660</v>
      </c>
      <c r="B21" s="13">
        <v>9572</v>
      </c>
      <c r="C21" s="13" t="s">
        <v>14</v>
      </c>
      <c r="D21" s="15">
        <v>30000</v>
      </c>
      <c r="E21" s="15">
        <f t="shared" si="1"/>
        <v>450000</v>
      </c>
      <c r="F21" s="15">
        <f t="shared" si="2"/>
        <v>175000</v>
      </c>
    </row>
    <row r="22" spans="1:6" x14ac:dyDescent="0.35">
      <c r="A22" s="16" t="s">
        <v>745</v>
      </c>
      <c r="B22" s="13">
        <v>10888</v>
      </c>
      <c r="C22" s="13" t="s">
        <v>14</v>
      </c>
      <c r="D22" s="15">
        <v>30000</v>
      </c>
      <c r="E22" s="15">
        <f t="shared" si="1"/>
        <v>480000</v>
      </c>
      <c r="F22" s="15">
        <f t="shared" si="2"/>
        <v>145000</v>
      </c>
    </row>
    <row r="23" spans="1:6" x14ac:dyDescent="0.35">
      <c r="A23" s="16">
        <v>46062</v>
      </c>
      <c r="B23" s="13">
        <v>12600</v>
      </c>
      <c r="C23" s="13" t="s">
        <v>14</v>
      </c>
      <c r="D23" s="15">
        <v>30000</v>
      </c>
      <c r="E23" s="15">
        <f t="shared" si="1"/>
        <v>510000</v>
      </c>
      <c r="F23" s="15">
        <f t="shared" si="2"/>
        <v>115000</v>
      </c>
    </row>
    <row r="24" spans="1:6" x14ac:dyDescent="0.35">
      <c r="A24" s="16">
        <v>46023</v>
      </c>
      <c r="B24" s="13">
        <v>13862</v>
      </c>
      <c r="C24" s="13" t="s">
        <v>14</v>
      </c>
      <c r="D24" s="15">
        <v>30000</v>
      </c>
      <c r="E24" s="15">
        <f t="shared" si="1"/>
        <v>540000</v>
      </c>
      <c r="F24" s="15">
        <f t="shared" si="2"/>
        <v>85000</v>
      </c>
    </row>
    <row r="25" spans="1:6" x14ac:dyDescent="0.35">
      <c r="A25" s="16" t="s">
        <v>728</v>
      </c>
      <c r="B25" s="13">
        <v>1607</v>
      </c>
      <c r="C25" s="13" t="s">
        <v>14</v>
      </c>
      <c r="D25" s="15">
        <v>30000</v>
      </c>
      <c r="E25" s="15">
        <f t="shared" si="1"/>
        <v>570000</v>
      </c>
      <c r="F25" s="15">
        <f t="shared" si="2"/>
        <v>55000</v>
      </c>
    </row>
    <row r="26" spans="1:6" x14ac:dyDescent="0.35">
      <c r="A26" s="17"/>
      <c r="D26" s="18"/>
    </row>
    <row r="27" spans="1:6" x14ac:dyDescent="0.35">
      <c r="D27" s="18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A0F1-52AD-41CB-BDA1-147FF1A08C4F}">
  <dimension ref="A1:F16"/>
  <sheetViews>
    <sheetView tabSelected="1" workbookViewId="0">
      <selection activeCell="A8" sqref="A8:F16"/>
    </sheetView>
  </sheetViews>
  <sheetFormatPr defaultRowHeight="14.5" x14ac:dyDescent="0.35"/>
  <cols>
    <col min="1" max="1" width="9.453125" bestFit="1" customWidth="1"/>
    <col min="3" max="3" width="13.36328125" customWidth="1"/>
    <col min="4" max="4" width="14" customWidth="1"/>
    <col min="5" max="5" width="13.26953125" customWidth="1"/>
    <col min="6" max="6" width="13.54296875" customWidth="1"/>
  </cols>
  <sheetData>
    <row r="1" spans="1:6" ht="18.5" x14ac:dyDescent="0.45">
      <c r="A1" s="1" t="s">
        <v>765</v>
      </c>
      <c r="B1" s="1"/>
      <c r="C1" s="2"/>
      <c r="D1" s="1"/>
      <c r="E1" s="1"/>
      <c r="F1" s="1"/>
    </row>
    <row r="2" spans="1:6" ht="18.5" x14ac:dyDescent="0.45">
      <c r="A2" s="1" t="s">
        <v>766</v>
      </c>
      <c r="C2" s="1"/>
      <c r="D2" s="1"/>
      <c r="E2" s="1"/>
      <c r="F2" s="1"/>
    </row>
    <row r="3" spans="1:6" ht="18.5" x14ac:dyDescent="0.45">
      <c r="A3" s="1" t="s">
        <v>467</v>
      </c>
      <c r="B3" s="1"/>
      <c r="C3" s="1"/>
      <c r="D3" s="1"/>
      <c r="E3" s="1"/>
      <c r="F3" s="1"/>
    </row>
    <row r="4" spans="1:6" ht="18.5" x14ac:dyDescent="0.45">
      <c r="A4" s="1" t="s">
        <v>469</v>
      </c>
      <c r="B4" s="1"/>
      <c r="C4" s="1"/>
      <c r="D4" s="1"/>
      <c r="E4" s="1"/>
      <c r="F4" s="1"/>
    </row>
    <row r="5" spans="1:6" ht="18.5" x14ac:dyDescent="0.45">
      <c r="A5" s="1" t="s">
        <v>764</v>
      </c>
      <c r="B5" s="1"/>
      <c r="C5" s="1"/>
      <c r="D5" s="1"/>
      <c r="E5" s="1"/>
      <c r="F5" s="1"/>
    </row>
    <row r="6" spans="1:6" ht="18.5" x14ac:dyDescent="0.45">
      <c r="A6" s="1" t="s">
        <v>244</v>
      </c>
      <c r="B6" s="1"/>
      <c r="C6" s="1"/>
      <c r="D6" s="1"/>
      <c r="E6" s="1"/>
      <c r="F6" s="1" t="s">
        <v>22</v>
      </c>
    </row>
    <row r="7" spans="1:6" ht="18.5" x14ac:dyDescent="0.35">
      <c r="A7" s="71" t="s">
        <v>5</v>
      </c>
      <c r="B7" s="71" t="s">
        <v>6</v>
      </c>
      <c r="C7" s="71" t="s">
        <v>7</v>
      </c>
      <c r="D7" s="71" t="s">
        <v>8</v>
      </c>
      <c r="E7" s="71" t="s">
        <v>9</v>
      </c>
      <c r="F7" s="71" t="s">
        <v>10</v>
      </c>
    </row>
    <row r="8" spans="1:6" x14ac:dyDescent="0.35">
      <c r="A8" s="72" t="s">
        <v>767</v>
      </c>
      <c r="B8" s="13">
        <v>13246</v>
      </c>
      <c r="C8" s="13" t="s">
        <v>607</v>
      </c>
      <c r="D8" s="15">
        <v>150000</v>
      </c>
      <c r="E8" s="15">
        <v>150000</v>
      </c>
      <c r="F8" s="15">
        <v>550000</v>
      </c>
    </row>
    <row r="9" spans="1:6" x14ac:dyDescent="0.35">
      <c r="A9" s="16">
        <v>46327</v>
      </c>
      <c r="B9" s="13">
        <v>12079</v>
      </c>
      <c r="C9" s="13" t="s">
        <v>769</v>
      </c>
      <c r="D9" s="15">
        <v>10000</v>
      </c>
      <c r="E9" s="15">
        <f>E8+D9</f>
        <v>160000</v>
      </c>
      <c r="F9" s="15">
        <f>F8-D9</f>
        <v>540000</v>
      </c>
    </row>
    <row r="10" spans="1:6" x14ac:dyDescent="0.35">
      <c r="A10" s="16">
        <v>46267</v>
      </c>
      <c r="B10" s="13">
        <v>12409</v>
      </c>
      <c r="C10" s="13" t="s">
        <v>769</v>
      </c>
      <c r="D10" s="15">
        <v>10000</v>
      </c>
      <c r="E10" s="15">
        <f>E9+D10</f>
        <v>170000</v>
      </c>
      <c r="F10" s="15">
        <f>F9-D10</f>
        <v>530000</v>
      </c>
    </row>
    <row r="11" spans="1:6" x14ac:dyDescent="0.35">
      <c r="A11" s="16">
        <v>46268</v>
      </c>
      <c r="B11" s="13">
        <v>12794</v>
      </c>
      <c r="C11" s="13" t="s">
        <v>769</v>
      </c>
      <c r="D11" s="15">
        <v>10000</v>
      </c>
      <c r="E11" s="15">
        <f>E10+D11</f>
        <v>180000</v>
      </c>
      <c r="F11" s="15">
        <f>F10-D11</f>
        <v>520000</v>
      </c>
    </row>
    <row r="12" spans="1:6" x14ac:dyDescent="0.35">
      <c r="A12" s="16">
        <v>46330</v>
      </c>
      <c r="B12" s="13">
        <v>13220</v>
      </c>
      <c r="C12" s="13" t="s">
        <v>769</v>
      </c>
      <c r="D12" s="15">
        <v>10000</v>
      </c>
      <c r="E12" s="15">
        <f>E11+D12</f>
        <v>190000</v>
      </c>
      <c r="F12" s="15">
        <f>F11-D12</f>
        <v>510000</v>
      </c>
    </row>
    <row r="13" spans="1:6" x14ac:dyDescent="0.35">
      <c r="A13" s="16">
        <v>46300</v>
      </c>
      <c r="B13" s="13">
        <v>12988</v>
      </c>
      <c r="C13" s="13" t="s">
        <v>769</v>
      </c>
      <c r="D13" s="15">
        <v>10000</v>
      </c>
      <c r="E13" s="15">
        <f>E12+D13</f>
        <v>200000</v>
      </c>
      <c r="F13" s="15">
        <f>F12-D13</f>
        <v>500000</v>
      </c>
    </row>
    <row r="14" spans="1:6" x14ac:dyDescent="0.35">
      <c r="A14" s="16">
        <v>46332</v>
      </c>
      <c r="B14" s="13">
        <v>13590</v>
      </c>
      <c r="C14" s="13" t="s">
        <v>769</v>
      </c>
      <c r="D14" s="15">
        <v>10000</v>
      </c>
      <c r="E14" s="15">
        <f>E13+D14</f>
        <v>210000</v>
      </c>
      <c r="F14" s="15">
        <f>F13-D14</f>
        <v>490000</v>
      </c>
    </row>
    <row r="15" spans="1:6" x14ac:dyDescent="0.35">
      <c r="A15" s="13" t="s">
        <v>768</v>
      </c>
      <c r="B15" s="13">
        <v>1487</v>
      </c>
      <c r="C15" s="13" t="s">
        <v>769</v>
      </c>
      <c r="D15" s="15">
        <v>10000</v>
      </c>
      <c r="E15" s="15">
        <f>E14+D15</f>
        <v>220000</v>
      </c>
      <c r="F15" s="15">
        <f>F14-D15</f>
        <v>480000</v>
      </c>
    </row>
    <row r="16" spans="1:6" x14ac:dyDescent="0.35">
      <c r="A16" s="16">
        <v>46334</v>
      </c>
      <c r="B16" s="13">
        <v>1734</v>
      </c>
      <c r="C16" s="13" t="s">
        <v>769</v>
      </c>
      <c r="D16" s="15">
        <v>10000</v>
      </c>
      <c r="E16" s="15">
        <f>E15+D16</f>
        <v>230000</v>
      </c>
      <c r="F16" s="15">
        <f>F15-D16</f>
        <v>470000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MATEEN</vt:lpstr>
      <vt:lpstr>L-6101</vt:lpstr>
      <vt:lpstr>Amir Ali</vt:lpstr>
      <vt:lpstr>L-6102</vt:lpstr>
      <vt:lpstr>L-6103</vt:lpstr>
      <vt:lpstr>L-6106</vt:lpstr>
      <vt:lpstr>L-6109</vt:lpstr>
      <vt:lpstr>L-6110</vt:lpstr>
      <vt:lpstr>L-6111</vt:lpstr>
      <vt:lpstr>L-6112</vt:lpstr>
      <vt:lpstr>L-6113</vt:lpstr>
      <vt:lpstr>L-6115</vt:lpstr>
      <vt:lpstr>L-6117</vt:lpstr>
      <vt:lpstr>L-6152</vt:lpstr>
      <vt:lpstr>L-6157</vt:lpstr>
      <vt:lpstr>L-6158</vt:lpstr>
      <vt:lpstr>L-6159</vt:lpstr>
      <vt:lpstr>L-6160</vt:lpstr>
      <vt:lpstr>L-6162</vt:lpstr>
      <vt:lpstr>L-6163</vt:lpstr>
      <vt:lpstr>L-6164 D</vt:lpstr>
      <vt:lpstr>L-6164-B</vt:lpstr>
      <vt:lpstr>L-6164G</vt:lpstr>
      <vt:lpstr>L-6167</vt:lpstr>
      <vt:lpstr>L-6168</vt:lpstr>
      <vt:lpstr>L-6171</vt:lpstr>
      <vt:lpstr>L-6173</vt:lpstr>
      <vt:lpstr>L-6174</vt:lpstr>
      <vt:lpstr>L-6176</vt:lpstr>
      <vt:lpstr>L-6182</vt:lpstr>
      <vt:lpstr>L-6183</vt:lpstr>
      <vt:lpstr>L-6184</vt:lpstr>
      <vt:lpstr>L-6185</vt:lpstr>
      <vt:lpstr>Faheem</vt:lpstr>
      <vt:lpstr>L-6155</vt:lpstr>
      <vt:lpstr>L-6118</vt:lpstr>
      <vt:lpstr>L-6170</vt:lpstr>
      <vt:lpstr>L-6099</vt:lpstr>
      <vt:lpstr>L-6105</vt:lpstr>
      <vt:lpstr>L-6104</vt:lpstr>
      <vt:lpstr>6177A</vt:lpstr>
      <vt:lpstr>6177B</vt:lpstr>
      <vt:lpstr>L-6100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younas khan</cp:lastModifiedBy>
  <dcterms:created xsi:type="dcterms:W3CDTF">2026-02-22T01:06:19Z</dcterms:created>
  <dcterms:modified xsi:type="dcterms:W3CDTF">2026-08-21T04:58:21Z</dcterms:modified>
</cp:coreProperties>
</file>