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12fc5c5001d8f/Desktop/PLOT 4001-5000/"/>
    </mc:Choice>
  </mc:AlternateContent>
  <xr:revisionPtr revIDLastSave="12" documentId="11_AC8BE77BDAA35B3137AC1F43AFD546E7BDBA1F59" xr6:coauthVersionLast="47" xr6:coauthVersionMax="47" xr10:uidLastSave="{4819FBB8-600A-4936-B9A8-418947E0D911}"/>
  <bookViews>
    <workbookView xWindow="0" yWindow="0" windowWidth="19200" windowHeight="10200" firstSheet="17" activeTab="18" xr2:uid="{00000000-000D-0000-FFFF-FFFF00000000}"/>
  </bookViews>
  <sheets>
    <sheet name="L-4803" sheetId="4" r:id="rId1"/>
    <sheet name="L-4804" sheetId="3" r:id="rId2"/>
    <sheet name="L-4805" sheetId="7" r:id="rId3"/>
    <sheet name="L-4806" sheetId="8" r:id="rId4"/>
    <sheet name="L-4807" sheetId="9" r:id="rId5"/>
    <sheet name="C-4808" sheetId="10" r:id="rId6"/>
    <sheet name="L-4808" sheetId="16" r:id="rId7"/>
    <sheet name="L-4810" sheetId="2" r:id="rId8"/>
    <sheet name="L-4809" sheetId="29" r:id="rId9"/>
    <sheet name="L-4853" sheetId="23" r:id="rId10"/>
    <sheet name="L-4812" sheetId="14" r:id="rId11"/>
    <sheet name="L-4815" sheetId="30" r:id="rId12"/>
    <sheet name="L-4817-A" sheetId="11" r:id="rId13"/>
    <sheet name="L-4817" sheetId="12" r:id="rId14"/>
    <sheet name="R-4818" sheetId="13" r:id="rId15"/>
    <sheet name="L-4820" sheetId="18" r:id="rId16"/>
    <sheet name="R-4836" sheetId="5" r:id="rId17"/>
    <sheet name="L-4840" sheetId="6" r:id="rId18"/>
    <sheet name="L-4848" sheetId="22" r:id="rId19"/>
    <sheet name="C-4849" sheetId="21" r:id="rId20"/>
    <sheet name="R-4841" sheetId="19" r:id="rId21"/>
    <sheet name="R-4854" sheetId="26" r:id="rId22"/>
    <sheet name="L-4843" sheetId="15" r:id="rId23"/>
    <sheet name="L-4844" sheetId="27" r:id="rId24"/>
    <sheet name="l-4847" sheetId="20" r:id="rId25"/>
    <sheet name="L-4872" sheetId="1" r:id="rId26"/>
    <sheet name="C-4888" sheetId="17" r:id="rId27"/>
    <sheet name="L-4887" sheetId="31" r:id="rId28"/>
    <sheet name="L-4819" sheetId="24" r:id="rId29"/>
    <sheet name="R-4837" sheetId="25" r:id="rId30"/>
    <sheet name="R-4840" sheetId="28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22" l="1"/>
  <c r="E33" i="22"/>
  <c r="F32" i="22"/>
  <c r="F31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F52" i="1"/>
  <c r="F51" i="1"/>
  <c r="F50" i="1"/>
  <c r="E51" i="1"/>
  <c r="E50" i="1"/>
  <c r="E14" i="2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E9" i="23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F10" i="28"/>
  <c r="F11" i="28" s="1"/>
  <c r="F12" i="28" s="1"/>
  <c r="F13" i="28" s="1"/>
  <c r="F14" i="28" s="1"/>
  <c r="F15" i="28" s="1"/>
  <c r="E10" i="28"/>
  <c r="E11" i="28" s="1"/>
  <c r="E12" i="28" s="1"/>
  <c r="E13" i="28" s="1"/>
  <c r="E14" i="28" s="1"/>
  <c r="E15" i="28" s="1"/>
  <c r="F10" i="27"/>
  <c r="F11" i="27" s="1"/>
  <c r="F12" i="27" s="1"/>
  <c r="F13" i="27" s="1"/>
  <c r="F14" i="27" s="1"/>
  <c r="F15" i="27" s="1"/>
  <c r="F16" i="27" s="1"/>
  <c r="E10" i="27"/>
  <c r="E11" i="27" s="1"/>
  <c r="E12" i="27" s="1"/>
  <c r="E13" i="27" s="1"/>
  <c r="E14" i="27" s="1"/>
  <c r="E15" i="27" s="1"/>
  <c r="E16" i="27" s="1"/>
  <c r="F10" i="26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E10" i="26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F10" i="25"/>
  <c r="F11" i="25" s="1"/>
  <c r="F12" i="25" s="1"/>
  <c r="F13" i="25" s="1"/>
  <c r="F14" i="25" s="1"/>
  <c r="F15" i="25" s="1"/>
  <c r="F16" i="25" s="1"/>
  <c r="F17" i="25" s="1"/>
  <c r="E10" i="25"/>
  <c r="E11" i="25" s="1"/>
  <c r="E12" i="25" s="1"/>
  <c r="E13" i="25" s="1"/>
  <c r="E14" i="25" s="1"/>
  <c r="E15" i="25" s="1"/>
  <c r="E16" i="25" s="1"/>
  <c r="E17" i="25" s="1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F10" i="14"/>
  <c r="F11" i="14" s="1"/>
  <c r="F12" i="14" s="1"/>
  <c r="F13" i="14" s="1"/>
  <c r="E10" i="14"/>
  <c r="E11" i="14" s="1"/>
  <c r="E12" i="14" s="1"/>
  <c r="E13" i="14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F9" i="17" l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F9" i="10"/>
  <c r="F10" i="10" s="1"/>
  <c r="F11" i="10" s="1"/>
  <c r="F12" i="10" s="1"/>
  <c r="F13" i="10" s="1"/>
  <c r="F14" i="10" s="1"/>
  <c r="E9" i="10"/>
  <c r="E10" i="10" s="1"/>
  <c r="E11" i="10" s="1"/>
  <c r="E12" i="10" s="1"/>
  <c r="E13" i="10" s="1"/>
  <c r="E14" i="10" s="1"/>
  <c r="F9" i="9"/>
  <c r="F10" i="9" s="1"/>
  <c r="F11" i="9" s="1"/>
  <c r="F12" i="9" s="1"/>
  <c r="F13" i="9" s="1"/>
  <c r="F14" i="9" s="1"/>
  <c r="E9" i="9"/>
  <c r="E10" i="9" s="1"/>
  <c r="E11" i="9" s="1"/>
  <c r="E12" i="9" s="1"/>
  <c r="E13" i="9" s="1"/>
  <c r="E14" i="9" s="1"/>
  <c r="F9" i="8"/>
  <c r="F10" i="8" s="1"/>
  <c r="F11" i="8" s="1"/>
  <c r="F12" i="8" s="1"/>
  <c r="F13" i="8" s="1"/>
  <c r="F14" i="8" s="1"/>
  <c r="E9" i="8"/>
  <c r="E10" i="8" s="1"/>
  <c r="E11" i="8" s="1"/>
  <c r="E12" i="8" s="1"/>
  <c r="E13" i="8" s="1"/>
  <c r="E14" i="8" s="1"/>
  <c r="F9" i="7"/>
  <c r="F10" i="7" s="1"/>
  <c r="F11" i="7" s="1"/>
  <c r="F12" i="7" s="1"/>
  <c r="F13" i="7" s="1"/>
  <c r="F14" i="7" s="1"/>
  <c r="E9" i="7"/>
  <c r="E10" i="7" s="1"/>
  <c r="E11" i="7" s="1"/>
  <c r="E12" i="7" s="1"/>
  <c r="E13" i="7" s="1"/>
  <c r="E14" i="7" s="1"/>
  <c r="F9" i="6"/>
  <c r="F10" i="6" s="1"/>
  <c r="F11" i="6" s="1"/>
  <c r="F12" i="6" s="1"/>
  <c r="F13" i="6" s="1"/>
  <c r="E9" i="6"/>
  <c r="E10" i="6" s="1"/>
  <c r="E11" i="6" s="1"/>
  <c r="E12" i="6" s="1"/>
  <c r="E13" i="6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2" i="1" s="1"/>
  <c r="E53" i="1" s="1"/>
</calcChain>
</file>

<file path=xl/sharedStrings.xml><?xml version="1.0" encoding="utf-8"?>
<sst xmlns="http://schemas.openxmlformats.org/spreadsheetml/2006/main" count="1383" uniqueCount="604">
  <si>
    <t>Cost : 600,000</t>
  </si>
  <si>
    <t>Date</t>
  </si>
  <si>
    <t>R.NO</t>
  </si>
  <si>
    <t>Description</t>
  </si>
  <si>
    <t>Amount Rec</t>
  </si>
  <si>
    <t>Total Rec</t>
  </si>
  <si>
    <t>Amount Due</t>
  </si>
  <si>
    <t>Name : Feroz Adam</t>
  </si>
  <si>
    <t>Father Name : Adam</t>
  </si>
  <si>
    <t>CNIC # 42401-1700335-9</t>
  </si>
  <si>
    <t>Contact # 03212790850</t>
  </si>
  <si>
    <t>Plot No : L-4872</t>
  </si>
  <si>
    <t>Adv Adj Reh</t>
  </si>
  <si>
    <t>19/2/2023</t>
  </si>
  <si>
    <t>instalment</t>
  </si>
  <si>
    <t>23/3/2023</t>
  </si>
  <si>
    <t>20/12/2022</t>
  </si>
  <si>
    <t>Name : Muhammad Akmal</t>
  </si>
  <si>
    <t>Father Name; Malik Rahim Bakhsh</t>
  </si>
  <si>
    <t>CNIC # 424001-7567333-1</t>
  </si>
  <si>
    <t>Contact # 03063002759</t>
  </si>
  <si>
    <t>Plot No : L-4810</t>
  </si>
  <si>
    <t>Cost : 400,000</t>
  </si>
  <si>
    <t>21/122023</t>
  </si>
  <si>
    <t>Residential Adjustment</t>
  </si>
  <si>
    <t>Nill</t>
  </si>
  <si>
    <t>Full Paid</t>
  </si>
  <si>
    <t>Name : Usman Hassan</t>
  </si>
  <si>
    <t>Father Name; Ahmad Hassan</t>
  </si>
  <si>
    <t>CNIC # 36502-1508637-7</t>
  </si>
  <si>
    <t>Contact # 03213537366</t>
  </si>
  <si>
    <t>Plot No : L-4804</t>
  </si>
  <si>
    <t>Cost : 850,000</t>
  </si>
  <si>
    <t>Code Num;CKX8803214</t>
  </si>
  <si>
    <t>ALL AMOUNT GIVEN TO AL REHMAN BUILDERS</t>
  </si>
  <si>
    <t>DEVELOPMENT ALL CLEAR</t>
  </si>
  <si>
    <t>FULL PAID</t>
  </si>
  <si>
    <t>Code Num;CBY6016842</t>
  </si>
  <si>
    <t>Plot No : L-4803</t>
  </si>
  <si>
    <t>Cost : 800,000</t>
  </si>
  <si>
    <t>29/3/2026</t>
  </si>
  <si>
    <t>Name : Babar Ghori</t>
  </si>
  <si>
    <t>Father Name; Muhammad Shabbir</t>
  </si>
  <si>
    <t>CNIC # 42401-4788922-9</t>
  </si>
  <si>
    <t xml:space="preserve">Contact # </t>
  </si>
  <si>
    <t>Plot No : L-4836</t>
  </si>
  <si>
    <t>Cost :750,000</t>
  </si>
  <si>
    <t>Code Num;AUZ1134541</t>
  </si>
  <si>
    <t>26/7/2025</t>
  </si>
  <si>
    <t>AL REH Adjustment</t>
  </si>
  <si>
    <t>THE INSTALMENT HAS BEEN FULLY PAID.AND DEVELOPMENT HAS STARTED</t>
  </si>
  <si>
    <t>Name : Muhammad Sajjad</t>
  </si>
  <si>
    <t>Father Name; Shukat Ali</t>
  </si>
  <si>
    <t>CNIC # 42000,7726421-3</t>
  </si>
  <si>
    <t>Plot No : L-4840</t>
  </si>
  <si>
    <t>Cost : 1800,000</t>
  </si>
  <si>
    <t>30/6/2025</t>
  </si>
  <si>
    <t>14/9/2025</t>
  </si>
  <si>
    <t>Adj Cottage</t>
  </si>
  <si>
    <t>Name : Muhammad Tariq</t>
  </si>
  <si>
    <t>Father Name;Ali Gohar</t>
  </si>
  <si>
    <t>CNIC # 42401-0737513-7</t>
  </si>
  <si>
    <t>Code Num;BZS2827804</t>
  </si>
  <si>
    <t>Plot No : L-4805</t>
  </si>
  <si>
    <t>Cost : 1200,000</t>
  </si>
  <si>
    <t>27/9/2025</t>
  </si>
  <si>
    <t>Booking</t>
  </si>
  <si>
    <t>Plot No : L-4806</t>
  </si>
  <si>
    <t>Code Num;BKR1051416</t>
  </si>
  <si>
    <t>Name : Muhammad Islam</t>
  </si>
  <si>
    <t>Father Name;Sher Ali</t>
  </si>
  <si>
    <t>CNIC # 34602-3653744-1</t>
  </si>
  <si>
    <t>Plot No : L-4807</t>
  </si>
  <si>
    <t>Code Num;CCK3140538</t>
  </si>
  <si>
    <t>installment</t>
  </si>
  <si>
    <t>Code Num;CPK7441107</t>
  </si>
  <si>
    <t>Plot No : C-4808</t>
  </si>
  <si>
    <t>Name : Muhammad Amin Mughal</t>
  </si>
  <si>
    <t>Father Name;Shouqat Ali</t>
  </si>
  <si>
    <t>CNIC # 42401-1960247-9</t>
  </si>
  <si>
    <t>Cost : 1250,000</t>
  </si>
  <si>
    <t>Contact # 03222975929</t>
  </si>
  <si>
    <t>Plot No :  R -4817-A</t>
  </si>
  <si>
    <t>Commercial booking</t>
  </si>
  <si>
    <t>17/5/2024</t>
  </si>
  <si>
    <t>Partial payment</t>
  </si>
  <si>
    <t>21/2/2026</t>
  </si>
  <si>
    <t>Full &amp; Final develop</t>
  </si>
  <si>
    <t>INSTALLMENT AND DEVELOPMENT BOTH CLEAR</t>
  </si>
  <si>
    <t>Plot No :  R -4817-</t>
  </si>
  <si>
    <t>Cost : 1050,000</t>
  </si>
  <si>
    <t>Code Num;ANS2331096</t>
  </si>
  <si>
    <t>Plot No :  R -4818</t>
  </si>
  <si>
    <t>Code Num;CDT8101062</t>
  </si>
  <si>
    <t>Name : Naseer Ahmed</t>
  </si>
  <si>
    <t xml:space="preserve">Father Name;Muhammad Maqbool </t>
  </si>
  <si>
    <t>CNIC # 82201-2351058-7</t>
  </si>
  <si>
    <t>Contact # 03452596992</t>
  </si>
  <si>
    <t>Plot No :  l-4812</t>
  </si>
  <si>
    <t>Cost : 20,00000</t>
  </si>
  <si>
    <t>Code Num;CEU3591274</t>
  </si>
  <si>
    <t>16/4/2026</t>
  </si>
  <si>
    <t>sobho booki file adj 5848</t>
  </si>
  <si>
    <t>Name : Ehsan Ali</t>
  </si>
  <si>
    <t>Father Name;Fazal Gull</t>
  </si>
  <si>
    <t>CNIC # 42401-4814397-1</t>
  </si>
  <si>
    <t>Contact # 03482496236</t>
  </si>
  <si>
    <t>Plot No :  R-4843</t>
  </si>
  <si>
    <t>Cost : 520,000</t>
  </si>
  <si>
    <t xml:space="preserve">Adv </t>
  </si>
  <si>
    <t>23/11/2022</t>
  </si>
  <si>
    <t>Adj Reh</t>
  </si>
  <si>
    <t>18/5/202</t>
  </si>
  <si>
    <t>27/6/2023</t>
  </si>
  <si>
    <t>16/8/2023</t>
  </si>
  <si>
    <t>28/8/2023</t>
  </si>
  <si>
    <t>16/3/2024</t>
  </si>
  <si>
    <t>15/4/2024</t>
  </si>
  <si>
    <t>NILL</t>
  </si>
  <si>
    <t>DEVELOPMENT CONTINUE</t>
  </si>
  <si>
    <t>Code Num;CNG1845813</t>
  </si>
  <si>
    <t>Name : Habibullah</t>
  </si>
  <si>
    <t>Father Name;Shah Alam</t>
  </si>
  <si>
    <t>CNIC # 42401-4526428-5</t>
  </si>
  <si>
    <t>Contact03110113538</t>
  </si>
  <si>
    <t>Plot No :  L-4808</t>
  </si>
  <si>
    <t>Code Num;CPX8223280</t>
  </si>
  <si>
    <t>21/4/2026</t>
  </si>
  <si>
    <t>Development</t>
  </si>
  <si>
    <t>Name : Imran Ahmed Khan</t>
  </si>
  <si>
    <t>Father Name : Sultan Ahmed</t>
  </si>
  <si>
    <t>CNIC # 42101-7263511-3</t>
  </si>
  <si>
    <t>Cost : 750,000</t>
  </si>
  <si>
    <t>Code Num;CED0784126</t>
  </si>
  <si>
    <t>21/9/2022</t>
  </si>
  <si>
    <t>21/6/2023</t>
  </si>
  <si>
    <t>21/8/2023</t>
  </si>
  <si>
    <t>24/9/2023</t>
  </si>
  <si>
    <t>23/10/2023</t>
  </si>
  <si>
    <t>23/11/2023</t>
  </si>
  <si>
    <t>26/12/2023</t>
  </si>
  <si>
    <t>22/1/2024</t>
  </si>
  <si>
    <t>Installment</t>
  </si>
  <si>
    <t>Adj Rehman</t>
  </si>
  <si>
    <t>27/2/2024</t>
  </si>
  <si>
    <t>30/3/2024</t>
  </si>
  <si>
    <t>17/4/2024</t>
  </si>
  <si>
    <t>25/5/2024</t>
  </si>
  <si>
    <t>24/6/2024</t>
  </si>
  <si>
    <t>25/11/2025</t>
  </si>
  <si>
    <t>29/5/2025</t>
  </si>
  <si>
    <t>28/12/2024</t>
  </si>
  <si>
    <t>27/1/2025</t>
  </si>
  <si>
    <t>29/6/2025</t>
  </si>
  <si>
    <t>31/8/2025</t>
  </si>
  <si>
    <t>14/1/2026</t>
  </si>
  <si>
    <t>28/3/2026</t>
  </si>
  <si>
    <t>30/4/2026</t>
  </si>
  <si>
    <t>Plot No : C-4888</t>
  </si>
  <si>
    <t xml:space="preserve">Name : M.Ramzan </t>
  </si>
  <si>
    <t>Father Name : Allah Buksh</t>
  </si>
  <si>
    <t>CNIC # 38405-9798759-1</t>
  </si>
  <si>
    <t>Contact # 03442985990</t>
  </si>
  <si>
    <t>Cost : 500,000</t>
  </si>
  <si>
    <t>Code Num;CEM8338680</t>
  </si>
  <si>
    <t>27/5/2020</t>
  </si>
  <si>
    <t>25/4/2026</t>
  </si>
  <si>
    <t>Developmt</t>
  </si>
  <si>
    <t>DEVELOPMNT CLEAR</t>
  </si>
  <si>
    <t>Plot No : -R-4820</t>
  </si>
  <si>
    <t>Name : Muhammad Rashid</t>
  </si>
  <si>
    <t>Father Name : Muhammad Ramzan</t>
  </si>
  <si>
    <t>CNIC # 42401-3174633-7</t>
  </si>
  <si>
    <t>Contact # 031422147050</t>
  </si>
  <si>
    <t>Plot No : -R-4841</t>
  </si>
  <si>
    <t>Cost : 950,000</t>
  </si>
  <si>
    <t>29/12/2022</t>
  </si>
  <si>
    <t>20/8/2023</t>
  </si>
  <si>
    <t>30/8/2023</t>
  </si>
  <si>
    <t>26/10/2023</t>
  </si>
  <si>
    <t>17/1/2024</t>
  </si>
  <si>
    <t>18/5/2024</t>
  </si>
  <si>
    <t>26/6/2024</t>
  </si>
  <si>
    <t>Adv Adj</t>
  </si>
  <si>
    <t>20/7/2024</t>
  </si>
  <si>
    <t>22/8/2024</t>
  </si>
  <si>
    <t>26/10/2024</t>
  </si>
  <si>
    <t>28/11/2024</t>
  </si>
  <si>
    <t>25/12/2024</t>
  </si>
  <si>
    <t>21/6/2025</t>
  </si>
  <si>
    <t>29/7/2025</t>
  </si>
  <si>
    <t>27/8/2025</t>
  </si>
  <si>
    <t>23/9/2025</t>
  </si>
  <si>
    <t>25/10/2025</t>
  </si>
  <si>
    <t>15/1/2025</t>
  </si>
  <si>
    <t>Code Num;CMG2722740</t>
  </si>
  <si>
    <t>Code Num;</t>
  </si>
  <si>
    <t>Name : Tahseen Bano</t>
  </si>
  <si>
    <t>Father Name;Attaullah</t>
  </si>
  <si>
    <t>CNIC # 42401-6699013-4</t>
  </si>
  <si>
    <t>Contact # 03364111220</t>
  </si>
  <si>
    <t>Plot No :  L-4847</t>
  </si>
  <si>
    <t>Code Num;CEN1705456</t>
  </si>
  <si>
    <t>29/5/2023</t>
  </si>
  <si>
    <t>26/6/2023</t>
  </si>
  <si>
    <t>14/8/2023</t>
  </si>
  <si>
    <t>15/9/2023</t>
  </si>
  <si>
    <t>30/11/2023</t>
  </si>
  <si>
    <t>Instalment</t>
  </si>
  <si>
    <t>Adjustment</t>
  </si>
  <si>
    <t>16/4/2023</t>
  </si>
  <si>
    <t>13/5/2024</t>
  </si>
  <si>
    <t>13/6/2024</t>
  </si>
  <si>
    <t>13/10/2024</t>
  </si>
  <si>
    <t>15/3/2025</t>
  </si>
  <si>
    <t>29/4/2025</t>
  </si>
  <si>
    <t>13/10/2025</t>
  </si>
  <si>
    <t>13/12/2025</t>
  </si>
  <si>
    <t>13/3/2026</t>
  </si>
  <si>
    <t>Code Num;CJX7634479</t>
  </si>
  <si>
    <t>Plot No : C-4849</t>
  </si>
  <si>
    <t>Name : Raheema</t>
  </si>
  <si>
    <t>Father Name; Muhammad Jawed</t>
  </si>
  <si>
    <t>CNIC # 42501-4873985-8</t>
  </si>
  <si>
    <t>Contact # 03212008488</t>
  </si>
  <si>
    <t>Cost : 700,000</t>
  </si>
  <si>
    <t>Code Num;BYF0228783</t>
  </si>
  <si>
    <t>Booking Adv</t>
  </si>
  <si>
    <t>Partial pay</t>
  </si>
  <si>
    <t>Name : Tanveer Ahmed</t>
  </si>
  <si>
    <t>Father Name; Khuda Baksh</t>
  </si>
  <si>
    <t>CNIC # 42401-2066214-3</t>
  </si>
  <si>
    <t>Contact # 03158044470</t>
  </si>
  <si>
    <t>Plot No : L-4848</t>
  </si>
  <si>
    <t>Cost : 530,000</t>
  </si>
  <si>
    <t>Code Num;CQZ4183374</t>
  </si>
  <si>
    <t>Booking Rehman</t>
  </si>
  <si>
    <t>Development continue</t>
  </si>
  <si>
    <t>17/5/2026</t>
  </si>
  <si>
    <t>Code Num;CAJ0351719</t>
  </si>
  <si>
    <t>NAME:</t>
  </si>
  <si>
    <t>F\NAME:</t>
  </si>
  <si>
    <t>CNIC:</t>
  </si>
  <si>
    <t>CONTACT NO:</t>
  </si>
  <si>
    <t>CODE NO:</t>
  </si>
  <si>
    <t>PLOT NO:</t>
  </si>
  <si>
    <t>M.SHAFIQ</t>
  </si>
  <si>
    <t>AMEER ALI</t>
  </si>
  <si>
    <t>38405-5698347-5</t>
  </si>
  <si>
    <t>NIL</t>
  </si>
  <si>
    <t>BXY4024140</t>
  </si>
  <si>
    <t>16\6\20</t>
  </si>
  <si>
    <t>5\3\23</t>
  </si>
  <si>
    <t>28\8\22</t>
  </si>
  <si>
    <t>19\11\23</t>
  </si>
  <si>
    <t>10\12\23</t>
  </si>
  <si>
    <t>27\1\24</t>
  </si>
  <si>
    <t>10\3\24</t>
  </si>
  <si>
    <t>6\4\24</t>
  </si>
  <si>
    <t>27\4\24</t>
  </si>
  <si>
    <t>4\6\24</t>
  </si>
  <si>
    <t>26\6\24</t>
  </si>
  <si>
    <t>28\8\24</t>
  </si>
  <si>
    <t>26\9\24</t>
  </si>
  <si>
    <t>3\10\24</t>
  </si>
  <si>
    <t>4\12\24</t>
  </si>
  <si>
    <t>31\12\24</t>
  </si>
  <si>
    <t>30\1\25</t>
  </si>
  <si>
    <t>4\3\25</t>
  </si>
  <si>
    <t>25\5\25</t>
  </si>
  <si>
    <t>22\6\25</t>
  </si>
  <si>
    <t>27\7\25</t>
  </si>
  <si>
    <t>30\8\25</t>
  </si>
  <si>
    <t>27\9\25</t>
  </si>
  <si>
    <t>30\11\25</t>
  </si>
  <si>
    <t>REHMAN ADJUST</t>
  </si>
  <si>
    <t>SOBHO</t>
  </si>
  <si>
    <t>INSTALLMENT</t>
  </si>
  <si>
    <t>26\2\26</t>
  </si>
  <si>
    <t>23\5\26</t>
  </si>
  <si>
    <t>DEVELOPMENT</t>
  </si>
  <si>
    <t>8\6\026</t>
  </si>
  <si>
    <t>MUHAMMAD AJMAL</t>
  </si>
  <si>
    <t>GULAM SARWAR</t>
  </si>
  <si>
    <t>0301-3363395</t>
  </si>
  <si>
    <t>32304-6209143-1</t>
  </si>
  <si>
    <t>BLG8630206</t>
  </si>
  <si>
    <t>29\8\22</t>
  </si>
  <si>
    <t>2\1\23</t>
  </si>
  <si>
    <t>12\3\3</t>
  </si>
  <si>
    <t>9\4\23</t>
  </si>
  <si>
    <t>28\5\23</t>
  </si>
  <si>
    <t>25\6\23</t>
  </si>
  <si>
    <t>20\8\23</t>
  </si>
  <si>
    <t>28\8\23</t>
  </si>
  <si>
    <t>1\11\23</t>
  </si>
  <si>
    <t>REHMAN ADJUSTMENT</t>
  </si>
  <si>
    <t>10\6\26</t>
  </si>
  <si>
    <t>17\6\26</t>
  </si>
  <si>
    <t>CONTAT NO:</t>
  </si>
  <si>
    <t>CODDE NO:</t>
  </si>
  <si>
    <t>CKJ0300931</t>
  </si>
  <si>
    <t>21\8\22</t>
  </si>
  <si>
    <t>11\9\22</t>
  </si>
  <si>
    <t>28\2\23</t>
  </si>
  <si>
    <t>14\3\24</t>
  </si>
  <si>
    <t>26\5\24</t>
  </si>
  <si>
    <t>4\7\24</t>
  </si>
  <si>
    <t>27\8\24</t>
  </si>
  <si>
    <t>14\10\24</t>
  </si>
  <si>
    <t>12\11\24</t>
  </si>
  <si>
    <t>19\12\24</t>
  </si>
  <si>
    <t>########</t>
  </si>
  <si>
    <t>20\7\25</t>
  </si>
  <si>
    <t>14\9\25</t>
  </si>
  <si>
    <t>5\10\25</t>
  </si>
  <si>
    <t>12\11\25</t>
  </si>
  <si>
    <t>5\1\26</t>
  </si>
  <si>
    <t>13\2\26</t>
  </si>
  <si>
    <t>14\3\26</t>
  </si>
  <si>
    <t>12\5\26</t>
  </si>
  <si>
    <t>21\6\26</t>
  </si>
  <si>
    <t>BOOKING</t>
  </si>
  <si>
    <t>MUHAMMAD SIDDQUE</t>
  </si>
  <si>
    <t>SHAFI AHMAD</t>
  </si>
  <si>
    <t>0342-2302724</t>
  </si>
  <si>
    <t>42401-7279297-5</t>
  </si>
  <si>
    <t>MUHAMMAD NAWAZ</t>
  </si>
  <si>
    <t>GULAM RASSOOL</t>
  </si>
  <si>
    <t>0300-7352984</t>
  </si>
  <si>
    <t>42401-1955537-7</t>
  </si>
  <si>
    <t>CRP3526020</t>
  </si>
  <si>
    <t>11\8\22</t>
  </si>
  <si>
    <t>13\8\20</t>
  </si>
  <si>
    <t>19\2\23</t>
  </si>
  <si>
    <t>18\5\23</t>
  </si>
  <si>
    <t>13\6\23</t>
  </si>
  <si>
    <t>4\7\23</t>
  </si>
  <si>
    <t>16\8\23</t>
  </si>
  <si>
    <t>29\8\23</t>
  </si>
  <si>
    <t>CNIC NO:</t>
  </si>
  <si>
    <t>CJX7634479</t>
  </si>
  <si>
    <t>R-4840</t>
  </si>
  <si>
    <t>30\6\25</t>
  </si>
  <si>
    <t>7\7\25</t>
  </si>
  <si>
    <t>10\8\025</t>
  </si>
  <si>
    <t>12\4\26</t>
  </si>
  <si>
    <t>10\5\26</t>
  </si>
  <si>
    <t>5\7\26</t>
  </si>
  <si>
    <t>ADJUSTMENT COTTEGE</t>
  </si>
  <si>
    <t>MUHAMMAD SAJJAD</t>
  </si>
  <si>
    <t>SHUKAT ALI</t>
  </si>
  <si>
    <t>42000-7726421-3</t>
  </si>
  <si>
    <t>45,000 DISCOUNT AS PER ARSHAD</t>
  </si>
  <si>
    <t>DEVELOPMENT NILL</t>
  </si>
  <si>
    <t>DEVE</t>
  </si>
  <si>
    <t>Plot No :  l-4853</t>
  </si>
  <si>
    <t>Name : M.SALEEM QADARI</t>
  </si>
  <si>
    <t>Father Name;ALLAH YAR QADARI</t>
  </si>
  <si>
    <t>CNIC # 42101-1380136-5</t>
  </si>
  <si>
    <t>Cost : 575,000/-</t>
  </si>
  <si>
    <t>Code Num;CQW4584419</t>
  </si>
  <si>
    <t>21/8/22</t>
  </si>
  <si>
    <t>20\1\22 \9\1\23</t>
  </si>
  <si>
    <t>16/3/23</t>
  </si>
  <si>
    <t>14/4/23</t>
  </si>
  <si>
    <t>rehman adj</t>
  </si>
  <si>
    <t>15/11/23</t>
  </si>
  <si>
    <t>21/2/24</t>
  </si>
  <si>
    <t>18/4/24</t>
  </si>
  <si>
    <t>16/10/24</t>
  </si>
  <si>
    <t>DEVELOPMENT NILL#</t>
  </si>
  <si>
    <t>14/6/26</t>
  </si>
  <si>
    <t>19/7/26</t>
  </si>
  <si>
    <t>16/8/26</t>
  </si>
  <si>
    <t>31/5/26</t>
  </si>
  <si>
    <t>28/7/26</t>
  </si>
  <si>
    <t>Father Name; ORANGZAIB KHAN</t>
  </si>
  <si>
    <t>CNIC # 42401-7131184-3</t>
  </si>
  <si>
    <t>Contact # 0304-2371632</t>
  </si>
  <si>
    <t>Plot No : L-4809</t>
  </si>
  <si>
    <t>Code Num;CAF2742335</t>
  </si>
  <si>
    <t>24/9/20</t>
  </si>
  <si>
    <t xml:space="preserve">ADJUSTMENT FILE ALL PAYMENT PAID TO AL REHMAN BUILDERS </t>
  </si>
  <si>
    <t xml:space="preserve">DEVELOPMENT NILL </t>
  </si>
  <si>
    <t xml:space="preserve">DEVELOPMENT </t>
  </si>
  <si>
    <t xml:space="preserve">NILL </t>
  </si>
  <si>
    <t xml:space="preserve">Name : SHAHZAIB </t>
  </si>
  <si>
    <t>Plot No :  l-4815</t>
  </si>
  <si>
    <t xml:space="preserve">Name : TANVEER AHMED </t>
  </si>
  <si>
    <t xml:space="preserve">Father Name:SAGHEER AHMED </t>
  </si>
  <si>
    <t>CNIC # 42401-4082989-5</t>
  </si>
  <si>
    <t>19/8/26</t>
  </si>
  <si>
    <t>11,00,000</t>
  </si>
  <si>
    <t>WAHAB BHAI</t>
  </si>
  <si>
    <t>RASHID KALA</t>
  </si>
  <si>
    <t>13/9/26</t>
  </si>
  <si>
    <t>R.No</t>
  </si>
  <si>
    <t>Amount Received</t>
  </si>
  <si>
    <t>16/02/2025</t>
  </si>
  <si>
    <t>16/03/2025</t>
  </si>
  <si>
    <t>15/06/2025</t>
  </si>
  <si>
    <t>13/07/2025</t>
  </si>
  <si>
    <t>14/09/2025</t>
  </si>
  <si>
    <t>16/11/2025</t>
  </si>
  <si>
    <t>14/12/2025</t>
  </si>
  <si>
    <t>15/02/2026</t>
  </si>
  <si>
    <t>15/03/2026</t>
  </si>
  <si>
    <t>14/06/2026</t>
  </si>
  <si>
    <t>13/09/2026</t>
  </si>
  <si>
    <t>Mode</t>
  </si>
  <si>
    <t>Balance</t>
  </si>
  <si>
    <t>14/01/2024</t>
  </si>
  <si>
    <t>18/02/2024</t>
  </si>
  <si>
    <t>17/03/2024</t>
  </si>
  <si>
    <t>20/06/2024</t>
  </si>
  <si>
    <t>15/09/2024</t>
  </si>
  <si>
    <t>20/10/2024</t>
  </si>
  <si>
    <t>15/12/2024</t>
  </si>
  <si>
    <t>13/01/2025</t>
  </si>
  <si>
    <t>Cash</t>
  </si>
  <si>
    <t>Online</t>
  </si>
  <si>
    <t xml:space="preserve">  14/4/2024</t>
  </si>
  <si>
    <t>13/4/2025</t>
  </si>
  <si>
    <t>16/05/2024</t>
  </si>
  <si>
    <t>297</t>
  </si>
  <si>
    <t>-</t>
  </si>
  <si>
    <t>13/06/2024</t>
  </si>
  <si>
    <t>0062</t>
  </si>
  <si>
    <t>18/07/2024</t>
  </si>
  <si>
    <t>118</t>
  </si>
  <si>
    <t>14/09/2024</t>
  </si>
  <si>
    <t>0302</t>
  </si>
  <si>
    <t>0369</t>
  </si>
  <si>
    <t>13/11/2024</t>
  </si>
  <si>
    <t>227</t>
  </si>
  <si>
    <t>11/12/2024</t>
  </si>
  <si>
    <t>09/01/2025</t>
  </si>
  <si>
    <t>564</t>
  </si>
  <si>
    <t>19/02/2025</t>
  </si>
  <si>
    <t>960</t>
  </si>
  <si>
    <t>09/03/2025</t>
  </si>
  <si>
    <t>998</t>
  </si>
  <si>
    <t>731</t>
  </si>
  <si>
    <t>776</t>
  </si>
  <si>
    <t>11/07/2025</t>
  </si>
  <si>
    <t>13/08/2025</t>
  </si>
  <si>
    <t>3961</t>
  </si>
  <si>
    <t>22/09/2025</t>
  </si>
  <si>
    <t>3594</t>
  </si>
  <si>
    <t>3380</t>
  </si>
  <si>
    <t>18/11/2025</t>
  </si>
  <si>
    <t>3826</t>
  </si>
  <si>
    <t>20/12/2025</t>
  </si>
  <si>
    <t>5122</t>
  </si>
  <si>
    <t>04/01/2026</t>
  </si>
  <si>
    <t>5218</t>
  </si>
  <si>
    <t>18/02/2026</t>
  </si>
  <si>
    <t>5556</t>
  </si>
  <si>
    <t>26/03/2026</t>
  </si>
  <si>
    <t>5790</t>
  </si>
  <si>
    <t>16/04/2026</t>
  </si>
  <si>
    <t>5959</t>
  </si>
  <si>
    <t>04/06/2026</t>
  </si>
  <si>
    <t>1562</t>
  </si>
  <si>
    <t>13/07/2026</t>
  </si>
  <si>
    <t>1829</t>
  </si>
  <si>
    <t>1903</t>
  </si>
  <si>
    <t>15/09/2026</t>
  </si>
  <si>
    <t>2080</t>
  </si>
  <si>
    <t>15/02/2024</t>
  </si>
  <si>
    <t>128</t>
  </si>
  <si>
    <t>18/03/2024</t>
  </si>
  <si>
    <t>185</t>
  </si>
  <si>
    <t>15/04/2024</t>
  </si>
  <si>
    <t>223</t>
  </si>
  <si>
    <t>296</t>
  </si>
  <si>
    <t>0063</t>
  </si>
  <si>
    <t>119</t>
  </si>
  <si>
    <t>0303</t>
  </si>
  <si>
    <t>0310</t>
  </si>
  <si>
    <t>228</t>
  </si>
  <si>
    <t>563</t>
  </si>
  <si>
    <t>969</t>
  </si>
  <si>
    <t>997</t>
  </si>
  <si>
    <t>14/04/2025</t>
  </si>
  <si>
    <t>730</t>
  </si>
  <si>
    <t>21/05/2025</t>
  </si>
  <si>
    <t>777</t>
  </si>
  <si>
    <t>3047</t>
  </si>
  <si>
    <t>3962</t>
  </si>
  <si>
    <t>3595</t>
  </si>
  <si>
    <t>3827</t>
  </si>
  <si>
    <t>5121</t>
  </si>
  <si>
    <t>5219</t>
  </si>
  <si>
    <t>5557</t>
  </si>
  <si>
    <t>5791</t>
  </si>
  <si>
    <t>5960</t>
  </si>
  <si>
    <t>23/06/2026</t>
  </si>
  <si>
    <t>1715</t>
  </si>
  <si>
    <t>1904</t>
  </si>
  <si>
    <t>2081</t>
  </si>
  <si>
    <t>13/08/2026</t>
  </si>
  <si>
    <t>18/7/2024</t>
  </si>
  <si>
    <t>21/05/2026</t>
  </si>
  <si>
    <t>Date (تاریخ)</t>
  </si>
  <si>
    <t>Receipt No (رسید نمبر)</t>
  </si>
  <si>
    <t>Mode (طریقہ کار)</t>
  </si>
  <si>
    <t>Installment (قسط)</t>
  </si>
  <si>
    <t>Balance (بقیہ رقم)</t>
  </si>
  <si>
    <t>4,20,000</t>
  </si>
  <si>
    <t>18/10/25</t>
  </si>
  <si>
    <t>3,90,000</t>
  </si>
  <si>
    <t>3,85,000</t>
  </si>
  <si>
    <t>3,65,000</t>
  </si>
  <si>
    <t>3,35,000</t>
  </si>
  <si>
    <t>3,25,000</t>
  </si>
  <si>
    <t>3,15,000</t>
  </si>
  <si>
    <t>17/09/26</t>
  </si>
  <si>
    <t>3,05,000</t>
  </si>
  <si>
    <t>Devolopment</t>
  </si>
  <si>
    <t>31/7/26</t>
  </si>
  <si>
    <t>25/9/26</t>
  </si>
  <si>
    <t>15/2/22</t>
  </si>
  <si>
    <t>RNo. 126</t>
  </si>
  <si>
    <t>RNo. 173</t>
  </si>
  <si>
    <t>RNo. 215</t>
  </si>
  <si>
    <t>RNo. 266</t>
  </si>
  <si>
    <t>RNo. 0044</t>
  </si>
  <si>
    <t>RNo. 0099</t>
  </si>
  <si>
    <t>RNo: 0197</t>
  </si>
  <si>
    <t>15/10/24</t>
  </si>
  <si>
    <t>RNo: 0373</t>
  </si>
  <si>
    <t>RNo. 219</t>
  </si>
  <si>
    <t>RNo. 553</t>
  </si>
  <si>
    <t>RNo. 940</t>
  </si>
  <si>
    <t>RNo. 994</t>
  </si>
  <si>
    <t>16/4/25</t>
  </si>
  <si>
    <t>RNo. 732</t>
  </si>
  <si>
    <t>RNo. 765</t>
  </si>
  <si>
    <t>25/6/25</t>
  </si>
  <si>
    <t>RNo. 686</t>
  </si>
  <si>
    <t>RNo. 12374</t>
  </si>
  <si>
    <t>RNo. 3484</t>
  </si>
  <si>
    <t>RNo. 3300</t>
  </si>
  <si>
    <t>RNo. 3662</t>
  </si>
  <si>
    <t>RNo. 5008</t>
  </si>
  <si>
    <t>RNo. 5263</t>
  </si>
  <si>
    <t>RNo. 5456</t>
  </si>
  <si>
    <t>29/3/26</t>
  </si>
  <si>
    <t>RNo. 5811</t>
  </si>
  <si>
    <t>17/5/26</t>
  </si>
  <si>
    <t>RNo. 1490</t>
  </si>
  <si>
    <t>RNo. 1595</t>
  </si>
  <si>
    <t>RNo. 1763</t>
  </si>
  <si>
    <t>RNo. 3767</t>
  </si>
  <si>
    <t>27/9/26</t>
  </si>
  <si>
    <t>RNo. 2127</t>
  </si>
  <si>
    <t>Receipt / Description</t>
  </si>
  <si>
    <t>Payment Mode</t>
  </si>
  <si>
    <t>Installment Paid (PKR)</t>
  </si>
  <si>
    <t>Remaining Balance (PKR)</t>
  </si>
  <si>
    <t>28/10/2025</t>
  </si>
  <si>
    <t>15/11/2025</t>
  </si>
  <si>
    <t>Rno: 3809</t>
  </si>
  <si>
    <t>16/12/2025</t>
  </si>
  <si>
    <t>Rno: 5105</t>
  </si>
  <si>
    <t>15/01/2026</t>
  </si>
  <si>
    <t>Rno: 5305</t>
  </si>
  <si>
    <t>16/02/2026</t>
  </si>
  <si>
    <t>Rno: 5541</t>
  </si>
  <si>
    <t>Rno: 5823</t>
  </si>
  <si>
    <t>Rno: 1446</t>
  </si>
  <si>
    <t>Rno: 1599</t>
  </si>
  <si>
    <t>Rno: 1792</t>
  </si>
  <si>
    <t>Rno: 3757</t>
  </si>
  <si>
    <t>Rno: 2004</t>
  </si>
  <si>
    <t>26/07/2025</t>
  </si>
  <si>
    <t>Rno: 3174 (Advance)</t>
  </si>
  <si>
    <t>Rno: 3269</t>
  </si>
  <si>
    <t>Code Num;BSF6505789</t>
  </si>
  <si>
    <t>RNo. 064</t>
  </si>
  <si>
    <t>RNo. 183</t>
  </si>
  <si>
    <t>16/03/2024</t>
  </si>
  <si>
    <t>RNo. 0007</t>
  </si>
  <si>
    <t>RNo. 0083</t>
  </si>
  <si>
    <t>21/08/2024</t>
  </si>
  <si>
    <t>RNo. 174</t>
  </si>
  <si>
    <t>RNo. 68</t>
  </si>
  <si>
    <t>16/11/2024</t>
  </si>
  <si>
    <t>RNo. 236</t>
  </si>
  <si>
    <t>RNo. 582</t>
  </si>
  <si>
    <t>24/02/2025</t>
  </si>
  <si>
    <t>RNo. 964</t>
  </si>
  <si>
    <t>22/05/2025</t>
  </si>
  <si>
    <t>RNo. 785</t>
  </si>
  <si>
    <t>RNo. 3941</t>
  </si>
  <si>
    <t>15/09/2025</t>
  </si>
  <si>
    <t>23/10/2025</t>
  </si>
  <si>
    <t>14/01/2026</t>
  </si>
  <si>
    <t>17/02/2026</t>
  </si>
  <si>
    <t>13/03/2026</t>
  </si>
  <si>
    <t>15/05/2026</t>
  </si>
  <si>
    <t xml:space="preserve">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</si>
</sst>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</font>
    <font>
      <b/>
      <sz val="11"/>
      <color rgb="FFFFFFFF"/>
      <name val="Arial"/>
    </font>
    <font>
      <b/>
      <sz val="18"/>
      <color theme="1"/>
      <name val="Calibri"/>
      <family val="2"/>
      <scheme val="minor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4040"/>
        <bgColor rgb="FF404040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6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7" fillId="0" borderId="0" xfId="0" applyFont="1"/>
    <xf numFmtId="0" fontId="1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0" xfId="0" applyFont="1" applyFill="1"/>
    <xf numFmtId="0" fontId="0" fillId="2" borderId="0" xfId="0" applyFill="1"/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3" fontId="12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4" fillId="0" borderId="0" xfId="0" applyFont="1"/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4" borderId="0" xfId="0" applyFont="1" applyFill="1"/>
    <xf numFmtId="0" fontId="15" fillId="0" borderId="1" xfId="0" applyFont="1" applyBorder="1" applyAlignment="1">
      <alignment horizontal="left" vertical="center" wrapText="1" indent="1"/>
    </xf>
    <xf numFmtId="3" fontId="15" fillId="0" borderId="1" xfId="0" applyNumberFormat="1" applyFont="1" applyBorder="1" applyAlignment="1">
      <alignment horizontal="left" vertical="center" wrapText="1" indent="1"/>
    </xf>
    <xf numFmtId="3" fontId="0" fillId="0" borderId="1" xfId="0" applyNumberFormat="1" applyBorder="1" applyAlignment="1">
      <alignment vertical="top" wrapText="1" indent="1"/>
    </xf>
    <xf numFmtId="14" fontId="15" fillId="0" borderId="1" xfId="0" applyNumberFormat="1" applyFont="1" applyBorder="1" applyAlignment="1">
      <alignment horizontal="left" vertical="center" wrapText="1" indent="1"/>
    </xf>
    <xf numFmtId="3" fontId="7" fillId="0" borderId="1" xfId="0" applyNumberFormat="1" applyFont="1" applyBorder="1"/>
    <xf numFmtId="0" fontId="14" fillId="4" borderId="0" xfId="0" applyFont="1" applyFill="1"/>
    <xf numFmtId="0" fontId="7" fillId="5" borderId="3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1000000}"/>
  </cellStyles>
  <dxfs count="6"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82550</xdr:rowOff>
    </xdr:from>
    <xdr:to>
      <xdr:col>0</xdr:col>
      <xdr:colOff>304800</xdr:colOff>
      <xdr:row>24</xdr:row>
      <xdr:rowOff>19050</xdr:rowOff>
    </xdr:to>
    <xdr:sp macro="" textlink="">
      <xdr:nvSpPr>
        <xdr:cNvPr id="1025" name="AutoShape 1" descr="blob:https://web.whatsapp.com/d206cd63-b0be-42fa-b1cb-b9defeb89131">
          <a:extLst>
            <a:ext uri="{FF2B5EF4-FFF2-40B4-BE49-F238E27FC236}">
              <a16:creationId xmlns:a16="http://schemas.microsoft.com/office/drawing/2014/main" id="{00000000-0008-0000-1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0800" y="44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127000</xdr:rowOff>
    </xdr:from>
    <xdr:to>
      <xdr:col>0</xdr:col>
      <xdr:colOff>304800</xdr:colOff>
      <xdr:row>24</xdr:row>
      <xdr:rowOff>63500</xdr:rowOff>
    </xdr:to>
    <xdr:sp macro="" textlink="">
      <xdr:nvSpPr>
        <xdr:cNvPr id="1026" name="AutoShape 2" descr="blob:https://web.whatsapp.com/d206cd63-b0be-42fa-b1cb-b9defeb89131">
          <a:extLst>
            <a:ext uri="{FF2B5EF4-FFF2-40B4-BE49-F238E27FC236}">
              <a16:creationId xmlns:a16="http://schemas.microsoft.com/office/drawing/2014/main" id="{00000000-0008-0000-1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270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F8" totalsRowShown="0" headerRowDxfId="5" headerRowBorderDxfId="4" tableBorderDxfId="3">
  <autoFilter ref="A7:F8" xr:uid="{00000000-0009-0000-0100-000001000000}"/>
  <tableColumns count="6">
    <tableColumn id="1" xr3:uid="{00000000-0010-0000-0000-000001000000}" name="Date" dataDxfId="2"/>
    <tableColumn id="2" xr3:uid="{00000000-0010-0000-0000-000002000000}" name="R.NO"/>
    <tableColumn id="3" xr3:uid="{00000000-0010-0000-0000-000003000000}" name="Description"/>
    <tableColumn id="4" xr3:uid="{00000000-0010-0000-0000-000004000000}" name="Amount Rec" dataDxfId="1"/>
    <tableColumn id="5" xr3:uid="{00000000-0010-0000-0000-000005000000}" name="Total Rec" dataDxfId="0"/>
    <tableColumn id="6" xr3:uid="{00000000-0010-0000-0000-000006000000}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5" sqref="E15"/>
    </sheetView>
  </sheetViews>
  <sheetFormatPr defaultRowHeight="14.5" x14ac:dyDescent="0.35"/>
  <sheetData>
    <row r="1" spans="1:6" ht="18.5" x14ac:dyDescent="0.45">
      <c r="A1" s="1" t="s">
        <v>27</v>
      </c>
      <c r="B1" s="1"/>
      <c r="C1" s="1"/>
      <c r="D1" s="1"/>
      <c r="E1" s="1"/>
      <c r="F1" s="1"/>
    </row>
    <row r="2" spans="1:6" ht="18.5" x14ac:dyDescent="0.45">
      <c r="A2" s="1" t="s">
        <v>28</v>
      </c>
      <c r="C2" s="1"/>
      <c r="D2" s="1"/>
      <c r="E2" s="1"/>
      <c r="F2" s="1"/>
    </row>
    <row r="3" spans="1:6" ht="18.5" x14ac:dyDescent="0.45">
      <c r="A3" s="1" t="s">
        <v>29</v>
      </c>
      <c r="B3" s="1"/>
      <c r="C3" s="1"/>
      <c r="D3" s="1"/>
      <c r="E3" s="1"/>
      <c r="F3" s="1"/>
    </row>
    <row r="4" spans="1:6" ht="18.5" x14ac:dyDescent="0.45">
      <c r="A4" s="1" t="s">
        <v>37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38</v>
      </c>
      <c r="B6" s="1"/>
      <c r="C6" s="1"/>
      <c r="D6" s="1" t="s">
        <v>39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8.5" x14ac:dyDescent="0.45">
      <c r="A8" s="1" t="s">
        <v>34</v>
      </c>
    </row>
    <row r="10" spans="1:6" x14ac:dyDescent="0.35">
      <c r="A10" t="s">
        <v>40</v>
      </c>
      <c r="B10">
        <v>5201</v>
      </c>
      <c r="C10" t="s">
        <v>35</v>
      </c>
    </row>
    <row r="11" spans="1:6" x14ac:dyDescent="0.35">
      <c r="B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C21" sqref="C21"/>
    </sheetView>
  </sheetViews>
  <sheetFormatPr defaultRowHeight="14.5" x14ac:dyDescent="0.35"/>
  <sheetData>
    <row r="1" spans="1:6" ht="18.5" x14ac:dyDescent="0.45">
      <c r="A1" s="1" t="s">
        <v>27</v>
      </c>
      <c r="B1" s="1"/>
      <c r="C1" s="1"/>
      <c r="D1" s="1"/>
      <c r="E1" s="1"/>
      <c r="F1" s="1"/>
    </row>
    <row r="2" spans="1:6" ht="18.5" x14ac:dyDescent="0.45">
      <c r="A2" s="1" t="s">
        <v>28</v>
      </c>
      <c r="C2" s="1"/>
      <c r="D2" s="1"/>
      <c r="E2" s="1"/>
      <c r="F2" s="1"/>
    </row>
    <row r="3" spans="1:6" ht="18.5" x14ac:dyDescent="0.45">
      <c r="A3" s="1" t="s">
        <v>29</v>
      </c>
      <c r="B3" s="1"/>
      <c r="C3" s="1"/>
      <c r="D3" s="1"/>
      <c r="E3" s="1"/>
      <c r="F3" s="1"/>
    </row>
    <row r="4" spans="1:6" ht="18.5" x14ac:dyDescent="0.45">
      <c r="A4" s="1" t="s">
        <v>33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31</v>
      </c>
      <c r="B6" s="1"/>
      <c r="C6" s="1"/>
      <c r="D6" s="1" t="s">
        <v>32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8.5" x14ac:dyDescent="0.45">
      <c r="A8" s="1" t="s">
        <v>34</v>
      </c>
    </row>
    <row r="10" spans="1:6" x14ac:dyDescent="0.35">
      <c r="A10" t="s">
        <v>40</v>
      </c>
      <c r="B10">
        <v>5202</v>
      </c>
      <c r="C10" t="s">
        <v>35</v>
      </c>
    </row>
    <row r="11" spans="1:6" x14ac:dyDescent="0.35">
      <c r="B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D19" sqref="D19"/>
    </sheetView>
  </sheetViews>
  <sheetFormatPr defaultRowHeight="14.5" x14ac:dyDescent="0.35"/>
  <cols>
    <col min="1" max="1" width="10.453125" bestFit="1" customWidth="1"/>
    <col min="3" max="3" width="10.90625" customWidth="1"/>
    <col min="6" max="6" width="12.453125" customWidth="1"/>
  </cols>
  <sheetData>
    <row r="1" spans="1:6" ht="18.5" x14ac:dyDescent="0.45">
      <c r="A1" s="1" t="s">
        <v>59</v>
      </c>
      <c r="B1" s="1"/>
      <c r="C1" s="1"/>
      <c r="D1" s="1"/>
      <c r="E1" s="1"/>
      <c r="F1" s="1"/>
    </row>
    <row r="2" spans="1:6" ht="18.5" x14ac:dyDescent="0.45">
      <c r="A2" s="1" t="s">
        <v>60</v>
      </c>
      <c r="C2" s="1"/>
      <c r="D2" s="1"/>
      <c r="E2" s="1"/>
      <c r="F2" s="1"/>
    </row>
    <row r="3" spans="1:6" ht="18.5" x14ac:dyDescent="0.45">
      <c r="A3" s="1" t="s">
        <v>61</v>
      </c>
      <c r="B3" s="1"/>
      <c r="C3" s="1"/>
      <c r="D3" s="1"/>
      <c r="E3" s="1"/>
      <c r="F3" s="1"/>
    </row>
    <row r="4" spans="1:6" ht="18.5" x14ac:dyDescent="0.45">
      <c r="A4" s="1" t="s">
        <v>62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63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13801</v>
      </c>
      <c r="C8" t="s">
        <v>66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13316</v>
      </c>
      <c r="C9" t="s">
        <v>14</v>
      </c>
      <c r="D9" s="10">
        <v>50000</v>
      </c>
      <c r="E9" s="10">
        <f>SUM(E8+D9)</f>
        <v>550000</v>
      </c>
      <c r="F9" s="10">
        <f>F8-D9</f>
        <v>650000</v>
      </c>
    </row>
    <row r="10" spans="1:6" x14ac:dyDescent="0.35">
      <c r="A10" s="9">
        <v>45942</v>
      </c>
      <c r="B10">
        <v>13143</v>
      </c>
      <c r="C10" t="s">
        <v>14</v>
      </c>
      <c r="D10" s="10">
        <v>50000</v>
      </c>
      <c r="E10" s="10">
        <f t="shared" ref="E10:E14" si="0">SUM(E9+D10)</f>
        <v>600000</v>
      </c>
      <c r="F10" s="10">
        <f t="shared" ref="F10:F14" si="1">F9-D10</f>
        <v>600000</v>
      </c>
    </row>
    <row r="11" spans="1:6" x14ac:dyDescent="0.35">
      <c r="A11" s="9">
        <v>46296</v>
      </c>
      <c r="B11">
        <v>12049</v>
      </c>
      <c r="C11" t="s">
        <v>14</v>
      </c>
      <c r="D11" s="10">
        <v>50000</v>
      </c>
      <c r="E11" s="10">
        <f t="shared" si="0"/>
        <v>650000</v>
      </c>
      <c r="F11" s="10">
        <f t="shared" si="1"/>
        <v>550000</v>
      </c>
    </row>
    <row r="12" spans="1:6" x14ac:dyDescent="0.35">
      <c r="A12" s="9">
        <v>46175</v>
      </c>
      <c r="B12">
        <v>12354</v>
      </c>
      <c r="C12" t="s">
        <v>14</v>
      </c>
      <c r="D12" s="10">
        <v>50000</v>
      </c>
      <c r="E12" s="10">
        <f t="shared" si="0"/>
        <v>700000</v>
      </c>
      <c r="F12" s="10">
        <f t="shared" si="1"/>
        <v>500000</v>
      </c>
    </row>
    <row r="13" spans="1:6" x14ac:dyDescent="0.35">
      <c r="A13" s="9">
        <v>46206</v>
      </c>
      <c r="B13">
        <v>12772</v>
      </c>
      <c r="C13" t="s">
        <v>14</v>
      </c>
      <c r="D13" s="10">
        <v>50000</v>
      </c>
      <c r="E13" s="10">
        <f t="shared" si="0"/>
        <v>750000</v>
      </c>
      <c r="F13" s="10">
        <f t="shared" si="1"/>
        <v>450000</v>
      </c>
    </row>
    <row r="14" spans="1:6" x14ac:dyDescent="0.35">
      <c r="A14" s="9">
        <v>46330</v>
      </c>
      <c r="B14">
        <v>13233</v>
      </c>
      <c r="C14" t="s">
        <v>14</v>
      </c>
      <c r="D14" s="10">
        <v>50000</v>
      </c>
      <c r="E14" s="10">
        <f t="shared" si="0"/>
        <v>800000</v>
      </c>
      <c r="F14" s="10">
        <f t="shared" si="1"/>
        <v>400000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I6" sqref="I6"/>
    </sheetView>
  </sheetViews>
  <sheetFormatPr defaultRowHeight="14.5" x14ac:dyDescent="0.35"/>
  <cols>
    <col min="6" max="6" width="11.54296875" customWidth="1"/>
  </cols>
  <sheetData>
    <row r="1" spans="1:6" ht="18.5" x14ac:dyDescent="0.45">
      <c r="A1" s="1" t="s">
        <v>59</v>
      </c>
      <c r="B1" s="1"/>
      <c r="C1" s="1"/>
      <c r="D1" s="1"/>
      <c r="E1" s="1"/>
      <c r="F1" s="1"/>
    </row>
    <row r="2" spans="1:6" ht="18.5" x14ac:dyDescent="0.45">
      <c r="A2" s="1" t="s">
        <v>60</v>
      </c>
      <c r="C2" s="1"/>
      <c r="D2" s="1"/>
      <c r="E2" s="1"/>
      <c r="F2" s="1"/>
    </row>
    <row r="3" spans="1:6" ht="18.5" x14ac:dyDescent="0.45">
      <c r="A3" s="1" t="s">
        <v>61</v>
      </c>
      <c r="B3" s="1"/>
      <c r="C3" s="1"/>
      <c r="D3" s="1"/>
      <c r="E3" s="1"/>
      <c r="F3" s="1"/>
    </row>
    <row r="4" spans="1:6" ht="18.5" x14ac:dyDescent="0.45">
      <c r="A4" s="1" t="s">
        <v>68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67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13802</v>
      </c>
      <c r="C8" t="s">
        <v>66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13315</v>
      </c>
      <c r="C9" t="s">
        <v>14</v>
      </c>
      <c r="D9" s="10">
        <v>50000</v>
      </c>
      <c r="E9" s="10">
        <f>SUM(E8+D9)</f>
        <v>550000</v>
      </c>
      <c r="F9" s="10">
        <f>F8-D9</f>
        <v>650000</v>
      </c>
    </row>
    <row r="10" spans="1:6" x14ac:dyDescent="0.35">
      <c r="A10" s="9">
        <v>45942</v>
      </c>
      <c r="B10">
        <v>13142</v>
      </c>
      <c r="C10" t="s">
        <v>14</v>
      </c>
      <c r="D10" s="10">
        <v>50000</v>
      </c>
      <c r="E10" s="10">
        <f t="shared" ref="E10:E14" si="0">SUM(E9+D10)</f>
        <v>600000</v>
      </c>
      <c r="F10" s="10">
        <f t="shared" ref="F10:F14" si="1">F9-D10</f>
        <v>600000</v>
      </c>
    </row>
    <row r="11" spans="1:6" x14ac:dyDescent="0.35">
      <c r="A11" s="9">
        <v>46296</v>
      </c>
      <c r="B11">
        <v>12050</v>
      </c>
      <c r="C11" t="s">
        <v>14</v>
      </c>
      <c r="D11" s="10">
        <v>50000</v>
      </c>
      <c r="E11" s="10">
        <f t="shared" si="0"/>
        <v>650000</v>
      </c>
      <c r="F11" s="10">
        <f t="shared" si="1"/>
        <v>550000</v>
      </c>
    </row>
    <row r="12" spans="1:6" x14ac:dyDescent="0.35">
      <c r="A12" s="9">
        <v>46175</v>
      </c>
      <c r="B12">
        <v>12355</v>
      </c>
      <c r="C12" t="s">
        <v>14</v>
      </c>
      <c r="D12" s="10">
        <v>50000</v>
      </c>
      <c r="E12" s="10">
        <f t="shared" si="0"/>
        <v>700000</v>
      </c>
      <c r="F12" s="10">
        <f t="shared" si="1"/>
        <v>500000</v>
      </c>
    </row>
    <row r="13" spans="1:6" x14ac:dyDescent="0.35">
      <c r="A13" s="9">
        <v>46206</v>
      </c>
      <c r="B13">
        <v>12773</v>
      </c>
      <c r="C13" t="s">
        <v>14</v>
      </c>
      <c r="D13" s="10">
        <v>50000</v>
      </c>
      <c r="E13" s="10">
        <f t="shared" si="0"/>
        <v>750000</v>
      </c>
      <c r="F13" s="10">
        <f t="shared" si="1"/>
        <v>450000</v>
      </c>
    </row>
    <row r="14" spans="1:6" x14ac:dyDescent="0.35">
      <c r="A14" s="9">
        <v>46330</v>
      </c>
      <c r="B14">
        <v>13234</v>
      </c>
      <c r="C14" t="s">
        <v>14</v>
      </c>
      <c r="D14" s="10">
        <v>50000</v>
      </c>
      <c r="E14" s="10">
        <f t="shared" si="0"/>
        <v>800000</v>
      </c>
      <c r="F14" s="10">
        <f t="shared" si="1"/>
        <v>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F21" sqref="F21"/>
    </sheetView>
  </sheetViews>
  <sheetFormatPr defaultRowHeight="14.5" x14ac:dyDescent="0.35"/>
  <cols>
    <col min="1" max="1" width="10.453125" bestFit="1" customWidth="1"/>
    <col min="3" max="3" width="9.90625" customWidth="1"/>
    <col min="6" max="6" width="12.26953125" customWidth="1"/>
  </cols>
  <sheetData>
    <row r="1" spans="1:6" ht="18.5" x14ac:dyDescent="0.45">
      <c r="A1" s="1" t="s">
        <v>69</v>
      </c>
      <c r="B1" s="1"/>
      <c r="C1" s="1"/>
      <c r="D1" s="1"/>
      <c r="E1" s="1"/>
      <c r="F1" s="1"/>
    </row>
    <row r="2" spans="1:6" ht="18.5" x14ac:dyDescent="0.45">
      <c r="A2" s="1" t="s">
        <v>70</v>
      </c>
      <c r="C2" s="1"/>
      <c r="D2" s="1"/>
      <c r="E2" s="1"/>
      <c r="F2" s="1"/>
    </row>
    <row r="3" spans="1:6" ht="18.5" x14ac:dyDescent="0.45">
      <c r="A3" s="1" t="s">
        <v>71</v>
      </c>
      <c r="B3" s="1"/>
      <c r="C3" s="1"/>
      <c r="D3" s="1"/>
      <c r="E3" s="1"/>
      <c r="F3" s="1"/>
    </row>
    <row r="4" spans="1:6" ht="18.5" x14ac:dyDescent="0.45">
      <c r="A4" s="1" t="s">
        <v>73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13803</v>
      </c>
      <c r="C8" t="s">
        <v>66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13319</v>
      </c>
      <c r="C9" t="s">
        <v>74</v>
      </c>
      <c r="D9" s="10">
        <v>50000</v>
      </c>
      <c r="E9" s="10">
        <f>SUM(E8+D9)</f>
        <v>550000</v>
      </c>
      <c r="F9" s="10">
        <f>F8-D9</f>
        <v>650000</v>
      </c>
    </row>
    <row r="10" spans="1:6" x14ac:dyDescent="0.35">
      <c r="A10" s="9">
        <v>45973</v>
      </c>
      <c r="B10">
        <v>13159</v>
      </c>
      <c r="C10" t="s">
        <v>74</v>
      </c>
      <c r="D10" s="10">
        <v>53400</v>
      </c>
      <c r="E10" s="10">
        <f t="shared" ref="E10:E14" si="0">SUM(E9+D10)</f>
        <v>603400</v>
      </c>
      <c r="F10" s="10">
        <f t="shared" ref="F10:F14" si="1">F9-D10</f>
        <v>596600</v>
      </c>
    </row>
    <row r="11" spans="1:6" x14ac:dyDescent="0.35">
      <c r="A11" s="9">
        <v>46296</v>
      </c>
      <c r="B11">
        <v>12047</v>
      </c>
      <c r="C11" t="s">
        <v>74</v>
      </c>
      <c r="D11" s="10">
        <v>46600</v>
      </c>
      <c r="E11" s="10">
        <f t="shared" si="0"/>
        <v>650000</v>
      </c>
      <c r="F11" s="10">
        <f t="shared" si="1"/>
        <v>550000</v>
      </c>
    </row>
    <row r="12" spans="1:6" x14ac:dyDescent="0.35">
      <c r="A12" s="9">
        <v>46175</v>
      </c>
      <c r="B12">
        <v>12356</v>
      </c>
      <c r="C12" t="s">
        <v>74</v>
      </c>
      <c r="D12" s="10">
        <v>50000</v>
      </c>
      <c r="E12" s="10">
        <f t="shared" si="0"/>
        <v>700000</v>
      </c>
      <c r="F12" s="10">
        <f t="shared" si="1"/>
        <v>500000</v>
      </c>
    </row>
    <row r="13" spans="1:6" x14ac:dyDescent="0.35">
      <c r="A13" s="9">
        <v>46359</v>
      </c>
      <c r="B13">
        <v>12830</v>
      </c>
      <c r="C13" t="s">
        <v>74</v>
      </c>
      <c r="D13" s="10">
        <v>50000</v>
      </c>
      <c r="E13" s="10">
        <f t="shared" si="0"/>
        <v>750000</v>
      </c>
      <c r="F13" s="10">
        <f t="shared" si="1"/>
        <v>450000</v>
      </c>
    </row>
    <row r="14" spans="1:6" x14ac:dyDescent="0.35">
      <c r="A14" s="9">
        <v>46330</v>
      </c>
      <c r="B14">
        <v>3228</v>
      </c>
      <c r="C14" t="s">
        <v>74</v>
      </c>
      <c r="D14" s="10">
        <v>50000</v>
      </c>
      <c r="E14" s="10">
        <f t="shared" si="0"/>
        <v>800000</v>
      </c>
      <c r="F14" s="10">
        <f t="shared" si="1"/>
        <v>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C20" sqref="C20"/>
    </sheetView>
  </sheetViews>
  <sheetFormatPr defaultRowHeight="14.5" x14ac:dyDescent="0.35"/>
  <sheetData>
    <row r="1" spans="1:6" ht="18.5" x14ac:dyDescent="0.45">
      <c r="A1" s="1" t="s">
        <v>69</v>
      </c>
      <c r="B1" s="1"/>
      <c r="C1" s="1"/>
      <c r="D1" s="1"/>
      <c r="E1" s="1"/>
      <c r="F1" s="1"/>
    </row>
    <row r="2" spans="1:6" ht="18.5" x14ac:dyDescent="0.45">
      <c r="A2" s="1" t="s">
        <v>70</v>
      </c>
      <c r="C2" s="1"/>
      <c r="D2" s="1"/>
      <c r="E2" s="1"/>
      <c r="F2" s="1"/>
    </row>
    <row r="3" spans="1:6" ht="18.5" x14ac:dyDescent="0.45">
      <c r="A3" s="1" t="s">
        <v>71</v>
      </c>
      <c r="B3" s="1"/>
      <c r="C3" s="1"/>
      <c r="D3" s="1"/>
      <c r="E3" s="1"/>
      <c r="F3" s="1"/>
    </row>
    <row r="4" spans="1:6" ht="18.5" x14ac:dyDescent="0.45">
      <c r="A4" s="1" t="s">
        <v>75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76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13804</v>
      </c>
      <c r="C8" t="s">
        <v>66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13320</v>
      </c>
      <c r="C9" t="s">
        <v>74</v>
      </c>
      <c r="D9" s="10">
        <v>50000</v>
      </c>
      <c r="E9" s="10">
        <f>SUM(E8+D9)</f>
        <v>550000</v>
      </c>
      <c r="F9" s="10">
        <f>F8-D9</f>
        <v>650000</v>
      </c>
    </row>
    <row r="10" spans="1:6" x14ac:dyDescent="0.35">
      <c r="A10" s="9">
        <v>45973</v>
      </c>
      <c r="B10">
        <v>13160</v>
      </c>
      <c r="C10" t="s">
        <v>74</v>
      </c>
      <c r="D10" s="10">
        <v>53400</v>
      </c>
      <c r="E10" s="10">
        <f t="shared" ref="E10:E14" si="0">SUM(E9+D10)</f>
        <v>603400</v>
      </c>
      <c r="F10" s="10">
        <f t="shared" ref="F10:F14" si="1">F9-D10</f>
        <v>596600</v>
      </c>
    </row>
    <row r="11" spans="1:6" x14ac:dyDescent="0.35">
      <c r="A11" s="9">
        <v>46296</v>
      </c>
      <c r="B11">
        <v>12048</v>
      </c>
      <c r="C11" t="s">
        <v>74</v>
      </c>
      <c r="D11" s="10">
        <v>46600</v>
      </c>
      <c r="E11" s="10">
        <f t="shared" si="0"/>
        <v>650000</v>
      </c>
      <c r="F11" s="10">
        <f t="shared" si="1"/>
        <v>550000</v>
      </c>
    </row>
    <row r="12" spans="1:6" x14ac:dyDescent="0.35">
      <c r="A12" s="9">
        <v>46175</v>
      </c>
      <c r="B12">
        <v>12357</v>
      </c>
      <c r="C12" t="s">
        <v>74</v>
      </c>
      <c r="D12" s="10">
        <v>50000</v>
      </c>
      <c r="E12" s="10">
        <f t="shared" si="0"/>
        <v>700000</v>
      </c>
      <c r="F12" s="10">
        <f t="shared" si="1"/>
        <v>500000</v>
      </c>
    </row>
    <row r="13" spans="1:6" x14ac:dyDescent="0.35">
      <c r="A13" s="9">
        <v>46359</v>
      </c>
      <c r="B13">
        <v>12831</v>
      </c>
      <c r="C13" t="s">
        <v>74</v>
      </c>
      <c r="D13" s="10">
        <v>50000</v>
      </c>
      <c r="E13" s="10">
        <f t="shared" si="0"/>
        <v>750000</v>
      </c>
      <c r="F13" s="10">
        <f t="shared" si="1"/>
        <v>450000</v>
      </c>
    </row>
    <row r="14" spans="1:6" x14ac:dyDescent="0.35">
      <c r="A14" s="9">
        <v>46330</v>
      </c>
      <c r="B14">
        <v>13227</v>
      </c>
      <c r="C14" t="s">
        <v>74</v>
      </c>
      <c r="D14" s="10">
        <v>50000</v>
      </c>
      <c r="E14" s="10">
        <f t="shared" si="0"/>
        <v>800000</v>
      </c>
      <c r="F14" s="10">
        <f t="shared" si="1"/>
        <v>400000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J19" sqref="J19"/>
    </sheetView>
  </sheetViews>
  <sheetFormatPr defaultRowHeight="14.5" x14ac:dyDescent="0.35"/>
  <cols>
    <col min="3" max="3" width="13.36328125" customWidth="1"/>
    <col min="4" max="4" width="10.81640625" customWidth="1"/>
  </cols>
  <sheetData>
    <row r="1" spans="1:6" ht="18.5" x14ac:dyDescent="0.45">
      <c r="A1" s="1" t="s">
        <v>121</v>
      </c>
      <c r="B1" s="1"/>
      <c r="C1" s="1"/>
      <c r="D1" s="1"/>
      <c r="E1" s="1"/>
      <c r="F1" s="1"/>
    </row>
    <row r="2" spans="1:6" ht="18.5" x14ac:dyDescent="0.45">
      <c r="A2" s="1" t="s">
        <v>122</v>
      </c>
      <c r="C2" s="1"/>
      <c r="D2" s="1"/>
      <c r="E2" s="1"/>
      <c r="F2" s="1"/>
    </row>
    <row r="3" spans="1:6" ht="18.5" x14ac:dyDescent="0.45">
      <c r="A3" s="1" t="s">
        <v>123</v>
      </c>
      <c r="B3" s="1"/>
      <c r="C3" s="1"/>
      <c r="D3" s="1"/>
      <c r="E3" s="1"/>
      <c r="F3" s="1"/>
    </row>
    <row r="4" spans="1:6" ht="18.5" x14ac:dyDescent="0.45">
      <c r="A4" s="1" t="s">
        <v>126</v>
      </c>
      <c r="B4" s="1"/>
      <c r="C4" s="1"/>
      <c r="D4" s="1"/>
      <c r="E4" s="1"/>
      <c r="F4" s="1"/>
    </row>
    <row r="5" spans="1:6" ht="18.5" x14ac:dyDescent="0.45">
      <c r="A5" s="1" t="s">
        <v>124</v>
      </c>
      <c r="B5" s="1"/>
      <c r="C5" s="1"/>
      <c r="D5" s="1"/>
      <c r="E5" s="1"/>
      <c r="F5" s="1"/>
    </row>
    <row r="6" spans="1:6" ht="18.5" x14ac:dyDescent="0.45">
      <c r="A6" s="1" t="s">
        <v>125</v>
      </c>
      <c r="B6" s="1"/>
      <c r="C6" s="1"/>
      <c r="D6" s="1" t="s">
        <v>55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127</v>
      </c>
      <c r="B8">
        <v>13048</v>
      </c>
      <c r="C8" t="s">
        <v>66</v>
      </c>
      <c r="D8" s="10">
        <v>1500000</v>
      </c>
      <c r="E8" s="10">
        <v>1500000</v>
      </c>
      <c r="F8" t="s">
        <v>25</v>
      </c>
    </row>
    <row r="9" spans="1:6" x14ac:dyDescent="0.35">
      <c r="A9" t="s">
        <v>127</v>
      </c>
      <c r="B9">
        <v>5999</v>
      </c>
      <c r="C9" t="s">
        <v>128</v>
      </c>
      <c r="D9" s="10">
        <v>300000</v>
      </c>
      <c r="E9" s="10">
        <v>300000</v>
      </c>
      <c r="F9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"/>
  <sheetViews>
    <sheetView topLeftCell="A38" workbookViewId="0">
      <selection activeCell="C15" sqref="C15"/>
    </sheetView>
  </sheetViews>
  <sheetFormatPr defaultRowHeight="14.5" x14ac:dyDescent="0.35"/>
  <cols>
    <col min="1" max="1" width="11.1796875" customWidth="1"/>
    <col min="2" max="2" width="9.7265625" customWidth="1"/>
    <col min="3" max="3" width="19.08984375" customWidth="1"/>
    <col min="4" max="4" width="13.7265625" customWidth="1"/>
    <col min="5" max="5" width="12.90625" customWidth="1"/>
    <col min="6" max="6" width="11.08984375" customWidth="1"/>
  </cols>
  <sheetData>
    <row r="1" spans="1:6" ht="18.5" x14ac:dyDescent="0.45">
      <c r="A1" s="1" t="s">
        <v>17</v>
      </c>
      <c r="B1" s="1"/>
      <c r="C1" s="1"/>
      <c r="D1" s="1"/>
      <c r="E1" s="1"/>
      <c r="F1" s="1"/>
    </row>
    <row r="2" spans="1:6" ht="18.5" x14ac:dyDescent="0.45">
      <c r="A2" s="1" t="s">
        <v>18</v>
      </c>
      <c r="C2" s="1"/>
      <c r="D2" s="1"/>
      <c r="E2" s="1"/>
      <c r="F2" s="1"/>
    </row>
    <row r="3" spans="1:6" ht="18.5" x14ac:dyDescent="0.45">
      <c r="A3" s="1" t="s">
        <v>19</v>
      </c>
      <c r="B3" s="1"/>
      <c r="C3" s="1"/>
      <c r="D3" s="1"/>
      <c r="E3" s="1"/>
      <c r="F3" s="1"/>
    </row>
    <row r="4" spans="1:6" ht="18.5" x14ac:dyDescent="0.45">
      <c r="A4" s="1" t="s">
        <v>239</v>
      </c>
      <c r="B4" s="1"/>
      <c r="C4" s="1"/>
      <c r="D4" s="1"/>
      <c r="E4" s="1"/>
      <c r="F4" s="1"/>
    </row>
    <row r="5" spans="1:6" ht="18.5" x14ac:dyDescent="0.45">
      <c r="A5" s="1" t="s">
        <v>20</v>
      </c>
      <c r="B5" s="1"/>
      <c r="C5" s="1"/>
      <c r="D5" s="1"/>
      <c r="E5" s="1"/>
      <c r="F5" s="1"/>
    </row>
    <row r="6" spans="1:6" ht="18.5" x14ac:dyDescent="0.45">
      <c r="A6" s="1" t="s">
        <v>21</v>
      </c>
      <c r="B6" s="1"/>
      <c r="C6" s="1"/>
      <c r="D6" s="1" t="s">
        <v>22</v>
      </c>
      <c r="E6" s="1"/>
      <c r="F6" s="1"/>
    </row>
    <row r="7" spans="1:6" x14ac:dyDescent="0.35">
      <c r="A7" s="49" t="s">
        <v>1</v>
      </c>
      <c r="B7" s="48" t="s">
        <v>2</v>
      </c>
      <c r="C7" s="48" t="s">
        <v>3</v>
      </c>
      <c r="D7" s="48" t="s">
        <v>4</v>
      </c>
      <c r="E7" s="48" t="s">
        <v>5</v>
      </c>
      <c r="F7" s="48" t="s">
        <v>6</v>
      </c>
    </row>
    <row r="8" spans="1:6" x14ac:dyDescent="0.35">
      <c r="A8" t="s">
        <v>23</v>
      </c>
      <c r="B8">
        <v>1879</v>
      </c>
      <c r="C8" t="s">
        <v>24</v>
      </c>
      <c r="D8" s="10">
        <v>450000</v>
      </c>
      <c r="E8" s="10">
        <v>450000</v>
      </c>
      <c r="F8" t="s">
        <v>25</v>
      </c>
    </row>
    <row r="9" spans="1:6" x14ac:dyDescent="0.35">
      <c r="C9" t="s">
        <v>26</v>
      </c>
    </row>
    <row r="11" spans="1:6" ht="18.5" x14ac:dyDescent="0.45">
      <c r="A11" s="50" t="s">
        <v>119</v>
      </c>
      <c r="B11" s="50"/>
      <c r="C11" s="50"/>
    </row>
    <row r="12" spans="1:6" x14ac:dyDescent="0.35">
      <c r="A12" s="49" t="s">
        <v>1</v>
      </c>
      <c r="B12" s="48" t="s">
        <v>2</v>
      </c>
      <c r="C12" s="48" t="s">
        <v>3</v>
      </c>
      <c r="D12" s="48" t="s">
        <v>4</v>
      </c>
      <c r="E12" s="48" t="s">
        <v>5</v>
      </c>
      <c r="F12" s="48" t="s">
        <v>6</v>
      </c>
    </row>
    <row r="13" spans="1:6" ht="28" x14ac:dyDescent="0.35">
      <c r="A13" s="51" t="s">
        <v>523</v>
      </c>
      <c r="B13" s="51" t="s">
        <v>524</v>
      </c>
      <c r="C13" s="52" t="s">
        <v>385</v>
      </c>
      <c r="D13" s="52">
        <v>10000</v>
      </c>
      <c r="E13" s="53">
        <v>10000</v>
      </c>
      <c r="F13" s="19">
        <v>440000</v>
      </c>
    </row>
    <row r="14" spans="1:6" ht="28" x14ac:dyDescent="0.35">
      <c r="A14" s="54">
        <v>45568</v>
      </c>
      <c r="B14" s="51" t="s">
        <v>525</v>
      </c>
      <c r="C14" s="52" t="s">
        <v>385</v>
      </c>
      <c r="D14" s="52">
        <v>10000</v>
      </c>
      <c r="E14" s="19">
        <f t="shared" ref="E14:E40" si="0">E13+D14</f>
        <v>20000</v>
      </c>
      <c r="F14" s="52">
        <f t="shared" ref="F14:F40" si="1">F13-D14</f>
        <v>430000</v>
      </c>
    </row>
    <row r="15" spans="1:6" ht="28" x14ac:dyDescent="0.35">
      <c r="A15" s="54">
        <v>45477</v>
      </c>
      <c r="B15" s="51" t="s">
        <v>526</v>
      </c>
      <c r="C15" s="52" t="s">
        <v>385</v>
      </c>
      <c r="D15" s="52">
        <v>10000</v>
      </c>
      <c r="E15" s="19">
        <f t="shared" si="0"/>
        <v>30000</v>
      </c>
      <c r="F15" s="52">
        <f t="shared" si="1"/>
        <v>420000</v>
      </c>
    </row>
    <row r="16" spans="1:6" ht="28" x14ac:dyDescent="0.35">
      <c r="A16" s="54">
        <v>45448</v>
      </c>
      <c r="B16" s="51" t="s">
        <v>527</v>
      </c>
      <c r="C16" s="52" t="s">
        <v>385</v>
      </c>
      <c r="D16" s="52">
        <v>10000</v>
      </c>
      <c r="E16" s="19">
        <f t="shared" si="0"/>
        <v>40000</v>
      </c>
      <c r="F16" s="52">
        <f t="shared" si="1"/>
        <v>410000</v>
      </c>
    </row>
    <row r="17" spans="1:6" ht="28" x14ac:dyDescent="0.35">
      <c r="A17" s="54">
        <v>45541</v>
      </c>
      <c r="B17" s="51" t="s">
        <v>528</v>
      </c>
      <c r="C17" s="52" t="s">
        <v>385</v>
      </c>
      <c r="D17" s="52">
        <v>10000</v>
      </c>
      <c r="E17" s="19">
        <f t="shared" si="0"/>
        <v>50000</v>
      </c>
      <c r="F17" s="52">
        <f t="shared" si="1"/>
        <v>400000</v>
      </c>
    </row>
    <row r="18" spans="1:6" ht="28" x14ac:dyDescent="0.35">
      <c r="A18" s="54">
        <v>45603</v>
      </c>
      <c r="B18" s="51" t="s">
        <v>529</v>
      </c>
      <c r="C18" s="52" t="s">
        <v>385</v>
      </c>
      <c r="D18" s="52">
        <v>10000</v>
      </c>
      <c r="E18" s="19">
        <f t="shared" si="0"/>
        <v>60000</v>
      </c>
      <c r="F18" s="52">
        <f t="shared" si="1"/>
        <v>390000</v>
      </c>
    </row>
    <row r="19" spans="1:6" ht="42" x14ac:dyDescent="0.35">
      <c r="A19" s="54">
        <v>45482</v>
      </c>
      <c r="B19" s="51" t="s">
        <v>530</v>
      </c>
      <c r="C19" s="52" t="s">
        <v>385</v>
      </c>
      <c r="D19" s="52">
        <v>15000</v>
      </c>
      <c r="E19" s="19">
        <f t="shared" si="0"/>
        <v>75000</v>
      </c>
      <c r="F19" s="52">
        <f t="shared" si="1"/>
        <v>375000</v>
      </c>
    </row>
    <row r="20" spans="1:6" ht="28" x14ac:dyDescent="0.35">
      <c r="A20" s="51" t="s">
        <v>531</v>
      </c>
      <c r="B20" s="51" t="s">
        <v>532</v>
      </c>
      <c r="C20" s="52" t="s">
        <v>385</v>
      </c>
      <c r="D20" s="52">
        <v>15000</v>
      </c>
      <c r="E20" s="19">
        <f t="shared" si="0"/>
        <v>90000</v>
      </c>
      <c r="F20" s="52">
        <f t="shared" si="1"/>
        <v>360000</v>
      </c>
    </row>
    <row r="21" spans="1:6" ht="28" x14ac:dyDescent="0.35">
      <c r="A21" s="54">
        <v>45546</v>
      </c>
      <c r="B21" s="51" t="s">
        <v>533</v>
      </c>
      <c r="C21" s="52" t="s">
        <v>385</v>
      </c>
      <c r="D21" s="52">
        <v>10000</v>
      </c>
      <c r="E21" s="19">
        <f t="shared" si="0"/>
        <v>100000</v>
      </c>
      <c r="F21" s="52">
        <f t="shared" si="1"/>
        <v>350000</v>
      </c>
    </row>
    <row r="22" spans="1:6" ht="28" x14ac:dyDescent="0.35">
      <c r="A22" s="54">
        <v>45809</v>
      </c>
      <c r="B22" s="51" t="s">
        <v>534</v>
      </c>
      <c r="C22" s="52" t="s">
        <v>385</v>
      </c>
      <c r="D22" s="52">
        <v>15000</v>
      </c>
      <c r="E22" s="19">
        <f t="shared" si="0"/>
        <v>115000</v>
      </c>
      <c r="F22" s="52">
        <f t="shared" si="1"/>
        <v>335000</v>
      </c>
    </row>
    <row r="23" spans="1:6" ht="28" x14ac:dyDescent="0.35">
      <c r="A23" s="54">
        <v>45963</v>
      </c>
      <c r="B23" s="51" t="s">
        <v>535</v>
      </c>
      <c r="C23" s="52" t="s">
        <v>385</v>
      </c>
      <c r="D23" s="52">
        <v>15000</v>
      </c>
      <c r="E23" s="19">
        <f t="shared" si="0"/>
        <v>130000</v>
      </c>
      <c r="F23" s="52">
        <f t="shared" si="1"/>
        <v>320000</v>
      </c>
    </row>
    <row r="24" spans="1:6" ht="28" x14ac:dyDescent="0.35">
      <c r="A24" s="54">
        <v>45903</v>
      </c>
      <c r="B24" s="51" t="s">
        <v>536</v>
      </c>
      <c r="C24" s="52" t="s">
        <v>385</v>
      </c>
      <c r="D24" s="52">
        <v>10000</v>
      </c>
      <c r="E24" s="19">
        <f t="shared" si="0"/>
        <v>140000</v>
      </c>
      <c r="F24" s="52">
        <f t="shared" si="1"/>
        <v>310000</v>
      </c>
    </row>
    <row r="25" spans="1:6" ht="42" x14ac:dyDescent="0.35">
      <c r="A25" s="51" t="s">
        <v>537</v>
      </c>
      <c r="B25" s="51" t="s">
        <v>538</v>
      </c>
      <c r="C25" s="52" t="s">
        <v>385</v>
      </c>
      <c r="D25" s="52">
        <v>10000</v>
      </c>
      <c r="E25" s="19">
        <f t="shared" si="0"/>
        <v>150000</v>
      </c>
      <c r="F25" s="52">
        <f t="shared" si="1"/>
        <v>300000</v>
      </c>
    </row>
    <row r="26" spans="1:6" ht="28" x14ac:dyDescent="0.35">
      <c r="A26" s="54">
        <v>45996</v>
      </c>
      <c r="B26" s="51" t="s">
        <v>539</v>
      </c>
      <c r="C26" s="52" t="s">
        <v>385</v>
      </c>
      <c r="D26" s="52">
        <v>10000</v>
      </c>
      <c r="E26" s="19">
        <f t="shared" si="0"/>
        <v>160000</v>
      </c>
      <c r="F26" s="52">
        <f t="shared" si="1"/>
        <v>290000</v>
      </c>
    </row>
    <row r="27" spans="1:6" ht="28" x14ac:dyDescent="0.35">
      <c r="A27" s="51" t="s">
        <v>540</v>
      </c>
      <c r="B27" s="51" t="s">
        <v>541</v>
      </c>
      <c r="C27" s="52" t="s">
        <v>385</v>
      </c>
      <c r="D27" s="52">
        <v>10000</v>
      </c>
      <c r="E27" s="19">
        <f t="shared" si="0"/>
        <v>170000</v>
      </c>
      <c r="F27" s="52">
        <f t="shared" si="1"/>
        <v>280000</v>
      </c>
    </row>
    <row r="28" spans="1:6" ht="28" x14ac:dyDescent="0.35">
      <c r="A28" s="54">
        <v>45724</v>
      </c>
      <c r="B28" s="51" t="s">
        <v>542</v>
      </c>
      <c r="C28" s="52" t="s">
        <v>385</v>
      </c>
      <c r="D28" s="52">
        <v>10000</v>
      </c>
      <c r="E28" s="19">
        <f t="shared" si="0"/>
        <v>180000</v>
      </c>
      <c r="F28" s="52">
        <f t="shared" si="1"/>
        <v>270000</v>
      </c>
    </row>
    <row r="29" spans="1:6" ht="28" x14ac:dyDescent="0.35">
      <c r="A29" s="54">
        <v>45847</v>
      </c>
      <c r="B29" s="51" t="s">
        <v>543</v>
      </c>
      <c r="C29" s="52" t="s">
        <v>385</v>
      </c>
      <c r="D29" s="52">
        <v>5000</v>
      </c>
      <c r="E29" s="19">
        <f t="shared" si="0"/>
        <v>185000</v>
      </c>
      <c r="F29" s="52">
        <f t="shared" si="1"/>
        <v>265000</v>
      </c>
    </row>
    <row r="30" spans="1:6" ht="28" x14ac:dyDescent="0.35">
      <c r="A30" s="54">
        <v>45726</v>
      </c>
      <c r="B30" s="51" t="s">
        <v>544</v>
      </c>
      <c r="C30" s="52" t="s">
        <v>385</v>
      </c>
      <c r="D30" s="52">
        <v>5000</v>
      </c>
      <c r="E30" s="19">
        <f t="shared" si="0"/>
        <v>190000</v>
      </c>
      <c r="F30" s="52">
        <f t="shared" si="1"/>
        <v>260000</v>
      </c>
    </row>
    <row r="31" spans="1:6" ht="28" x14ac:dyDescent="0.35">
      <c r="A31" s="54">
        <v>45911</v>
      </c>
      <c r="B31" s="51" t="s">
        <v>545</v>
      </c>
      <c r="C31" s="52" t="s">
        <v>385</v>
      </c>
      <c r="D31" s="52">
        <v>5000</v>
      </c>
      <c r="E31" s="19">
        <f t="shared" si="0"/>
        <v>195000</v>
      </c>
      <c r="F31" s="52">
        <f t="shared" si="1"/>
        <v>255000</v>
      </c>
    </row>
    <row r="32" spans="1:6" ht="28" x14ac:dyDescent="0.35">
      <c r="A32" s="54">
        <v>45700</v>
      </c>
      <c r="B32" s="51" t="s">
        <v>546</v>
      </c>
      <c r="C32" s="52" t="s">
        <v>385</v>
      </c>
      <c r="D32" s="52">
        <v>5000</v>
      </c>
      <c r="E32" s="19">
        <f t="shared" si="0"/>
        <v>200000</v>
      </c>
      <c r="F32" s="52">
        <f t="shared" si="1"/>
        <v>250000</v>
      </c>
    </row>
    <row r="33" spans="1:6" ht="28" x14ac:dyDescent="0.35">
      <c r="A33" s="54">
        <v>46327</v>
      </c>
      <c r="B33" s="51" t="s">
        <v>547</v>
      </c>
      <c r="C33" s="52" t="s">
        <v>385</v>
      </c>
      <c r="D33" s="52">
        <v>5000</v>
      </c>
      <c r="E33" s="19">
        <f t="shared" si="0"/>
        <v>205000</v>
      </c>
      <c r="F33" s="52">
        <f t="shared" si="1"/>
        <v>245000</v>
      </c>
    </row>
    <row r="34" spans="1:6" ht="28" x14ac:dyDescent="0.35">
      <c r="A34" s="54">
        <v>46236</v>
      </c>
      <c r="B34" s="51" t="s">
        <v>548</v>
      </c>
      <c r="C34" s="52" t="s">
        <v>385</v>
      </c>
      <c r="D34" s="52">
        <v>5000</v>
      </c>
      <c r="E34" s="19">
        <f t="shared" si="0"/>
        <v>210000</v>
      </c>
      <c r="F34" s="52">
        <f t="shared" si="1"/>
        <v>240000</v>
      </c>
    </row>
    <row r="35" spans="1:6" ht="28" x14ac:dyDescent="0.35">
      <c r="A35" s="51" t="s">
        <v>549</v>
      </c>
      <c r="B35" s="51" t="s">
        <v>550</v>
      </c>
      <c r="C35" s="52" t="s">
        <v>385</v>
      </c>
      <c r="D35" s="52">
        <v>10000</v>
      </c>
      <c r="E35" s="19">
        <f t="shared" si="0"/>
        <v>220000</v>
      </c>
      <c r="F35" s="52">
        <f t="shared" si="1"/>
        <v>230000</v>
      </c>
    </row>
    <row r="36" spans="1:6" ht="42" x14ac:dyDescent="0.35">
      <c r="A36" s="51" t="s">
        <v>551</v>
      </c>
      <c r="B36" s="51" t="s">
        <v>552</v>
      </c>
      <c r="C36" s="52" t="s">
        <v>385</v>
      </c>
      <c r="D36" s="52">
        <v>5000</v>
      </c>
      <c r="E36" s="19">
        <f t="shared" si="0"/>
        <v>225000</v>
      </c>
      <c r="F36" s="52">
        <f t="shared" si="1"/>
        <v>225000</v>
      </c>
    </row>
    <row r="37" spans="1:6" ht="28" x14ac:dyDescent="0.35">
      <c r="A37" s="54">
        <v>46209</v>
      </c>
      <c r="B37" s="51" t="s">
        <v>553</v>
      </c>
      <c r="C37" s="52" t="s">
        <v>385</v>
      </c>
      <c r="D37" s="52">
        <v>10000</v>
      </c>
      <c r="E37" s="19">
        <f t="shared" si="0"/>
        <v>235000</v>
      </c>
      <c r="F37" s="52">
        <f t="shared" si="1"/>
        <v>215000</v>
      </c>
    </row>
    <row r="38" spans="1:6" ht="28" x14ac:dyDescent="0.35">
      <c r="A38" s="54">
        <v>46180</v>
      </c>
      <c r="B38" s="51" t="s">
        <v>554</v>
      </c>
      <c r="C38" s="52" t="s">
        <v>385</v>
      </c>
      <c r="D38" s="52">
        <v>10000</v>
      </c>
      <c r="E38" s="19">
        <f t="shared" si="0"/>
        <v>245000</v>
      </c>
      <c r="F38" s="52">
        <f t="shared" si="1"/>
        <v>205000</v>
      </c>
    </row>
    <row r="39" spans="1:6" ht="28" x14ac:dyDescent="0.35">
      <c r="A39" s="54">
        <v>46303</v>
      </c>
      <c r="B39" s="51" t="s">
        <v>555</v>
      </c>
      <c r="C39" s="52" t="s">
        <v>385</v>
      </c>
      <c r="D39" s="52">
        <v>10000</v>
      </c>
      <c r="E39" s="19">
        <f t="shared" si="0"/>
        <v>255000</v>
      </c>
      <c r="F39" s="52">
        <f t="shared" si="1"/>
        <v>195000</v>
      </c>
    </row>
    <row r="40" spans="1:6" ht="28" x14ac:dyDescent="0.35">
      <c r="A40" s="51" t="s">
        <v>556</v>
      </c>
      <c r="B40" s="51" t="s">
        <v>557</v>
      </c>
      <c r="C40" s="52" t="s">
        <v>385</v>
      </c>
      <c r="D40" s="52">
        <v>30000</v>
      </c>
      <c r="E40" s="19">
        <f t="shared" si="0"/>
        <v>285000</v>
      </c>
      <c r="F40" s="52">
        <f t="shared" si="1"/>
        <v>165000</v>
      </c>
    </row>
    <row r="41" spans="1:6" x14ac:dyDescent="0.35">
      <c r="E41" s="10"/>
    </row>
    <row r="42" spans="1:6" x14ac:dyDescent="0.35">
      <c r="E42" s="10"/>
    </row>
    <row r="43" spans="1:6" x14ac:dyDescent="0.35">
      <c r="E43" s="10"/>
    </row>
    <row r="44" spans="1:6" x14ac:dyDescent="0.35">
      <c r="E44" s="10"/>
    </row>
    <row r="45" spans="1:6" x14ac:dyDescent="0.35">
      <c r="E45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>
      <selection activeCell="I12" sqref="I12"/>
    </sheetView>
  </sheetViews>
  <sheetFormatPr defaultRowHeight="14.5" x14ac:dyDescent="0.35"/>
  <cols>
    <col min="3" max="3" width="14.26953125" customWidth="1"/>
    <col min="4" max="4" width="16.08984375" customWidth="1"/>
    <col min="5" max="5" width="14.08984375" customWidth="1"/>
    <col min="6" max="6" width="14.90625" customWidth="1"/>
  </cols>
  <sheetData>
    <row r="1" spans="1:7" ht="18.5" x14ac:dyDescent="0.45">
      <c r="A1" s="1" t="s">
        <v>387</v>
      </c>
      <c r="B1" s="1"/>
      <c r="C1" s="1"/>
      <c r="D1" s="1"/>
      <c r="E1" s="1"/>
      <c r="F1" s="1"/>
    </row>
    <row r="2" spans="1:7" ht="18.5" x14ac:dyDescent="0.45">
      <c r="A2" s="1" t="s">
        <v>377</v>
      </c>
      <c r="C2" s="1"/>
      <c r="D2" s="1"/>
      <c r="E2" s="1"/>
      <c r="F2" s="1"/>
    </row>
    <row r="3" spans="1:7" ht="18.5" x14ac:dyDescent="0.45">
      <c r="A3" s="1" t="s">
        <v>378</v>
      </c>
      <c r="B3" s="1"/>
      <c r="C3" s="1"/>
      <c r="D3" s="1"/>
      <c r="E3" s="1"/>
      <c r="F3" s="1"/>
    </row>
    <row r="4" spans="1:7" ht="18.5" x14ac:dyDescent="0.45">
      <c r="A4" s="1" t="s">
        <v>381</v>
      </c>
      <c r="B4" s="1"/>
      <c r="C4" s="1"/>
      <c r="D4" s="1"/>
      <c r="E4" s="1"/>
      <c r="F4" s="1"/>
    </row>
    <row r="5" spans="1:7" ht="18.5" x14ac:dyDescent="0.45">
      <c r="A5" s="1" t="s">
        <v>379</v>
      </c>
      <c r="B5" s="1"/>
      <c r="C5" s="1"/>
      <c r="D5" s="1"/>
      <c r="E5" s="1"/>
      <c r="F5" s="1"/>
    </row>
    <row r="6" spans="1:7" ht="18.5" x14ac:dyDescent="0.45">
      <c r="A6" s="1" t="s">
        <v>380</v>
      </c>
      <c r="B6" s="1"/>
      <c r="C6" s="1"/>
      <c r="D6" s="1" t="s">
        <v>22</v>
      </c>
      <c r="E6" s="1"/>
      <c r="F6" s="1"/>
    </row>
    <row r="7" spans="1:7" ht="18.5" x14ac:dyDescent="0.45">
      <c r="A7" s="27" t="s">
        <v>1</v>
      </c>
      <c r="B7" s="28" t="s">
        <v>2</v>
      </c>
      <c r="C7" s="28" t="s">
        <v>3</v>
      </c>
      <c r="D7" s="28" t="s">
        <v>4</v>
      </c>
      <c r="E7" s="28" t="s">
        <v>5</v>
      </c>
      <c r="F7" s="28" t="s">
        <v>6</v>
      </c>
      <c r="G7" s="1"/>
    </row>
    <row r="8" spans="1:7" x14ac:dyDescent="0.35">
      <c r="A8" t="s">
        <v>382</v>
      </c>
      <c r="B8" t="s">
        <v>383</v>
      </c>
    </row>
    <row r="11" spans="1:7" ht="18.5" x14ac:dyDescent="0.45">
      <c r="A11" s="29" t="s">
        <v>384</v>
      </c>
      <c r="B11" s="29"/>
      <c r="C11" s="30"/>
    </row>
    <row r="12" spans="1:7" ht="18.5" x14ac:dyDescent="0.45">
      <c r="A12" s="27" t="s">
        <v>1</v>
      </c>
      <c r="B12" s="28" t="s">
        <v>2</v>
      </c>
      <c r="C12" s="28" t="s">
        <v>3</v>
      </c>
      <c r="D12" s="28" t="s">
        <v>4</v>
      </c>
      <c r="E12" s="28" t="s">
        <v>5</v>
      </c>
      <c r="F12" s="28" t="s">
        <v>6</v>
      </c>
    </row>
    <row r="13" spans="1:7" x14ac:dyDescent="0.35">
      <c r="A13" t="s">
        <v>374</v>
      </c>
      <c r="B13">
        <v>1952</v>
      </c>
      <c r="C13" t="s">
        <v>385</v>
      </c>
      <c r="D13" s="10">
        <v>190000</v>
      </c>
      <c r="E13" s="10">
        <v>375000</v>
      </c>
      <c r="F13" t="s">
        <v>386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5"/>
  <sheetViews>
    <sheetView topLeftCell="A21" workbookViewId="0">
      <selection activeCell="K38" sqref="K38"/>
    </sheetView>
  </sheetViews>
  <sheetFormatPr defaultRowHeight="14.5" x14ac:dyDescent="0.35"/>
  <cols>
    <col min="1" max="1" width="10.453125" bestFit="1" customWidth="1"/>
  </cols>
  <sheetData>
    <row r="1" spans="1:6" ht="18.5" x14ac:dyDescent="0.45">
      <c r="A1" s="1" t="s">
        <v>357</v>
      </c>
      <c r="B1" s="1"/>
      <c r="C1" s="1"/>
      <c r="D1" s="1"/>
      <c r="E1" s="1"/>
      <c r="F1" s="1"/>
    </row>
    <row r="2" spans="1:6" ht="18.5" x14ac:dyDescent="0.45">
      <c r="A2" s="1" t="s">
        <v>358</v>
      </c>
      <c r="C2" s="1"/>
      <c r="D2" s="1"/>
      <c r="E2" s="1"/>
      <c r="F2" s="1"/>
    </row>
    <row r="3" spans="1:6" ht="18.5" x14ac:dyDescent="0.45">
      <c r="A3" s="1" t="s">
        <v>359</v>
      </c>
      <c r="B3" s="1"/>
      <c r="C3" s="1"/>
      <c r="D3" s="1"/>
      <c r="E3" s="1"/>
      <c r="F3" s="1"/>
    </row>
    <row r="4" spans="1:6" ht="18.5" x14ac:dyDescent="0.45">
      <c r="A4" s="1" t="s">
        <v>361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356</v>
      </c>
      <c r="B6" s="1"/>
      <c r="C6" s="1"/>
      <c r="D6" s="1" t="s">
        <v>360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8.5" x14ac:dyDescent="0.45">
      <c r="A8" s="21" t="s">
        <v>362</v>
      </c>
      <c r="B8" s="18">
        <v>1236</v>
      </c>
      <c r="C8" s="18" t="s">
        <v>14</v>
      </c>
      <c r="D8" s="19">
        <v>10000</v>
      </c>
      <c r="E8" s="19">
        <v>10000</v>
      </c>
      <c r="F8" s="19">
        <v>295000</v>
      </c>
    </row>
    <row r="9" spans="1:6" x14ac:dyDescent="0.35">
      <c r="A9" s="22">
        <v>44570</v>
      </c>
      <c r="B9" s="18">
        <v>337</v>
      </c>
      <c r="C9" s="18" t="s">
        <v>14</v>
      </c>
      <c r="D9" s="19">
        <v>10000</v>
      </c>
      <c r="E9" s="19">
        <f t="shared" ref="E9:E32" si="0">E8+D9</f>
        <v>20000</v>
      </c>
      <c r="F9" s="19">
        <f t="shared" ref="F9:F32" si="1">F8-D9</f>
        <v>285000</v>
      </c>
    </row>
    <row r="10" spans="1:6" ht="18.5" x14ac:dyDescent="0.45">
      <c r="A10" s="23" t="s">
        <v>363</v>
      </c>
      <c r="B10" s="18">
        <v>2284</v>
      </c>
      <c r="C10" s="18" t="s">
        <v>366</v>
      </c>
      <c r="D10" s="19">
        <v>30000</v>
      </c>
      <c r="E10" s="19">
        <f t="shared" si="0"/>
        <v>50000</v>
      </c>
      <c r="F10" s="19">
        <f t="shared" si="1"/>
        <v>255000</v>
      </c>
    </row>
    <row r="11" spans="1:6" x14ac:dyDescent="0.35">
      <c r="A11" s="2" t="s">
        <v>364</v>
      </c>
      <c r="B11" s="18">
        <v>2286</v>
      </c>
      <c r="C11" s="18" t="s">
        <v>14</v>
      </c>
      <c r="D11" s="19">
        <v>10000</v>
      </c>
      <c r="E11" s="19">
        <f t="shared" si="0"/>
        <v>60000</v>
      </c>
      <c r="F11" s="19">
        <f t="shared" si="1"/>
        <v>245000</v>
      </c>
    </row>
    <row r="12" spans="1:6" x14ac:dyDescent="0.35">
      <c r="A12" s="2" t="s">
        <v>365</v>
      </c>
      <c r="B12" s="18">
        <v>1958</v>
      </c>
      <c r="C12" s="18" t="s">
        <v>14</v>
      </c>
      <c r="D12" s="19">
        <v>10000</v>
      </c>
      <c r="E12" s="19">
        <f t="shared" si="0"/>
        <v>70000</v>
      </c>
      <c r="F12" s="19">
        <f t="shared" si="1"/>
        <v>235000</v>
      </c>
    </row>
    <row r="13" spans="1:6" x14ac:dyDescent="0.35">
      <c r="A13" s="24">
        <v>45082</v>
      </c>
      <c r="B13" s="18">
        <v>1425</v>
      </c>
      <c r="C13" s="18" t="s">
        <v>14</v>
      </c>
      <c r="D13" s="19">
        <v>10000</v>
      </c>
      <c r="E13" s="19">
        <f t="shared" si="0"/>
        <v>80000</v>
      </c>
      <c r="F13" s="19">
        <f t="shared" si="1"/>
        <v>225000</v>
      </c>
    </row>
    <row r="14" spans="1:6" x14ac:dyDescent="0.35">
      <c r="A14" s="24">
        <v>45083</v>
      </c>
      <c r="B14" s="18">
        <v>344</v>
      </c>
      <c r="C14" s="18" t="s">
        <v>14</v>
      </c>
      <c r="D14" s="19">
        <v>10000</v>
      </c>
      <c r="E14" s="19">
        <f t="shared" si="0"/>
        <v>90000</v>
      </c>
      <c r="F14" s="19">
        <f t="shared" si="1"/>
        <v>215000</v>
      </c>
    </row>
    <row r="15" spans="1:6" x14ac:dyDescent="0.35">
      <c r="A15" s="24">
        <v>45237</v>
      </c>
      <c r="B15" s="18">
        <v>2683</v>
      </c>
      <c r="C15" s="18" t="s">
        <v>14</v>
      </c>
      <c r="D15" s="19">
        <v>10000</v>
      </c>
      <c r="E15" s="19">
        <f t="shared" si="0"/>
        <v>100000</v>
      </c>
      <c r="F15" s="19">
        <f t="shared" si="1"/>
        <v>205000</v>
      </c>
    </row>
    <row r="16" spans="1:6" x14ac:dyDescent="0.35">
      <c r="A16" s="24">
        <v>45178</v>
      </c>
      <c r="B16" s="18">
        <v>3486</v>
      </c>
      <c r="C16" s="18" t="s">
        <v>14</v>
      </c>
      <c r="D16" s="19">
        <v>15000</v>
      </c>
      <c r="E16" s="19">
        <f t="shared" si="0"/>
        <v>115000</v>
      </c>
      <c r="F16" s="19">
        <f t="shared" si="1"/>
        <v>190000</v>
      </c>
    </row>
    <row r="17" spans="1:6" x14ac:dyDescent="0.35">
      <c r="A17" s="24">
        <v>45117</v>
      </c>
      <c r="B17" s="18">
        <v>4056</v>
      </c>
      <c r="C17" s="18" t="s">
        <v>14</v>
      </c>
      <c r="D17" s="19">
        <v>15000</v>
      </c>
      <c r="E17" s="19">
        <f t="shared" si="0"/>
        <v>130000</v>
      </c>
      <c r="F17" s="19">
        <f t="shared" si="1"/>
        <v>175000</v>
      </c>
    </row>
    <row r="18" spans="1:6" x14ac:dyDescent="0.35">
      <c r="A18" s="24">
        <v>45211</v>
      </c>
      <c r="B18" s="18">
        <v>5434</v>
      </c>
      <c r="C18" s="18" t="s">
        <v>14</v>
      </c>
      <c r="D18" s="19">
        <v>10000</v>
      </c>
      <c r="E18" s="19">
        <f t="shared" si="0"/>
        <v>140000</v>
      </c>
      <c r="F18" s="19">
        <f t="shared" si="1"/>
        <v>165000</v>
      </c>
    </row>
    <row r="19" spans="1:6" x14ac:dyDescent="0.35">
      <c r="A19" s="2" t="s">
        <v>367</v>
      </c>
      <c r="B19" s="18">
        <v>4943</v>
      </c>
      <c r="C19" s="18" t="s">
        <v>14</v>
      </c>
      <c r="D19" s="19">
        <v>10000</v>
      </c>
      <c r="E19" s="19">
        <f t="shared" si="0"/>
        <v>150000</v>
      </c>
      <c r="F19" s="19">
        <f t="shared" si="1"/>
        <v>155000</v>
      </c>
    </row>
    <row r="20" spans="1:6" x14ac:dyDescent="0.35">
      <c r="A20" s="24">
        <v>45505</v>
      </c>
      <c r="B20" s="18">
        <v>6022</v>
      </c>
      <c r="C20" s="18" t="s">
        <v>14</v>
      </c>
      <c r="D20" s="19">
        <v>10000</v>
      </c>
      <c r="E20" s="19">
        <f t="shared" si="0"/>
        <v>160000</v>
      </c>
      <c r="F20" s="19">
        <f t="shared" si="1"/>
        <v>145000</v>
      </c>
    </row>
    <row r="21" spans="1:6" x14ac:dyDescent="0.35">
      <c r="A21" s="2" t="s">
        <v>368</v>
      </c>
      <c r="B21" s="18">
        <v>6735</v>
      </c>
      <c r="C21" s="18" t="s">
        <v>14</v>
      </c>
      <c r="D21" s="19">
        <v>10000</v>
      </c>
      <c r="E21" s="19">
        <f t="shared" si="0"/>
        <v>170000</v>
      </c>
      <c r="F21" s="19">
        <f t="shared" si="1"/>
        <v>135000</v>
      </c>
    </row>
    <row r="22" spans="1:6" x14ac:dyDescent="0.35">
      <c r="A22" s="2" t="s">
        <v>369</v>
      </c>
      <c r="B22" s="18">
        <v>7954</v>
      </c>
      <c r="C22" s="18" t="s">
        <v>14</v>
      </c>
      <c r="D22" s="19">
        <v>10000</v>
      </c>
      <c r="E22" s="19">
        <f t="shared" si="0"/>
        <v>180000</v>
      </c>
      <c r="F22" s="19">
        <f t="shared" si="1"/>
        <v>125000</v>
      </c>
    </row>
    <row r="23" spans="1:6" x14ac:dyDescent="0.35">
      <c r="A23" s="24">
        <v>45295</v>
      </c>
      <c r="B23" s="18">
        <v>7625</v>
      </c>
      <c r="C23" s="18" t="s">
        <v>14</v>
      </c>
      <c r="D23" s="19">
        <v>10000</v>
      </c>
      <c r="E23" s="19">
        <f t="shared" si="0"/>
        <v>190000</v>
      </c>
      <c r="F23" s="19">
        <f t="shared" si="1"/>
        <v>115000</v>
      </c>
    </row>
    <row r="24" spans="1:6" x14ac:dyDescent="0.35">
      <c r="A24" s="24">
        <v>45297</v>
      </c>
      <c r="B24" s="18">
        <v>12344</v>
      </c>
      <c r="C24" s="18" t="s">
        <v>14</v>
      </c>
      <c r="D24" s="19">
        <v>10000</v>
      </c>
      <c r="E24" s="19">
        <f t="shared" si="0"/>
        <v>200000</v>
      </c>
      <c r="F24" s="19">
        <f t="shared" si="1"/>
        <v>105000</v>
      </c>
    </row>
    <row r="25" spans="1:6" x14ac:dyDescent="0.35">
      <c r="A25" s="24">
        <v>45420</v>
      </c>
      <c r="B25" s="18">
        <v>11002</v>
      </c>
      <c r="C25" s="18" t="s">
        <v>14</v>
      </c>
      <c r="D25" s="19">
        <v>10000</v>
      </c>
      <c r="E25" s="19">
        <f t="shared" si="0"/>
        <v>210000</v>
      </c>
      <c r="F25" s="19">
        <f t="shared" si="1"/>
        <v>95000</v>
      </c>
    </row>
    <row r="26" spans="1:6" x14ac:dyDescent="0.35">
      <c r="A26" s="24">
        <v>45544</v>
      </c>
      <c r="B26" s="18">
        <v>10651</v>
      </c>
      <c r="C26" s="18" t="s">
        <v>14</v>
      </c>
      <c r="D26" s="19">
        <v>10000</v>
      </c>
      <c r="E26" s="19">
        <f t="shared" si="0"/>
        <v>220000</v>
      </c>
      <c r="F26" s="19">
        <f t="shared" si="1"/>
        <v>85000</v>
      </c>
    </row>
    <row r="27" spans="1:6" x14ac:dyDescent="0.35">
      <c r="A27" s="24" t="s">
        <v>370</v>
      </c>
      <c r="B27" s="18">
        <v>10235</v>
      </c>
      <c r="C27" s="18" t="s">
        <v>14</v>
      </c>
      <c r="D27" s="19">
        <v>10000</v>
      </c>
      <c r="E27" s="19">
        <f t="shared" si="0"/>
        <v>230000</v>
      </c>
      <c r="F27" s="19">
        <f t="shared" si="1"/>
        <v>75000</v>
      </c>
    </row>
    <row r="28" spans="1:6" x14ac:dyDescent="0.35">
      <c r="A28" s="24">
        <v>45484</v>
      </c>
      <c r="B28" s="18">
        <v>11906</v>
      </c>
      <c r="C28" s="18" t="s">
        <v>14</v>
      </c>
      <c r="D28" s="19">
        <v>10000</v>
      </c>
      <c r="E28" s="19">
        <f t="shared" si="0"/>
        <v>240000</v>
      </c>
      <c r="F28" s="19">
        <f t="shared" si="1"/>
        <v>65000</v>
      </c>
    </row>
    <row r="29" spans="1:6" x14ac:dyDescent="0.35">
      <c r="A29" s="24">
        <v>45608</v>
      </c>
      <c r="B29" s="18">
        <v>12348</v>
      </c>
      <c r="C29" s="18" t="s">
        <v>14</v>
      </c>
      <c r="D29" s="19">
        <v>10000</v>
      </c>
      <c r="E29" s="19">
        <f t="shared" si="0"/>
        <v>250000</v>
      </c>
      <c r="F29" s="19">
        <f t="shared" si="1"/>
        <v>55000</v>
      </c>
    </row>
    <row r="30" spans="1:6" x14ac:dyDescent="0.35">
      <c r="A30" s="24">
        <v>45544</v>
      </c>
      <c r="B30" s="18">
        <v>10651</v>
      </c>
      <c r="C30" s="18" t="s">
        <v>14</v>
      </c>
      <c r="D30" s="19">
        <v>10000</v>
      </c>
      <c r="E30" s="19">
        <f t="shared" si="0"/>
        <v>260000</v>
      </c>
      <c r="F30" s="19">
        <f t="shared" si="1"/>
        <v>45000</v>
      </c>
    </row>
    <row r="31" spans="1:6" x14ac:dyDescent="0.35">
      <c r="A31" s="24">
        <v>45296</v>
      </c>
      <c r="B31" s="18">
        <v>12027</v>
      </c>
      <c r="C31" s="18" t="s">
        <v>14</v>
      </c>
      <c r="D31" s="19">
        <v>10000</v>
      </c>
      <c r="E31" s="19">
        <f t="shared" si="0"/>
        <v>270000</v>
      </c>
      <c r="F31" s="19">
        <f t="shared" si="1"/>
        <v>35000</v>
      </c>
    </row>
    <row r="32" spans="1:6" x14ac:dyDescent="0.35">
      <c r="A32" s="17">
        <v>45664</v>
      </c>
      <c r="B32" s="18">
        <v>12028</v>
      </c>
      <c r="C32" s="18" t="s">
        <v>14</v>
      </c>
      <c r="D32" s="19">
        <v>35000</v>
      </c>
      <c r="E32" s="19">
        <f t="shared" si="0"/>
        <v>305000</v>
      </c>
      <c r="F32" s="19">
        <f t="shared" si="1"/>
        <v>0</v>
      </c>
    </row>
    <row r="34" spans="1:6" x14ac:dyDescent="0.35">
      <c r="A34" s="20" t="s">
        <v>371</v>
      </c>
      <c r="B34" s="20"/>
    </row>
    <row r="35" spans="1:6" x14ac:dyDescent="0.35">
      <c r="A35" s="17">
        <v>45664</v>
      </c>
      <c r="B35" s="18">
        <v>3014</v>
      </c>
      <c r="C35" s="18" t="s">
        <v>355</v>
      </c>
      <c r="D35" s="19">
        <v>350000</v>
      </c>
      <c r="E35" s="19">
        <v>350000</v>
      </c>
      <c r="F35" s="18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F14" sqref="F14"/>
    </sheetView>
  </sheetViews>
  <sheetFormatPr defaultRowHeight="14.5" x14ac:dyDescent="0.35"/>
  <cols>
    <col min="3" max="3" width="23.1796875" customWidth="1"/>
    <col min="4" max="4" width="11.1796875" customWidth="1"/>
    <col min="5" max="5" width="10.36328125" customWidth="1"/>
    <col min="6" max="6" width="11.26953125" customWidth="1"/>
  </cols>
  <sheetData>
    <row r="1" spans="1:6" ht="18.5" x14ac:dyDescent="0.45">
      <c r="A1" s="1" t="s">
        <v>94</v>
      </c>
      <c r="B1" s="1"/>
      <c r="C1" s="1"/>
      <c r="D1" s="1"/>
      <c r="E1" s="1"/>
      <c r="F1" s="1"/>
    </row>
    <row r="2" spans="1:6" ht="18.5" x14ac:dyDescent="0.45">
      <c r="A2" s="1" t="s">
        <v>95</v>
      </c>
      <c r="C2" s="1"/>
      <c r="D2" s="1"/>
      <c r="E2" s="1"/>
      <c r="F2" s="1"/>
    </row>
    <row r="3" spans="1:6" ht="18.5" x14ac:dyDescent="0.45">
      <c r="A3" s="1" t="s">
        <v>96</v>
      </c>
      <c r="B3" s="1"/>
      <c r="C3" s="1"/>
      <c r="D3" s="1"/>
      <c r="E3" s="1"/>
      <c r="F3" s="1"/>
    </row>
    <row r="4" spans="1:6" ht="18.5" x14ac:dyDescent="0.45">
      <c r="A4" s="1" t="s">
        <v>100</v>
      </c>
      <c r="B4" s="1"/>
      <c r="C4" s="1"/>
      <c r="D4" s="1"/>
      <c r="E4" s="1"/>
      <c r="F4" s="1"/>
    </row>
    <row r="5" spans="1:6" ht="18.5" x14ac:dyDescent="0.45">
      <c r="A5" s="1" t="s">
        <v>97</v>
      </c>
      <c r="B5" s="1"/>
      <c r="C5" s="1"/>
      <c r="D5" s="1"/>
      <c r="E5" s="1"/>
      <c r="F5" s="1"/>
    </row>
    <row r="6" spans="1:6" ht="18.5" x14ac:dyDescent="0.45">
      <c r="A6" s="1" t="s">
        <v>98</v>
      </c>
      <c r="B6" s="1"/>
      <c r="C6" s="1"/>
      <c r="D6" s="1" t="s">
        <v>99</v>
      </c>
      <c r="E6" s="1"/>
      <c r="F6" s="1"/>
    </row>
    <row r="7" spans="1:6" ht="15.5" x14ac:dyDescent="0.35">
      <c r="A7" s="25" t="s">
        <v>1</v>
      </c>
      <c r="B7" s="26" t="s">
        <v>2</v>
      </c>
      <c r="C7" s="26" t="s">
        <v>3</v>
      </c>
      <c r="D7" s="26" t="s">
        <v>4</v>
      </c>
      <c r="E7" s="26" t="s">
        <v>5</v>
      </c>
      <c r="F7" s="26" t="s">
        <v>6</v>
      </c>
    </row>
    <row r="8" spans="1:6" x14ac:dyDescent="0.35">
      <c r="A8" s="18" t="s">
        <v>101</v>
      </c>
      <c r="B8" s="18">
        <v>13003</v>
      </c>
      <c r="C8" s="18" t="s">
        <v>66</v>
      </c>
      <c r="D8" s="19">
        <v>500000</v>
      </c>
      <c r="E8" s="19">
        <v>500000</v>
      </c>
      <c r="F8" s="19">
        <v>1500000</v>
      </c>
    </row>
    <row r="9" spans="1:6" x14ac:dyDescent="0.35">
      <c r="A9" s="18" t="s">
        <v>101</v>
      </c>
      <c r="B9" s="18">
        <v>13004</v>
      </c>
      <c r="C9" s="18" t="s">
        <v>102</v>
      </c>
      <c r="D9" s="19">
        <v>250000</v>
      </c>
      <c r="E9" s="19">
        <v>750000</v>
      </c>
      <c r="F9" s="19">
        <v>1250000</v>
      </c>
    </row>
    <row r="10" spans="1:6" x14ac:dyDescent="0.35">
      <c r="A10" s="18" t="s">
        <v>238</v>
      </c>
      <c r="B10" s="18">
        <v>13391</v>
      </c>
      <c r="C10" s="18" t="s">
        <v>142</v>
      </c>
      <c r="D10" s="19">
        <v>30000</v>
      </c>
      <c r="E10" s="19">
        <f>E9+D10</f>
        <v>780000</v>
      </c>
      <c r="F10" s="19">
        <f>F9-D10</f>
        <v>1220000</v>
      </c>
    </row>
    <row r="11" spans="1:6" x14ac:dyDescent="0.35">
      <c r="A11" s="18" t="s">
        <v>372</v>
      </c>
      <c r="B11" s="18">
        <v>13630</v>
      </c>
      <c r="C11" s="18" t="s">
        <v>142</v>
      </c>
      <c r="D11" s="19">
        <v>30000</v>
      </c>
      <c r="E11" s="19">
        <f>E10+D11</f>
        <v>810000</v>
      </c>
      <c r="F11" s="19">
        <f>F10-D11</f>
        <v>1190000</v>
      </c>
    </row>
    <row r="12" spans="1:6" x14ac:dyDescent="0.35">
      <c r="A12" s="18" t="s">
        <v>373</v>
      </c>
      <c r="B12" s="18">
        <v>1537</v>
      </c>
      <c r="C12" s="18" t="s">
        <v>142</v>
      </c>
      <c r="D12" s="19">
        <v>30000</v>
      </c>
      <c r="E12" s="19">
        <f>E11+D12</f>
        <v>840000</v>
      </c>
      <c r="F12" s="19">
        <f>F11-D12</f>
        <v>1160000</v>
      </c>
    </row>
    <row r="13" spans="1:6" x14ac:dyDescent="0.35">
      <c r="A13" s="18" t="s">
        <v>374</v>
      </c>
      <c r="B13" s="18">
        <v>1829</v>
      </c>
      <c r="C13" s="18" t="s">
        <v>142</v>
      </c>
      <c r="D13" s="19">
        <v>30000</v>
      </c>
      <c r="E13" s="19">
        <f>E12+D13</f>
        <v>870000</v>
      </c>
      <c r="F13" s="19">
        <f>F12-D13</f>
        <v>1130000</v>
      </c>
    </row>
    <row r="14" spans="1:6" x14ac:dyDescent="0.35">
      <c r="A14" s="18" t="s">
        <v>396</v>
      </c>
      <c r="B14" s="18">
        <v>2008</v>
      </c>
      <c r="C14" s="18" t="s">
        <v>142</v>
      </c>
      <c r="D14" s="19">
        <v>30000</v>
      </c>
      <c r="E14" s="19">
        <v>900000</v>
      </c>
      <c r="F14" s="19">
        <v>100000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workbookViewId="0">
      <selection activeCell="H2" sqref="H2"/>
    </sheetView>
  </sheetViews>
  <sheetFormatPr defaultRowHeight="14.5" x14ac:dyDescent="0.35"/>
  <cols>
    <col min="1" max="1" width="9.453125" bestFit="1" customWidth="1"/>
    <col min="3" max="3" width="14.36328125" customWidth="1"/>
    <col min="4" max="4" width="12.36328125" customWidth="1"/>
    <col min="5" max="5" width="12.81640625" customWidth="1"/>
    <col min="6" max="6" width="12.6328125" customWidth="1"/>
  </cols>
  <sheetData>
    <row r="1" spans="1:6" ht="18.5" x14ac:dyDescent="0.45">
      <c r="A1" s="1" t="s">
        <v>389</v>
      </c>
      <c r="B1" s="1"/>
      <c r="C1" s="1"/>
      <c r="D1" s="1"/>
      <c r="E1" s="1"/>
      <c r="F1" s="1"/>
    </row>
    <row r="2" spans="1:6" ht="18.5" x14ac:dyDescent="0.45">
      <c r="A2" s="1" t="s">
        <v>390</v>
      </c>
      <c r="C2" s="1"/>
      <c r="D2" s="1"/>
      <c r="E2" s="1" t="s">
        <v>394</v>
      </c>
      <c r="F2" s="1"/>
    </row>
    <row r="3" spans="1:6" ht="18.5" x14ac:dyDescent="0.45">
      <c r="A3" s="1" t="s">
        <v>391</v>
      </c>
      <c r="B3" s="1"/>
      <c r="C3" s="1"/>
      <c r="D3" s="1"/>
      <c r="E3" s="1" t="s">
        <v>395</v>
      </c>
      <c r="F3" s="1"/>
    </row>
    <row r="4" spans="1:6" ht="18.5" x14ac:dyDescent="0.45">
      <c r="A4" s="1" t="s">
        <v>196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388</v>
      </c>
      <c r="B6" s="1"/>
      <c r="C6" s="1"/>
      <c r="D6" s="1" t="s">
        <v>99</v>
      </c>
      <c r="E6" s="1"/>
      <c r="F6" s="1"/>
    </row>
    <row r="7" spans="1:6" ht="15.5" x14ac:dyDescent="0.35">
      <c r="A7" s="25" t="s">
        <v>1</v>
      </c>
      <c r="B7" s="26" t="s">
        <v>2</v>
      </c>
      <c r="C7" s="26" t="s">
        <v>3</v>
      </c>
      <c r="D7" s="26" t="s">
        <v>4</v>
      </c>
      <c r="E7" s="26" t="s">
        <v>5</v>
      </c>
      <c r="F7" s="26" t="s">
        <v>6</v>
      </c>
    </row>
    <row r="8" spans="1:6" x14ac:dyDescent="0.35">
      <c r="A8" s="34" t="s">
        <v>392</v>
      </c>
      <c r="B8" s="34">
        <v>1838</v>
      </c>
      <c r="C8" s="34" t="s">
        <v>322</v>
      </c>
      <c r="D8" s="35">
        <v>100000</v>
      </c>
      <c r="E8" s="35">
        <v>100000</v>
      </c>
      <c r="F8" s="35" t="s">
        <v>393</v>
      </c>
    </row>
    <row r="9" spans="1:6" x14ac:dyDescent="0.35">
      <c r="A9" s="36">
        <v>46152</v>
      </c>
      <c r="B9" s="34">
        <v>2167</v>
      </c>
      <c r="C9" s="34" t="s">
        <v>142</v>
      </c>
      <c r="D9" s="35">
        <v>500000</v>
      </c>
      <c r="E9" s="35">
        <v>100000</v>
      </c>
      <c r="F9" s="35">
        <v>600000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>
      <selection activeCell="J15" sqref="J15"/>
    </sheetView>
  </sheetViews>
  <sheetFormatPr defaultRowHeight="14.5" x14ac:dyDescent="0.35"/>
  <cols>
    <col min="3" max="3" width="17.36328125" customWidth="1"/>
  </cols>
  <sheetData>
    <row r="1" spans="1:7" ht="18.5" x14ac:dyDescent="0.45">
      <c r="A1" s="1" t="s">
        <v>77</v>
      </c>
      <c r="B1" s="1"/>
      <c r="C1" s="1"/>
      <c r="D1" s="1"/>
      <c r="E1" s="1"/>
      <c r="F1" s="1"/>
    </row>
    <row r="2" spans="1:7" ht="18.5" x14ac:dyDescent="0.45">
      <c r="A2" s="1" t="s">
        <v>78</v>
      </c>
      <c r="C2" s="1"/>
      <c r="D2" s="1"/>
      <c r="E2" s="1"/>
      <c r="F2" s="1"/>
    </row>
    <row r="3" spans="1:7" ht="18.5" x14ac:dyDescent="0.45">
      <c r="A3" s="1" t="s">
        <v>79</v>
      </c>
      <c r="B3" s="1"/>
      <c r="C3" s="1"/>
      <c r="D3" s="1"/>
      <c r="E3" s="1"/>
      <c r="F3" s="1"/>
    </row>
    <row r="4" spans="1:7" ht="18.5" x14ac:dyDescent="0.45">
      <c r="A4" s="1" t="s">
        <v>75</v>
      </c>
      <c r="B4" s="1"/>
      <c r="C4" s="1"/>
      <c r="D4" s="1"/>
      <c r="E4" s="1"/>
      <c r="F4" s="1"/>
    </row>
    <row r="5" spans="1:7" ht="18.5" x14ac:dyDescent="0.45">
      <c r="A5" s="1" t="s">
        <v>81</v>
      </c>
      <c r="B5" s="1"/>
      <c r="C5" s="1"/>
      <c r="D5" s="1"/>
      <c r="E5" s="1"/>
      <c r="F5" s="1"/>
    </row>
    <row r="6" spans="1:7" ht="18.5" x14ac:dyDescent="0.45">
      <c r="A6" s="1" t="s">
        <v>82</v>
      </c>
      <c r="B6" s="1"/>
      <c r="C6" s="1"/>
      <c r="D6" s="1" t="s">
        <v>80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9">
        <v>45478</v>
      </c>
      <c r="B8">
        <v>8805</v>
      </c>
      <c r="C8" t="s">
        <v>83</v>
      </c>
      <c r="D8" s="10">
        <v>1150000</v>
      </c>
      <c r="E8" s="10">
        <v>1150000</v>
      </c>
      <c r="F8" s="10">
        <v>100000</v>
      </c>
    </row>
    <row r="9" spans="1:7" x14ac:dyDescent="0.35">
      <c r="A9" t="s">
        <v>84</v>
      </c>
      <c r="B9">
        <v>8568</v>
      </c>
      <c r="C9" t="s">
        <v>85</v>
      </c>
      <c r="D9" s="10">
        <v>100000</v>
      </c>
      <c r="E9" s="10">
        <v>1250000</v>
      </c>
      <c r="F9" t="s">
        <v>25</v>
      </c>
    </row>
    <row r="10" spans="1:7" x14ac:dyDescent="0.35">
      <c r="A10" t="s">
        <v>86</v>
      </c>
      <c r="B10">
        <v>5572</v>
      </c>
      <c r="C10" t="s">
        <v>87</v>
      </c>
      <c r="D10" s="10">
        <v>150000</v>
      </c>
      <c r="E10" s="10">
        <v>150000</v>
      </c>
      <c r="F10" t="s">
        <v>25</v>
      </c>
    </row>
    <row r="11" spans="1:7" ht="18.5" x14ac:dyDescent="0.45">
      <c r="A11" s="13" t="s">
        <v>88</v>
      </c>
      <c r="B11" s="13"/>
      <c r="C11" s="13"/>
      <c r="D11" s="13"/>
      <c r="E11" s="13"/>
      <c r="F11" s="13"/>
      <c r="G11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>
      <selection activeCell="B18" sqref="B18"/>
    </sheetView>
  </sheetViews>
  <sheetFormatPr defaultRowHeight="14.5" x14ac:dyDescent="0.35"/>
  <cols>
    <col min="6" max="6" width="10.81640625" customWidth="1"/>
  </cols>
  <sheetData>
    <row r="1" spans="1:7" ht="18.5" x14ac:dyDescent="0.45">
      <c r="A1" s="1" t="s">
        <v>77</v>
      </c>
      <c r="B1" s="1"/>
      <c r="C1" s="1"/>
      <c r="D1" s="1"/>
      <c r="E1" s="1"/>
      <c r="F1" s="1"/>
    </row>
    <row r="2" spans="1:7" ht="18.5" x14ac:dyDescent="0.45">
      <c r="A2" s="1" t="s">
        <v>78</v>
      </c>
      <c r="C2" s="1"/>
      <c r="D2" s="1"/>
      <c r="E2" s="1"/>
      <c r="F2" s="1"/>
    </row>
    <row r="3" spans="1:7" ht="18.5" x14ac:dyDescent="0.45">
      <c r="A3" s="1" t="s">
        <v>79</v>
      </c>
      <c r="B3" s="1"/>
      <c r="C3" s="1"/>
      <c r="D3" s="1"/>
      <c r="E3" s="1"/>
      <c r="F3" s="1"/>
    </row>
    <row r="4" spans="1:7" ht="18.5" x14ac:dyDescent="0.45">
      <c r="A4" s="1" t="s">
        <v>91</v>
      </c>
      <c r="B4" s="1"/>
      <c r="C4" s="1"/>
      <c r="D4" s="1"/>
      <c r="E4" s="1"/>
      <c r="F4" s="1"/>
    </row>
    <row r="5" spans="1:7" ht="18.5" x14ac:dyDescent="0.45">
      <c r="A5" s="1" t="s">
        <v>81</v>
      </c>
      <c r="B5" s="1"/>
      <c r="C5" s="1"/>
      <c r="D5" s="1"/>
      <c r="E5" s="1"/>
      <c r="F5" s="1"/>
    </row>
    <row r="6" spans="1:7" ht="18.5" x14ac:dyDescent="0.45">
      <c r="A6" s="1" t="s">
        <v>89</v>
      </c>
      <c r="B6" s="1"/>
      <c r="C6" s="1"/>
      <c r="D6" s="1" t="s">
        <v>90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9">
        <v>45478</v>
      </c>
      <c r="B8">
        <v>8303</v>
      </c>
      <c r="C8" t="s">
        <v>83</v>
      </c>
      <c r="D8" s="10">
        <v>1050000</v>
      </c>
      <c r="E8" s="10">
        <v>1050000</v>
      </c>
      <c r="F8" s="10" t="s">
        <v>25</v>
      </c>
    </row>
    <row r="9" spans="1:7" x14ac:dyDescent="0.35">
      <c r="A9" t="s">
        <v>86</v>
      </c>
      <c r="B9">
        <v>5571</v>
      </c>
      <c r="C9" t="s">
        <v>87</v>
      </c>
      <c r="D9" s="10">
        <v>150000</v>
      </c>
      <c r="E9" s="10">
        <v>150000</v>
      </c>
      <c r="F9" t="s">
        <v>25</v>
      </c>
    </row>
    <row r="10" spans="1:7" x14ac:dyDescent="0.35">
      <c r="D10" s="10"/>
      <c r="E10" s="10"/>
    </row>
    <row r="11" spans="1:7" ht="18.5" x14ac:dyDescent="0.45">
      <c r="A11" s="13" t="s">
        <v>88</v>
      </c>
      <c r="B11" s="13"/>
      <c r="C11" s="13"/>
      <c r="D11" s="13"/>
      <c r="E11" s="13"/>
      <c r="F11" s="13"/>
      <c r="G11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selection activeCell="K14" sqref="K14"/>
    </sheetView>
  </sheetViews>
  <sheetFormatPr defaultRowHeight="14.5" x14ac:dyDescent="0.35"/>
  <sheetData>
    <row r="1" spans="1:6" ht="18.5" x14ac:dyDescent="0.45">
      <c r="A1" s="1" t="s">
        <v>77</v>
      </c>
      <c r="B1" s="1"/>
      <c r="C1" s="1"/>
      <c r="D1" s="1"/>
      <c r="E1" s="1"/>
      <c r="F1" s="1"/>
    </row>
    <row r="2" spans="1:6" ht="18.5" x14ac:dyDescent="0.45">
      <c r="A2" s="1" t="s">
        <v>78</v>
      </c>
      <c r="C2" s="1"/>
      <c r="D2" s="1"/>
      <c r="E2" s="1"/>
      <c r="F2" s="1"/>
    </row>
    <row r="3" spans="1:6" ht="18.5" x14ac:dyDescent="0.45">
      <c r="A3" s="1" t="s">
        <v>79</v>
      </c>
      <c r="B3" s="1"/>
      <c r="C3" s="1"/>
      <c r="D3" s="1"/>
      <c r="E3" s="1"/>
      <c r="F3" s="1"/>
    </row>
    <row r="4" spans="1:6" ht="18.5" x14ac:dyDescent="0.45">
      <c r="A4" s="1" t="s">
        <v>93</v>
      </c>
      <c r="B4" s="1"/>
      <c r="C4" s="1"/>
      <c r="D4" s="1"/>
      <c r="E4" s="1"/>
      <c r="F4" s="1"/>
    </row>
    <row r="5" spans="1:6" ht="18.5" x14ac:dyDescent="0.45">
      <c r="A5" s="1" t="s">
        <v>81</v>
      </c>
      <c r="B5" s="1"/>
      <c r="C5" s="1"/>
      <c r="D5" s="1"/>
      <c r="E5" s="1"/>
      <c r="F5" s="1"/>
    </row>
    <row r="6" spans="1:6" ht="18.5" x14ac:dyDescent="0.45">
      <c r="A6" s="1" t="s">
        <v>92</v>
      </c>
      <c r="B6" s="1"/>
      <c r="C6" s="1"/>
      <c r="D6" s="1" t="s">
        <v>90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9">
        <v>45478</v>
      </c>
      <c r="B8">
        <v>8304</v>
      </c>
      <c r="C8" t="s">
        <v>83</v>
      </c>
      <c r="D8" s="10">
        <v>1050000</v>
      </c>
      <c r="E8" s="10">
        <v>1050000</v>
      </c>
      <c r="F8" s="10" t="s">
        <v>25</v>
      </c>
    </row>
    <row r="9" spans="1:6" x14ac:dyDescent="0.35">
      <c r="A9" s="9">
        <v>46146</v>
      </c>
      <c r="B9">
        <v>5949</v>
      </c>
      <c r="C9" t="s">
        <v>87</v>
      </c>
      <c r="D9" s="10">
        <v>150000</v>
      </c>
      <c r="E9" s="10">
        <v>150000</v>
      </c>
      <c r="F9" t="s">
        <v>25</v>
      </c>
    </row>
    <row r="10" spans="1:6" x14ac:dyDescent="0.35">
      <c r="D10" s="10"/>
      <c r="E10" s="10"/>
    </row>
    <row r="11" spans="1:6" ht="18.5" x14ac:dyDescent="0.45">
      <c r="A11" s="13" t="s">
        <v>88</v>
      </c>
      <c r="B11" s="13"/>
      <c r="C11" s="13"/>
      <c r="D11" s="13"/>
      <c r="E11" s="13"/>
      <c r="F11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workbookViewId="0">
      <selection activeCell="J20" sqref="J20"/>
    </sheetView>
  </sheetViews>
  <sheetFormatPr defaultRowHeight="14.5" x14ac:dyDescent="0.35"/>
  <cols>
    <col min="1" max="1" width="11.36328125" customWidth="1"/>
    <col min="3" max="3" width="11.26953125" customWidth="1"/>
    <col min="6" max="6" width="12.1796875" customWidth="1"/>
  </cols>
  <sheetData>
    <row r="1" spans="1:6" ht="18.5" x14ac:dyDescent="0.45">
      <c r="A1" s="1" t="s">
        <v>159</v>
      </c>
      <c r="B1" s="1"/>
      <c r="C1" s="1"/>
      <c r="D1" s="1"/>
      <c r="E1" s="1"/>
      <c r="F1" s="1"/>
    </row>
    <row r="2" spans="1:6" ht="18.5" x14ac:dyDescent="0.45">
      <c r="A2" s="1" t="s">
        <v>160</v>
      </c>
      <c r="C2" s="1"/>
      <c r="D2" s="1"/>
      <c r="E2" s="1"/>
      <c r="F2" s="1"/>
    </row>
    <row r="3" spans="1:6" ht="18.5" x14ac:dyDescent="0.45">
      <c r="A3" s="1" t="s">
        <v>161</v>
      </c>
      <c r="B3" s="1"/>
      <c r="C3" s="1"/>
      <c r="D3" s="1"/>
      <c r="E3" s="1"/>
      <c r="F3" s="1"/>
    </row>
    <row r="4" spans="1:6" ht="18.5" x14ac:dyDescent="0.45">
      <c r="A4" s="1" t="s">
        <v>164</v>
      </c>
      <c r="B4" s="1"/>
      <c r="C4" s="1"/>
      <c r="D4" s="1"/>
      <c r="E4" s="1"/>
      <c r="F4" s="1"/>
    </row>
    <row r="5" spans="1:6" ht="18.5" x14ac:dyDescent="0.45">
      <c r="A5" s="1" t="s">
        <v>162</v>
      </c>
      <c r="B5" s="1"/>
      <c r="C5" s="1"/>
      <c r="D5" s="1"/>
      <c r="E5" s="1"/>
      <c r="F5" s="1"/>
    </row>
    <row r="6" spans="1:6" ht="18.5" x14ac:dyDescent="0.45">
      <c r="A6" s="1" t="s">
        <v>169</v>
      </c>
      <c r="B6" s="1"/>
      <c r="C6" s="1"/>
      <c r="D6" s="1" t="s">
        <v>163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165</v>
      </c>
      <c r="B8">
        <v>1279</v>
      </c>
      <c r="C8" t="s">
        <v>143</v>
      </c>
      <c r="D8" s="10">
        <v>500000</v>
      </c>
      <c r="E8" s="10">
        <v>500000</v>
      </c>
      <c r="F8" t="s">
        <v>25</v>
      </c>
    </row>
    <row r="9" spans="1:6" x14ac:dyDescent="0.35">
      <c r="A9" t="s">
        <v>166</v>
      </c>
      <c r="B9">
        <v>1317</v>
      </c>
      <c r="C9" t="s">
        <v>167</v>
      </c>
      <c r="D9" s="10">
        <v>80000</v>
      </c>
      <c r="E9" s="10">
        <v>70000</v>
      </c>
      <c r="F9" t="s">
        <v>25</v>
      </c>
    </row>
    <row r="10" spans="1:6" x14ac:dyDescent="0.35">
      <c r="A10" s="9">
        <v>46147</v>
      </c>
      <c r="B10">
        <v>1378</v>
      </c>
      <c r="C10" t="s">
        <v>167</v>
      </c>
      <c r="D10" s="10">
        <v>70000</v>
      </c>
      <c r="E10" s="10">
        <v>70000</v>
      </c>
      <c r="F10" t="s">
        <v>25</v>
      </c>
    </row>
    <row r="11" spans="1:6" ht="15.5" x14ac:dyDescent="0.35">
      <c r="A11" s="14" t="s">
        <v>168</v>
      </c>
      <c r="B11" s="14"/>
      <c r="C11" s="14"/>
      <c r="D11" s="14"/>
      <c r="E11" s="14"/>
      <c r="F11" s="14"/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7"/>
  <sheetViews>
    <sheetView topLeftCell="A10" workbookViewId="0">
      <selection activeCell="E26" sqref="E26"/>
    </sheetView>
  </sheetViews>
  <sheetFormatPr defaultRowHeight="14.5" x14ac:dyDescent="0.35"/>
  <cols>
    <col min="1" max="1" width="17.453125" customWidth="1"/>
    <col min="2" max="2" width="18.1796875" customWidth="1"/>
    <col min="3" max="3" width="16.81640625" bestFit="1" customWidth="1"/>
    <col min="4" max="4" width="19.54296875" customWidth="1"/>
    <col min="5" max="5" width="21.54296875" bestFit="1" customWidth="1"/>
    <col min="6" max="6" width="13.453125" customWidth="1"/>
  </cols>
  <sheetData>
    <row r="1" spans="1:6" ht="18.5" x14ac:dyDescent="0.45">
      <c r="A1" s="1" t="s">
        <v>41</v>
      </c>
      <c r="B1" s="1"/>
      <c r="C1" s="1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47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1" t="s">
        <v>1</v>
      </c>
      <c r="B7" s="12" t="s">
        <v>2</v>
      </c>
      <c r="C7" s="12" t="s">
        <v>3</v>
      </c>
      <c r="D7" s="12" t="s">
        <v>4</v>
      </c>
      <c r="E7" s="12" t="s">
        <v>5</v>
      </c>
      <c r="F7" s="12" t="s">
        <v>6</v>
      </c>
    </row>
    <row r="8" spans="1:6" x14ac:dyDescent="0.35">
      <c r="A8" t="s">
        <v>48</v>
      </c>
      <c r="B8">
        <v>1381</v>
      </c>
      <c r="C8" t="s">
        <v>49</v>
      </c>
      <c r="D8" s="10">
        <v>750000</v>
      </c>
      <c r="E8" s="10">
        <v>750000</v>
      </c>
      <c r="F8" t="s">
        <v>25</v>
      </c>
    </row>
    <row r="10" spans="1:6" ht="18.5" x14ac:dyDescent="0.45">
      <c r="A10" s="13" t="s">
        <v>50</v>
      </c>
      <c r="B10" s="13"/>
      <c r="C10" s="13"/>
      <c r="D10" s="13"/>
      <c r="E10" s="13"/>
      <c r="F10" s="13"/>
    </row>
    <row r="13" spans="1:6" x14ac:dyDescent="0.35">
      <c r="A13" s="34" t="s">
        <v>1</v>
      </c>
      <c r="B13" s="34" t="s">
        <v>558</v>
      </c>
      <c r="C13" s="34" t="s">
        <v>559</v>
      </c>
      <c r="D13" s="34" t="s">
        <v>560</v>
      </c>
      <c r="E13" s="34" t="s">
        <v>561</v>
      </c>
    </row>
    <row r="14" spans="1:6" x14ac:dyDescent="0.35">
      <c r="A14" s="34" t="s">
        <v>577</v>
      </c>
      <c r="B14" s="34" t="s">
        <v>578</v>
      </c>
      <c r="C14" s="34" t="s">
        <v>426</v>
      </c>
      <c r="D14" s="35">
        <v>100000</v>
      </c>
      <c r="E14" s="35">
        <v>350000</v>
      </c>
    </row>
    <row r="15" spans="1:6" x14ac:dyDescent="0.35">
      <c r="A15" s="34" t="s">
        <v>562</v>
      </c>
      <c r="B15" s="34" t="s">
        <v>579</v>
      </c>
      <c r="C15" s="34" t="s">
        <v>426</v>
      </c>
      <c r="D15" s="35">
        <v>10000</v>
      </c>
      <c r="E15" s="35">
        <v>340000</v>
      </c>
    </row>
    <row r="16" spans="1:6" x14ac:dyDescent="0.35">
      <c r="A16" s="34" t="s">
        <v>563</v>
      </c>
      <c r="B16" s="34" t="s">
        <v>564</v>
      </c>
      <c r="C16" s="34" t="s">
        <v>426</v>
      </c>
      <c r="D16" s="35">
        <v>10000</v>
      </c>
      <c r="E16" s="35">
        <v>330000</v>
      </c>
    </row>
    <row r="17" spans="1:5" x14ac:dyDescent="0.35">
      <c r="A17" s="34" t="s">
        <v>565</v>
      </c>
      <c r="B17" s="34" t="s">
        <v>566</v>
      </c>
      <c r="C17" s="34" t="s">
        <v>426</v>
      </c>
      <c r="D17" s="35">
        <v>10000</v>
      </c>
      <c r="E17" s="35">
        <v>320000</v>
      </c>
    </row>
    <row r="18" spans="1:5" x14ac:dyDescent="0.35">
      <c r="A18" s="34" t="s">
        <v>567</v>
      </c>
      <c r="B18" s="34" t="s">
        <v>568</v>
      </c>
      <c r="C18" s="34" t="s">
        <v>420</v>
      </c>
      <c r="D18" s="35">
        <v>10000</v>
      </c>
      <c r="E18" s="35">
        <v>310000</v>
      </c>
    </row>
    <row r="19" spans="1:5" x14ac:dyDescent="0.35">
      <c r="A19" s="34" t="s">
        <v>569</v>
      </c>
      <c r="B19" s="34" t="s">
        <v>570</v>
      </c>
      <c r="C19" s="34" t="s">
        <v>420</v>
      </c>
      <c r="D19" s="35">
        <v>10000</v>
      </c>
      <c r="E19" s="35">
        <v>300000</v>
      </c>
    </row>
    <row r="20" spans="1:5" x14ac:dyDescent="0.35">
      <c r="A20" s="36">
        <v>46085</v>
      </c>
      <c r="B20" s="34" t="s">
        <v>571</v>
      </c>
      <c r="C20" s="34" t="s">
        <v>420</v>
      </c>
      <c r="D20" s="35">
        <v>20000</v>
      </c>
      <c r="E20" s="35">
        <v>280000</v>
      </c>
    </row>
    <row r="21" spans="1:5" x14ac:dyDescent="0.35">
      <c r="A21" s="36">
        <v>46331</v>
      </c>
      <c r="B21" s="34" t="s">
        <v>572</v>
      </c>
      <c r="C21" s="34" t="s">
        <v>420</v>
      </c>
      <c r="D21" s="35">
        <v>10000</v>
      </c>
      <c r="E21" s="35">
        <v>270000</v>
      </c>
    </row>
    <row r="22" spans="1:5" x14ac:dyDescent="0.35">
      <c r="A22" s="36">
        <v>46209</v>
      </c>
      <c r="B22" s="34" t="s">
        <v>573</v>
      </c>
      <c r="C22" s="34" t="s">
        <v>420</v>
      </c>
      <c r="D22" s="35">
        <v>10000</v>
      </c>
      <c r="E22" s="35">
        <v>260000</v>
      </c>
    </row>
    <row r="23" spans="1:5" x14ac:dyDescent="0.35">
      <c r="A23" s="36">
        <v>46272</v>
      </c>
      <c r="B23" s="34" t="s">
        <v>574</v>
      </c>
      <c r="C23" s="34" t="s">
        <v>420</v>
      </c>
      <c r="D23" s="35">
        <v>10000</v>
      </c>
      <c r="E23" s="35">
        <v>250000</v>
      </c>
    </row>
    <row r="24" spans="1:5" x14ac:dyDescent="0.35">
      <c r="A24" s="36">
        <v>46273</v>
      </c>
      <c r="B24" s="34" t="s">
        <v>575</v>
      </c>
      <c r="C24" s="34" t="s">
        <v>420</v>
      </c>
      <c r="D24" s="35">
        <v>10000</v>
      </c>
      <c r="E24" s="35">
        <v>240000</v>
      </c>
    </row>
    <row r="25" spans="1:5" x14ac:dyDescent="0.35">
      <c r="A25" s="36">
        <v>46151</v>
      </c>
      <c r="B25" s="34" t="s">
        <v>576</v>
      </c>
      <c r="C25" s="34" t="s">
        <v>420</v>
      </c>
      <c r="D25" s="35">
        <v>10000</v>
      </c>
      <c r="E25" s="35">
        <v>230000</v>
      </c>
    </row>
    <row r="26" spans="1:5" x14ac:dyDescent="0.35">
      <c r="A26" s="36">
        <v>46122</v>
      </c>
      <c r="B26" s="34">
        <v>2147</v>
      </c>
      <c r="C26" s="34" t="s">
        <v>420</v>
      </c>
      <c r="D26" s="35">
        <v>10000</v>
      </c>
      <c r="E26" s="35">
        <v>220000</v>
      </c>
    </row>
    <row r="27" spans="1:5" x14ac:dyDescent="0.35">
      <c r="A27" s="34"/>
      <c r="B27" s="34"/>
      <c r="C27" s="34"/>
      <c r="D27" s="34"/>
      <c r="E27" s="34"/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>
      <selection sqref="A1:F7"/>
    </sheetView>
  </sheetViews>
  <sheetFormatPr defaultRowHeight="14.5" x14ac:dyDescent="0.35"/>
  <cols>
    <col min="1" max="1" width="9.453125" bestFit="1" customWidth="1"/>
    <col min="3" max="3" width="10.90625" customWidth="1"/>
    <col min="6" max="6" width="10.81640625" customWidth="1"/>
  </cols>
  <sheetData>
    <row r="1" spans="1:6" ht="18.5" x14ac:dyDescent="0.45">
      <c r="A1" s="1" t="s">
        <v>51</v>
      </c>
      <c r="B1" s="1"/>
      <c r="C1" s="1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219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54</v>
      </c>
      <c r="B6" s="1"/>
      <c r="C6" s="1"/>
      <c r="D6" s="1" t="s">
        <v>55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56</v>
      </c>
      <c r="B8">
        <v>102033</v>
      </c>
      <c r="C8" t="s">
        <v>58</v>
      </c>
      <c r="D8" s="10">
        <v>400000</v>
      </c>
      <c r="E8" s="10">
        <v>400000</v>
      </c>
      <c r="F8" s="10">
        <v>1400000</v>
      </c>
    </row>
    <row r="9" spans="1:6" x14ac:dyDescent="0.35">
      <c r="A9" s="9">
        <v>45845</v>
      </c>
      <c r="B9">
        <v>12034</v>
      </c>
      <c r="C9" t="s">
        <v>14</v>
      </c>
      <c r="D9" s="10">
        <v>70000</v>
      </c>
      <c r="E9" s="10">
        <f>SUM(E8+D9)</f>
        <v>470000</v>
      </c>
      <c r="F9" s="10">
        <f>F8-D9</f>
        <v>1330000</v>
      </c>
    </row>
    <row r="10" spans="1:6" x14ac:dyDescent="0.35">
      <c r="A10" s="9">
        <v>45938</v>
      </c>
      <c r="B10">
        <v>12459</v>
      </c>
      <c r="C10" t="s">
        <v>14</v>
      </c>
      <c r="D10" s="10">
        <v>10000</v>
      </c>
      <c r="E10" s="10">
        <f t="shared" ref="E10:E13" si="0">SUM(E9+D10)</f>
        <v>480000</v>
      </c>
      <c r="F10" s="10">
        <f t="shared" ref="F10:F13" si="1">F9-D10</f>
        <v>1320000</v>
      </c>
    </row>
    <row r="11" spans="1:6" x14ac:dyDescent="0.35">
      <c r="A11" t="s">
        <v>57</v>
      </c>
      <c r="B11">
        <v>12741</v>
      </c>
      <c r="C11" t="s">
        <v>14</v>
      </c>
      <c r="D11" s="10">
        <v>20000</v>
      </c>
      <c r="E11" s="10">
        <f t="shared" si="0"/>
        <v>500000</v>
      </c>
      <c r="F11" s="10">
        <f t="shared" si="1"/>
        <v>1300000</v>
      </c>
    </row>
    <row r="12" spans="1:6" x14ac:dyDescent="0.35">
      <c r="A12" s="9">
        <v>46360</v>
      </c>
      <c r="B12">
        <v>13237</v>
      </c>
      <c r="C12" t="s">
        <v>14</v>
      </c>
      <c r="D12" s="10">
        <v>70000</v>
      </c>
      <c r="E12" s="10">
        <f t="shared" si="0"/>
        <v>570000</v>
      </c>
      <c r="F12" s="10">
        <f t="shared" si="1"/>
        <v>1230000</v>
      </c>
    </row>
    <row r="13" spans="1:6" x14ac:dyDescent="0.35">
      <c r="A13" s="9">
        <v>46300</v>
      </c>
      <c r="B13">
        <v>12986</v>
      </c>
      <c r="C13" t="s">
        <v>14</v>
      </c>
      <c r="D13" s="10">
        <v>20000</v>
      </c>
      <c r="E13" s="10">
        <f t="shared" si="0"/>
        <v>590000</v>
      </c>
      <c r="F13" s="10">
        <f t="shared" si="1"/>
        <v>1210000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3"/>
  <sheetViews>
    <sheetView tabSelected="1" topLeftCell="A5" workbookViewId="0">
      <selection activeCell="A12" sqref="A12:F33"/>
    </sheetView>
  </sheetViews>
  <sheetFormatPr defaultRowHeight="14.5" x14ac:dyDescent="0.35"/>
  <cols>
    <col min="1" max="1" width="13.36328125" customWidth="1"/>
    <col min="3" max="3" width="14.54296875" customWidth="1"/>
    <col min="4" max="4" width="11.90625" customWidth="1"/>
    <col min="5" max="5" width="12.1796875" customWidth="1"/>
    <col min="6" max="6" width="11" customWidth="1"/>
  </cols>
  <sheetData>
    <row r="1" spans="1:7" ht="18.5" x14ac:dyDescent="0.45">
      <c r="A1" s="1" t="s">
        <v>229</v>
      </c>
      <c r="B1" s="1"/>
      <c r="C1" s="1"/>
      <c r="D1" s="1"/>
      <c r="E1" s="1"/>
      <c r="F1" s="1"/>
    </row>
    <row r="2" spans="1:7" ht="18.5" x14ac:dyDescent="0.45">
      <c r="A2" s="1" t="s">
        <v>230</v>
      </c>
      <c r="C2" s="1"/>
      <c r="D2" s="1"/>
      <c r="E2" s="1"/>
      <c r="F2" s="1"/>
    </row>
    <row r="3" spans="1:7" ht="18.5" x14ac:dyDescent="0.45">
      <c r="A3" s="1" t="s">
        <v>231</v>
      </c>
      <c r="B3" s="1"/>
      <c r="C3" s="1"/>
      <c r="D3" s="1"/>
      <c r="E3" s="1"/>
      <c r="F3" s="1"/>
    </row>
    <row r="4" spans="1:7" ht="18.5" x14ac:dyDescent="0.45">
      <c r="A4" s="1" t="s">
        <v>235</v>
      </c>
      <c r="B4" s="1"/>
      <c r="C4" s="1"/>
      <c r="D4" s="1"/>
      <c r="E4" s="1"/>
      <c r="F4" s="1"/>
    </row>
    <row r="5" spans="1:7" ht="18.5" x14ac:dyDescent="0.45">
      <c r="A5" s="1" t="s">
        <v>232</v>
      </c>
      <c r="B5" s="1"/>
      <c r="C5" s="1"/>
      <c r="D5" s="1"/>
      <c r="E5" s="1"/>
      <c r="F5" s="1"/>
    </row>
    <row r="6" spans="1:7" ht="18.5" x14ac:dyDescent="0.45">
      <c r="A6" s="1" t="s">
        <v>233</v>
      </c>
      <c r="B6" s="1"/>
      <c r="C6" s="1"/>
      <c r="D6" s="1" t="s">
        <v>234</v>
      </c>
      <c r="E6" s="1"/>
      <c r="F6" s="1"/>
    </row>
    <row r="7" spans="1:7" x14ac:dyDescent="0.35">
      <c r="A7" s="49" t="s">
        <v>1</v>
      </c>
      <c r="B7" s="48" t="s">
        <v>2</v>
      </c>
      <c r="C7" s="48" t="s">
        <v>3</v>
      </c>
      <c r="D7" s="48" t="s">
        <v>4</v>
      </c>
      <c r="E7" s="48" t="s">
        <v>5</v>
      </c>
      <c r="F7" s="48" t="s">
        <v>6</v>
      </c>
      <c r="G7" s="20"/>
    </row>
    <row r="8" spans="1:7" x14ac:dyDescent="0.35">
      <c r="A8" s="9">
        <v>45937</v>
      </c>
      <c r="B8">
        <v>1156</v>
      </c>
      <c r="C8" t="s">
        <v>236</v>
      </c>
      <c r="D8" s="10">
        <v>530000</v>
      </c>
      <c r="E8" s="10">
        <v>530000</v>
      </c>
      <c r="F8" t="s">
        <v>25</v>
      </c>
    </row>
    <row r="10" spans="1:7" ht="23.5" x14ac:dyDescent="0.55000000000000004">
      <c r="A10" s="56" t="s">
        <v>237</v>
      </c>
      <c r="B10" s="56"/>
      <c r="C10" s="56"/>
      <c r="D10" s="15"/>
      <c r="E10" s="15"/>
      <c r="F10" s="15"/>
    </row>
    <row r="11" spans="1:7" x14ac:dyDescent="0.35">
      <c r="A11" s="57" t="s">
        <v>1</v>
      </c>
      <c r="B11" s="58" t="s">
        <v>2</v>
      </c>
      <c r="C11" s="58" t="s">
        <v>3</v>
      </c>
      <c r="D11" s="58" t="s">
        <v>4</v>
      </c>
      <c r="E11" s="58" t="s">
        <v>5</v>
      </c>
      <c r="F11" s="58" t="s">
        <v>6</v>
      </c>
    </row>
    <row r="12" spans="1:7" ht="28" x14ac:dyDescent="0.35">
      <c r="A12" s="54">
        <v>44476</v>
      </c>
      <c r="B12" s="51" t="s">
        <v>581</v>
      </c>
      <c r="C12" s="18" t="s">
        <v>603</v>
      </c>
      <c r="D12" s="52">
        <v>10000</v>
      </c>
      <c r="E12" s="19">
        <v>10000</v>
      </c>
      <c r="F12" s="52">
        <v>440000</v>
      </c>
    </row>
    <row r="13" spans="1:7" ht="28" x14ac:dyDescent="0.35">
      <c r="A13" s="54">
        <v>45323</v>
      </c>
      <c r="B13" s="51" t="s">
        <v>582</v>
      </c>
      <c r="C13" s="18" t="s">
        <v>603</v>
      </c>
      <c r="D13" s="52">
        <v>10000</v>
      </c>
      <c r="E13" s="19">
        <f>E12+D13</f>
        <v>20000</v>
      </c>
      <c r="F13" s="52">
        <v>430000</v>
      </c>
    </row>
    <row r="14" spans="1:7" ht="28" x14ac:dyDescent="0.35">
      <c r="A14" s="51" t="s">
        <v>583</v>
      </c>
      <c r="B14" s="51" t="s">
        <v>584</v>
      </c>
      <c r="C14" s="18" t="s">
        <v>603</v>
      </c>
      <c r="D14" s="52">
        <v>10000</v>
      </c>
      <c r="E14" s="19">
        <f>E13+D14</f>
        <v>30000</v>
      </c>
      <c r="F14" s="52">
        <v>420000</v>
      </c>
    </row>
    <row r="15" spans="1:7" ht="28" x14ac:dyDescent="0.35">
      <c r="A15" s="54">
        <v>45329</v>
      </c>
      <c r="B15" s="51" t="s">
        <v>585</v>
      </c>
      <c r="C15" s="18" t="s">
        <v>603</v>
      </c>
      <c r="D15" s="52">
        <v>15000</v>
      </c>
      <c r="E15" s="19">
        <f>E14+D15</f>
        <v>45000</v>
      </c>
      <c r="F15" s="52">
        <v>405000</v>
      </c>
    </row>
    <row r="16" spans="1:7" ht="28" x14ac:dyDescent="0.35">
      <c r="A16" s="51" t="s">
        <v>586</v>
      </c>
      <c r="B16" s="51" t="s">
        <v>587</v>
      </c>
      <c r="C16" s="18" t="s">
        <v>603</v>
      </c>
      <c r="D16" s="52">
        <v>10000</v>
      </c>
      <c r="E16" s="19">
        <f>E15+D16</f>
        <v>55000</v>
      </c>
      <c r="F16" s="52">
        <v>395000</v>
      </c>
    </row>
    <row r="17" spans="1:6" ht="28" x14ac:dyDescent="0.35">
      <c r="A17" s="54">
        <v>45636</v>
      </c>
      <c r="B17" s="51" t="s">
        <v>588</v>
      </c>
      <c r="C17" s="18" t="s">
        <v>603</v>
      </c>
      <c r="D17" s="52">
        <v>10000</v>
      </c>
      <c r="E17" s="19">
        <f>E16+D17</f>
        <v>65000</v>
      </c>
      <c r="F17" s="52">
        <v>385000</v>
      </c>
    </row>
    <row r="18" spans="1:6" ht="28" x14ac:dyDescent="0.35">
      <c r="A18" s="51" t="s">
        <v>589</v>
      </c>
      <c r="B18" s="51" t="s">
        <v>590</v>
      </c>
      <c r="C18" s="18" t="s">
        <v>603</v>
      </c>
      <c r="D18" s="52">
        <v>10000</v>
      </c>
      <c r="E18" s="19">
        <f>E17+D18</f>
        <v>75000</v>
      </c>
      <c r="F18" s="52">
        <v>375000</v>
      </c>
    </row>
    <row r="19" spans="1:6" ht="28" x14ac:dyDescent="0.35">
      <c r="A19" s="51" t="s">
        <v>419</v>
      </c>
      <c r="B19" s="51" t="s">
        <v>591</v>
      </c>
      <c r="C19" s="18" t="s">
        <v>603</v>
      </c>
      <c r="D19" s="52">
        <v>10000</v>
      </c>
      <c r="E19" s="19">
        <f>E18+D19</f>
        <v>85000</v>
      </c>
      <c r="F19" s="52">
        <v>365000</v>
      </c>
    </row>
    <row r="20" spans="1:6" ht="28" x14ac:dyDescent="0.35">
      <c r="A20" s="51" t="s">
        <v>592</v>
      </c>
      <c r="B20" s="51" t="s">
        <v>593</v>
      </c>
      <c r="C20" s="18" t="s">
        <v>603</v>
      </c>
      <c r="D20" s="52">
        <v>10000</v>
      </c>
      <c r="E20" s="19">
        <f>E19+D20</f>
        <v>95000</v>
      </c>
      <c r="F20" s="52">
        <v>355000</v>
      </c>
    </row>
    <row r="21" spans="1:6" ht="28" x14ac:dyDescent="0.35">
      <c r="A21" s="51" t="s">
        <v>594</v>
      </c>
      <c r="B21" s="51" t="s">
        <v>595</v>
      </c>
      <c r="C21" s="18" t="s">
        <v>603</v>
      </c>
      <c r="D21" s="52">
        <v>10000</v>
      </c>
      <c r="E21" s="19">
        <f>E20+D21</f>
        <v>105000</v>
      </c>
      <c r="F21" s="52">
        <v>345000</v>
      </c>
    </row>
    <row r="22" spans="1:6" ht="28" x14ac:dyDescent="0.35">
      <c r="A22" s="54">
        <v>45969</v>
      </c>
      <c r="B22" s="51" t="s">
        <v>596</v>
      </c>
      <c r="C22" s="18" t="s">
        <v>603</v>
      </c>
      <c r="D22" s="52">
        <v>10000</v>
      </c>
      <c r="E22" s="19">
        <f>E21+D22</f>
        <v>115000</v>
      </c>
      <c r="F22" s="52">
        <v>335000</v>
      </c>
    </row>
    <row r="23" spans="1:6" x14ac:dyDescent="0.35">
      <c r="A23" s="51" t="s">
        <v>597</v>
      </c>
      <c r="B23" s="51">
        <v>3555</v>
      </c>
      <c r="C23" s="18" t="s">
        <v>603</v>
      </c>
      <c r="D23" s="52">
        <v>10000</v>
      </c>
      <c r="E23" s="19">
        <f>E22+D23</f>
        <v>125000</v>
      </c>
      <c r="F23" s="52">
        <v>325000</v>
      </c>
    </row>
    <row r="24" spans="1:6" x14ac:dyDescent="0.35">
      <c r="A24" s="51" t="s">
        <v>598</v>
      </c>
      <c r="B24" s="51">
        <v>3376</v>
      </c>
      <c r="C24" s="18" t="s">
        <v>603</v>
      </c>
      <c r="D24" s="52">
        <v>20000</v>
      </c>
      <c r="E24" s="19">
        <f>E23+D24</f>
        <v>145000</v>
      </c>
      <c r="F24" s="52">
        <v>305000</v>
      </c>
    </row>
    <row r="25" spans="1:6" x14ac:dyDescent="0.35">
      <c r="A25" s="51" t="s">
        <v>453</v>
      </c>
      <c r="B25" s="51">
        <v>5117</v>
      </c>
      <c r="C25" s="18" t="s">
        <v>603</v>
      </c>
      <c r="D25" s="52">
        <v>10000</v>
      </c>
      <c r="E25" s="19">
        <f>E24+D25</f>
        <v>155000</v>
      </c>
      <c r="F25" s="52">
        <v>295000</v>
      </c>
    </row>
    <row r="26" spans="1:6" x14ac:dyDescent="0.35">
      <c r="A26" s="51" t="s">
        <v>599</v>
      </c>
      <c r="B26" s="51">
        <v>5298</v>
      </c>
      <c r="C26" s="18" t="s">
        <v>603</v>
      </c>
      <c r="D26" s="52">
        <v>10000</v>
      </c>
      <c r="E26" s="19">
        <f>E25+D26</f>
        <v>165000</v>
      </c>
      <c r="F26" s="52">
        <v>285000</v>
      </c>
    </row>
    <row r="27" spans="1:6" x14ac:dyDescent="0.35">
      <c r="A27" s="51" t="s">
        <v>600</v>
      </c>
      <c r="B27" s="51">
        <v>5550</v>
      </c>
      <c r="C27" s="18" t="s">
        <v>603</v>
      </c>
      <c r="D27" s="52">
        <v>10000</v>
      </c>
      <c r="E27" s="19">
        <f>E26+D27</f>
        <v>175000</v>
      </c>
      <c r="F27" s="52">
        <v>275000</v>
      </c>
    </row>
    <row r="28" spans="1:6" x14ac:dyDescent="0.35">
      <c r="A28" s="51" t="s">
        <v>601</v>
      </c>
      <c r="B28" s="51">
        <v>5717</v>
      </c>
      <c r="C28" s="18" t="s">
        <v>603</v>
      </c>
      <c r="D28" s="52">
        <v>10000</v>
      </c>
      <c r="E28" s="19">
        <f>E27+D28</f>
        <v>185000</v>
      </c>
      <c r="F28" s="52">
        <v>265000</v>
      </c>
    </row>
    <row r="29" spans="1:6" x14ac:dyDescent="0.35">
      <c r="A29" s="51" t="s">
        <v>602</v>
      </c>
      <c r="B29" s="51">
        <v>1466</v>
      </c>
      <c r="C29" s="18" t="s">
        <v>603</v>
      </c>
      <c r="D29" s="52">
        <v>10000</v>
      </c>
      <c r="E29" s="19">
        <f>E28+D29</f>
        <v>195000</v>
      </c>
      <c r="F29" s="52">
        <v>255000</v>
      </c>
    </row>
    <row r="30" spans="1:6" x14ac:dyDescent="0.35">
      <c r="A30" s="54">
        <v>46272</v>
      </c>
      <c r="B30" s="51">
        <v>1797</v>
      </c>
      <c r="C30" s="18" t="s">
        <v>603</v>
      </c>
      <c r="D30" s="52">
        <v>20000</v>
      </c>
      <c r="E30" s="19">
        <f>E29+D30</f>
        <v>215000</v>
      </c>
      <c r="F30" s="52">
        <v>235000</v>
      </c>
    </row>
    <row r="31" spans="1:6" x14ac:dyDescent="0.35">
      <c r="A31" s="17">
        <v>46334</v>
      </c>
      <c r="B31" s="59">
        <v>3776</v>
      </c>
      <c r="C31" s="18" t="s">
        <v>603</v>
      </c>
      <c r="D31" s="19">
        <v>10000</v>
      </c>
      <c r="E31" s="19">
        <f>E30+D31</f>
        <v>225000</v>
      </c>
      <c r="F31" s="19">
        <f>F30-D31</f>
        <v>225000</v>
      </c>
    </row>
    <row r="32" spans="1:6" x14ac:dyDescent="0.35">
      <c r="A32" s="17">
        <v>46243</v>
      </c>
      <c r="B32" s="59">
        <v>2023</v>
      </c>
      <c r="C32" s="18" t="s">
        <v>603</v>
      </c>
      <c r="D32" s="19">
        <v>10000</v>
      </c>
      <c r="E32" s="19">
        <f>E31+D32</f>
        <v>235000</v>
      </c>
      <c r="F32" s="19">
        <f>F31-D32</f>
        <v>215000</v>
      </c>
    </row>
    <row r="33" spans="1:6" x14ac:dyDescent="0.35">
      <c r="A33" s="17">
        <v>46275</v>
      </c>
      <c r="B33" s="59">
        <v>2174</v>
      </c>
      <c r="C33" s="18" t="s">
        <v>603</v>
      </c>
      <c r="D33" s="19">
        <v>10000</v>
      </c>
      <c r="E33" s="19">
        <f>E32+D33</f>
        <v>245000</v>
      </c>
      <c r="F33" s="19">
        <f>F32-D33</f>
        <v>205000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3"/>
  <sheetViews>
    <sheetView topLeftCell="A19" workbookViewId="0">
      <selection activeCell="A41" sqref="A41"/>
    </sheetView>
  </sheetViews>
  <sheetFormatPr defaultRowHeight="14.5" x14ac:dyDescent="0.35"/>
  <cols>
    <col min="1" max="1" width="16.26953125" customWidth="1"/>
    <col min="2" max="2" width="16.08984375" customWidth="1"/>
    <col min="3" max="3" width="16.36328125" customWidth="1"/>
    <col min="4" max="4" width="14.90625" customWidth="1"/>
    <col min="5" max="5" width="11.7265625" customWidth="1"/>
    <col min="6" max="6" width="10.7265625" customWidth="1"/>
  </cols>
  <sheetData>
    <row r="1" spans="1:7" ht="18.5" x14ac:dyDescent="0.45">
      <c r="A1" s="1" t="s">
        <v>221</v>
      </c>
      <c r="B1" s="1"/>
      <c r="C1" s="1"/>
      <c r="D1" s="1"/>
      <c r="E1" s="1"/>
      <c r="F1" s="1"/>
    </row>
    <row r="2" spans="1:7" ht="18.5" x14ac:dyDescent="0.45">
      <c r="A2" s="1" t="s">
        <v>222</v>
      </c>
      <c r="C2" s="1"/>
      <c r="D2" s="1"/>
      <c r="E2" s="1"/>
      <c r="F2" s="1"/>
    </row>
    <row r="3" spans="1:7" ht="18.5" x14ac:dyDescent="0.45">
      <c r="A3" s="1" t="s">
        <v>223</v>
      </c>
      <c r="B3" s="1"/>
      <c r="C3" s="1"/>
      <c r="D3" s="1"/>
      <c r="E3" s="1"/>
      <c r="F3" s="1"/>
    </row>
    <row r="4" spans="1:7" ht="18.5" x14ac:dyDescent="0.45">
      <c r="A4" s="1" t="s">
        <v>226</v>
      </c>
      <c r="B4" s="1"/>
      <c r="C4" s="1"/>
      <c r="D4" s="1"/>
      <c r="E4" s="1"/>
      <c r="F4" s="1"/>
    </row>
    <row r="5" spans="1:7" ht="18.5" x14ac:dyDescent="0.45">
      <c r="A5" s="1" t="s">
        <v>224</v>
      </c>
      <c r="B5" s="1"/>
      <c r="C5" s="1"/>
      <c r="D5" s="1"/>
      <c r="E5" s="1"/>
      <c r="F5" s="1"/>
    </row>
    <row r="6" spans="1:7" ht="18.5" x14ac:dyDescent="0.45">
      <c r="A6" s="1" t="s">
        <v>220</v>
      </c>
      <c r="B6" s="1"/>
      <c r="C6" s="1"/>
      <c r="D6" s="1" t="s">
        <v>225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36">
        <v>44628</v>
      </c>
      <c r="B8" s="34">
        <v>117</v>
      </c>
      <c r="C8" s="34" t="s">
        <v>227</v>
      </c>
      <c r="D8" s="35">
        <v>450000</v>
      </c>
      <c r="E8" s="35">
        <v>450000</v>
      </c>
      <c r="F8" s="35">
        <v>250000</v>
      </c>
      <c r="G8" s="34"/>
    </row>
    <row r="9" spans="1:7" x14ac:dyDescent="0.35">
      <c r="A9" s="36">
        <v>44628</v>
      </c>
      <c r="B9" s="34">
        <v>118</v>
      </c>
      <c r="C9" s="34" t="s">
        <v>228</v>
      </c>
      <c r="D9" s="35">
        <v>250000</v>
      </c>
      <c r="E9" s="35">
        <v>700000</v>
      </c>
      <c r="F9" s="34" t="s">
        <v>25</v>
      </c>
      <c r="G9" s="34"/>
    </row>
    <row r="10" spans="1:7" ht="18.5" x14ac:dyDescent="0.45">
      <c r="A10" s="13" t="s">
        <v>119</v>
      </c>
      <c r="B10" s="13"/>
      <c r="C10" s="13"/>
      <c r="D10" s="13"/>
      <c r="E10" s="13"/>
    </row>
    <row r="11" spans="1:7" ht="15" thickBot="1" x14ac:dyDescent="0.4"/>
    <row r="12" spans="1:7" ht="28.5" thickBot="1" x14ac:dyDescent="0.4">
      <c r="A12" s="39" t="s">
        <v>1</v>
      </c>
      <c r="B12" s="39" t="s">
        <v>397</v>
      </c>
      <c r="C12" s="39" t="s">
        <v>3</v>
      </c>
      <c r="D12" s="39" t="s">
        <v>410</v>
      </c>
      <c r="E12" s="39" t="s">
        <v>398</v>
      </c>
      <c r="F12" s="39" t="s">
        <v>411</v>
      </c>
    </row>
    <row r="13" spans="1:7" ht="15" thickBot="1" x14ac:dyDescent="0.4">
      <c r="A13" s="39" t="s">
        <v>412</v>
      </c>
      <c r="B13" s="41">
        <v>74</v>
      </c>
      <c r="C13" s="41" t="s">
        <v>142</v>
      </c>
      <c r="D13" s="41"/>
      <c r="E13" s="42">
        <v>30000</v>
      </c>
      <c r="F13" s="42">
        <v>420000</v>
      </c>
    </row>
    <row r="14" spans="1:7" ht="15" thickBot="1" x14ac:dyDescent="0.4">
      <c r="A14" s="39" t="s">
        <v>413</v>
      </c>
      <c r="B14" s="41">
        <v>131</v>
      </c>
      <c r="C14" s="41" t="s">
        <v>142</v>
      </c>
      <c r="D14" s="41"/>
      <c r="E14" s="42">
        <v>15000</v>
      </c>
      <c r="F14" s="42">
        <v>405000</v>
      </c>
    </row>
    <row r="15" spans="1:7" ht="15" thickBot="1" x14ac:dyDescent="0.4">
      <c r="A15" s="39" t="s">
        <v>414</v>
      </c>
      <c r="B15" s="41">
        <v>186</v>
      </c>
      <c r="C15" s="41" t="s">
        <v>142</v>
      </c>
      <c r="D15" s="41"/>
      <c r="E15" s="42">
        <v>10000</v>
      </c>
      <c r="F15" s="42">
        <v>395000</v>
      </c>
    </row>
    <row r="16" spans="1:7" ht="15" thickBot="1" x14ac:dyDescent="0.4">
      <c r="A16" s="39" t="s">
        <v>422</v>
      </c>
      <c r="B16" s="41">
        <v>220</v>
      </c>
      <c r="C16" s="41" t="s">
        <v>142</v>
      </c>
      <c r="D16" s="41"/>
      <c r="E16" s="42">
        <v>10000</v>
      </c>
      <c r="F16" s="42">
        <v>385000</v>
      </c>
    </row>
    <row r="17" spans="1:6" ht="15" thickBot="1" x14ac:dyDescent="0.4">
      <c r="A17" s="40">
        <v>45631</v>
      </c>
      <c r="B17" s="41">
        <v>277</v>
      </c>
      <c r="C17" s="41" t="s">
        <v>142</v>
      </c>
      <c r="D17" s="41"/>
      <c r="E17" s="42">
        <v>20000</v>
      </c>
      <c r="F17" s="42">
        <v>365000</v>
      </c>
    </row>
    <row r="18" spans="1:6" ht="15" thickBot="1" x14ac:dyDescent="0.4">
      <c r="A18" s="39" t="s">
        <v>415</v>
      </c>
      <c r="B18" s="41">
        <v>671</v>
      </c>
      <c r="C18" s="41" t="s">
        <v>142</v>
      </c>
      <c r="D18" s="41"/>
      <c r="E18" s="42">
        <v>10000</v>
      </c>
      <c r="F18" s="42">
        <v>355000</v>
      </c>
    </row>
    <row r="19" spans="1:6" ht="15" thickBot="1" x14ac:dyDescent="0.4">
      <c r="A19" s="40">
        <v>45390</v>
      </c>
      <c r="B19" s="41">
        <v>136</v>
      </c>
      <c r="C19" s="41" t="s">
        <v>142</v>
      </c>
      <c r="D19" s="41"/>
      <c r="E19" s="42">
        <v>10000</v>
      </c>
      <c r="F19" s="42">
        <v>345000</v>
      </c>
    </row>
    <row r="20" spans="1:6" ht="15" thickBot="1" x14ac:dyDescent="0.4">
      <c r="A20" s="39" t="s">
        <v>416</v>
      </c>
      <c r="B20" s="41">
        <v>304</v>
      </c>
      <c r="C20" s="41" t="s">
        <v>142</v>
      </c>
      <c r="D20" s="41"/>
      <c r="E20" s="42">
        <v>10000</v>
      </c>
      <c r="F20" s="42">
        <v>335000</v>
      </c>
    </row>
    <row r="21" spans="1:6" ht="15" thickBot="1" x14ac:dyDescent="0.4">
      <c r="A21" s="39" t="s">
        <v>417</v>
      </c>
      <c r="B21" s="41">
        <v>387</v>
      </c>
      <c r="C21" s="41" t="s">
        <v>142</v>
      </c>
      <c r="D21" s="41"/>
      <c r="E21" s="42">
        <v>10000</v>
      </c>
      <c r="F21" s="42">
        <v>325000</v>
      </c>
    </row>
    <row r="22" spans="1:6" ht="15" thickBot="1" x14ac:dyDescent="0.4">
      <c r="A22" s="40">
        <v>45576</v>
      </c>
      <c r="B22" s="41">
        <v>221</v>
      </c>
      <c r="C22" s="41" t="s">
        <v>142</v>
      </c>
      <c r="D22" s="41"/>
      <c r="E22" s="42">
        <v>10000</v>
      </c>
      <c r="F22" s="42">
        <v>315000</v>
      </c>
    </row>
    <row r="23" spans="1:6" ht="15" thickBot="1" x14ac:dyDescent="0.4">
      <c r="A23" s="39" t="s">
        <v>418</v>
      </c>
      <c r="B23" s="41">
        <v>510</v>
      </c>
      <c r="C23" s="41" t="s">
        <v>142</v>
      </c>
      <c r="D23" s="41"/>
      <c r="E23" s="42">
        <v>10000</v>
      </c>
      <c r="F23" s="42">
        <v>305000</v>
      </c>
    </row>
    <row r="24" spans="1:6" ht="15" thickBot="1" x14ac:dyDescent="0.4">
      <c r="A24" s="39" t="s">
        <v>419</v>
      </c>
      <c r="B24" s="41">
        <v>573</v>
      </c>
      <c r="C24" s="41" t="s">
        <v>142</v>
      </c>
      <c r="D24" s="41"/>
      <c r="E24" s="42">
        <v>10000</v>
      </c>
      <c r="F24" s="42">
        <v>295000</v>
      </c>
    </row>
    <row r="25" spans="1:6" ht="15" thickBot="1" x14ac:dyDescent="0.4">
      <c r="A25" s="39" t="s">
        <v>399</v>
      </c>
      <c r="B25" s="41">
        <v>946</v>
      </c>
      <c r="C25" s="41" t="s">
        <v>142</v>
      </c>
      <c r="D25" s="41"/>
      <c r="E25" s="42">
        <v>10000</v>
      </c>
      <c r="F25" s="42">
        <v>285000</v>
      </c>
    </row>
    <row r="26" spans="1:6" ht="15" thickBot="1" x14ac:dyDescent="0.4">
      <c r="A26" s="39" t="s">
        <v>400</v>
      </c>
      <c r="B26" s="41">
        <v>947</v>
      </c>
      <c r="C26" s="41" t="s">
        <v>142</v>
      </c>
      <c r="D26" s="41"/>
      <c r="E26" s="42">
        <v>10000</v>
      </c>
      <c r="F26" s="42">
        <v>275000</v>
      </c>
    </row>
    <row r="27" spans="1:6" ht="15" thickBot="1" x14ac:dyDescent="0.4">
      <c r="A27" s="40" t="s">
        <v>423</v>
      </c>
      <c r="B27" s="41">
        <v>719</v>
      </c>
      <c r="C27" s="41" t="s">
        <v>142</v>
      </c>
      <c r="D27" s="41"/>
      <c r="E27" s="42">
        <v>10000</v>
      </c>
      <c r="F27" s="42">
        <v>265000</v>
      </c>
    </row>
    <row r="28" spans="1:6" ht="15" thickBot="1" x14ac:dyDescent="0.4">
      <c r="A28" s="40">
        <v>45966</v>
      </c>
      <c r="B28" s="41">
        <v>780</v>
      </c>
      <c r="C28" s="41" t="s">
        <v>142</v>
      </c>
      <c r="D28" s="41"/>
      <c r="E28" s="42">
        <v>10000</v>
      </c>
      <c r="F28" s="42">
        <v>255000</v>
      </c>
    </row>
    <row r="29" spans="1:6" ht="15" thickBot="1" x14ac:dyDescent="0.4">
      <c r="A29" s="39" t="s">
        <v>401</v>
      </c>
      <c r="B29" s="41">
        <v>679</v>
      </c>
      <c r="C29" s="41" t="s">
        <v>142</v>
      </c>
      <c r="D29" s="41"/>
      <c r="E29" s="42">
        <v>10000</v>
      </c>
      <c r="F29" s="42">
        <v>245000</v>
      </c>
    </row>
    <row r="30" spans="1:6" ht="15" thickBot="1" x14ac:dyDescent="0.4">
      <c r="A30" s="39" t="s">
        <v>402</v>
      </c>
      <c r="B30" s="41">
        <v>3066</v>
      </c>
      <c r="C30" s="41" t="s">
        <v>142</v>
      </c>
      <c r="D30" s="41"/>
      <c r="E30" s="42">
        <v>10000</v>
      </c>
      <c r="F30" s="42">
        <v>235000</v>
      </c>
    </row>
    <row r="31" spans="1:6" ht="15" thickBot="1" x14ac:dyDescent="0.4">
      <c r="A31" s="40">
        <v>45938</v>
      </c>
      <c r="B31" s="41">
        <v>3927</v>
      </c>
      <c r="C31" s="41" t="s">
        <v>142</v>
      </c>
      <c r="D31" s="41"/>
      <c r="E31" s="42">
        <v>10000</v>
      </c>
      <c r="F31" s="42">
        <v>225000</v>
      </c>
    </row>
    <row r="32" spans="1:6" ht="15" thickBot="1" x14ac:dyDescent="0.4">
      <c r="A32" s="39" t="s">
        <v>403</v>
      </c>
      <c r="B32" s="41">
        <v>3515</v>
      </c>
      <c r="C32" s="41" t="s">
        <v>142</v>
      </c>
      <c r="D32" s="41"/>
      <c r="E32" s="42">
        <v>10000</v>
      </c>
      <c r="F32" s="42">
        <v>215000</v>
      </c>
    </row>
    <row r="33" spans="1:6" ht="15" thickBot="1" x14ac:dyDescent="0.4">
      <c r="A33" s="40">
        <v>45787</v>
      </c>
      <c r="B33" s="41">
        <v>3251</v>
      </c>
      <c r="C33" s="41" t="s">
        <v>142</v>
      </c>
      <c r="D33" s="41"/>
      <c r="E33" s="42">
        <v>10000</v>
      </c>
      <c r="F33" s="42">
        <v>205000</v>
      </c>
    </row>
    <row r="34" spans="1:6" ht="15" thickBot="1" x14ac:dyDescent="0.4">
      <c r="A34" s="39" t="s">
        <v>404</v>
      </c>
      <c r="B34" s="41">
        <v>3812</v>
      </c>
      <c r="C34" s="41" t="s">
        <v>142</v>
      </c>
      <c r="D34" s="41"/>
      <c r="E34" s="42">
        <v>10000</v>
      </c>
      <c r="F34" s="42">
        <v>195000</v>
      </c>
    </row>
    <row r="35" spans="1:6" ht="15" thickBot="1" x14ac:dyDescent="0.4">
      <c r="A35" s="39" t="s">
        <v>405</v>
      </c>
      <c r="B35" s="41">
        <v>5085</v>
      </c>
      <c r="C35" s="41" t="s">
        <v>142</v>
      </c>
      <c r="D35" s="41" t="s">
        <v>420</v>
      </c>
      <c r="E35" s="42">
        <v>10000</v>
      </c>
      <c r="F35" s="42">
        <v>185000</v>
      </c>
    </row>
    <row r="36" spans="1:6" ht="15" thickBot="1" x14ac:dyDescent="0.4">
      <c r="A36" s="40">
        <v>46327</v>
      </c>
      <c r="B36" s="41">
        <v>5270</v>
      </c>
      <c r="C36" s="41" t="s">
        <v>142</v>
      </c>
      <c r="D36" s="41"/>
      <c r="E36" s="42">
        <v>10000</v>
      </c>
      <c r="F36" s="42">
        <v>175000</v>
      </c>
    </row>
    <row r="37" spans="1:6" ht="15" thickBot="1" x14ac:dyDescent="0.4">
      <c r="A37" s="39" t="s">
        <v>406</v>
      </c>
      <c r="B37" s="41">
        <v>5523</v>
      </c>
      <c r="C37" s="41" t="s">
        <v>142</v>
      </c>
      <c r="D37" s="41"/>
      <c r="E37" s="42">
        <v>10000</v>
      </c>
      <c r="F37" s="42">
        <v>165000</v>
      </c>
    </row>
    <row r="38" spans="1:6" ht="15" thickBot="1" x14ac:dyDescent="0.4">
      <c r="A38" s="39" t="s">
        <v>407</v>
      </c>
      <c r="B38" s="41">
        <v>5730</v>
      </c>
      <c r="C38" s="41" t="s">
        <v>142</v>
      </c>
      <c r="D38" s="41"/>
      <c r="E38" s="42">
        <v>10000</v>
      </c>
      <c r="F38" s="42">
        <v>155000</v>
      </c>
    </row>
    <row r="39" spans="1:6" ht="15" thickBot="1" x14ac:dyDescent="0.4">
      <c r="A39" s="40">
        <v>46360</v>
      </c>
      <c r="B39" s="41">
        <v>5923</v>
      </c>
      <c r="C39" s="41" t="s">
        <v>142</v>
      </c>
      <c r="D39" s="41"/>
      <c r="E39" s="42">
        <v>10000</v>
      </c>
      <c r="F39" s="42">
        <v>145000</v>
      </c>
    </row>
    <row r="40" spans="1:6" ht="15" thickBot="1" x14ac:dyDescent="0.4">
      <c r="A40" s="40">
        <v>46300</v>
      </c>
      <c r="B40" s="41">
        <v>1418</v>
      </c>
      <c r="C40" s="41" t="s">
        <v>142</v>
      </c>
      <c r="D40" s="41"/>
      <c r="E40" s="42">
        <v>10000</v>
      </c>
      <c r="F40" s="42">
        <v>135000</v>
      </c>
    </row>
    <row r="41" spans="1:6" ht="15" thickBot="1" x14ac:dyDescent="0.4">
      <c r="A41" s="39" t="s">
        <v>408</v>
      </c>
      <c r="B41" s="41">
        <v>1632</v>
      </c>
      <c r="C41" s="41" t="s">
        <v>142</v>
      </c>
      <c r="D41" s="41" t="s">
        <v>420</v>
      </c>
      <c r="E41" s="42">
        <v>10000</v>
      </c>
      <c r="F41" s="42">
        <v>125000</v>
      </c>
    </row>
    <row r="42" spans="1:6" ht="15" thickBot="1" x14ac:dyDescent="0.4">
      <c r="A42" s="40">
        <v>46149</v>
      </c>
      <c r="B42" s="41">
        <v>1752</v>
      </c>
      <c r="C42" s="41" t="s">
        <v>142</v>
      </c>
      <c r="D42" s="41"/>
      <c r="E42" s="42">
        <v>10000</v>
      </c>
      <c r="F42" s="42">
        <v>115000</v>
      </c>
    </row>
    <row r="43" spans="1:6" ht="15" thickBot="1" x14ac:dyDescent="0.4">
      <c r="A43" s="39" t="s">
        <v>409</v>
      </c>
      <c r="B43" s="41">
        <v>2060</v>
      </c>
      <c r="C43" s="41" t="s">
        <v>142</v>
      </c>
      <c r="D43" s="41" t="s">
        <v>421</v>
      </c>
      <c r="E43" s="42">
        <v>10000</v>
      </c>
      <c r="F43" s="42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7"/>
  <sheetViews>
    <sheetView topLeftCell="A29" workbookViewId="0">
      <selection activeCell="F38" sqref="F38"/>
    </sheetView>
  </sheetViews>
  <sheetFormatPr defaultRowHeight="14.5" x14ac:dyDescent="0.35"/>
  <cols>
    <col min="1" max="1" width="10.26953125" customWidth="1"/>
    <col min="3" max="3" width="10.81640625" customWidth="1"/>
    <col min="6" max="6" width="11.08984375" customWidth="1"/>
  </cols>
  <sheetData>
    <row r="1" spans="1:6" ht="18.5" x14ac:dyDescent="0.45">
      <c r="A1" s="1" t="s">
        <v>170</v>
      </c>
      <c r="B1" s="1"/>
      <c r="C1" s="1"/>
      <c r="D1" s="1"/>
      <c r="E1" s="1"/>
      <c r="F1" s="1"/>
    </row>
    <row r="2" spans="1:6" ht="18.5" x14ac:dyDescent="0.45">
      <c r="A2" s="1" t="s">
        <v>171</v>
      </c>
      <c r="C2" s="1"/>
      <c r="D2" s="1"/>
      <c r="E2" s="1"/>
      <c r="F2" s="1"/>
    </row>
    <row r="3" spans="1:6" ht="18.5" x14ac:dyDescent="0.45">
      <c r="A3" s="1" t="s">
        <v>172</v>
      </c>
      <c r="B3" s="1"/>
      <c r="C3" s="1"/>
      <c r="D3" s="1"/>
      <c r="E3" s="1"/>
      <c r="F3" s="1"/>
    </row>
    <row r="4" spans="1:6" ht="18.5" x14ac:dyDescent="0.45">
      <c r="A4" s="1" t="s">
        <v>195</v>
      </c>
      <c r="B4" s="1"/>
      <c r="C4" s="1"/>
      <c r="D4" s="1"/>
      <c r="E4" s="1"/>
      <c r="F4" s="1"/>
    </row>
    <row r="5" spans="1:6" ht="18.5" x14ac:dyDescent="0.45">
      <c r="A5" s="1" t="s">
        <v>173</v>
      </c>
      <c r="B5" s="1"/>
      <c r="C5" s="1"/>
      <c r="D5" s="1"/>
      <c r="E5" s="1"/>
      <c r="F5" s="1"/>
    </row>
    <row r="6" spans="1:6" ht="18.5" x14ac:dyDescent="0.45">
      <c r="A6" s="1" t="s">
        <v>174</v>
      </c>
      <c r="B6" s="1"/>
      <c r="C6" s="1"/>
      <c r="D6" s="1" t="s">
        <v>175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176</v>
      </c>
      <c r="B8">
        <v>1408</v>
      </c>
      <c r="C8" t="s">
        <v>183</v>
      </c>
      <c r="D8" s="10">
        <v>200000</v>
      </c>
      <c r="E8" s="10">
        <v>200000</v>
      </c>
      <c r="F8" s="10">
        <v>750000</v>
      </c>
    </row>
    <row r="9" spans="1:6" x14ac:dyDescent="0.35">
      <c r="A9" s="9">
        <v>44931</v>
      </c>
      <c r="B9">
        <v>1409</v>
      </c>
      <c r="C9" t="s">
        <v>142</v>
      </c>
      <c r="D9" s="10">
        <v>40000</v>
      </c>
      <c r="E9" s="10">
        <f>SUM(E8+D9)</f>
        <v>240000</v>
      </c>
      <c r="F9" s="10">
        <f>F8-D9</f>
        <v>710000</v>
      </c>
    </row>
    <row r="10" spans="1:6" x14ac:dyDescent="0.35">
      <c r="A10" t="s">
        <v>177</v>
      </c>
      <c r="B10">
        <v>943</v>
      </c>
      <c r="C10" t="s">
        <v>142</v>
      </c>
      <c r="D10" s="10">
        <v>20000</v>
      </c>
      <c r="E10" s="10">
        <f t="shared" ref="E10:E34" si="0">SUM(E9+D10)</f>
        <v>260000</v>
      </c>
      <c r="F10" s="10">
        <f t="shared" ref="F10:F34" si="1">F9-D10</f>
        <v>690000</v>
      </c>
    </row>
    <row r="11" spans="1:6" x14ac:dyDescent="0.35">
      <c r="A11" t="s">
        <v>178</v>
      </c>
      <c r="B11">
        <v>3342</v>
      </c>
      <c r="C11" t="s">
        <v>142</v>
      </c>
      <c r="D11" s="10">
        <v>40000</v>
      </c>
      <c r="E11" s="10">
        <f t="shared" si="0"/>
        <v>300000</v>
      </c>
      <c r="F11" s="10">
        <f t="shared" si="1"/>
        <v>650000</v>
      </c>
    </row>
    <row r="12" spans="1:6" x14ac:dyDescent="0.35">
      <c r="A12" t="s">
        <v>179</v>
      </c>
      <c r="B12">
        <v>4529</v>
      </c>
      <c r="C12" t="s">
        <v>142</v>
      </c>
      <c r="D12" s="10">
        <v>20000</v>
      </c>
      <c r="E12" s="10">
        <f t="shared" si="0"/>
        <v>320000</v>
      </c>
      <c r="F12" s="10">
        <f t="shared" si="1"/>
        <v>630000</v>
      </c>
    </row>
    <row r="13" spans="1:6" x14ac:dyDescent="0.35">
      <c r="A13" s="9">
        <v>45272</v>
      </c>
      <c r="B13">
        <v>5508</v>
      </c>
      <c r="C13" t="s">
        <v>142</v>
      </c>
      <c r="D13" s="10">
        <v>20000</v>
      </c>
      <c r="E13" s="10">
        <f t="shared" si="0"/>
        <v>340000</v>
      </c>
      <c r="F13" s="10">
        <f t="shared" si="1"/>
        <v>610000</v>
      </c>
    </row>
    <row r="14" spans="1:6" x14ac:dyDescent="0.35">
      <c r="A14" t="s">
        <v>180</v>
      </c>
      <c r="B14">
        <v>6285</v>
      </c>
      <c r="C14" t="s">
        <v>142</v>
      </c>
      <c r="D14" s="10">
        <v>20000</v>
      </c>
      <c r="E14" s="10">
        <f t="shared" si="0"/>
        <v>360000</v>
      </c>
      <c r="F14" s="10">
        <f t="shared" si="1"/>
        <v>590000</v>
      </c>
    </row>
    <row r="15" spans="1:6" x14ac:dyDescent="0.35">
      <c r="A15" s="9">
        <v>45568</v>
      </c>
      <c r="B15">
        <v>7237</v>
      </c>
      <c r="C15" t="s">
        <v>142</v>
      </c>
      <c r="D15" s="10">
        <v>20000</v>
      </c>
      <c r="E15" s="10">
        <f t="shared" si="0"/>
        <v>380000</v>
      </c>
      <c r="F15" s="10">
        <f t="shared" si="1"/>
        <v>570000</v>
      </c>
    </row>
    <row r="16" spans="1:6" x14ac:dyDescent="0.35">
      <c r="A16" s="9">
        <v>45477</v>
      </c>
      <c r="B16">
        <v>11274</v>
      </c>
      <c r="C16" t="s">
        <v>142</v>
      </c>
      <c r="D16" s="10">
        <v>20000</v>
      </c>
      <c r="E16" s="10">
        <f t="shared" si="0"/>
        <v>400000</v>
      </c>
      <c r="F16" s="10">
        <f t="shared" si="1"/>
        <v>550000</v>
      </c>
    </row>
    <row r="17" spans="1:6" x14ac:dyDescent="0.35">
      <c r="A17" t="s">
        <v>181</v>
      </c>
      <c r="B17">
        <v>11275</v>
      </c>
      <c r="C17" t="s">
        <v>142</v>
      </c>
      <c r="D17" s="10">
        <v>20000</v>
      </c>
      <c r="E17" s="10">
        <f t="shared" si="0"/>
        <v>420000</v>
      </c>
      <c r="F17" s="10">
        <f t="shared" si="1"/>
        <v>530000</v>
      </c>
    </row>
    <row r="18" spans="1:6" x14ac:dyDescent="0.35">
      <c r="A18" t="s">
        <v>182</v>
      </c>
      <c r="B18">
        <v>11276</v>
      </c>
      <c r="C18" t="s">
        <v>142</v>
      </c>
      <c r="D18" s="10">
        <v>20000</v>
      </c>
      <c r="E18" s="10">
        <f t="shared" si="0"/>
        <v>440000</v>
      </c>
      <c r="F18" s="10">
        <f t="shared" si="1"/>
        <v>510000</v>
      </c>
    </row>
    <row r="19" spans="1:6" x14ac:dyDescent="0.35">
      <c r="A19" t="s">
        <v>184</v>
      </c>
      <c r="B19">
        <v>11277</v>
      </c>
      <c r="C19" t="s">
        <v>142</v>
      </c>
      <c r="D19" s="10">
        <v>20000</v>
      </c>
      <c r="E19" s="10">
        <f t="shared" si="0"/>
        <v>460000</v>
      </c>
      <c r="F19" s="10">
        <f t="shared" si="1"/>
        <v>490000</v>
      </c>
    </row>
    <row r="20" spans="1:6" x14ac:dyDescent="0.35">
      <c r="A20" t="s">
        <v>185</v>
      </c>
      <c r="B20">
        <v>11278</v>
      </c>
      <c r="C20" t="s">
        <v>142</v>
      </c>
      <c r="D20" s="10">
        <v>20000</v>
      </c>
      <c r="E20" s="10">
        <f t="shared" si="0"/>
        <v>480000</v>
      </c>
      <c r="F20" s="10">
        <f t="shared" si="1"/>
        <v>470000</v>
      </c>
    </row>
    <row r="21" spans="1:6" x14ac:dyDescent="0.35">
      <c r="A21" t="s">
        <v>186</v>
      </c>
      <c r="B21">
        <v>10368</v>
      </c>
      <c r="C21" t="s">
        <v>142</v>
      </c>
      <c r="D21" s="10">
        <v>20000</v>
      </c>
      <c r="E21" s="10">
        <f t="shared" si="0"/>
        <v>500000</v>
      </c>
      <c r="F21" s="10">
        <f t="shared" si="1"/>
        <v>450000</v>
      </c>
    </row>
    <row r="22" spans="1:6" x14ac:dyDescent="0.35">
      <c r="A22" t="s">
        <v>187</v>
      </c>
      <c r="B22">
        <v>10369</v>
      </c>
      <c r="C22" t="s">
        <v>142</v>
      </c>
      <c r="D22" s="10">
        <v>20000</v>
      </c>
      <c r="E22" s="10">
        <f t="shared" si="0"/>
        <v>520000</v>
      </c>
      <c r="F22" s="10">
        <f t="shared" si="1"/>
        <v>430000</v>
      </c>
    </row>
    <row r="23" spans="1:6" x14ac:dyDescent="0.35">
      <c r="A23" t="s">
        <v>188</v>
      </c>
      <c r="B23">
        <v>10372</v>
      </c>
      <c r="C23" t="s">
        <v>142</v>
      </c>
      <c r="D23" s="10">
        <v>20000</v>
      </c>
      <c r="E23" s="10">
        <f t="shared" si="0"/>
        <v>540000</v>
      </c>
      <c r="F23" s="10">
        <f t="shared" si="1"/>
        <v>410000</v>
      </c>
    </row>
    <row r="24" spans="1:6" x14ac:dyDescent="0.35">
      <c r="A24" s="9">
        <v>45840</v>
      </c>
      <c r="B24">
        <v>10371</v>
      </c>
      <c r="C24" t="s">
        <v>142</v>
      </c>
      <c r="D24" s="10">
        <v>20000</v>
      </c>
      <c r="E24" s="10">
        <f t="shared" si="0"/>
        <v>560000</v>
      </c>
      <c r="F24" s="10">
        <f t="shared" si="1"/>
        <v>390000</v>
      </c>
    </row>
    <row r="25" spans="1:6" x14ac:dyDescent="0.35">
      <c r="A25" s="9">
        <v>45874</v>
      </c>
      <c r="B25">
        <v>10372</v>
      </c>
      <c r="C25" t="s">
        <v>142</v>
      </c>
      <c r="D25" s="10">
        <v>20000</v>
      </c>
      <c r="E25" s="10">
        <f t="shared" si="0"/>
        <v>580000</v>
      </c>
      <c r="F25" s="10">
        <f t="shared" si="1"/>
        <v>370000</v>
      </c>
    </row>
    <row r="26" spans="1:6" x14ac:dyDescent="0.35">
      <c r="A26" t="s">
        <v>189</v>
      </c>
      <c r="B26">
        <v>11838</v>
      </c>
      <c r="C26" t="s">
        <v>142</v>
      </c>
      <c r="D26" s="10">
        <v>20000</v>
      </c>
      <c r="E26" s="10">
        <f t="shared" si="0"/>
        <v>600000</v>
      </c>
      <c r="F26" s="10">
        <f t="shared" si="1"/>
        <v>350000</v>
      </c>
    </row>
    <row r="27" spans="1:6" x14ac:dyDescent="0.35">
      <c r="A27" t="s">
        <v>190</v>
      </c>
      <c r="B27">
        <v>12327</v>
      </c>
      <c r="C27" t="s">
        <v>142</v>
      </c>
      <c r="D27" s="10">
        <v>10000</v>
      </c>
      <c r="E27" s="10">
        <f t="shared" si="0"/>
        <v>610000</v>
      </c>
      <c r="F27" s="10">
        <f t="shared" si="1"/>
        <v>340000</v>
      </c>
    </row>
    <row r="28" spans="1:6" x14ac:dyDescent="0.35">
      <c r="A28" t="s">
        <v>191</v>
      </c>
      <c r="B28">
        <v>12554</v>
      </c>
      <c r="C28" t="s">
        <v>142</v>
      </c>
      <c r="D28" s="10">
        <v>10000</v>
      </c>
      <c r="E28" s="10">
        <f t="shared" si="0"/>
        <v>620000</v>
      </c>
      <c r="F28" s="10">
        <f t="shared" si="1"/>
        <v>330000</v>
      </c>
    </row>
    <row r="29" spans="1:6" x14ac:dyDescent="0.35">
      <c r="A29" t="s">
        <v>192</v>
      </c>
      <c r="B29">
        <v>13978</v>
      </c>
      <c r="C29" t="s">
        <v>142</v>
      </c>
      <c r="D29" s="10">
        <v>10000</v>
      </c>
      <c r="E29" s="10">
        <f t="shared" si="0"/>
        <v>630000</v>
      </c>
      <c r="F29" s="10">
        <f t="shared" si="1"/>
        <v>320000</v>
      </c>
    </row>
    <row r="30" spans="1:6" x14ac:dyDescent="0.35">
      <c r="A30" t="s">
        <v>193</v>
      </c>
      <c r="B30">
        <v>13561</v>
      </c>
      <c r="C30" t="s">
        <v>142</v>
      </c>
      <c r="D30" s="10">
        <v>10000</v>
      </c>
      <c r="E30" s="10">
        <f t="shared" si="0"/>
        <v>640000</v>
      </c>
      <c r="F30" s="10">
        <f t="shared" si="1"/>
        <v>310000</v>
      </c>
    </row>
    <row r="31" spans="1:6" x14ac:dyDescent="0.35">
      <c r="A31" t="s">
        <v>152</v>
      </c>
      <c r="B31">
        <v>13217</v>
      </c>
      <c r="C31" t="s">
        <v>142</v>
      </c>
      <c r="D31" s="10">
        <v>10000</v>
      </c>
      <c r="E31" s="10">
        <f t="shared" si="0"/>
        <v>650000</v>
      </c>
      <c r="F31" s="10">
        <f t="shared" si="1"/>
        <v>300000</v>
      </c>
    </row>
    <row r="32" spans="1:6" x14ac:dyDescent="0.35">
      <c r="A32" t="s">
        <v>194</v>
      </c>
      <c r="B32">
        <v>12141</v>
      </c>
      <c r="C32" t="s">
        <v>142</v>
      </c>
      <c r="D32" s="10">
        <v>20000</v>
      </c>
      <c r="E32" s="10">
        <f t="shared" si="0"/>
        <v>670000</v>
      </c>
      <c r="F32" s="10">
        <f t="shared" si="1"/>
        <v>280000</v>
      </c>
    </row>
    <row r="33" spans="1:6" x14ac:dyDescent="0.35">
      <c r="A33" s="9">
        <v>46268</v>
      </c>
      <c r="B33">
        <v>12793</v>
      </c>
      <c r="C33" t="s">
        <v>142</v>
      </c>
      <c r="D33" s="10">
        <v>20000</v>
      </c>
      <c r="E33" s="10">
        <f t="shared" si="0"/>
        <v>690000</v>
      </c>
      <c r="F33" s="10">
        <f t="shared" si="1"/>
        <v>260000</v>
      </c>
    </row>
    <row r="34" spans="1:6" x14ac:dyDescent="0.35">
      <c r="A34" s="9">
        <v>46178</v>
      </c>
      <c r="B34">
        <v>12946</v>
      </c>
      <c r="C34" t="s">
        <v>142</v>
      </c>
      <c r="D34" s="10">
        <v>20000</v>
      </c>
      <c r="E34" s="10">
        <f t="shared" si="0"/>
        <v>710000</v>
      </c>
      <c r="F34" s="10">
        <f t="shared" si="1"/>
        <v>240000</v>
      </c>
    </row>
    <row r="35" spans="1:6" x14ac:dyDescent="0.35">
      <c r="A35" t="s">
        <v>298</v>
      </c>
      <c r="B35">
        <v>13666</v>
      </c>
      <c r="C35" t="s">
        <v>142</v>
      </c>
      <c r="D35" s="10">
        <v>10000</v>
      </c>
      <c r="E35" s="10">
        <f>E34+D35</f>
        <v>720000</v>
      </c>
      <c r="F35" s="10">
        <f>F34-D35</f>
        <v>230000</v>
      </c>
    </row>
    <row r="36" spans="1:6" x14ac:dyDescent="0.35">
      <c r="A36" t="s">
        <v>521</v>
      </c>
      <c r="B36">
        <v>1610</v>
      </c>
      <c r="C36" t="s">
        <v>142</v>
      </c>
      <c r="D36" s="10">
        <v>10000</v>
      </c>
      <c r="E36" s="10">
        <f>E35+D36</f>
        <v>730000</v>
      </c>
      <c r="F36" s="10">
        <f>F35-D36</f>
        <v>220000</v>
      </c>
    </row>
    <row r="37" spans="1:6" x14ac:dyDescent="0.35">
      <c r="A37" t="s">
        <v>522</v>
      </c>
      <c r="B37">
        <v>2130</v>
      </c>
      <c r="C37" t="s">
        <v>142</v>
      </c>
      <c r="D37" s="10">
        <v>15000</v>
      </c>
      <c r="E37" s="10">
        <f>E36+D37</f>
        <v>745000</v>
      </c>
      <c r="F37" s="10">
        <f>F36-D37</f>
        <v>205000</v>
      </c>
    </row>
  </sheetData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9"/>
  <sheetViews>
    <sheetView workbookViewId="0">
      <selection activeCell="B13" sqref="B13"/>
    </sheetView>
  </sheetViews>
  <sheetFormatPr defaultRowHeight="14.5" x14ac:dyDescent="0.35"/>
  <sheetData>
    <row r="1" spans="1:6" x14ac:dyDescent="0.35">
      <c r="A1" t="s">
        <v>240</v>
      </c>
      <c r="B1" t="s">
        <v>323</v>
      </c>
    </row>
    <row r="2" spans="1:6" x14ac:dyDescent="0.35">
      <c r="A2" t="s">
        <v>241</v>
      </c>
      <c r="B2" t="s">
        <v>324</v>
      </c>
    </row>
    <row r="3" spans="1:6" x14ac:dyDescent="0.35">
      <c r="A3" t="s">
        <v>299</v>
      </c>
      <c r="B3" t="s">
        <v>325</v>
      </c>
    </row>
    <row r="4" spans="1:6" x14ac:dyDescent="0.35">
      <c r="A4" t="s">
        <v>300</v>
      </c>
      <c r="B4" t="s">
        <v>301</v>
      </c>
    </row>
    <row r="5" spans="1:6" x14ac:dyDescent="0.35">
      <c r="A5" t="s">
        <v>242</v>
      </c>
      <c r="B5" t="s">
        <v>326</v>
      </c>
    </row>
    <row r="6" spans="1:6" x14ac:dyDescent="0.35">
      <c r="A6" t="s">
        <v>245</v>
      </c>
      <c r="B6">
        <v>4854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302</v>
      </c>
      <c r="B9">
        <v>1364</v>
      </c>
      <c r="C9" t="s">
        <v>322</v>
      </c>
      <c r="D9" s="10">
        <v>300000</v>
      </c>
      <c r="E9" s="10">
        <v>300000</v>
      </c>
      <c r="F9" s="10">
        <v>400000</v>
      </c>
    </row>
    <row r="10" spans="1:6" x14ac:dyDescent="0.35">
      <c r="A10" t="s">
        <v>303</v>
      </c>
      <c r="B10">
        <v>1161</v>
      </c>
      <c r="C10" t="s">
        <v>277</v>
      </c>
      <c r="D10" s="10">
        <v>10000</v>
      </c>
      <c r="E10" s="10">
        <f t="shared" ref="E10:E29" si="0">E9+D10</f>
        <v>310000</v>
      </c>
      <c r="F10" s="10">
        <f t="shared" ref="F10:F29" si="1">F9-D10</f>
        <v>390000</v>
      </c>
    </row>
    <row r="11" spans="1:6" x14ac:dyDescent="0.35">
      <c r="A11" t="s">
        <v>304</v>
      </c>
      <c r="B11">
        <v>1447</v>
      </c>
      <c r="C11" t="s">
        <v>277</v>
      </c>
      <c r="D11" s="10">
        <v>250000</v>
      </c>
      <c r="E11" s="10">
        <f t="shared" si="0"/>
        <v>560000</v>
      </c>
      <c r="F11" s="10">
        <f t="shared" si="1"/>
        <v>140000</v>
      </c>
    </row>
    <row r="12" spans="1:6" x14ac:dyDescent="0.35">
      <c r="A12" t="s">
        <v>305</v>
      </c>
      <c r="B12">
        <v>7362</v>
      </c>
      <c r="C12" t="s">
        <v>277</v>
      </c>
      <c r="D12" s="10">
        <v>30000</v>
      </c>
      <c r="E12" s="10">
        <f t="shared" si="0"/>
        <v>590000</v>
      </c>
      <c r="F12" s="10">
        <f t="shared" si="1"/>
        <v>110000</v>
      </c>
    </row>
    <row r="13" spans="1:6" x14ac:dyDescent="0.35">
      <c r="A13" t="s">
        <v>259</v>
      </c>
      <c r="B13">
        <v>8119</v>
      </c>
      <c r="C13" t="s">
        <v>277</v>
      </c>
      <c r="D13" s="10">
        <v>10000</v>
      </c>
      <c r="E13" s="10">
        <f t="shared" si="0"/>
        <v>600000</v>
      </c>
      <c r="F13" s="10">
        <f t="shared" si="1"/>
        <v>100000</v>
      </c>
    </row>
    <row r="14" spans="1:6" x14ac:dyDescent="0.35">
      <c r="A14" t="s">
        <v>306</v>
      </c>
      <c r="B14">
        <v>8726</v>
      </c>
      <c r="C14" t="s">
        <v>277</v>
      </c>
      <c r="D14" s="10">
        <v>5000</v>
      </c>
      <c r="E14" s="10">
        <f t="shared" si="0"/>
        <v>605000</v>
      </c>
      <c r="F14" s="10">
        <f t="shared" si="1"/>
        <v>95000</v>
      </c>
    </row>
    <row r="15" spans="1:6" x14ac:dyDescent="0.35">
      <c r="A15" t="s">
        <v>307</v>
      </c>
      <c r="B15">
        <v>10929</v>
      </c>
      <c r="C15" t="s">
        <v>277</v>
      </c>
      <c r="D15" s="10">
        <v>5000</v>
      </c>
      <c r="E15" s="10">
        <f t="shared" si="0"/>
        <v>610000</v>
      </c>
      <c r="F15" s="10">
        <f t="shared" si="1"/>
        <v>90000</v>
      </c>
    </row>
    <row r="16" spans="1:6" x14ac:dyDescent="0.35">
      <c r="A16" t="s">
        <v>308</v>
      </c>
      <c r="B16">
        <v>10407</v>
      </c>
      <c r="C16" t="s">
        <v>277</v>
      </c>
      <c r="D16" s="10">
        <v>10000</v>
      </c>
      <c r="E16" s="10">
        <f t="shared" si="0"/>
        <v>620000</v>
      </c>
      <c r="F16" s="10">
        <f t="shared" si="1"/>
        <v>80000</v>
      </c>
    </row>
    <row r="17" spans="1:6" x14ac:dyDescent="0.35">
      <c r="A17" t="s">
        <v>309</v>
      </c>
      <c r="B17">
        <v>11657</v>
      </c>
      <c r="C17" t="s">
        <v>277</v>
      </c>
      <c r="D17" s="10">
        <v>15000</v>
      </c>
      <c r="E17" s="10">
        <f t="shared" si="0"/>
        <v>635000</v>
      </c>
      <c r="F17" s="10">
        <f t="shared" si="1"/>
        <v>65000</v>
      </c>
    </row>
    <row r="18" spans="1:6" x14ac:dyDescent="0.35">
      <c r="A18" t="s">
        <v>310</v>
      </c>
      <c r="B18">
        <v>10930</v>
      </c>
      <c r="C18" t="s">
        <v>277</v>
      </c>
      <c r="D18" s="10">
        <v>5000</v>
      </c>
      <c r="E18" s="10">
        <f t="shared" si="0"/>
        <v>640000</v>
      </c>
      <c r="F18" s="10">
        <f t="shared" si="1"/>
        <v>60000</v>
      </c>
    </row>
    <row r="19" spans="1:6" x14ac:dyDescent="0.35">
      <c r="A19" t="s">
        <v>311</v>
      </c>
      <c r="B19">
        <v>12204</v>
      </c>
      <c r="C19" t="s">
        <v>277</v>
      </c>
      <c r="D19" s="10">
        <v>5000</v>
      </c>
      <c r="E19" s="10">
        <f t="shared" si="0"/>
        <v>645000</v>
      </c>
      <c r="F19" s="10">
        <f t="shared" si="1"/>
        <v>55000</v>
      </c>
    </row>
    <row r="20" spans="1:6" x14ac:dyDescent="0.35">
      <c r="A20" t="s">
        <v>312</v>
      </c>
      <c r="B20">
        <v>12205</v>
      </c>
      <c r="C20" t="s">
        <v>277</v>
      </c>
      <c r="D20" s="10">
        <v>5000</v>
      </c>
      <c r="E20" s="10">
        <f t="shared" si="0"/>
        <v>650000</v>
      </c>
      <c r="F20" s="10">
        <f t="shared" si="1"/>
        <v>50000</v>
      </c>
    </row>
    <row r="21" spans="1:6" x14ac:dyDescent="0.35">
      <c r="A21" t="s">
        <v>313</v>
      </c>
      <c r="B21">
        <v>12206</v>
      </c>
      <c r="C21" t="s">
        <v>277</v>
      </c>
      <c r="D21" s="10">
        <v>5000</v>
      </c>
      <c r="E21" s="10">
        <f t="shared" si="0"/>
        <v>655000</v>
      </c>
      <c r="F21" s="10">
        <f t="shared" si="1"/>
        <v>45000</v>
      </c>
    </row>
    <row r="22" spans="1:6" x14ac:dyDescent="0.35">
      <c r="A22" t="s">
        <v>314</v>
      </c>
      <c r="B22">
        <v>12766</v>
      </c>
      <c r="C22" t="s">
        <v>277</v>
      </c>
      <c r="D22" s="10">
        <v>5000</v>
      </c>
      <c r="E22" s="10">
        <f t="shared" si="0"/>
        <v>660000</v>
      </c>
      <c r="F22" s="10">
        <f t="shared" si="1"/>
        <v>40000</v>
      </c>
    </row>
    <row r="23" spans="1:6" x14ac:dyDescent="0.35">
      <c r="A23" t="s">
        <v>315</v>
      </c>
      <c r="B23">
        <v>13882</v>
      </c>
      <c r="C23" t="s">
        <v>277</v>
      </c>
      <c r="D23" s="10">
        <v>5000</v>
      </c>
      <c r="E23" s="10">
        <f t="shared" si="0"/>
        <v>665000</v>
      </c>
      <c r="F23" s="10">
        <f t="shared" si="1"/>
        <v>35000</v>
      </c>
    </row>
    <row r="24" spans="1:6" x14ac:dyDescent="0.35">
      <c r="A24" t="s">
        <v>316</v>
      </c>
      <c r="B24">
        <v>13349</v>
      </c>
      <c r="C24" t="s">
        <v>277</v>
      </c>
      <c r="D24" s="10">
        <v>5000</v>
      </c>
      <c r="E24" s="10">
        <f t="shared" si="0"/>
        <v>670000</v>
      </c>
      <c r="F24" s="10">
        <f t="shared" si="1"/>
        <v>30000</v>
      </c>
    </row>
    <row r="25" spans="1:6" x14ac:dyDescent="0.35">
      <c r="A25" t="s">
        <v>317</v>
      </c>
      <c r="B25">
        <v>13899</v>
      </c>
      <c r="C25" t="s">
        <v>277</v>
      </c>
      <c r="D25" s="10">
        <v>5000</v>
      </c>
      <c r="E25" s="10">
        <f t="shared" si="0"/>
        <v>675000</v>
      </c>
      <c r="F25" s="10">
        <f t="shared" si="1"/>
        <v>25000</v>
      </c>
    </row>
    <row r="26" spans="1:6" x14ac:dyDescent="0.35">
      <c r="A26" t="s">
        <v>318</v>
      </c>
      <c r="B26">
        <v>12452</v>
      </c>
      <c r="C26" t="s">
        <v>277</v>
      </c>
      <c r="D26" s="10">
        <v>5000</v>
      </c>
      <c r="E26" s="10">
        <f t="shared" si="0"/>
        <v>680000</v>
      </c>
      <c r="F26" s="10">
        <f t="shared" si="1"/>
        <v>20000</v>
      </c>
    </row>
    <row r="27" spans="1:6" x14ac:dyDescent="0.35">
      <c r="A27" t="s">
        <v>319</v>
      </c>
      <c r="B27">
        <v>12454</v>
      </c>
      <c r="C27" t="s">
        <v>277</v>
      </c>
      <c r="D27" s="10">
        <v>5000</v>
      </c>
      <c r="E27" s="10">
        <f t="shared" si="0"/>
        <v>685000</v>
      </c>
      <c r="F27" s="10">
        <f t="shared" si="1"/>
        <v>15000</v>
      </c>
    </row>
    <row r="28" spans="1:6" x14ac:dyDescent="0.35">
      <c r="A28" t="s">
        <v>320</v>
      </c>
      <c r="B28">
        <v>13343</v>
      </c>
      <c r="C28" t="s">
        <v>277</v>
      </c>
      <c r="D28" s="10">
        <v>10000</v>
      </c>
      <c r="E28" s="10">
        <f t="shared" si="0"/>
        <v>695000</v>
      </c>
      <c r="F28" s="10">
        <f t="shared" si="1"/>
        <v>5000</v>
      </c>
    </row>
    <row r="29" spans="1:6" x14ac:dyDescent="0.35">
      <c r="A29" t="s">
        <v>321</v>
      </c>
      <c r="B29">
        <v>1304</v>
      </c>
      <c r="C29" t="s">
        <v>277</v>
      </c>
      <c r="D29" s="10">
        <v>15000</v>
      </c>
      <c r="E29" s="10">
        <f t="shared" si="0"/>
        <v>710000</v>
      </c>
      <c r="F29" s="10">
        <f t="shared" si="1"/>
        <v>-10000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2"/>
  <sheetViews>
    <sheetView topLeftCell="A13" workbookViewId="0">
      <selection activeCell="B39" sqref="B39"/>
    </sheetView>
  </sheetViews>
  <sheetFormatPr defaultRowHeight="14.5" x14ac:dyDescent="0.35"/>
  <cols>
    <col min="1" max="1" width="13.1796875" customWidth="1"/>
    <col min="2" max="2" width="11.453125" customWidth="1"/>
    <col min="3" max="3" width="11.54296875" customWidth="1"/>
    <col min="4" max="4" width="10.1796875" customWidth="1"/>
    <col min="5" max="5" width="10.81640625" customWidth="1"/>
    <col min="6" max="6" width="11.26953125" customWidth="1"/>
  </cols>
  <sheetData>
    <row r="1" spans="1:6" ht="18.5" x14ac:dyDescent="0.45">
      <c r="A1" s="1" t="s">
        <v>103</v>
      </c>
      <c r="B1" s="1"/>
      <c r="C1" s="1"/>
      <c r="D1" s="1"/>
      <c r="E1" s="1"/>
      <c r="F1" s="1"/>
    </row>
    <row r="2" spans="1:6" ht="18.5" x14ac:dyDescent="0.45">
      <c r="A2" s="1" t="s">
        <v>104</v>
      </c>
      <c r="C2" s="1"/>
      <c r="D2" s="1"/>
      <c r="E2" s="1"/>
      <c r="F2" s="1"/>
    </row>
    <row r="3" spans="1:6" ht="18.5" x14ac:dyDescent="0.45">
      <c r="A3" s="1" t="s">
        <v>105</v>
      </c>
      <c r="B3" s="1"/>
      <c r="C3" s="1"/>
      <c r="D3" s="1"/>
      <c r="E3" s="1"/>
      <c r="F3" s="1"/>
    </row>
    <row r="4" spans="1:6" ht="18.5" x14ac:dyDescent="0.45">
      <c r="A4" s="1" t="s">
        <v>120</v>
      </c>
      <c r="B4" s="1"/>
      <c r="C4" s="1"/>
      <c r="D4" s="1"/>
      <c r="E4" s="1"/>
      <c r="F4" s="1"/>
    </row>
    <row r="5" spans="1:6" ht="18.5" x14ac:dyDescent="0.45">
      <c r="A5" s="1" t="s">
        <v>106</v>
      </c>
      <c r="B5" s="1"/>
      <c r="C5" s="1"/>
      <c r="D5" s="1"/>
      <c r="E5" s="1"/>
      <c r="F5" s="1"/>
    </row>
    <row r="6" spans="1:6" ht="18.5" x14ac:dyDescent="0.45">
      <c r="A6" s="1" t="s">
        <v>107</v>
      </c>
      <c r="B6" s="1"/>
      <c r="C6" s="1"/>
      <c r="D6" s="1" t="s">
        <v>108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36">
        <v>44722</v>
      </c>
      <c r="B8" s="34">
        <v>1008</v>
      </c>
      <c r="C8" s="34" t="s">
        <v>109</v>
      </c>
      <c r="D8" s="35">
        <v>300000</v>
      </c>
      <c r="E8" s="35">
        <v>300000</v>
      </c>
      <c r="F8" s="35">
        <v>220000</v>
      </c>
    </row>
    <row r="9" spans="1:6" x14ac:dyDescent="0.35">
      <c r="A9" s="34" t="s">
        <v>110</v>
      </c>
      <c r="B9" s="34">
        <v>1009</v>
      </c>
      <c r="C9" s="34" t="s">
        <v>111</v>
      </c>
      <c r="D9" s="35">
        <v>40000</v>
      </c>
      <c r="E9" s="35">
        <f>SUM(E8+D9)</f>
        <v>340000</v>
      </c>
      <c r="F9" s="35">
        <f>F8-D9</f>
        <v>180000</v>
      </c>
    </row>
    <row r="10" spans="1:6" x14ac:dyDescent="0.35">
      <c r="A10" s="36">
        <v>44873</v>
      </c>
      <c r="B10" s="34">
        <v>1010</v>
      </c>
      <c r="C10" s="34" t="s">
        <v>74</v>
      </c>
      <c r="D10" s="35">
        <v>20000</v>
      </c>
      <c r="E10" s="35">
        <f t="shared" ref="E10:E22" si="0">SUM(E9+D10)</f>
        <v>360000</v>
      </c>
      <c r="F10" s="35">
        <f t="shared" ref="F10:F21" si="1">F9-D10</f>
        <v>160000</v>
      </c>
    </row>
    <row r="11" spans="1:6" x14ac:dyDescent="0.35">
      <c r="A11" s="36">
        <v>45049</v>
      </c>
      <c r="B11" s="34">
        <v>79</v>
      </c>
      <c r="C11" s="34" t="s">
        <v>74</v>
      </c>
      <c r="D11" s="35">
        <v>30000</v>
      </c>
      <c r="E11" s="35">
        <f t="shared" si="0"/>
        <v>390000</v>
      </c>
      <c r="F11" s="35">
        <f t="shared" si="1"/>
        <v>130000</v>
      </c>
    </row>
    <row r="12" spans="1:6" x14ac:dyDescent="0.35">
      <c r="A12" s="34" t="s">
        <v>112</v>
      </c>
      <c r="B12" s="34">
        <v>877</v>
      </c>
      <c r="C12" s="34" t="s">
        <v>74</v>
      </c>
      <c r="D12" s="35">
        <v>20000</v>
      </c>
      <c r="E12" s="35">
        <f t="shared" si="0"/>
        <v>410000</v>
      </c>
      <c r="F12" s="35">
        <f t="shared" si="1"/>
        <v>110000</v>
      </c>
    </row>
    <row r="13" spans="1:6" x14ac:dyDescent="0.35">
      <c r="A13" s="34" t="s">
        <v>113</v>
      </c>
      <c r="B13" s="34">
        <v>2089</v>
      </c>
      <c r="C13" s="34" t="s">
        <v>74</v>
      </c>
      <c r="D13" s="35">
        <v>10000</v>
      </c>
      <c r="E13" s="35">
        <f t="shared" si="0"/>
        <v>420000</v>
      </c>
      <c r="F13" s="35">
        <f t="shared" si="1"/>
        <v>100000</v>
      </c>
    </row>
    <row r="14" spans="1:6" x14ac:dyDescent="0.35">
      <c r="A14" s="36">
        <v>45023</v>
      </c>
      <c r="B14" s="34">
        <v>2114</v>
      </c>
      <c r="C14" s="34" t="s">
        <v>74</v>
      </c>
      <c r="D14" s="35">
        <v>10000</v>
      </c>
      <c r="E14" s="35">
        <f t="shared" si="0"/>
        <v>430000</v>
      </c>
      <c r="F14" s="35">
        <f t="shared" si="1"/>
        <v>90000</v>
      </c>
    </row>
    <row r="15" spans="1:6" x14ac:dyDescent="0.35">
      <c r="A15" s="34" t="s">
        <v>114</v>
      </c>
      <c r="B15" s="34">
        <v>2483</v>
      </c>
      <c r="C15" s="34" t="s">
        <v>74</v>
      </c>
      <c r="D15" s="35">
        <v>10000</v>
      </c>
      <c r="E15" s="35">
        <f t="shared" si="0"/>
        <v>440000</v>
      </c>
      <c r="F15" s="35">
        <f t="shared" si="1"/>
        <v>80000</v>
      </c>
    </row>
    <row r="16" spans="1:6" x14ac:dyDescent="0.35">
      <c r="A16" s="34" t="s">
        <v>115</v>
      </c>
      <c r="B16" s="34">
        <v>3284</v>
      </c>
      <c r="C16" s="34" t="s">
        <v>74</v>
      </c>
      <c r="D16" s="35">
        <v>10000</v>
      </c>
      <c r="E16" s="35">
        <f t="shared" si="0"/>
        <v>450000</v>
      </c>
      <c r="F16" s="35">
        <f t="shared" si="1"/>
        <v>70000</v>
      </c>
    </row>
    <row r="17" spans="1:6" x14ac:dyDescent="0.35">
      <c r="A17" s="36">
        <v>44996</v>
      </c>
      <c r="B17" s="34">
        <v>4609</v>
      </c>
      <c r="C17" s="34" t="s">
        <v>74</v>
      </c>
      <c r="D17" s="35">
        <v>10000</v>
      </c>
      <c r="E17" s="35">
        <f t="shared" si="0"/>
        <v>460000</v>
      </c>
      <c r="F17" s="35">
        <f t="shared" si="1"/>
        <v>60000</v>
      </c>
    </row>
    <row r="18" spans="1:6" x14ac:dyDescent="0.35">
      <c r="A18" s="36">
        <v>45242</v>
      </c>
      <c r="B18" s="34">
        <v>5475</v>
      </c>
      <c r="C18" s="34" t="s">
        <v>74</v>
      </c>
      <c r="D18" s="35">
        <v>10000</v>
      </c>
      <c r="E18" s="35">
        <f t="shared" si="0"/>
        <v>470000</v>
      </c>
      <c r="F18" s="35">
        <f t="shared" si="1"/>
        <v>50000</v>
      </c>
    </row>
    <row r="19" spans="1:6" x14ac:dyDescent="0.35">
      <c r="A19" s="36">
        <v>45627</v>
      </c>
      <c r="B19" s="34">
        <v>6128</v>
      </c>
      <c r="C19" s="34" t="s">
        <v>74</v>
      </c>
      <c r="D19" s="35">
        <v>10000</v>
      </c>
      <c r="E19" s="35">
        <f t="shared" si="0"/>
        <v>480000</v>
      </c>
      <c r="F19" s="35">
        <f t="shared" si="1"/>
        <v>40000</v>
      </c>
    </row>
    <row r="20" spans="1:6" x14ac:dyDescent="0.35">
      <c r="A20" s="36">
        <v>45598</v>
      </c>
      <c r="B20" s="34">
        <v>7071</v>
      </c>
      <c r="C20" s="34" t="s">
        <v>74</v>
      </c>
      <c r="D20" s="35">
        <v>10000</v>
      </c>
      <c r="E20" s="35">
        <f t="shared" si="0"/>
        <v>490000</v>
      </c>
      <c r="F20" s="35">
        <f t="shared" si="1"/>
        <v>30000</v>
      </c>
    </row>
    <row r="21" spans="1:6" x14ac:dyDescent="0.35">
      <c r="A21" s="34" t="s">
        <v>116</v>
      </c>
      <c r="B21" s="34">
        <v>7695</v>
      </c>
      <c r="C21" s="34" t="s">
        <v>74</v>
      </c>
      <c r="D21" s="35">
        <v>10000</v>
      </c>
      <c r="E21" s="35">
        <f t="shared" si="0"/>
        <v>500000</v>
      </c>
      <c r="F21" s="35">
        <f t="shared" si="1"/>
        <v>20000</v>
      </c>
    </row>
    <row r="22" spans="1:6" x14ac:dyDescent="0.35">
      <c r="A22" s="34" t="s">
        <v>117</v>
      </c>
      <c r="B22" s="34">
        <v>7848</v>
      </c>
      <c r="C22" s="34" t="s">
        <v>74</v>
      </c>
      <c r="D22" s="35">
        <v>10000</v>
      </c>
      <c r="E22" s="35">
        <f t="shared" si="0"/>
        <v>510000</v>
      </c>
      <c r="F22" s="35" t="s">
        <v>118</v>
      </c>
    </row>
    <row r="23" spans="1:6" ht="18.5" x14ac:dyDescent="0.45">
      <c r="A23" s="13" t="s">
        <v>119</v>
      </c>
      <c r="B23" s="13"/>
      <c r="C23" s="13"/>
      <c r="D23" s="13"/>
      <c r="E23" s="13"/>
      <c r="F23" s="13"/>
    </row>
    <row r="26" spans="1:6" ht="28" x14ac:dyDescent="0.35">
      <c r="A26" s="43" t="s">
        <v>1</v>
      </c>
      <c r="B26" s="43" t="s">
        <v>397</v>
      </c>
      <c r="C26" s="43" t="s">
        <v>410</v>
      </c>
      <c r="D26" s="43" t="s">
        <v>142</v>
      </c>
      <c r="E26" s="43" t="s">
        <v>411</v>
      </c>
    </row>
    <row r="27" spans="1:6" x14ac:dyDescent="0.35">
      <c r="A27" s="44" t="s">
        <v>424</v>
      </c>
      <c r="B27" s="44" t="s">
        <v>425</v>
      </c>
      <c r="C27" s="44" t="s">
        <v>426</v>
      </c>
      <c r="D27" s="45">
        <v>10000</v>
      </c>
      <c r="E27" s="45">
        <v>440000</v>
      </c>
    </row>
    <row r="28" spans="1:6" x14ac:dyDescent="0.35">
      <c r="A28" s="44" t="s">
        <v>427</v>
      </c>
      <c r="B28" s="44" t="s">
        <v>428</v>
      </c>
      <c r="C28" s="44" t="s">
        <v>426</v>
      </c>
      <c r="D28" s="45">
        <v>10000</v>
      </c>
      <c r="E28" s="45">
        <v>430000</v>
      </c>
    </row>
    <row r="29" spans="1:6" x14ac:dyDescent="0.35">
      <c r="A29" s="44" t="s">
        <v>503</v>
      </c>
      <c r="B29" s="44" t="s">
        <v>430</v>
      </c>
      <c r="C29" s="44" t="s">
        <v>426</v>
      </c>
      <c r="D29" s="45">
        <v>10000</v>
      </c>
      <c r="E29" s="45">
        <v>420000</v>
      </c>
    </row>
    <row r="30" spans="1:6" x14ac:dyDescent="0.35">
      <c r="A30" s="44" t="s">
        <v>431</v>
      </c>
      <c r="B30" s="44" t="s">
        <v>432</v>
      </c>
      <c r="C30" s="44" t="s">
        <v>426</v>
      </c>
      <c r="D30" s="45">
        <v>10000</v>
      </c>
      <c r="E30" s="45">
        <v>410000</v>
      </c>
    </row>
    <row r="31" spans="1:6" x14ac:dyDescent="0.35">
      <c r="A31" s="44" t="s">
        <v>213</v>
      </c>
      <c r="B31" s="44" t="s">
        <v>433</v>
      </c>
      <c r="C31" s="44" t="s">
        <v>426</v>
      </c>
      <c r="D31" s="45">
        <v>10000</v>
      </c>
      <c r="E31" s="45">
        <v>400000</v>
      </c>
    </row>
    <row r="32" spans="1:6" x14ac:dyDescent="0.35">
      <c r="A32" s="44" t="s">
        <v>434</v>
      </c>
      <c r="B32" s="44" t="s">
        <v>435</v>
      </c>
      <c r="C32" s="44" t="s">
        <v>426</v>
      </c>
      <c r="D32" s="45">
        <v>10000</v>
      </c>
      <c r="E32" s="45">
        <v>390000</v>
      </c>
    </row>
    <row r="33" spans="1:5" x14ac:dyDescent="0.35">
      <c r="A33" s="44" t="s">
        <v>436</v>
      </c>
      <c r="B33" s="44" t="s">
        <v>425</v>
      </c>
      <c r="C33" s="44" t="s">
        <v>426</v>
      </c>
      <c r="D33" s="45">
        <v>10000</v>
      </c>
      <c r="E33" s="45">
        <v>380000</v>
      </c>
    </row>
    <row r="34" spans="1:5" x14ac:dyDescent="0.35">
      <c r="A34" s="44" t="s">
        <v>437</v>
      </c>
      <c r="B34" s="44" t="s">
        <v>438</v>
      </c>
      <c r="C34" s="44" t="s">
        <v>426</v>
      </c>
      <c r="D34" s="45">
        <v>10000</v>
      </c>
      <c r="E34" s="45">
        <v>370000</v>
      </c>
    </row>
    <row r="35" spans="1:5" x14ac:dyDescent="0.35">
      <c r="A35" s="44" t="s">
        <v>439</v>
      </c>
      <c r="B35" s="44" t="s">
        <v>440</v>
      </c>
      <c r="C35" s="44" t="s">
        <v>426</v>
      </c>
      <c r="D35" s="45">
        <v>10000</v>
      </c>
      <c r="E35" s="45">
        <v>360000</v>
      </c>
    </row>
    <row r="36" spans="1:5" x14ac:dyDescent="0.35">
      <c r="A36" s="44" t="s">
        <v>441</v>
      </c>
      <c r="B36" s="44" t="s">
        <v>442</v>
      </c>
      <c r="C36" s="44" t="s">
        <v>426</v>
      </c>
      <c r="D36" s="45">
        <v>10000</v>
      </c>
      <c r="E36" s="45">
        <v>350000</v>
      </c>
    </row>
    <row r="37" spans="1:5" x14ac:dyDescent="0.35">
      <c r="A37" s="44" t="s">
        <v>485</v>
      </c>
      <c r="B37" s="44" t="s">
        <v>443</v>
      </c>
      <c r="C37" s="44" t="s">
        <v>426</v>
      </c>
      <c r="D37" s="45">
        <v>10000</v>
      </c>
      <c r="E37" s="45">
        <v>340000</v>
      </c>
    </row>
    <row r="38" spans="1:5" x14ac:dyDescent="0.35">
      <c r="A38" s="44" t="s">
        <v>504</v>
      </c>
      <c r="B38" s="44" t="s">
        <v>444</v>
      </c>
      <c r="C38" s="44" t="s">
        <v>426</v>
      </c>
      <c r="D38" s="45">
        <v>10000</v>
      </c>
      <c r="E38" s="45">
        <v>330000</v>
      </c>
    </row>
    <row r="39" spans="1:5" x14ac:dyDescent="0.35">
      <c r="A39" s="44" t="s">
        <v>445</v>
      </c>
      <c r="B39" s="44">
        <v>3046</v>
      </c>
      <c r="C39" s="44" t="s">
        <v>426</v>
      </c>
      <c r="D39" s="45">
        <v>10000</v>
      </c>
      <c r="E39" s="45">
        <v>320000</v>
      </c>
    </row>
    <row r="40" spans="1:5" x14ac:dyDescent="0.35">
      <c r="A40" s="44" t="s">
        <v>446</v>
      </c>
      <c r="B40" s="44" t="s">
        <v>447</v>
      </c>
      <c r="C40" s="44" t="s">
        <v>426</v>
      </c>
      <c r="D40" s="45">
        <v>10000</v>
      </c>
      <c r="E40" s="45">
        <v>310000</v>
      </c>
    </row>
    <row r="41" spans="1:5" x14ac:dyDescent="0.35">
      <c r="A41" s="44" t="s">
        <v>448</v>
      </c>
      <c r="B41" s="44" t="s">
        <v>449</v>
      </c>
      <c r="C41" s="44" t="s">
        <v>426</v>
      </c>
      <c r="D41" s="45">
        <v>10000</v>
      </c>
      <c r="E41" s="45">
        <v>300000</v>
      </c>
    </row>
    <row r="42" spans="1:5" x14ac:dyDescent="0.35">
      <c r="A42" s="44" t="s">
        <v>193</v>
      </c>
      <c r="B42" s="44" t="s">
        <v>450</v>
      </c>
      <c r="C42" s="44" t="s">
        <v>426</v>
      </c>
      <c r="D42" s="45">
        <v>10000</v>
      </c>
      <c r="E42" s="45">
        <v>290000</v>
      </c>
    </row>
    <row r="43" spans="1:5" x14ac:dyDescent="0.35">
      <c r="A43" s="44" t="s">
        <v>451</v>
      </c>
      <c r="B43" s="44" t="s">
        <v>452</v>
      </c>
      <c r="C43" s="44" t="s">
        <v>426</v>
      </c>
      <c r="D43" s="45">
        <v>10000</v>
      </c>
      <c r="E43" s="45">
        <v>280000</v>
      </c>
    </row>
    <row r="44" spans="1:5" x14ac:dyDescent="0.35">
      <c r="A44" s="44" t="s">
        <v>453</v>
      </c>
      <c r="B44" s="44" t="s">
        <v>454</v>
      </c>
      <c r="C44" s="44" t="s">
        <v>426</v>
      </c>
      <c r="D44" s="45">
        <v>10000</v>
      </c>
      <c r="E44" s="45">
        <v>270000</v>
      </c>
    </row>
    <row r="45" spans="1:5" x14ac:dyDescent="0.35">
      <c r="A45" s="44" t="s">
        <v>455</v>
      </c>
      <c r="B45" s="44" t="s">
        <v>456</v>
      </c>
      <c r="C45" s="44" t="s">
        <v>426</v>
      </c>
      <c r="D45" s="45">
        <v>10000</v>
      </c>
      <c r="E45" s="45">
        <v>260000</v>
      </c>
    </row>
    <row r="46" spans="1:5" x14ac:dyDescent="0.35">
      <c r="A46" s="44" t="s">
        <v>457</v>
      </c>
      <c r="B46" s="44" t="s">
        <v>458</v>
      </c>
      <c r="C46" s="44" t="s">
        <v>426</v>
      </c>
      <c r="D46" s="45">
        <v>10000</v>
      </c>
      <c r="E46" s="45">
        <v>250000</v>
      </c>
    </row>
    <row r="47" spans="1:5" x14ac:dyDescent="0.35">
      <c r="A47" s="44" t="s">
        <v>459</v>
      </c>
      <c r="B47" s="44" t="s">
        <v>460</v>
      </c>
      <c r="C47" s="44" t="s">
        <v>420</v>
      </c>
      <c r="D47" s="45">
        <v>10000</v>
      </c>
      <c r="E47" s="45">
        <v>240000</v>
      </c>
    </row>
    <row r="48" spans="1:5" x14ac:dyDescent="0.35">
      <c r="A48" s="44" t="s">
        <v>461</v>
      </c>
      <c r="B48" s="44" t="s">
        <v>462</v>
      </c>
      <c r="C48" s="44" t="s">
        <v>426</v>
      </c>
      <c r="D48" s="45">
        <v>10000</v>
      </c>
      <c r="E48" s="45">
        <v>230000</v>
      </c>
    </row>
    <row r="49" spans="1:5" x14ac:dyDescent="0.35">
      <c r="A49" s="44" t="s">
        <v>463</v>
      </c>
      <c r="B49" s="44" t="s">
        <v>464</v>
      </c>
      <c r="C49" s="44" t="s">
        <v>426</v>
      </c>
      <c r="D49" s="45">
        <v>20000</v>
      </c>
      <c r="E49" s="45">
        <v>210000</v>
      </c>
    </row>
    <row r="50" spans="1:5" x14ac:dyDescent="0.35">
      <c r="A50" s="44" t="s">
        <v>465</v>
      </c>
      <c r="B50" s="44" t="s">
        <v>466</v>
      </c>
      <c r="C50" s="44" t="s">
        <v>420</v>
      </c>
      <c r="D50" s="45">
        <v>10000</v>
      </c>
      <c r="E50" s="45">
        <v>200000</v>
      </c>
    </row>
    <row r="51" spans="1:5" x14ac:dyDescent="0.35">
      <c r="A51" s="44" t="s">
        <v>502</v>
      </c>
      <c r="B51" s="44" t="s">
        <v>467</v>
      </c>
      <c r="C51" s="44" t="s">
        <v>420</v>
      </c>
      <c r="D51" s="45">
        <v>10000</v>
      </c>
      <c r="E51" s="45">
        <v>190000</v>
      </c>
    </row>
    <row r="52" spans="1:5" x14ac:dyDescent="0.35">
      <c r="A52" s="44" t="s">
        <v>468</v>
      </c>
      <c r="B52" s="44" t="s">
        <v>469</v>
      </c>
      <c r="C52" s="44" t="s">
        <v>426</v>
      </c>
      <c r="D52" s="45">
        <v>10000</v>
      </c>
      <c r="E52" s="45">
        <v>180000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8"/>
  <sheetViews>
    <sheetView topLeftCell="A5" workbookViewId="0">
      <selection activeCell="H44" sqref="H44"/>
    </sheetView>
  </sheetViews>
  <sheetFormatPr defaultRowHeight="14.5" x14ac:dyDescent="0.35"/>
  <cols>
    <col min="1" max="1" width="11.6328125" customWidth="1"/>
    <col min="2" max="2" width="11.36328125" customWidth="1"/>
    <col min="3" max="3" width="11" customWidth="1"/>
    <col min="4" max="4" width="10.54296875" customWidth="1"/>
    <col min="5" max="5" width="10.36328125" customWidth="1"/>
  </cols>
  <sheetData>
    <row r="1" spans="1:6" x14ac:dyDescent="0.35">
      <c r="A1" t="s">
        <v>240</v>
      </c>
      <c r="B1" t="s">
        <v>327</v>
      </c>
    </row>
    <row r="2" spans="1:6" x14ac:dyDescent="0.35">
      <c r="A2" t="s">
        <v>241</v>
      </c>
      <c r="B2" t="s">
        <v>328</v>
      </c>
    </row>
    <row r="3" spans="1:6" x14ac:dyDescent="0.35">
      <c r="A3" t="s">
        <v>243</v>
      </c>
      <c r="B3" t="s">
        <v>329</v>
      </c>
    </row>
    <row r="4" spans="1:6" x14ac:dyDescent="0.35">
      <c r="A4" t="s">
        <v>242</v>
      </c>
      <c r="B4" t="s">
        <v>330</v>
      </c>
    </row>
    <row r="5" spans="1:6" x14ac:dyDescent="0.35">
      <c r="A5" t="s">
        <v>244</v>
      </c>
      <c r="B5" t="s">
        <v>331</v>
      </c>
    </row>
    <row r="6" spans="1:6" x14ac:dyDescent="0.35">
      <c r="A6" t="s">
        <v>245</v>
      </c>
      <c r="B6">
        <v>4844</v>
      </c>
      <c r="E6" s="10">
        <v>600000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332</v>
      </c>
      <c r="B9">
        <v>806</v>
      </c>
      <c r="C9" t="s">
        <v>277</v>
      </c>
      <c r="D9" s="10">
        <v>10000</v>
      </c>
      <c r="E9" s="10">
        <v>10000</v>
      </c>
      <c r="F9" s="10">
        <v>490000</v>
      </c>
    </row>
    <row r="10" spans="1:6" x14ac:dyDescent="0.35">
      <c r="A10" t="s">
        <v>333</v>
      </c>
      <c r="B10">
        <v>1897</v>
      </c>
      <c r="C10" t="s">
        <v>277</v>
      </c>
      <c r="D10" s="10">
        <v>185000</v>
      </c>
      <c r="E10" s="10">
        <f t="shared" ref="E10:E16" si="0">E9+D10</f>
        <v>195000</v>
      </c>
      <c r="F10" s="10">
        <f t="shared" ref="F10:F16" si="1">F9-D10</f>
        <v>305000</v>
      </c>
    </row>
    <row r="11" spans="1:6" x14ac:dyDescent="0.35">
      <c r="A11" t="s">
        <v>334</v>
      </c>
      <c r="B11">
        <v>1398</v>
      </c>
      <c r="C11" t="s">
        <v>277</v>
      </c>
      <c r="D11" s="10">
        <v>120000</v>
      </c>
      <c r="E11" s="10">
        <f t="shared" si="0"/>
        <v>315000</v>
      </c>
      <c r="F11" s="10">
        <f t="shared" si="1"/>
        <v>185000</v>
      </c>
    </row>
    <row r="12" spans="1:6" x14ac:dyDescent="0.35">
      <c r="A12" t="s">
        <v>335</v>
      </c>
      <c r="B12">
        <v>876</v>
      </c>
      <c r="C12" t="s">
        <v>277</v>
      </c>
      <c r="D12" s="10">
        <v>20000</v>
      </c>
      <c r="E12" s="10">
        <f t="shared" si="0"/>
        <v>335000</v>
      </c>
      <c r="F12" s="10">
        <f t="shared" si="1"/>
        <v>165000</v>
      </c>
    </row>
    <row r="13" spans="1:6" x14ac:dyDescent="0.35">
      <c r="A13" t="s">
        <v>336</v>
      </c>
      <c r="B13">
        <v>513</v>
      </c>
      <c r="C13" t="s">
        <v>277</v>
      </c>
      <c r="D13" s="10">
        <v>80000</v>
      </c>
      <c r="E13" s="10">
        <f t="shared" si="0"/>
        <v>415000</v>
      </c>
      <c r="F13" s="10">
        <f t="shared" si="1"/>
        <v>85000</v>
      </c>
    </row>
    <row r="14" spans="1:6" x14ac:dyDescent="0.35">
      <c r="A14" t="s">
        <v>337</v>
      </c>
      <c r="B14">
        <v>2117</v>
      </c>
      <c r="C14" t="s">
        <v>277</v>
      </c>
      <c r="D14" s="10">
        <v>20000</v>
      </c>
      <c r="E14" s="10">
        <f t="shared" si="0"/>
        <v>435000</v>
      </c>
      <c r="F14" s="10">
        <f t="shared" si="1"/>
        <v>65000</v>
      </c>
    </row>
    <row r="15" spans="1:6" x14ac:dyDescent="0.35">
      <c r="A15" t="s">
        <v>338</v>
      </c>
      <c r="B15">
        <v>2480</v>
      </c>
      <c r="C15" t="s">
        <v>277</v>
      </c>
      <c r="D15" s="10">
        <v>30000</v>
      </c>
      <c r="E15" s="10">
        <f t="shared" si="0"/>
        <v>465000</v>
      </c>
      <c r="F15" s="10">
        <f t="shared" si="1"/>
        <v>35000</v>
      </c>
    </row>
    <row r="16" spans="1:6" x14ac:dyDescent="0.35">
      <c r="A16" t="s">
        <v>339</v>
      </c>
      <c r="B16">
        <v>3298</v>
      </c>
      <c r="C16" t="s">
        <v>277</v>
      </c>
      <c r="D16" s="10">
        <v>35000</v>
      </c>
      <c r="E16" s="10">
        <f t="shared" si="0"/>
        <v>500000</v>
      </c>
      <c r="F16" s="10">
        <f t="shared" si="1"/>
        <v>0</v>
      </c>
    </row>
    <row r="19" spans="1:6" ht="28" x14ac:dyDescent="0.35">
      <c r="A19" s="43" t="s">
        <v>1</v>
      </c>
      <c r="B19" s="43" t="s">
        <v>397</v>
      </c>
      <c r="C19" s="43" t="s">
        <v>410</v>
      </c>
      <c r="D19" s="43" t="s">
        <v>142</v>
      </c>
      <c r="E19" s="43" t="s">
        <v>411</v>
      </c>
    </row>
    <row r="20" spans="1:6" x14ac:dyDescent="0.35">
      <c r="A20" s="44" t="s">
        <v>470</v>
      </c>
      <c r="B20" s="44" t="s">
        <v>471</v>
      </c>
      <c r="C20" s="44" t="s">
        <v>426</v>
      </c>
      <c r="D20" s="45">
        <v>10000</v>
      </c>
      <c r="E20" s="45">
        <v>440000</v>
      </c>
      <c r="F20" s="34"/>
    </row>
    <row r="21" spans="1:6" x14ac:dyDescent="0.35">
      <c r="A21" s="44" t="s">
        <v>472</v>
      </c>
      <c r="B21" s="44" t="s">
        <v>473</v>
      </c>
      <c r="C21" s="44" t="s">
        <v>426</v>
      </c>
      <c r="D21" s="45">
        <v>10000</v>
      </c>
      <c r="E21" s="45">
        <v>430000</v>
      </c>
      <c r="F21" s="34"/>
    </row>
    <row r="22" spans="1:6" x14ac:dyDescent="0.35">
      <c r="A22" s="44" t="s">
        <v>474</v>
      </c>
      <c r="B22" s="44" t="s">
        <v>475</v>
      </c>
      <c r="C22" s="44" t="s">
        <v>426</v>
      </c>
      <c r="D22" s="45">
        <v>10000</v>
      </c>
      <c r="E22" s="45">
        <v>420000</v>
      </c>
      <c r="F22" s="34"/>
    </row>
    <row r="23" spans="1:6" x14ac:dyDescent="0.35">
      <c r="A23" s="44" t="s">
        <v>424</v>
      </c>
      <c r="B23" s="44" t="s">
        <v>476</v>
      </c>
      <c r="C23" s="44" t="s">
        <v>426</v>
      </c>
      <c r="D23" s="45">
        <v>10000</v>
      </c>
      <c r="E23" s="45">
        <v>410000</v>
      </c>
      <c r="F23" s="34"/>
    </row>
    <row r="24" spans="1:6" x14ac:dyDescent="0.35">
      <c r="A24" s="44" t="s">
        <v>427</v>
      </c>
      <c r="B24" s="44" t="s">
        <v>477</v>
      </c>
      <c r="C24" s="44" t="s">
        <v>426</v>
      </c>
      <c r="D24" s="45">
        <v>10000</v>
      </c>
      <c r="E24" s="45">
        <v>400000</v>
      </c>
      <c r="F24" s="34"/>
    </row>
    <row r="25" spans="1:6" x14ac:dyDescent="0.35">
      <c r="A25" s="44" t="s">
        <v>429</v>
      </c>
      <c r="B25" s="44" t="s">
        <v>478</v>
      </c>
      <c r="C25" s="44" t="s">
        <v>426</v>
      </c>
      <c r="D25" s="45">
        <v>10000</v>
      </c>
      <c r="E25" s="45">
        <v>390000</v>
      </c>
      <c r="F25" s="34"/>
    </row>
    <row r="26" spans="1:6" x14ac:dyDescent="0.35">
      <c r="A26" s="44" t="s">
        <v>431</v>
      </c>
      <c r="B26" s="44" t="s">
        <v>479</v>
      </c>
      <c r="C26" s="44" t="s">
        <v>426</v>
      </c>
      <c r="D26" s="45">
        <v>10000</v>
      </c>
      <c r="E26" s="45">
        <v>380000</v>
      </c>
      <c r="F26" s="34"/>
    </row>
    <row r="27" spans="1:6" x14ac:dyDescent="0.35">
      <c r="A27" s="44" t="s">
        <v>213</v>
      </c>
      <c r="B27" s="44" t="s">
        <v>480</v>
      </c>
      <c r="C27" s="44" t="s">
        <v>426</v>
      </c>
      <c r="D27" s="45">
        <v>10000</v>
      </c>
      <c r="E27" s="45">
        <v>370000</v>
      </c>
      <c r="F27" s="34"/>
    </row>
    <row r="28" spans="1:6" x14ac:dyDescent="0.35">
      <c r="A28" s="44" t="s">
        <v>434</v>
      </c>
      <c r="B28" s="44" t="s">
        <v>481</v>
      </c>
      <c r="C28" s="44" t="s">
        <v>426</v>
      </c>
      <c r="D28" s="45">
        <v>10000</v>
      </c>
      <c r="E28" s="45">
        <v>360000</v>
      </c>
      <c r="F28" s="34"/>
    </row>
    <row r="29" spans="1:6" x14ac:dyDescent="0.35">
      <c r="A29" s="44" t="s">
        <v>436</v>
      </c>
      <c r="B29" s="44" t="s">
        <v>476</v>
      </c>
      <c r="C29" s="44" t="s">
        <v>426</v>
      </c>
      <c r="D29" s="45">
        <v>10000</v>
      </c>
      <c r="E29" s="45">
        <v>350000</v>
      </c>
      <c r="F29" s="34"/>
    </row>
    <row r="30" spans="1:6" x14ac:dyDescent="0.35">
      <c r="A30" s="44" t="s">
        <v>437</v>
      </c>
      <c r="B30" s="44" t="s">
        <v>482</v>
      </c>
      <c r="C30" s="44" t="s">
        <v>426</v>
      </c>
      <c r="D30" s="45">
        <v>10000</v>
      </c>
      <c r="E30" s="45">
        <v>340000</v>
      </c>
      <c r="F30" s="34"/>
    </row>
    <row r="31" spans="1:6" x14ac:dyDescent="0.35">
      <c r="A31" s="44" t="s">
        <v>439</v>
      </c>
      <c r="B31" s="44" t="s">
        <v>483</v>
      </c>
      <c r="C31" s="44" t="s">
        <v>426</v>
      </c>
      <c r="D31" s="45">
        <v>10000</v>
      </c>
      <c r="E31" s="45">
        <v>330000</v>
      </c>
      <c r="F31" s="34"/>
    </row>
    <row r="32" spans="1:6" x14ac:dyDescent="0.35">
      <c r="A32" s="44" t="s">
        <v>441</v>
      </c>
      <c r="B32" s="44" t="s">
        <v>484</v>
      </c>
      <c r="C32" s="44" t="s">
        <v>426</v>
      </c>
      <c r="D32" s="45">
        <v>10000</v>
      </c>
      <c r="E32" s="45">
        <v>320000</v>
      </c>
      <c r="F32" s="34"/>
    </row>
    <row r="33" spans="1:6" x14ac:dyDescent="0.35">
      <c r="A33" s="44" t="s">
        <v>485</v>
      </c>
      <c r="B33" s="44" t="s">
        <v>486</v>
      </c>
      <c r="C33" s="44" t="s">
        <v>426</v>
      </c>
      <c r="D33" s="45">
        <v>10000</v>
      </c>
      <c r="E33" s="45">
        <v>310000</v>
      </c>
      <c r="F33" s="34"/>
    </row>
    <row r="34" spans="1:6" x14ac:dyDescent="0.35">
      <c r="A34" s="44" t="s">
        <v>487</v>
      </c>
      <c r="B34" s="44" t="s">
        <v>488</v>
      </c>
      <c r="C34" s="44" t="s">
        <v>426</v>
      </c>
      <c r="D34" s="45">
        <v>10000</v>
      </c>
      <c r="E34" s="45">
        <v>300000</v>
      </c>
      <c r="F34" s="34"/>
    </row>
    <row r="35" spans="1:6" x14ac:dyDescent="0.35">
      <c r="A35" s="44" t="s">
        <v>445</v>
      </c>
      <c r="B35" s="44" t="s">
        <v>489</v>
      </c>
      <c r="C35" s="44" t="s">
        <v>426</v>
      </c>
      <c r="D35" s="45">
        <v>10000</v>
      </c>
      <c r="E35" s="45">
        <v>290000</v>
      </c>
      <c r="F35" s="34"/>
    </row>
    <row r="36" spans="1:6" x14ac:dyDescent="0.35">
      <c r="A36" s="44" t="s">
        <v>446</v>
      </c>
      <c r="B36" s="44" t="s">
        <v>490</v>
      </c>
      <c r="C36" s="44" t="s">
        <v>426</v>
      </c>
      <c r="D36" s="45">
        <v>10000</v>
      </c>
      <c r="E36" s="45">
        <v>280000</v>
      </c>
      <c r="F36" s="34"/>
    </row>
    <row r="37" spans="1:6" x14ac:dyDescent="0.35">
      <c r="A37" s="44" t="s">
        <v>448</v>
      </c>
      <c r="B37" s="44" t="s">
        <v>491</v>
      </c>
      <c r="C37" s="44" t="s">
        <v>426</v>
      </c>
      <c r="D37" s="45">
        <v>10000</v>
      </c>
      <c r="E37" s="45">
        <v>270000</v>
      </c>
      <c r="F37" s="34"/>
    </row>
    <row r="38" spans="1:6" x14ac:dyDescent="0.35">
      <c r="A38" s="44" t="s">
        <v>193</v>
      </c>
      <c r="B38" s="44">
        <v>3381</v>
      </c>
      <c r="C38" s="44" t="s">
        <v>426</v>
      </c>
      <c r="D38" s="45">
        <v>10000</v>
      </c>
      <c r="E38" s="45">
        <v>260000</v>
      </c>
      <c r="F38" s="34"/>
    </row>
    <row r="39" spans="1:6" x14ac:dyDescent="0.35">
      <c r="A39" s="44" t="s">
        <v>451</v>
      </c>
      <c r="B39" s="44" t="s">
        <v>492</v>
      </c>
      <c r="C39" s="44" t="s">
        <v>426</v>
      </c>
      <c r="D39" s="45">
        <v>10000</v>
      </c>
      <c r="E39" s="45">
        <v>250000</v>
      </c>
      <c r="F39" s="34"/>
    </row>
    <row r="40" spans="1:6" x14ac:dyDescent="0.35">
      <c r="A40" s="44" t="s">
        <v>453</v>
      </c>
      <c r="B40" s="44" t="s">
        <v>493</v>
      </c>
      <c r="C40" s="44" t="s">
        <v>426</v>
      </c>
      <c r="D40" s="45">
        <v>10000</v>
      </c>
      <c r="E40" s="45">
        <v>240000</v>
      </c>
      <c r="F40" s="34"/>
    </row>
    <row r="41" spans="1:6" x14ac:dyDescent="0.35">
      <c r="A41" s="44" t="s">
        <v>455</v>
      </c>
      <c r="B41" s="44" t="s">
        <v>494</v>
      </c>
      <c r="C41" s="44" t="s">
        <v>426</v>
      </c>
      <c r="D41" s="45">
        <v>10000</v>
      </c>
      <c r="E41" s="45">
        <v>230000</v>
      </c>
      <c r="F41" s="34"/>
    </row>
    <row r="42" spans="1:6" x14ac:dyDescent="0.35">
      <c r="A42" s="44" t="s">
        <v>457</v>
      </c>
      <c r="B42" s="44" t="s">
        <v>495</v>
      </c>
      <c r="C42" s="44" t="s">
        <v>426</v>
      </c>
      <c r="D42" s="45">
        <v>10000</v>
      </c>
      <c r="E42" s="45">
        <v>220000</v>
      </c>
      <c r="F42" s="34"/>
    </row>
    <row r="43" spans="1:6" x14ac:dyDescent="0.35">
      <c r="A43" s="44" t="s">
        <v>459</v>
      </c>
      <c r="B43" s="44" t="s">
        <v>496</v>
      </c>
      <c r="C43" s="44" t="s">
        <v>426</v>
      </c>
      <c r="D43" s="45">
        <v>10000</v>
      </c>
      <c r="E43" s="45">
        <v>210000</v>
      </c>
      <c r="F43" s="34"/>
    </row>
    <row r="44" spans="1:6" x14ac:dyDescent="0.35">
      <c r="A44" s="44" t="s">
        <v>461</v>
      </c>
      <c r="B44" s="44" t="s">
        <v>497</v>
      </c>
      <c r="C44" s="44" t="s">
        <v>426</v>
      </c>
      <c r="D44" s="45">
        <v>10000</v>
      </c>
      <c r="E44" s="45">
        <v>200000</v>
      </c>
      <c r="F44" s="34"/>
    </row>
    <row r="45" spans="1:6" x14ac:dyDescent="0.35">
      <c r="A45" s="44" t="s">
        <v>498</v>
      </c>
      <c r="B45" s="44" t="s">
        <v>499</v>
      </c>
      <c r="C45" s="44" t="s">
        <v>426</v>
      </c>
      <c r="D45" s="45">
        <v>10000</v>
      </c>
      <c r="E45" s="45">
        <v>190000</v>
      </c>
      <c r="F45" s="34"/>
    </row>
    <row r="46" spans="1:6" x14ac:dyDescent="0.35">
      <c r="A46" s="44" t="s">
        <v>465</v>
      </c>
      <c r="B46" s="44">
        <v>1830</v>
      </c>
      <c r="C46" s="44" t="s">
        <v>420</v>
      </c>
      <c r="D46" s="45">
        <v>10000</v>
      </c>
      <c r="E46" s="45">
        <v>180000</v>
      </c>
      <c r="F46" s="34"/>
    </row>
    <row r="47" spans="1:6" x14ac:dyDescent="0.35">
      <c r="A47" s="44" t="s">
        <v>502</v>
      </c>
      <c r="B47" s="44" t="s">
        <v>500</v>
      </c>
      <c r="C47" s="44" t="s">
        <v>420</v>
      </c>
      <c r="D47" s="45">
        <v>10000</v>
      </c>
      <c r="E47" s="45">
        <v>170000</v>
      </c>
      <c r="F47" s="34"/>
    </row>
    <row r="48" spans="1:6" x14ac:dyDescent="0.35">
      <c r="A48" s="44" t="s">
        <v>468</v>
      </c>
      <c r="B48" s="44" t="s">
        <v>501</v>
      </c>
      <c r="C48" s="44" t="s">
        <v>426</v>
      </c>
      <c r="D48" s="35">
        <v>10000</v>
      </c>
      <c r="E48" s="35">
        <v>160000</v>
      </c>
      <c r="F48" s="3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1"/>
  <sheetViews>
    <sheetView topLeftCell="A37" workbookViewId="0">
      <selection activeCell="A52" sqref="A52"/>
    </sheetView>
  </sheetViews>
  <sheetFormatPr defaultRowHeight="14.5" x14ac:dyDescent="0.35"/>
  <cols>
    <col min="1" max="1" width="10" customWidth="1"/>
    <col min="3" max="3" width="10.81640625" customWidth="1"/>
    <col min="6" max="6" width="11.6328125" customWidth="1"/>
  </cols>
  <sheetData>
    <row r="1" spans="1:6" ht="18.5" x14ac:dyDescent="0.45">
      <c r="A1" s="1" t="s">
        <v>197</v>
      </c>
      <c r="B1" s="1"/>
      <c r="C1" s="1"/>
      <c r="D1" s="1"/>
      <c r="E1" s="1"/>
      <c r="F1" s="1"/>
    </row>
    <row r="2" spans="1:6" ht="18.5" x14ac:dyDescent="0.45">
      <c r="A2" s="1" t="s">
        <v>198</v>
      </c>
      <c r="C2" s="1"/>
      <c r="D2" s="1"/>
      <c r="E2" s="1"/>
      <c r="F2" s="1"/>
    </row>
    <row r="3" spans="1:6" ht="18.5" x14ac:dyDescent="0.45">
      <c r="A3" s="1" t="s">
        <v>199</v>
      </c>
      <c r="B3" s="1"/>
      <c r="C3" s="1"/>
      <c r="D3" s="1"/>
      <c r="E3" s="1"/>
      <c r="F3" s="1"/>
    </row>
    <row r="4" spans="1:6" ht="18.5" x14ac:dyDescent="0.45">
      <c r="A4" s="1" t="s">
        <v>202</v>
      </c>
      <c r="B4" s="1"/>
      <c r="C4" s="1"/>
      <c r="D4" s="1"/>
      <c r="E4" s="1"/>
      <c r="F4" s="1"/>
    </row>
    <row r="5" spans="1:6" ht="18.5" x14ac:dyDescent="0.45">
      <c r="A5" s="1" t="s">
        <v>200</v>
      </c>
      <c r="B5" s="1"/>
      <c r="C5" s="1"/>
      <c r="D5" s="1"/>
      <c r="E5" s="1"/>
      <c r="F5" s="1"/>
    </row>
    <row r="6" spans="1:6" ht="18.5" x14ac:dyDescent="0.45">
      <c r="A6" s="1" t="s">
        <v>201</v>
      </c>
      <c r="B6" s="1"/>
      <c r="C6" s="1"/>
      <c r="D6" s="1" t="s">
        <v>132</v>
      </c>
      <c r="E6" s="1"/>
      <c r="F6" s="1"/>
    </row>
    <row r="7" spans="1:6" x14ac:dyDescent="0.35">
      <c r="A7" s="16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17">
        <v>44842</v>
      </c>
      <c r="B8" s="18">
        <v>415</v>
      </c>
      <c r="C8" s="18" t="s">
        <v>208</v>
      </c>
      <c r="D8" s="19">
        <v>10000</v>
      </c>
      <c r="E8" s="19">
        <v>10000</v>
      </c>
      <c r="F8" s="19">
        <v>545000</v>
      </c>
    </row>
    <row r="9" spans="1:6" x14ac:dyDescent="0.35">
      <c r="A9" s="17">
        <v>44838</v>
      </c>
      <c r="B9" s="18">
        <v>1537</v>
      </c>
      <c r="C9" s="18" t="s">
        <v>209</v>
      </c>
      <c r="D9" s="19">
        <v>20000</v>
      </c>
      <c r="E9" s="19">
        <f>E8+D9</f>
        <v>30000</v>
      </c>
      <c r="F9" s="19">
        <f>F8-D9</f>
        <v>525000</v>
      </c>
    </row>
    <row r="10" spans="1:6" x14ac:dyDescent="0.35">
      <c r="A10" s="17">
        <v>45263</v>
      </c>
      <c r="B10" s="18">
        <v>1538</v>
      </c>
      <c r="C10" s="18" t="s">
        <v>208</v>
      </c>
      <c r="D10" s="19">
        <v>20000</v>
      </c>
      <c r="E10" s="19">
        <f t="shared" ref="E10:E43" si="0">E9+D10</f>
        <v>50000</v>
      </c>
      <c r="F10" s="19">
        <f t="shared" ref="F10:F43" si="1">F9-D10</f>
        <v>505000</v>
      </c>
    </row>
    <row r="11" spans="1:6" x14ac:dyDescent="0.35">
      <c r="A11" s="18" t="s">
        <v>203</v>
      </c>
      <c r="B11" s="18">
        <v>147</v>
      </c>
      <c r="C11" s="18" t="s">
        <v>208</v>
      </c>
      <c r="D11" s="19">
        <v>20000</v>
      </c>
      <c r="E11" s="19">
        <f t="shared" si="0"/>
        <v>70000</v>
      </c>
      <c r="F11" s="19">
        <f t="shared" si="1"/>
        <v>485000</v>
      </c>
    </row>
    <row r="12" spans="1:6" x14ac:dyDescent="0.35">
      <c r="A12" s="18" t="s">
        <v>204</v>
      </c>
      <c r="B12" s="18">
        <v>2083</v>
      </c>
      <c r="C12" s="18" t="s">
        <v>208</v>
      </c>
      <c r="D12" s="19">
        <v>20000</v>
      </c>
      <c r="E12" s="19">
        <f t="shared" si="0"/>
        <v>90000</v>
      </c>
      <c r="F12" s="19">
        <f t="shared" si="1"/>
        <v>465000</v>
      </c>
    </row>
    <row r="13" spans="1:6" x14ac:dyDescent="0.35">
      <c r="A13" s="18" t="s">
        <v>205</v>
      </c>
      <c r="B13" s="18">
        <v>5443</v>
      </c>
      <c r="C13" s="18" t="s">
        <v>208</v>
      </c>
      <c r="D13" s="19">
        <v>10000</v>
      </c>
      <c r="E13" s="19">
        <f t="shared" si="0"/>
        <v>100000</v>
      </c>
      <c r="F13" s="19">
        <f t="shared" si="1"/>
        <v>455000</v>
      </c>
    </row>
    <row r="14" spans="1:6" x14ac:dyDescent="0.35">
      <c r="A14" s="18" t="s">
        <v>206</v>
      </c>
      <c r="B14" s="18">
        <v>3878</v>
      </c>
      <c r="C14" s="18" t="s">
        <v>208</v>
      </c>
      <c r="D14" s="19">
        <v>10000</v>
      </c>
      <c r="E14" s="19">
        <f t="shared" si="0"/>
        <v>110000</v>
      </c>
      <c r="F14" s="19">
        <f t="shared" si="1"/>
        <v>445000</v>
      </c>
    </row>
    <row r="15" spans="1:6" x14ac:dyDescent="0.35">
      <c r="A15" s="17">
        <v>45179</v>
      </c>
      <c r="B15" s="18">
        <v>4640</v>
      </c>
      <c r="C15" s="18" t="s">
        <v>208</v>
      </c>
      <c r="D15" s="19">
        <v>10000</v>
      </c>
      <c r="E15" s="19">
        <f t="shared" si="0"/>
        <v>120000</v>
      </c>
      <c r="F15" s="19">
        <f t="shared" si="1"/>
        <v>435000</v>
      </c>
    </row>
    <row r="16" spans="1:6" x14ac:dyDescent="0.35">
      <c r="A16" s="18" t="s">
        <v>207</v>
      </c>
      <c r="B16" s="18">
        <v>5334</v>
      </c>
      <c r="C16" s="18" t="s">
        <v>208</v>
      </c>
      <c r="D16" s="19">
        <v>20000</v>
      </c>
      <c r="E16" s="19">
        <f t="shared" si="0"/>
        <v>140000</v>
      </c>
      <c r="F16" s="19">
        <f t="shared" si="1"/>
        <v>415000</v>
      </c>
    </row>
    <row r="17" spans="1:6" x14ac:dyDescent="0.35">
      <c r="A17" s="17">
        <v>45627</v>
      </c>
      <c r="B17" s="18">
        <v>6100</v>
      </c>
      <c r="C17" s="18" t="s">
        <v>208</v>
      </c>
      <c r="D17" s="19">
        <v>10000</v>
      </c>
      <c r="E17" s="19">
        <f t="shared" si="0"/>
        <v>150000</v>
      </c>
      <c r="F17" s="19">
        <f t="shared" si="1"/>
        <v>405000</v>
      </c>
    </row>
    <row r="18" spans="1:6" x14ac:dyDescent="0.35">
      <c r="A18" s="17">
        <v>45598</v>
      </c>
      <c r="B18" s="18">
        <v>7048</v>
      </c>
      <c r="C18" s="18" t="s">
        <v>208</v>
      </c>
      <c r="D18" s="19">
        <v>10000</v>
      </c>
      <c r="E18" s="19">
        <f t="shared" si="0"/>
        <v>160000</v>
      </c>
      <c r="F18" s="19">
        <f t="shared" si="1"/>
        <v>395000</v>
      </c>
    </row>
    <row r="19" spans="1:6" x14ac:dyDescent="0.35">
      <c r="A19" s="18" t="s">
        <v>210</v>
      </c>
      <c r="B19" s="18">
        <v>7896</v>
      </c>
      <c r="C19" s="18" t="s">
        <v>208</v>
      </c>
      <c r="D19" s="19">
        <v>10000</v>
      </c>
      <c r="E19" s="19">
        <f t="shared" si="0"/>
        <v>170000</v>
      </c>
      <c r="F19" s="19">
        <f t="shared" si="1"/>
        <v>385000</v>
      </c>
    </row>
    <row r="20" spans="1:6" x14ac:dyDescent="0.35">
      <c r="A20" s="18" t="s">
        <v>211</v>
      </c>
      <c r="B20" s="18">
        <v>8497</v>
      </c>
      <c r="C20" s="18" t="s">
        <v>208</v>
      </c>
      <c r="D20" s="19">
        <v>10000</v>
      </c>
      <c r="E20" s="19">
        <f t="shared" si="0"/>
        <v>180000</v>
      </c>
      <c r="F20" s="19">
        <f t="shared" si="1"/>
        <v>375000</v>
      </c>
    </row>
    <row r="21" spans="1:6" x14ac:dyDescent="0.35">
      <c r="A21" s="17">
        <v>45479</v>
      </c>
      <c r="B21" s="18">
        <v>6931</v>
      </c>
      <c r="C21" s="18" t="s">
        <v>208</v>
      </c>
      <c r="D21" s="19">
        <v>10000</v>
      </c>
      <c r="E21" s="19">
        <f t="shared" si="0"/>
        <v>190000</v>
      </c>
      <c r="F21" s="19">
        <f t="shared" si="1"/>
        <v>365000</v>
      </c>
    </row>
    <row r="22" spans="1:6" x14ac:dyDescent="0.35">
      <c r="A22" s="18" t="s">
        <v>212</v>
      </c>
      <c r="B22" s="18">
        <v>9072</v>
      </c>
      <c r="C22" s="18" t="s">
        <v>208</v>
      </c>
      <c r="D22" s="19">
        <v>10000</v>
      </c>
      <c r="E22" s="19">
        <f t="shared" si="0"/>
        <v>200000</v>
      </c>
      <c r="F22" s="19">
        <f t="shared" si="1"/>
        <v>355000</v>
      </c>
    </row>
    <row r="23" spans="1:6" x14ac:dyDescent="0.35">
      <c r="A23" s="17">
        <v>45603</v>
      </c>
      <c r="B23" s="18">
        <v>9516</v>
      </c>
      <c r="C23" s="18" t="s">
        <v>208</v>
      </c>
      <c r="D23" s="19">
        <v>10000</v>
      </c>
      <c r="E23" s="19">
        <f t="shared" si="0"/>
        <v>210000</v>
      </c>
      <c r="F23" s="19">
        <f t="shared" si="1"/>
        <v>345000</v>
      </c>
    </row>
    <row r="24" spans="1:6" x14ac:dyDescent="0.35">
      <c r="A24" s="17">
        <v>45634</v>
      </c>
      <c r="B24" s="18">
        <v>11097</v>
      </c>
      <c r="C24" s="18" t="s">
        <v>208</v>
      </c>
      <c r="D24" s="19">
        <v>10000</v>
      </c>
      <c r="E24" s="19">
        <f t="shared" si="0"/>
        <v>220000</v>
      </c>
      <c r="F24" s="19">
        <f t="shared" si="1"/>
        <v>335000</v>
      </c>
    </row>
    <row r="25" spans="1:6" x14ac:dyDescent="0.35">
      <c r="A25" s="17">
        <v>45605</v>
      </c>
      <c r="B25" s="18">
        <v>10695</v>
      </c>
      <c r="C25" s="18" t="s">
        <v>208</v>
      </c>
      <c r="D25" s="19">
        <v>10000</v>
      </c>
      <c r="E25" s="19">
        <f t="shared" si="0"/>
        <v>230000</v>
      </c>
      <c r="F25" s="19">
        <f t="shared" si="1"/>
        <v>325000</v>
      </c>
    </row>
    <row r="26" spans="1:6" x14ac:dyDescent="0.35">
      <c r="A26" s="18" t="s">
        <v>213</v>
      </c>
      <c r="B26" s="18">
        <v>11641</v>
      </c>
      <c r="C26" s="18" t="s">
        <v>208</v>
      </c>
      <c r="D26" s="19">
        <v>10000</v>
      </c>
      <c r="E26" s="19">
        <f t="shared" si="0"/>
        <v>240000</v>
      </c>
      <c r="F26" s="19">
        <f t="shared" si="1"/>
        <v>315000</v>
      </c>
    </row>
    <row r="27" spans="1:6" x14ac:dyDescent="0.35">
      <c r="A27" s="17">
        <v>45637</v>
      </c>
      <c r="B27" s="18">
        <v>10942</v>
      </c>
      <c r="C27" s="18" t="s">
        <v>208</v>
      </c>
      <c r="D27" s="19">
        <v>10000</v>
      </c>
      <c r="E27" s="19">
        <f t="shared" si="0"/>
        <v>250000</v>
      </c>
      <c r="F27" s="19">
        <f t="shared" si="1"/>
        <v>305000</v>
      </c>
    </row>
    <row r="28" spans="1:6" x14ac:dyDescent="0.35">
      <c r="A28" s="17">
        <v>45577</v>
      </c>
      <c r="B28" s="18">
        <v>12303</v>
      </c>
      <c r="C28" s="18" t="s">
        <v>208</v>
      </c>
      <c r="D28" s="19">
        <v>10000</v>
      </c>
      <c r="E28" s="19">
        <f t="shared" si="0"/>
        <v>260000</v>
      </c>
      <c r="F28" s="19">
        <f t="shared" si="1"/>
        <v>295000</v>
      </c>
    </row>
    <row r="29" spans="1:6" x14ac:dyDescent="0.35">
      <c r="A29" s="17">
        <v>45809</v>
      </c>
      <c r="B29" s="18">
        <v>12944</v>
      </c>
      <c r="C29" s="18" t="s">
        <v>208</v>
      </c>
      <c r="D29" s="19">
        <v>10000</v>
      </c>
      <c r="E29" s="19">
        <f t="shared" si="0"/>
        <v>270000</v>
      </c>
      <c r="F29" s="19">
        <f t="shared" si="1"/>
        <v>285000</v>
      </c>
    </row>
    <row r="30" spans="1:6" x14ac:dyDescent="0.35">
      <c r="A30" s="17">
        <v>45993</v>
      </c>
      <c r="B30" s="18">
        <v>9366</v>
      </c>
      <c r="C30" s="18" t="s">
        <v>208</v>
      </c>
      <c r="D30" s="19">
        <v>10000</v>
      </c>
      <c r="E30" s="19">
        <f t="shared" si="0"/>
        <v>280000</v>
      </c>
      <c r="F30" s="19">
        <f t="shared" si="1"/>
        <v>275000</v>
      </c>
    </row>
    <row r="31" spans="1:6" x14ac:dyDescent="0.35">
      <c r="A31" s="18" t="s">
        <v>214</v>
      </c>
      <c r="B31" s="18">
        <v>9784</v>
      </c>
      <c r="C31" s="18" t="s">
        <v>208</v>
      </c>
      <c r="D31" s="19">
        <v>10000</v>
      </c>
      <c r="E31" s="19">
        <f t="shared" si="0"/>
        <v>290000</v>
      </c>
      <c r="F31" s="19">
        <f t="shared" si="1"/>
        <v>265000</v>
      </c>
    </row>
    <row r="32" spans="1:6" x14ac:dyDescent="0.35">
      <c r="A32" s="18" t="s">
        <v>215</v>
      </c>
      <c r="B32" s="18">
        <v>10079</v>
      </c>
      <c r="C32" s="18" t="s">
        <v>208</v>
      </c>
      <c r="D32" s="19">
        <v>20000</v>
      </c>
      <c r="E32" s="19">
        <f t="shared" si="0"/>
        <v>310000</v>
      </c>
      <c r="F32" s="19">
        <f t="shared" si="1"/>
        <v>245000</v>
      </c>
    </row>
    <row r="33" spans="1:6" x14ac:dyDescent="0.35">
      <c r="A33" s="17">
        <v>45967</v>
      </c>
      <c r="B33" s="18">
        <v>10273</v>
      </c>
      <c r="C33" s="18" t="s">
        <v>208</v>
      </c>
      <c r="D33" s="19">
        <v>10000</v>
      </c>
      <c r="E33" s="19">
        <f t="shared" si="0"/>
        <v>320000</v>
      </c>
      <c r="F33" s="19">
        <f t="shared" si="1"/>
        <v>235000</v>
      </c>
    </row>
    <row r="34" spans="1:6" x14ac:dyDescent="0.35">
      <c r="A34" s="17">
        <v>45907</v>
      </c>
      <c r="B34" s="18">
        <v>12849</v>
      </c>
      <c r="C34" s="18" t="s">
        <v>208</v>
      </c>
      <c r="D34" s="19">
        <v>10000</v>
      </c>
      <c r="E34" s="19">
        <f t="shared" si="0"/>
        <v>330000</v>
      </c>
      <c r="F34" s="19">
        <f t="shared" si="1"/>
        <v>225000</v>
      </c>
    </row>
    <row r="35" spans="1:6" x14ac:dyDescent="0.35">
      <c r="A35" s="17">
        <v>45908</v>
      </c>
      <c r="B35" s="18">
        <v>12445</v>
      </c>
      <c r="C35" s="18" t="s">
        <v>208</v>
      </c>
      <c r="D35" s="19">
        <v>10000</v>
      </c>
      <c r="E35" s="19">
        <f t="shared" si="0"/>
        <v>340000</v>
      </c>
      <c r="F35" s="19">
        <f t="shared" si="1"/>
        <v>215000</v>
      </c>
    </row>
    <row r="36" spans="1:6" x14ac:dyDescent="0.35">
      <c r="A36" s="17">
        <v>45970</v>
      </c>
      <c r="B36" s="18">
        <v>12718</v>
      </c>
      <c r="C36" s="18" t="s">
        <v>208</v>
      </c>
      <c r="D36" s="19">
        <v>10000</v>
      </c>
      <c r="E36" s="19">
        <f t="shared" si="0"/>
        <v>350000</v>
      </c>
      <c r="F36" s="19">
        <f t="shared" si="1"/>
        <v>205000</v>
      </c>
    </row>
    <row r="37" spans="1:6" x14ac:dyDescent="0.35">
      <c r="A37" s="18" t="s">
        <v>216</v>
      </c>
      <c r="B37" s="18">
        <v>13798</v>
      </c>
      <c r="C37" s="18" t="s">
        <v>208</v>
      </c>
      <c r="D37" s="19">
        <v>10000</v>
      </c>
      <c r="E37" s="19">
        <f t="shared" si="0"/>
        <v>360000</v>
      </c>
      <c r="F37" s="19">
        <f t="shared" si="1"/>
        <v>195000</v>
      </c>
    </row>
    <row r="38" spans="1:6" x14ac:dyDescent="0.35">
      <c r="A38" s="17">
        <v>45972</v>
      </c>
      <c r="B38" s="18">
        <v>13335</v>
      </c>
      <c r="C38" s="18" t="s">
        <v>208</v>
      </c>
      <c r="D38" s="19">
        <v>10000</v>
      </c>
      <c r="E38" s="19">
        <f t="shared" si="0"/>
        <v>370000</v>
      </c>
      <c r="F38" s="19">
        <f t="shared" si="1"/>
        <v>185000</v>
      </c>
    </row>
    <row r="39" spans="1:6" x14ac:dyDescent="0.35">
      <c r="A39" s="18" t="s">
        <v>217</v>
      </c>
      <c r="B39" s="18">
        <v>13176</v>
      </c>
      <c r="C39" s="18" t="s">
        <v>208</v>
      </c>
      <c r="D39" s="19">
        <v>10000</v>
      </c>
      <c r="E39" s="19">
        <f t="shared" si="0"/>
        <v>380000</v>
      </c>
      <c r="F39" s="19">
        <f t="shared" si="1"/>
        <v>175000</v>
      </c>
    </row>
    <row r="40" spans="1:6" x14ac:dyDescent="0.35">
      <c r="A40" s="17">
        <v>46235</v>
      </c>
      <c r="B40" s="18">
        <v>12029</v>
      </c>
      <c r="C40" s="18" t="s">
        <v>208</v>
      </c>
      <c r="D40" s="19">
        <v>10000</v>
      </c>
      <c r="E40" s="19">
        <f t="shared" si="0"/>
        <v>390000</v>
      </c>
      <c r="F40" s="19">
        <f t="shared" si="1"/>
        <v>165000</v>
      </c>
    </row>
    <row r="41" spans="1:6" x14ac:dyDescent="0.35">
      <c r="A41" s="17">
        <v>46358</v>
      </c>
      <c r="B41" s="18">
        <v>12432</v>
      </c>
      <c r="C41" s="18" t="s">
        <v>208</v>
      </c>
      <c r="D41" s="19">
        <v>10000</v>
      </c>
      <c r="E41" s="19">
        <f t="shared" si="0"/>
        <v>400000</v>
      </c>
      <c r="F41" s="19">
        <f t="shared" si="1"/>
        <v>155000</v>
      </c>
    </row>
    <row r="42" spans="1:6" x14ac:dyDescent="0.35">
      <c r="A42" s="18" t="s">
        <v>218</v>
      </c>
      <c r="B42" s="18">
        <v>12835</v>
      </c>
      <c r="C42" s="18" t="s">
        <v>208</v>
      </c>
      <c r="D42" s="19">
        <v>10000</v>
      </c>
      <c r="E42" s="19">
        <f t="shared" si="0"/>
        <v>410000</v>
      </c>
      <c r="F42" s="19">
        <f t="shared" si="1"/>
        <v>145000</v>
      </c>
    </row>
    <row r="43" spans="1:6" x14ac:dyDescent="0.35">
      <c r="A43" s="17">
        <v>46270</v>
      </c>
      <c r="B43" s="18">
        <v>12970</v>
      </c>
      <c r="C43" s="18" t="s">
        <v>208</v>
      </c>
      <c r="D43" s="19">
        <v>20000</v>
      </c>
      <c r="E43" s="19">
        <f t="shared" si="0"/>
        <v>430000</v>
      </c>
      <c r="F43" s="19">
        <f t="shared" si="1"/>
        <v>125000</v>
      </c>
    </row>
    <row r="44" spans="1:6" x14ac:dyDescent="0.35">
      <c r="A44" s="18" t="s">
        <v>297</v>
      </c>
      <c r="B44" s="18">
        <v>13582</v>
      </c>
      <c r="C44" s="18" t="s">
        <v>208</v>
      </c>
      <c r="D44" s="19">
        <v>10000</v>
      </c>
      <c r="E44" s="19">
        <f>E43+D44</f>
        <v>440000</v>
      </c>
      <c r="F44" s="19">
        <f>F43-D44</f>
        <v>115000</v>
      </c>
    </row>
    <row r="45" spans="1:6" x14ac:dyDescent="0.35">
      <c r="A45" s="17">
        <v>46030</v>
      </c>
      <c r="B45" s="18">
        <v>1620</v>
      </c>
      <c r="C45" s="18" t="s">
        <v>208</v>
      </c>
      <c r="D45" s="19">
        <v>20000</v>
      </c>
      <c r="E45" s="19">
        <f>E44+D45</f>
        <v>460000</v>
      </c>
      <c r="F45" s="19">
        <f>F44-D45</f>
        <v>95000</v>
      </c>
    </row>
    <row r="46" spans="1:6" x14ac:dyDescent="0.35">
      <c r="A46" s="17">
        <v>46089</v>
      </c>
      <c r="B46" s="18">
        <v>1633</v>
      </c>
      <c r="C46" s="18" t="s">
        <v>208</v>
      </c>
      <c r="D46" s="19">
        <v>50000</v>
      </c>
      <c r="E46" s="19">
        <v>50000</v>
      </c>
      <c r="F46" s="18" t="s">
        <v>118</v>
      </c>
    </row>
    <row r="48" spans="1:6" x14ac:dyDescent="0.35">
      <c r="C48" t="s">
        <v>353</v>
      </c>
    </row>
    <row r="50" spans="1:6" x14ac:dyDescent="0.35">
      <c r="A50" s="20" t="s">
        <v>354</v>
      </c>
      <c r="B50" s="20"/>
    </row>
    <row r="51" spans="1:6" x14ac:dyDescent="0.35">
      <c r="A51" s="17">
        <v>46089</v>
      </c>
      <c r="B51" s="18">
        <v>3724</v>
      </c>
      <c r="C51" s="18" t="s">
        <v>355</v>
      </c>
      <c r="D51" s="19">
        <v>200000</v>
      </c>
      <c r="E51" s="19">
        <v>200000</v>
      </c>
      <c r="F51" s="18" t="s">
        <v>118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53"/>
  <sheetViews>
    <sheetView topLeftCell="A49" workbookViewId="0">
      <selection activeCell="A4" sqref="A4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7</v>
      </c>
      <c r="B1" s="1"/>
      <c r="C1" s="1"/>
      <c r="D1" s="1"/>
      <c r="E1" s="1"/>
      <c r="F1" s="1"/>
    </row>
    <row r="2" spans="1:6" ht="18.5" x14ac:dyDescent="0.45">
      <c r="A2" s="1" t="s">
        <v>8</v>
      </c>
      <c r="C2" s="1"/>
      <c r="D2" s="1"/>
      <c r="E2" s="1"/>
      <c r="F2" s="1"/>
    </row>
    <row r="3" spans="1:6" ht="18.5" x14ac:dyDescent="0.45">
      <c r="A3" s="1" t="s">
        <v>9</v>
      </c>
      <c r="B3" s="1"/>
      <c r="C3" s="1"/>
      <c r="D3" s="1"/>
      <c r="E3" s="1"/>
      <c r="F3" s="1"/>
    </row>
    <row r="4" spans="1:6" ht="18.5" x14ac:dyDescent="0.45">
      <c r="A4" s="1" t="s">
        <v>580</v>
      </c>
      <c r="B4" s="1"/>
      <c r="C4" s="1"/>
      <c r="D4" s="1"/>
      <c r="E4" s="1"/>
      <c r="F4" s="1"/>
    </row>
    <row r="5" spans="1:6" ht="18.5" x14ac:dyDescent="0.45">
      <c r="A5" s="1" t="s">
        <v>10</v>
      </c>
      <c r="B5" s="1"/>
      <c r="C5" s="1"/>
      <c r="D5" s="1"/>
      <c r="E5" s="1"/>
      <c r="F5" s="1"/>
    </row>
    <row r="6" spans="1:6" ht="18.5" x14ac:dyDescent="0.45">
      <c r="A6" s="1" t="s">
        <v>11</v>
      </c>
      <c r="B6" s="1"/>
      <c r="C6" s="1"/>
      <c r="D6" s="1" t="s">
        <v>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6" t="s">
        <v>16</v>
      </c>
      <c r="B8" s="2">
        <v>2477</v>
      </c>
      <c r="C8" s="2" t="s">
        <v>12</v>
      </c>
      <c r="D8" s="3">
        <v>150000</v>
      </c>
      <c r="E8" s="3">
        <v>150000</v>
      </c>
      <c r="F8" s="4">
        <v>450000</v>
      </c>
    </row>
    <row r="9" spans="1:6" x14ac:dyDescent="0.35">
      <c r="A9" s="6" t="s">
        <v>13</v>
      </c>
      <c r="B9" s="2">
        <v>2044</v>
      </c>
      <c r="C9" s="2" t="s">
        <v>14</v>
      </c>
      <c r="D9" s="3">
        <v>10000</v>
      </c>
      <c r="E9" s="3">
        <f>SUM(E8+D9)</f>
        <v>160000</v>
      </c>
      <c r="F9" s="4">
        <f>F8-D9</f>
        <v>440000</v>
      </c>
    </row>
    <row r="10" spans="1:6" x14ac:dyDescent="0.35">
      <c r="A10" s="7" t="s">
        <v>15</v>
      </c>
      <c r="B10" s="2">
        <v>54</v>
      </c>
      <c r="C10" s="2" t="s">
        <v>14</v>
      </c>
      <c r="D10" s="3">
        <v>10000</v>
      </c>
      <c r="E10" s="3">
        <f t="shared" ref="E10:E45" si="0">SUM(E9+D10)</f>
        <v>170000</v>
      </c>
      <c r="F10" s="4">
        <f t="shared" ref="F10:F48" si="1">F9-D10</f>
        <v>430000</v>
      </c>
    </row>
    <row r="11" spans="1:6" x14ac:dyDescent="0.35">
      <c r="A11" s="8">
        <v>45203</v>
      </c>
      <c r="B11" s="2">
        <v>1907</v>
      </c>
      <c r="C11" s="2" t="s">
        <v>14</v>
      </c>
      <c r="D11" s="3">
        <v>10000</v>
      </c>
      <c r="E11" s="3">
        <f t="shared" si="0"/>
        <v>180000</v>
      </c>
      <c r="F11" s="4">
        <f t="shared" si="1"/>
        <v>420000</v>
      </c>
    </row>
    <row r="12" spans="1:6" x14ac:dyDescent="0.35">
      <c r="A12" s="8">
        <v>44990</v>
      </c>
      <c r="B12" s="2">
        <v>1420</v>
      </c>
      <c r="C12" s="2" t="s">
        <v>14</v>
      </c>
      <c r="D12" s="3">
        <v>10000</v>
      </c>
      <c r="E12" s="3">
        <f t="shared" si="0"/>
        <v>190000</v>
      </c>
      <c r="F12" s="4">
        <f t="shared" si="1"/>
        <v>410000</v>
      </c>
    </row>
    <row r="13" spans="1:6" x14ac:dyDescent="0.35">
      <c r="A13" s="8">
        <v>44991</v>
      </c>
      <c r="B13" s="2">
        <v>246</v>
      </c>
      <c r="C13" s="2" t="s">
        <v>14</v>
      </c>
      <c r="D13" s="3">
        <v>10000</v>
      </c>
      <c r="E13" s="3">
        <f t="shared" si="0"/>
        <v>200000</v>
      </c>
      <c r="F13" s="4">
        <f t="shared" si="1"/>
        <v>400000</v>
      </c>
    </row>
    <row r="14" spans="1:6" x14ac:dyDescent="0.35">
      <c r="A14" s="8">
        <v>45237</v>
      </c>
      <c r="B14" s="2">
        <v>2674</v>
      </c>
      <c r="C14" s="2" t="s">
        <v>14</v>
      </c>
      <c r="D14" s="3">
        <v>10000</v>
      </c>
      <c r="E14" s="3">
        <f t="shared" si="0"/>
        <v>210000</v>
      </c>
      <c r="F14" s="4">
        <f t="shared" si="1"/>
        <v>390000</v>
      </c>
    </row>
    <row r="15" spans="1:6" x14ac:dyDescent="0.35">
      <c r="A15" s="8">
        <v>45268</v>
      </c>
      <c r="B15" s="2">
        <v>2379</v>
      </c>
      <c r="C15" s="2" t="s">
        <v>14</v>
      </c>
      <c r="D15" s="3">
        <v>10000</v>
      </c>
      <c r="E15" s="3">
        <f t="shared" si="0"/>
        <v>220000</v>
      </c>
      <c r="F15" s="4">
        <f t="shared" si="1"/>
        <v>380000</v>
      </c>
    </row>
    <row r="16" spans="1:6" x14ac:dyDescent="0.35">
      <c r="A16" s="8">
        <v>45239</v>
      </c>
      <c r="B16" s="2">
        <v>3531</v>
      </c>
      <c r="C16" s="2" t="s">
        <v>14</v>
      </c>
      <c r="D16" s="3">
        <v>10000</v>
      </c>
      <c r="E16" s="3">
        <f t="shared" si="0"/>
        <v>230000</v>
      </c>
      <c r="F16" s="4">
        <f t="shared" si="1"/>
        <v>370000</v>
      </c>
    </row>
    <row r="17" spans="1:6" x14ac:dyDescent="0.35">
      <c r="A17" s="8">
        <v>45026</v>
      </c>
      <c r="B17" s="2">
        <v>282</v>
      </c>
      <c r="C17" s="2" t="s">
        <v>14</v>
      </c>
      <c r="D17" s="3">
        <v>10000</v>
      </c>
      <c r="E17" s="3">
        <f t="shared" si="0"/>
        <v>240000</v>
      </c>
      <c r="F17" s="4">
        <f t="shared" si="1"/>
        <v>360000</v>
      </c>
    </row>
    <row r="18" spans="1:6" x14ac:dyDescent="0.35">
      <c r="A18" s="8">
        <v>45241</v>
      </c>
      <c r="B18" s="2">
        <v>4805</v>
      </c>
      <c r="C18" s="2" t="s">
        <v>14</v>
      </c>
      <c r="D18" s="3">
        <v>10000</v>
      </c>
      <c r="E18" s="3">
        <f t="shared" si="0"/>
        <v>250000</v>
      </c>
      <c r="F18" s="4">
        <f t="shared" si="1"/>
        <v>350000</v>
      </c>
    </row>
    <row r="19" spans="1:6" x14ac:dyDescent="0.35">
      <c r="A19" s="8">
        <v>45181</v>
      </c>
      <c r="B19" s="2">
        <v>5387</v>
      </c>
      <c r="C19" s="2" t="s">
        <v>14</v>
      </c>
      <c r="D19" s="3">
        <v>10000</v>
      </c>
      <c r="E19" s="3">
        <f t="shared" si="0"/>
        <v>260000</v>
      </c>
      <c r="F19" s="4">
        <f t="shared" si="1"/>
        <v>340000</v>
      </c>
    </row>
    <row r="20" spans="1:6" x14ac:dyDescent="0.35">
      <c r="A20" s="8">
        <v>45444</v>
      </c>
      <c r="B20" s="2">
        <v>5922</v>
      </c>
      <c r="C20" s="2" t="s">
        <v>14</v>
      </c>
      <c r="D20" s="3">
        <v>10000</v>
      </c>
      <c r="E20" s="3">
        <f t="shared" si="0"/>
        <v>270000</v>
      </c>
      <c r="F20" s="4">
        <f t="shared" si="1"/>
        <v>330000</v>
      </c>
    </row>
    <row r="21" spans="1:6" x14ac:dyDescent="0.35">
      <c r="A21" s="8">
        <v>45414</v>
      </c>
      <c r="B21" s="2">
        <v>6535</v>
      </c>
      <c r="C21" s="2" t="s">
        <v>14</v>
      </c>
      <c r="D21" s="3">
        <v>10000</v>
      </c>
      <c r="E21" s="3">
        <f t="shared" si="0"/>
        <v>280000</v>
      </c>
      <c r="F21" s="4">
        <f t="shared" si="1"/>
        <v>320000</v>
      </c>
    </row>
    <row r="22" spans="1:6" x14ac:dyDescent="0.35">
      <c r="A22" s="8">
        <v>45476</v>
      </c>
      <c r="B22" s="2">
        <v>6934</v>
      </c>
      <c r="C22" s="2" t="s">
        <v>14</v>
      </c>
      <c r="D22" s="3">
        <v>10000</v>
      </c>
      <c r="E22" s="3">
        <f t="shared" si="0"/>
        <v>290000</v>
      </c>
      <c r="F22" s="4">
        <f t="shared" si="1"/>
        <v>310000</v>
      </c>
    </row>
    <row r="23" spans="1:6" x14ac:dyDescent="0.35">
      <c r="A23" s="8">
        <v>45416</v>
      </c>
      <c r="B23" s="2">
        <v>7684</v>
      </c>
      <c r="C23" s="2" t="s">
        <v>14</v>
      </c>
      <c r="D23" s="3">
        <v>10000</v>
      </c>
      <c r="E23" s="3">
        <f t="shared" si="0"/>
        <v>300000</v>
      </c>
      <c r="F23" s="4">
        <f t="shared" si="1"/>
        <v>300000</v>
      </c>
    </row>
    <row r="24" spans="1:6" x14ac:dyDescent="0.35">
      <c r="A24" s="8">
        <v>45478</v>
      </c>
      <c r="B24" s="2">
        <v>8290</v>
      </c>
      <c r="C24" s="2" t="s">
        <v>14</v>
      </c>
      <c r="D24" s="3">
        <v>10000</v>
      </c>
      <c r="E24" s="3">
        <f t="shared" si="0"/>
        <v>310000</v>
      </c>
      <c r="F24" s="4">
        <f t="shared" si="1"/>
        <v>290000</v>
      </c>
    </row>
    <row r="25" spans="1:6" x14ac:dyDescent="0.35">
      <c r="A25" s="8">
        <v>45418</v>
      </c>
      <c r="B25" s="2">
        <v>8860</v>
      </c>
      <c r="C25" s="2" t="s">
        <v>14</v>
      </c>
      <c r="D25" s="3">
        <v>10000</v>
      </c>
      <c r="E25" s="3">
        <f t="shared" si="0"/>
        <v>320000</v>
      </c>
      <c r="F25" s="4">
        <f t="shared" si="1"/>
        <v>280000</v>
      </c>
    </row>
    <row r="26" spans="1:6" x14ac:dyDescent="0.35">
      <c r="A26" s="8">
        <v>45450</v>
      </c>
      <c r="B26" s="2">
        <v>9401</v>
      </c>
      <c r="C26" s="2" t="s">
        <v>14</v>
      </c>
      <c r="D26" s="3">
        <v>10000</v>
      </c>
      <c r="E26" s="3">
        <f t="shared" si="0"/>
        <v>330000</v>
      </c>
      <c r="F26" s="4">
        <f t="shared" si="1"/>
        <v>270000</v>
      </c>
    </row>
    <row r="27" spans="1:6" x14ac:dyDescent="0.35">
      <c r="A27" s="8">
        <v>45451</v>
      </c>
      <c r="B27" s="2">
        <v>10070</v>
      </c>
      <c r="C27" s="2" t="s">
        <v>14</v>
      </c>
      <c r="D27" s="3">
        <v>10000</v>
      </c>
      <c r="E27" s="3">
        <f t="shared" si="0"/>
        <v>340000</v>
      </c>
      <c r="F27" s="4">
        <f t="shared" si="1"/>
        <v>260000</v>
      </c>
    </row>
    <row r="28" spans="1:6" x14ac:dyDescent="0.35">
      <c r="A28" s="8">
        <v>45360</v>
      </c>
      <c r="B28" s="2">
        <v>10486</v>
      </c>
      <c r="C28" s="2" t="s">
        <v>14</v>
      </c>
      <c r="D28" s="3">
        <v>10000</v>
      </c>
      <c r="E28" s="3">
        <f t="shared" si="0"/>
        <v>350000</v>
      </c>
      <c r="F28" s="4">
        <f t="shared" si="1"/>
        <v>250000</v>
      </c>
    </row>
    <row r="29" spans="1:6" x14ac:dyDescent="0.35">
      <c r="A29" s="8">
        <v>45483</v>
      </c>
      <c r="B29" s="2">
        <v>11468</v>
      </c>
      <c r="C29" s="2" t="s">
        <v>14</v>
      </c>
      <c r="D29" s="3">
        <v>10000</v>
      </c>
      <c r="E29" s="3">
        <f t="shared" si="0"/>
        <v>360000</v>
      </c>
      <c r="F29" s="4">
        <f t="shared" si="1"/>
        <v>240000</v>
      </c>
    </row>
    <row r="30" spans="1:6" x14ac:dyDescent="0.35">
      <c r="A30" s="8">
        <v>45576</v>
      </c>
      <c r="B30" s="2">
        <v>11975</v>
      </c>
      <c r="C30" s="2" t="s">
        <v>14</v>
      </c>
      <c r="D30" s="3">
        <v>10000</v>
      </c>
      <c r="E30" s="3">
        <f t="shared" si="0"/>
        <v>370000</v>
      </c>
      <c r="F30" s="4">
        <f t="shared" si="1"/>
        <v>230000</v>
      </c>
    </row>
    <row r="31" spans="1:6" x14ac:dyDescent="0.35">
      <c r="A31" s="8">
        <v>45547</v>
      </c>
      <c r="B31" s="2">
        <v>12267</v>
      </c>
      <c r="C31" s="2" t="s">
        <v>14</v>
      </c>
      <c r="D31" s="3">
        <v>10000</v>
      </c>
      <c r="E31" s="3">
        <f t="shared" si="0"/>
        <v>380000</v>
      </c>
      <c r="F31" s="4">
        <f t="shared" si="1"/>
        <v>220000</v>
      </c>
    </row>
    <row r="32" spans="1:6" x14ac:dyDescent="0.35">
      <c r="A32" s="8">
        <v>45870</v>
      </c>
      <c r="B32" s="2">
        <v>12971</v>
      </c>
      <c r="C32" s="2" t="s">
        <v>14</v>
      </c>
      <c r="D32" s="3">
        <v>10000</v>
      </c>
      <c r="E32" s="3">
        <f t="shared" si="0"/>
        <v>390000</v>
      </c>
      <c r="F32" s="4">
        <f t="shared" si="1"/>
        <v>210000</v>
      </c>
    </row>
    <row r="33" spans="1:6" x14ac:dyDescent="0.35">
      <c r="A33" s="8">
        <v>45932</v>
      </c>
      <c r="B33" s="2">
        <v>9511</v>
      </c>
      <c r="C33" s="2" t="s">
        <v>14</v>
      </c>
      <c r="D33" s="3">
        <v>10000</v>
      </c>
      <c r="E33" s="3">
        <f t="shared" si="0"/>
        <v>400000</v>
      </c>
      <c r="F33" s="4">
        <f t="shared" si="1"/>
        <v>200000</v>
      </c>
    </row>
    <row r="34" spans="1:6" x14ac:dyDescent="0.35">
      <c r="A34" s="8">
        <v>45841</v>
      </c>
      <c r="B34" s="2">
        <v>9633</v>
      </c>
      <c r="C34" s="2" t="s">
        <v>14</v>
      </c>
      <c r="D34" s="3">
        <v>10000</v>
      </c>
      <c r="E34" s="3">
        <f t="shared" si="0"/>
        <v>410000</v>
      </c>
      <c r="F34" s="4">
        <f t="shared" si="1"/>
        <v>190000</v>
      </c>
    </row>
    <row r="35" spans="1:6" x14ac:dyDescent="0.35">
      <c r="A35" s="8">
        <v>45934</v>
      </c>
      <c r="B35" s="2">
        <v>9996</v>
      </c>
      <c r="C35" s="2" t="s">
        <v>14</v>
      </c>
      <c r="D35" s="3">
        <v>10000</v>
      </c>
      <c r="E35" s="3">
        <f t="shared" si="0"/>
        <v>420000</v>
      </c>
      <c r="F35" s="4">
        <f t="shared" si="1"/>
        <v>180000</v>
      </c>
    </row>
    <row r="36" spans="1:6" x14ac:dyDescent="0.35">
      <c r="A36" s="8">
        <v>45874</v>
      </c>
      <c r="B36" s="2">
        <v>10370</v>
      </c>
      <c r="C36" s="2" t="s">
        <v>14</v>
      </c>
      <c r="D36" s="3">
        <v>10000</v>
      </c>
      <c r="E36" s="3">
        <f t="shared" si="0"/>
        <v>430000</v>
      </c>
      <c r="F36" s="4">
        <f t="shared" si="1"/>
        <v>170000</v>
      </c>
    </row>
    <row r="37" spans="1:6" x14ac:dyDescent="0.35">
      <c r="A37" s="8">
        <v>45936</v>
      </c>
      <c r="B37" s="2">
        <v>10252</v>
      </c>
      <c r="C37" s="2" t="s">
        <v>14</v>
      </c>
      <c r="D37" s="3">
        <v>10000</v>
      </c>
      <c r="E37" s="3">
        <f t="shared" si="0"/>
        <v>440000</v>
      </c>
      <c r="F37" s="4">
        <f t="shared" si="1"/>
        <v>160000</v>
      </c>
    </row>
    <row r="38" spans="1:6" x14ac:dyDescent="0.35">
      <c r="A38" s="8">
        <v>45754</v>
      </c>
      <c r="B38" s="2">
        <v>12059</v>
      </c>
      <c r="C38" s="2" t="s">
        <v>14</v>
      </c>
      <c r="D38" s="3">
        <v>10000</v>
      </c>
      <c r="E38" s="3">
        <f t="shared" si="0"/>
        <v>450000</v>
      </c>
      <c r="F38" s="4">
        <f t="shared" si="1"/>
        <v>150000</v>
      </c>
    </row>
    <row r="39" spans="1:6" x14ac:dyDescent="0.35">
      <c r="A39" s="8">
        <v>45816</v>
      </c>
      <c r="B39" s="2">
        <v>12410</v>
      </c>
      <c r="C39" s="2" t="s">
        <v>14</v>
      </c>
      <c r="D39" s="3">
        <v>10000</v>
      </c>
      <c r="E39" s="3">
        <f t="shared" si="0"/>
        <v>460000</v>
      </c>
      <c r="F39" s="4">
        <f t="shared" si="1"/>
        <v>140000</v>
      </c>
    </row>
    <row r="40" spans="1:6" x14ac:dyDescent="0.35">
      <c r="A40" s="8">
        <v>45847</v>
      </c>
      <c r="B40" s="2">
        <v>12641</v>
      </c>
      <c r="C40" s="2" t="s">
        <v>14</v>
      </c>
      <c r="D40" s="3">
        <v>10000</v>
      </c>
      <c r="E40" s="3">
        <f t="shared" si="0"/>
        <v>470000</v>
      </c>
      <c r="F40" s="4">
        <f t="shared" si="1"/>
        <v>130000</v>
      </c>
    </row>
    <row r="41" spans="1:6" x14ac:dyDescent="0.35">
      <c r="A41" s="8">
        <v>45848</v>
      </c>
      <c r="B41" s="2">
        <v>13713</v>
      </c>
      <c r="C41" s="2" t="s">
        <v>14</v>
      </c>
      <c r="D41" s="3">
        <v>10000</v>
      </c>
      <c r="E41" s="3">
        <f t="shared" si="0"/>
        <v>480000</v>
      </c>
      <c r="F41" s="4">
        <f t="shared" si="1"/>
        <v>120000</v>
      </c>
    </row>
    <row r="42" spans="1:6" x14ac:dyDescent="0.35">
      <c r="A42" s="8">
        <v>45911</v>
      </c>
      <c r="B42" s="2">
        <v>13475</v>
      </c>
      <c r="C42" s="2" t="s">
        <v>14</v>
      </c>
      <c r="D42" s="3">
        <v>10000</v>
      </c>
      <c r="E42" s="3">
        <f t="shared" si="0"/>
        <v>490000</v>
      </c>
      <c r="F42" s="4">
        <f t="shared" si="1"/>
        <v>110000</v>
      </c>
    </row>
    <row r="43" spans="1:6" x14ac:dyDescent="0.35">
      <c r="A43" s="8">
        <v>45881</v>
      </c>
      <c r="B43" s="2">
        <v>13107</v>
      </c>
      <c r="C43" s="2" t="s">
        <v>14</v>
      </c>
      <c r="D43" s="3">
        <v>10000</v>
      </c>
      <c r="E43" s="3">
        <f t="shared" si="0"/>
        <v>500000</v>
      </c>
      <c r="F43" s="4">
        <f t="shared" si="1"/>
        <v>100000</v>
      </c>
    </row>
    <row r="44" spans="1:6" x14ac:dyDescent="0.35">
      <c r="A44" s="8">
        <v>46204</v>
      </c>
      <c r="B44" s="2">
        <v>12020</v>
      </c>
      <c r="C44" s="2" t="s">
        <v>14</v>
      </c>
      <c r="D44" s="3">
        <v>10000</v>
      </c>
      <c r="E44" s="3">
        <f t="shared" si="0"/>
        <v>510000</v>
      </c>
      <c r="F44" s="4">
        <f t="shared" si="1"/>
        <v>90000</v>
      </c>
    </row>
    <row r="45" spans="1:6" x14ac:dyDescent="0.35">
      <c r="A45" s="8">
        <v>46175</v>
      </c>
      <c r="B45" s="2">
        <v>12353</v>
      </c>
      <c r="C45" s="2" t="s">
        <v>14</v>
      </c>
      <c r="D45" s="3">
        <v>10000</v>
      </c>
      <c r="E45" s="3">
        <f t="shared" si="0"/>
        <v>520000</v>
      </c>
      <c r="F45" s="4">
        <f t="shared" si="1"/>
        <v>80000</v>
      </c>
    </row>
    <row r="46" spans="1:6" x14ac:dyDescent="0.35">
      <c r="A46" s="17">
        <v>46237</v>
      </c>
      <c r="B46" s="2">
        <v>12778</v>
      </c>
      <c r="C46" s="2" t="s">
        <v>14</v>
      </c>
      <c r="D46" s="3">
        <v>10000</v>
      </c>
      <c r="E46" s="3">
        <f>SUM(E45+D46)</f>
        <v>530000</v>
      </c>
      <c r="F46" s="3">
        <f t="shared" si="1"/>
        <v>70000</v>
      </c>
    </row>
    <row r="47" spans="1:6" x14ac:dyDescent="0.35">
      <c r="A47" s="17">
        <v>46238</v>
      </c>
      <c r="B47" s="2">
        <v>13181</v>
      </c>
      <c r="C47" s="2" t="s">
        <v>14</v>
      </c>
      <c r="D47" s="3">
        <v>10000</v>
      </c>
      <c r="E47" s="3">
        <f>SUM(E46+D47)</f>
        <v>540000</v>
      </c>
      <c r="F47" s="3">
        <f t="shared" si="1"/>
        <v>60000</v>
      </c>
    </row>
    <row r="48" spans="1:6" x14ac:dyDescent="0.35">
      <c r="A48" s="17">
        <v>46270</v>
      </c>
      <c r="B48" s="2">
        <v>12966</v>
      </c>
      <c r="C48" s="2" t="s">
        <v>14</v>
      </c>
      <c r="D48" s="3">
        <v>10000</v>
      </c>
      <c r="E48" s="3">
        <f>SUM(E47+D48)</f>
        <v>550000</v>
      </c>
      <c r="F48" s="3">
        <f t="shared" si="1"/>
        <v>50000</v>
      </c>
    </row>
    <row r="49" spans="1:6" x14ac:dyDescent="0.35">
      <c r="A49" s="18" t="s">
        <v>281</v>
      </c>
      <c r="B49" s="2">
        <v>13559</v>
      </c>
      <c r="C49" s="2" t="s">
        <v>14</v>
      </c>
      <c r="D49" s="3">
        <v>10000</v>
      </c>
      <c r="E49" s="3">
        <f>E48+D49</f>
        <v>560000</v>
      </c>
      <c r="F49" s="3">
        <f>F48-D49</f>
        <v>40000</v>
      </c>
    </row>
    <row r="50" spans="1:6" x14ac:dyDescent="0.35">
      <c r="A50" s="17">
        <v>46272</v>
      </c>
      <c r="B50" s="2">
        <v>1437</v>
      </c>
      <c r="C50" s="2" t="s">
        <v>14</v>
      </c>
      <c r="D50" s="3">
        <v>10000</v>
      </c>
      <c r="E50" s="3">
        <f>E49+D50</f>
        <v>570000</v>
      </c>
      <c r="F50" s="3">
        <f>F49-D50</f>
        <v>30000</v>
      </c>
    </row>
    <row r="51" spans="1:6" x14ac:dyDescent="0.35">
      <c r="A51" s="17">
        <v>46211</v>
      </c>
      <c r="B51" s="2">
        <v>1667</v>
      </c>
      <c r="C51" s="2" t="s">
        <v>14</v>
      </c>
      <c r="D51" s="19">
        <v>10000</v>
      </c>
      <c r="E51" s="19">
        <f>E50+D51</f>
        <v>580000</v>
      </c>
      <c r="F51" s="19">
        <f>F50-D51</f>
        <v>20000</v>
      </c>
    </row>
    <row r="52" spans="1:6" x14ac:dyDescent="0.35">
      <c r="A52" s="17">
        <v>46274</v>
      </c>
      <c r="B52" s="2">
        <v>1953</v>
      </c>
      <c r="C52" s="2" t="s">
        <v>14</v>
      </c>
      <c r="D52" s="19">
        <v>10000</v>
      </c>
      <c r="E52" s="19">
        <f>E51+D52</f>
        <v>590000</v>
      </c>
      <c r="F52" s="19">
        <f>F51-D52</f>
        <v>10000</v>
      </c>
    </row>
    <row r="53" spans="1:6" x14ac:dyDescent="0.35">
      <c r="A53" s="17">
        <v>46244</v>
      </c>
      <c r="B53" s="18">
        <v>2193</v>
      </c>
      <c r="C53" s="2" t="s">
        <v>14</v>
      </c>
      <c r="D53" s="19">
        <v>10000</v>
      </c>
      <c r="E53" s="19">
        <f>E52+D53</f>
        <v>600000</v>
      </c>
      <c r="F53" s="55" t="s">
        <v>118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4"/>
  <sheetViews>
    <sheetView workbookViewId="0">
      <selection activeCell="L12" sqref="L12"/>
    </sheetView>
  </sheetViews>
  <sheetFormatPr defaultRowHeight="14.5" x14ac:dyDescent="0.35"/>
  <cols>
    <col min="1" max="1" width="10.453125" bestFit="1" customWidth="1"/>
    <col min="3" max="3" width="11.453125" customWidth="1"/>
    <col min="6" max="6" width="11.453125" customWidth="1"/>
  </cols>
  <sheetData>
    <row r="1" spans="1:7" ht="18.5" x14ac:dyDescent="0.45">
      <c r="A1" s="1" t="s">
        <v>129</v>
      </c>
      <c r="B1" s="1"/>
      <c r="C1" s="1"/>
      <c r="D1" s="1"/>
      <c r="E1" s="1"/>
      <c r="F1" s="1"/>
    </row>
    <row r="2" spans="1:7" ht="18.5" x14ac:dyDescent="0.45">
      <c r="A2" s="1" t="s">
        <v>130</v>
      </c>
      <c r="C2" s="1"/>
      <c r="D2" s="1"/>
      <c r="E2" s="1"/>
      <c r="F2" s="1"/>
    </row>
    <row r="3" spans="1:7" ht="18.5" x14ac:dyDescent="0.45">
      <c r="A3" s="1" t="s">
        <v>131</v>
      </c>
      <c r="B3" s="1"/>
      <c r="C3" s="1"/>
      <c r="D3" s="1"/>
      <c r="E3" s="1"/>
      <c r="F3" s="1"/>
    </row>
    <row r="4" spans="1:7" ht="18.5" x14ac:dyDescent="0.45">
      <c r="A4" s="1" t="s">
        <v>133</v>
      </c>
      <c r="B4" s="1"/>
      <c r="C4" s="1"/>
      <c r="D4" s="1"/>
      <c r="E4" s="1"/>
      <c r="F4" s="1"/>
    </row>
    <row r="5" spans="1:7" ht="18.5" x14ac:dyDescent="0.45">
      <c r="A5" s="1" t="s">
        <v>44</v>
      </c>
      <c r="B5" s="1"/>
      <c r="C5" s="1"/>
      <c r="D5" s="1"/>
      <c r="E5" s="1"/>
      <c r="F5" s="1"/>
    </row>
    <row r="6" spans="1:7" ht="18.5" x14ac:dyDescent="0.45">
      <c r="A6" s="1" t="s">
        <v>158</v>
      </c>
      <c r="B6" s="1"/>
      <c r="C6" s="1"/>
      <c r="D6" s="1" t="s">
        <v>132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31">
        <v>44873</v>
      </c>
      <c r="B8" s="32">
        <v>814</v>
      </c>
      <c r="C8" s="32" t="s">
        <v>142</v>
      </c>
      <c r="D8" s="33">
        <v>10000</v>
      </c>
      <c r="E8" s="33">
        <v>10000</v>
      </c>
      <c r="F8" s="33">
        <v>590000</v>
      </c>
      <c r="G8" s="34"/>
    </row>
    <row r="9" spans="1:7" x14ac:dyDescent="0.35">
      <c r="A9" s="34" t="s">
        <v>134</v>
      </c>
      <c r="B9" s="34">
        <v>1350</v>
      </c>
      <c r="C9" s="34" t="s">
        <v>142</v>
      </c>
      <c r="D9" s="35">
        <v>10000</v>
      </c>
      <c r="E9" s="35">
        <f>SUM(E8+D9)</f>
        <v>20000</v>
      </c>
      <c r="F9" s="35">
        <f>F8-D9</f>
        <v>580000</v>
      </c>
      <c r="G9" s="34"/>
    </row>
    <row r="10" spans="1:7" x14ac:dyDescent="0.35">
      <c r="A10" s="36">
        <v>44905</v>
      </c>
      <c r="B10" s="34">
        <v>6870</v>
      </c>
      <c r="C10" s="34" t="s">
        <v>143</v>
      </c>
      <c r="D10" s="35">
        <v>20000</v>
      </c>
      <c r="E10" s="35">
        <f t="shared" ref="E10:E38" si="0">SUM(E9+D10)</f>
        <v>40000</v>
      </c>
      <c r="F10" s="35">
        <f t="shared" ref="F10:F39" si="1">F9-D10</f>
        <v>560000</v>
      </c>
      <c r="G10" s="34"/>
    </row>
    <row r="11" spans="1:7" x14ac:dyDescent="0.35">
      <c r="A11" s="36">
        <v>45080</v>
      </c>
      <c r="B11" s="34">
        <v>2671</v>
      </c>
      <c r="C11" s="34" t="s">
        <v>142</v>
      </c>
      <c r="D11" s="35">
        <v>10000</v>
      </c>
      <c r="E11" s="35">
        <f t="shared" si="0"/>
        <v>50000</v>
      </c>
      <c r="F11" s="35">
        <f t="shared" si="1"/>
        <v>550000</v>
      </c>
      <c r="G11" s="34"/>
    </row>
    <row r="12" spans="1:7" x14ac:dyDescent="0.35">
      <c r="A12" s="34" t="s">
        <v>135</v>
      </c>
      <c r="B12" s="34">
        <v>966</v>
      </c>
      <c r="C12" s="34" t="s">
        <v>142</v>
      </c>
      <c r="D12" s="35">
        <v>20000</v>
      </c>
      <c r="E12" s="35">
        <f t="shared" si="0"/>
        <v>70000</v>
      </c>
      <c r="F12" s="35">
        <f t="shared" si="1"/>
        <v>530000</v>
      </c>
      <c r="G12" s="34"/>
    </row>
    <row r="13" spans="1:7" x14ac:dyDescent="0.35">
      <c r="A13" s="34" t="s">
        <v>136</v>
      </c>
      <c r="B13" s="34">
        <v>3108</v>
      </c>
      <c r="C13" s="34" t="s">
        <v>142</v>
      </c>
      <c r="D13" s="35">
        <v>20000</v>
      </c>
      <c r="E13" s="35">
        <f t="shared" si="0"/>
        <v>90000</v>
      </c>
      <c r="F13" s="35">
        <f t="shared" si="1"/>
        <v>510000</v>
      </c>
      <c r="G13" s="34"/>
    </row>
    <row r="14" spans="1:7" x14ac:dyDescent="0.35">
      <c r="A14" s="34" t="s">
        <v>137</v>
      </c>
      <c r="B14" s="34">
        <v>3796</v>
      </c>
      <c r="C14" s="34" t="s">
        <v>142</v>
      </c>
      <c r="D14" s="35">
        <v>20000</v>
      </c>
      <c r="E14" s="35">
        <f t="shared" si="0"/>
        <v>110000</v>
      </c>
      <c r="F14" s="35">
        <f t="shared" si="1"/>
        <v>490000</v>
      </c>
      <c r="G14" s="34"/>
    </row>
    <row r="15" spans="1:7" x14ac:dyDescent="0.35">
      <c r="A15" s="34" t="s">
        <v>138</v>
      </c>
      <c r="B15" s="34">
        <v>4482</v>
      </c>
      <c r="C15" s="34" t="s">
        <v>142</v>
      </c>
      <c r="D15" s="35">
        <v>10000</v>
      </c>
      <c r="E15" s="35">
        <f t="shared" si="0"/>
        <v>120000</v>
      </c>
      <c r="F15" s="35">
        <f t="shared" si="1"/>
        <v>480000</v>
      </c>
      <c r="G15" s="34"/>
    </row>
    <row r="16" spans="1:7" x14ac:dyDescent="0.35">
      <c r="A16" s="34" t="s">
        <v>139</v>
      </c>
      <c r="B16" s="34">
        <v>5094</v>
      </c>
      <c r="C16" s="34" t="s">
        <v>142</v>
      </c>
      <c r="D16" s="35">
        <v>10000</v>
      </c>
      <c r="E16" s="35">
        <f t="shared" si="0"/>
        <v>130000</v>
      </c>
      <c r="F16" s="35">
        <f t="shared" si="1"/>
        <v>470000</v>
      </c>
      <c r="G16" s="34"/>
    </row>
    <row r="17" spans="1:7" x14ac:dyDescent="0.35">
      <c r="A17" s="34" t="s">
        <v>140</v>
      </c>
      <c r="B17" s="34">
        <v>5813</v>
      </c>
      <c r="C17" s="34" t="s">
        <v>142</v>
      </c>
      <c r="D17" s="35">
        <v>10000</v>
      </c>
      <c r="E17" s="35">
        <f t="shared" si="0"/>
        <v>140000</v>
      </c>
      <c r="F17" s="35">
        <f t="shared" si="1"/>
        <v>460000</v>
      </c>
      <c r="G17" s="34"/>
    </row>
    <row r="18" spans="1:7" x14ac:dyDescent="0.35">
      <c r="A18" s="34" t="s">
        <v>141</v>
      </c>
      <c r="B18" s="34">
        <v>6366</v>
      </c>
      <c r="C18" s="34" t="s">
        <v>142</v>
      </c>
      <c r="D18" s="35">
        <v>10000</v>
      </c>
      <c r="E18" s="35">
        <f t="shared" si="0"/>
        <v>150000</v>
      </c>
      <c r="F18" s="35">
        <f t="shared" si="1"/>
        <v>450000</v>
      </c>
      <c r="G18" s="34"/>
    </row>
    <row r="19" spans="1:7" x14ac:dyDescent="0.35">
      <c r="A19" s="34" t="s">
        <v>144</v>
      </c>
      <c r="B19" s="34">
        <v>6815</v>
      </c>
      <c r="C19" s="34" t="s">
        <v>142</v>
      </c>
      <c r="D19" s="35">
        <v>10000</v>
      </c>
      <c r="E19" s="35">
        <f t="shared" si="0"/>
        <v>160000</v>
      </c>
      <c r="F19" s="35">
        <f t="shared" si="1"/>
        <v>440000</v>
      </c>
      <c r="G19" s="34"/>
    </row>
    <row r="20" spans="1:7" x14ac:dyDescent="0.35">
      <c r="A20" s="34" t="s">
        <v>145</v>
      </c>
      <c r="B20" s="34">
        <v>7519</v>
      </c>
      <c r="C20" s="34" t="s">
        <v>142</v>
      </c>
      <c r="D20" s="35">
        <v>10000</v>
      </c>
      <c r="E20" s="35">
        <f t="shared" si="0"/>
        <v>170000</v>
      </c>
      <c r="F20" s="35">
        <f t="shared" si="1"/>
        <v>430000</v>
      </c>
      <c r="G20" s="34"/>
    </row>
    <row r="21" spans="1:7" x14ac:dyDescent="0.35">
      <c r="A21" s="34" t="s">
        <v>146</v>
      </c>
      <c r="B21" s="34">
        <v>7914</v>
      </c>
      <c r="C21" s="34" t="s">
        <v>142</v>
      </c>
      <c r="D21" s="35">
        <v>10000</v>
      </c>
      <c r="E21" s="35">
        <f t="shared" si="0"/>
        <v>180000</v>
      </c>
      <c r="F21" s="35">
        <f t="shared" si="1"/>
        <v>420000</v>
      </c>
      <c r="G21" s="34"/>
    </row>
    <row r="22" spans="1:7" x14ac:dyDescent="0.35">
      <c r="A22" s="34" t="s">
        <v>147</v>
      </c>
      <c r="B22" s="34">
        <v>8714</v>
      </c>
      <c r="C22" s="34" t="s">
        <v>142</v>
      </c>
      <c r="D22" s="35">
        <v>10000</v>
      </c>
      <c r="E22" s="35">
        <f t="shared" si="0"/>
        <v>190000</v>
      </c>
      <c r="F22" s="35">
        <f t="shared" si="1"/>
        <v>410000</v>
      </c>
      <c r="G22" s="34"/>
    </row>
    <row r="23" spans="1:7" x14ac:dyDescent="0.35">
      <c r="A23" s="34" t="s">
        <v>148</v>
      </c>
      <c r="B23" s="34">
        <v>9261</v>
      </c>
      <c r="C23" s="34" t="s">
        <v>142</v>
      </c>
      <c r="D23" s="35">
        <v>10000</v>
      </c>
      <c r="E23" s="35">
        <f t="shared" si="0"/>
        <v>200000</v>
      </c>
      <c r="F23" s="35">
        <f t="shared" si="1"/>
        <v>400000</v>
      </c>
      <c r="G23" s="34"/>
    </row>
    <row r="24" spans="1:7" x14ac:dyDescent="0.35">
      <c r="A24" s="36">
        <v>45420</v>
      </c>
      <c r="B24" s="34">
        <v>10042</v>
      </c>
      <c r="C24" s="34" t="s">
        <v>142</v>
      </c>
      <c r="D24" s="35">
        <v>10000</v>
      </c>
      <c r="E24" s="35">
        <f t="shared" si="0"/>
        <v>210000</v>
      </c>
      <c r="F24" s="35">
        <f t="shared" si="1"/>
        <v>390000</v>
      </c>
      <c r="G24" s="34"/>
    </row>
    <row r="25" spans="1:7" x14ac:dyDescent="0.35">
      <c r="A25" s="36">
        <v>45544</v>
      </c>
      <c r="B25" s="34">
        <v>10625</v>
      </c>
      <c r="C25" s="34" t="s">
        <v>142</v>
      </c>
      <c r="D25" s="35">
        <v>20000</v>
      </c>
      <c r="E25" s="35">
        <f t="shared" si="0"/>
        <v>230000</v>
      </c>
      <c r="F25" s="35">
        <f t="shared" si="1"/>
        <v>370000</v>
      </c>
      <c r="G25" s="34"/>
    </row>
    <row r="26" spans="1:7" x14ac:dyDescent="0.35">
      <c r="A26" s="36">
        <v>45483</v>
      </c>
      <c r="B26" s="34">
        <v>11457</v>
      </c>
      <c r="C26" s="34" t="s">
        <v>142</v>
      </c>
      <c r="D26" s="35">
        <v>10000</v>
      </c>
      <c r="E26" s="35">
        <f t="shared" si="0"/>
        <v>240000</v>
      </c>
      <c r="F26" s="35">
        <f t="shared" si="1"/>
        <v>360000</v>
      </c>
      <c r="G26" s="34"/>
    </row>
    <row r="27" spans="1:7" x14ac:dyDescent="0.35">
      <c r="A27" s="34" t="s">
        <v>149</v>
      </c>
      <c r="B27" s="34">
        <v>12457</v>
      </c>
      <c r="C27" s="34" t="s">
        <v>142</v>
      </c>
      <c r="D27" s="35">
        <v>10000</v>
      </c>
      <c r="E27" s="35">
        <f t="shared" si="0"/>
        <v>250000</v>
      </c>
      <c r="F27" s="35">
        <f t="shared" si="1"/>
        <v>350000</v>
      </c>
      <c r="G27" s="34"/>
    </row>
    <row r="28" spans="1:7" x14ac:dyDescent="0.35">
      <c r="A28" s="34" t="s">
        <v>150</v>
      </c>
      <c r="B28" s="34">
        <v>10411</v>
      </c>
      <c r="C28" s="34" t="s">
        <v>142</v>
      </c>
      <c r="D28" s="35">
        <v>30000</v>
      </c>
      <c r="E28" s="35">
        <f t="shared" si="0"/>
        <v>280000</v>
      </c>
      <c r="F28" s="35">
        <f t="shared" si="1"/>
        <v>320000</v>
      </c>
      <c r="G28" s="34"/>
    </row>
    <row r="29" spans="1:7" x14ac:dyDescent="0.35">
      <c r="A29" s="34" t="s">
        <v>151</v>
      </c>
      <c r="B29" s="34">
        <v>12798</v>
      </c>
      <c r="C29" s="34" t="s">
        <v>142</v>
      </c>
      <c r="D29" s="35">
        <v>10000</v>
      </c>
      <c r="E29" s="35">
        <f t="shared" si="0"/>
        <v>290000</v>
      </c>
      <c r="F29" s="35">
        <f t="shared" si="1"/>
        <v>310000</v>
      </c>
      <c r="G29" s="34"/>
    </row>
    <row r="30" spans="1:7" x14ac:dyDescent="0.35">
      <c r="A30" s="34" t="s">
        <v>152</v>
      </c>
      <c r="B30" s="34">
        <v>9138</v>
      </c>
      <c r="C30" s="34" t="s">
        <v>142</v>
      </c>
      <c r="D30" s="35">
        <v>10000</v>
      </c>
      <c r="E30" s="35">
        <f t="shared" si="0"/>
        <v>300000</v>
      </c>
      <c r="F30" s="35">
        <f t="shared" si="1"/>
        <v>300000</v>
      </c>
      <c r="G30" s="34"/>
    </row>
    <row r="31" spans="1:7" x14ac:dyDescent="0.35">
      <c r="A31" s="34" t="s">
        <v>153</v>
      </c>
      <c r="B31" s="34">
        <v>12024</v>
      </c>
      <c r="C31" s="34" t="s">
        <v>142</v>
      </c>
      <c r="D31" s="35">
        <v>10000</v>
      </c>
      <c r="E31" s="35">
        <f t="shared" si="0"/>
        <v>310000</v>
      </c>
      <c r="F31" s="35">
        <f t="shared" si="1"/>
        <v>290000</v>
      </c>
      <c r="G31" s="34"/>
    </row>
    <row r="32" spans="1:7" x14ac:dyDescent="0.35">
      <c r="A32" s="36">
        <v>45696</v>
      </c>
      <c r="B32" s="34">
        <v>12358</v>
      </c>
      <c r="C32" s="34" t="s">
        <v>142</v>
      </c>
      <c r="D32" s="35">
        <v>10000</v>
      </c>
      <c r="E32" s="35">
        <f t="shared" si="0"/>
        <v>320000</v>
      </c>
      <c r="F32" s="35">
        <f t="shared" si="1"/>
        <v>280000</v>
      </c>
      <c r="G32" s="34"/>
    </row>
    <row r="33" spans="1:7" x14ac:dyDescent="0.35">
      <c r="A33" s="34" t="s">
        <v>154</v>
      </c>
      <c r="B33" s="34">
        <v>12586</v>
      </c>
      <c r="C33" s="34" t="s">
        <v>142</v>
      </c>
      <c r="D33" s="35">
        <v>10000</v>
      </c>
      <c r="E33" s="35">
        <f t="shared" si="0"/>
        <v>330000</v>
      </c>
      <c r="F33" s="35">
        <f t="shared" si="1"/>
        <v>270000</v>
      </c>
      <c r="G33" s="34"/>
    </row>
    <row r="34" spans="1:7" x14ac:dyDescent="0.35">
      <c r="A34" s="36">
        <v>45787</v>
      </c>
      <c r="B34" s="34">
        <v>13877</v>
      </c>
      <c r="C34" s="34" t="s">
        <v>142</v>
      </c>
      <c r="D34" s="35">
        <v>10000</v>
      </c>
      <c r="E34" s="35">
        <f t="shared" si="0"/>
        <v>340000</v>
      </c>
      <c r="F34" s="35">
        <f t="shared" si="1"/>
        <v>260000</v>
      </c>
      <c r="G34" s="34"/>
    </row>
    <row r="35" spans="1:7" x14ac:dyDescent="0.35">
      <c r="A35" s="36">
        <v>45700</v>
      </c>
      <c r="B35" s="34">
        <v>13256</v>
      </c>
      <c r="C35" s="34" t="s">
        <v>142</v>
      </c>
      <c r="D35" s="35">
        <v>10000</v>
      </c>
      <c r="E35" s="35">
        <f t="shared" si="0"/>
        <v>350000</v>
      </c>
      <c r="F35" s="35">
        <f t="shared" si="1"/>
        <v>250000</v>
      </c>
      <c r="G35" s="34"/>
    </row>
    <row r="36" spans="1:7" x14ac:dyDescent="0.35">
      <c r="A36" s="34" t="s">
        <v>155</v>
      </c>
      <c r="B36" s="34">
        <v>12133</v>
      </c>
      <c r="C36" s="34" t="s">
        <v>142</v>
      </c>
      <c r="D36" s="35">
        <v>10000</v>
      </c>
      <c r="E36" s="35">
        <f t="shared" si="0"/>
        <v>360000</v>
      </c>
      <c r="F36" s="35">
        <f t="shared" si="1"/>
        <v>240000</v>
      </c>
      <c r="G36" s="34"/>
    </row>
    <row r="37" spans="1:7" x14ac:dyDescent="0.35">
      <c r="A37" s="34" t="s">
        <v>156</v>
      </c>
      <c r="B37" s="34">
        <v>13974</v>
      </c>
      <c r="C37" s="34" t="s">
        <v>142</v>
      </c>
      <c r="D37" s="35">
        <v>10000</v>
      </c>
      <c r="E37" s="35">
        <f t="shared" si="0"/>
        <v>370000</v>
      </c>
      <c r="F37" s="35">
        <f t="shared" si="1"/>
        <v>230000</v>
      </c>
      <c r="G37" s="34"/>
    </row>
    <row r="38" spans="1:7" x14ac:dyDescent="0.35">
      <c r="A38" s="36">
        <v>46056</v>
      </c>
      <c r="B38" s="34">
        <v>12719</v>
      </c>
      <c r="C38" s="34" t="s">
        <v>142</v>
      </c>
      <c r="D38" s="35">
        <v>10000</v>
      </c>
      <c r="E38" s="35">
        <f t="shared" si="0"/>
        <v>380000</v>
      </c>
      <c r="F38" s="35">
        <f t="shared" si="1"/>
        <v>220000</v>
      </c>
      <c r="G38" s="34"/>
    </row>
    <row r="39" spans="1:7" x14ac:dyDescent="0.35">
      <c r="A39" s="34" t="s">
        <v>157</v>
      </c>
      <c r="B39" s="34">
        <v>13097</v>
      </c>
      <c r="C39" s="34" t="s">
        <v>142</v>
      </c>
      <c r="D39" s="35">
        <v>10000</v>
      </c>
      <c r="E39" s="35">
        <f>E38+D39</f>
        <v>390000</v>
      </c>
      <c r="F39" s="35">
        <f t="shared" si="1"/>
        <v>210000</v>
      </c>
      <c r="G39" s="34"/>
    </row>
    <row r="40" spans="1:7" x14ac:dyDescent="0.35">
      <c r="A40" s="34" t="s">
        <v>375</v>
      </c>
      <c r="B40" s="34">
        <v>13488</v>
      </c>
      <c r="C40" s="34" t="s">
        <v>142</v>
      </c>
      <c r="D40" s="35">
        <v>10000</v>
      </c>
      <c r="E40" s="35">
        <f>E39+D40</f>
        <v>400000</v>
      </c>
      <c r="F40" s="35">
        <f>F39-D40</f>
        <v>200000</v>
      </c>
      <c r="G40" s="34"/>
    </row>
    <row r="41" spans="1:7" x14ac:dyDescent="0.35">
      <c r="A41" s="34" t="s">
        <v>376</v>
      </c>
      <c r="B41" s="34">
        <v>1604</v>
      </c>
      <c r="C41" s="34" t="s">
        <v>142</v>
      </c>
      <c r="D41" s="35">
        <v>10000</v>
      </c>
      <c r="E41" s="35">
        <f>E40+D41</f>
        <v>410000</v>
      </c>
      <c r="F41" s="35">
        <f>F40-D41</f>
        <v>190000</v>
      </c>
      <c r="G41" s="34"/>
    </row>
    <row r="42" spans="1:7" x14ac:dyDescent="0.35">
      <c r="A42" s="36">
        <v>46060</v>
      </c>
      <c r="B42" s="34">
        <v>1364</v>
      </c>
      <c r="C42" s="34" t="s">
        <v>142</v>
      </c>
      <c r="D42" s="35">
        <v>10000</v>
      </c>
      <c r="E42" s="35">
        <f>E41+D42</f>
        <v>420000</v>
      </c>
      <c r="F42" s="35">
        <f>F41-D42</f>
        <v>180000</v>
      </c>
      <c r="G42" s="34"/>
    </row>
    <row r="43" spans="1:7" x14ac:dyDescent="0.35">
      <c r="A43" s="37" t="s">
        <v>374</v>
      </c>
      <c r="B43" s="37">
        <v>1822</v>
      </c>
      <c r="C43" s="37" t="s">
        <v>142</v>
      </c>
      <c r="D43" s="38">
        <v>10000</v>
      </c>
      <c r="E43" s="38">
        <f>E42+D43</f>
        <v>430000</v>
      </c>
      <c r="F43" s="38">
        <f>F42-D43</f>
        <v>170000</v>
      </c>
      <c r="G43" s="34"/>
    </row>
    <row r="44" spans="1:7" x14ac:dyDescent="0.35">
      <c r="A44" s="36">
        <v>46365</v>
      </c>
      <c r="B44" s="34">
        <v>1988</v>
      </c>
      <c r="C44" s="34" t="s">
        <v>142</v>
      </c>
      <c r="D44" s="35">
        <v>10000</v>
      </c>
      <c r="E44" s="35">
        <v>440000</v>
      </c>
      <c r="F44" s="35">
        <v>160000</v>
      </c>
      <c r="G44" s="3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topLeftCell="GQ1" workbookViewId="0">
      <selection activeCell="GQ1" sqref="GQ1"/>
    </sheetView>
  </sheetViews>
  <sheetFormatPr defaultRowHeight="14.5" x14ac:dyDescent="0.3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6"/>
  <sheetViews>
    <sheetView topLeftCell="A30" workbookViewId="0">
      <selection activeCell="A8" sqref="A8:F8"/>
    </sheetView>
  </sheetViews>
  <sheetFormatPr defaultRowHeight="14.5" x14ac:dyDescent="0.35"/>
  <sheetData>
    <row r="1" spans="1:6" x14ac:dyDescent="0.35">
      <c r="A1" t="s">
        <v>240</v>
      </c>
      <c r="B1" t="s">
        <v>246</v>
      </c>
    </row>
    <row r="2" spans="1:6" x14ac:dyDescent="0.35">
      <c r="A2" t="s">
        <v>241</v>
      </c>
      <c r="B2" t="s">
        <v>247</v>
      </c>
    </row>
    <row r="3" spans="1:6" x14ac:dyDescent="0.35">
      <c r="A3" t="s">
        <v>242</v>
      </c>
      <c r="B3" t="s">
        <v>248</v>
      </c>
    </row>
    <row r="4" spans="1:6" x14ac:dyDescent="0.35">
      <c r="A4" t="s">
        <v>243</v>
      </c>
      <c r="B4" t="s">
        <v>249</v>
      </c>
    </row>
    <row r="5" spans="1:6" x14ac:dyDescent="0.35">
      <c r="A5" t="s">
        <v>244</v>
      </c>
      <c r="B5" t="s">
        <v>250</v>
      </c>
    </row>
    <row r="6" spans="1:6" x14ac:dyDescent="0.35">
      <c r="A6" t="s">
        <v>245</v>
      </c>
      <c r="B6">
        <v>4819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251</v>
      </c>
      <c r="B9">
        <v>2900</v>
      </c>
      <c r="C9" t="s">
        <v>275</v>
      </c>
      <c r="D9" s="10">
        <v>216000</v>
      </c>
      <c r="E9" s="10">
        <v>216000</v>
      </c>
      <c r="F9">
        <v>284000</v>
      </c>
    </row>
    <row r="10" spans="1:6" x14ac:dyDescent="0.35">
      <c r="A10" t="s">
        <v>252</v>
      </c>
      <c r="B10">
        <v>2639</v>
      </c>
      <c r="C10" t="s">
        <v>276</v>
      </c>
      <c r="D10" s="10">
        <v>20000</v>
      </c>
      <c r="E10" s="10">
        <f t="shared" ref="E10:E32" si="0">E9+D10</f>
        <v>236000</v>
      </c>
      <c r="F10" s="10">
        <f t="shared" ref="F10:F32" si="1">F9-D10</f>
        <v>264000</v>
      </c>
    </row>
    <row r="11" spans="1:6" x14ac:dyDescent="0.35">
      <c r="A11" t="s">
        <v>253</v>
      </c>
      <c r="B11">
        <v>1479</v>
      </c>
      <c r="C11" t="s">
        <v>276</v>
      </c>
      <c r="D11" s="10">
        <v>10000</v>
      </c>
      <c r="E11" s="10">
        <f t="shared" si="0"/>
        <v>246000</v>
      </c>
      <c r="F11" s="10">
        <f t="shared" si="1"/>
        <v>254000</v>
      </c>
    </row>
    <row r="12" spans="1:6" x14ac:dyDescent="0.35">
      <c r="A12" t="s">
        <v>254</v>
      </c>
      <c r="B12">
        <v>5015</v>
      </c>
      <c r="C12" t="s">
        <v>277</v>
      </c>
      <c r="D12" s="10">
        <v>20000</v>
      </c>
      <c r="E12" s="10">
        <f t="shared" si="0"/>
        <v>266000</v>
      </c>
      <c r="F12" s="10">
        <f t="shared" si="1"/>
        <v>234000</v>
      </c>
    </row>
    <row r="13" spans="1:6" x14ac:dyDescent="0.35">
      <c r="A13" t="s">
        <v>255</v>
      </c>
      <c r="B13">
        <v>5432</v>
      </c>
      <c r="C13" t="s">
        <v>277</v>
      </c>
      <c r="D13" s="10">
        <v>20000</v>
      </c>
      <c r="E13" s="10">
        <f t="shared" si="0"/>
        <v>286000</v>
      </c>
      <c r="F13" s="10">
        <f t="shared" si="1"/>
        <v>214000</v>
      </c>
    </row>
    <row r="14" spans="1:6" x14ac:dyDescent="0.35">
      <c r="A14" t="s">
        <v>256</v>
      </c>
      <c r="B14">
        <v>6451</v>
      </c>
      <c r="C14" t="s">
        <v>277</v>
      </c>
      <c r="D14" s="10">
        <v>20000</v>
      </c>
      <c r="E14" s="10">
        <f t="shared" si="0"/>
        <v>306000</v>
      </c>
      <c r="F14" s="10">
        <f t="shared" si="1"/>
        <v>194000</v>
      </c>
    </row>
    <row r="15" spans="1:6" x14ac:dyDescent="0.35">
      <c r="A15" t="s">
        <v>257</v>
      </c>
      <c r="B15">
        <v>7000</v>
      </c>
      <c r="C15" t="s">
        <v>277</v>
      </c>
      <c r="D15" s="10">
        <v>10000</v>
      </c>
      <c r="E15" s="10">
        <f t="shared" si="0"/>
        <v>316000</v>
      </c>
      <c r="F15" s="10">
        <f t="shared" si="1"/>
        <v>184000</v>
      </c>
    </row>
    <row r="16" spans="1:6" x14ac:dyDescent="0.35">
      <c r="A16" t="s">
        <v>258</v>
      </c>
      <c r="B16">
        <v>7713</v>
      </c>
      <c r="C16" t="s">
        <v>277</v>
      </c>
      <c r="D16" s="10">
        <v>10000</v>
      </c>
      <c r="E16" s="10">
        <f t="shared" si="0"/>
        <v>326000</v>
      </c>
      <c r="F16" s="10">
        <f t="shared" si="1"/>
        <v>174000</v>
      </c>
    </row>
    <row r="17" spans="1:6" x14ac:dyDescent="0.35">
      <c r="A17" t="s">
        <v>259</v>
      </c>
      <c r="B17">
        <v>8127</v>
      </c>
      <c r="C17" t="s">
        <v>277</v>
      </c>
      <c r="D17" s="10">
        <v>10000</v>
      </c>
      <c r="E17" s="10">
        <f t="shared" si="0"/>
        <v>336000</v>
      </c>
      <c r="F17" s="10">
        <f t="shared" si="1"/>
        <v>164000</v>
      </c>
    </row>
    <row r="18" spans="1:6" x14ac:dyDescent="0.35">
      <c r="A18" t="s">
        <v>260</v>
      </c>
      <c r="B18">
        <v>11887</v>
      </c>
      <c r="C18" t="s">
        <v>277</v>
      </c>
      <c r="D18" s="10">
        <v>10000</v>
      </c>
      <c r="E18" s="10">
        <f t="shared" si="0"/>
        <v>346000</v>
      </c>
      <c r="F18" s="10">
        <f t="shared" si="1"/>
        <v>154000</v>
      </c>
    </row>
    <row r="19" spans="1:6" x14ac:dyDescent="0.35">
      <c r="A19" t="s">
        <v>261</v>
      </c>
      <c r="B19">
        <v>11887</v>
      </c>
      <c r="C19" t="s">
        <v>277</v>
      </c>
      <c r="D19" s="10">
        <v>10000</v>
      </c>
      <c r="E19" s="10">
        <f t="shared" si="0"/>
        <v>356000</v>
      </c>
      <c r="F19" s="10">
        <f t="shared" si="1"/>
        <v>144000</v>
      </c>
    </row>
    <row r="20" spans="1:6" x14ac:dyDescent="0.35">
      <c r="A20" t="s">
        <v>262</v>
      </c>
      <c r="B20">
        <v>11887</v>
      </c>
      <c r="C20" t="s">
        <v>277</v>
      </c>
      <c r="D20" s="10">
        <v>10000</v>
      </c>
      <c r="E20" s="10">
        <f t="shared" si="0"/>
        <v>366000</v>
      </c>
      <c r="F20" s="10">
        <f t="shared" si="1"/>
        <v>134000</v>
      </c>
    </row>
    <row r="21" spans="1:6" x14ac:dyDescent="0.35">
      <c r="A21" t="s">
        <v>263</v>
      </c>
      <c r="B21">
        <v>11887</v>
      </c>
      <c r="C21" t="s">
        <v>277</v>
      </c>
      <c r="D21" s="10">
        <v>10000</v>
      </c>
      <c r="E21" s="10">
        <f t="shared" si="0"/>
        <v>376000</v>
      </c>
      <c r="F21" s="10">
        <f t="shared" si="1"/>
        <v>124000</v>
      </c>
    </row>
    <row r="22" spans="1:6" x14ac:dyDescent="0.35">
      <c r="A22" t="s">
        <v>264</v>
      </c>
      <c r="B22">
        <v>11887</v>
      </c>
      <c r="C22" t="s">
        <v>277</v>
      </c>
      <c r="D22" s="10">
        <v>10000</v>
      </c>
      <c r="E22" s="10">
        <f t="shared" si="0"/>
        <v>386000</v>
      </c>
      <c r="F22" s="10">
        <f t="shared" si="1"/>
        <v>114000</v>
      </c>
    </row>
    <row r="23" spans="1:6" x14ac:dyDescent="0.35">
      <c r="A23" t="s">
        <v>265</v>
      </c>
      <c r="B23">
        <v>11887</v>
      </c>
      <c r="C23" t="s">
        <v>277</v>
      </c>
      <c r="D23" s="10">
        <v>15000</v>
      </c>
      <c r="E23" s="10">
        <f t="shared" si="0"/>
        <v>401000</v>
      </c>
      <c r="F23" s="10">
        <f t="shared" si="1"/>
        <v>99000</v>
      </c>
    </row>
    <row r="24" spans="1:6" x14ac:dyDescent="0.35">
      <c r="A24" t="s">
        <v>266</v>
      </c>
      <c r="B24">
        <v>11887</v>
      </c>
      <c r="C24" t="s">
        <v>277</v>
      </c>
      <c r="D24" s="10">
        <v>10000</v>
      </c>
      <c r="E24" s="10">
        <f t="shared" si="0"/>
        <v>411000</v>
      </c>
      <c r="F24" s="10">
        <f t="shared" si="1"/>
        <v>89000</v>
      </c>
    </row>
    <row r="25" spans="1:6" x14ac:dyDescent="0.35">
      <c r="A25" t="s">
        <v>267</v>
      </c>
      <c r="B25">
        <v>11887</v>
      </c>
      <c r="C25" t="s">
        <v>277</v>
      </c>
      <c r="D25" s="10">
        <v>10000</v>
      </c>
      <c r="E25" s="10">
        <f t="shared" si="0"/>
        <v>421000</v>
      </c>
      <c r="F25" s="10">
        <f t="shared" si="1"/>
        <v>79000</v>
      </c>
    </row>
    <row r="26" spans="1:6" x14ac:dyDescent="0.35">
      <c r="A26" t="s">
        <v>268</v>
      </c>
      <c r="B26">
        <v>11887</v>
      </c>
      <c r="C26" t="s">
        <v>277</v>
      </c>
      <c r="D26" s="10">
        <v>10000</v>
      </c>
      <c r="E26" s="10">
        <f t="shared" si="0"/>
        <v>431000</v>
      </c>
      <c r="F26" s="10">
        <f t="shared" si="1"/>
        <v>69000</v>
      </c>
    </row>
    <row r="27" spans="1:6" x14ac:dyDescent="0.35">
      <c r="A27" t="s">
        <v>269</v>
      </c>
      <c r="B27">
        <v>11887</v>
      </c>
      <c r="C27" t="s">
        <v>277</v>
      </c>
      <c r="D27" s="10">
        <v>15000</v>
      </c>
      <c r="E27" s="10">
        <f t="shared" si="0"/>
        <v>446000</v>
      </c>
      <c r="F27" s="10">
        <f t="shared" si="1"/>
        <v>54000</v>
      </c>
    </row>
    <row r="28" spans="1:6" x14ac:dyDescent="0.35">
      <c r="A28" t="s">
        <v>270</v>
      </c>
      <c r="B28">
        <v>11888</v>
      </c>
      <c r="C28" t="s">
        <v>277</v>
      </c>
      <c r="D28" s="10">
        <v>10000</v>
      </c>
      <c r="E28" s="10">
        <f t="shared" si="0"/>
        <v>456000</v>
      </c>
      <c r="F28" s="10">
        <f t="shared" si="1"/>
        <v>44000</v>
      </c>
    </row>
    <row r="29" spans="1:6" x14ac:dyDescent="0.35">
      <c r="A29" t="s">
        <v>271</v>
      </c>
      <c r="B29">
        <v>12302</v>
      </c>
      <c r="C29" t="s">
        <v>277</v>
      </c>
      <c r="D29" s="10">
        <v>10000</v>
      </c>
      <c r="E29" s="10">
        <f t="shared" si="0"/>
        <v>466000</v>
      </c>
      <c r="F29" s="10">
        <f t="shared" si="1"/>
        <v>34000</v>
      </c>
    </row>
    <row r="30" spans="1:6" x14ac:dyDescent="0.35">
      <c r="A30" t="s">
        <v>272</v>
      </c>
      <c r="B30">
        <v>12580</v>
      </c>
      <c r="C30" t="s">
        <v>277</v>
      </c>
      <c r="D30" s="10">
        <v>10000</v>
      </c>
      <c r="E30" s="10">
        <f t="shared" si="0"/>
        <v>476000</v>
      </c>
      <c r="F30" s="10">
        <f t="shared" si="1"/>
        <v>24000</v>
      </c>
    </row>
    <row r="31" spans="1:6" x14ac:dyDescent="0.35">
      <c r="A31" t="s">
        <v>273</v>
      </c>
      <c r="B31">
        <v>13999</v>
      </c>
      <c r="C31" t="s">
        <v>277</v>
      </c>
      <c r="D31" s="10">
        <v>10000</v>
      </c>
      <c r="E31" s="10">
        <f t="shared" si="0"/>
        <v>486000</v>
      </c>
      <c r="F31" s="10">
        <f t="shared" si="1"/>
        <v>14000</v>
      </c>
    </row>
    <row r="32" spans="1:6" x14ac:dyDescent="0.35">
      <c r="A32" t="s">
        <v>274</v>
      </c>
      <c r="B32">
        <v>13248</v>
      </c>
      <c r="C32" t="s">
        <v>277</v>
      </c>
      <c r="D32" s="10">
        <v>14000</v>
      </c>
      <c r="E32" s="10">
        <f t="shared" si="0"/>
        <v>500000</v>
      </c>
      <c r="F32" s="10">
        <f t="shared" si="1"/>
        <v>0</v>
      </c>
    </row>
    <row r="33" spans="1:6" x14ac:dyDescent="0.35">
      <c r="F33" t="s">
        <v>249</v>
      </c>
    </row>
    <row r="35" spans="1:6" x14ac:dyDescent="0.35">
      <c r="A35" t="s">
        <v>278</v>
      </c>
      <c r="B35">
        <v>5596</v>
      </c>
      <c r="C35" t="s">
        <v>280</v>
      </c>
      <c r="D35" s="10">
        <v>5000</v>
      </c>
      <c r="E35">
        <v>5000</v>
      </c>
      <c r="F35" s="10">
        <v>445000</v>
      </c>
    </row>
    <row r="36" spans="1:6" x14ac:dyDescent="0.35">
      <c r="A36" t="s">
        <v>279</v>
      </c>
      <c r="B36">
        <v>1532</v>
      </c>
      <c r="C36" t="s">
        <v>280</v>
      </c>
      <c r="D36" s="10">
        <v>250000</v>
      </c>
      <c r="E36" s="10">
        <v>255000</v>
      </c>
      <c r="F36" t="s">
        <v>249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1"/>
  <sheetViews>
    <sheetView topLeftCell="A17" workbookViewId="0">
      <selection activeCell="D19" sqref="D19"/>
    </sheetView>
  </sheetViews>
  <sheetFormatPr defaultRowHeight="14.5" x14ac:dyDescent="0.35"/>
  <cols>
    <col min="1" max="1" width="14.81640625" customWidth="1"/>
    <col min="2" max="2" width="19.54296875" customWidth="1"/>
    <col min="3" max="3" width="18.54296875" customWidth="1"/>
    <col min="4" max="5" width="16.26953125" customWidth="1"/>
  </cols>
  <sheetData>
    <row r="1" spans="1:6" x14ac:dyDescent="0.35">
      <c r="A1" t="s">
        <v>240</v>
      </c>
      <c r="B1" t="s">
        <v>282</v>
      </c>
    </row>
    <row r="2" spans="1:6" x14ac:dyDescent="0.35">
      <c r="A2" t="s">
        <v>241</v>
      </c>
      <c r="B2" t="s">
        <v>283</v>
      </c>
    </row>
    <row r="3" spans="1:6" x14ac:dyDescent="0.35">
      <c r="A3" t="s">
        <v>243</v>
      </c>
      <c r="B3" t="s">
        <v>284</v>
      </c>
    </row>
    <row r="4" spans="1:6" x14ac:dyDescent="0.35">
      <c r="A4" t="s">
        <v>242</v>
      </c>
      <c r="B4" t="s">
        <v>285</v>
      </c>
    </row>
    <row r="5" spans="1:6" x14ac:dyDescent="0.35">
      <c r="A5" t="s">
        <v>244</v>
      </c>
      <c r="B5" t="s">
        <v>286</v>
      </c>
    </row>
    <row r="6" spans="1:6" x14ac:dyDescent="0.35">
      <c r="A6" t="s">
        <v>245</v>
      </c>
      <c r="B6">
        <v>4837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287</v>
      </c>
      <c r="B9">
        <v>863</v>
      </c>
      <c r="C9" t="s">
        <v>277</v>
      </c>
      <c r="D9" s="10">
        <v>10000</v>
      </c>
      <c r="E9" s="10">
        <v>10000</v>
      </c>
      <c r="F9" s="10">
        <v>169000</v>
      </c>
    </row>
    <row r="10" spans="1:6" x14ac:dyDescent="0.35">
      <c r="A10" t="s">
        <v>288</v>
      </c>
      <c r="B10">
        <v>2178</v>
      </c>
      <c r="C10" t="s">
        <v>296</v>
      </c>
      <c r="D10" s="10">
        <v>45000</v>
      </c>
      <c r="E10" s="10">
        <f t="shared" ref="E10:E17" si="0">E9+D10</f>
        <v>55000</v>
      </c>
      <c r="F10" s="10">
        <f t="shared" ref="F10:F17" si="1">F9-D10</f>
        <v>124000</v>
      </c>
    </row>
    <row r="11" spans="1:6" x14ac:dyDescent="0.35">
      <c r="A11" t="s">
        <v>289</v>
      </c>
      <c r="B11">
        <v>2179</v>
      </c>
      <c r="C11" t="s">
        <v>277</v>
      </c>
      <c r="D11" s="10">
        <v>17500</v>
      </c>
      <c r="E11" s="10">
        <f t="shared" si="0"/>
        <v>72500</v>
      </c>
      <c r="F11" s="10">
        <f t="shared" si="1"/>
        <v>106500</v>
      </c>
    </row>
    <row r="12" spans="1:6" x14ac:dyDescent="0.35">
      <c r="A12" t="s">
        <v>290</v>
      </c>
      <c r="B12">
        <v>1036</v>
      </c>
      <c r="C12" t="s">
        <v>277</v>
      </c>
      <c r="D12" s="10">
        <v>17500</v>
      </c>
      <c r="E12" s="10">
        <f t="shared" si="0"/>
        <v>90000</v>
      </c>
      <c r="F12" s="10">
        <f t="shared" si="1"/>
        <v>89000</v>
      </c>
    </row>
    <row r="13" spans="1:6" x14ac:dyDescent="0.35">
      <c r="A13" t="s">
        <v>291</v>
      </c>
      <c r="B13">
        <v>169</v>
      </c>
      <c r="C13" t="s">
        <v>277</v>
      </c>
      <c r="D13" s="10">
        <v>17500</v>
      </c>
      <c r="E13" s="10">
        <f t="shared" si="0"/>
        <v>107500</v>
      </c>
      <c r="F13" s="10">
        <f t="shared" si="1"/>
        <v>71500</v>
      </c>
    </row>
    <row r="14" spans="1:6" x14ac:dyDescent="0.35">
      <c r="A14" t="s">
        <v>292</v>
      </c>
      <c r="B14">
        <v>2048</v>
      </c>
      <c r="C14" t="s">
        <v>277</v>
      </c>
      <c r="D14" s="10">
        <v>17500</v>
      </c>
      <c r="E14" s="10">
        <f t="shared" si="0"/>
        <v>125000</v>
      </c>
      <c r="F14" s="10">
        <f t="shared" si="1"/>
        <v>54000</v>
      </c>
    </row>
    <row r="15" spans="1:6" x14ac:dyDescent="0.35">
      <c r="A15" t="s">
        <v>293</v>
      </c>
      <c r="B15">
        <v>3103</v>
      </c>
      <c r="C15" t="s">
        <v>277</v>
      </c>
      <c r="D15" s="10">
        <v>17500</v>
      </c>
      <c r="E15" s="10">
        <f t="shared" si="0"/>
        <v>142500</v>
      </c>
      <c r="F15" s="10">
        <f t="shared" si="1"/>
        <v>36500</v>
      </c>
    </row>
    <row r="16" spans="1:6" x14ac:dyDescent="0.35">
      <c r="A16" t="s">
        <v>294</v>
      </c>
      <c r="B16">
        <v>3835</v>
      </c>
      <c r="C16" t="s">
        <v>277</v>
      </c>
      <c r="D16" s="10">
        <v>20000</v>
      </c>
      <c r="E16" s="10">
        <f t="shared" si="0"/>
        <v>162500</v>
      </c>
      <c r="F16" s="10">
        <f t="shared" si="1"/>
        <v>16500</v>
      </c>
    </row>
    <row r="17" spans="1:6" x14ac:dyDescent="0.35">
      <c r="A17" t="s">
        <v>295</v>
      </c>
      <c r="B17">
        <v>4602</v>
      </c>
      <c r="C17" t="s">
        <v>277</v>
      </c>
      <c r="D17" s="10">
        <v>16500</v>
      </c>
      <c r="E17" s="10">
        <f t="shared" si="0"/>
        <v>179000</v>
      </c>
      <c r="F17" s="10">
        <f t="shared" si="1"/>
        <v>0</v>
      </c>
    </row>
    <row r="20" spans="1:6" ht="23.5" x14ac:dyDescent="0.55000000000000004">
      <c r="D20" s="47" t="s">
        <v>520</v>
      </c>
      <c r="E20" s="47"/>
    </row>
    <row r="22" spans="1:6" ht="15" thickBot="1" x14ac:dyDescent="0.4"/>
    <row r="23" spans="1:6" ht="28.5" thickBot="1" x14ac:dyDescent="0.4">
      <c r="A23" s="46" t="s">
        <v>505</v>
      </c>
      <c r="B23" s="46" t="s">
        <v>506</v>
      </c>
      <c r="C23" s="46" t="s">
        <v>507</v>
      </c>
      <c r="D23" s="46" t="s">
        <v>508</v>
      </c>
      <c r="E23" s="46" t="s">
        <v>509</v>
      </c>
    </row>
    <row r="24" spans="1:6" ht="15" thickBot="1" x14ac:dyDescent="0.4">
      <c r="A24" s="40">
        <v>45328</v>
      </c>
      <c r="B24" s="41">
        <v>28</v>
      </c>
      <c r="C24" s="41" t="s">
        <v>426</v>
      </c>
      <c r="D24" s="42">
        <v>30000</v>
      </c>
      <c r="E24" s="41" t="s">
        <v>510</v>
      </c>
    </row>
    <row r="25" spans="1:6" ht="15" thickBot="1" x14ac:dyDescent="0.4">
      <c r="A25" s="39" t="s">
        <v>511</v>
      </c>
      <c r="B25" s="41">
        <v>3338</v>
      </c>
      <c r="C25" s="41" t="s">
        <v>420</v>
      </c>
      <c r="D25" s="42">
        <v>30000</v>
      </c>
      <c r="E25" s="41" t="s">
        <v>512</v>
      </c>
    </row>
    <row r="26" spans="1:6" ht="15" thickBot="1" x14ac:dyDescent="0.4">
      <c r="A26" s="40">
        <v>46023</v>
      </c>
      <c r="B26" s="41">
        <v>5195</v>
      </c>
      <c r="C26" s="41" t="s">
        <v>421</v>
      </c>
      <c r="D26" s="42">
        <v>5000</v>
      </c>
      <c r="E26" s="41" t="s">
        <v>513</v>
      </c>
    </row>
    <row r="27" spans="1:6" ht="15" thickBot="1" x14ac:dyDescent="0.4">
      <c r="A27" s="40">
        <v>46084</v>
      </c>
      <c r="B27" s="41">
        <v>5633</v>
      </c>
      <c r="C27" s="41" t="s">
        <v>421</v>
      </c>
      <c r="D27" s="42">
        <v>20000</v>
      </c>
      <c r="E27" s="41" t="s">
        <v>514</v>
      </c>
    </row>
    <row r="28" spans="1:6" ht="15" thickBot="1" x14ac:dyDescent="0.4">
      <c r="A28" s="40">
        <v>46059</v>
      </c>
      <c r="B28" s="41">
        <v>1556</v>
      </c>
      <c r="C28" s="41" t="s">
        <v>420</v>
      </c>
      <c r="D28" s="42">
        <v>30000</v>
      </c>
      <c r="E28" s="41" t="s">
        <v>515</v>
      </c>
    </row>
    <row r="29" spans="1:6" ht="15" thickBot="1" x14ac:dyDescent="0.4">
      <c r="A29" s="40">
        <v>46119</v>
      </c>
      <c r="B29" s="41">
        <v>1747</v>
      </c>
      <c r="C29" s="41" t="s">
        <v>420</v>
      </c>
      <c r="D29" s="42">
        <v>10000</v>
      </c>
      <c r="E29" s="41" t="s">
        <v>516</v>
      </c>
    </row>
    <row r="30" spans="1:6" ht="15" thickBot="1" x14ac:dyDescent="0.4">
      <c r="A30" s="40">
        <v>46364</v>
      </c>
      <c r="B30" s="41">
        <v>3792</v>
      </c>
      <c r="C30" s="41" t="s">
        <v>420</v>
      </c>
      <c r="D30" s="42">
        <v>10000</v>
      </c>
      <c r="E30" s="41" t="s">
        <v>517</v>
      </c>
    </row>
    <row r="31" spans="1:6" ht="15" thickBot="1" x14ac:dyDescent="0.4">
      <c r="A31" s="39" t="s">
        <v>518</v>
      </c>
      <c r="B31" s="41">
        <v>2113</v>
      </c>
      <c r="C31" s="41" t="s">
        <v>420</v>
      </c>
      <c r="D31" s="42">
        <v>10000</v>
      </c>
      <c r="E31" s="41" t="s">
        <v>519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5"/>
  <sheetViews>
    <sheetView workbookViewId="0">
      <selection activeCell="I14" sqref="I14"/>
    </sheetView>
  </sheetViews>
  <sheetFormatPr defaultRowHeight="14.5" x14ac:dyDescent="0.35"/>
  <sheetData>
    <row r="1" spans="1:6" x14ac:dyDescent="0.35">
      <c r="A1" t="s">
        <v>240</v>
      </c>
      <c r="B1" t="s">
        <v>350</v>
      </c>
    </row>
    <row r="2" spans="1:6" x14ac:dyDescent="0.35">
      <c r="A2" t="s">
        <v>241</v>
      </c>
      <c r="B2" t="s">
        <v>351</v>
      </c>
    </row>
    <row r="3" spans="1:6" x14ac:dyDescent="0.35">
      <c r="A3" t="s">
        <v>243</v>
      </c>
    </row>
    <row r="4" spans="1:6" x14ac:dyDescent="0.35">
      <c r="A4" t="s">
        <v>340</v>
      </c>
      <c r="B4" t="s">
        <v>352</v>
      </c>
    </row>
    <row r="5" spans="1:6" x14ac:dyDescent="0.35">
      <c r="A5" t="s">
        <v>244</v>
      </c>
      <c r="B5" t="s">
        <v>341</v>
      </c>
    </row>
    <row r="6" spans="1:6" x14ac:dyDescent="0.35">
      <c r="A6" t="s">
        <v>245</v>
      </c>
      <c r="B6" t="s">
        <v>342</v>
      </c>
      <c r="E6" s="10">
        <v>1800000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343</v>
      </c>
      <c r="B9">
        <v>1012033</v>
      </c>
      <c r="C9" t="s">
        <v>349</v>
      </c>
      <c r="D9" s="10">
        <v>400000</v>
      </c>
      <c r="E9" s="10">
        <v>400000</v>
      </c>
      <c r="F9" s="10">
        <v>1400000</v>
      </c>
    </row>
    <row r="10" spans="1:6" x14ac:dyDescent="0.35">
      <c r="A10" t="s">
        <v>344</v>
      </c>
      <c r="B10">
        <v>12034</v>
      </c>
      <c r="C10" t="s">
        <v>277</v>
      </c>
      <c r="D10" s="10">
        <v>70000</v>
      </c>
      <c r="E10" s="10">
        <f t="shared" ref="E10:E15" si="0">E9+D10</f>
        <v>470000</v>
      </c>
      <c r="F10" s="10">
        <f t="shared" ref="F10:F15" si="1">F9-D10</f>
        <v>1330000</v>
      </c>
    </row>
    <row r="11" spans="1:6" x14ac:dyDescent="0.35">
      <c r="A11" t="s">
        <v>345</v>
      </c>
      <c r="B11">
        <v>12459</v>
      </c>
      <c r="C11" t="s">
        <v>277</v>
      </c>
      <c r="D11" s="10">
        <v>10000</v>
      </c>
      <c r="E11" s="10">
        <f t="shared" si="0"/>
        <v>480000</v>
      </c>
      <c r="F11" s="10">
        <f t="shared" si="1"/>
        <v>1320000</v>
      </c>
    </row>
    <row r="12" spans="1:6" x14ac:dyDescent="0.35">
      <c r="A12" t="s">
        <v>314</v>
      </c>
      <c r="B12">
        <v>12741</v>
      </c>
      <c r="C12" t="s">
        <v>277</v>
      </c>
      <c r="D12" s="10">
        <v>20000</v>
      </c>
      <c r="E12" s="10">
        <f t="shared" si="0"/>
        <v>500000</v>
      </c>
      <c r="F12" s="10">
        <f t="shared" si="1"/>
        <v>1300000</v>
      </c>
    </row>
    <row r="13" spans="1:6" x14ac:dyDescent="0.35">
      <c r="A13" t="s">
        <v>346</v>
      </c>
      <c r="B13">
        <v>13237</v>
      </c>
      <c r="C13" t="s">
        <v>277</v>
      </c>
      <c r="D13" s="10">
        <v>70000</v>
      </c>
      <c r="E13" s="10">
        <f t="shared" si="0"/>
        <v>570000</v>
      </c>
      <c r="F13" s="10">
        <f t="shared" si="1"/>
        <v>1230000</v>
      </c>
    </row>
    <row r="14" spans="1:6" x14ac:dyDescent="0.35">
      <c r="A14" t="s">
        <v>347</v>
      </c>
      <c r="B14">
        <v>12966</v>
      </c>
      <c r="C14" t="s">
        <v>277</v>
      </c>
      <c r="D14" s="10">
        <v>20000</v>
      </c>
      <c r="E14" s="10">
        <f t="shared" si="0"/>
        <v>590000</v>
      </c>
      <c r="F14" s="10">
        <f t="shared" si="1"/>
        <v>1210000</v>
      </c>
    </row>
    <row r="15" spans="1:6" x14ac:dyDescent="0.35">
      <c r="A15" t="s">
        <v>348</v>
      </c>
      <c r="B15">
        <v>1387</v>
      </c>
      <c r="C15" t="s">
        <v>277</v>
      </c>
      <c r="D15" s="10">
        <v>20000</v>
      </c>
      <c r="E15" s="10">
        <f t="shared" si="0"/>
        <v>610000</v>
      </c>
      <c r="F15" s="10">
        <f t="shared" si="1"/>
        <v>1190000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L-4803</vt:lpstr>
      <vt:lpstr>L-4804</vt:lpstr>
      <vt:lpstr>L-4805</vt:lpstr>
      <vt:lpstr>L-4806</vt:lpstr>
      <vt:lpstr>L-4807</vt:lpstr>
      <vt:lpstr>C-4808</vt:lpstr>
      <vt:lpstr>L-4808</vt:lpstr>
      <vt:lpstr>L-4810</vt:lpstr>
      <vt:lpstr>L-4809</vt:lpstr>
      <vt:lpstr>L-4853</vt:lpstr>
      <vt:lpstr>L-4812</vt:lpstr>
      <vt:lpstr>L-4815</vt:lpstr>
      <vt:lpstr>L-4817-A</vt:lpstr>
      <vt:lpstr>L-4817</vt:lpstr>
      <vt:lpstr>R-4818</vt:lpstr>
      <vt:lpstr>L-4820</vt:lpstr>
      <vt:lpstr>R-4836</vt:lpstr>
      <vt:lpstr>L-4840</vt:lpstr>
      <vt:lpstr>L-4848</vt:lpstr>
      <vt:lpstr>C-4849</vt:lpstr>
      <vt:lpstr>R-4841</vt:lpstr>
      <vt:lpstr>R-4854</vt:lpstr>
      <vt:lpstr>L-4843</vt:lpstr>
      <vt:lpstr>L-4844</vt:lpstr>
      <vt:lpstr>l-4847</vt:lpstr>
      <vt:lpstr>L-4872</vt:lpstr>
      <vt:lpstr>C-4888</vt:lpstr>
      <vt:lpstr>L-4887</vt:lpstr>
      <vt:lpstr>L-4819</vt:lpstr>
      <vt:lpstr>R-4837</vt:lpstr>
      <vt:lpstr>R-4840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2026-02-22T20:45:16Z</dcterms:created>
  <dcterms:modified xsi:type="dcterms:W3CDTF">2026-10-10T05:08:59Z</dcterms:modified>
</cp:coreProperties>
</file>