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412fc5c5001d8f/Desktop/PLOT 4001-5000/"/>
    </mc:Choice>
  </mc:AlternateContent>
  <xr:revisionPtr revIDLastSave="27" documentId="13_ncr:1_{1C5FF0EB-2A00-418C-BCE3-2BDAA20F3FB1}" xr6:coauthVersionLast="47" xr6:coauthVersionMax="47" xr10:uidLastSave="{C851D765-858D-4890-A0D4-55F18B03C95B}"/>
  <bookViews>
    <workbookView xWindow="-110" yWindow="-110" windowWidth="19420" windowHeight="10420" firstSheet="2" activeTab="5" xr2:uid="{716DED50-30E5-4452-94A2-0476010E9E79}"/>
  </bookViews>
  <sheets>
    <sheet name="L-4787 (2)" sheetId="12" r:id="rId1"/>
    <sheet name="L-4766" sheetId="10" r:id="rId2"/>
    <sheet name="L-4777" sheetId="8" r:id="rId3"/>
    <sheet name="L-4778" sheetId="9" r:id="rId4"/>
    <sheet name="L-4780" sheetId="5" r:id="rId5"/>
    <sheet name="L-4781" sheetId="17" r:id="rId6"/>
    <sheet name="L-4782" sheetId="18" r:id="rId7"/>
    <sheet name="L-4783" sheetId="19" r:id="rId8"/>
    <sheet name="FAHAD JAMAL" sheetId="7" r:id="rId9"/>
    <sheet name="GUJJAR" sheetId="6" r:id="rId10"/>
    <sheet name="L-4785" sheetId="1" r:id="rId11"/>
    <sheet name="L-4786" sheetId="2" r:id="rId12"/>
    <sheet name="L-4787" sheetId="4" r:id="rId13"/>
    <sheet name="L-4791" sheetId="3" r:id="rId14"/>
    <sheet name="R-4793" sheetId="13" r:id="rId15"/>
    <sheet name="L-4797" sheetId="11" r:id="rId16"/>
    <sheet name="L-4789" sheetId="14" r:id="rId17"/>
    <sheet name="L-4796" sheetId="15" r:id="rId18"/>
    <sheet name="R-4786" sheetId="16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6" l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E15" i="6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F15" i="7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E15" i="7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6" i="5"/>
  <c r="E25" i="5"/>
  <c r="E24" i="5"/>
  <c r="E23" i="5"/>
  <c r="E22" i="5"/>
  <c r="E21" i="5"/>
  <c r="E20" i="5"/>
  <c r="E19" i="5"/>
  <c r="E18" i="5"/>
  <c r="E17" i="5"/>
  <c r="E16" i="5"/>
  <c r="E15" i="5"/>
  <c r="F26" i="5"/>
  <c r="F25" i="5"/>
  <c r="F24" i="5"/>
  <c r="F23" i="5"/>
  <c r="F22" i="5"/>
  <c r="F21" i="5"/>
  <c r="F20" i="5"/>
  <c r="F19" i="5"/>
  <c r="F18" i="5"/>
  <c r="F17" i="5"/>
  <c r="F16" i="5"/>
  <c r="F15" i="5"/>
  <c r="F37" i="10"/>
  <c r="E37" i="10"/>
  <c r="F27" i="3"/>
  <c r="F26" i="3"/>
  <c r="F25" i="3"/>
  <c r="F24" i="3"/>
  <c r="F23" i="3"/>
  <c r="F22" i="3"/>
  <c r="E27" i="3"/>
  <c r="E26" i="3"/>
  <c r="E25" i="3"/>
  <c r="E24" i="3"/>
  <c r="E23" i="3"/>
  <c r="E22" i="3"/>
  <c r="F21" i="3"/>
  <c r="F20" i="3"/>
  <c r="F19" i="3"/>
  <c r="F18" i="3"/>
  <c r="F17" i="3"/>
  <c r="F16" i="3"/>
  <c r="F15" i="3"/>
  <c r="F14" i="3"/>
  <c r="E21" i="3"/>
  <c r="E20" i="3"/>
  <c r="E19" i="3"/>
  <c r="E18" i="3"/>
  <c r="E17" i="3"/>
  <c r="E16" i="3"/>
  <c r="E15" i="3"/>
  <c r="E14" i="3"/>
  <c r="F36" i="10"/>
  <c r="F35" i="10"/>
  <c r="E36" i="10"/>
  <c r="E35" i="10"/>
  <c r="F11" i="15"/>
  <c r="E11" i="15"/>
  <c r="F34" i="10"/>
  <c r="F33" i="10"/>
  <c r="E34" i="10"/>
  <c r="E33" i="10"/>
  <c r="F9" i="12"/>
  <c r="E9" i="12"/>
  <c r="F10" i="11"/>
  <c r="F11" i="11"/>
  <c r="F12" i="11"/>
  <c r="F13" i="11"/>
  <c r="E10" i="11"/>
  <c r="E11" i="11"/>
  <c r="E12" i="11" s="1"/>
  <c r="E13" i="11" s="1"/>
  <c r="F9" i="11"/>
  <c r="E9" i="11"/>
  <c r="F19" i="10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E19" i="10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F10" i="10"/>
  <c r="F11" i="10" s="1"/>
  <c r="F12" i="10" s="1"/>
  <c r="F13" i="10" s="1"/>
  <c r="F14" i="10" s="1"/>
  <c r="F15" i="10" s="1"/>
  <c r="F16" i="10" s="1"/>
  <c r="F17" i="10" s="1"/>
  <c r="F18" i="10" s="1"/>
  <c r="E10" i="10"/>
  <c r="E11" i="10"/>
  <c r="E12" i="10"/>
  <c r="E13" i="10"/>
  <c r="E14" i="10" s="1"/>
  <c r="E15" i="10" s="1"/>
  <c r="E16" i="10" s="1"/>
  <c r="E17" i="10" s="1"/>
  <c r="E18" i="10" s="1"/>
  <c r="F9" i="10"/>
  <c r="E9" i="10"/>
  <c r="F10" i="9"/>
  <c r="F11" i="9" s="1"/>
  <c r="F12" i="9" s="1"/>
  <c r="F13" i="9" s="1"/>
  <c r="F14" i="9" s="1"/>
  <c r="F9" i="9"/>
  <c r="E9" i="9"/>
  <c r="E10" i="9" s="1"/>
  <c r="E11" i="9" s="1"/>
  <c r="E12" i="9" s="1"/>
  <c r="E13" i="9" s="1"/>
  <c r="E14" i="9" s="1"/>
  <c r="F10" i="8"/>
  <c r="F11" i="8" s="1"/>
  <c r="F12" i="8" s="1"/>
  <c r="F13" i="8" s="1"/>
  <c r="F14" i="8" s="1"/>
  <c r="E10" i="8"/>
  <c r="E11" i="8" s="1"/>
  <c r="E12" i="8" s="1"/>
  <c r="E13" i="8" s="1"/>
  <c r="E14" i="8" s="1"/>
  <c r="F9" i="8"/>
  <c r="E9" i="8"/>
  <c r="F9" i="4"/>
  <c r="E9" i="4"/>
</calcChain>
</file>

<file path=xl/sharedStrings.xml><?xml version="1.0" encoding="utf-8"?>
<sst xmlns="http://schemas.openxmlformats.org/spreadsheetml/2006/main" count="643" uniqueCount="243">
  <si>
    <t>Date</t>
  </si>
  <si>
    <t>R.NO</t>
  </si>
  <si>
    <t>Description</t>
  </si>
  <si>
    <t>Amount Rec</t>
  </si>
  <si>
    <t>Total Rec</t>
  </si>
  <si>
    <t>Amount Due</t>
  </si>
  <si>
    <t>Name : Usman Jhangir</t>
  </si>
  <si>
    <t>Father Name : Juma khan</t>
  </si>
  <si>
    <t>CNIC #42401-1507934-5</t>
  </si>
  <si>
    <t>Contact # 03482863419</t>
  </si>
  <si>
    <t>Plot No ;4785</t>
  </si>
  <si>
    <t>Cost;1280,000</t>
  </si>
  <si>
    <t>17/2/2026</t>
  </si>
  <si>
    <t>17/3/2026</t>
  </si>
  <si>
    <t>AL Reh Adj</t>
  </si>
  <si>
    <t>full&amp;final</t>
  </si>
  <si>
    <t>Development</t>
  </si>
  <si>
    <t>nill</t>
  </si>
  <si>
    <t>FULL Paid</t>
  </si>
  <si>
    <t>Name : M.Asif</t>
  </si>
  <si>
    <t>Father Name : Ghulam Qamar</t>
  </si>
  <si>
    <t>CNIC #42301-7097869-9</t>
  </si>
  <si>
    <t>Contact # 03152641556</t>
  </si>
  <si>
    <t>Plot No ;4786</t>
  </si>
  <si>
    <t>Code Num;BNQ3538779</t>
  </si>
  <si>
    <t>Cost;550,000</t>
  </si>
  <si>
    <t>ALL AMOUNT IS GIVEN TO AL REHMAN</t>
  </si>
  <si>
    <t>TRANSFERREED LATTER</t>
  </si>
  <si>
    <t>Name : Javid Iqbal</t>
  </si>
  <si>
    <t>Father Name : Faqeer Hussain</t>
  </si>
  <si>
    <t>CNIC #61101-1208776-5</t>
  </si>
  <si>
    <t>Contact # 03121054672</t>
  </si>
  <si>
    <t xml:space="preserve">Name : Abdul Hameed </t>
  </si>
  <si>
    <t>Father Name : Muhammad Idress</t>
  </si>
  <si>
    <t>CNIC #42401-4732924-9</t>
  </si>
  <si>
    <t>Contact # 03152123738</t>
  </si>
  <si>
    <t>Plot No ;4791</t>
  </si>
  <si>
    <t>Cost;520,000</t>
  </si>
  <si>
    <t>30/9/2020</t>
  </si>
  <si>
    <t>ADJUSTMENT PLOT GIVEN TO</t>
  </si>
  <si>
    <t>AL REHMAN BUILDERS</t>
  </si>
  <si>
    <t>Name : Mola Bux</t>
  </si>
  <si>
    <t>Father Name : Juma Khan</t>
  </si>
  <si>
    <t>CNIC #42401-9264085-7</t>
  </si>
  <si>
    <t>Contact # 03372437580</t>
  </si>
  <si>
    <t>Plot No ;4787</t>
  </si>
  <si>
    <t>Cost;1200,000</t>
  </si>
  <si>
    <t>16/3/2026</t>
  </si>
  <si>
    <t>Token</t>
  </si>
  <si>
    <t>instalment</t>
  </si>
  <si>
    <t>INSTALMENT AND DEVELOPMENT BOTH CLEAR</t>
  </si>
  <si>
    <t>Name : Fahad Jamal</t>
  </si>
  <si>
    <t>Father Name : M. Jamal Uddin Baqai</t>
  </si>
  <si>
    <t>CNIC #42101-2928794-3</t>
  </si>
  <si>
    <t>Contact # 03018294450</t>
  </si>
  <si>
    <t>Plot No ;4780</t>
  </si>
  <si>
    <t>Code Num;CQW8873854</t>
  </si>
  <si>
    <t>Al Reh Adj</t>
  </si>
  <si>
    <t>Nill</t>
  </si>
  <si>
    <t>Recived 80,000 insobho village Against file change</t>
  </si>
  <si>
    <t>Plot No ;4782</t>
  </si>
  <si>
    <t>Code Num;CQW8873852</t>
  </si>
  <si>
    <t>Plot No ;4781</t>
  </si>
  <si>
    <t>Code Num;CQW8873851</t>
  </si>
  <si>
    <t>Name : Safdar Shah</t>
  </si>
  <si>
    <t>Father Name : Lal Shah</t>
  </si>
  <si>
    <t>CNIC #42401-8884379-7</t>
  </si>
  <si>
    <t>Contact # 03152714153</t>
  </si>
  <si>
    <t>Plot No ;4777</t>
  </si>
  <si>
    <t>Code Num;CKK6092998</t>
  </si>
  <si>
    <t>30/9/2025</t>
  </si>
  <si>
    <t>Booking</t>
  </si>
  <si>
    <t>Plot No ;4778</t>
  </si>
  <si>
    <t>Code Num;CKY1344435</t>
  </si>
  <si>
    <t>Code Num;BBR5044153</t>
  </si>
  <si>
    <t>Code Num;CHX0660333</t>
  </si>
  <si>
    <t>Name : Iftikhar Ali</t>
  </si>
  <si>
    <t>Father Name : Muhammad Aslam</t>
  </si>
  <si>
    <t>CNIC #41103-8653964-9</t>
  </si>
  <si>
    <t>Contact # 030152179669</t>
  </si>
  <si>
    <t>Plot No ;4766</t>
  </si>
  <si>
    <t>Cost;700,000</t>
  </si>
  <si>
    <t>Code Num;CUX1537882</t>
  </si>
  <si>
    <t>26/3/2024</t>
  </si>
  <si>
    <t>27/4/2024</t>
  </si>
  <si>
    <t>26/6/2024</t>
  </si>
  <si>
    <t>16/5/2024</t>
  </si>
  <si>
    <t>24/6/2024</t>
  </si>
  <si>
    <t>21/7/2024</t>
  </si>
  <si>
    <t>26/8/2024</t>
  </si>
  <si>
    <t>15/11/2024</t>
  </si>
  <si>
    <t>30/12/2024</t>
  </si>
  <si>
    <t>Res Booking</t>
  </si>
  <si>
    <t>Installment</t>
  </si>
  <si>
    <t>29/1/2025</t>
  </si>
  <si>
    <t>26/2/2025</t>
  </si>
  <si>
    <t>13/9/2025</t>
  </si>
  <si>
    <t>13/10/2025</t>
  </si>
  <si>
    <t>25/4/2026</t>
  </si>
  <si>
    <t>Code Num;CNZ0836874</t>
  </si>
  <si>
    <t>DEVELOPMENT CONTINUE</t>
  </si>
  <si>
    <t>Name : Muhammad Shabir</t>
  </si>
  <si>
    <t>Father Name : Muhammad Suleman</t>
  </si>
  <si>
    <t>CNIC #42201-2992926-7</t>
  </si>
  <si>
    <t>Contact # 03122044724</t>
  </si>
  <si>
    <t>Plot No ;4797</t>
  </si>
  <si>
    <t>Code Num;CVD2778190</t>
  </si>
  <si>
    <t>Cost;350,000</t>
  </si>
  <si>
    <t>31/5/2020</t>
  </si>
  <si>
    <t>31/10/2022</t>
  </si>
  <si>
    <t>Adv booking</t>
  </si>
  <si>
    <t>26/10/2024</t>
  </si>
  <si>
    <t>INSTALLMENT AND DEVELOPMENT BOTH CLEAR</t>
  </si>
  <si>
    <t>Name :Rahila Bano</t>
  </si>
  <si>
    <t>Father Name : Haji Muhammad Habib</t>
  </si>
  <si>
    <t>CNIC #42401-7353272-2</t>
  </si>
  <si>
    <t>Contact #03100022024</t>
  </si>
  <si>
    <t>Plot No ;R-4793</t>
  </si>
  <si>
    <t>Cost;650,000</t>
  </si>
  <si>
    <t>Code Num;CKJ0641584</t>
  </si>
  <si>
    <t xml:space="preserve">Adjustment Plot All Amount given to Al Rehaman </t>
  </si>
  <si>
    <t>Builder</t>
  </si>
  <si>
    <t xml:space="preserve">Development </t>
  </si>
  <si>
    <t xml:space="preserve">DEVELOPMENT BOTH CLEAR </t>
  </si>
  <si>
    <t>NAME:</t>
  </si>
  <si>
    <t>F\NAME:</t>
  </si>
  <si>
    <t>CONTACT NO:</t>
  </si>
  <si>
    <t>CNIC:</t>
  </si>
  <si>
    <t>CODE:</t>
  </si>
  <si>
    <t>PLOT NO</t>
  </si>
  <si>
    <t>AMAN ULLAH</t>
  </si>
  <si>
    <t>AHSAN ULLAH</t>
  </si>
  <si>
    <t>0313-2933693</t>
  </si>
  <si>
    <t>24401-1989067-7</t>
  </si>
  <si>
    <t>BHD3578100</t>
  </si>
  <si>
    <t>16\6\26</t>
  </si>
  <si>
    <t>BOOKING</t>
  </si>
  <si>
    <t>NIL</t>
  </si>
  <si>
    <t>DEVELOPMENT</t>
  </si>
  <si>
    <t>18\5\26</t>
  </si>
  <si>
    <t>CNIC NO:\</t>
  </si>
  <si>
    <t>CODE NO:</t>
  </si>
  <si>
    <t>PLOT NO:</t>
  </si>
  <si>
    <t>22\9\22</t>
  </si>
  <si>
    <t>TOKEN</t>
  </si>
  <si>
    <t>COMMERCIAL BOOKING</t>
  </si>
  <si>
    <t>27\9\22</t>
  </si>
  <si>
    <t>PARTIAL BOOKING</t>
  </si>
  <si>
    <t>CCN7593319</t>
  </si>
  <si>
    <t>QURBAN ALI</t>
  </si>
  <si>
    <t>MUHAMMAD IQBAL</t>
  </si>
  <si>
    <t>0311-1765289</t>
  </si>
  <si>
    <t>42401-0801393-9</t>
  </si>
  <si>
    <t>CAS8335226</t>
  </si>
  <si>
    <t>ALL AMOUNT GIVEN TO AL REHMAN BUILDERS</t>
  </si>
  <si>
    <t>JAVID IQBAL</t>
  </si>
  <si>
    <t>FAQEER HUSSIAN</t>
  </si>
  <si>
    <t>0312-1054672</t>
  </si>
  <si>
    <t>61101-1208776-5</t>
  </si>
  <si>
    <t>20/7/26</t>
  </si>
  <si>
    <t>14/8/26</t>
  </si>
  <si>
    <t>31/5/25</t>
  </si>
  <si>
    <t>13/7/25</t>
  </si>
  <si>
    <t>14/9/25</t>
  </si>
  <si>
    <t>22/2/26</t>
  </si>
  <si>
    <t>development</t>
  </si>
  <si>
    <t>28/3/26</t>
  </si>
  <si>
    <t>26/4/26</t>
  </si>
  <si>
    <t>26/5/26</t>
  </si>
  <si>
    <t>23/6/26</t>
  </si>
  <si>
    <t>14/7/26</t>
  </si>
  <si>
    <t>13/8/26</t>
  </si>
  <si>
    <t>15/9/26</t>
  </si>
  <si>
    <t>29/9/25</t>
  </si>
  <si>
    <t>Rno: 3225</t>
  </si>
  <si>
    <t>Cheque</t>
  </si>
  <si>
    <t>21/10/25</t>
  </si>
  <si>
    <t>Rno: 3364</t>
  </si>
  <si>
    <t>26/11/25</t>
  </si>
  <si>
    <t>Rno: 3874</t>
  </si>
  <si>
    <t>31/12/25</t>
  </si>
  <si>
    <t>Rno: 5185</t>
  </si>
  <si>
    <t>28/1/26</t>
  </si>
  <si>
    <t>Rno: 5405</t>
  </si>
  <si>
    <t>Rno: 5644</t>
  </si>
  <si>
    <t>Cash</t>
  </si>
  <si>
    <t>R.no. 1387</t>
  </si>
  <si>
    <t>RNO: 1573</t>
  </si>
  <si>
    <t>RNO: 1779</t>
  </si>
  <si>
    <t>Rno. 3785</t>
  </si>
  <si>
    <t>Rno - 2037</t>
  </si>
  <si>
    <t>25/8/25</t>
  </si>
  <si>
    <t xml:space="preserve">DEVELOPMENT </t>
  </si>
  <si>
    <t>Rno: 3226</t>
  </si>
  <si>
    <t>Rno: 3365</t>
  </si>
  <si>
    <t>Rno: 3875</t>
  </si>
  <si>
    <t>Rno: 5186</t>
  </si>
  <si>
    <t>Rno: 5406</t>
  </si>
  <si>
    <t>Rno: 5645</t>
  </si>
  <si>
    <t>R.no. 1388</t>
  </si>
  <si>
    <t>RNO: 1574</t>
  </si>
  <si>
    <t>RNO: 1780</t>
  </si>
  <si>
    <t>Rno. 3786</t>
  </si>
  <si>
    <t>Rno - 2038</t>
  </si>
  <si>
    <t>Rno: 3227</t>
  </si>
  <si>
    <t>Rno: 3366</t>
  </si>
  <si>
    <t>Rno: 3876</t>
  </si>
  <si>
    <t>Rno: 5187</t>
  </si>
  <si>
    <t>Rno: 5407</t>
  </si>
  <si>
    <t>Rno: 5646</t>
  </si>
  <si>
    <t>R.no. 1390</t>
  </si>
  <si>
    <t>RNO: 1575</t>
  </si>
  <si>
    <t>RNO: 1781</t>
  </si>
  <si>
    <t>Rno. 3787</t>
  </si>
  <si>
    <t>Rno - 2039</t>
  </si>
  <si>
    <t>PLOT CHANGE HOGA</t>
  </si>
  <si>
    <t>Name : MADINA HAIDER</t>
  </si>
  <si>
    <t>Father Name : MUHAMMAD GHULAM HAIDER</t>
  </si>
  <si>
    <t>CNIC #42401-2049638-2</t>
  </si>
  <si>
    <t>Contact # 0316-1624898</t>
  </si>
  <si>
    <t>Cost;900,0000</t>
  </si>
  <si>
    <t>NOMINEE</t>
  </si>
  <si>
    <t>Code Num;CUX6118827</t>
  </si>
  <si>
    <t>CNIC #</t>
  </si>
  <si>
    <t>W/O#</t>
  </si>
  <si>
    <t>S/O#</t>
  </si>
  <si>
    <t>MUHAMMAD GHULAM HAIDER KHAN</t>
  </si>
  <si>
    <t>MUSHTAQ AHMED KHAN</t>
  </si>
  <si>
    <t>42401-1779014-7</t>
  </si>
  <si>
    <t>Code Num;BZX8444042</t>
  </si>
  <si>
    <t>Commercial Booking</t>
  </si>
  <si>
    <t>15/01/25</t>
  </si>
  <si>
    <t>22/2/24</t>
  </si>
  <si>
    <t>18/5/25</t>
  </si>
  <si>
    <t>15/7/25</t>
  </si>
  <si>
    <t>24/9/25</t>
  </si>
  <si>
    <t>20/10/25</t>
  </si>
  <si>
    <t>15/11/25</t>
  </si>
  <si>
    <t>16/12/25</t>
  </si>
  <si>
    <t>NILL</t>
  </si>
  <si>
    <t>DEVELOPMENT NILL</t>
  </si>
  <si>
    <t>Code Num;CMF4552588</t>
  </si>
  <si>
    <t>Plot No ;4783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</si>
</sst>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/>
    <xf numFmtId="3" fontId="0" fillId="0" borderId="0" xfId="0" applyNumberFormat="1"/>
    <xf numFmtId="0" fontId="0" fillId="0" borderId="2" xfId="0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4" fillId="0" borderId="0" xfId="0" applyFont="1"/>
    <xf numFmtId="0" fontId="5" fillId="0" borderId="0" xfId="0" applyFont="1"/>
    <xf numFmtId="14" fontId="0" fillId="0" borderId="1" xfId="0" applyNumberFormat="1" applyBorder="1"/>
    <xf numFmtId="0" fontId="0" fillId="0" borderId="3" xfId="0" applyBorder="1"/>
    <xf numFmtId="0" fontId="6" fillId="0" borderId="1" xfId="0" applyFont="1" applyBorder="1" applyAlignment="1">
      <alignment vertical="center"/>
    </xf>
    <xf numFmtId="0" fontId="1" fillId="3" borderId="0" xfId="0" applyFont="1" applyFill="1"/>
    <xf numFmtId="0" fontId="6" fillId="4" borderId="1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3" fontId="0" fillId="5" borderId="1" xfId="0" applyNumberFormat="1" applyFill="1" applyBorder="1" applyAlignment="1">
      <alignment vertical="center"/>
    </xf>
    <xf numFmtId="3" fontId="7" fillId="0" borderId="1" xfId="0" applyNumberFormat="1" applyFont="1" applyBorder="1" applyAlignment="1">
      <alignment horizontal="right" wrapText="1"/>
    </xf>
    <xf numFmtId="0" fontId="7" fillId="0" borderId="1" xfId="0" applyFont="1" applyBorder="1" applyAlignment="1">
      <alignment horizontal="right" wrapText="1"/>
    </xf>
    <xf numFmtId="0" fontId="7" fillId="0" borderId="1" xfId="0" applyFont="1" applyBorder="1" applyAlignment="1">
      <alignment wrapText="1"/>
    </xf>
    <xf numFmtId="14" fontId="7" fillId="0" borderId="1" xfId="0" applyNumberFormat="1" applyFont="1" applyBorder="1" applyAlignment="1">
      <alignment horizontal="right" wrapText="1"/>
    </xf>
    <xf numFmtId="3" fontId="7" fillId="0" borderId="1" xfId="0" applyNumberFormat="1" applyFont="1" applyBorder="1" applyAlignment="1">
      <alignment wrapText="1"/>
    </xf>
    <xf numFmtId="0" fontId="1" fillId="6" borderId="0" xfId="0" applyFont="1" applyFill="1"/>
    <xf numFmtId="0" fontId="6" fillId="6" borderId="0" xfId="0" applyFont="1" applyFill="1"/>
    <xf numFmtId="0" fontId="8" fillId="0" borderId="1" xfId="0" applyFont="1" applyBorder="1" applyAlignment="1">
      <alignment wrapText="1"/>
    </xf>
    <xf numFmtId="0" fontId="9" fillId="7" borderId="5" xfId="0" applyFont="1" applyFill="1" applyBorder="1" applyAlignment="1">
      <alignment horizontal="center" wrapText="1"/>
    </xf>
    <xf numFmtId="0" fontId="9" fillId="7" borderId="6" xfId="0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wrapText="1"/>
    </xf>
    <xf numFmtId="0" fontId="1" fillId="0" borderId="1" xfId="0" applyFont="1" applyBorder="1"/>
  </cellXfs>
  <cellStyles count="1">
    <cellStyle name="Normal" xfId="0" builtinId="0"/>
  </cellStyles>
  <dxfs count="6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8E2CB8-E089-4DD6-95C4-FB66088E1A85}" name="Table13" displayName="Table13" ref="A7:F14" totalsRowShown="0" headerRowDxfId="5" headerRowBorderDxfId="4" tableBorderDxfId="3">
  <autoFilter ref="A7:F14" xr:uid="{2F77907E-2254-4588-8997-7C1BD1C219CC}"/>
  <tableColumns count="6">
    <tableColumn id="1" xr3:uid="{56372F7E-2F1C-4A3E-B7B9-E6AB90604BA7}" name="Date"/>
    <tableColumn id="2" xr3:uid="{87BF16D4-A8F6-4259-A998-7703690E9042}" name="R.NO"/>
    <tableColumn id="3" xr3:uid="{D1650465-8F5E-41FA-AE46-3BCD312DA1D8}" name="Description"/>
    <tableColumn id="4" xr3:uid="{11E85AC7-A955-49D0-A008-27BF2CF82793}" name="Amount Rec"/>
    <tableColumn id="5" xr3:uid="{C5DB7F76-FBD0-40A5-9FFD-812C6A42336B}" name="Total Rec"/>
    <tableColumn id="6" xr3:uid="{42C6E9EF-54A8-4568-9D60-CA5D417BB03E}" name="Amount D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77907E-2254-4588-8997-7C1BD1C219CC}" name="Table1" displayName="Table1" ref="A7:F14" totalsRowShown="0" headerRowDxfId="2" headerRowBorderDxfId="1" tableBorderDxfId="0">
  <autoFilter ref="A7:F14" xr:uid="{2F77907E-2254-4588-8997-7C1BD1C219CC}"/>
  <tableColumns count="6">
    <tableColumn id="1" xr3:uid="{4531D7C9-ADF8-4375-B5E8-58534868CE1A}" name="Date"/>
    <tableColumn id="2" xr3:uid="{291EEFF9-942C-46C3-941B-64CB128D98AC}" name="R.NO"/>
    <tableColumn id="3" xr3:uid="{17D37A6B-4AD4-42F9-8409-50906C163A25}" name="Description"/>
    <tableColumn id="4" xr3:uid="{7A79E434-6C23-429A-8705-C01C16BF4CDF}" name="Amount Rec"/>
    <tableColumn id="5" xr3:uid="{3AB3D711-E630-4BB7-B3CD-D70B7EB35867}" name="Total Rec"/>
    <tableColumn id="6" xr3:uid="{D85CFBBC-FB88-4046-9532-51ACDFB64E59}" name="Amount D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41E3-828D-4682-BFA3-AD9B6391DD38}">
  <dimension ref="A1:F14"/>
  <sheetViews>
    <sheetView workbookViewId="0">
      <selection activeCell="G21" sqref="G21"/>
    </sheetView>
  </sheetViews>
  <sheetFormatPr defaultRowHeight="14.5" x14ac:dyDescent="0.35"/>
  <cols>
    <col min="3" max="3" width="12.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41</v>
      </c>
      <c r="B1" s="1"/>
      <c r="C1" s="2"/>
      <c r="D1" s="1"/>
      <c r="E1" s="1"/>
      <c r="F1" s="1"/>
    </row>
    <row r="2" spans="1:6" ht="18.5" x14ac:dyDescent="0.45">
      <c r="A2" s="1" t="s">
        <v>42</v>
      </c>
      <c r="C2" s="1"/>
      <c r="D2" s="1"/>
      <c r="E2" s="1"/>
      <c r="F2" s="1"/>
    </row>
    <row r="3" spans="1:6" ht="18.5" x14ac:dyDescent="0.45">
      <c r="A3" s="1" t="s">
        <v>43</v>
      </c>
      <c r="B3" s="1"/>
      <c r="C3" s="1"/>
      <c r="D3" s="1"/>
      <c r="E3" s="1"/>
      <c r="F3" s="1"/>
    </row>
    <row r="4" spans="1:6" ht="18.5" x14ac:dyDescent="0.45">
      <c r="A4" s="1" t="s">
        <v>74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45</v>
      </c>
      <c r="B6" s="1"/>
      <c r="C6" s="1"/>
      <c r="D6" s="1" t="s">
        <v>46</v>
      </c>
      <c r="E6" s="1"/>
      <c r="F6" s="1"/>
    </row>
    <row r="7" spans="1:6" x14ac:dyDescent="0.35">
      <c r="A7" s="12" t="s">
        <v>0</v>
      </c>
      <c r="B7" s="13" t="s">
        <v>1</v>
      </c>
      <c r="C7" s="13" t="s">
        <v>2</v>
      </c>
      <c r="D7" s="11" t="s">
        <v>3</v>
      </c>
      <c r="E7" s="11" t="s">
        <v>4</v>
      </c>
      <c r="F7" s="11" t="s">
        <v>5</v>
      </c>
    </row>
    <row r="8" spans="1:6" x14ac:dyDescent="0.35">
      <c r="A8" t="s">
        <v>47</v>
      </c>
      <c r="B8">
        <v>860</v>
      </c>
      <c r="C8" t="s">
        <v>48</v>
      </c>
      <c r="D8" s="10">
        <v>30000</v>
      </c>
      <c r="E8" s="10">
        <v>30000</v>
      </c>
      <c r="F8" s="10">
        <v>1170000</v>
      </c>
    </row>
    <row r="9" spans="1:6" x14ac:dyDescent="0.35">
      <c r="A9" s="9">
        <v>46146</v>
      </c>
      <c r="B9">
        <v>13142</v>
      </c>
      <c r="C9" t="s">
        <v>49</v>
      </c>
      <c r="D9" s="10">
        <v>1170000</v>
      </c>
      <c r="E9" s="10">
        <f>SUM(E8+D9)</f>
        <v>1200000</v>
      </c>
      <c r="F9" s="10">
        <f>F8-D9</f>
        <v>0</v>
      </c>
    </row>
    <row r="12" spans="1:6" x14ac:dyDescent="0.35">
      <c r="A12" s="9">
        <v>46146</v>
      </c>
      <c r="B12">
        <v>5846</v>
      </c>
      <c r="C12" t="s">
        <v>16</v>
      </c>
      <c r="D12" s="10">
        <v>150000</v>
      </c>
      <c r="E12" s="10">
        <v>150000</v>
      </c>
      <c r="F12">
        <v>0</v>
      </c>
    </row>
    <row r="14" spans="1:6" x14ac:dyDescent="0.35">
      <c r="B14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A00FF-B95E-48A5-9111-A68985A51ACB}">
  <dimension ref="A1:F37"/>
  <sheetViews>
    <sheetView topLeftCell="A29" workbookViewId="0">
      <selection activeCell="C34" sqref="C34"/>
    </sheetView>
  </sheetViews>
  <sheetFormatPr defaultRowHeight="14.5" x14ac:dyDescent="0.35"/>
  <cols>
    <col min="1" max="1" width="9.453125" bestFit="1" customWidth="1"/>
    <col min="3" max="3" width="12.08984375" customWidth="1"/>
    <col min="4" max="4" width="9.7265625" customWidth="1"/>
    <col min="6" max="6" width="10.81640625" customWidth="1"/>
  </cols>
  <sheetData>
    <row r="1" spans="1:6" ht="18.5" x14ac:dyDescent="0.45">
      <c r="A1" s="1" t="s">
        <v>76</v>
      </c>
      <c r="B1" s="1"/>
      <c r="C1" s="2"/>
      <c r="D1" s="1"/>
      <c r="E1" s="1"/>
      <c r="F1" s="1"/>
    </row>
    <row r="2" spans="1:6" ht="18.5" x14ac:dyDescent="0.45">
      <c r="A2" s="1" t="s">
        <v>77</v>
      </c>
      <c r="C2" s="1"/>
      <c r="D2" s="1"/>
      <c r="E2" s="1"/>
      <c r="F2" s="1"/>
    </row>
    <row r="3" spans="1:6" ht="18.5" x14ac:dyDescent="0.45">
      <c r="A3" s="1" t="s">
        <v>78</v>
      </c>
      <c r="B3" s="1"/>
      <c r="C3" s="1"/>
      <c r="D3" s="1"/>
      <c r="E3" s="1"/>
      <c r="F3" s="1"/>
    </row>
    <row r="4" spans="1:6" ht="18.5" x14ac:dyDescent="0.45">
      <c r="A4" s="1" t="s">
        <v>82</v>
      </c>
      <c r="B4" s="1"/>
      <c r="C4" s="1"/>
      <c r="D4" s="1"/>
      <c r="E4" s="1"/>
      <c r="F4" s="1"/>
    </row>
    <row r="5" spans="1:6" ht="18.5" x14ac:dyDescent="0.45">
      <c r="A5" s="1" t="s">
        <v>79</v>
      </c>
      <c r="B5" s="1"/>
      <c r="C5" s="1"/>
      <c r="D5" s="1"/>
      <c r="E5" s="1"/>
      <c r="F5" s="1"/>
    </row>
    <row r="6" spans="1:6" ht="18.5" x14ac:dyDescent="0.45">
      <c r="A6" s="1" t="s">
        <v>80</v>
      </c>
      <c r="B6" s="1"/>
      <c r="C6" s="1"/>
      <c r="D6" s="1" t="s">
        <v>81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16">
        <v>45598</v>
      </c>
      <c r="B8" s="5">
        <v>7097</v>
      </c>
      <c r="C8" s="5" t="s">
        <v>92</v>
      </c>
      <c r="D8" s="6">
        <v>30000</v>
      </c>
      <c r="E8" s="6">
        <v>30000</v>
      </c>
      <c r="F8" s="6">
        <v>670000</v>
      </c>
    </row>
    <row r="9" spans="1:6" x14ac:dyDescent="0.35">
      <c r="A9" s="5" t="s">
        <v>83</v>
      </c>
      <c r="B9" s="5">
        <v>7576</v>
      </c>
      <c r="C9" s="5" t="s">
        <v>93</v>
      </c>
      <c r="D9" s="6">
        <v>10000</v>
      </c>
      <c r="E9" s="6">
        <f>SUM(E8+D9)</f>
        <v>40000</v>
      </c>
      <c r="F9" s="6">
        <f>F8-D9</f>
        <v>660000</v>
      </c>
    </row>
    <row r="10" spans="1:6" x14ac:dyDescent="0.35">
      <c r="A10" s="5" t="s">
        <v>84</v>
      </c>
      <c r="B10" s="5">
        <v>8035</v>
      </c>
      <c r="C10" s="5" t="s">
        <v>93</v>
      </c>
      <c r="D10" s="6">
        <v>10000</v>
      </c>
      <c r="E10" s="6">
        <f t="shared" ref="E10:E32" si="0">SUM(E9+D10)</f>
        <v>50000</v>
      </c>
      <c r="F10" s="6">
        <f t="shared" ref="F10:F32" si="1">F9-D10</f>
        <v>650000</v>
      </c>
    </row>
    <row r="11" spans="1:6" x14ac:dyDescent="0.35">
      <c r="A11" s="5" t="s">
        <v>85</v>
      </c>
      <c r="B11" s="5">
        <v>10890</v>
      </c>
      <c r="C11" s="5" t="s">
        <v>93</v>
      </c>
      <c r="D11" s="6">
        <v>10000</v>
      </c>
      <c r="E11" s="6">
        <f t="shared" si="0"/>
        <v>60000</v>
      </c>
      <c r="F11" s="6">
        <f t="shared" si="1"/>
        <v>640000</v>
      </c>
    </row>
    <row r="12" spans="1:6" x14ac:dyDescent="0.35">
      <c r="A12" s="5" t="s">
        <v>86</v>
      </c>
      <c r="B12" s="5">
        <v>8558</v>
      </c>
      <c r="C12" s="5" t="s">
        <v>93</v>
      </c>
      <c r="D12" s="6">
        <v>10000</v>
      </c>
      <c r="E12" s="6">
        <f t="shared" si="0"/>
        <v>70000</v>
      </c>
      <c r="F12" s="6">
        <f t="shared" si="1"/>
        <v>630000</v>
      </c>
    </row>
    <row r="13" spans="1:6" x14ac:dyDescent="0.35">
      <c r="A13" s="5" t="s">
        <v>87</v>
      </c>
      <c r="B13" s="5">
        <v>9264</v>
      </c>
      <c r="C13" s="5" t="s">
        <v>93</v>
      </c>
      <c r="D13" s="6">
        <v>10000</v>
      </c>
      <c r="E13" s="6">
        <f t="shared" si="0"/>
        <v>80000</v>
      </c>
      <c r="F13" s="6">
        <f t="shared" si="1"/>
        <v>620000</v>
      </c>
    </row>
    <row r="14" spans="1:6" x14ac:dyDescent="0.35">
      <c r="A14" s="5" t="s">
        <v>88</v>
      </c>
      <c r="B14" s="5">
        <v>9729</v>
      </c>
      <c r="C14" s="5" t="s">
        <v>93</v>
      </c>
      <c r="D14" s="6">
        <v>10000</v>
      </c>
      <c r="E14" s="6">
        <f t="shared" si="0"/>
        <v>90000</v>
      </c>
      <c r="F14" s="6">
        <f t="shared" si="1"/>
        <v>610000</v>
      </c>
    </row>
    <row r="15" spans="1:6" x14ac:dyDescent="0.35">
      <c r="A15" s="5" t="s">
        <v>89</v>
      </c>
      <c r="B15" s="5">
        <v>10890</v>
      </c>
      <c r="C15" s="5" t="s">
        <v>93</v>
      </c>
      <c r="D15" s="6">
        <v>10000</v>
      </c>
      <c r="E15" s="6">
        <f t="shared" si="0"/>
        <v>100000</v>
      </c>
      <c r="F15" s="6">
        <f t="shared" si="1"/>
        <v>600000</v>
      </c>
    </row>
    <row r="16" spans="1:6" x14ac:dyDescent="0.35">
      <c r="A16" s="16">
        <v>45453</v>
      </c>
      <c r="B16" s="5">
        <v>11415</v>
      </c>
      <c r="C16" s="5" t="s">
        <v>93</v>
      </c>
      <c r="D16" s="6">
        <v>20000</v>
      </c>
      <c r="E16" s="6">
        <f t="shared" si="0"/>
        <v>120000</v>
      </c>
      <c r="F16" s="6">
        <f t="shared" si="1"/>
        <v>580000</v>
      </c>
    </row>
    <row r="17" spans="1:6" x14ac:dyDescent="0.35">
      <c r="A17" s="5" t="s">
        <v>90</v>
      </c>
      <c r="B17" s="5">
        <v>13567</v>
      </c>
      <c r="C17" s="5" t="s">
        <v>93</v>
      </c>
      <c r="D17" s="6">
        <v>10000</v>
      </c>
      <c r="E17" s="6">
        <f t="shared" si="0"/>
        <v>130000</v>
      </c>
      <c r="F17" s="6">
        <f t="shared" si="1"/>
        <v>570000</v>
      </c>
    </row>
    <row r="18" spans="1:6" x14ac:dyDescent="0.35">
      <c r="A18" s="5" t="s">
        <v>91</v>
      </c>
      <c r="B18" s="5">
        <v>12843</v>
      </c>
      <c r="C18" s="5" t="s">
        <v>93</v>
      </c>
      <c r="D18" s="6">
        <v>10000</v>
      </c>
      <c r="E18" s="6">
        <f t="shared" si="0"/>
        <v>140000</v>
      </c>
      <c r="F18" s="6">
        <f t="shared" si="1"/>
        <v>560000</v>
      </c>
    </row>
    <row r="19" spans="1:6" x14ac:dyDescent="0.35">
      <c r="A19" s="5" t="s">
        <v>94</v>
      </c>
      <c r="B19" s="5">
        <v>9147</v>
      </c>
      <c r="C19" s="5" t="s">
        <v>93</v>
      </c>
      <c r="D19" s="6">
        <v>10000</v>
      </c>
      <c r="E19" s="6">
        <f t="shared" si="0"/>
        <v>150000</v>
      </c>
      <c r="F19" s="6">
        <f t="shared" si="1"/>
        <v>550000</v>
      </c>
    </row>
    <row r="20" spans="1:6" x14ac:dyDescent="0.35">
      <c r="A20" s="5" t="s">
        <v>95</v>
      </c>
      <c r="B20" s="5">
        <v>13568</v>
      </c>
      <c r="C20" s="5" t="s">
        <v>93</v>
      </c>
      <c r="D20" s="6">
        <v>10000</v>
      </c>
      <c r="E20" s="6">
        <f t="shared" si="0"/>
        <v>160000</v>
      </c>
      <c r="F20" s="6">
        <f t="shared" si="1"/>
        <v>540000</v>
      </c>
    </row>
    <row r="21" spans="1:6" x14ac:dyDescent="0.35">
      <c r="A21" s="16">
        <v>45904</v>
      </c>
      <c r="B21" s="5">
        <v>13570</v>
      </c>
      <c r="C21" s="5" t="s">
        <v>93</v>
      </c>
      <c r="D21" s="6">
        <v>10000</v>
      </c>
      <c r="E21" s="6">
        <f t="shared" si="0"/>
        <v>170000</v>
      </c>
      <c r="F21" s="6">
        <f t="shared" si="1"/>
        <v>530000</v>
      </c>
    </row>
    <row r="22" spans="1:6" x14ac:dyDescent="0.35">
      <c r="A22" s="16">
        <v>45996</v>
      </c>
      <c r="B22" s="5">
        <v>13561</v>
      </c>
      <c r="C22" s="5" t="s">
        <v>93</v>
      </c>
      <c r="D22" s="6">
        <v>10000</v>
      </c>
      <c r="E22" s="6">
        <f t="shared" si="0"/>
        <v>180000</v>
      </c>
      <c r="F22" s="6">
        <f t="shared" si="1"/>
        <v>520000</v>
      </c>
    </row>
    <row r="23" spans="1:6" x14ac:dyDescent="0.35">
      <c r="A23" s="16">
        <v>45967</v>
      </c>
      <c r="B23" s="5">
        <v>10272</v>
      </c>
      <c r="C23" s="5" t="s">
        <v>93</v>
      </c>
      <c r="D23" s="6">
        <v>10000</v>
      </c>
      <c r="E23" s="6">
        <f t="shared" si="0"/>
        <v>190000</v>
      </c>
      <c r="F23" s="6">
        <f t="shared" si="1"/>
        <v>510000</v>
      </c>
    </row>
    <row r="24" spans="1:6" x14ac:dyDescent="0.35">
      <c r="A24" s="16">
        <v>45876</v>
      </c>
      <c r="B24" s="5">
        <v>12810</v>
      </c>
      <c r="C24" s="5" t="s">
        <v>93</v>
      </c>
      <c r="D24" s="6">
        <v>10000</v>
      </c>
      <c r="E24" s="6">
        <f t="shared" si="0"/>
        <v>200000</v>
      </c>
      <c r="F24" s="6">
        <f t="shared" si="1"/>
        <v>500000</v>
      </c>
    </row>
    <row r="25" spans="1:6" x14ac:dyDescent="0.35">
      <c r="A25" s="16">
        <v>45969</v>
      </c>
      <c r="B25" s="5">
        <v>12477</v>
      </c>
      <c r="C25" s="5" t="s">
        <v>93</v>
      </c>
      <c r="D25" s="6">
        <v>10000</v>
      </c>
      <c r="E25" s="6">
        <f t="shared" si="0"/>
        <v>210000</v>
      </c>
      <c r="F25" s="6">
        <f t="shared" si="1"/>
        <v>490000</v>
      </c>
    </row>
    <row r="26" spans="1:6" x14ac:dyDescent="0.35">
      <c r="A26" s="5" t="s">
        <v>96</v>
      </c>
      <c r="B26" s="5">
        <v>12726</v>
      </c>
      <c r="C26" s="5" t="s">
        <v>93</v>
      </c>
      <c r="D26" s="6">
        <v>10000</v>
      </c>
      <c r="E26" s="6">
        <f t="shared" si="0"/>
        <v>220000</v>
      </c>
      <c r="F26" s="6">
        <f t="shared" si="1"/>
        <v>480000</v>
      </c>
    </row>
    <row r="27" spans="1:6" x14ac:dyDescent="0.35">
      <c r="A27" s="5" t="s">
        <v>97</v>
      </c>
      <c r="B27" s="5">
        <v>13797</v>
      </c>
      <c r="C27" s="5" t="s">
        <v>93</v>
      </c>
      <c r="D27" s="6">
        <v>10000</v>
      </c>
      <c r="E27" s="6">
        <f t="shared" si="0"/>
        <v>230000</v>
      </c>
      <c r="F27" s="6">
        <f t="shared" si="1"/>
        <v>470000</v>
      </c>
    </row>
    <row r="28" spans="1:6" x14ac:dyDescent="0.35">
      <c r="A28" s="16">
        <v>45669</v>
      </c>
      <c r="B28" s="5">
        <v>13254</v>
      </c>
      <c r="C28" s="5" t="s">
        <v>93</v>
      </c>
      <c r="D28" s="6">
        <v>10000</v>
      </c>
      <c r="E28" s="6">
        <f t="shared" si="0"/>
        <v>240000</v>
      </c>
      <c r="F28" s="6">
        <f t="shared" si="1"/>
        <v>460000</v>
      </c>
    </row>
    <row r="29" spans="1:6" x14ac:dyDescent="0.35">
      <c r="A29" s="16">
        <v>46357</v>
      </c>
      <c r="B29" s="5">
        <v>1210</v>
      </c>
      <c r="C29" s="5" t="s">
        <v>93</v>
      </c>
      <c r="D29" s="6">
        <v>10000</v>
      </c>
      <c r="E29" s="6">
        <f t="shared" si="0"/>
        <v>250000</v>
      </c>
      <c r="F29" s="6">
        <f t="shared" si="1"/>
        <v>450000</v>
      </c>
    </row>
    <row r="30" spans="1:6" x14ac:dyDescent="0.35">
      <c r="A30" s="16">
        <v>46358</v>
      </c>
      <c r="B30" s="5">
        <v>12447</v>
      </c>
      <c r="C30" s="5" t="s">
        <v>93</v>
      </c>
      <c r="D30" s="6">
        <v>10000</v>
      </c>
      <c r="E30" s="6">
        <f t="shared" si="0"/>
        <v>260000</v>
      </c>
      <c r="F30" s="6">
        <f t="shared" si="1"/>
        <v>440000</v>
      </c>
    </row>
    <row r="31" spans="1:6" x14ac:dyDescent="0.35">
      <c r="A31" s="16">
        <v>46359</v>
      </c>
      <c r="B31" s="5">
        <v>12832</v>
      </c>
      <c r="C31" s="5" t="s">
        <v>93</v>
      </c>
      <c r="D31" s="6">
        <v>10000</v>
      </c>
      <c r="E31" s="6">
        <f t="shared" si="0"/>
        <v>270000</v>
      </c>
      <c r="F31" s="6">
        <f t="shared" si="1"/>
        <v>430000</v>
      </c>
    </row>
    <row r="32" spans="1:6" x14ac:dyDescent="0.35">
      <c r="A32" s="5" t="s">
        <v>98</v>
      </c>
      <c r="B32" s="5">
        <v>13061</v>
      </c>
      <c r="C32" s="5" t="s">
        <v>93</v>
      </c>
      <c r="D32" s="6">
        <v>10000</v>
      </c>
      <c r="E32" s="6">
        <f t="shared" si="0"/>
        <v>280000</v>
      </c>
      <c r="F32" s="6">
        <f t="shared" si="1"/>
        <v>420000</v>
      </c>
    </row>
    <row r="33" spans="1:6" x14ac:dyDescent="0.35">
      <c r="A33" s="5" t="s">
        <v>139</v>
      </c>
      <c r="B33" s="5">
        <v>13410</v>
      </c>
      <c r="C33" s="5" t="s">
        <v>93</v>
      </c>
      <c r="D33" s="6">
        <v>10000</v>
      </c>
      <c r="E33" s="6">
        <f>E32+D33</f>
        <v>290000</v>
      </c>
      <c r="F33" s="6">
        <f>F32-D33</f>
        <v>410000</v>
      </c>
    </row>
    <row r="34" spans="1:6" x14ac:dyDescent="0.35">
      <c r="A34" s="5" t="s">
        <v>135</v>
      </c>
      <c r="B34" s="5">
        <v>13658</v>
      </c>
      <c r="C34" s="5" t="s">
        <v>93</v>
      </c>
      <c r="D34" s="6">
        <v>10000</v>
      </c>
      <c r="E34" s="6">
        <f>E33+D34</f>
        <v>300000</v>
      </c>
      <c r="F34" s="6">
        <f>F33-D34</f>
        <v>400000</v>
      </c>
    </row>
    <row r="35" spans="1:6" x14ac:dyDescent="0.35">
      <c r="A35" s="5" t="s">
        <v>159</v>
      </c>
      <c r="B35" s="5">
        <v>1548</v>
      </c>
      <c r="C35" s="5" t="s">
        <v>93</v>
      </c>
      <c r="D35" s="6">
        <v>10000</v>
      </c>
      <c r="E35" s="6">
        <f>E34+D35</f>
        <v>310000</v>
      </c>
      <c r="F35" s="6">
        <f>F34-D35</f>
        <v>390000</v>
      </c>
    </row>
    <row r="36" spans="1:6" x14ac:dyDescent="0.35">
      <c r="A36" s="5" t="s">
        <v>160</v>
      </c>
      <c r="B36" s="5">
        <v>1764</v>
      </c>
      <c r="C36" s="5" t="s">
        <v>93</v>
      </c>
      <c r="D36" s="6">
        <v>10000</v>
      </c>
      <c r="E36" s="6">
        <f>E35+D36</f>
        <v>320000</v>
      </c>
      <c r="F36" s="6">
        <f>F35-D36</f>
        <v>380000</v>
      </c>
    </row>
    <row r="37" spans="1:6" x14ac:dyDescent="0.35">
      <c r="A37" s="17" t="s">
        <v>172</v>
      </c>
      <c r="B37" s="17">
        <v>2055</v>
      </c>
      <c r="C37" s="5" t="s">
        <v>93</v>
      </c>
      <c r="D37" s="10">
        <v>10000</v>
      </c>
      <c r="E37" s="10">
        <f>E36+D37</f>
        <v>330000</v>
      </c>
      <c r="F37" s="10">
        <f>F36-D37</f>
        <v>370000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BEA0-8CD2-4338-9C6D-CEF0133AF417}">
  <dimension ref="A1:F14"/>
  <sheetViews>
    <sheetView workbookViewId="0">
      <selection activeCell="H9" sqref="H9"/>
    </sheetView>
  </sheetViews>
  <sheetFormatPr defaultRowHeight="14.5" x14ac:dyDescent="0.35"/>
  <cols>
    <col min="1" max="1" width="10.453125" bestFit="1" customWidth="1"/>
    <col min="3" max="3" width="9.7265625" customWidth="1"/>
    <col min="6" max="6" width="11.1796875" customWidth="1"/>
  </cols>
  <sheetData>
    <row r="1" spans="1:6" ht="18.5" x14ac:dyDescent="0.45">
      <c r="A1" s="1" t="s">
        <v>64</v>
      </c>
      <c r="B1" s="1"/>
      <c r="C1" s="2"/>
      <c r="D1" s="1"/>
      <c r="E1" s="1"/>
      <c r="F1" s="1"/>
    </row>
    <row r="2" spans="1:6" ht="18.5" x14ac:dyDescent="0.45">
      <c r="A2" s="1" t="s">
        <v>65</v>
      </c>
      <c r="C2" s="1"/>
      <c r="D2" s="1"/>
      <c r="E2" s="1"/>
      <c r="F2" s="1"/>
    </row>
    <row r="3" spans="1:6" ht="18.5" x14ac:dyDescent="0.45">
      <c r="A3" s="1" t="s">
        <v>66</v>
      </c>
      <c r="B3" s="1"/>
      <c r="C3" s="1"/>
      <c r="D3" s="1"/>
      <c r="E3" s="1"/>
      <c r="F3" s="1"/>
    </row>
    <row r="4" spans="1:6" ht="18.5" x14ac:dyDescent="0.45">
      <c r="A4" s="1" t="s">
        <v>69</v>
      </c>
      <c r="B4" s="1"/>
      <c r="C4" s="1"/>
      <c r="D4" s="1"/>
      <c r="E4" s="1"/>
      <c r="F4" s="1"/>
    </row>
    <row r="5" spans="1:6" ht="18.5" x14ac:dyDescent="0.45">
      <c r="A5" s="1" t="s">
        <v>67</v>
      </c>
      <c r="B5" s="1"/>
      <c r="C5" s="1"/>
      <c r="D5" s="1"/>
      <c r="E5" s="1"/>
      <c r="F5" s="1"/>
    </row>
    <row r="6" spans="1:6" ht="18.5" x14ac:dyDescent="0.45">
      <c r="A6" s="1" t="s">
        <v>68</v>
      </c>
      <c r="B6" s="1"/>
      <c r="C6" s="1"/>
      <c r="D6" s="1" t="s">
        <v>46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t="s">
        <v>70</v>
      </c>
      <c r="B8">
        <v>13844</v>
      </c>
      <c r="C8" t="s">
        <v>71</v>
      </c>
      <c r="D8" s="10">
        <v>500000</v>
      </c>
      <c r="E8" s="10">
        <v>500000</v>
      </c>
      <c r="F8" s="10">
        <v>700000</v>
      </c>
    </row>
    <row r="9" spans="1:6" x14ac:dyDescent="0.35">
      <c r="A9" s="9">
        <v>45941</v>
      </c>
      <c r="B9">
        <v>13317</v>
      </c>
      <c r="C9" t="s">
        <v>49</v>
      </c>
      <c r="D9" s="10">
        <v>25000</v>
      </c>
      <c r="E9" s="10">
        <f>SUM(E8+D9)</f>
        <v>525000</v>
      </c>
      <c r="F9" s="10">
        <f>F8-D9</f>
        <v>675000</v>
      </c>
    </row>
    <row r="10" spans="1:6" x14ac:dyDescent="0.35">
      <c r="A10" s="9">
        <v>45942</v>
      </c>
      <c r="B10">
        <v>13139</v>
      </c>
      <c r="C10" t="s">
        <v>49</v>
      </c>
      <c r="D10" s="10">
        <v>25000</v>
      </c>
      <c r="E10" s="10">
        <f t="shared" ref="E10:E14" si="0">SUM(E9+D10)</f>
        <v>550000</v>
      </c>
      <c r="F10" s="10">
        <f t="shared" ref="F10:F14" si="1">F9-D10</f>
        <v>650000</v>
      </c>
    </row>
    <row r="11" spans="1:6" x14ac:dyDescent="0.35">
      <c r="A11" s="9">
        <v>46296</v>
      </c>
      <c r="B11">
        <v>12053</v>
      </c>
      <c r="C11" t="s">
        <v>49</v>
      </c>
      <c r="D11" s="10">
        <v>25000</v>
      </c>
      <c r="E11" s="10">
        <f t="shared" si="0"/>
        <v>575000</v>
      </c>
      <c r="F11" s="10">
        <f t="shared" si="1"/>
        <v>625000</v>
      </c>
    </row>
    <row r="12" spans="1:6" x14ac:dyDescent="0.35">
      <c r="A12" s="9">
        <v>46205</v>
      </c>
      <c r="B12">
        <v>12379</v>
      </c>
      <c r="C12" t="s">
        <v>49</v>
      </c>
      <c r="D12" s="10">
        <v>25000</v>
      </c>
      <c r="E12" s="10">
        <f t="shared" si="0"/>
        <v>600000</v>
      </c>
      <c r="F12" s="10">
        <f t="shared" si="1"/>
        <v>600000</v>
      </c>
    </row>
    <row r="13" spans="1:6" x14ac:dyDescent="0.35">
      <c r="A13" s="9">
        <v>46298</v>
      </c>
      <c r="B13">
        <v>12810</v>
      </c>
      <c r="C13" t="s">
        <v>49</v>
      </c>
      <c r="D13" s="10">
        <v>25000</v>
      </c>
      <c r="E13" s="10">
        <f t="shared" si="0"/>
        <v>625000</v>
      </c>
      <c r="F13" s="10">
        <f t="shared" si="1"/>
        <v>575000</v>
      </c>
    </row>
    <row r="14" spans="1:6" x14ac:dyDescent="0.35">
      <c r="A14" s="9">
        <v>46026</v>
      </c>
      <c r="B14">
        <v>13230</v>
      </c>
      <c r="C14" t="s">
        <v>49</v>
      </c>
      <c r="D14" s="10">
        <v>25000</v>
      </c>
      <c r="E14" s="10">
        <f t="shared" si="0"/>
        <v>650000</v>
      </c>
      <c r="F14" s="10">
        <f t="shared" si="1"/>
        <v>550000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4BD8-ECA3-4C40-BCF8-F1224134F3CC}">
  <dimension ref="A1:F14"/>
  <sheetViews>
    <sheetView workbookViewId="0">
      <selection activeCell="I10" sqref="I10"/>
    </sheetView>
  </sheetViews>
  <sheetFormatPr defaultRowHeight="14.5" x14ac:dyDescent="0.35"/>
  <cols>
    <col min="1" max="1" width="9.453125" bestFit="1" customWidth="1"/>
    <col min="6" max="6" width="11" customWidth="1"/>
  </cols>
  <sheetData>
    <row r="1" spans="1:6" ht="18.5" x14ac:dyDescent="0.45">
      <c r="A1" s="1" t="s">
        <v>64</v>
      </c>
      <c r="B1" s="1"/>
      <c r="C1" s="2"/>
      <c r="D1" s="1"/>
      <c r="E1" s="1"/>
      <c r="F1" s="1"/>
    </row>
    <row r="2" spans="1:6" ht="18.5" x14ac:dyDescent="0.45">
      <c r="A2" s="1" t="s">
        <v>65</v>
      </c>
      <c r="C2" s="1"/>
      <c r="D2" s="1"/>
      <c r="E2" s="1"/>
      <c r="F2" s="1"/>
    </row>
    <row r="3" spans="1:6" ht="18.5" x14ac:dyDescent="0.45">
      <c r="A3" s="1" t="s">
        <v>66</v>
      </c>
      <c r="B3" s="1"/>
      <c r="C3" s="1"/>
      <c r="D3" s="1"/>
      <c r="E3" s="1"/>
      <c r="F3" s="1"/>
    </row>
    <row r="4" spans="1:6" ht="18.5" x14ac:dyDescent="0.45">
      <c r="A4" s="1" t="s">
        <v>73</v>
      </c>
      <c r="B4" s="1"/>
      <c r="C4" s="1"/>
      <c r="D4" s="1"/>
      <c r="E4" s="1"/>
      <c r="F4" s="1"/>
    </row>
    <row r="5" spans="1:6" ht="18.5" x14ac:dyDescent="0.45">
      <c r="A5" s="1" t="s">
        <v>67</v>
      </c>
      <c r="B5" s="1"/>
      <c r="C5" s="1"/>
      <c r="D5" s="1"/>
      <c r="E5" s="1"/>
      <c r="F5" s="1"/>
    </row>
    <row r="6" spans="1:6" ht="18.5" x14ac:dyDescent="0.45">
      <c r="A6" s="1" t="s">
        <v>72</v>
      </c>
      <c r="B6" s="1"/>
      <c r="C6" s="1"/>
      <c r="D6" s="1" t="s">
        <v>46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t="s">
        <v>70</v>
      </c>
      <c r="B8">
        <v>13845</v>
      </c>
      <c r="C8" t="s">
        <v>71</v>
      </c>
      <c r="D8" s="10">
        <v>500000</v>
      </c>
      <c r="E8" s="10">
        <v>500000</v>
      </c>
      <c r="F8" s="10">
        <v>700000</v>
      </c>
    </row>
    <row r="9" spans="1:6" x14ac:dyDescent="0.35">
      <c r="A9" s="9">
        <v>45941</v>
      </c>
      <c r="B9">
        <v>13318</v>
      </c>
      <c r="C9" t="s">
        <v>49</v>
      </c>
      <c r="D9" s="10">
        <v>25000</v>
      </c>
      <c r="E9" s="10">
        <f>SUM(E8+D9)</f>
        <v>525000</v>
      </c>
      <c r="F9" s="10">
        <f>F8-D9</f>
        <v>675000</v>
      </c>
    </row>
    <row r="10" spans="1:6" x14ac:dyDescent="0.35">
      <c r="A10" s="9">
        <v>45942</v>
      </c>
      <c r="B10">
        <v>13135</v>
      </c>
      <c r="C10" t="s">
        <v>49</v>
      </c>
      <c r="D10" s="10">
        <v>25000</v>
      </c>
      <c r="E10" s="10">
        <f t="shared" ref="E10:E14" si="0">SUM(E9+D10)</f>
        <v>550000</v>
      </c>
      <c r="F10" s="10">
        <f t="shared" ref="F10:F14" si="1">F9-D10</f>
        <v>650000</v>
      </c>
    </row>
    <row r="11" spans="1:6" x14ac:dyDescent="0.35">
      <c r="A11" s="9">
        <v>46296</v>
      </c>
      <c r="B11">
        <v>12054</v>
      </c>
      <c r="C11" t="s">
        <v>49</v>
      </c>
      <c r="D11" s="10">
        <v>25000</v>
      </c>
      <c r="E11" s="10">
        <f t="shared" si="0"/>
        <v>575000</v>
      </c>
      <c r="F11" s="10">
        <f t="shared" si="1"/>
        <v>625000</v>
      </c>
    </row>
    <row r="12" spans="1:6" x14ac:dyDescent="0.35">
      <c r="A12" s="9">
        <v>46205</v>
      </c>
      <c r="B12">
        <v>12380</v>
      </c>
      <c r="C12" t="s">
        <v>49</v>
      </c>
      <c r="D12" s="10">
        <v>25000</v>
      </c>
      <c r="E12" s="10">
        <f t="shared" si="0"/>
        <v>600000</v>
      </c>
      <c r="F12" s="10">
        <f t="shared" si="1"/>
        <v>600000</v>
      </c>
    </row>
    <row r="13" spans="1:6" x14ac:dyDescent="0.35">
      <c r="A13" s="9">
        <v>46298</v>
      </c>
      <c r="B13">
        <v>12811</v>
      </c>
      <c r="C13" t="s">
        <v>49</v>
      </c>
      <c r="D13" s="10">
        <v>25000</v>
      </c>
      <c r="E13" s="10">
        <f t="shared" si="0"/>
        <v>625000</v>
      </c>
      <c r="F13" s="10">
        <f t="shared" si="1"/>
        <v>575000</v>
      </c>
    </row>
    <row r="14" spans="1:6" x14ac:dyDescent="0.35">
      <c r="A14" s="9">
        <v>46330</v>
      </c>
      <c r="B14">
        <v>13229</v>
      </c>
      <c r="C14" t="s">
        <v>49</v>
      </c>
      <c r="D14" s="10">
        <v>25000</v>
      </c>
      <c r="E14" s="10">
        <f t="shared" si="0"/>
        <v>650000</v>
      </c>
      <c r="F14" s="10">
        <f t="shared" si="1"/>
        <v>550000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E49F4-54A4-4C16-AF35-76427738E866}">
  <dimension ref="A1:F26"/>
  <sheetViews>
    <sheetView workbookViewId="0">
      <selection activeCell="A7" sqref="A7:F7"/>
    </sheetView>
  </sheetViews>
  <sheetFormatPr defaultRowHeight="14.5" x14ac:dyDescent="0.35"/>
  <cols>
    <col min="1" max="1" width="9.453125" bestFit="1" customWidth="1"/>
    <col min="2" max="2" width="8.81640625" customWidth="1"/>
    <col min="3" max="3" width="14.08984375" customWidth="1"/>
    <col min="4" max="4" width="12" customWidth="1"/>
    <col min="6" max="6" width="11.26953125" customWidth="1"/>
  </cols>
  <sheetData>
    <row r="1" spans="1:6" ht="18.5" x14ac:dyDescent="0.45">
      <c r="A1" s="1" t="s">
        <v>51</v>
      </c>
      <c r="B1" s="1"/>
      <c r="C1" s="2"/>
      <c r="D1" s="1"/>
      <c r="E1" s="1"/>
      <c r="F1" s="1"/>
    </row>
    <row r="2" spans="1:6" ht="18.5" x14ac:dyDescent="0.45">
      <c r="A2" s="1" t="s">
        <v>52</v>
      </c>
      <c r="C2" s="1"/>
      <c r="D2" s="1"/>
      <c r="E2" s="1"/>
      <c r="F2" s="1"/>
    </row>
    <row r="3" spans="1:6" ht="18.5" x14ac:dyDescent="0.45">
      <c r="A3" s="1" t="s">
        <v>53</v>
      </c>
      <c r="B3" s="1"/>
      <c r="C3" s="1"/>
      <c r="D3" s="1"/>
      <c r="E3" s="1"/>
      <c r="F3" s="1"/>
    </row>
    <row r="4" spans="1:6" ht="18.5" x14ac:dyDescent="0.45">
      <c r="A4" s="1" t="s">
        <v>56</v>
      </c>
      <c r="B4" s="1"/>
      <c r="C4" s="1"/>
      <c r="D4" s="1"/>
      <c r="E4" s="1"/>
      <c r="F4" s="1"/>
    </row>
    <row r="5" spans="1:6" ht="18.5" x14ac:dyDescent="0.45">
      <c r="A5" s="1" t="s">
        <v>54</v>
      </c>
      <c r="B5" s="1"/>
      <c r="C5" s="1"/>
      <c r="D5" s="1"/>
      <c r="E5" s="1"/>
      <c r="F5" s="1"/>
    </row>
    <row r="6" spans="1:6" ht="18.5" x14ac:dyDescent="0.45">
      <c r="A6" s="1" t="s">
        <v>55</v>
      </c>
      <c r="B6" s="1"/>
      <c r="C6" s="1"/>
      <c r="D6" s="1" t="s">
        <v>46</v>
      </c>
      <c r="E6" s="1"/>
      <c r="F6" s="1"/>
    </row>
    <row r="7" spans="1:6" x14ac:dyDescent="0.35">
      <c r="A7" s="18" t="s">
        <v>0</v>
      </c>
      <c r="B7" s="18" t="s">
        <v>1</v>
      </c>
      <c r="C7" s="18" t="s">
        <v>2</v>
      </c>
      <c r="D7" s="18" t="s">
        <v>3</v>
      </c>
      <c r="E7" s="18" t="s">
        <v>4</v>
      </c>
      <c r="F7" s="18" t="s">
        <v>5</v>
      </c>
    </row>
    <row r="8" spans="1:6" x14ac:dyDescent="0.35">
      <c r="A8" s="9">
        <v>44997</v>
      </c>
      <c r="B8">
        <v>5274</v>
      </c>
      <c r="C8" s="10" t="s">
        <v>57</v>
      </c>
      <c r="D8" s="10">
        <v>1200000</v>
      </c>
      <c r="E8" s="10">
        <v>1200000</v>
      </c>
      <c r="F8" t="s">
        <v>58</v>
      </c>
    </row>
    <row r="10" spans="1:6" x14ac:dyDescent="0.35">
      <c r="A10" t="s">
        <v>59</v>
      </c>
    </row>
    <row r="12" spans="1:6" ht="18.5" x14ac:dyDescent="0.45">
      <c r="A12" s="19" t="s">
        <v>100</v>
      </c>
      <c r="B12" s="19"/>
      <c r="C12" s="19"/>
    </row>
    <row r="13" spans="1:6" x14ac:dyDescent="0.35">
      <c r="A13" s="21" t="s">
        <v>0</v>
      </c>
      <c r="B13" s="21" t="s">
        <v>1</v>
      </c>
      <c r="C13" s="21" t="s">
        <v>2</v>
      </c>
      <c r="D13" s="21" t="s">
        <v>3</v>
      </c>
      <c r="E13" s="21" t="s">
        <v>4</v>
      </c>
      <c r="F13" s="21" t="s">
        <v>5</v>
      </c>
    </row>
    <row r="14" spans="1:6" x14ac:dyDescent="0.35">
      <c r="A14" s="22" t="s">
        <v>191</v>
      </c>
      <c r="B14" s="22">
        <v>3420</v>
      </c>
      <c r="C14" s="22" t="s">
        <v>192</v>
      </c>
      <c r="D14" s="23">
        <v>5000</v>
      </c>
      <c r="E14" s="23">
        <v>5000</v>
      </c>
      <c r="F14" s="24">
        <v>445000</v>
      </c>
    </row>
    <row r="15" spans="1:6" ht="26" x14ac:dyDescent="0.35">
      <c r="A15" s="25" t="s">
        <v>173</v>
      </c>
      <c r="B15" s="26" t="s">
        <v>174</v>
      </c>
      <c r="C15" s="26" t="s">
        <v>175</v>
      </c>
      <c r="D15" s="25">
        <v>5000</v>
      </c>
      <c r="E15" s="6">
        <f t="shared" ref="E15:E26" si="0">E14+D15</f>
        <v>10000</v>
      </c>
      <c r="F15" s="24">
        <f t="shared" ref="F15:F26" si="1">F14-D15</f>
        <v>440000</v>
      </c>
    </row>
    <row r="16" spans="1:6" ht="26" x14ac:dyDescent="0.35">
      <c r="A16" s="25" t="s">
        <v>176</v>
      </c>
      <c r="B16" s="26" t="s">
        <v>177</v>
      </c>
      <c r="C16" s="26" t="s">
        <v>175</v>
      </c>
      <c r="D16" s="25">
        <v>5000</v>
      </c>
      <c r="E16" s="6">
        <f t="shared" si="0"/>
        <v>15000</v>
      </c>
      <c r="F16" s="24">
        <f t="shared" si="1"/>
        <v>435000</v>
      </c>
    </row>
    <row r="17" spans="1:6" ht="26" x14ac:dyDescent="0.35">
      <c r="A17" s="25" t="s">
        <v>178</v>
      </c>
      <c r="B17" s="26" t="s">
        <v>179</v>
      </c>
      <c r="C17" s="26" t="s">
        <v>175</v>
      </c>
      <c r="D17" s="25">
        <v>5000</v>
      </c>
      <c r="E17" s="6">
        <f t="shared" si="0"/>
        <v>20000</v>
      </c>
      <c r="F17" s="24">
        <f t="shared" si="1"/>
        <v>430000</v>
      </c>
    </row>
    <row r="18" spans="1:6" ht="26" x14ac:dyDescent="0.35">
      <c r="A18" s="25" t="s">
        <v>180</v>
      </c>
      <c r="B18" s="26" t="s">
        <v>181</v>
      </c>
      <c r="C18" s="26" t="s">
        <v>175</v>
      </c>
      <c r="D18" s="25">
        <v>5000</v>
      </c>
      <c r="E18" s="6">
        <f t="shared" si="0"/>
        <v>25000</v>
      </c>
      <c r="F18" s="24">
        <f t="shared" si="1"/>
        <v>425000</v>
      </c>
    </row>
    <row r="19" spans="1:6" ht="26" x14ac:dyDescent="0.35">
      <c r="A19" s="25" t="s">
        <v>182</v>
      </c>
      <c r="B19" s="26" t="s">
        <v>183</v>
      </c>
      <c r="C19" s="26" t="s">
        <v>175</v>
      </c>
      <c r="D19" s="25">
        <v>5000</v>
      </c>
      <c r="E19" s="6">
        <f t="shared" si="0"/>
        <v>30000</v>
      </c>
      <c r="F19" s="24">
        <f t="shared" si="1"/>
        <v>420000</v>
      </c>
    </row>
    <row r="20" spans="1:6" ht="26" x14ac:dyDescent="0.35">
      <c r="A20" s="27">
        <v>46115</v>
      </c>
      <c r="B20" s="26" t="s">
        <v>184</v>
      </c>
      <c r="C20" s="26" t="s">
        <v>185</v>
      </c>
      <c r="D20" s="25">
        <v>5000</v>
      </c>
      <c r="E20" s="6">
        <f t="shared" si="0"/>
        <v>35000</v>
      </c>
      <c r="F20" s="24">
        <f t="shared" si="1"/>
        <v>415000</v>
      </c>
    </row>
    <row r="21" spans="1:6" x14ac:dyDescent="0.35">
      <c r="A21" s="27">
        <v>46177</v>
      </c>
      <c r="B21" s="25">
        <v>5866</v>
      </c>
      <c r="C21" s="26" t="s">
        <v>185</v>
      </c>
      <c r="D21" s="25">
        <v>5000</v>
      </c>
      <c r="E21" s="6">
        <f t="shared" si="0"/>
        <v>40000</v>
      </c>
      <c r="F21" s="24">
        <f t="shared" si="1"/>
        <v>410000</v>
      </c>
    </row>
    <row r="22" spans="1:6" ht="26" x14ac:dyDescent="0.35">
      <c r="A22" s="27">
        <v>46147</v>
      </c>
      <c r="B22" s="26" t="s">
        <v>186</v>
      </c>
      <c r="C22" s="26" t="s">
        <v>185</v>
      </c>
      <c r="D22" s="25">
        <v>5000</v>
      </c>
      <c r="E22" s="6">
        <f t="shared" si="0"/>
        <v>45000</v>
      </c>
      <c r="F22" s="24">
        <f t="shared" si="1"/>
        <v>405000</v>
      </c>
    </row>
    <row r="23" spans="1:6" ht="26" x14ac:dyDescent="0.35">
      <c r="A23" s="27">
        <v>46148</v>
      </c>
      <c r="B23" s="26" t="s">
        <v>187</v>
      </c>
      <c r="C23" s="26" t="s">
        <v>185</v>
      </c>
      <c r="D23" s="25">
        <v>5000</v>
      </c>
      <c r="E23" s="6">
        <f t="shared" si="0"/>
        <v>50000</v>
      </c>
      <c r="F23" s="24">
        <f t="shared" si="1"/>
        <v>400000</v>
      </c>
    </row>
    <row r="24" spans="1:6" ht="26" x14ac:dyDescent="0.35">
      <c r="A24" s="27">
        <v>46210</v>
      </c>
      <c r="B24" s="26" t="s">
        <v>188</v>
      </c>
      <c r="C24" s="26" t="s">
        <v>185</v>
      </c>
      <c r="D24" s="25">
        <v>5000</v>
      </c>
      <c r="E24" s="6">
        <f t="shared" si="0"/>
        <v>55000</v>
      </c>
      <c r="F24" s="6">
        <f t="shared" si="1"/>
        <v>395000</v>
      </c>
    </row>
    <row r="25" spans="1:6" ht="26" x14ac:dyDescent="0.35">
      <c r="A25" s="27">
        <v>46364</v>
      </c>
      <c r="B25" s="26" t="s">
        <v>189</v>
      </c>
      <c r="C25" s="26" t="s">
        <v>185</v>
      </c>
      <c r="D25" s="25">
        <v>5000</v>
      </c>
      <c r="E25" s="28">
        <f t="shared" si="0"/>
        <v>60000</v>
      </c>
      <c r="F25" s="6">
        <f t="shared" si="1"/>
        <v>390000</v>
      </c>
    </row>
    <row r="26" spans="1:6" ht="26" x14ac:dyDescent="0.35">
      <c r="A26" s="27">
        <v>46274</v>
      </c>
      <c r="B26" s="26" t="s">
        <v>190</v>
      </c>
      <c r="C26" s="26" t="s">
        <v>185</v>
      </c>
      <c r="D26" s="25">
        <v>5000</v>
      </c>
      <c r="E26" s="28">
        <f t="shared" si="0"/>
        <v>65000</v>
      </c>
      <c r="F26" s="6">
        <f t="shared" si="1"/>
        <v>385000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7D2E-FBFB-4FE3-8B49-3B4C267908BA}">
  <dimension ref="A1:F26"/>
  <sheetViews>
    <sheetView tabSelected="1" workbookViewId="0">
      <selection activeCell="C29" sqref="C29"/>
    </sheetView>
  </sheetViews>
  <sheetFormatPr defaultRowHeight="14.5" x14ac:dyDescent="0.35"/>
  <cols>
    <col min="1" max="1" width="9.453125" bestFit="1" customWidth="1"/>
    <col min="3" max="3" width="13.6328125" customWidth="1"/>
    <col min="4" max="4" width="10.81640625" customWidth="1"/>
    <col min="5" max="5" width="11.26953125" customWidth="1"/>
    <col min="6" max="6" width="11.453125" customWidth="1"/>
  </cols>
  <sheetData>
    <row r="1" spans="1:6" ht="18.5" x14ac:dyDescent="0.45">
      <c r="A1" s="1" t="s">
        <v>216</v>
      </c>
      <c r="B1" s="1"/>
      <c r="C1" s="2"/>
      <c r="D1" s="1"/>
      <c r="E1" s="1"/>
      <c r="F1" s="1"/>
    </row>
    <row r="2" spans="1:6" ht="18.5" x14ac:dyDescent="0.45">
      <c r="A2" s="1" t="s">
        <v>217</v>
      </c>
      <c r="C2" s="1"/>
      <c r="D2" s="1"/>
      <c r="E2" s="1"/>
      <c r="F2" s="1"/>
    </row>
    <row r="3" spans="1:6" ht="18.5" x14ac:dyDescent="0.45">
      <c r="A3" s="1" t="s">
        <v>218</v>
      </c>
      <c r="B3" s="1"/>
      <c r="C3" s="1"/>
      <c r="D3" s="1"/>
      <c r="E3" s="1"/>
      <c r="F3" s="1"/>
    </row>
    <row r="4" spans="1:6" ht="18.5" x14ac:dyDescent="0.45">
      <c r="A4" s="1" t="s">
        <v>229</v>
      </c>
      <c r="B4" s="1"/>
      <c r="C4" s="1"/>
      <c r="D4" s="1"/>
      <c r="E4" s="1"/>
      <c r="F4" s="1"/>
    </row>
    <row r="5" spans="1:6" ht="18.5" x14ac:dyDescent="0.45">
      <c r="A5" s="1" t="s">
        <v>219</v>
      </c>
      <c r="B5" s="1"/>
      <c r="C5" s="1"/>
      <c r="D5" s="1"/>
      <c r="E5" s="1"/>
      <c r="F5" s="1"/>
    </row>
    <row r="6" spans="1:6" ht="18.5" x14ac:dyDescent="0.45">
      <c r="A6" s="1" t="s">
        <v>62</v>
      </c>
      <c r="B6" s="1"/>
      <c r="C6" s="1"/>
      <c r="D6" s="1" t="s">
        <v>220</v>
      </c>
      <c r="E6" s="1"/>
      <c r="F6" s="1"/>
    </row>
    <row r="7" spans="1:6" ht="18.5" x14ac:dyDescent="0.45">
      <c r="B7" s="29" t="s">
        <v>221</v>
      </c>
      <c r="C7" s="30"/>
    </row>
    <row r="8" spans="1:6" ht="18.5" x14ac:dyDescent="0.45">
      <c r="A8" s="1" t="s">
        <v>224</v>
      </c>
      <c r="B8" s="1" t="s">
        <v>226</v>
      </c>
      <c r="C8" s="1"/>
      <c r="D8" s="1"/>
      <c r="E8" s="1"/>
    </row>
    <row r="9" spans="1:6" ht="18.5" x14ac:dyDescent="0.45">
      <c r="A9" s="1" t="s">
        <v>225</v>
      </c>
      <c r="B9" s="1" t="s">
        <v>227</v>
      </c>
      <c r="C9" s="1"/>
      <c r="D9" s="1"/>
      <c r="E9" s="1"/>
    </row>
    <row r="10" spans="1:6" ht="18.5" x14ac:dyDescent="0.45">
      <c r="A10" s="1" t="s">
        <v>223</v>
      </c>
      <c r="B10" s="1" t="s">
        <v>228</v>
      </c>
      <c r="C10" s="1"/>
      <c r="D10" s="1"/>
      <c r="E10" s="1"/>
    </row>
    <row r="11" spans="1:6" ht="18.5" x14ac:dyDescent="0.45">
      <c r="A11" s="1" t="s">
        <v>219</v>
      </c>
    </row>
    <row r="12" spans="1:6" x14ac:dyDescent="0.35">
      <c r="A12" s="18" t="s">
        <v>0</v>
      </c>
      <c r="B12" s="18" t="s">
        <v>1</v>
      </c>
      <c r="C12" s="18" t="s">
        <v>2</v>
      </c>
      <c r="D12" s="18" t="s">
        <v>3</v>
      </c>
      <c r="E12" s="18" t="s">
        <v>4</v>
      </c>
      <c r="F12" s="18" t="s">
        <v>5</v>
      </c>
    </row>
    <row r="13" spans="1:6" ht="26" x14ac:dyDescent="0.35">
      <c r="A13" s="27">
        <v>45547</v>
      </c>
      <c r="B13" s="25">
        <v>12274</v>
      </c>
      <c r="C13" s="26" t="s">
        <v>230</v>
      </c>
      <c r="D13" s="24">
        <v>500000</v>
      </c>
      <c r="E13" s="24">
        <v>500000</v>
      </c>
      <c r="F13" s="24">
        <v>400000</v>
      </c>
    </row>
    <row r="14" spans="1:6" x14ac:dyDescent="0.35">
      <c r="A14" s="25" t="s">
        <v>231</v>
      </c>
      <c r="B14" s="25">
        <v>12099</v>
      </c>
      <c r="C14" s="26" t="s">
        <v>93</v>
      </c>
      <c r="D14" s="24">
        <v>33000</v>
      </c>
      <c r="E14" s="24">
        <v>533000</v>
      </c>
      <c r="F14" s="24">
        <v>367000</v>
      </c>
    </row>
    <row r="15" spans="1:6" x14ac:dyDescent="0.35">
      <c r="A15" s="25" t="s">
        <v>232</v>
      </c>
      <c r="B15" s="25">
        <v>9490</v>
      </c>
      <c r="C15" s="26" t="s">
        <v>93</v>
      </c>
      <c r="D15" s="24">
        <v>34000</v>
      </c>
      <c r="E15" s="24">
        <v>567000</v>
      </c>
      <c r="F15" s="24">
        <v>333000</v>
      </c>
    </row>
    <row r="16" spans="1:6" x14ac:dyDescent="0.35">
      <c r="A16" s="25" t="s">
        <v>233</v>
      </c>
      <c r="B16" s="25">
        <v>10661</v>
      </c>
      <c r="C16" s="26" t="s">
        <v>93</v>
      </c>
      <c r="D16" s="24">
        <v>100000</v>
      </c>
      <c r="E16" s="24">
        <v>667000</v>
      </c>
      <c r="F16" s="24">
        <v>233000</v>
      </c>
    </row>
    <row r="17" spans="1:6" x14ac:dyDescent="0.35">
      <c r="A17" s="25" t="s">
        <v>234</v>
      </c>
      <c r="B17" s="25">
        <v>12532</v>
      </c>
      <c r="C17" s="26" t="s">
        <v>93</v>
      </c>
      <c r="D17" s="24">
        <v>65000</v>
      </c>
      <c r="E17" s="24">
        <v>732000</v>
      </c>
      <c r="F17" s="24">
        <v>268000</v>
      </c>
    </row>
    <row r="18" spans="1:6" x14ac:dyDescent="0.35">
      <c r="A18" s="25" t="s">
        <v>191</v>
      </c>
      <c r="B18" s="25">
        <v>12533</v>
      </c>
      <c r="C18" s="26" t="s">
        <v>93</v>
      </c>
      <c r="D18" s="24">
        <v>33000</v>
      </c>
      <c r="E18" s="24">
        <v>765000</v>
      </c>
      <c r="F18" s="24">
        <v>135000</v>
      </c>
    </row>
    <row r="19" spans="1:6" x14ac:dyDescent="0.35">
      <c r="A19" s="25" t="s">
        <v>235</v>
      </c>
      <c r="B19" s="25">
        <v>13988</v>
      </c>
      <c r="C19" s="26" t="s">
        <v>93</v>
      </c>
      <c r="D19" s="24">
        <v>33000</v>
      </c>
      <c r="E19" s="24">
        <v>798000</v>
      </c>
      <c r="F19" s="24">
        <v>102000</v>
      </c>
    </row>
    <row r="20" spans="1:6" x14ac:dyDescent="0.35">
      <c r="A20" s="25" t="s">
        <v>236</v>
      </c>
      <c r="B20" s="25">
        <v>13513</v>
      </c>
      <c r="C20" s="26" t="s">
        <v>93</v>
      </c>
      <c r="D20" s="24">
        <v>33000</v>
      </c>
      <c r="E20" s="24">
        <v>831000</v>
      </c>
      <c r="F20" s="24">
        <v>69000</v>
      </c>
    </row>
    <row r="21" spans="1:6" x14ac:dyDescent="0.35">
      <c r="A21" s="25" t="s">
        <v>237</v>
      </c>
      <c r="B21" s="25">
        <v>13383</v>
      </c>
      <c r="C21" s="26" t="s">
        <v>93</v>
      </c>
      <c r="D21" s="24">
        <v>33000</v>
      </c>
      <c r="E21" s="24">
        <v>864000</v>
      </c>
      <c r="F21" s="24">
        <v>36000</v>
      </c>
    </row>
    <row r="22" spans="1:6" x14ac:dyDescent="0.35">
      <c r="A22" s="25" t="s">
        <v>238</v>
      </c>
      <c r="B22" s="25">
        <v>12627</v>
      </c>
      <c r="C22" s="26" t="s">
        <v>93</v>
      </c>
      <c r="D22" s="24">
        <v>36000</v>
      </c>
      <c r="E22" s="24">
        <v>900000</v>
      </c>
      <c r="F22" s="31" t="s">
        <v>239</v>
      </c>
    </row>
    <row r="24" spans="1:6" ht="18" x14ac:dyDescent="0.4">
      <c r="A24" s="32" t="s">
        <v>240</v>
      </c>
      <c r="B24" s="33"/>
      <c r="C24" s="34"/>
    </row>
    <row r="25" spans="1:6" x14ac:dyDescent="0.35">
      <c r="A25" s="18" t="s">
        <v>0</v>
      </c>
      <c r="B25" s="18" t="s">
        <v>1</v>
      </c>
      <c r="C25" s="18" t="s">
        <v>2</v>
      </c>
      <c r="D25" s="18" t="s">
        <v>3</v>
      </c>
      <c r="E25" s="18" t="s">
        <v>4</v>
      </c>
      <c r="F25" s="18" t="s">
        <v>5</v>
      </c>
    </row>
    <row r="26" spans="1:6" ht="18.5" x14ac:dyDescent="0.45">
      <c r="A26" s="16">
        <v>46032</v>
      </c>
      <c r="B26" s="5">
        <v>2136</v>
      </c>
      <c r="C26" s="5" t="s">
        <v>192</v>
      </c>
      <c r="D26" s="6">
        <v>250000</v>
      </c>
      <c r="E26" s="6">
        <v>250000</v>
      </c>
      <c r="F26" s="35" t="s">
        <v>239</v>
      </c>
    </row>
  </sheetData>
  <mergeCells count="1">
    <mergeCell ref="A24:C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D92F-675D-4235-8507-B4ACDC7769CD}">
  <dimension ref="A1:F26"/>
  <sheetViews>
    <sheetView topLeftCell="A2" workbookViewId="0">
      <selection activeCell="A7" sqref="A7"/>
    </sheetView>
  </sheetViews>
  <sheetFormatPr defaultRowHeight="14.5" x14ac:dyDescent="0.35"/>
  <cols>
    <col min="1" max="1" width="10.54296875" customWidth="1"/>
    <col min="3" max="3" width="13.453125" customWidth="1"/>
    <col min="4" max="4" width="11.26953125" customWidth="1"/>
    <col min="5" max="5" width="10.26953125" customWidth="1"/>
    <col min="6" max="6" width="11.36328125" customWidth="1"/>
  </cols>
  <sheetData>
    <row r="1" spans="1:6" ht="18.5" x14ac:dyDescent="0.45">
      <c r="A1" s="1" t="s">
        <v>216</v>
      </c>
      <c r="B1" s="1"/>
      <c r="C1" s="2"/>
      <c r="D1" s="1"/>
      <c r="E1" s="1"/>
      <c r="F1" s="1"/>
    </row>
    <row r="2" spans="1:6" ht="18.5" x14ac:dyDescent="0.45">
      <c r="A2" s="1" t="s">
        <v>217</v>
      </c>
      <c r="C2" s="1"/>
      <c r="D2" s="1"/>
      <c r="E2" s="1"/>
      <c r="F2" s="1"/>
    </row>
    <row r="3" spans="1:6" ht="18.5" x14ac:dyDescent="0.45">
      <c r="A3" s="1" t="s">
        <v>218</v>
      </c>
      <c r="B3" s="1"/>
      <c r="C3" s="1"/>
      <c r="D3" s="1"/>
      <c r="E3" s="1"/>
      <c r="F3" s="1"/>
    </row>
    <row r="4" spans="1:6" ht="18.5" x14ac:dyDescent="0.45">
      <c r="A4" s="1" t="s">
        <v>222</v>
      </c>
      <c r="B4" s="1"/>
      <c r="C4" s="1"/>
      <c r="D4" s="1"/>
      <c r="E4" s="1"/>
      <c r="F4" s="1"/>
    </row>
    <row r="5" spans="1:6" ht="18.5" x14ac:dyDescent="0.45">
      <c r="A5" s="1" t="s">
        <v>219</v>
      </c>
      <c r="B5" s="1"/>
      <c r="C5" s="1"/>
      <c r="D5" s="1"/>
      <c r="E5" s="1"/>
      <c r="F5" s="1"/>
    </row>
    <row r="6" spans="1:6" ht="18.5" x14ac:dyDescent="0.45">
      <c r="A6" s="1" t="s">
        <v>60</v>
      </c>
      <c r="B6" s="1"/>
      <c r="C6" s="1"/>
      <c r="D6" s="1" t="s">
        <v>220</v>
      </c>
      <c r="E6" s="1"/>
      <c r="F6" s="1"/>
    </row>
    <row r="7" spans="1:6" ht="18.5" x14ac:dyDescent="0.45">
      <c r="B7" s="29" t="s">
        <v>221</v>
      </c>
      <c r="C7" s="30"/>
    </row>
    <row r="8" spans="1:6" ht="18.5" x14ac:dyDescent="0.45">
      <c r="A8" s="1" t="s">
        <v>224</v>
      </c>
      <c r="B8" s="1" t="s">
        <v>226</v>
      </c>
      <c r="C8" s="1"/>
      <c r="D8" s="1"/>
      <c r="E8" s="1"/>
    </row>
    <row r="9" spans="1:6" ht="18.5" x14ac:dyDescent="0.45">
      <c r="A9" s="1" t="s">
        <v>225</v>
      </c>
      <c r="B9" s="1" t="s">
        <v>227</v>
      </c>
      <c r="C9" s="1"/>
      <c r="D9" s="1"/>
      <c r="E9" s="1"/>
    </row>
    <row r="10" spans="1:6" ht="18.5" x14ac:dyDescent="0.45">
      <c r="A10" s="1" t="s">
        <v>223</v>
      </c>
      <c r="B10" s="1" t="s">
        <v>228</v>
      </c>
      <c r="C10" s="1"/>
      <c r="D10" s="1"/>
      <c r="E10" s="1"/>
    </row>
    <row r="11" spans="1:6" ht="18.5" x14ac:dyDescent="0.45">
      <c r="A11" s="1" t="s">
        <v>219</v>
      </c>
    </row>
    <row r="12" spans="1:6" x14ac:dyDescent="0.35">
      <c r="A12" s="18" t="s">
        <v>0</v>
      </c>
      <c r="B12" s="18" t="s">
        <v>1</v>
      </c>
      <c r="C12" s="18" t="s">
        <v>2</v>
      </c>
      <c r="D12" s="18" t="s">
        <v>3</v>
      </c>
      <c r="E12" s="18" t="s">
        <v>4</v>
      </c>
      <c r="F12" s="18" t="s">
        <v>5</v>
      </c>
    </row>
    <row r="13" spans="1:6" ht="26" x14ac:dyDescent="0.35">
      <c r="A13" s="27">
        <v>45547</v>
      </c>
      <c r="B13" s="25">
        <v>12275</v>
      </c>
      <c r="C13" s="26" t="s">
        <v>230</v>
      </c>
      <c r="D13" s="24">
        <v>500000</v>
      </c>
      <c r="E13" s="24">
        <v>500000</v>
      </c>
      <c r="F13" s="24">
        <v>400000</v>
      </c>
    </row>
    <row r="14" spans="1:6" ht="26" x14ac:dyDescent="0.35">
      <c r="A14" s="25" t="s">
        <v>231</v>
      </c>
      <c r="B14" s="25">
        <v>12099</v>
      </c>
      <c r="C14" s="26" t="s">
        <v>93</v>
      </c>
      <c r="D14" s="24">
        <v>33000</v>
      </c>
      <c r="E14" s="24">
        <v>533000</v>
      </c>
      <c r="F14" s="24">
        <v>367000</v>
      </c>
    </row>
    <row r="15" spans="1:6" x14ac:dyDescent="0.35">
      <c r="A15" s="25" t="s">
        <v>232</v>
      </c>
      <c r="B15" s="25">
        <v>9489</v>
      </c>
      <c r="C15" s="26" t="s">
        <v>93</v>
      </c>
      <c r="D15" s="24">
        <v>34000</v>
      </c>
      <c r="E15" s="24">
        <v>567000</v>
      </c>
      <c r="F15" s="24">
        <v>333000</v>
      </c>
    </row>
    <row r="16" spans="1:6" x14ac:dyDescent="0.35">
      <c r="A16" s="25" t="s">
        <v>233</v>
      </c>
      <c r="B16" s="25">
        <v>10679</v>
      </c>
      <c r="C16" s="26" t="s">
        <v>93</v>
      </c>
      <c r="D16" s="24">
        <v>100000</v>
      </c>
      <c r="E16" s="24">
        <v>667000</v>
      </c>
      <c r="F16" s="24">
        <v>233000</v>
      </c>
    </row>
    <row r="17" spans="1:6" x14ac:dyDescent="0.35">
      <c r="A17" s="25" t="s">
        <v>234</v>
      </c>
      <c r="B17" s="25">
        <v>12534</v>
      </c>
      <c r="C17" s="26" t="s">
        <v>93</v>
      </c>
      <c r="D17" s="24">
        <v>65000</v>
      </c>
      <c r="E17" s="24">
        <v>732000</v>
      </c>
      <c r="F17" s="24">
        <v>268000</v>
      </c>
    </row>
    <row r="18" spans="1:6" x14ac:dyDescent="0.35">
      <c r="A18" s="25" t="s">
        <v>191</v>
      </c>
      <c r="B18" s="25">
        <v>12535</v>
      </c>
      <c r="C18" s="26" t="s">
        <v>93</v>
      </c>
      <c r="D18" s="24">
        <v>33000</v>
      </c>
      <c r="E18" s="24">
        <v>765000</v>
      </c>
      <c r="F18" s="24">
        <v>135000</v>
      </c>
    </row>
    <row r="19" spans="1:6" x14ac:dyDescent="0.35">
      <c r="A19" s="25" t="s">
        <v>235</v>
      </c>
      <c r="B19" s="25">
        <v>13983</v>
      </c>
      <c r="C19" s="26" t="s">
        <v>93</v>
      </c>
      <c r="D19" s="24">
        <v>33000</v>
      </c>
      <c r="E19" s="24">
        <v>798000</v>
      </c>
      <c r="F19" s="24">
        <v>102000</v>
      </c>
    </row>
    <row r="20" spans="1:6" x14ac:dyDescent="0.35">
      <c r="A20" s="25" t="s">
        <v>236</v>
      </c>
      <c r="B20" s="25">
        <v>13512</v>
      </c>
      <c r="C20" s="26" t="s">
        <v>93</v>
      </c>
      <c r="D20" s="24">
        <v>33000</v>
      </c>
      <c r="E20" s="24">
        <v>831000</v>
      </c>
      <c r="F20" s="24">
        <v>69000</v>
      </c>
    </row>
    <row r="21" spans="1:6" x14ac:dyDescent="0.35">
      <c r="A21" s="25" t="s">
        <v>237</v>
      </c>
      <c r="B21" s="25">
        <v>133831</v>
      </c>
      <c r="C21" s="26" t="s">
        <v>93</v>
      </c>
      <c r="D21" s="24">
        <v>33000</v>
      </c>
      <c r="E21" s="24">
        <v>864000</v>
      </c>
      <c r="F21" s="24">
        <v>36000</v>
      </c>
    </row>
    <row r="22" spans="1:6" x14ac:dyDescent="0.35">
      <c r="A22" s="25" t="s">
        <v>238</v>
      </c>
      <c r="B22" s="25">
        <v>12629</v>
      </c>
      <c r="C22" s="26" t="s">
        <v>93</v>
      </c>
      <c r="D22" s="24">
        <v>36000</v>
      </c>
      <c r="E22" s="24">
        <v>900000</v>
      </c>
      <c r="F22" s="31" t="s">
        <v>239</v>
      </c>
    </row>
    <row r="24" spans="1:6" ht="18" x14ac:dyDescent="0.4">
      <c r="A24" s="32" t="s">
        <v>240</v>
      </c>
      <c r="B24" s="33"/>
      <c r="C24" s="34"/>
    </row>
    <row r="25" spans="1:6" x14ac:dyDescent="0.35">
      <c r="A25" s="18" t="s">
        <v>0</v>
      </c>
      <c r="B25" s="18" t="s">
        <v>1</v>
      </c>
      <c r="C25" s="18" t="s">
        <v>2</v>
      </c>
      <c r="D25" s="18" t="s">
        <v>3</v>
      </c>
      <c r="E25" s="18" t="s">
        <v>4</v>
      </c>
      <c r="F25" s="18" t="s">
        <v>5</v>
      </c>
    </row>
    <row r="26" spans="1:6" ht="18.5" x14ac:dyDescent="0.45">
      <c r="A26" s="9">
        <v>46032</v>
      </c>
      <c r="B26">
        <v>2135</v>
      </c>
      <c r="C26" t="s">
        <v>192</v>
      </c>
      <c r="D26" s="10">
        <v>300000</v>
      </c>
      <c r="E26" s="10">
        <v>300000</v>
      </c>
      <c r="F26" s="1" t="s">
        <v>239</v>
      </c>
    </row>
  </sheetData>
  <mergeCells count="1">
    <mergeCell ref="A24:C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63C5-93C0-42E2-B76A-5E116CE85A5D}">
  <dimension ref="A1:F26"/>
  <sheetViews>
    <sheetView workbookViewId="0">
      <selection activeCell="A7" sqref="A7"/>
    </sheetView>
  </sheetViews>
  <sheetFormatPr defaultRowHeight="14.5" x14ac:dyDescent="0.35"/>
  <cols>
    <col min="1" max="1" width="10" customWidth="1"/>
    <col min="3" max="3" width="13.7265625" customWidth="1"/>
    <col min="4" max="4" width="11.08984375" customWidth="1"/>
    <col min="5" max="5" width="10.7265625" customWidth="1"/>
    <col min="6" max="6" width="11.90625" customWidth="1"/>
  </cols>
  <sheetData>
    <row r="1" spans="1:6" ht="18.5" x14ac:dyDescent="0.45">
      <c r="A1" s="1" t="s">
        <v>216</v>
      </c>
      <c r="B1" s="1"/>
      <c r="C1" s="2"/>
      <c r="D1" s="1"/>
      <c r="E1" s="1"/>
      <c r="F1" s="1"/>
    </row>
    <row r="2" spans="1:6" ht="18.5" x14ac:dyDescent="0.45">
      <c r="A2" s="1" t="s">
        <v>217</v>
      </c>
      <c r="C2" s="1"/>
      <c r="D2" s="1"/>
      <c r="E2" s="1"/>
      <c r="F2" s="1"/>
    </row>
    <row r="3" spans="1:6" ht="18.5" x14ac:dyDescent="0.45">
      <c r="A3" s="1" t="s">
        <v>218</v>
      </c>
      <c r="B3" s="1"/>
      <c r="C3" s="1"/>
      <c r="D3" s="1"/>
      <c r="E3" s="1"/>
      <c r="F3" s="1"/>
    </row>
    <row r="4" spans="1:6" ht="18.5" x14ac:dyDescent="0.45">
      <c r="A4" s="1" t="s">
        <v>241</v>
      </c>
      <c r="B4" s="1"/>
      <c r="C4" s="1"/>
      <c r="D4" s="1"/>
      <c r="E4" s="1"/>
      <c r="F4" s="1"/>
    </row>
    <row r="5" spans="1:6" ht="18.5" x14ac:dyDescent="0.45">
      <c r="A5" s="1" t="s">
        <v>219</v>
      </c>
      <c r="B5" s="1"/>
      <c r="C5" s="1"/>
      <c r="D5" s="1"/>
      <c r="E5" s="1"/>
      <c r="F5" s="1"/>
    </row>
    <row r="6" spans="1:6" ht="18.5" x14ac:dyDescent="0.45">
      <c r="A6" s="1" t="s">
        <v>242</v>
      </c>
      <c r="B6" s="1"/>
      <c r="C6" s="1"/>
      <c r="D6" s="1" t="s">
        <v>220</v>
      </c>
      <c r="E6" s="1"/>
      <c r="F6" s="1"/>
    </row>
    <row r="7" spans="1:6" ht="18.5" x14ac:dyDescent="0.45">
      <c r="B7" s="29" t="s">
        <v>221</v>
      </c>
      <c r="C7" s="30"/>
    </row>
    <row r="8" spans="1:6" ht="18.5" x14ac:dyDescent="0.45">
      <c r="A8" s="1" t="s">
        <v>224</v>
      </c>
      <c r="B8" s="1" t="s">
        <v>226</v>
      </c>
      <c r="C8" s="1"/>
      <c r="D8" s="1"/>
      <c r="E8" s="1"/>
    </row>
    <row r="9" spans="1:6" ht="18.5" x14ac:dyDescent="0.45">
      <c r="A9" s="1" t="s">
        <v>225</v>
      </c>
      <c r="B9" s="1" t="s">
        <v>227</v>
      </c>
      <c r="C9" s="1"/>
      <c r="D9" s="1"/>
      <c r="E9" s="1"/>
    </row>
    <row r="10" spans="1:6" ht="18.5" x14ac:dyDescent="0.45">
      <c r="A10" s="1" t="s">
        <v>223</v>
      </c>
      <c r="B10" s="1" t="s">
        <v>228</v>
      </c>
      <c r="C10" s="1"/>
      <c r="D10" s="1"/>
      <c r="E10" s="1"/>
    </row>
    <row r="11" spans="1:6" ht="18.5" x14ac:dyDescent="0.45">
      <c r="A11" s="1" t="s">
        <v>219</v>
      </c>
    </row>
    <row r="12" spans="1:6" x14ac:dyDescent="0.35">
      <c r="A12" s="18" t="s">
        <v>0</v>
      </c>
      <c r="B12" s="18" t="s">
        <v>1</v>
      </c>
      <c r="C12" s="18" t="s">
        <v>2</v>
      </c>
      <c r="D12" s="18" t="s">
        <v>3</v>
      </c>
      <c r="E12" s="18" t="s">
        <v>4</v>
      </c>
      <c r="F12" s="18" t="s">
        <v>5</v>
      </c>
    </row>
    <row r="13" spans="1:6" ht="26" x14ac:dyDescent="0.35">
      <c r="A13" s="27">
        <v>45547</v>
      </c>
      <c r="B13" s="25">
        <v>12276</v>
      </c>
      <c r="C13" s="26" t="s">
        <v>230</v>
      </c>
      <c r="D13" s="24">
        <v>500000</v>
      </c>
      <c r="E13" s="24">
        <v>500000</v>
      </c>
      <c r="F13" s="24">
        <v>400000</v>
      </c>
    </row>
    <row r="14" spans="1:6" x14ac:dyDescent="0.35">
      <c r="A14" s="25" t="s">
        <v>231</v>
      </c>
      <c r="B14" s="25">
        <v>12100</v>
      </c>
      <c r="C14" s="26" t="s">
        <v>93</v>
      </c>
      <c r="D14" s="24">
        <v>33000</v>
      </c>
      <c r="E14" s="24">
        <v>533000</v>
      </c>
      <c r="F14" s="24">
        <v>367000</v>
      </c>
    </row>
    <row r="15" spans="1:6" x14ac:dyDescent="0.35">
      <c r="A15" s="25" t="s">
        <v>232</v>
      </c>
      <c r="B15" s="25">
        <v>9488</v>
      </c>
      <c r="C15" s="26" t="s">
        <v>93</v>
      </c>
      <c r="D15" s="24">
        <v>34000</v>
      </c>
      <c r="E15" s="24">
        <v>567000</v>
      </c>
      <c r="F15" s="24">
        <v>333000</v>
      </c>
    </row>
    <row r="16" spans="1:6" x14ac:dyDescent="0.35">
      <c r="A16" s="25" t="s">
        <v>233</v>
      </c>
      <c r="B16" s="25">
        <v>10680</v>
      </c>
      <c r="C16" s="26" t="s">
        <v>93</v>
      </c>
      <c r="D16" s="24">
        <v>100000</v>
      </c>
      <c r="E16" s="24">
        <v>667000</v>
      </c>
      <c r="F16" s="24">
        <v>233000</v>
      </c>
    </row>
    <row r="17" spans="1:6" x14ac:dyDescent="0.35">
      <c r="A17" s="25" t="s">
        <v>234</v>
      </c>
      <c r="B17" s="25">
        <v>12530</v>
      </c>
      <c r="C17" s="26" t="s">
        <v>93</v>
      </c>
      <c r="D17" s="24">
        <v>65000</v>
      </c>
      <c r="E17" s="24">
        <v>732000</v>
      </c>
      <c r="F17" s="24">
        <v>268000</v>
      </c>
    </row>
    <row r="18" spans="1:6" x14ac:dyDescent="0.35">
      <c r="A18" s="25" t="s">
        <v>191</v>
      </c>
      <c r="B18" s="25">
        <v>12531</v>
      </c>
      <c r="C18" s="26" t="s">
        <v>93</v>
      </c>
      <c r="D18" s="24">
        <v>33000</v>
      </c>
      <c r="E18" s="24">
        <v>765000</v>
      </c>
      <c r="F18" s="24">
        <v>135000</v>
      </c>
    </row>
    <row r="19" spans="1:6" x14ac:dyDescent="0.35">
      <c r="A19" s="25" t="s">
        <v>235</v>
      </c>
      <c r="B19" s="25">
        <v>13981</v>
      </c>
      <c r="C19" s="26" t="s">
        <v>93</v>
      </c>
      <c r="D19" s="24">
        <v>33000</v>
      </c>
      <c r="E19" s="24">
        <v>798000</v>
      </c>
      <c r="F19" s="24">
        <v>102000</v>
      </c>
    </row>
    <row r="20" spans="1:6" x14ac:dyDescent="0.35">
      <c r="A20" s="25" t="s">
        <v>236</v>
      </c>
      <c r="B20" s="25">
        <v>13515</v>
      </c>
      <c r="C20" s="26" t="s">
        <v>93</v>
      </c>
      <c r="D20" s="24">
        <v>33000</v>
      </c>
      <c r="E20" s="24">
        <v>831000</v>
      </c>
      <c r="F20" s="24">
        <v>69000</v>
      </c>
    </row>
    <row r="21" spans="1:6" x14ac:dyDescent="0.35">
      <c r="A21" s="25" t="s">
        <v>237</v>
      </c>
      <c r="B21" s="25">
        <v>13380</v>
      </c>
      <c r="C21" s="26" t="s">
        <v>93</v>
      </c>
      <c r="D21" s="24">
        <v>33000</v>
      </c>
      <c r="E21" s="24">
        <v>864000</v>
      </c>
      <c r="F21" s="24">
        <v>36000</v>
      </c>
    </row>
    <row r="22" spans="1:6" x14ac:dyDescent="0.35">
      <c r="A22" s="25" t="s">
        <v>238</v>
      </c>
      <c r="B22" s="25">
        <v>12628</v>
      </c>
      <c r="C22" s="26" t="s">
        <v>93</v>
      </c>
      <c r="D22" s="24">
        <v>36000</v>
      </c>
      <c r="E22" s="24">
        <v>900000</v>
      </c>
      <c r="F22" s="31" t="s">
        <v>239</v>
      </c>
    </row>
    <row r="24" spans="1:6" ht="18" x14ac:dyDescent="0.4">
      <c r="A24" s="32" t="s">
        <v>240</v>
      </c>
      <c r="B24" s="33"/>
      <c r="C24" s="34"/>
    </row>
    <row r="25" spans="1:6" x14ac:dyDescent="0.35">
      <c r="A25" s="18" t="s">
        <v>0</v>
      </c>
      <c r="B25" s="18" t="s">
        <v>1</v>
      </c>
      <c r="C25" s="18" t="s">
        <v>2</v>
      </c>
      <c r="D25" s="18" t="s">
        <v>3</v>
      </c>
      <c r="E25" s="18" t="s">
        <v>4</v>
      </c>
      <c r="F25" s="18" t="s">
        <v>5</v>
      </c>
    </row>
    <row r="26" spans="1:6" ht="18.5" x14ac:dyDescent="0.45">
      <c r="A26" s="9">
        <v>46032</v>
      </c>
      <c r="B26">
        <v>2137</v>
      </c>
      <c r="C26" t="s">
        <v>192</v>
      </c>
      <c r="D26" s="10">
        <v>250000</v>
      </c>
      <c r="E26" s="10">
        <v>250000</v>
      </c>
      <c r="F26" s="1" t="s">
        <v>239</v>
      </c>
    </row>
  </sheetData>
  <mergeCells count="1">
    <mergeCell ref="A24:C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FFC9-18A1-427B-897B-ACB3BCAC323D}">
  <dimension ref="A1:F26"/>
  <sheetViews>
    <sheetView workbookViewId="0">
      <selection activeCell="F4" sqref="F4"/>
    </sheetView>
  </sheetViews>
  <sheetFormatPr defaultRowHeight="14.5" x14ac:dyDescent="0.35"/>
  <cols>
    <col min="1" max="1" width="10.54296875" customWidth="1"/>
    <col min="2" max="2" width="9.36328125" customWidth="1"/>
    <col min="3" max="3" width="12.453125" customWidth="1"/>
    <col min="4" max="4" width="11.54296875" customWidth="1"/>
    <col min="5" max="5" width="10.36328125" customWidth="1"/>
    <col min="6" max="6" width="12.08984375" customWidth="1"/>
  </cols>
  <sheetData>
    <row r="1" spans="1:6" ht="18.5" x14ac:dyDescent="0.45">
      <c r="A1" s="1" t="s">
        <v>51</v>
      </c>
      <c r="B1" s="1"/>
      <c r="C1" s="2"/>
      <c r="D1" s="1"/>
      <c r="E1" s="1"/>
      <c r="F1" s="1"/>
    </row>
    <row r="2" spans="1:6" ht="18.5" x14ac:dyDescent="0.45">
      <c r="A2" s="1" t="s">
        <v>52</v>
      </c>
      <c r="C2" s="1"/>
      <c r="D2" s="1"/>
      <c r="E2" s="1"/>
      <c r="F2" s="1"/>
    </row>
    <row r="3" spans="1:6" ht="18.5" x14ac:dyDescent="0.45">
      <c r="A3" s="1" t="s">
        <v>53</v>
      </c>
      <c r="B3" s="1"/>
      <c r="C3" s="1"/>
      <c r="D3" s="1"/>
      <c r="E3" s="1"/>
      <c r="F3" s="1" t="s">
        <v>215</v>
      </c>
    </row>
    <row r="4" spans="1:6" ht="18.5" x14ac:dyDescent="0.45">
      <c r="A4" s="1" t="s">
        <v>63</v>
      </c>
      <c r="B4" s="1"/>
      <c r="C4" s="1"/>
      <c r="D4" s="1"/>
      <c r="E4" s="1"/>
      <c r="F4" s="1"/>
    </row>
    <row r="5" spans="1:6" ht="18.5" x14ac:dyDescent="0.45">
      <c r="A5" s="1" t="s">
        <v>54</v>
      </c>
      <c r="B5" s="1"/>
      <c r="C5" s="1"/>
      <c r="D5" s="1"/>
      <c r="E5" s="1"/>
      <c r="F5" s="1"/>
    </row>
    <row r="6" spans="1:6" ht="18.5" x14ac:dyDescent="0.45">
      <c r="A6" s="1" t="s">
        <v>62</v>
      </c>
      <c r="B6" s="1"/>
      <c r="C6" s="1"/>
      <c r="D6" s="1" t="s">
        <v>46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9">
        <v>44997</v>
      </c>
      <c r="B8">
        <v>5274</v>
      </c>
      <c r="C8" s="10" t="s">
        <v>57</v>
      </c>
      <c r="D8" s="10">
        <v>1200000</v>
      </c>
      <c r="E8" s="10">
        <v>1200000</v>
      </c>
      <c r="F8" t="s">
        <v>58</v>
      </c>
    </row>
    <row r="10" spans="1:6" x14ac:dyDescent="0.35">
      <c r="A10" t="s">
        <v>59</v>
      </c>
    </row>
    <row r="12" spans="1:6" ht="18.5" x14ac:dyDescent="0.45">
      <c r="A12" s="19" t="s">
        <v>100</v>
      </c>
      <c r="B12" s="19"/>
      <c r="C12" s="19"/>
    </row>
    <row r="13" spans="1:6" x14ac:dyDescent="0.35">
      <c r="A13" s="20" t="s">
        <v>0</v>
      </c>
      <c r="B13" s="20" t="s">
        <v>1</v>
      </c>
      <c r="C13" s="20" t="s">
        <v>2</v>
      </c>
      <c r="D13" s="20" t="s">
        <v>3</v>
      </c>
      <c r="E13" s="20" t="s">
        <v>4</v>
      </c>
      <c r="F13" s="20" t="s">
        <v>5</v>
      </c>
    </row>
    <row r="14" spans="1:6" x14ac:dyDescent="0.35">
      <c r="A14" s="22" t="s">
        <v>191</v>
      </c>
      <c r="B14" s="22">
        <v>3421</v>
      </c>
      <c r="C14" s="22" t="s">
        <v>192</v>
      </c>
      <c r="D14" s="23">
        <v>5000</v>
      </c>
      <c r="E14" s="23">
        <v>5000</v>
      </c>
      <c r="F14" s="24">
        <v>445000</v>
      </c>
    </row>
    <row r="15" spans="1:6" x14ac:dyDescent="0.35">
      <c r="A15" s="25" t="s">
        <v>173</v>
      </c>
      <c r="B15" s="26" t="s">
        <v>193</v>
      </c>
      <c r="C15" s="26" t="s">
        <v>175</v>
      </c>
      <c r="D15" s="25">
        <v>5000</v>
      </c>
      <c r="E15" s="6">
        <f t="shared" ref="E15:E26" si="0">E14+D15</f>
        <v>10000</v>
      </c>
      <c r="F15" s="24">
        <f t="shared" ref="F15:F26" si="1">F14-D15</f>
        <v>440000</v>
      </c>
    </row>
    <row r="16" spans="1:6" x14ac:dyDescent="0.35">
      <c r="A16" s="25" t="s">
        <v>176</v>
      </c>
      <c r="B16" s="26" t="s">
        <v>194</v>
      </c>
      <c r="C16" s="26" t="s">
        <v>175</v>
      </c>
      <c r="D16" s="25">
        <v>5000</v>
      </c>
      <c r="E16" s="6">
        <f t="shared" si="0"/>
        <v>15000</v>
      </c>
      <c r="F16" s="24">
        <f t="shared" si="1"/>
        <v>435000</v>
      </c>
    </row>
    <row r="17" spans="1:6" x14ac:dyDescent="0.35">
      <c r="A17" s="25" t="s">
        <v>178</v>
      </c>
      <c r="B17" s="26" t="s">
        <v>195</v>
      </c>
      <c r="C17" s="26" t="s">
        <v>175</v>
      </c>
      <c r="D17" s="25">
        <v>5000</v>
      </c>
      <c r="E17" s="6">
        <f t="shared" si="0"/>
        <v>20000</v>
      </c>
      <c r="F17" s="24">
        <f t="shared" si="1"/>
        <v>430000</v>
      </c>
    </row>
    <row r="18" spans="1:6" x14ac:dyDescent="0.35">
      <c r="A18" s="25" t="s">
        <v>180</v>
      </c>
      <c r="B18" s="26" t="s">
        <v>196</v>
      </c>
      <c r="C18" s="26" t="s">
        <v>175</v>
      </c>
      <c r="D18" s="25">
        <v>5000</v>
      </c>
      <c r="E18" s="6">
        <f t="shared" si="0"/>
        <v>25000</v>
      </c>
      <c r="F18" s="24">
        <f t="shared" si="1"/>
        <v>425000</v>
      </c>
    </row>
    <row r="19" spans="1:6" x14ac:dyDescent="0.35">
      <c r="A19" s="25" t="s">
        <v>182</v>
      </c>
      <c r="B19" s="26" t="s">
        <v>197</v>
      </c>
      <c r="C19" s="26" t="s">
        <v>175</v>
      </c>
      <c r="D19" s="25">
        <v>5000</v>
      </c>
      <c r="E19" s="6">
        <f t="shared" si="0"/>
        <v>30000</v>
      </c>
      <c r="F19" s="24">
        <f t="shared" si="1"/>
        <v>420000</v>
      </c>
    </row>
    <row r="20" spans="1:6" x14ac:dyDescent="0.35">
      <c r="A20" s="27">
        <v>46115</v>
      </c>
      <c r="B20" s="26" t="s">
        <v>198</v>
      </c>
      <c r="C20" s="26" t="s">
        <v>185</v>
      </c>
      <c r="D20" s="25">
        <v>5000</v>
      </c>
      <c r="E20" s="6">
        <f t="shared" si="0"/>
        <v>35000</v>
      </c>
      <c r="F20" s="24">
        <f t="shared" si="1"/>
        <v>415000</v>
      </c>
    </row>
    <row r="21" spans="1:6" x14ac:dyDescent="0.35">
      <c r="A21" s="27">
        <v>46177</v>
      </c>
      <c r="B21" s="25">
        <v>5867</v>
      </c>
      <c r="C21" s="26" t="s">
        <v>185</v>
      </c>
      <c r="D21" s="25">
        <v>5000</v>
      </c>
      <c r="E21" s="6">
        <f t="shared" si="0"/>
        <v>40000</v>
      </c>
      <c r="F21" s="24">
        <f t="shared" si="1"/>
        <v>410000</v>
      </c>
    </row>
    <row r="22" spans="1:6" ht="26" x14ac:dyDescent="0.35">
      <c r="A22" s="27">
        <v>46147</v>
      </c>
      <c r="B22" s="26" t="s">
        <v>199</v>
      </c>
      <c r="C22" s="26" t="s">
        <v>185</v>
      </c>
      <c r="D22" s="25">
        <v>5000</v>
      </c>
      <c r="E22" s="6">
        <f t="shared" si="0"/>
        <v>45000</v>
      </c>
      <c r="F22" s="24">
        <f t="shared" si="1"/>
        <v>405000</v>
      </c>
    </row>
    <row r="23" spans="1:6" ht="26" x14ac:dyDescent="0.35">
      <c r="A23" s="27">
        <v>46148</v>
      </c>
      <c r="B23" s="26" t="s">
        <v>200</v>
      </c>
      <c r="C23" s="26" t="s">
        <v>185</v>
      </c>
      <c r="D23" s="25">
        <v>5000</v>
      </c>
      <c r="E23" s="6">
        <f t="shared" si="0"/>
        <v>50000</v>
      </c>
      <c r="F23" s="24">
        <f t="shared" si="1"/>
        <v>400000</v>
      </c>
    </row>
    <row r="24" spans="1:6" ht="26" x14ac:dyDescent="0.35">
      <c r="A24" s="27">
        <v>46210</v>
      </c>
      <c r="B24" s="26" t="s">
        <v>201</v>
      </c>
      <c r="C24" s="26" t="s">
        <v>185</v>
      </c>
      <c r="D24" s="25">
        <v>5000</v>
      </c>
      <c r="E24" s="6">
        <f t="shared" si="0"/>
        <v>55000</v>
      </c>
      <c r="F24" s="6">
        <f t="shared" si="1"/>
        <v>395000</v>
      </c>
    </row>
    <row r="25" spans="1:6" x14ac:dyDescent="0.35">
      <c r="A25" s="27">
        <v>46364</v>
      </c>
      <c r="B25" s="26" t="s">
        <v>202</v>
      </c>
      <c r="C25" s="26" t="s">
        <v>185</v>
      </c>
      <c r="D25" s="25">
        <v>5000</v>
      </c>
      <c r="E25" s="28">
        <f t="shared" si="0"/>
        <v>60000</v>
      </c>
      <c r="F25" s="6">
        <f t="shared" si="1"/>
        <v>390000</v>
      </c>
    </row>
    <row r="26" spans="1:6" ht="26" x14ac:dyDescent="0.35">
      <c r="A26" s="27">
        <v>46274</v>
      </c>
      <c r="B26" s="26" t="s">
        <v>203</v>
      </c>
      <c r="C26" s="26" t="s">
        <v>185</v>
      </c>
      <c r="D26" s="25">
        <v>5000</v>
      </c>
      <c r="E26" s="28">
        <f t="shared" si="0"/>
        <v>65000</v>
      </c>
      <c r="F26" s="6">
        <f t="shared" si="1"/>
        <v>385000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C929-EC2D-4FE9-B0A1-8CC502FF1835}">
  <dimension ref="A1:F26"/>
  <sheetViews>
    <sheetView workbookViewId="0">
      <selection activeCell="C19" sqref="C19"/>
    </sheetView>
  </sheetViews>
  <sheetFormatPr defaultRowHeight="14.5" x14ac:dyDescent="0.35"/>
  <cols>
    <col min="1" max="1" width="9.453125" bestFit="1" customWidth="1"/>
    <col min="3" max="3" width="12.90625" customWidth="1"/>
    <col min="4" max="4" width="12.7265625" customWidth="1"/>
    <col min="5" max="5" width="10.36328125" customWidth="1"/>
    <col min="6" max="6" width="13.1796875" customWidth="1"/>
  </cols>
  <sheetData>
    <row r="1" spans="1:6" ht="18.5" x14ac:dyDescent="0.45">
      <c r="A1" s="1" t="s">
        <v>51</v>
      </c>
      <c r="B1" s="1"/>
      <c r="C1" s="2"/>
      <c r="D1" s="1"/>
      <c r="E1" s="1"/>
      <c r="F1" s="1"/>
    </row>
    <row r="2" spans="1:6" ht="18.5" x14ac:dyDescent="0.45">
      <c r="A2" s="1" t="s">
        <v>52</v>
      </c>
      <c r="C2" s="1"/>
      <c r="D2" s="1"/>
      <c r="E2" s="1"/>
      <c r="F2" s="1"/>
    </row>
    <row r="3" spans="1:6" ht="18.5" x14ac:dyDescent="0.45">
      <c r="A3" s="1" t="s">
        <v>53</v>
      </c>
      <c r="B3" s="1"/>
      <c r="C3" s="1"/>
      <c r="D3" s="1"/>
      <c r="E3" s="1"/>
      <c r="F3" s="1"/>
    </row>
    <row r="4" spans="1:6" ht="18.5" x14ac:dyDescent="0.45">
      <c r="A4" s="1" t="s">
        <v>61</v>
      </c>
      <c r="B4" s="1"/>
      <c r="C4" s="1"/>
      <c r="D4" s="1"/>
      <c r="E4" s="1"/>
      <c r="F4" s="1"/>
    </row>
    <row r="5" spans="1:6" ht="18.5" x14ac:dyDescent="0.45">
      <c r="A5" s="1" t="s">
        <v>54</v>
      </c>
      <c r="B5" s="1"/>
      <c r="C5" s="1"/>
      <c r="D5" s="1"/>
      <c r="E5" s="1"/>
      <c r="F5" s="1"/>
    </row>
    <row r="6" spans="1:6" ht="18.5" x14ac:dyDescent="0.45">
      <c r="A6" s="1" t="s">
        <v>60</v>
      </c>
      <c r="B6" s="1"/>
      <c r="C6" s="1"/>
      <c r="D6" s="1" t="s">
        <v>46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9">
        <v>44997</v>
      </c>
      <c r="B8">
        <v>5274</v>
      </c>
      <c r="C8" s="10" t="s">
        <v>57</v>
      </c>
      <c r="D8" s="10">
        <v>1200000</v>
      </c>
      <c r="E8" s="10">
        <v>1200000</v>
      </c>
      <c r="F8" t="s">
        <v>58</v>
      </c>
    </row>
    <row r="10" spans="1:6" x14ac:dyDescent="0.35">
      <c r="A10" t="s">
        <v>59</v>
      </c>
    </row>
    <row r="12" spans="1:6" ht="18.5" x14ac:dyDescent="0.45">
      <c r="A12" s="19" t="s">
        <v>100</v>
      </c>
      <c r="B12" s="19"/>
      <c r="C12" s="19"/>
    </row>
    <row r="13" spans="1:6" x14ac:dyDescent="0.35">
      <c r="A13" s="20" t="s">
        <v>0</v>
      </c>
      <c r="B13" s="20" t="s">
        <v>1</v>
      </c>
      <c r="C13" s="20" t="s">
        <v>2</v>
      </c>
      <c r="D13" s="20" t="s">
        <v>3</v>
      </c>
      <c r="E13" s="20" t="s">
        <v>4</v>
      </c>
      <c r="F13" s="20" t="s">
        <v>5</v>
      </c>
    </row>
    <row r="14" spans="1:6" x14ac:dyDescent="0.35">
      <c r="A14" s="22" t="s">
        <v>191</v>
      </c>
      <c r="B14" s="22">
        <v>3422</v>
      </c>
      <c r="C14" s="22" t="s">
        <v>192</v>
      </c>
      <c r="D14" s="23">
        <v>5000</v>
      </c>
      <c r="E14" s="23">
        <v>5000</v>
      </c>
      <c r="F14" s="24">
        <v>445000</v>
      </c>
    </row>
    <row r="15" spans="1:6" ht="26" x14ac:dyDescent="0.35">
      <c r="A15" s="25" t="s">
        <v>173</v>
      </c>
      <c r="B15" s="26" t="s">
        <v>204</v>
      </c>
      <c r="C15" s="26" t="s">
        <v>175</v>
      </c>
      <c r="D15" s="25">
        <v>5000</v>
      </c>
      <c r="E15" s="6">
        <f t="shared" ref="E15:E26" si="0">E14+D15</f>
        <v>10000</v>
      </c>
      <c r="F15" s="24">
        <f t="shared" ref="F15:F26" si="1">F14-D15</f>
        <v>440000</v>
      </c>
    </row>
    <row r="16" spans="1:6" ht="26" x14ac:dyDescent="0.35">
      <c r="A16" s="25" t="s">
        <v>176</v>
      </c>
      <c r="B16" s="26" t="s">
        <v>205</v>
      </c>
      <c r="C16" s="26" t="s">
        <v>175</v>
      </c>
      <c r="D16" s="25">
        <v>5000</v>
      </c>
      <c r="E16" s="6">
        <f t="shared" si="0"/>
        <v>15000</v>
      </c>
      <c r="F16" s="24">
        <f t="shared" si="1"/>
        <v>435000</v>
      </c>
    </row>
    <row r="17" spans="1:6" ht="26" x14ac:dyDescent="0.35">
      <c r="A17" s="25" t="s">
        <v>178</v>
      </c>
      <c r="B17" s="26" t="s">
        <v>206</v>
      </c>
      <c r="C17" s="26" t="s">
        <v>175</v>
      </c>
      <c r="D17" s="25">
        <v>5000</v>
      </c>
      <c r="E17" s="6">
        <f t="shared" si="0"/>
        <v>20000</v>
      </c>
      <c r="F17" s="24">
        <f t="shared" si="1"/>
        <v>430000</v>
      </c>
    </row>
    <row r="18" spans="1:6" ht="26" x14ac:dyDescent="0.35">
      <c r="A18" s="25" t="s">
        <v>180</v>
      </c>
      <c r="B18" s="26" t="s">
        <v>207</v>
      </c>
      <c r="C18" s="26" t="s">
        <v>175</v>
      </c>
      <c r="D18" s="25">
        <v>5000</v>
      </c>
      <c r="E18" s="6">
        <f t="shared" si="0"/>
        <v>25000</v>
      </c>
      <c r="F18" s="24">
        <f t="shared" si="1"/>
        <v>425000</v>
      </c>
    </row>
    <row r="19" spans="1:6" ht="26" x14ac:dyDescent="0.35">
      <c r="A19" s="25" t="s">
        <v>182</v>
      </c>
      <c r="B19" s="26" t="s">
        <v>208</v>
      </c>
      <c r="C19" s="26" t="s">
        <v>175</v>
      </c>
      <c r="D19" s="25">
        <v>5000</v>
      </c>
      <c r="E19" s="6">
        <f t="shared" si="0"/>
        <v>30000</v>
      </c>
      <c r="F19" s="24">
        <f t="shared" si="1"/>
        <v>420000</v>
      </c>
    </row>
    <row r="20" spans="1:6" ht="26" x14ac:dyDescent="0.35">
      <c r="A20" s="27">
        <v>46115</v>
      </c>
      <c r="B20" s="26" t="s">
        <v>209</v>
      </c>
      <c r="C20" s="26" t="s">
        <v>185</v>
      </c>
      <c r="D20" s="25">
        <v>5000</v>
      </c>
      <c r="E20" s="6">
        <f t="shared" si="0"/>
        <v>35000</v>
      </c>
      <c r="F20" s="24">
        <f t="shared" si="1"/>
        <v>415000</v>
      </c>
    </row>
    <row r="21" spans="1:6" x14ac:dyDescent="0.35">
      <c r="A21" s="27">
        <v>46177</v>
      </c>
      <c r="B21" s="25">
        <v>5868</v>
      </c>
      <c r="C21" s="26" t="s">
        <v>185</v>
      </c>
      <c r="D21" s="25">
        <v>5000</v>
      </c>
      <c r="E21" s="6">
        <f t="shared" si="0"/>
        <v>40000</v>
      </c>
      <c r="F21" s="24">
        <f t="shared" si="1"/>
        <v>410000</v>
      </c>
    </row>
    <row r="22" spans="1:6" ht="26" x14ac:dyDescent="0.35">
      <c r="A22" s="27">
        <v>46147</v>
      </c>
      <c r="B22" s="26" t="s">
        <v>210</v>
      </c>
      <c r="C22" s="26" t="s">
        <v>185</v>
      </c>
      <c r="D22" s="25">
        <v>5000</v>
      </c>
      <c r="E22" s="6">
        <f t="shared" si="0"/>
        <v>45000</v>
      </c>
      <c r="F22" s="24">
        <f t="shared" si="1"/>
        <v>405000</v>
      </c>
    </row>
    <row r="23" spans="1:6" ht="26" x14ac:dyDescent="0.35">
      <c r="A23" s="27">
        <v>46148</v>
      </c>
      <c r="B23" s="26" t="s">
        <v>211</v>
      </c>
      <c r="C23" s="26" t="s">
        <v>185</v>
      </c>
      <c r="D23" s="25">
        <v>5000</v>
      </c>
      <c r="E23" s="6">
        <f t="shared" si="0"/>
        <v>50000</v>
      </c>
      <c r="F23" s="24">
        <f t="shared" si="1"/>
        <v>400000</v>
      </c>
    </row>
    <row r="24" spans="1:6" ht="26" x14ac:dyDescent="0.35">
      <c r="A24" s="27">
        <v>46210</v>
      </c>
      <c r="B24" s="26" t="s">
        <v>212</v>
      </c>
      <c r="C24" s="26" t="s">
        <v>185</v>
      </c>
      <c r="D24" s="25">
        <v>5000</v>
      </c>
      <c r="E24" s="6">
        <f t="shared" si="0"/>
        <v>55000</v>
      </c>
      <c r="F24" s="6">
        <f t="shared" si="1"/>
        <v>395000</v>
      </c>
    </row>
    <row r="25" spans="1:6" ht="26" x14ac:dyDescent="0.35">
      <c r="A25" s="27">
        <v>46364</v>
      </c>
      <c r="B25" s="26" t="s">
        <v>213</v>
      </c>
      <c r="C25" s="26" t="s">
        <v>185</v>
      </c>
      <c r="D25" s="25">
        <v>5000</v>
      </c>
      <c r="E25" s="28">
        <f t="shared" si="0"/>
        <v>60000</v>
      </c>
      <c r="F25" s="6">
        <f t="shared" si="1"/>
        <v>390000</v>
      </c>
    </row>
    <row r="26" spans="1:6" ht="26" x14ac:dyDescent="0.35">
      <c r="A26" s="27">
        <v>46274</v>
      </c>
      <c r="B26" s="26" t="s">
        <v>214</v>
      </c>
      <c r="C26" s="26" t="s">
        <v>185</v>
      </c>
      <c r="D26" s="25">
        <v>5000</v>
      </c>
      <c r="E26" s="28">
        <f t="shared" si="0"/>
        <v>65000</v>
      </c>
      <c r="F26" s="6">
        <f t="shared" si="1"/>
        <v>385000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5634-7556-4A7E-9FFF-A6F512616E74}">
  <dimension ref="A1:F11"/>
  <sheetViews>
    <sheetView workbookViewId="0">
      <selection activeCell="J7" sqref="J7"/>
    </sheetView>
  </sheetViews>
  <sheetFormatPr defaultRowHeight="14.5" x14ac:dyDescent="0.35"/>
  <cols>
    <col min="1" max="1" width="9.7265625" customWidth="1"/>
    <col min="3" max="3" width="12.7265625" customWidth="1"/>
    <col min="4" max="4" width="10.54296875" customWidth="1"/>
    <col min="6" max="6" width="11.54296875" customWidth="1"/>
  </cols>
  <sheetData>
    <row r="1" spans="1:6" ht="18.5" x14ac:dyDescent="0.45">
      <c r="A1" s="1" t="s">
        <v>6</v>
      </c>
      <c r="B1" s="1"/>
      <c r="C1" s="2"/>
      <c r="D1" s="1"/>
      <c r="E1" s="1"/>
      <c r="F1" s="1"/>
    </row>
    <row r="2" spans="1:6" ht="18.5" x14ac:dyDescent="0.45">
      <c r="A2" s="1" t="s">
        <v>7</v>
      </c>
      <c r="C2" s="1"/>
      <c r="D2" s="1"/>
      <c r="E2" s="1"/>
      <c r="F2" s="1"/>
    </row>
    <row r="3" spans="1:6" ht="18.5" x14ac:dyDescent="0.45">
      <c r="A3" s="1" t="s">
        <v>8</v>
      </c>
      <c r="B3" s="1"/>
      <c r="C3" s="1"/>
      <c r="D3" s="1"/>
      <c r="E3" s="1"/>
      <c r="F3" s="1"/>
    </row>
    <row r="4" spans="1:6" ht="18.5" x14ac:dyDescent="0.45">
      <c r="A4" s="1" t="s">
        <v>75</v>
      </c>
      <c r="B4" s="1"/>
      <c r="C4" s="1"/>
      <c r="D4" s="1"/>
      <c r="E4" s="1"/>
      <c r="F4" s="1"/>
    </row>
    <row r="5" spans="1:6" ht="18.5" x14ac:dyDescent="0.45">
      <c r="A5" s="1" t="s">
        <v>9</v>
      </c>
      <c r="B5" s="1"/>
      <c r="C5" s="1"/>
      <c r="D5" s="1"/>
      <c r="E5" s="1"/>
      <c r="F5" s="1"/>
    </row>
    <row r="6" spans="1:6" ht="18.5" x14ac:dyDescent="0.45">
      <c r="A6" s="1" t="s">
        <v>10</v>
      </c>
      <c r="B6" s="1"/>
      <c r="C6" s="1"/>
      <c r="D6" s="1" t="s">
        <v>11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5" t="s">
        <v>12</v>
      </c>
      <c r="B8" s="5">
        <v>12508</v>
      </c>
      <c r="C8" s="5" t="s">
        <v>14</v>
      </c>
      <c r="D8" s="6">
        <v>580000</v>
      </c>
      <c r="E8" s="6">
        <v>580000</v>
      </c>
      <c r="F8" s="6">
        <v>700000</v>
      </c>
    </row>
    <row r="9" spans="1:6" x14ac:dyDescent="0.35">
      <c r="A9" s="5" t="s">
        <v>12</v>
      </c>
      <c r="B9" s="5">
        <v>12509</v>
      </c>
      <c r="C9" s="5" t="s">
        <v>15</v>
      </c>
      <c r="D9" s="6">
        <v>700000</v>
      </c>
      <c r="E9" s="6">
        <v>1280000</v>
      </c>
      <c r="F9" s="5" t="s">
        <v>17</v>
      </c>
    </row>
    <row r="10" spans="1:6" x14ac:dyDescent="0.35">
      <c r="A10" s="5" t="s">
        <v>13</v>
      </c>
      <c r="B10" s="5">
        <v>5751</v>
      </c>
      <c r="C10" s="5" t="s">
        <v>16</v>
      </c>
      <c r="D10" s="6">
        <v>150000</v>
      </c>
      <c r="E10" s="6">
        <v>150000</v>
      </c>
      <c r="F10" s="5" t="s">
        <v>17</v>
      </c>
    </row>
    <row r="11" spans="1:6" x14ac:dyDescent="0.35">
      <c r="C11" t="s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23C2-7BCF-4FBF-B79E-C6528FED7CEA}">
  <dimension ref="A1:F16"/>
  <sheetViews>
    <sheetView topLeftCell="A17" workbookViewId="0">
      <selection activeCell="C20" sqref="C20"/>
    </sheetView>
  </sheetViews>
  <sheetFormatPr defaultRowHeight="14.5" x14ac:dyDescent="0.35"/>
  <sheetData>
    <row r="1" spans="1:6" ht="18.5" x14ac:dyDescent="0.45">
      <c r="A1" s="1" t="s">
        <v>19</v>
      </c>
      <c r="B1" s="1"/>
      <c r="C1" s="2"/>
      <c r="D1" s="1"/>
      <c r="E1" s="1"/>
      <c r="F1" s="1"/>
    </row>
    <row r="2" spans="1:6" ht="18.5" x14ac:dyDescent="0.45">
      <c r="A2" s="1" t="s">
        <v>20</v>
      </c>
      <c r="C2" s="1"/>
      <c r="D2" s="1"/>
      <c r="E2" s="1"/>
      <c r="F2" s="1"/>
    </row>
    <row r="3" spans="1:6" ht="18.5" x14ac:dyDescent="0.45">
      <c r="A3" s="1" t="s">
        <v>21</v>
      </c>
      <c r="B3" s="1"/>
      <c r="C3" s="1"/>
      <c r="D3" s="1"/>
      <c r="E3" s="1"/>
      <c r="F3" s="1"/>
    </row>
    <row r="4" spans="1:6" ht="18.5" x14ac:dyDescent="0.45">
      <c r="A4" s="1" t="s">
        <v>24</v>
      </c>
      <c r="B4" s="1"/>
      <c r="C4" s="1"/>
      <c r="D4" s="1"/>
      <c r="E4" s="1"/>
      <c r="F4" s="1"/>
    </row>
    <row r="5" spans="1:6" ht="18.5" x14ac:dyDescent="0.45">
      <c r="A5" s="1" t="s">
        <v>22</v>
      </c>
      <c r="B5" s="1"/>
      <c r="C5" s="1"/>
      <c r="D5" s="1"/>
      <c r="E5" s="1"/>
      <c r="F5" s="1"/>
    </row>
    <row r="6" spans="1:6" ht="18.5" x14ac:dyDescent="0.45">
      <c r="A6" s="1" t="s">
        <v>23</v>
      </c>
      <c r="B6" s="1"/>
      <c r="C6" s="1"/>
      <c r="D6" s="1" t="s">
        <v>25</v>
      </c>
      <c r="E6" s="1"/>
      <c r="F6" s="1"/>
    </row>
    <row r="7" spans="1:6" x14ac:dyDescent="0.35">
      <c r="A7" s="7"/>
      <c r="B7" s="8"/>
      <c r="C7" s="8"/>
      <c r="D7" s="8"/>
      <c r="E7" s="8"/>
      <c r="F7" s="8"/>
    </row>
    <row r="8" spans="1:6" ht="18.5" x14ac:dyDescent="0.45">
      <c r="A8" s="1" t="s">
        <v>26</v>
      </c>
    </row>
    <row r="10" spans="1:6" ht="18.5" x14ac:dyDescent="0.45">
      <c r="A10" s="1" t="s">
        <v>27</v>
      </c>
    </row>
    <row r="11" spans="1:6" ht="18.5" x14ac:dyDescent="0.45">
      <c r="A11" s="1" t="s">
        <v>28</v>
      </c>
      <c r="B11" s="1"/>
      <c r="C11" s="2"/>
      <c r="D11" s="1"/>
      <c r="E11" s="1"/>
      <c r="F11" s="1"/>
    </row>
    <row r="12" spans="1:6" ht="18.5" x14ac:dyDescent="0.45">
      <c r="A12" s="1" t="s">
        <v>29</v>
      </c>
      <c r="C12" s="1"/>
      <c r="D12" s="1"/>
      <c r="E12" s="1"/>
      <c r="F12" s="1"/>
    </row>
    <row r="13" spans="1:6" ht="18.5" x14ac:dyDescent="0.45">
      <c r="A13" s="1" t="s">
        <v>30</v>
      </c>
      <c r="B13" s="1"/>
      <c r="C13" s="1"/>
      <c r="D13" s="1"/>
      <c r="E13" s="1"/>
      <c r="F13" s="1"/>
    </row>
    <row r="14" spans="1:6" ht="18.5" x14ac:dyDescent="0.45">
      <c r="A14" s="1" t="s">
        <v>24</v>
      </c>
      <c r="B14" s="1"/>
      <c r="C14" s="1"/>
      <c r="D14" s="1"/>
      <c r="E14" s="1"/>
      <c r="F14" s="1"/>
    </row>
    <row r="15" spans="1:6" ht="18.5" x14ac:dyDescent="0.45">
      <c r="A15" s="1" t="s">
        <v>31</v>
      </c>
      <c r="B15" s="1"/>
      <c r="C15" s="1"/>
      <c r="D15" s="1"/>
      <c r="E15" s="1"/>
      <c r="F15" s="1"/>
    </row>
    <row r="16" spans="1:6" ht="18.5" x14ac:dyDescent="0.45">
      <c r="A16" s="1" t="s">
        <v>23</v>
      </c>
      <c r="B16" s="1"/>
      <c r="C16" s="1"/>
      <c r="D16" s="1" t="s">
        <v>25</v>
      </c>
      <c r="E16" s="1"/>
      <c r="F16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5E5E-C3DA-4E57-B8F7-B8E6BFAE2E53}">
  <dimension ref="A1:F14"/>
  <sheetViews>
    <sheetView workbookViewId="0">
      <selection activeCell="I1" sqref="I1"/>
    </sheetView>
  </sheetViews>
  <sheetFormatPr defaultRowHeight="14.5" x14ac:dyDescent="0.35"/>
  <cols>
    <col min="3" max="3" width="12.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41</v>
      </c>
      <c r="B1" s="1"/>
      <c r="C1" s="2"/>
      <c r="D1" s="1"/>
      <c r="E1" s="1"/>
      <c r="F1" s="1"/>
    </row>
    <row r="2" spans="1:6" ht="18.5" x14ac:dyDescent="0.45">
      <c r="A2" s="1" t="s">
        <v>42</v>
      </c>
      <c r="C2" s="1"/>
      <c r="D2" s="1"/>
      <c r="E2" s="1"/>
      <c r="F2" s="1"/>
    </row>
    <row r="3" spans="1:6" ht="18.5" x14ac:dyDescent="0.45">
      <c r="A3" s="1" t="s">
        <v>43</v>
      </c>
      <c r="B3" s="1"/>
      <c r="C3" s="1"/>
      <c r="D3" s="1"/>
      <c r="E3" s="1"/>
      <c r="F3" s="1"/>
    </row>
    <row r="4" spans="1:6" ht="18.5" x14ac:dyDescent="0.45">
      <c r="A4" s="1" t="s">
        <v>74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45</v>
      </c>
      <c r="B6" s="1"/>
      <c r="C6" s="1"/>
      <c r="D6" s="1" t="s">
        <v>46</v>
      </c>
      <c r="E6" s="1"/>
      <c r="F6" s="1"/>
    </row>
    <row r="7" spans="1:6" x14ac:dyDescent="0.35">
      <c r="A7" s="12" t="s">
        <v>0</v>
      </c>
      <c r="B7" s="13" t="s">
        <v>1</v>
      </c>
      <c r="C7" s="13" t="s">
        <v>2</v>
      </c>
      <c r="D7" s="11" t="s">
        <v>3</v>
      </c>
      <c r="E7" s="11" t="s">
        <v>4</v>
      </c>
      <c r="F7" s="11" t="s">
        <v>5</v>
      </c>
    </row>
    <row r="8" spans="1:6" x14ac:dyDescent="0.35">
      <c r="A8" t="s">
        <v>47</v>
      </c>
      <c r="B8">
        <v>860</v>
      </c>
      <c r="C8" t="s">
        <v>48</v>
      </c>
      <c r="D8" s="10">
        <v>30000</v>
      </c>
      <c r="E8" s="10">
        <v>30000</v>
      </c>
      <c r="F8" s="10">
        <v>1170000</v>
      </c>
    </row>
    <row r="9" spans="1:6" x14ac:dyDescent="0.35">
      <c r="A9" s="9">
        <v>46146</v>
      </c>
      <c r="B9">
        <v>13142</v>
      </c>
      <c r="C9" t="s">
        <v>49</v>
      </c>
      <c r="D9" s="10">
        <v>1170000</v>
      </c>
      <c r="E9" s="10">
        <f>SUM(E8+D9)</f>
        <v>1200000</v>
      </c>
      <c r="F9" s="10">
        <f>F8-D9</f>
        <v>0</v>
      </c>
    </row>
    <row r="12" spans="1:6" x14ac:dyDescent="0.35">
      <c r="A12" s="9">
        <v>46146</v>
      </c>
      <c r="B12">
        <v>5846</v>
      </c>
      <c r="C12" t="s">
        <v>16</v>
      </c>
      <c r="D12" s="10">
        <v>150000</v>
      </c>
      <c r="E12" s="10">
        <v>150000</v>
      </c>
      <c r="F12">
        <v>0</v>
      </c>
    </row>
    <row r="14" spans="1:6" x14ac:dyDescent="0.35">
      <c r="B14" t="s">
        <v>50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ADE2-0F0E-4708-A9E5-D7B0A094E27D}">
  <dimension ref="A1:F27"/>
  <sheetViews>
    <sheetView workbookViewId="0">
      <selection activeCell="I4" sqref="I4"/>
    </sheetView>
  </sheetViews>
  <sheetFormatPr defaultRowHeight="14.5" x14ac:dyDescent="0.35"/>
  <cols>
    <col min="1" max="1" width="10.453125" bestFit="1" customWidth="1"/>
    <col min="3" max="3" width="12.26953125" customWidth="1"/>
    <col min="4" max="4" width="11.6328125" customWidth="1"/>
    <col min="5" max="5" width="10.08984375" customWidth="1"/>
    <col min="6" max="6" width="11.1796875" customWidth="1"/>
  </cols>
  <sheetData>
    <row r="1" spans="1:6" ht="18.5" x14ac:dyDescent="0.45">
      <c r="A1" s="1" t="s">
        <v>32</v>
      </c>
      <c r="B1" s="1"/>
      <c r="C1" s="2"/>
      <c r="D1" s="1"/>
      <c r="E1" s="1"/>
      <c r="F1" s="1"/>
    </row>
    <row r="2" spans="1:6" ht="18.5" x14ac:dyDescent="0.45">
      <c r="A2" s="1" t="s">
        <v>33</v>
      </c>
      <c r="C2" s="1"/>
      <c r="D2" s="1"/>
      <c r="E2" s="1"/>
      <c r="F2" s="1"/>
    </row>
    <row r="3" spans="1:6" ht="18.5" x14ac:dyDescent="0.45">
      <c r="A3" s="1" t="s">
        <v>34</v>
      </c>
      <c r="B3" s="1"/>
      <c r="C3" s="1"/>
      <c r="D3" s="1"/>
      <c r="E3" s="1"/>
      <c r="F3" s="1"/>
    </row>
    <row r="4" spans="1:6" ht="18.5" x14ac:dyDescent="0.45">
      <c r="A4" s="1" t="s">
        <v>99</v>
      </c>
      <c r="B4" s="1"/>
      <c r="C4" s="1"/>
      <c r="D4" s="1"/>
      <c r="E4" s="1"/>
      <c r="F4" s="1"/>
    </row>
    <row r="5" spans="1:6" ht="18.5" x14ac:dyDescent="0.45">
      <c r="A5" s="1" t="s">
        <v>35</v>
      </c>
      <c r="B5" s="1"/>
      <c r="C5" s="1"/>
      <c r="D5" s="1"/>
      <c r="E5" s="1"/>
      <c r="F5" s="1"/>
    </row>
    <row r="6" spans="1:6" ht="18.5" x14ac:dyDescent="0.45">
      <c r="A6" s="1" t="s">
        <v>36</v>
      </c>
      <c r="B6" s="1"/>
      <c r="C6" s="1"/>
      <c r="D6" s="1" t="s">
        <v>37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t="s">
        <v>38</v>
      </c>
      <c r="C8" t="s">
        <v>39</v>
      </c>
    </row>
    <row r="9" spans="1:6" x14ac:dyDescent="0.35">
      <c r="C9" t="s">
        <v>40</v>
      </c>
    </row>
    <row r="10" spans="1:6" x14ac:dyDescent="0.35">
      <c r="A10" s="9">
        <v>45721</v>
      </c>
      <c r="B10">
        <v>620</v>
      </c>
      <c r="D10" s="10">
        <v>350000</v>
      </c>
      <c r="E10" s="10">
        <v>5000</v>
      </c>
      <c r="F10" s="10">
        <v>345000</v>
      </c>
    </row>
    <row r="11" spans="1:6" ht="18.5" x14ac:dyDescent="0.45">
      <c r="A11" s="1" t="s">
        <v>100</v>
      </c>
      <c r="B11" s="1"/>
      <c r="C11" s="1"/>
      <c r="D11" s="14"/>
      <c r="E11" s="14"/>
      <c r="F11" s="14"/>
    </row>
    <row r="12" spans="1:6" x14ac:dyDescent="0.35">
      <c r="A12" s="3" t="s">
        <v>0</v>
      </c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</row>
    <row r="13" spans="1:6" x14ac:dyDescent="0.35">
      <c r="A13" s="5" t="s">
        <v>161</v>
      </c>
      <c r="B13" s="5">
        <v>620</v>
      </c>
      <c r="C13" s="5" t="s">
        <v>165</v>
      </c>
      <c r="D13" s="5">
        <v>5000</v>
      </c>
      <c r="E13" s="5">
        <v>5000</v>
      </c>
      <c r="F13" s="6">
        <v>345000</v>
      </c>
    </row>
    <row r="14" spans="1:6" x14ac:dyDescent="0.35">
      <c r="A14" s="16">
        <v>45722</v>
      </c>
      <c r="B14" s="5">
        <v>631</v>
      </c>
      <c r="C14" s="5" t="s">
        <v>165</v>
      </c>
      <c r="D14" s="5">
        <v>25000</v>
      </c>
      <c r="E14" s="5">
        <f t="shared" ref="E14:E27" si="0">E13+D14</f>
        <v>30000</v>
      </c>
      <c r="F14" s="6">
        <f t="shared" ref="F14:F27" si="1">F13-D14</f>
        <v>320000</v>
      </c>
    </row>
    <row r="15" spans="1:6" x14ac:dyDescent="0.35">
      <c r="A15" s="5" t="s">
        <v>162</v>
      </c>
      <c r="B15" s="5">
        <v>3070</v>
      </c>
      <c r="C15" s="5" t="s">
        <v>165</v>
      </c>
      <c r="D15" s="5">
        <v>5000</v>
      </c>
      <c r="E15" s="5">
        <f t="shared" si="0"/>
        <v>35000</v>
      </c>
      <c r="F15" s="6">
        <f t="shared" si="1"/>
        <v>315000</v>
      </c>
    </row>
    <row r="16" spans="1:6" x14ac:dyDescent="0.35">
      <c r="A16" s="16">
        <v>45724</v>
      </c>
      <c r="B16" s="5">
        <v>12363</v>
      </c>
      <c r="C16" s="5" t="s">
        <v>165</v>
      </c>
      <c r="D16" s="5">
        <v>5000</v>
      </c>
      <c r="E16" s="5">
        <f t="shared" si="0"/>
        <v>40000</v>
      </c>
      <c r="F16" s="6">
        <f t="shared" si="1"/>
        <v>310000</v>
      </c>
    </row>
    <row r="17" spans="1:6" x14ac:dyDescent="0.35">
      <c r="A17" s="5" t="s">
        <v>163</v>
      </c>
      <c r="B17" s="5">
        <v>3524</v>
      </c>
      <c r="C17" s="5" t="s">
        <v>165</v>
      </c>
      <c r="D17" s="5">
        <v>5000</v>
      </c>
      <c r="E17" s="5">
        <f t="shared" si="0"/>
        <v>45000</v>
      </c>
      <c r="F17" s="6">
        <f t="shared" si="1"/>
        <v>305000</v>
      </c>
    </row>
    <row r="18" spans="1:6" x14ac:dyDescent="0.35">
      <c r="A18" s="16">
        <v>46001</v>
      </c>
      <c r="B18" s="5">
        <v>3298</v>
      </c>
      <c r="C18" s="5" t="s">
        <v>165</v>
      </c>
      <c r="D18" s="5">
        <v>5000</v>
      </c>
      <c r="E18" s="5">
        <f t="shared" si="0"/>
        <v>50000</v>
      </c>
      <c r="F18" s="6">
        <f t="shared" si="1"/>
        <v>300000</v>
      </c>
    </row>
    <row r="19" spans="1:6" x14ac:dyDescent="0.35">
      <c r="A19" s="16">
        <v>45911</v>
      </c>
      <c r="B19" s="5">
        <v>3665</v>
      </c>
      <c r="C19" s="5" t="s">
        <v>165</v>
      </c>
      <c r="D19" s="5">
        <v>5000</v>
      </c>
      <c r="E19" s="5">
        <f t="shared" si="0"/>
        <v>55000</v>
      </c>
      <c r="F19" s="6">
        <f t="shared" si="1"/>
        <v>295000</v>
      </c>
    </row>
    <row r="20" spans="1:6" x14ac:dyDescent="0.35">
      <c r="A20" s="16">
        <v>46113</v>
      </c>
      <c r="B20" s="5">
        <v>5216</v>
      </c>
      <c r="C20" s="5" t="s">
        <v>165</v>
      </c>
      <c r="D20" s="5">
        <v>5000</v>
      </c>
      <c r="E20" s="5">
        <f t="shared" si="0"/>
        <v>60000</v>
      </c>
      <c r="F20" s="6">
        <f t="shared" si="1"/>
        <v>290000</v>
      </c>
    </row>
    <row r="21" spans="1:6" x14ac:dyDescent="0.35">
      <c r="A21" s="5" t="s">
        <v>164</v>
      </c>
      <c r="B21" s="5">
        <v>5577</v>
      </c>
      <c r="C21" s="5" t="s">
        <v>165</v>
      </c>
      <c r="D21" s="5">
        <v>5000</v>
      </c>
      <c r="E21" s="5">
        <f t="shared" si="0"/>
        <v>65000</v>
      </c>
      <c r="F21" s="6">
        <f t="shared" si="1"/>
        <v>285000</v>
      </c>
    </row>
    <row r="22" spans="1:6" x14ac:dyDescent="0.35">
      <c r="A22" s="5" t="s">
        <v>166</v>
      </c>
      <c r="B22" s="5">
        <v>5791</v>
      </c>
      <c r="C22" s="5" t="s">
        <v>165</v>
      </c>
      <c r="D22" s="5">
        <v>5000</v>
      </c>
      <c r="E22" s="5">
        <f t="shared" si="0"/>
        <v>70000</v>
      </c>
      <c r="F22" s="6">
        <f t="shared" si="1"/>
        <v>280000</v>
      </c>
    </row>
    <row r="23" spans="1:6" x14ac:dyDescent="0.35">
      <c r="A23" s="5" t="s">
        <v>167</v>
      </c>
      <c r="B23" s="5">
        <v>1324</v>
      </c>
      <c r="C23" s="5" t="s">
        <v>165</v>
      </c>
      <c r="D23" s="5">
        <v>5000</v>
      </c>
      <c r="E23" s="5">
        <f t="shared" si="0"/>
        <v>75000</v>
      </c>
      <c r="F23" s="6">
        <f t="shared" si="1"/>
        <v>275000</v>
      </c>
    </row>
    <row r="24" spans="1:6" x14ac:dyDescent="0.35">
      <c r="A24" s="5" t="s">
        <v>168</v>
      </c>
      <c r="B24" s="5">
        <v>1544</v>
      </c>
      <c r="C24" s="5" t="s">
        <v>165</v>
      </c>
      <c r="D24" s="5">
        <v>5000</v>
      </c>
      <c r="E24" s="5">
        <f t="shared" si="0"/>
        <v>80000</v>
      </c>
      <c r="F24" s="6">
        <f t="shared" si="1"/>
        <v>270000</v>
      </c>
    </row>
    <row r="25" spans="1:6" x14ac:dyDescent="0.35">
      <c r="A25" s="5" t="s">
        <v>169</v>
      </c>
      <c r="B25" s="5">
        <v>1712</v>
      </c>
      <c r="C25" s="5" t="s">
        <v>165</v>
      </c>
      <c r="D25" s="5">
        <v>5000</v>
      </c>
      <c r="E25" s="5">
        <f t="shared" si="0"/>
        <v>85000</v>
      </c>
      <c r="F25" s="6">
        <f t="shared" si="1"/>
        <v>265000</v>
      </c>
    </row>
    <row r="26" spans="1:6" x14ac:dyDescent="0.35">
      <c r="A26" s="5" t="s">
        <v>170</v>
      </c>
      <c r="B26" s="5">
        <v>1838</v>
      </c>
      <c r="C26" s="5" t="s">
        <v>165</v>
      </c>
      <c r="D26" s="5">
        <v>5000</v>
      </c>
      <c r="E26" s="5">
        <f t="shared" si="0"/>
        <v>90000</v>
      </c>
      <c r="F26" s="6">
        <f t="shared" si="1"/>
        <v>260000</v>
      </c>
    </row>
    <row r="27" spans="1:6" x14ac:dyDescent="0.35">
      <c r="A27" s="5" t="s">
        <v>171</v>
      </c>
      <c r="B27" s="5">
        <v>3797</v>
      </c>
      <c r="C27" s="5" t="s">
        <v>165</v>
      </c>
      <c r="D27" s="5">
        <v>5000</v>
      </c>
      <c r="E27" s="5">
        <f t="shared" si="0"/>
        <v>95000</v>
      </c>
      <c r="F27" s="6">
        <f t="shared" si="1"/>
        <v>255000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A27E-87BC-44D4-8EB3-BCF526A0A324}">
  <dimension ref="A1:F13"/>
  <sheetViews>
    <sheetView workbookViewId="0">
      <selection activeCell="H4" sqref="H4"/>
    </sheetView>
  </sheetViews>
  <sheetFormatPr defaultRowHeight="14.5" x14ac:dyDescent="0.35"/>
  <sheetData>
    <row r="1" spans="1:6" ht="18.5" x14ac:dyDescent="0.45">
      <c r="A1" s="1" t="s">
        <v>113</v>
      </c>
      <c r="B1" s="1"/>
      <c r="C1" s="2"/>
      <c r="D1" s="1"/>
      <c r="E1" s="1"/>
      <c r="F1" s="1"/>
    </row>
    <row r="2" spans="1:6" ht="18.5" x14ac:dyDescent="0.45">
      <c r="A2" s="1" t="s">
        <v>114</v>
      </c>
      <c r="C2" s="1"/>
      <c r="D2" s="1"/>
      <c r="E2" s="1"/>
      <c r="F2" s="1"/>
    </row>
    <row r="3" spans="1:6" ht="18.5" x14ac:dyDescent="0.45">
      <c r="A3" s="1" t="s">
        <v>115</v>
      </c>
      <c r="B3" s="1"/>
      <c r="C3" s="1"/>
      <c r="D3" s="1"/>
      <c r="E3" s="1"/>
      <c r="F3" s="1"/>
    </row>
    <row r="4" spans="1:6" ht="18.5" x14ac:dyDescent="0.45">
      <c r="A4" s="1" t="s">
        <v>119</v>
      </c>
      <c r="B4" s="1"/>
      <c r="C4" s="1"/>
      <c r="D4" s="1"/>
      <c r="E4" s="1"/>
      <c r="F4" s="1"/>
    </row>
    <row r="5" spans="1:6" ht="18.5" x14ac:dyDescent="0.45">
      <c r="A5" s="1" t="s">
        <v>116</v>
      </c>
      <c r="B5" s="1"/>
      <c r="C5" s="1"/>
      <c r="D5" s="1"/>
      <c r="E5" s="1"/>
      <c r="F5" s="1"/>
    </row>
    <row r="6" spans="1:6" ht="18.5" x14ac:dyDescent="0.45">
      <c r="A6" s="1" t="s">
        <v>117</v>
      </c>
      <c r="B6" s="1"/>
      <c r="C6" s="1"/>
      <c r="D6" s="1" t="s">
        <v>118</v>
      </c>
      <c r="E6" s="1"/>
      <c r="F6" s="1"/>
    </row>
    <row r="7" spans="1:6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6" x14ac:dyDescent="0.35">
      <c r="A8" s="9">
        <v>44562</v>
      </c>
      <c r="B8">
        <v>483</v>
      </c>
    </row>
    <row r="9" spans="1:6" ht="15.5" x14ac:dyDescent="0.35">
      <c r="B9" s="14" t="s">
        <v>120</v>
      </c>
      <c r="C9" s="14"/>
      <c r="D9" s="14"/>
      <c r="E9" s="14"/>
      <c r="F9" s="14"/>
    </row>
    <row r="10" spans="1:6" ht="15.5" x14ac:dyDescent="0.35">
      <c r="B10" s="14" t="s">
        <v>121</v>
      </c>
      <c r="C10" s="14"/>
      <c r="D10" s="14"/>
      <c r="E10" s="14"/>
      <c r="F10" s="14"/>
    </row>
    <row r="11" spans="1:6" x14ac:dyDescent="0.35">
      <c r="A11" s="9">
        <v>46147</v>
      </c>
      <c r="B11">
        <v>1391</v>
      </c>
      <c r="C11" t="s">
        <v>122</v>
      </c>
      <c r="E11" s="10">
        <v>200000</v>
      </c>
      <c r="F11" t="s">
        <v>58</v>
      </c>
    </row>
    <row r="13" spans="1:6" ht="18.5" x14ac:dyDescent="0.45">
      <c r="A13" s="15" t="s">
        <v>123</v>
      </c>
      <c r="B13" s="15"/>
      <c r="C13" s="15"/>
      <c r="D13" s="1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4968-33B3-4EEF-91A2-A970FD577E35}">
  <dimension ref="A1:G15"/>
  <sheetViews>
    <sheetView workbookViewId="0">
      <selection activeCell="A7" sqref="A7:F7"/>
    </sheetView>
  </sheetViews>
  <sheetFormatPr defaultRowHeight="14.5" x14ac:dyDescent="0.35"/>
  <cols>
    <col min="1" max="1" width="10.7265625" customWidth="1"/>
    <col min="3" max="3" width="11.54296875" customWidth="1"/>
    <col min="6" max="6" width="11.1796875" customWidth="1"/>
  </cols>
  <sheetData>
    <row r="1" spans="1:7" ht="18.5" x14ac:dyDescent="0.45">
      <c r="A1" s="1" t="s">
        <v>101</v>
      </c>
      <c r="B1" s="1"/>
      <c r="C1" s="2"/>
      <c r="D1" s="1"/>
      <c r="E1" s="1"/>
      <c r="F1" s="1"/>
    </row>
    <row r="2" spans="1:7" ht="18.5" x14ac:dyDescent="0.45">
      <c r="A2" s="1" t="s">
        <v>102</v>
      </c>
      <c r="C2" s="1"/>
      <c r="D2" s="1"/>
      <c r="E2" s="1"/>
      <c r="F2" s="1"/>
    </row>
    <row r="3" spans="1:7" ht="18.5" x14ac:dyDescent="0.45">
      <c r="A3" s="1" t="s">
        <v>103</v>
      </c>
      <c r="B3" s="1"/>
      <c r="C3" s="1"/>
      <c r="D3" s="1"/>
      <c r="E3" s="1"/>
      <c r="F3" s="1"/>
    </row>
    <row r="4" spans="1:7" ht="18.5" x14ac:dyDescent="0.45">
      <c r="A4" s="1" t="s">
        <v>106</v>
      </c>
      <c r="B4" s="1"/>
      <c r="C4" s="1"/>
      <c r="D4" s="1"/>
      <c r="E4" s="1"/>
      <c r="F4" s="1"/>
    </row>
    <row r="5" spans="1:7" ht="18.5" x14ac:dyDescent="0.45">
      <c r="A5" s="1" t="s">
        <v>104</v>
      </c>
      <c r="B5" s="1"/>
      <c r="C5" s="1"/>
      <c r="D5" s="1"/>
      <c r="E5" s="1"/>
      <c r="F5" s="1"/>
    </row>
    <row r="6" spans="1:7" ht="18.5" x14ac:dyDescent="0.45">
      <c r="A6" s="1" t="s">
        <v>105</v>
      </c>
      <c r="B6" s="1"/>
      <c r="C6" s="1"/>
      <c r="D6" s="1" t="s">
        <v>107</v>
      </c>
      <c r="E6" s="1"/>
      <c r="F6" s="1"/>
    </row>
    <row r="7" spans="1:7" x14ac:dyDescent="0.35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</row>
    <row r="8" spans="1:7" x14ac:dyDescent="0.35">
      <c r="A8" t="s">
        <v>108</v>
      </c>
      <c r="B8">
        <v>140</v>
      </c>
      <c r="C8" t="s">
        <v>110</v>
      </c>
      <c r="D8" s="10">
        <v>200000</v>
      </c>
      <c r="E8" s="10">
        <v>200000</v>
      </c>
      <c r="F8" s="10">
        <v>150000</v>
      </c>
    </row>
    <row r="9" spans="1:7" x14ac:dyDescent="0.35">
      <c r="A9" s="9">
        <v>43958</v>
      </c>
      <c r="B9">
        <v>2141</v>
      </c>
      <c r="C9" t="s">
        <v>49</v>
      </c>
      <c r="D9">
        <v>112000</v>
      </c>
      <c r="E9" s="10">
        <f>SUM(E8+D9)</f>
        <v>312000</v>
      </c>
      <c r="F9" s="10">
        <f>F8-D9</f>
        <v>38000</v>
      </c>
    </row>
    <row r="10" spans="1:7" x14ac:dyDescent="0.35">
      <c r="A10" s="9">
        <v>44659</v>
      </c>
      <c r="B10">
        <v>142</v>
      </c>
      <c r="C10" t="s">
        <v>49</v>
      </c>
      <c r="D10" s="10">
        <v>10000</v>
      </c>
      <c r="E10" s="10">
        <f t="shared" ref="E10:E13" si="0">SUM(E9+D10)</f>
        <v>322000</v>
      </c>
      <c r="F10" s="10">
        <f t="shared" ref="F10:F13" si="1">F9-D10</f>
        <v>28000</v>
      </c>
    </row>
    <row r="11" spans="1:7" x14ac:dyDescent="0.35">
      <c r="A11" s="9">
        <v>43958</v>
      </c>
      <c r="B11">
        <v>144</v>
      </c>
      <c r="C11" t="s">
        <v>49</v>
      </c>
      <c r="D11" s="10">
        <v>7000</v>
      </c>
      <c r="E11" s="10">
        <f t="shared" si="0"/>
        <v>329000</v>
      </c>
      <c r="F11" s="10">
        <f t="shared" si="1"/>
        <v>21000</v>
      </c>
    </row>
    <row r="12" spans="1:7" x14ac:dyDescent="0.35">
      <c r="A12" s="9">
        <v>44874</v>
      </c>
      <c r="B12">
        <v>1181</v>
      </c>
      <c r="C12" t="s">
        <v>49</v>
      </c>
      <c r="D12" s="10">
        <v>10000</v>
      </c>
      <c r="E12" s="10">
        <f t="shared" si="0"/>
        <v>339000</v>
      </c>
      <c r="F12" s="10">
        <f t="shared" si="1"/>
        <v>11000</v>
      </c>
    </row>
    <row r="13" spans="1:7" x14ac:dyDescent="0.35">
      <c r="A13" t="s">
        <v>109</v>
      </c>
      <c r="B13">
        <v>2422</v>
      </c>
      <c r="C13" t="s">
        <v>49</v>
      </c>
      <c r="D13" s="10">
        <v>11000</v>
      </c>
      <c r="E13" s="10">
        <f t="shared" si="0"/>
        <v>350000</v>
      </c>
      <c r="F13" s="10">
        <f t="shared" si="1"/>
        <v>0</v>
      </c>
    </row>
    <row r="14" spans="1:7" x14ac:dyDescent="0.35">
      <c r="A14" t="s">
        <v>111</v>
      </c>
      <c r="B14">
        <v>395</v>
      </c>
      <c r="C14" t="s">
        <v>16</v>
      </c>
      <c r="D14" s="10">
        <v>250000</v>
      </c>
      <c r="E14" s="10">
        <v>250000</v>
      </c>
      <c r="F14" t="s">
        <v>17</v>
      </c>
    </row>
    <row r="15" spans="1:7" ht="18.5" x14ac:dyDescent="0.45">
      <c r="A15" s="15" t="s">
        <v>112</v>
      </c>
      <c r="B15" s="15"/>
      <c r="C15" s="15"/>
      <c r="D15" s="15"/>
      <c r="E15" s="15"/>
      <c r="F15" s="15"/>
      <c r="G15" s="1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3212-3144-4EBB-A414-B6ADB1B7F258}">
  <dimension ref="A1:F13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124</v>
      </c>
      <c r="B1" t="s">
        <v>130</v>
      </c>
    </row>
    <row r="2" spans="1:6" x14ac:dyDescent="0.35">
      <c r="A2" t="s">
        <v>125</v>
      </c>
      <c r="B2" t="s">
        <v>131</v>
      </c>
    </row>
    <row r="3" spans="1:6" x14ac:dyDescent="0.35">
      <c r="A3" t="s">
        <v>126</v>
      </c>
      <c r="B3" t="s">
        <v>132</v>
      </c>
    </row>
    <row r="4" spans="1:6" x14ac:dyDescent="0.35">
      <c r="A4" t="s">
        <v>127</v>
      </c>
      <c r="B4" t="s">
        <v>133</v>
      </c>
    </row>
    <row r="5" spans="1:6" x14ac:dyDescent="0.35">
      <c r="A5" t="s">
        <v>128</v>
      </c>
      <c r="B5" t="s">
        <v>134</v>
      </c>
    </row>
    <row r="6" spans="1:6" x14ac:dyDescent="0.35">
      <c r="A6" t="s">
        <v>129</v>
      </c>
      <c r="B6">
        <v>4789</v>
      </c>
    </row>
    <row r="8" spans="1:6" x14ac:dyDescent="0.35">
      <c r="A8" s="3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35">
      <c r="A9" t="s">
        <v>135</v>
      </c>
      <c r="B9">
        <v>13659</v>
      </c>
      <c r="C9" t="s">
        <v>136</v>
      </c>
      <c r="D9" s="10">
        <v>900000</v>
      </c>
      <c r="E9" s="10">
        <v>900000</v>
      </c>
      <c r="F9" t="s">
        <v>137</v>
      </c>
    </row>
    <row r="13" spans="1:6" x14ac:dyDescent="0.35">
      <c r="A13" t="s">
        <v>135</v>
      </c>
      <c r="B13">
        <v>1679</v>
      </c>
      <c r="C13" t="s">
        <v>138</v>
      </c>
      <c r="D13" s="10">
        <v>300000</v>
      </c>
      <c r="E13" s="10">
        <v>300000</v>
      </c>
      <c r="F13" t="s">
        <v>137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88F3-09D7-48C1-B36C-7604E6D0FD44}">
  <dimension ref="A1:F11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124</v>
      </c>
      <c r="B1" t="s">
        <v>149</v>
      </c>
    </row>
    <row r="2" spans="1:6" x14ac:dyDescent="0.35">
      <c r="A2" t="s">
        <v>125</v>
      </c>
      <c r="B2" t="s">
        <v>150</v>
      </c>
    </row>
    <row r="3" spans="1:6" x14ac:dyDescent="0.35">
      <c r="A3" t="s">
        <v>126</v>
      </c>
      <c r="B3" t="s">
        <v>151</v>
      </c>
    </row>
    <row r="4" spans="1:6" x14ac:dyDescent="0.35">
      <c r="A4" t="s">
        <v>140</v>
      </c>
      <c r="B4" t="s">
        <v>152</v>
      </c>
    </row>
    <row r="5" spans="1:6" x14ac:dyDescent="0.35">
      <c r="A5" t="s">
        <v>141</v>
      </c>
      <c r="B5" t="s">
        <v>148</v>
      </c>
    </row>
    <row r="6" spans="1:6" x14ac:dyDescent="0.35">
      <c r="A6" t="s">
        <v>142</v>
      </c>
      <c r="B6">
        <v>4796</v>
      </c>
    </row>
    <row r="8" spans="1:6" x14ac:dyDescent="0.35">
      <c r="A8" s="3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x14ac:dyDescent="0.35">
      <c r="A9" t="s">
        <v>143</v>
      </c>
      <c r="B9">
        <v>39</v>
      </c>
      <c r="C9" t="s">
        <v>144</v>
      </c>
      <c r="D9" s="10">
        <v>10000</v>
      </c>
      <c r="E9" s="10">
        <v>10000</v>
      </c>
      <c r="F9" s="10">
        <v>740000</v>
      </c>
    </row>
    <row r="10" spans="1:6" x14ac:dyDescent="0.35">
      <c r="A10" t="s">
        <v>143</v>
      </c>
      <c r="B10">
        <v>1282</v>
      </c>
      <c r="C10" t="s">
        <v>145</v>
      </c>
      <c r="D10" s="10">
        <v>340000</v>
      </c>
      <c r="E10" s="10">
        <v>350000</v>
      </c>
      <c r="F10" s="10">
        <v>400000</v>
      </c>
    </row>
    <row r="11" spans="1:6" x14ac:dyDescent="0.35">
      <c r="A11" t="s">
        <v>146</v>
      </c>
      <c r="B11">
        <v>1702</v>
      </c>
      <c r="C11" t="s">
        <v>147</v>
      </c>
      <c r="D11" s="10">
        <v>400000</v>
      </c>
      <c r="E11" s="10">
        <f>E10+D11</f>
        <v>750000</v>
      </c>
      <c r="F11" s="10">
        <f>F10-D11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D066-57A8-4928-B2E6-4BDF76006930}">
  <dimension ref="A1:F12"/>
  <sheetViews>
    <sheetView workbookViewId="0">
      <selection activeCell="B11" sqref="B11"/>
    </sheetView>
  </sheetViews>
  <sheetFormatPr defaultRowHeight="14.5" x14ac:dyDescent="0.35"/>
  <sheetData>
    <row r="1" spans="1:6" x14ac:dyDescent="0.35">
      <c r="A1" t="s">
        <v>124</v>
      </c>
      <c r="B1" t="s">
        <v>155</v>
      </c>
    </row>
    <row r="2" spans="1:6" x14ac:dyDescent="0.35">
      <c r="A2" t="s">
        <v>125</v>
      </c>
      <c r="B2" t="s">
        <v>156</v>
      </c>
    </row>
    <row r="3" spans="1:6" x14ac:dyDescent="0.35">
      <c r="A3" t="s">
        <v>126</v>
      </c>
      <c r="B3" t="s">
        <v>157</v>
      </c>
    </row>
    <row r="4" spans="1:6" x14ac:dyDescent="0.35">
      <c r="A4" t="s">
        <v>140</v>
      </c>
      <c r="B4" t="s">
        <v>158</v>
      </c>
    </row>
    <row r="5" spans="1:6" x14ac:dyDescent="0.35">
      <c r="A5" t="s">
        <v>141</v>
      </c>
      <c r="B5" t="s">
        <v>153</v>
      </c>
    </row>
    <row r="6" spans="1:6" x14ac:dyDescent="0.35">
      <c r="A6" t="s">
        <v>142</v>
      </c>
      <c r="B6">
        <v>4786</v>
      </c>
    </row>
    <row r="9" spans="1:6" x14ac:dyDescent="0.35">
      <c r="A9" s="3" t="s">
        <v>0</v>
      </c>
      <c r="B9" s="4" t="s">
        <v>1</v>
      </c>
      <c r="C9" s="4" t="s">
        <v>2</v>
      </c>
      <c r="D9" s="4" t="s">
        <v>3</v>
      </c>
      <c r="E9" s="4" t="s">
        <v>4</v>
      </c>
      <c r="F9" s="4" t="s">
        <v>5</v>
      </c>
    </row>
    <row r="12" spans="1:6" x14ac:dyDescent="0.35">
      <c r="C1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L-4787 (2)</vt:lpstr>
      <vt:lpstr>L-4766</vt:lpstr>
      <vt:lpstr>L-4777</vt:lpstr>
      <vt:lpstr>L-4778</vt:lpstr>
      <vt:lpstr>L-4780</vt:lpstr>
      <vt:lpstr>L-4781</vt:lpstr>
      <vt:lpstr>L-4782</vt:lpstr>
      <vt:lpstr>L-4783</vt:lpstr>
      <vt:lpstr>FAHAD JAMAL</vt:lpstr>
      <vt:lpstr>GUJJAR</vt:lpstr>
      <vt:lpstr>L-4785</vt:lpstr>
      <vt:lpstr>L-4786</vt:lpstr>
      <vt:lpstr>L-4787</vt:lpstr>
      <vt:lpstr>L-4791</vt:lpstr>
      <vt:lpstr>R-4793</vt:lpstr>
      <vt:lpstr>L-4797</vt:lpstr>
      <vt:lpstr>L-4789</vt:lpstr>
      <vt:lpstr>L-4796</vt:lpstr>
      <vt:lpstr>R-4786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younas khan</cp:lastModifiedBy>
  <dcterms:created xsi:type="dcterms:W3CDTF">2026-03-17T23:47:49Z</dcterms:created>
  <dcterms:modified xsi:type="dcterms:W3CDTF">2026-10-04T02:52:45Z</dcterms:modified>
</cp:coreProperties>
</file>