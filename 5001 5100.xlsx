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25" activeTab="34"/>
  </bookViews>
  <sheets>
    <sheet name="L-5006" sheetId="6" r:id="rId1"/>
    <sheet name="L-5001" sheetId="47" r:id="rId2"/>
    <sheet name="a" sheetId="54" r:id="rId3"/>
    <sheet name="L-5003" sheetId="42" r:id="rId4"/>
    <sheet name="L-5007" sheetId="12" r:id="rId5"/>
    <sheet name="L-5008" sheetId="15" r:id="rId6"/>
    <sheet name="L-5009" sheetId="52" r:id="rId7"/>
    <sheet name="L-5011" sheetId="34" r:id="rId8"/>
    <sheet name="L-5032" sheetId="35" r:id="rId9"/>
    <sheet name="L-5033" sheetId="36" r:id="rId10"/>
    <sheet name="L-5014" sheetId="3" r:id="rId11"/>
    <sheet name="L-5016" sheetId="25" r:id="rId12"/>
    <sheet name="L-5023" sheetId="24" r:id="rId13"/>
    <sheet name="L-5024" sheetId="27" r:id="rId14"/>
    <sheet name="L-5025" sheetId="16" r:id="rId15"/>
    <sheet name="L-5026" sheetId="30" r:id="rId16"/>
    <sheet name="L-5027" sheetId="33" r:id="rId17"/>
    <sheet name="L-5090" sheetId="32" r:id="rId18"/>
    <sheet name="L-5021" sheetId="44" r:id="rId19"/>
    <sheet name="L-5020" sheetId="45" r:id="rId20"/>
    <sheet name="L-5013" sheetId="46" r:id="rId21"/>
    <sheet name="L-5030" sheetId="13" r:id="rId22"/>
    <sheet name="L-5029" sheetId="31" r:id="rId23"/>
    <sheet name="L-5002" sheetId="53" r:id="rId24"/>
    <sheet name="L-5031" sheetId="14" r:id="rId25"/>
    <sheet name="L-5035" sheetId="20" r:id="rId26"/>
    <sheet name="L-5036" sheetId="19" r:id="rId27"/>
    <sheet name="L-5043" sheetId="10" r:id="rId28"/>
    <sheet name="L-5047" sheetId="9" r:id="rId29"/>
    <sheet name="L-5049" sheetId="7" r:id="rId30"/>
    <sheet name="L-5051" sheetId="38" r:id="rId31"/>
    <sheet name="L-5052" sheetId="39" r:id="rId32"/>
    <sheet name="L-5054" sheetId="8" r:id="rId33"/>
    <sheet name="L-5053" sheetId="1" r:id="rId34"/>
    <sheet name="L-5056" sheetId="26" r:id="rId35"/>
    <sheet name="L-5062" sheetId="5" r:id="rId36"/>
    <sheet name="L-5064" sheetId="2" r:id="rId37"/>
    <sheet name="L-5088" sheetId="4" r:id="rId38"/>
    <sheet name="L-5097" sheetId="21" r:id="rId39"/>
    <sheet name="L-5098" sheetId="23" r:id="rId40"/>
    <sheet name="L-5100" sheetId="22" r:id="rId41"/>
    <sheet name="L-5005" sheetId="43" r:id="rId42"/>
    <sheet name="L-5037" sheetId="29" r:id="rId43"/>
    <sheet name="L-5045" sheetId="37" r:id="rId44"/>
    <sheet name="L-5059" sheetId="40" r:id="rId45"/>
    <sheet name="L-5058" sheetId="41" r:id="rId46"/>
    <sheet name="L-5018-B" sheetId="48" r:id="rId47"/>
    <sheet name="L-5018-A" sheetId="49" r:id="rId48"/>
    <sheet name="L-5022" sheetId="50" r:id="rId49"/>
    <sheet name="L-5017" sheetId="51" r:id="rId5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46" l="1"/>
  <c r="F20" i="46"/>
  <c r="E20" i="46"/>
  <c r="E53" i="15" l="1"/>
  <c r="E54" i="15" s="1"/>
  <c r="E55" i="15" s="1"/>
  <c r="E56" i="15" s="1"/>
  <c r="E52" i="15"/>
  <c r="E51" i="15"/>
  <c r="E50" i="15"/>
  <c r="E49" i="15"/>
  <c r="E48" i="15"/>
  <c r="E47" i="15"/>
  <c r="E46" i="15"/>
  <c r="E45" i="15"/>
  <c r="E44" i="15"/>
  <c r="E43" i="15"/>
  <c r="F11" i="53" l="1"/>
  <c r="E11" i="53"/>
  <c r="F9" i="52" l="1"/>
  <c r="E9" i="52"/>
  <c r="F22" i="27" l="1"/>
  <c r="F23" i="27" s="1"/>
  <c r="E23" i="27"/>
  <c r="E24" i="27" s="1"/>
  <c r="E22" i="27"/>
  <c r="F47" i="10" l="1"/>
  <c r="F48" i="10" s="1"/>
  <c r="F49" i="10" s="1"/>
  <c r="F50" i="10" s="1"/>
  <c r="F51" i="10" s="1"/>
  <c r="F52" i="10" s="1"/>
  <c r="F46" i="10"/>
  <c r="E46" i="10"/>
  <c r="E47" i="10" s="1"/>
  <c r="E48" i="10" s="1"/>
  <c r="E49" i="10" s="1"/>
  <c r="E50" i="10" s="1"/>
  <c r="E51" i="10" s="1"/>
  <c r="E52" i="10" s="1"/>
  <c r="F25" i="12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E25" i="12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F14" i="46"/>
  <c r="F15" i="46" s="1"/>
  <c r="F16" i="46" s="1"/>
  <c r="F17" i="46" s="1"/>
  <c r="F18" i="46" s="1"/>
  <c r="E14" i="46"/>
  <c r="E15" i="46" s="1"/>
  <c r="E16" i="46" s="1"/>
  <c r="E17" i="46" s="1"/>
  <c r="E18" i="46" s="1"/>
  <c r="E19" i="46" s="1"/>
  <c r="F37" i="32"/>
  <c r="F38" i="32" s="1"/>
  <c r="F39" i="32" s="1"/>
  <c r="F40" i="32" s="1"/>
  <c r="F41" i="32" s="1"/>
  <c r="F42" i="32" s="1"/>
  <c r="F43" i="32" s="1"/>
  <c r="F44" i="32" s="1"/>
  <c r="F45" i="32" s="1"/>
  <c r="F36" i="32"/>
  <c r="E36" i="32"/>
  <c r="E37" i="32" s="1"/>
  <c r="E38" i="32" s="1"/>
  <c r="E39" i="32" s="1"/>
  <c r="E40" i="32" s="1"/>
  <c r="E41" i="32" s="1"/>
  <c r="E42" i="32" s="1"/>
  <c r="E43" i="32" s="1"/>
  <c r="E44" i="32" s="1"/>
  <c r="E45" i="32" s="1"/>
  <c r="F10" i="43"/>
  <c r="F11" i="43" s="1"/>
  <c r="F12" i="43" s="1"/>
  <c r="F13" i="43" s="1"/>
  <c r="F14" i="43" s="1"/>
  <c r="F15" i="43" s="1"/>
  <c r="F16" i="43" s="1"/>
  <c r="F9" i="43"/>
  <c r="E9" i="43"/>
  <c r="E10" i="43" s="1"/>
  <c r="E11" i="43" s="1"/>
  <c r="E12" i="43" s="1"/>
  <c r="E13" i="43" s="1"/>
  <c r="E14" i="43" s="1"/>
  <c r="E15" i="43" s="1"/>
  <c r="E16" i="43" s="1"/>
  <c r="E17" i="43" s="1"/>
  <c r="F15" i="41"/>
  <c r="F16" i="41" s="1"/>
  <c r="F17" i="41" s="1"/>
  <c r="F18" i="41" s="1"/>
  <c r="F19" i="41" s="1"/>
  <c r="F20" i="41" s="1"/>
  <c r="F21" i="41" s="1"/>
  <c r="F22" i="41" s="1"/>
  <c r="F23" i="41" s="1"/>
  <c r="F24" i="41" s="1"/>
  <c r="F11" i="41"/>
  <c r="F12" i="41" s="1"/>
  <c r="F13" i="41" s="1"/>
  <c r="F14" i="41" s="1"/>
  <c r="F10" i="41"/>
  <c r="E10" i="4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F10" i="39"/>
  <c r="F11" i="39" s="1"/>
  <c r="F12" i="39" s="1"/>
  <c r="F13" i="39" s="1"/>
  <c r="F14" i="39" s="1"/>
  <c r="F15" i="39" s="1"/>
  <c r="F16" i="39" s="1"/>
  <c r="F17" i="39" s="1"/>
  <c r="F18" i="39" s="1"/>
  <c r="F19" i="39" s="1"/>
  <c r="F20" i="39" s="1"/>
  <c r="F21" i="39" s="1"/>
  <c r="F22" i="39" s="1"/>
  <c r="F23" i="39" s="1"/>
  <c r="F24" i="39" s="1"/>
  <c r="F25" i="39" s="1"/>
  <c r="F26" i="39" s="1"/>
  <c r="F27" i="39" s="1"/>
  <c r="F28" i="39" s="1"/>
  <c r="F29" i="39" s="1"/>
  <c r="F30" i="39" s="1"/>
  <c r="F31" i="39" s="1"/>
  <c r="F32" i="39" s="1"/>
  <c r="F33" i="39" s="1"/>
  <c r="F34" i="39" s="1"/>
  <c r="F35" i="39" s="1"/>
  <c r="E10" i="39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F10" i="38" l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E10" i="38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F9" i="25"/>
  <c r="F10" i="25" s="1"/>
  <c r="F11" i="25" s="1"/>
  <c r="F12" i="25" s="1"/>
  <c r="E9" i="25"/>
  <c r="E10" i="25" s="1"/>
  <c r="E11" i="25" s="1"/>
  <c r="E12" i="25" s="1"/>
  <c r="F11" i="37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10" i="37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F10" i="29"/>
  <c r="F11" i="29" s="1"/>
  <c r="F12" i="29" s="1"/>
  <c r="F13" i="29" s="1"/>
  <c r="F14" i="29" s="1"/>
  <c r="E10" i="29"/>
  <c r="E11" i="29" s="1"/>
  <c r="E12" i="29" s="1"/>
  <c r="E13" i="29" s="1"/>
  <c r="E14" i="29" s="1"/>
  <c r="F10" i="14"/>
  <c r="F11" i="14" s="1"/>
  <c r="F12" i="14" s="1"/>
  <c r="F13" i="14" s="1"/>
  <c r="F10" i="36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9" i="36"/>
  <c r="E9" i="36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F11" i="35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E11" i="35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F9" i="34"/>
  <c r="F10" i="34" s="1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30" i="34" s="1"/>
  <c r="E9" i="34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F9" i="30"/>
  <c r="F10" i="30" s="1"/>
  <c r="F11" i="30" s="1"/>
  <c r="F12" i="30" s="1"/>
  <c r="F13" i="30" s="1"/>
  <c r="F14" i="30" s="1"/>
  <c r="F15" i="30" s="1"/>
  <c r="E10" i="32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9" i="32"/>
  <c r="F9" i="32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10" i="13"/>
  <c r="F11" i="13" s="1"/>
  <c r="F12" i="13" s="1"/>
  <c r="F13" i="13" s="1"/>
  <c r="E10" i="13"/>
  <c r="E11" i="13" s="1"/>
  <c r="E12" i="13" s="1"/>
  <c r="E13" i="13" s="1"/>
  <c r="E10" i="14"/>
  <c r="E11" i="14" s="1"/>
  <c r="E12" i="14" s="1"/>
  <c r="E13" i="14" s="1"/>
  <c r="E9" i="30"/>
  <c r="E10" i="30" s="1"/>
  <c r="E11" i="30" s="1"/>
  <c r="E12" i="30" s="1"/>
  <c r="E13" i="30" s="1"/>
  <c r="E14" i="30" s="1"/>
  <c r="E15" i="30" s="1"/>
  <c r="E16" i="30" s="1"/>
  <c r="F13" i="16"/>
  <c r="F14" i="16" s="1"/>
  <c r="F15" i="16" s="1"/>
  <c r="F16" i="16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7" i="26" s="1"/>
  <c r="E38" i="26" s="1"/>
  <c r="E39" i="26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E9" i="22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F10" i="20"/>
  <c r="F11" i="20" s="1"/>
  <c r="F12" i="20" s="1"/>
  <c r="F13" i="20" s="1"/>
  <c r="F9" i="20"/>
  <c r="E9" i="20"/>
  <c r="E10" i="20" s="1"/>
  <c r="E11" i="20" s="1"/>
  <c r="E12" i="20" s="1"/>
  <c r="E13" i="20" s="1"/>
  <c r="F10" i="19"/>
  <c r="F11" i="19" s="1"/>
  <c r="F12" i="19" s="1"/>
  <c r="F13" i="19" s="1"/>
  <c r="E10" i="19"/>
  <c r="E11" i="19" s="1"/>
  <c r="E12" i="19" s="1"/>
  <c r="E13" i="19" s="1"/>
  <c r="F9" i="19"/>
  <c r="E9" i="19"/>
  <c r="F10" i="16"/>
  <c r="F11" i="16" s="1"/>
  <c r="F12" i="16" s="1"/>
  <c r="E10" i="16"/>
  <c r="E11" i="16" s="1"/>
  <c r="E12" i="16" s="1"/>
  <c r="E13" i="16" s="1"/>
  <c r="E14" i="16" s="1"/>
  <c r="E15" i="16" s="1"/>
  <c r="E16" i="16" s="1"/>
  <c r="F9" i="16"/>
  <c r="E9" i="16"/>
  <c r="F9" i="15"/>
  <c r="F10" i="15" s="1"/>
  <c r="F11" i="15" s="1"/>
  <c r="F12" i="15" s="1"/>
  <c r="F13" i="15" s="1"/>
  <c r="F14" i="15" s="1"/>
  <c r="F15" i="15" s="1"/>
  <c r="F16" i="15" s="1"/>
  <c r="E9" i="15"/>
  <c r="E10" i="15" s="1"/>
  <c r="E11" i="15" s="1"/>
  <c r="E12" i="15" s="1"/>
  <c r="E13" i="15" s="1"/>
  <c r="E14" i="15" s="1"/>
  <c r="E15" i="15" s="1"/>
  <c r="E16" i="15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10" i="12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E10" i="12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F9" i="12"/>
  <c r="E9" i="12"/>
  <c r="E34" i="3"/>
  <c r="E35" i="3" s="1"/>
  <c r="E36" i="3" s="1"/>
  <c r="E37" i="3" s="1"/>
  <c r="E38" i="3" s="1"/>
  <c r="E39" i="3" s="1"/>
  <c r="F11" i="10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E11" i="10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F10" i="10"/>
  <c r="E10" i="10"/>
  <c r="F10" i="9"/>
  <c r="F9" i="9"/>
  <c r="E9" i="9"/>
  <c r="E10" i="9" s="1"/>
  <c r="F14" i="2"/>
  <c r="F15" i="2" s="1"/>
  <c r="F16" i="2" s="1"/>
  <c r="F17" i="2" s="1"/>
  <c r="F18" i="2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8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F9" i="2"/>
  <c r="F10" i="2" s="1"/>
  <c r="F11" i="2" s="1"/>
  <c r="F12" i="2" s="1"/>
  <c r="F13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</calcChain>
</file>

<file path=xl/sharedStrings.xml><?xml version="1.0" encoding="utf-8"?>
<sst xmlns="http://schemas.openxmlformats.org/spreadsheetml/2006/main" count="2066" uniqueCount="818">
  <si>
    <t>Name : Munawar Hussain</t>
  </si>
  <si>
    <t>Father Name : Abdul Shakoor</t>
  </si>
  <si>
    <t>CNIC # 42401-8204067-7</t>
  </si>
  <si>
    <t>Contact # 03332222905</t>
  </si>
  <si>
    <t>Plot No : L-5053</t>
  </si>
  <si>
    <t>Cost : 475,000</t>
  </si>
  <si>
    <t>Date</t>
  </si>
  <si>
    <t>R.NO</t>
  </si>
  <si>
    <t>Description</t>
  </si>
  <si>
    <t>Amount Rec</t>
  </si>
  <si>
    <t>Total Rec</t>
  </si>
  <si>
    <t>Amount Due</t>
  </si>
  <si>
    <t xml:space="preserve">Resendial </t>
  </si>
  <si>
    <t>28/11/2022</t>
  </si>
  <si>
    <t>Adj Rehman</t>
  </si>
  <si>
    <t>7/3/20232751</t>
  </si>
  <si>
    <t>Instalment</t>
  </si>
  <si>
    <t>22/9/2023</t>
  </si>
  <si>
    <t>25/10/2023</t>
  </si>
  <si>
    <t>23/11/2023</t>
  </si>
  <si>
    <t>17/12/2023</t>
  </si>
  <si>
    <t>16/1/2024</t>
  </si>
  <si>
    <t>16/2/2024</t>
  </si>
  <si>
    <t>17/3/2024</t>
  </si>
  <si>
    <t>17/4/2024</t>
  </si>
  <si>
    <t>27/6/2024</t>
  </si>
  <si>
    <t>21/9/2024</t>
  </si>
  <si>
    <t>27/11/2024</t>
  </si>
  <si>
    <t>27/4/2024</t>
  </si>
  <si>
    <t>31/12/2024</t>
  </si>
  <si>
    <t>17/3/2025</t>
  </si>
  <si>
    <t>14/6/2025</t>
  </si>
  <si>
    <t>16/7/2025</t>
  </si>
  <si>
    <t>17/8/2025</t>
  </si>
  <si>
    <t>17/9/2025</t>
  </si>
  <si>
    <t>16/10/2025</t>
  </si>
  <si>
    <t>30/11/2025</t>
  </si>
  <si>
    <t>18/11/2026</t>
  </si>
  <si>
    <t>Name : Tuba</t>
  </si>
  <si>
    <t>Father Name : Muhammad Mazfar Ali</t>
  </si>
  <si>
    <t>CNIC # 42401-8977429-6</t>
  </si>
  <si>
    <t>Contact # 03122092373</t>
  </si>
  <si>
    <t>Plot No : L-5064</t>
  </si>
  <si>
    <t>Cost : 650,000</t>
  </si>
  <si>
    <t>18/9/2025</t>
  </si>
  <si>
    <t>13/11/2025</t>
  </si>
  <si>
    <t>Booking</t>
  </si>
  <si>
    <t>instalment</t>
  </si>
  <si>
    <t>Name : Naseer Ahmed</t>
  </si>
  <si>
    <t>Father Name : Ejaz Ahmed</t>
  </si>
  <si>
    <t>CNIC # 42401-2380905-9</t>
  </si>
  <si>
    <t>Contact # 03452070291</t>
  </si>
  <si>
    <t>Plot No : L-5014</t>
  </si>
  <si>
    <t>Cost : 700,000</t>
  </si>
  <si>
    <t>23/5/2024</t>
  </si>
  <si>
    <t>25/6/2024</t>
  </si>
  <si>
    <t>27/7/2024</t>
  </si>
  <si>
    <t>26/8/2024</t>
  </si>
  <si>
    <t>23/9/2024</t>
  </si>
  <si>
    <t>23/10/2024</t>
  </si>
  <si>
    <t>Res booking</t>
  </si>
  <si>
    <t>23/11/2024</t>
  </si>
  <si>
    <t>21/12/2024</t>
  </si>
  <si>
    <t>24/1/2025</t>
  </si>
  <si>
    <t>24/2/2025</t>
  </si>
  <si>
    <t>24/3/2024</t>
  </si>
  <si>
    <t>24/4/2025</t>
  </si>
  <si>
    <t>24/5/2025</t>
  </si>
  <si>
    <t>23/6/2025</t>
  </si>
  <si>
    <t>24/7/2025</t>
  </si>
  <si>
    <t>25/8/2025</t>
  </si>
  <si>
    <t>27/9/2025</t>
  </si>
  <si>
    <t>23/10/2025</t>
  </si>
  <si>
    <t>24/11/2025</t>
  </si>
  <si>
    <t>24/12/2025</t>
  </si>
  <si>
    <t>24/1/2026</t>
  </si>
  <si>
    <t>23/2/2026</t>
  </si>
  <si>
    <t>Name : Amir Saleem</t>
  </si>
  <si>
    <t>Father Name : Muhammad Saleem</t>
  </si>
  <si>
    <t>CNIC # 42201-1553152-7</t>
  </si>
  <si>
    <t>Contact # 03321122012</t>
  </si>
  <si>
    <t>Plot No : L-5088</t>
  </si>
  <si>
    <t>Cost : 600,000</t>
  </si>
  <si>
    <t>18/1/2023</t>
  </si>
  <si>
    <t>29/3/2023</t>
  </si>
  <si>
    <t>26/4/2023</t>
  </si>
  <si>
    <t>17/6/2023</t>
  </si>
  <si>
    <t>13/9/2023</t>
  </si>
  <si>
    <t>16/11/2023</t>
  </si>
  <si>
    <t>30/1/2024</t>
  </si>
  <si>
    <t>Res advance</t>
  </si>
  <si>
    <t>14/9/2025</t>
  </si>
  <si>
    <t>14/10/2025</t>
  </si>
  <si>
    <t>17/11/2025</t>
  </si>
  <si>
    <t>17/12/2025</t>
  </si>
  <si>
    <t>22/2/2026</t>
  </si>
  <si>
    <t>Name : Muhammad Ramzan</t>
  </si>
  <si>
    <t>Father Name : Shakeel Ahmed</t>
  </si>
  <si>
    <t>CNIC # 42401-608744-9</t>
  </si>
  <si>
    <t>Contact # 03132062188</t>
  </si>
  <si>
    <t>Plot No : L-5062</t>
  </si>
  <si>
    <t>Cost : 550,000</t>
  </si>
  <si>
    <t>Residential</t>
  </si>
  <si>
    <t>Token Adj</t>
  </si>
  <si>
    <t>19/4/2024</t>
  </si>
  <si>
    <t>15/7/2023</t>
  </si>
  <si>
    <t>18/9/2023</t>
  </si>
  <si>
    <t>15/5/2024</t>
  </si>
  <si>
    <t>25/9/2024</t>
  </si>
  <si>
    <t>15/10/2024</t>
  </si>
  <si>
    <t>21/11/2024</t>
  </si>
  <si>
    <t>20/12/2024</t>
  </si>
  <si>
    <t>22/1/2025</t>
  </si>
  <si>
    <t>22/2/2025</t>
  </si>
  <si>
    <t>21/3/2025</t>
  </si>
  <si>
    <t>22/4/2025</t>
  </si>
  <si>
    <t>22/5/2025</t>
  </si>
  <si>
    <t>22/7/2025</t>
  </si>
  <si>
    <t>21/8/2025</t>
  </si>
  <si>
    <t>22/9/2025</t>
  </si>
  <si>
    <t>21/10/2025</t>
  </si>
  <si>
    <t>20/11/2025</t>
  </si>
  <si>
    <t>21/1/2026</t>
  </si>
  <si>
    <t>21/2/2026</t>
  </si>
  <si>
    <t>Name : Abdul Ghaffar</t>
  </si>
  <si>
    <t>Father Name : M.Hussain</t>
  </si>
  <si>
    <t>CNIC # 42401-4655777-1</t>
  </si>
  <si>
    <t>Contact # 03110243977</t>
  </si>
  <si>
    <t>Plot No : L-5006</t>
  </si>
  <si>
    <t>Cost :600,000</t>
  </si>
  <si>
    <t>25/1/2022</t>
  </si>
  <si>
    <t>27/11/2023</t>
  </si>
  <si>
    <t>13/2/2024</t>
  </si>
  <si>
    <t>Reh ADJ</t>
  </si>
  <si>
    <t>Instalment 2pending</t>
  </si>
  <si>
    <t>Instalment next mon</t>
  </si>
  <si>
    <t>Instalment 20,000 pen</t>
  </si>
  <si>
    <t>22/6/2025</t>
  </si>
  <si>
    <t>13/10/2025</t>
  </si>
  <si>
    <t>20/12/2025</t>
  </si>
  <si>
    <t>14/1/2026</t>
  </si>
  <si>
    <t>19/2/2026</t>
  </si>
  <si>
    <t>Name : Anbiya Katoon</t>
  </si>
  <si>
    <t>Father Name : juma khan</t>
  </si>
  <si>
    <t>CNIC # 42000-2685516-2</t>
  </si>
  <si>
    <t>Contact # 03482863419</t>
  </si>
  <si>
    <t>Plot No : L-5049</t>
  </si>
  <si>
    <t>Cost : 480,000</t>
  </si>
  <si>
    <t>16/3/2026</t>
  </si>
  <si>
    <t>AL reh Adj</t>
  </si>
  <si>
    <t>nilll</t>
  </si>
  <si>
    <t>Development</t>
  </si>
  <si>
    <t>FULL PAID</t>
  </si>
  <si>
    <t>Code Num;CFT8213163</t>
  </si>
  <si>
    <t>Name : Ayesha Bashir</t>
  </si>
  <si>
    <t>Father Name : Faisal Ali</t>
  </si>
  <si>
    <t>CNIC # 42401-7701370-2</t>
  </si>
  <si>
    <t>Contact # 03142121930</t>
  </si>
  <si>
    <t>Plot No : L-5045</t>
  </si>
  <si>
    <t>18/2/2023</t>
  </si>
  <si>
    <t>18/3/2023</t>
  </si>
  <si>
    <t>18/5/2023</t>
  </si>
  <si>
    <t>20/7/2023</t>
  </si>
  <si>
    <t>17/8/2023</t>
  </si>
  <si>
    <t>23/1/2024</t>
  </si>
  <si>
    <t>24/2/2024</t>
  </si>
  <si>
    <t>29/2/2024</t>
  </si>
  <si>
    <t>16/3/2024</t>
  </si>
  <si>
    <t>30/3/2024</t>
  </si>
  <si>
    <t>Booking RES</t>
  </si>
  <si>
    <t>16/8/2024</t>
  </si>
  <si>
    <t>19/10/2024</t>
  </si>
  <si>
    <t>17/12/2024</t>
  </si>
  <si>
    <t>PARCIAL PAYMENT</t>
  </si>
  <si>
    <t>Name : Habib ur Rehman</t>
  </si>
  <si>
    <t>Father Name : Jamil Ur Rehman</t>
  </si>
  <si>
    <t>CNIC # 42401-8457590-3</t>
  </si>
  <si>
    <t>Plot No : L-5047</t>
  </si>
  <si>
    <t>Cost : 410,000</t>
  </si>
  <si>
    <t>Code Num;OFK6993162</t>
  </si>
  <si>
    <t>28/8/2022</t>
  </si>
  <si>
    <t>22/2/2023</t>
  </si>
  <si>
    <t>Adj REH</t>
  </si>
  <si>
    <t xml:space="preserve">FULL PAID 30000 RELIEF </t>
  </si>
  <si>
    <t>Name : Muhammad Yameen</t>
  </si>
  <si>
    <t>Father Name : Mehboob Khan</t>
  </si>
  <si>
    <t>CNIC # 42301-0961608-9</t>
  </si>
  <si>
    <t>Contact # 03002637507</t>
  </si>
  <si>
    <t>Plot No : L-5043</t>
  </si>
  <si>
    <t>Cost :450,000</t>
  </si>
  <si>
    <t>20/11/2022</t>
  </si>
  <si>
    <t>ADJ Reh</t>
  </si>
  <si>
    <t>31/12/2023</t>
  </si>
  <si>
    <t>14/7/2024</t>
  </si>
  <si>
    <t>Code Num;CHL3311112</t>
  </si>
  <si>
    <t>25/3/2026</t>
  </si>
  <si>
    <t>Name : Irfan Ali</t>
  </si>
  <si>
    <t>Father Name : Iftikhar Ali</t>
  </si>
  <si>
    <t>CNIC # 42401-9374781-9</t>
  </si>
  <si>
    <t>Contact # 03162070184</t>
  </si>
  <si>
    <t>Plot No : L-5007</t>
  </si>
  <si>
    <t>Cost : 350,000</t>
  </si>
  <si>
    <t>19/1/2023</t>
  </si>
  <si>
    <t>25/5/2023</t>
  </si>
  <si>
    <t>31/7/2023</t>
  </si>
  <si>
    <t xml:space="preserve">Residential </t>
  </si>
  <si>
    <t>Adj Reh</t>
  </si>
  <si>
    <t>adjestment</t>
  </si>
  <si>
    <t>instal june/july</t>
  </si>
  <si>
    <t>Column1</t>
  </si>
  <si>
    <t>Name : Muhammad Faizan</t>
  </si>
  <si>
    <t>Father Name : Muhammad Salam</t>
  </si>
  <si>
    <t>CNIC # 42401-21079601-1</t>
  </si>
  <si>
    <t>Contact # 03142264470</t>
  </si>
  <si>
    <t>Plot No : L-5030</t>
  </si>
  <si>
    <t>Cost : 875,000</t>
  </si>
  <si>
    <t>Column2</t>
  </si>
  <si>
    <t>Column3</t>
  </si>
  <si>
    <t>Column4</t>
  </si>
  <si>
    <t>Column5</t>
  </si>
  <si>
    <t>Column6</t>
  </si>
  <si>
    <t>Name : Muhammad Rashid</t>
  </si>
  <si>
    <t>CNIC # 42401-4224931-9</t>
  </si>
  <si>
    <t>Contact # 03142264760</t>
  </si>
  <si>
    <t>Plot No : L-5031</t>
  </si>
  <si>
    <t>DEVELOPMENT CONTINUE</t>
  </si>
  <si>
    <t>Name :Muhammad Furqan</t>
  </si>
  <si>
    <t>Father Name : Haider Ali</t>
  </si>
  <si>
    <t>CNIC # 42401-9392528-3</t>
  </si>
  <si>
    <t>Contact # 03462477298</t>
  </si>
  <si>
    <t>21/9/2020</t>
  </si>
  <si>
    <t xml:space="preserve">Token </t>
  </si>
  <si>
    <t>booking</t>
  </si>
  <si>
    <t>Name :Rashid</t>
  </si>
  <si>
    <t>Father Name : Muhammad Ahmed</t>
  </si>
  <si>
    <t>CNIC # 42401-8339973-7</t>
  </si>
  <si>
    <t>Contact # 03453471439</t>
  </si>
  <si>
    <t>Plot No : L-5025</t>
  </si>
  <si>
    <t>Cost : 900,000</t>
  </si>
  <si>
    <t xml:space="preserve"> </t>
  </si>
  <si>
    <t>Name :Safdar Shah</t>
  </si>
  <si>
    <t>Father Name : Lal Ahmed</t>
  </si>
  <si>
    <t>CNIC # 42401-8884379-7</t>
  </si>
  <si>
    <t>Contact # 03152714153</t>
  </si>
  <si>
    <t>Plot No : L-5036</t>
  </si>
  <si>
    <t>Code Num;CMU6408754</t>
  </si>
  <si>
    <t>17/10/2025</t>
  </si>
  <si>
    <t>Name :Safdar  Shah</t>
  </si>
  <si>
    <t>Code Num;CRV0856280</t>
  </si>
  <si>
    <t>Plot No : L-5035</t>
  </si>
  <si>
    <t>Father Name : Lal Shah</t>
  </si>
  <si>
    <t>Name :Usman jahangir</t>
  </si>
  <si>
    <t>CNIC # 42401-1507934-5</t>
  </si>
  <si>
    <t>Contact # 0348286419</t>
  </si>
  <si>
    <t>Plot No : L-5097</t>
  </si>
  <si>
    <t>Cost : 200,000</t>
  </si>
  <si>
    <t>13/4/2026</t>
  </si>
  <si>
    <t>Nill</t>
  </si>
  <si>
    <t>Code Num;Cky8608109</t>
  </si>
  <si>
    <t>INSTALLMENT AND DEVELOPMENT BOTH CLEAR</t>
  </si>
  <si>
    <t>Name :Nadeem Akhtar</t>
  </si>
  <si>
    <t>CNIC # 42401-3627447-3</t>
  </si>
  <si>
    <t>Contact # 03102533382</t>
  </si>
  <si>
    <t>Plot No : L-5100</t>
  </si>
  <si>
    <t>Cost : 450,000</t>
  </si>
  <si>
    <t>Code Num;CQM65Q23690</t>
  </si>
  <si>
    <t>22/8/2023</t>
  </si>
  <si>
    <t>15/8/2023</t>
  </si>
  <si>
    <t>14/3/2023</t>
  </si>
  <si>
    <t>20/5/2024</t>
  </si>
  <si>
    <t>23/10/2023</t>
  </si>
  <si>
    <t>installment</t>
  </si>
  <si>
    <t>14/3/2026</t>
  </si>
  <si>
    <t>Code Num; CPK8964618</t>
  </si>
  <si>
    <t>Plot No : L-5098</t>
  </si>
  <si>
    <t>Name :Usman Saleem</t>
  </si>
  <si>
    <t>Father Name : M.Saleem Mughal</t>
  </si>
  <si>
    <t>CNIC # 44101-6341857-7</t>
  </si>
  <si>
    <t>Contact # 03112982149</t>
  </si>
  <si>
    <t>Plot No : L-5023</t>
  </si>
  <si>
    <t>Cost 400,000</t>
  </si>
  <si>
    <t>Code Num; CNJ8568099</t>
  </si>
  <si>
    <t>AL Reh Adj</t>
  </si>
  <si>
    <t>Code Num;BSE3378512</t>
  </si>
  <si>
    <t>Name : M.Touseef</t>
  </si>
  <si>
    <t>Father Name : Babar Khan</t>
  </si>
  <si>
    <t>CNIC # 32303-0994971</t>
  </si>
  <si>
    <t>Contact # 03431254266</t>
  </si>
  <si>
    <t>Plot No : L-5056</t>
  </si>
  <si>
    <t>Cost : 750,000</t>
  </si>
  <si>
    <t>Code Num;BCY2800837</t>
  </si>
  <si>
    <t>25/2/2023</t>
  </si>
  <si>
    <t>25/2/2024</t>
  </si>
  <si>
    <t>21/4/2024</t>
  </si>
  <si>
    <t>19/5/2024</t>
  </si>
  <si>
    <t>23/6/2024</t>
  </si>
  <si>
    <t>21/7/2024</t>
  </si>
  <si>
    <t>25/8/2024</t>
  </si>
  <si>
    <t>22/9/2024</t>
  </si>
  <si>
    <t>20/10/2024</t>
  </si>
  <si>
    <t>24/11/2024</t>
  </si>
  <si>
    <t>Al Reh Adj</t>
  </si>
  <si>
    <t>22/12/2024</t>
  </si>
  <si>
    <t>19/1/2025</t>
  </si>
  <si>
    <t>23/2/2025</t>
  </si>
  <si>
    <t>23/3/2025</t>
  </si>
  <si>
    <t>20/4/2025</t>
  </si>
  <si>
    <t>18/5/2025</t>
  </si>
  <si>
    <t>20/7/2025</t>
  </si>
  <si>
    <t>24/8/2025</t>
  </si>
  <si>
    <t>21/9/2025</t>
  </si>
  <si>
    <t>19/10/2025</t>
  </si>
  <si>
    <t>23/11/2025</t>
  </si>
  <si>
    <t>21/12/2025</t>
  </si>
  <si>
    <t>18/1/2026</t>
  </si>
  <si>
    <t>15/2/2026</t>
  </si>
  <si>
    <t>18/3/2026</t>
  </si>
  <si>
    <t>19/4/2026</t>
  </si>
  <si>
    <t>Code Num;CQE5753130</t>
  </si>
  <si>
    <t>Name :Daniyal Shahzad</t>
  </si>
  <si>
    <t>Father Name : Muhammad Shahzad</t>
  </si>
  <si>
    <t>CNIC # 42201--9492155-9</t>
  </si>
  <si>
    <t>Contact # 03120834862</t>
  </si>
  <si>
    <t>Plot No : L-5016</t>
  </si>
  <si>
    <t>Cost ;800,000</t>
  </si>
  <si>
    <t>Code Num; CQV3347767</t>
  </si>
  <si>
    <t>Code NUM;CNQ0558244</t>
  </si>
  <si>
    <t>24/4/2026</t>
  </si>
  <si>
    <t>Code Num;CJM0652139</t>
  </si>
  <si>
    <t>Name :Nayyar Bibi</t>
  </si>
  <si>
    <t>Father Name : Saeed Hussain</t>
  </si>
  <si>
    <t>CNIC # 42401-1695993-8</t>
  </si>
  <si>
    <t>Contact # 03108225260</t>
  </si>
  <si>
    <t>Plot No : L-5024</t>
  </si>
  <si>
    <t>THIS FILE IS TRANSFEERED TO</t>
  </si>
  <si>
    <t>DETAIL OF TRANSFEERED</t>
  </si>
  <si>
    <t>Name :Adnia Touqeer</t>
  </si>
  <si>
    <t>Father Name : Muhammad Touqeer Iqbal</t>
  </si>
  <si>
    <t>CNIC # 33100-5327412-0</t>
  </si>
  <si>
    <t>Contact # 03360644848</t>
  </si>
  <si>
    <t>Cost ,300,000</t>
  </si>
  <si>
    <t>Cost ;300,000</t>
  </si>
  <si>
    <t>Code Num; CUT3502214</t>
  </si>
  <si>
    <t>ALL AMOUNT GIVEN TO AL REHMAN BUILLDER ADJUSTMENT PLOT</t>
  </si>
  <si>
    <t>Code Num;ASW7865494</t>
  </si>
  <si>
    <t>Code Num;AP1735700</t>
  </si>
  <si>
    <t>Code Num;CCH1819501</t>
  </si>
  <si>
    <t>Name :Bilal Ahmed</t>
  </si>
  <si>
    <t>Father Name : Muhammad Hashim</t>
  </si>
  <si>
    <t>CNIC # 42401-5861153-9</t>
  </si>
  <si>
    <t>Contact # 03452349336</t>
  </si>
  <si>
    <t>Plot No : L-5026</t>
  </si>
  <si>
    <t>Cost :380,000</t>
  </si>
  <si>
    <t>Code Num;BLH4532372</t>
  </si>
  <si>
    <t>15/3/2023</t>
  </si>
  <si>
    <t>Adjustment</t>
  </si>
  <si>
    <t>Code Num;CFZ0156179</t>
  </si>
  <si>
    <t>Instalmt</t>
  </si>
  <si>
    <t>Code Num;BLW3972647</t>
  </si>
  <si>
    <t>Name :Yousuf</t>
  </si>
  <si>
    <t>Father Name : Abdul Gaffar</t>
  </si>
  <si>
    <t xml:space="preserve">CNIC # </t>
  </si>
  <si>
    <t>Plot No : L-5090</t>
  </si>
  <si>
    <t>30/5/2021</t>
  </si>
  <si>
    <t>19/3/2023</t>
  </si>
  <si>
    <t>30/4/2023</t>
  </si>
  <si>
    <t>13/8/2023</t>
  </si>
  <si>
    <t>21/9/2023</t>
  </si>
  <si>
    <t>16/10/2023</t>
  </si>
  <si>
    <t>13/1/2024</t>
  </si>
  <si>
    <t>Res Adjustment</t>
  </si>
  <si>
    <t>19/2/2024</t>
  </si>
  <si>
    <t>NILL</t>
  </si>
  <si>
    <t>Developmnt</t>
  </si>
  <si>
    <t>Name :Rabia</t>
  </si>
  <si>
    <t>Father Name : Muhammad Hanif</t>
  </si>
  <si>
    <t>CNIC # 42401-1675430-2</t>
  </si>
  <si>
    <t>Contact # 03092388224</t>
  </si>
  <si>
    <t>Plot No : L-5027</t>
  </si>
  <si>
    <t>Cost :310,000</t>
  </si>
  <si>
    <t>Code Num;BHJ0666401</t>
  </si>
  <si>
    <t>31/8/2023</t>
  </si>
  <si>
    <t>Name :Ali Hassan</t>
  </si>
  <si>
    <t>Father Name : Ali Shah</t>
  </si>
  <si>
    <t>CNIC # 36102-6179309-9</t>
  </si>
  <si>
    <t>Contact # 03007372252</t>
  </si>
  <si>
    <t>Plot No : L-5011</t>
  </si>
  <si>
    <t>Code Num;CQN8439234</t>
  </si>
  <si>
    <t>13/3/2022</t>
  </si>
  <si>
    <t>15/12/2022</t>
  </si>
  <si>
    <t>27/2/2023</t>
  </si>
  <si>
    <t>23/7/2023</t>
  </si>
  <si>
    <t>28/8/2023</t>
  </si>
  <si>
    <t>29/11/2023</t>
  </si>
  <si>
    <t>Installmnt</t>
  </si>
  <si>
    <t>Insatalment</t>
  </si>
  <si>
    <t>25/4/2024</t>
  </si>
  <si>
    <t>30/6/2024</t>
  </si>
  <si>
    <t>22/11/2024</t>
  </si>
  <si>
    <t>27/3/2025</t>
  </si>
  <si>
    <t>15/5/2026</t>
  </si>
  <si>
    <t>DEVELOPMENT AND INSTALLMENT BOTH CLEAR</t>
  </si>
  <si>
    <t>Name :Yaseen</t>
  </si>
  <si>
    <t>Father Name : Allah Diya</t>
  </si>
  <si>
    <t>CNIC # 33201-1641555-3</t>
  </si>
  <si>
    <t>Contact # 03117861423</t>
  </si>
  <si>
    <t>Plot No : L-5032</t>
  </si>
  <si>
    <t>Cost : 400,000</t>
  </si>
  <si>
    <t>Code Num;CUC7523333</t>
  </si>
  <si>
    <t>19/3/2022</t>
  </si>
  <si>
    <t>19/8/2022</t>
  </si>
  <si>
    <t>18/9/2022</t>
  </si>
  <si>
    <t>13/4/2023</t>
  </si>
  <si>
    <t>20/5/2023</t>
  </si>
  <si>
    <t>14/6/2023</t>
  </si>
  <si>
    <t>24/8/3023</t>
  </si>
  <si>
    <t>29/9/2024</t>
  </si>
  <si>
    <t>21/10/2024</t>
  </si>
  <si>
    <t>20/6/2024</t>
  </si>
  <si>
    <t>28/5/2024</t>
  </si>
  <si>
    <t>Code Num;CQH4098557</t>
  </si>
  <si>
    <t>17/7/2023</t>
  </si>
  <si>
    <t>14//62023</t>
  </si>
  <si>
    <t>24/8/2024</t>
  </si>
  <si>
    <t>Installment</t>
  </si>
  <si>
    <t>31/5/2024</t>
  </si>
  <si>
    <t>Plot No : L-5033</t>
  </si>
  <si>
    <t>NAME:</t>
  </si>
  <si>
    <t>F\NAME:</t>
  </si>
  <si>
    <t>CNIC:</t>
  </si>
  <si>
    <t>CODE:</t>
  </si>
  <si>
    <t>CONTACT NO:</t>
  </si>
  <si>
    <t>PLOT NO:</t>
  </si>
  <si>
    <t>RUKHSAR FAISAL</t>
  </si>
  <si>
    <t>MASHAL AHMAD</t>
  </si>
  <si>
    <t>42501-5426206-8</t>
  </si>
  <si>
    <t>0345-2907220</t>
  </si>
  <si>
    <t>BRC2940978</t>
  </si>
  <si>
    <t>7\7\20</t>
  </si>
  <si>
    <t>ADJUSTMENT AMOUNT PAID TO AL- REHMAN BUILDERS</t>
  </si>
  <si>
    <t>8\6\026</t>
  </si>
  <si>
    <t>8\6\26</t>
  </si>
  <si>
    <t>CNIC NO:</t>
  </si>
  <si>
    <t>CODE NO:</t>
  </si>
  <si>
    <t>RASHID AKHTAR</t>
  </si>
  <si>
    <t>M.MOHIN AKHTAR</t>
  </si>
  <si>
    <t>0345-2638828</t>
  </si>
  <si>
    <t>42401-8735776-1</t>
  </si>
  <si>
    <t>7\8\23</t>
  </si>
  <si>
    <t>1\9\22</t>
  </si>
  <si>
    <t>18\12\22</t>
  </si>
  <si>
    <t>20\4\23</t>
  </si>
  <si>
    <t>14\5\23</t>
  </si>
  <si>
    <t>18\6\23</t>
  </si>
  <si>
    <t>INSTALMENT</t>
  </si>
  <si>
    <t>INSTALLMENT</t>
  </si>
  <si>
    <t>REHMAN ADJUDTMET</t>
  </si>
  <si>
    <t>TOTAL COST</t>
  </si>
  <si>
    <t>7\6\026</t>
  </si>
  <si>
    <t>DEVELOPMENT</t>
  </si>
  <si>
    <t>NIL</t>
  </si>
  <si>
    <t>4\6\26</t>
  </si>
  <si>
    <t>12\4\26</t>
  </si>
  <si>
    <t>2\6\26</t>
  </si>
  <si>
    <t>CJG0850169</t>
  </si>
  <si>
    <t>AUP1735700</t>
  </si>
  <si>
    <t>13\6\26</t>
  </si>
  <si>
    <t>CNNIC:</t>
  </si>
  <si>
    <t>CODE NO</t>
  </si>
  <si>
    <t>18\2\23</t>
  </si>
  <si>
    <t>18\5\23</t>
  </si>
  <si>
    <t>26\7\23</t>
  </si>
  <si>
    <t>17\8\23</t>
  </si>
  <si>
    <t>23\1\24</t>
  </si>
  <si>
    <t>9\2\24</t>
  </si>
  <si>
    <t>24\2\24</t>
  </si>
  <si>
    <t>29\2\24</t>
  </si>
  <si>
    <t>16\3\24</t>
  </si>
  <si>
    <t>30\3\24</t>
  </si>
  <si>
    <t>BOOKING RESIDENTAIL</t>
  </si>
  <si>
    <t>1\5\24</t>
  </si>
  <si>
    <t>3\7\24</t>
  </si>
  <si>
    <t>16\8\24</t>
  </si>
  <si>
    <t>19\10\24</t>
  </si>
  <si>
    <t>17\12\24</t>
  </si>
  <si>
    <t>12\7\25</t>
  </si>
  <si>
    <t>70,000 GIIVEN DISCOUNT</t>
  </si>
  <si>
    <t>AYESHA BIBI</t>
  </si>
  <si>
    <t>FIASAL ALI</t>
  </si>
  <si>
    <t>0314-2121930</t>
  </si>
  <si>
    <t>42401-7701370-2</t>
  </si>
  <si>
    <t>23\5\26</t>
  </si>
  <si>
    <t>14\6\26</t>
  </si>
  <si>
    <t>21\6\26</t>
  </si>
  <si>
    <t>20\5\26</t>
  </si>
  <si>
    <t>MUHAMMAD NAWAZ</t>
  </si>
  <si>
    <t>GULAM  RASOOL</t>
  </si>
  <si>
    <t>0300-7352984</t>
  </si>
  <si>
    <t>42401-1955537-7</t>
  </si>
  <si>
    <t>CGE7330619</t>
  </si>
  <si>
    <t>29\3\22</t>
  </si>
  <si>
    <t>11\8\22</t>
  </si>
  <si>
    <t>6\4\23</t>
  </si>
  <si>
    <t>13\6\23</t>
  </si>
  <si>
    <t>4\7\23</t>
  </si>
  <si>
    <t>16\8\23</t>
  </si>
  <si>
    <t>29\8\23</t>
  </si>
  <si>
    <t>17\10\23</t>
  </si>
  <si>
    <t>3\11\23</t>
  </si>
  <si>
    <t>11\12\23</t>
  </si>
  <si>
    <t>REHMAN ADJUSTMENT</t>
  </si>
  <si>
    <t>SOBHO INSTALLMENT</t>
  </si>
  <si>
    <t>12\1\24</t>
  </si>
  <si>
    <t>11\2\24</t>
  </si>
  <si>
    <t>15\4\24</t>
  </si>
  <si>
    <t>16\5\24</t>
  </si>
  <si>
    <t>13\6\24</t>
  </si>
  <si>
    <t>18\7\24</t>
  </si>
  <si>
    <t>14\9\24</t>
  </si>
  <si>
    <t>13\10\24</t>
  </si>
  <si>
    <t>13\11\24</t>
  </si>
  <si>
    <t>11\12\24</t>
  </si>
  <si>
    <t>9\1\25</t>
  </si>
  <si>
    <t>19\2\25</t>
  </si>
  <si>
    <t>9\3\25</t>
  </si>
  <si>
    <t>15\4\25</t>
  </si>
  <si>
    <t>20\5\25</t>
  </si>
  <si>
    <t>M.NAWAZ</t>
  </si>
  <si>
    <t>M.IQBAL</t>
  </si>
  <si>
    <t>CQV3233789</t>
  </si>
  <si>
    <t>5\11\22</t>
  </si>
  <si>
    <t>25\5\26</t>
  </si>
  <si>
    <t>26\6\26</t>
  </si>
  <si>
    <t>ZL1136682</t>
  </si>
  <si>
    <t>23\8\20</t>
  </si>
  <si>
    <t>RESEDENTAIL</t>
  </si>
  <si>
    <t>ALL AMOUNT GIVEN TO AL-REHMAN BUILDERS</t>
  </si>
  <si>
    <t>5\1\25</t>
  </si>
  <si>
    <t>SHUMAILA YASIR</t>
  </si>
  <si>
    <t>YASIR HUSSIN</t>
  </si>
  <si>
    <t>0341-0316775</t>
  </si>
  <si>
    <t>42201-4979262-8</t>
  </si>
  <si>
    <t>CQT5600630</t>
  </si>
  <si>
    <t>4\8\20</t>
  </si>
  <si>
    <t>4\9\22</t>
  </si>
  <si>
    <t>22\1\23</t>
  </si>
  <si>
    <t>22\3\23</t>
  </si>
  <si>
    <t>9\4\23</t>
  </si>
  <si>
    <t>4\6\23</t>
  </si>
  <si>
    <t>9\7\23</t>
  </si>
  <si>
    <t>20\8\23</t>
  </si>
  <si>
    <t>24\9\23</t>
  </si>
  <si>
    <t>RESEDENTIAL</t>
  </si>
  <si>
    <t>15\10\23</t>
  </si>
  <si>
    <t>18\11\23</t>
  </si>
  <si>
    <t>10\12\23</t>
  </si>
  <si>
    <t>14\1\24</t>
  </si>
  <si>
    <t>18\2\24</t>
  </si>
  <si>
    <t>17\3\24</t>
  </si>
  <si>
    <t>18\4\24</t>
  </si>
  <si>
    <t>19\5\24</t>
  </si>
  <si>
    <t>FAISAL HUSIAN</t>
  </si>
  <si>
    <t>SABIR HUSSIAN</t>
  </si>
  <si>
    <t>42401-2795169-5</t>
  </si>
  <si>
    <t>CJV0435095</t>
  </si>
  <si>
    <t>1\3\25</t>
  </si>
  <si>
    <t>11\1\026</t>
  </si>
  <si>
    <t>SOBIA NAZ</t>
  </si>
  <si>
    <t>MUHAMMAD LAIQ</t>
  </si>
  <si>
    <t>0313-0242541</t>
  </si>
  <si>
    <t>42401-9625869-0</t>
  </si>
  <si>
    <t>8\7\26</t>
  </si>
  <si>
    <t>12\7\26</t>
  </si>
  <si>
    <t>CUB6691909</t>
  </si>
  <si>
    <t>13\4\26</t>
  </si>
  <si>
    <t>14\7\26</t>
  </si>
  <si>
    <t>13\5\26</t>
  </si>
  <si>
    <t>19\7\26</t>
  </si>
  <si>
    <t>20\6\26</t>
  </si>
  <si>
    <t>21\7\26</t>
  </si>
  <si>
    <t>CODE NO:CQD4243793</t>
  </si>
  <si>
    <t>Father Name : M.iqbal Shah</t>
  </si>
  <si>
    <t>17\5\2026</t>
  </si>
  <si>
    <t>24\7\2026</t>
  </si>
  <si>
    <t>Name :MUHAMMAD SALEEM QADARI</t>
  </si>
  <si>
    <t>Father Name : ALLAH YAR QADARI</t>
  </si>
  <si>
    <t>CNIC # 42101-1380136-5</t>
  </si>
  <si>
    <t>Code Num;CBU2478417</t>
  </si>
  <si>
    <t>Plot No : L-5005</t>
  </si>
  <si>
    <t>Contact # 0309-2548046</t>
  </si>
  <si>
    <t>21/8/22</t>
  </si>
  <si>
    <t>20/4/22/9/1/23</t>
  </si>
  <si>
    <t>16/3/23</t>
  </si>
  <si>
    <t>rehman adj</t>
  </si>
  <si>
    <t>develoment</t>
  </si>
  <si>
    <t>Code Num;</t>
  </si>
  <si>
    <t>Contact # 0332-8086689</t>
  </si>
  <si>
    <t>15/3/26</t>
  </si>
  <si>
    <t>14/6/26</t>
  </si>
  <si>
    <t>developemnt</t>
  </si>
  <si>
    <t>Name :MUHAMMAD FARHAN KHAN</t>
  </si>
  <si>
    <t>Father Name : MUHAMMAD ARMAN KHAN</t>
  </si>
  <si>
    <t>CNIC # 42401-6354201-7</t>
  </si>
  <si>
    <t>Code Num;CAS4563248</t>
  </si>
  <si>
    <t>Contact:</t>
  </si>
  <si>
    <t>Plot No : L-5021</t>
  </si>
  <si>
    <t>Cost :480,000</t>
  </si>
  <si>
    <t>BOOKING</t>
  </si>
  <si>
    <t>Name :MUHAMMAD KAMRAN KHAN</t>
  </si>
  <si>
    <t>CNIC # 42401-6370483-5</t>
  </si>
  <si>
    <t>Plot No : L-5020</t>
  </si>
  <si>
    <t>Code Num;CMU4038254</t>
  </si>
  <si>
    <t>Name :HUMAIRA</t>
  </si>
  <si>
    <t xml:space="preserve">Father Name : ZUBAIR AHMED </t>
  </si>
  <si>
    <t>CNIC # 42401-3586888-6</t>
  </si>
  <si>
    <t>Contact:0335-7806786</t>
  </si>
  <si>
    <t>Plot No : L-5013</t>
  </si>
  <si>
    <t>Code Num:CFU2010554</t>
  </si>
  <si>
    <t>Cost :500,000</t>
  </si>
  <si>
    <t>14/1/25</t>
  </si>
  <si>
    <t>RES BOOKING</t>
  </si>
  <si>
    <t xml:space="preserve">NILL </t>
  </si>
  <si>
    <t>14/1/24</t>
  </si>
  <si>
    <t>15/12/24</t>
  </si>
  <si>
    <t>26/6/25</t>
  </si>
  <si>
    <t>25/12/25</t>
  </si>
  <si>
    <t>15/8/26</t>
  </si>
  <si>
    <t>17/5/25</t>
  </si>
  <si>
    <t>13/7/25</t>
  </si>
  <si>
    <t>24/8/25</t>
  </si>
  <si>
    <t>17/9/25</t>
  </si>
  <si>
    <t>20/10/25</t>
  </si>
  <si>
    <t>24/11/25</t>
  </si>
  <si>
    <t>24/12/25</t>
  </si>
  <si>
    <t xml:space="preserve">DEVELOPMENT </t>
  </si>
  <si>
    <t>22/1/26</t>
  </si>
  <si>
    <t>26/3/26</t>
  </si>
  <si>
    <t>24/4/26</t>
  </si>
  <si>
    <t>16/5/26</t>
  </si>
  <si>
    <t>15/6/26</t>
  </si>
  <si>
    <t>15/7/26</t>
  </si>
  <si>
    <t>17/8/26</t>
  </si>
  <si>
    <t>Name : MUHAMMAD RASHID</t>
  </si>
  <si>
    <t>Father Name : MUHAMMAD SALAM</t>
  </si>
  <si>
    <t>Contact # 0314-2264760</t>
  </si>
  <si>
    <t>Plot No : L-5001</t>
  </si>
  <si>
    <t>CQT4487640</t>
  </si>
  <si>
    <t xml:space="preserve">DEVELOMENT NILL </t>
  </si>
  <si>
    <t xml:space="preserve">DEVELOPMENT CONTINUE </t>
  </si>
  <si>
    <t>16/8/26</t>
  </si>
  <si>
    <t>23/7/26</t>
  </si>
  <si>
    <t>24/8/26</t>
  </si>
  <si>
    <t>Cost : 375,000</t>
  </si>
  <si>
    <t>Plot No : L-5018-B</t>
  </si>
  <si>
    <t>Code Num;CMU3149585</t>
  </si>
  <si>
    <t>Contact # 0341-7609738</t>
  </si>
  <si>
    <t>Name:Shamraiz</t>
  </si>
  <si>
    <t>Father Name : Aurangzeb</t>
  </si>
  <si>
    <t>CNIC # 42301-6708178-5</t>
  </si>
  <si>
    <t>Code Num;CGF2453658</t>
  </si>
  <si>
    <t>Plot No : L-5018-A</t>
  </si>
  <si>
    <t>Contact # 0302-2167901</t>
  </si>
  <si>
    <t>CNIC # 42301-6024005-4</t>
  </si>
  <si>
    <t>Name:Parveen Bibi</t>
  </si>
  <si>
    <t>Father Name : Orangzaib</t>
  </si>
  <si>
    <t>Code Num;BHR8973091</t>
  </si>
  <si>
    <t>Plot No : L-5022</t>
  </si>
  <si>
    <t>Contact # 0311-2449644</t>
  </si>
  <si>
    <t>CNIC # 42301-5025023-3</t>
  </si>
  <si>
    <t>Father Name : M.Bakhsh</t>
  </si>
  <si>
    <t>Name:Kamran ullah</t>
  </si>
  <si>
    <t>Plot No : L-5017</t>
  </si>
  <si>
    <t>Cost : 500,000</t>
  </si>
  <si>
    <t>Code Num;CNL6515499</t>
  </si>
  <si>
    <t>Contact # 0312-2142000</t>
  </si>
  <si>
    <t>CNIC # 42301-6617790-2</t>
  </si>
  <si>
    <t>Father Name : M.Nadeem</t>
  </si>
  <si>
    <t>Name:Saima Bibi</t>
  </si>
  <si>
    <t>21/9/25</t>
  </si>
  <si>
    <t>29/12/25</t>
  </si>
  <si>
    <t>Name :</t>
  </si>
  <si>
    <t>Muhammad Sajid</t>
  </si>
  <si>
    <t>Father Name :</t>
  </si>
  <si>
    <t xml:space="preserve"> Muhammad zahid</t>
  </si>
  <si>
    <t>42401-1792681-7</t>
  </si>
  <si>
    <t>Cost : 800,000</t>
  </si>
  <si>
    <t>Token</t>
  </si>
  <si>
    <t>Plot No :</t>
  </si>
  <si>
    <t xml:space="preserve"> L-5009</t>
  </si>
  <si>
    <t xml:space="preserve">Contact # </t>
  </si>
  <si>
    <t xml:space="preserve">Plot change </t>
  </si>
  <si>
    <t>Current Plot number is 5008</t>
  </si>
  <si>
    <t>24/09/2025</t>
  </si>
  <si>
    <t>21/11/2025</t>
  </si>
  <si>
    <t>13/01/2026</t>
  </si>
  <si>
    <t>14/02/2026</t>
  </si>
  <si>
    <t>14/04/2026</t>
  </si>
  <si>
    <t>15/05/2026</t>
  </si>
  <si>
    <t>15/7/2026</t>
  </si>
  <si>
    <t>13/9/26</t>
  </si>
  <si>
    <t>16\8\26</t>
  </si>
  <si>
    <t>11/07/2026</t>
  </si>
  <si>
    <t>3048</t>
  </si>
  <si>
    <t>-</t>
  </si>
  <si>
    <t>3959</t>
  </si>
  <si>
    <t>22/09/2025</t>
  </si>
  <si>
    <t>3596</t>
  </si>
  <si>
    <t>25/10/2025</t>
  </si>
  <si>
    <t>3382</t>
  </si>
  <si>
    <t>18/11/2025</t>
  </si>
  <si>
    <t>3828</t>
  </si>
  <si>
    <t>5119</t>
  </si>
  <si>
    <t>Cash</t>
  </si>
  <si>
    <t>04/01/2026</t>
  </si>
  <si>
    <t>5221</t>
  </si>
  <si>
    <t>18/02/2026</t>
  </si>
  <si>
    <t>5559</t>
  </si>
  <si>
    <t>26/03/2026</t>
  </si>
  <si>
    <t>5793</t>
  </si>
  <si>
    <t>16/04/2026</t>
  </si>
  <si>
    <t>5958</t>
  </si>
  <si>
    <t>23/06/2026</t>
  </si>
  <si>
    <t>1717</t>
  </si>
  <si>
    <t>13/07/2026</t>
  </si>
  <si>
    <t>1832</t>
  </si>
  <si>
    <t>13/08/2026</t>
  </si>
  <si>
    <t>1906</t>
  </si>
  <si>
    <t>15/09/2026</t>
  </si>
  <si>
    <t>2077</t>
  </si>
  <si>
    <t>R.No</t>
  </si>
  <si>
    <t>Mode</t>
  </si>
  <si>
    <t>Balance</t>
  </si>
  <si>
    <t>13/08/2025</t>
  </si>
  <si>
    <t>13/07/2025</t>
  </si>
  <si>
    <t>3049</t>
  </si>
  <si>
    <t>15/08/2025</t>
  </si>
  <si>
    <t>3960</t>
  </si>
  <si>
    <t>3597</t>
  </si>
  <si>
    <t>3383</t>
  </si>
  <si>
    <t>3829</t>
  </si>
  <si>
    <t>5120</t>
  </si>
  <si>
    <t>5220</t>
  </si>
  <si>
    <t>5558</t>
  </si>
  <si>
    <t>5792</t>
  </si>
  <si>
    <t>5957</t>
  </si>
  <si>
    <t>1716</t>
  </si>
  <si>
    <t>1831</t>
  </si>
  <si>
    <t>1905</t>
  </si>
  <si>
    <t>2079</t>
  </si>
  <si>
    <t>Devolopment</t>
  </si>
  <si>
    <t>15/01/2025</t>
  </si>
  <si>
    <t>18/02/2025</t>
  </si>
  <si>
    <t>—</t>
  </si>
  <si>
    <t>15/04/2025</t>
  </si>
  <si>
    <t>13/05/2025</t>
  </si>
  <si>
    <t>16/08/2025</t>
  </si>
  <si>
    <t>15/09/2025</t>
  </si>
  <si>
    <t>15/10/2025</t>
  </si>
  <si>
    <t>14/11/2025</t>
  </si>
  <si>
    <t>17/01/2026</t>
  </si>
  <si>
    <t>13/02/2026</t>
  </si>
  <si>
    <t>16/03/2026</t>
  </si>
  <si>
    <t>21/05/2026</t>
  </si>
  <si>
    <t>15/06/2026</t>
  </si>
  <si>
    <t>15/07/2026</t>
  </si>
  <si>
    <t>15/08/2026</t>
  </si>
  <si>
    <t>13/12/2025</t>
  </si>
  <si>
    <t xml:space="preserve">Name </t>
  </si>
  <si>
    <t>Muhammad younus</t>
  </si>
  <si>
    <t xml:space="preserve">Father Name </t>
  </si>
  <si>
    <t>Muhammad shabir</t>
  </si>
  <si>
    <t xml:space="preserve"> CNIC No</t>
  </si>
  <si>
    <t>42101-5671672-7</t>
  </si>
  <si>
    <t xml:space="preserve">Contact No </t>
  </si>
  <si>
    <t>Code No</t>
  </si>
  <si>
    <t>CUC1461482</t>
  </si>
  <si>
    <t>PLOT NUM</t>
  </si>
  <si>
    <t xml:space="preserve">COST </t>
  </si>
  <si>
    <t>16/12/2023</t>
  </si>
  <si>
    <t xml:space="preserve"> partial Pament</t>
  </si>
  <si>
    <t xml:space="preserve"> 6/1/2024</t>
  </si>
  <si>
    <t xml:space="preserve">Devolopment </t>
  </si>
  <si>
    <t>16/9/2026</t>
  </si>
  <si>
    <t xml:space="preserve"> DEV</t>
  </si>
  <si>
    <t>15\8\26</t>
  </si>
  <si>
    <t>AUG PANDING JULY PAID</t>
  </si>
  <si>
    <t>21/9/2026</t>
  </si>
  <si>
    <t>5\10\26</t>
  </si>
  <si>
    <t>Plot No : L-5008</t>
  </si>
  <si>
    <t>Name / Receipt Info</t>
  </si>
  <si>
    <t>Advance</t>
  </si>
  <si>
    <t>Installment (Rs.)</t>
  </si>
  <si>
    <t>Balance (Rs.)</t>
  </si>
  <si>
    <t>Mobile / Notes</t>
  </si>
  <si>
    <t>M. Furqan</t>
  </si>
  <si>
    <t>0346-...</t>
  </si>
  <si>
    <t>Rno. 037</t>
  </si>
  <si>
    <t>Rno. 036</t>
  </si>
  <si>
    <t>Rno. 063</t>
  </si>
  <si>
    <t>Rno. 112</t>
  </si>
  <si>
    <t>Rno. 165</t>
  </si>
  <si>
    <t>Rno. 211</t>
  </si>
  <si>
    <t>Rno. 272</t>
  </si>
  <si>
    <t>Rno. 0053</t>
  </si>
  <si>
    <t>Rno. 0087</t>
  </si>
  <si>
    <t>Rno. 148</t>
  </si>
  <si>
    <t>Rno. 0367</t>
  </si>
  <si>
    <t>Rno. 0367 (Cut/Edited)</t>
  </si>
  <si>
    <t>05/11/2024 (217)</t>
  </si>
  <si>
    <t>09/12/2024 (230)</t>
  </si>
  <si>
    <t>06/01/2025 (355)</t>
  </si>
  <si>
    <t>10/02/2025 (489)</t>
  </si>
  <si>
    <t>05/03/2025 (702)</t>
  </si>
  <si>
    <t>09/05/2025 (754)</t>
  </si>
  <si>
    <t>13/9/25</t>
  </si>
  <si>
    <t>13/3/26</t>
  </si>
  <si>
    <t xml:space="preserve">DEVELOPMENT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</si>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</sst>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04040"/>
        <bgColor rgb="FF404040"/>
      </patternFill>
    </fill>
    <fill>
      <patternFill patternType="solid">
        <fgColor rgb="FFEFEFE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14" fontId="0" fillId="0" borderId="0" xfId="0" applyNumberFormat="1"/>
    <xf numFmtId="0" fontId="0" fillId="0" borderId="3" xfId="0" applyBorder="1" applyAlignment="1">
      <alignment horizontal="left"/>
    </xf>
    <xf numFmtId="3" fontId="0" fillId="0" borderId="0" xfId="0" applyNumberFormat="1"/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0" borderId="0" xfId="0" applyFont="1"/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7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6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8" xfId="0" applyBorder="1"/>
    <xf numFmtId="0" fontId="0" fillId="0" borderId="12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2" fillId="4" borderId="8" xfId="0" applyFont="1" applyFill="1" applyBorder="1"/>
    <xf numFmtId="0" fontId="0" fillId="4" borderId="8" xfId="0" applyFill="1" applyBorder="1"/>
    <xf numFmtId="0" fontId="2" fillId="5" borderId="7" xfId="0" applyFont="1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2" fillId="5" borderId="8" xfId="0" applyFont="1" applyFill="1" applyBorder="1"/>
    <xf numFmtId="0" fontId="0" fillId="5" borderId="8" xfId="0" applyFill="1" applyBorder="1"/>
    <xf numFmtId="0" fontId="6" fillId="2" borderId="7" xfId="0" applyFont="1" applyFill="1" applyBorder="1"/>
    <xf numFmtId="0" fontId="5" fillId="2" borderId="8" xfId="0" applyFont="1" applyFill="1" applyBorder="1"/>
    <xf numFmtId="0" fontId="5" fillId="2" borderId="8" xfId="0" applyFont="1" applyFill="1" applyBorder="1" applyAlignment="1">
      <alignment horizontal="left"/>
    </xf>
    <xf numFmtId="0" fontId="6" fillId="2" borderId="10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0" xfId="0" applyFont="1"/>
    <xf numFmtId="0" fontId="8" fillId="0" borderId="0" xfId="0" applyFont="1"/>
    <xf numFmtId="14" fontId="7" fillId="0" borderId="0" xfId="0" applyNumberFormat="1" applyFon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14" fontId="0" fillId="0" borderId="1" xfId="0" applyNumberFormat="1" applyBorder="1"/>
    <xf numFmtId="14" fontId="5" fillId="0" borderId="1" xfId="0" applyNumberFormat="1" applyFont="1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3" xfId="0" applyBorder="1" applyAlignment="1">
      <alignment horizontal="left"/>
    </xf>
    <xf numFmtId="0" fontId="9" fillId="2" borderId="10" xfId="0" applyFont="1" applyFill="1" applyBorder="1"/>
    <xf numFmtId="0" fontId="9" fillId="2" borderId="2" xfId="0" applyFont="1" applyFill="1" applyBorder="1"/>
    <xf numFmtId="0" fontId="9" fillId="2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1" fillId="6" borderId="0" xfId="0" applyNumberFormat="1" applyFont="1" applyFill="1"/>
    <xf numFmtId="0" fontId="1" fillId="6" borderId="0" xfId="0" applyFont="1" applyFill="1"/>
    <xf numFmtId="3" fontId="1" fillId="6" borderId="0" xfId="0" applyNumberFormat="1" applyFont="1" applyFill="1"/>
    <xf numFmtId="0" fontId="7" fillId="4" borderId="7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6" borderId="0" xfId="0" applyFill="1"/>
    <xf numFmtId="0" fontId="11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3" fontId="0" fillId="8" borderId="1" xfId="0" applyNumberFormat="1" applyFill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6" fillId="9" borderId="1" xfId="0" applyFont="1" applyFill="1" applyBorder="1"/>
    <xf numFmtId="0" fontId="5" fillId="9" borderId="1" xfId="0" applyFont="1" applyFill="1" applyBorder="1"/>
    <xf numFmtId="0" fontId="0" fillId="9" borderId="1" xfId="0" applyFill="1" applyBorder="1"/>
    <xf numFmtId="0" fontId="1" fillId="10" borderId="10" xfId="0" applyFont="1" applyFill="1" applyBorder="1"/>
    <xf numFmtId="0" fontId="1" fillId="10" borderId="2" xfId="0" applyFont="1" applyFill="1" applyBorder="1"/>
    <xf numFmtId="0" fontId="1" fillId="10" borderId="2" xfId="0" applyFont="1" applyFill="1" applyBorder="1" applyAlignment="1">
      <alignment horizontal="left"/>
    </xf>
    <xf numFmtId="0" fontId="1" fillId="10" borderId="4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" xfId="0" applyBorder="1"/>
    <xf numFmtId="0" fontId="13" fillId="11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3" fontId="12" fillId="0" borderId="14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17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3" fontId="16" fillId="0" borderId="15" xfId="0" applyNumberFormat="1" applyFont="1" applyBorder="1" applyAlignment="1">
      <alignment horizontal="center" vertical="center" wrapText="1"/>
    </xf>
    <xf numFmtId="14" fontId="17" fillId="0" borderId="15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15" fillId="0" borderId="0" xfId="0" applyFont="1"/>
    <xf numFmtId="0" fontId="6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8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9" fillId="12" borderId="16" xfId="0" applyFont="1" applyFill="1" applyBorder="1" applyAlignment="1">
      <alignment horizontal="left" vertical="center" wrapText="1" indent="1"/>
    </xf>
    <xf numFmtId="14" fontId="20" fillId="0" borderId="16" xfId="0" applyNumberFormat="1" applyFont="1" applyBorder="1" applyAlignment="1">
      <alignment horizontal="left" vertical="center" wrapText="1" indent="1"/>
    </xf>
    <xf numFmtId="0" fontId="20" fillId="0" borderId="16" xfId="0" applyFont="1" applyBorder="1" applyAlignment="1">
      <alignment horizontal="left" vertical="center" wrapText="1" indent="1"/>
    </xf>
    <xf numFmtId="3" fontId="20" fillId="0" borderId="16" xfId="0" applyNumberFormat="1" applyFont="1" applyBorder="1" applyAlignment="1">
      <alignment horizontal="left" vertical="center" wrapText="1" indent="1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13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4" displayName="Table4" ref="A7:F33" totalsRowShown="0" headerRowDxfId="112" headerRowBorderDxfId="111" tableBorderDxfId="110" totalsRowBorderDxfId="109">
  <autoFilter ref="A7:F33"/>
  <tableColumns count="6">
    <tableColumn id="1" name="Date" dataDxfId="108"/>
    <tableColumn id="2" name="R.NO" dataDxfId="107"/>
    <tableColumn id="3" name="Description" dataDxfId="106"/>
    <tableColumn id="4" name="Amount Rec" dataDxfId="105"/>
    <tableColumn id="5" name="Total Rec" dataDxfId="104">
      <calculatedColumnFormula>SUM(E7+D8)</calculatedColumnFormula>
    </tableColumn>
    <tableColumn id="6" name="Amount Due" dataDxfId="103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22" totalsRowShown="0" headerRowDxfId="102">
  <autoFilter ref="A7:F22"/>
  <tableColumns count="6">
    <tableColumn id="1" name="Date" dataDxfId="101"/>
    <tableColumn id="2" name="R.NO" dataDxfId="100"/>
    <tableColumn id="3" name="Description"/>
    <tableColumn id="4" name="Amount Rec" dataDxfId="99"/>
    <tableColumn id="5" name="Total Rec" dataDxfId="98">
      <calculatedColumnFormula>SUM(E7+D8)</calculatedColumnFormula>
    </tableColumn>
    <tableColumn id="6" name="Amount Due" dataDxfId="97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7:F35" totalsRowShown="0" headerRowDxfId="96" headerRowBorderDxfId="95" tableBorderDxfId="94">
  <autoFilter ref="A7:F35"/>
  <tableColumns count="6">
    <tableColumn id="1" name="Date" dataDxfId="93"/>
    <tableColumn id="2" name="R.NO" dataDxfId="92"/>
    <tableColumn id="3" name="Description" dataDxfId="91"/>
    <tableColumn id="4" name="Amount Rec" dataDxfId="90"/>
    <tableColumn id="5" name="Total Rec" dataDxfId="89">
      <calculatedColumnFormula>SUM(E7+D8)</calculatedColumnFormula>
    </tableColumn>
    <tableColumn id="6" name="Amount Due" dataDxfId="88">
      <calculatedColumnFormula>F7-D8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2" name="Table12" displayName="Table12" ref="A7:F8" totalsRowShown="0" headerRowDxfId="87" headerRowBorderDxfId="86" tableBorderDxfId="85" totalsRowBorderDxfId="84">
  <autoFilter ref="A7:F8"/>
  <tableColumns count="6">
    <tableColumn id="1" name="Column1" dataDxfId="83"/>
    <tableColumn id="2" name="Column2" dataDxfId="82"/>
    <tableColumn id="3" name="Column3" dataDxfId="81"/>
    <tableColumn id="4" name="Column4" dataDxfId="80"/>
    <tableColumn id="5" name="Column5" dataDxfId="79"/>
    <tableColumn id="6" name="Column6" dataDxfId="7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3" name="Table1214" displayName="Table1214" ref="A7:F8" totalsRowShown="0" headerRowDxfId="77" headerRowBorderDxfId="76" tableBorderDxfId="75" totalsRowBorderDxfId="74">
  <autoFilter ref="A7:F8"/>
  <tableColumns count="6">
    <tableColumn id="1" name="Column1" dataDxfId="73"/>
    <tableColumn id="2" name="Column2" dataDxfId="72"/>
    <tableColumn id="3" name="Column3" dataDxfId="71"/>
    <tableColumn id="4" name="Column4" dataDxfId="70"/>
    <tableColumn id="5" name="Column5" dataDxfId="69"/>
    <tableColumn id="6" name="Column6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7:F41" totalsRowShown="0" headerRowDxfId="67" headerRowBorderDxfId="66" tableBorderDxfId="65" totalsRowBorderDxfId="64">
  <autoFilter ref="A7:F41"/>
  <tableColumns count="6">
    <tableColumn id="1" name="Date" dataDxfId="63"/>
    <tableColumn id="2" name="R.NO" dataDxfId="62"/>
    <tableColumn id="3" name="Description" dataDxfId="61"/>
    <tableColumn id="4" name="Amount Rec" dataDxfId="60"/>
    <tableColumn id="5" name="Total Rec" dataDxfId="59">
      <calculatedColumnFormula>SUM(E7+D8)</calculatedColumnFormula>
    </tableColumn>
    <tableColumn id="6" name="Amount Due" dataDxfId="58">
      <calculatedColumnFormula>F7-D8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7:F11" totalsRowShown="0" headerRowDxfId="57" tableBorderDxfId="56">
  <autoFilter ref="A7:F11"/>
  <tableColumns count="6">
    <tableColumn id="1" name="Date"/>
    <tableColumn id="2" name="R.NO"/>
    <tableColumn id="3" name="Description"/>
    <tableColumn id="4" name="Amount Rec" dataDxfId="55"/>
    <tableColumn id="5" name="Total Rec" dataDxfId="54"/>
    <tableColumn id="6" name="Amount Due" dataDxfId="5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7" displayName="Table7" ref="A7:G11" totalsRowShown="0" headerRowDxfId="52" headerRowBorderDxfId="51" tableBorderDxfId="50">
  <autoFilter ref="A7:G11"/>
  <tableColumns count="7">
    <tableColumn id="1" name="Date" dataDxfId="49"/>
    <tableColumn id="2" name="R.NO" dataDxfId="48"/>
    <tableColumn id="3" name="Description" dataDxfId="47"/>
    <tableColumn id="4" name="Amount Rec" dataDxfId="46"/>
    <tableColumn id="5" name="Total Rec" dataDxfId="45"/>
    <tableColumn id="6" name="Amount Due"/>
    <tableColumn id="7" name="Column1" dataDxfId="4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Table3" displayName="Table3" ref="A7:F26" totalsRowShown="0" headerRowDxfId="43" headerRowBorderDxfId="42" tableBorderDxfId="41">
  <autoFilter ref="A7:F26"/>
  <tableColumns count="6">
    <tableColumn id="1" name="Date"/>
    <tableColumn id="2" name="R.NO"/>
    <tableColumn id="3" name="Description"/>
    <tableColumn id="4" name="Amount Rec" dataDxfId="40"/>
    <tableColumn id="5" name="Total Rec" dataDxfId="39"/>
    <tableColumn id="6" name="Amount Due" dataDxfId="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Table8" displayName="Table8" ref="A7:F37" totalsRowShown="0" headerRowDxfId="37" headerRowBorderDxfId="36" tableBorderDxfId="35" totalsRowBorderDxfId="34">
  <autoFilter ref="A7:F37"/>
  <tableColumns count="6">
    <tableColumn id="1" name="Date" dataDxfId="33"/>
    <tableColumn id="2" name="R.NO" dataDxfId="32"/>
    <tableColumn id="3" name="Description" dataDxfId="31"/>
    <tableColumn id="4" name="Amount Rec" dataDxfId="30"/>
    <tableColumn id="5" name="Total Rec" dataDxfId="29">
      <calculatedColumnFormula>SUM(E7+D8)</calculatedColumnFormula>
    </tableColumn>
    <tableColumn id="6" name="Amount Due" dataDxfId="28">
      <calculatedColumnFormula>F7-D8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7:F39" totalsRowShown="0" headerRowDxfId="27" headerRowBorderDxfId="26" tableBorderDxfId="25" totalsRowBorderDxfId="24">
  <autoFilter ref="A7:F39"/>
  <tableColumns count="6">
    <tableColumn id="1" name="Date" dataDxfId="23"/>
    <tableColumn id="2" name="R.NO" dataDxfId="22"/>
    <tableColumn id="3" name="Description" dataDxfId="21"/>
    <tableColumn id="4" name="Amount Rec" dataDxfId="20"/>
    <tableColumn id="5" name="Total Rec" dataDxfId="19">
      <calculatedColumnFormula>SUM(E7+D8)</calculatedColumnFormula>
    </tableColumn>
    <tableColumn id="6" name="Amount Due" dataDxfId="18">
      <calculatedColumnFormula>F7-D8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9" name="Table9" displayName="Table9" ref="A7:F14" totalsRowShown="0" headerRowDxfId="17" tableBorderDxfId="16">
  <autoFilter ref="A7:F14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Total Rec" dataDxfId="11">
      <calculatedColumnFormula>SUM(E7+D8)</calculatedColumnFormula>
    </tableColumn>
    <tableColumn id="6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" name="Table2" displayName="Table2" ref="A6:F35" totalsRowShown="0" headerRowDxfId="9" headerRowBorderDxfId="8" tableBorderDxfId="7" totalsRowBorderDxfId="6">
  <autoFilter ref="A6:F35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SUM(E6+D7)</calculatedColumnFormula>
    </tableColumn>
    <tableColumn id="6" name="Amount Due" dataDxfId="0">
      <calculatedColumnFormula>F6-D7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4"/>
  <sheetViews>
    <sheetView topLeftCell="A29" workbookViewId="0">
      <selection activeCell="D40" sqref="D40"/>
    </sheetView>
  </sheetViews>
  <sheetFormatPr defaultRowHeight="14.5" x14ac:dyDescent="0.35"/>
  <cols>
    <col min="1" max="1" width="10.453125" bestFit="1" customWidth="1"/>
    <col min="3" max="3" width="17.90625" customWidth="1"/>
    <col min="4" max="4" width="15.269531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124</v>
      </c>
      <c r="B1" s="1"/>
      <c r="C1" s="1"/>
      <c r="D1" s="1"/>
      <c r="E1" s="1"/>
      <c r="F1" s="1"/>
    </row>
    <row r="2" spans="1:6" ht="18.5" x14ac:dyDescent="0.45">
      <c r="A2" s="1" t="s">
        <v>125</v>
      </c>
      <c r="C2" s="1"/>
      <c r="D2" s="1"/>
      <c r="E2" s="1"/>
      <c r="F2" s="1"/>
    </row>
    <row r="3" spans="1:6" ht="18.5" x14ac:dyDescent="0.45">
      <c r="A3" s="1" t="s">
        <v>126</v>
      </c>
      <c r="B3" s="1"/>
      <c r="C3" s="1"/>
      <c r="D3" s="1"/>
      <c r="E3" s="1"/>
      <c r="F3" s="1"/>
    </row>
    <row r="4" spans="1:6" ht="18.5" x14ac:dyDescent="0.45">
      <c r="A4" s="1" t="s">
        <v>443</v>
      </c>
      <c r="B4" s="1" t="s">
        <v>573</v>
      </c>
      <c r="C4" s="1"/>
      <c r="D4" s="1"/>
      <c r="E4" s="1"/>
      <c r="F4" s="1"/>
    </row>
    <row r="5" spans="1:6" ht="18.5" x14ac:dyDescent="0.45">
      <c r="A5" s="1" t="s">
        <v>127</v>
      </c>
      <c r="B5" s="1"/>
      <c r="C5" s="1"/>
      <c r="D5" s="1"/>
      <c r="E5" s="1"/>
      <c r="F5" s="1"/>
    </row>
    <row r="6" spans="1:6" ht="18.5" x14ac:dyDescent="0.45">
      <c r="A6" s="1" t="s">
        <v>128</v>
      </c>
      <c r="B6" s="1"/>
      <c r="C6" s="1"/>
      <c r="D6" s="1" t="s">
        <v>129</v>
      </c>
      <c r="E6" s="1"/>
      <c r="F6" s="1"/>
    </row>
    <row r="7" spans="1:6" x14ac:dyDescent="0.35">
      <c r="A7" s="33" t="s">
        <v>6</v>
      </c>
      <c r="B7" s="34" t="s">
        <v>7</v>
      </c>
      <c r="C7" s="34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s="17" t="s">
        <v>130</v>
      </c>
      <c r="B8" s="2">
        <v>2701</v>
      </c>
      <c r="C8" s="2" t="s">
        <v>133</v>
      </c>
      <c r="D8" s="4">
        <v>90000</v>
      </c>
      <c r="E8" s="4">
        <v>90000</v>
      </c>
      <c r="F8" s="20">
        <v>510000</v>
      </c>
    </row>
    <row r="9" spans="1:6" x14ac:dyDescent="0.35">
      <c r="A9" s="16">
        <v>45237</v>
      </c>
      <c r="B9" s="2">
        <v>2702</v>
      </c>
      <c r="C9" s="2" t="s">
        <v>16</v>
      </c>
      <c r="D9" s="4">
        <v>40000</v>
      </c>
      <c r="E9" s="4">
        <f>SUM(E8+D9)</f>
        <v>130000</v>
      </c>
      <c r="F9" s="20">
        <f>F8-D9</f>
        <v>470000</v>
      </c>
    </row>
    <row r="10" spans="1:6" x14ac:dyDescent="0.35">
      <c r="A10" s="16">
        <v>45240</v>
      </c>
      <c r="B10" s="2">
        <v>4218</v>
      </c>
      <c r="C10" s="2" t="s">
        <v>16</v>
      </c>
      <c r="D10" s="4">
        <v>50000</v>
      </c>
      <c r="E10" s="4">
        <f t="shared" ref="E10:E30" si="0">SUM(E9+D10)</f>
        <v>180000</v>
      </c>
      <c r="F10" s="20">
        <f t="shared" ref="F10:F30" si="1">F9-D10</f>
        <v>420000</v>
      </c>
    </row>
    <row r="11" spans="1:6" x14ac:dyDescent="0.35">
      <c r="A11" s="17" t="s">
        <v>131</v>
      </c>
      <c r="B11" s="2">
        <v>5172</v>
      </c>
      <c r="C11" s="2" t="s">
        <v>134</v>
      </c>
      <c r="D11" s="4">
        <v>10000</v>
      </c>
      <c r="E11" s="4">
        <f t="shared" si="0"/>
        <v>190000</v>
      </c>
      <c r="F11" s="20">
        <f t="shared" si="1"/>
        <v>410000</v>
      </c>
    </row>
    <row r="12" spans="1:6" x14ac:dyDescent="0.35">
      <c r="A12" s="16">
        <v>45536</v>
      </c>
      <c r="B12" s="2">
        <v>6040</v>
      </c>
      <c r="C12" s="2" t="s">
        <v>16</v>
      </c>
      <c r="D12" s="4">
        <v>10000</v>
      </c>
      <c r="E12" s="4">
        <f t="shared" si="0"/>
        <v>200000</v>
      </c>
      <c r="F12" s="20">
        <f t="shared" si="1"/>
        <v>400000</v>
      </c>
    </row>
    <row r="13" spans="1:6" x14ac:dyDescent="0.35">
      <c r="A13" s="17" t="s">
        <v>132</v>
      </c>
      <c r="B13" s="2">
        <v>7139</v>
      </c>
      <c r="C13" s="2" t="s">
        <v>16</v>
      </c>
      <c r="D13" s="4">
        <v>10000</v>
      </c>
      <c r="E13" s="4">
        <f t="shared" si="0"/>
        <v>210000</v>
      </c>
      <c r="F13" s="20">
        <f t="shared" si="1"/>
        <v>390000</v>
      </c>
    </row>
    <row r="14" spans="1:6" x14ac:dyDescent="0.35">
      <c r="A14" s="17" t="s">
        <v>23</v>
      </c>
      <c r="B14" s="2">
        <v>7447</v>
      </c>
      <c r="C14" s="2" t="s">
        <v>135</v>
      </c>
      <c r="D14" s="4">
        <v>20000</v>
      </c>
      <c r="E14" s="4">
        <f t="shared" si="0"/>
        <v>230000</v>
      </c>
      <c r="F14" s="20">
        <f t="shared" si="1"/>
        <v>370000</v>
      </c>
    </row>
    <row r="15" spans="1:6" x14ac:dyDescent="0.35">
      <c r="A15" s="16">
        <v>45417</v>
      </c>
      <c r="B15" s="2">
        <v>8249</v>
      </c>
      <c r="C15" s="2" t="s">
        <v>16</v>
      </c>
      <c r="D15" s="4">
        <v>10000</v>
      </c>
      <c r="E15" s="4">
        <f t="shared" si="0"/>
        <v>240000</v>
      </c>
      <c r="F15" s="20">
        <f t="shared" si="1"/>
        <v>360000</v>
      </c>
    </row>
    <row r="16" spans="1:6" x14ac:dyDescent="0.35">
      <c r="A16" s="16">
        <v>45449</v>
      </c>
      <c r="B16" s="2">
        <v>8870</v>
      </c>
      <c r="C16" s="2" t="s">
        <v>136</v>
      </c>
      <c r="D16" s="4">
        <v>20000</v>
      </c>
      <c r="E16" s="4">
        <f t="shared" si="0"/>
        <v>260000</v>
      </c>
      <c r="F16" s="20">
        <f t="shared" si="1"/>
        <v>340000</v>
      </c>
    </row>
    <row r="17" spans="1:6" x14ac:dyDescent="0.35">
      <c r="A17" s="16">
        <v>45543</v>
      </c>
      <c r="B17" s="2">
        <v>11005</v>
      </c>
      <c r="C17" s="2" t="s">
        <v>16</v>
      </c>
      <c r="D17" s="4">
        <v>20000</v>
      </c>
      <c r="E17" s="4">
        <f t="shared" si="0"/>
        <v>280000</v>
      </c>
      <c r="F17" s="20">
        <f t="shared" si="1"/>
        <v>320000</v>
      </c>
    </row>
    <row r="18" spans="1:6" x14ac:dyDescent="0.35">
      <c r="A18" s="16">
        <v>45574</v>
      </c>
      <c r="B18" s="2">
        <v>10662</v>
      </c>
      <c r="C18" s="2" t="s">
        <v>16</v>
      </c>
      <c r="D18" s="4">
        <v>10000</v>
      </c>
      <c r="E18" s="4">
        <f t="shared" si="0"/>
        <v>290000</v>
      </c>
      <c r="F18" s="20">
        <f t="shared" si="1"/>
        <v>310000</v>
      </c>
    </row>
    <row r="19" spans="1:6" x14ac:dyDescent="0.35">
      <c r="A19" s="16">
        <v>45483</v>
      </c>
      <c r="B19" s="2">
        <v>11467</v>
      </c>
      <c r="C19" s="2" t="s">
        <v>16</v>
      </c>
      <c r="D19" s="4">
        <v>10000</v>
      </c>
      <c r="E19" s="4">
        <f t="shared" si="0"/>
        <v>300000</v>
      </c>
      <c r="F19" s="20">
        <f t="shared" si="1"/>
        <v>300000</v>
      </c>
    </row>
    <row r="20" spans="1:6" x14ac:dyDescent="0.35">
      <c r="A20" s="16">
        <v>45516</v>
      </c>
      <c r="B20" s="2">
        <v>12252</v>
      </c>
      <c r="C20" s="2" t="s">
        <v>16</v>
      </c>
      <c r="D20" s="4">
        <v>20000</v>
      </c>
      <c r="E20" s="4">
        <f t="shared" si="0"/>
        <v>320000</v>
      </c>
      <c r="F20" s="20">
        <f t="shared" si="1"/>
        <v>280000</v>
      </c>
    </row>
    <row r="21" spans="1:6" x14ac:dyDescent="0.35">
      <c r="A21" s="16">
        <v>45962</v>
      </c>
      <c r="B21" s="2">
        <v>12007</v>
      </c>
      <c r="C21" s="2" t="s">
        <v>16</v>
      </c>
      <c r="D21" s="4">
        <v>10000</v>
      </c>
      <c r="E21" s="4">
        <f t="shared" si="0"/>
        <v>330000</v>
      </c>
      <c r="F21" s="20">
        <f t="shared" si="1"/>
        <v>270000</v>
      </c>
    </row>
    <row r="22" spans="1:6" x14ac:dyDescent="0.35">
      <c r="A22" s="16">
        <v>45964</v>
      </c>
      <c r="B22" s="2">
        <v>9722</v>
      </c>
      <c r="C22" s="2" t="s">
        <v>16</v>
      </c>
      <c r="D22" s="4">
        <v>20000</v>
      </c>
      <c r="E22" s="4">
        <f t="shared" si="0"/>
        <v>350000</v>
      </c>
      <c r="F22" s="20">
        <f t="shared" si="1"/>
        <v>250000</v>
      </c>
    </row>
    <row r="23" spans="1:6" x14ac:dyDescent="0.35">
      <c r="A23" s="16">
        <v>45905</v>
      </c>
      <c r="B23" s="2">
        <v>10383</v>
      </c>
      <c r="C23" s="2" t="s">
        <v>16</v>
      </c>
      <c r="D23" s="4">
        <v>20000</v>
      </c>
      <c r="E23" s="4">
        <f t="shared" si="0"/>
        <v>370000</v>
      </c>
      <c r="F23" s="20">
        <f t="shared" si="1"/>
        <v>230000</v>
      </c>
    </row>
    <row r="24" spans="1:6" x14ac:dyDescent="0.35">
      <c r="A24" s="17" t="s">
        <v>137</v>
      </c>
      <c r="B24" s="2">
        <v>11894</v>
      </c>
      <c r="C24" s="2" t="s">
        <v>16</v>
      </c>
      <c r="D24" s="4">
        <v>10000</v>
      </c>
      <c r="E24" s="4">
        <f t="shared" si="0"/>
        <v>380000</v>
      </c>
      <c r="F24" s="20">
        <f t="shared" si="1"/>
        <v>220000</v>
      </c>
    </row>
    <row r="25" spans="1:6" x14ac:dyDescent="0.35">
      <c r="A25" s="16">
        <v>45968</v>
      </c>
      <c r="B25" s="2">
        <v>12144</v>
      </c>
      <c r="C25" s="2" t="s">
        <v>16</v>
      </c>
      <c r="D25" s="4">
        <v>10000</v>
      </c>
      <c r="E25" s="4">
        <f t="shared" si="0"/>
        <v>390000</v>
      </c>
      <c r="F25" s="20">
        <f t="shared" si="1"/>
        <v>210000</v>
      </c>
    </row>
    <row r="26" spans="1:6" x14ac:dyDescent="0.35">
      <c r="A26" s="16">
        <v>45939</v>
      </c>
      <c r="B26" s="2">
        <v>12705</v>
      </c>
      <c r="C26" s="2" t="s">
        <v>16</v>
      </c>
      <c r="D26" s="4">
        <v>20000</v>
      </c>
      <c r="E26" s="4">
        <f t="shared" si="0"/>
        <v>410000</v>
      </c>
      <c r="F26" s="20">
        <f t="shared" si="1"/>
        <v>190000</v>
      </c>
    </row>
    <row r="27" spans="1:6" x14ac:dyDescent="0.35">
      <c r="A27" s="17" t="s">
        <v>138</v>
      </c>
      <c r="B27" s="2">
        <v>13800</v>
      </c>
      <c r="C27" s="2" t="s">
        <v>16</v>
      </c>
      <c r="D27" s="4">
        <v>10000</v>
      </c>
      <c r="E27" s="4">
        <f t="shared" si="0"/>
        <v>420000</v>
      </c>
      <c r="F27" s="20">
        <f t="shared" si="1"/>
        <v>180000</v>
      </c>
    </row>
    <row r="28" spans="1:6" x14ac:dyDescent="0.35">
      <c r="A28" s="17" t="s">
        <v>139</v>
      </c>
      <c r="B28" s="2">
        <v>12676</v>
      </c>
      <c r="C28" s="2" t="s">
        <v>16</v>
      </c>
      <c r="D28" s="4">
        <v>20000</v>
      </c>
      <c r="E28" s="4">
        <f t="shared" si="0"/>
        <v>440000</v>
      </c>
      <c r="F28" s="20">
        <f t="shared" si="1"/>
        <v>160000</v>
      </c>
    </row>
    <row r="29" spans="1:6" x14ac:dyDescent="0.35">
      <c r="A29" s="17" t="s">
        <v>140</v>
      </c>
      <c r="B29" s="2">
        <v>12131</v>
      </c>
      <c r="C29" s="2" t="s">
        <v>16</v>
      </c>
      <c r="D29" s="4">
        <v>10000</v>
      </c>
      <c r="E29" s="4">
        <f t="shared" si="0"/>
        <v>450000</v>
      </c>
      <c r="F29" s="20">
        <f t="shared" si="1"/>
        <v>150000</v>
      </c>
    </row>
    <row r="30" spans="1:6" x14ac:dyDescent="0.35">
      <c r="A30" s="23" t="s">
        <v>141</v>
      </c>
      <c r="B30" s="5">
        <v>12532</v>
      </c>
      <c r="C30" s="5" t="s">
        <v>16</v>
      </c>
      <c r="D30" s="24">
        <v>10000</v>
      </c>
      <c r="E30" s="24">
        <f t="shared" si="0"/>
        <v>460000</v>
      </c>
      <c r="F30" s="25">
        <f t="shared" si="1"/>
        <v>140000</v>
      </c>
    </row>
    <row r="31" spans="1:6" x14ac:dyDescent="0.35">
      <c r="A31" t="s">
        <v>574</v>
      </c>
      <c r="B31">
        <v>13268</v>
      </c>
      <c r="C31" s="5" t="s">
        <v>16</v>
      </c>
      <c r="D31" s="24">
        <v>20000</v>
      </c>
      <c r="E31" s="24">
        <f t="shared" ref="E31:E33" si="2">SUM(E30+D31)</f>
        <v>480000</v>
      </c>
      <c r="F31" s="25">
        <f t="shared" ref="F31:F33" si="3">F30-D31</f>
        <v>120000</v>
      </c>
    </row>
    <row r="32" spans="1:6" x14ac:dyDescent="0.35">
      <c r="A32" s="2" t="s">
        <v>492</v>
      </c>
      <c r="B32" s="2">
        <v>13635</v>
      </c>
      <c r="C32" s="2" t="s">
        <v>16</v>
      </c>
      <c r="D32" s="4">
        <v>20000</v>
      </c>
      <c r="E32" s="4">
        <f t="shared" si="2"/>
        <v>500000</v>
      </c>
      <c r="F32" s="4">
        <f t="shared" si="3"/>
        <v>100000</v>
      </c>
    </row>
    <row r="33" spans="1:6" x14ac:dyDescent="0.35">
      <c r="A33" s="2" t="s">
        <v>575</v>
      </c>
      <c r="B33" s="2">
        <v>1484</v>
      </c>
      <c r="C33" s="2" t="s">
        <v>16</v>
      </c>
      <c r="D33" s="4">
        <v>10000</v>
      </c>
      <c r="E33" s="4">
        <f t="shared" si="2"/>
        <v>510000</v>
      </c>
      <c r="F33" s="4">
        <f t="shared" si="3"/>
        <v>90000</v>
      </c>
    </row>
    <row r="34" spans="1:6" x14ac:dyDescent="0.35">
      <c r="A34" s="84">
        <v>46151</v>
      </c>
      <c r="B34" s="85">
        <v>1907</v>
      </c>
      <c r="C34" s="85" t="s">
        <v>271</v>
      </c>
      <c r="D34" s="86">
        <v>20000</v>
      </c>
      <c r="E34" s="86">
        <f>E33+D34</f>
        <v>530000</v>
      </c>
      <c r="F34" s="86">
        <f>F33-D34</f>
        <v>70000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K13" sqref="K13"/>
    </sheetView>
  </sheetViews>
  <sheetFormatPr defaultRowHeight="14.5" x14ac:dyDescent="0.35"/>
  <cols>
    <col min="3" max="3" width="13.453125" customWidth="1"/>
    <col min="4" max="4" width="11.7265625" customWidth="1"/>
    <col min="5" max="5" width="10.90625" customWidth="1"/>
    <col min="6" max="6" width="11.453125" customWidth="1"/>
  </cols>
  <sheetData>
    <row r="1" spans="1:6" ht="18.5" x14ac:dyDescent="0.45">
      <c r="A1" s="1" t="s">
        <v>642</v>
      </c>
      <c r="B1" s="1"/>
      <c r="C1" s="1"/>
      <c r="D1" s="1"/>
      <c r="E1" s="1"/>
      <c r="F1" s="1"/>
    </row>
    <row r="2" spans="1:6" ht="18.5" x14ac:dyDescent="0.45">
      <c r="A2" s="1" t="s">
        <v>643</v>
      </c>
      <c r="B2" s="52"/>
      <c r="C2" s="1"/>
      <c r="D2" s="1"/>
      <c r="E2" s="1"/>
      <c r="F2" s="1"/>
    </row>
    <row r="3" spans="1:6" ht="18.5" x14ac:dyDescent="0.45">
      <c r="A3" s="1" t="s">
        <v>222</v>
      </c>
      <c r="B3" s="1"/>
      <c r="C3" s="1"/>
      <c r="D3" s="1"/>
      <c r="E3" s="1"/>
      <c r="F3" s="1"/>
    </row>
    <row r="4" spans="1:6" ht="18.5" x14ac:dyDescent="0.45">
      <c r="A4" s="1" t="s">
        <v>443</v>
      </c>
      <c r="B4" s="1" t="s">
        <v>646</v>
      </c>
      <c r="C4" s="1"/>
      <c r="D4" s="1"/>
      <c r="E4" s="1"/>
      <c r="F4" s="1"/>
    </row>
    <row r="5" spans="1:6" ht="18.5" x14ac:dyDescent="0.45">
      <c r="A5" s="1" t="s">
        <v>644</v>
      </c>
      <c r="B5" s="1"/>
      <c r="C5" s="1"/>
      <c r="D5" s="1"/>
      <c r="E5" s="1"/>
      <c r="F5" s="1"/>
    </row>
    <row r="6" spans="1:6" ht="18.5" x14ac:dyDescent="0.45">
      <c r="A6" s="1" t="s">
        <v>645</v>
      </c>
      <c r="B6" s="1"/>
      <c r="C6" s="1"/>
      <c r="D6" s="1" t="s">
        <v>189</v>
      </c>
      <c r="E6" s="1"/>
      <c r="F6" s="1"/>
    </row>
    <row r="7" spans="1:6" ht="18.5" x14ac:dyDescent="0.45">
      <c r="A7" s="76" t="s">
        <v>6</v>
      </c>
      <c r="B7" s="77" t="s">
        <v>7</v>
      </c>
      <c r="C7" s="77" t="s">
        <v>8</v>
      </c>
      <c r="D7" s="78" t="s">
        <v>9</v>
      </c>
      <c r="E7" s="78" t="s">
        <v>10</v>
      </c>
      <c r="F7" s="79" t="s">
        <v>11</v>
      </c>
    </row>
    <row r="8" spans="1:6" x14ac:dyDescent="0.35">
      <c r="A8" s="58">
        <v>46273</v>
      </c>
      <c r="B8" s="7">
        <v>1702</v>
      </c>
      <c r="C8" s="7" t="s">
        <v>607</v>
      </c>
      <c r="D8" s="8">
        <v>450000</v>
      </c>
      <c r="E8" s="8">
        <v>450000</v>
      </c>
      <c r="F8" s="7" t="s">
        <v>372</v>
      </c>
    </row>
    <row r="11" spans="1:6" ht="18.5" x14ac:dyDescent="0.45">
      <c r="A11" s="74" t="s">
        <v>647</v>
      </c>
      <c r="B11" s="74"/>
      <c r="C11" s="80"/>
    </row>
    <row r="12" spans="1:6" ht="18.5" x14ac:dyDescent="0.45">
      <c r="A12" s="76" t="s">
        <v>6</v>
      </c>
      <c r="B12" s="77" t="s">
        <v>7</v>
      </c>
      <c r="C12" s="77" t="s">
        <v>8</v>
      </c>
      <c r="D12" s="78" t="s">
        <v>9</v>
      </c>
      <c r="E12" s="78" t="s">
        <v>10</v>
      </c>
      <c r="F12" s="79" t="s">
        <v>11</v>
      </c>
    </row>
    <row r="13" spans="1:6" x14ac:dyDescent="0.35">
      <c r="A13" s="58">
        <v>46273</v>
      </c>
      <c r="B13" s="7">
        <v>3759</v>
      </c>
      <c r="C13" s="7" t="s">
        <v>459</v>
      </c>
      <c r="D13" s="8">
        <v>200000</v>
      </c>
      <c r="E13" s="8">
        <v>200000</v>
      </c>
      <c r="F13" s="7" t="s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1" sqref="B11"/>
    </sheetView>
  </sheetViews>
  <sheetFormatPr defaultRowHeight="14.5" x14ac:dyDescent="0.35"/>
  <sheetData>
    <row r="1" spans="1:6" x14ac:dyDescent="0.35">
      <c r="A1" t="s">
        <v>427</v>
      </c>
      <c r="B1" t="s">
        <v>567</v>
      </c>
    </row>
    <row r="2" spans="1:6" x14ac:dyDescent="0.35">
      <c r="A2" t="s">
        <v>428</v>
      </c>
      <c r="B2" t="s">
        <v>568</v>
      </c>
    </row>
    <row r="3" spans="1:6" x14ac:dyDescent="0.35">
      <c r="A3" t="s">
        <v>431</v>
      </c>
      <c r="B3" t="s">
        <v>569</v>
      </c>
    </row>
    <row r="4" spans="1:6" x14ac:dyDescent="0.35">
      <c r="A4" t="s">
        <v>442</v>
      </c>
      <c r="B4" t="s">
        <v>570</v>
      </c>
    </row>
    <row r="5" spans="1:6" x14ac:dyDescent="0.35">
      <c r="A5" t="s">
        <v>443</v>
      </c>
      <c r="B5" t="s">
        <v>564</v>
      </c>
    </row>
    <row r="6" spans="1:6" x14ac:dyDescent="0.35">
      <c r="A6" t="s">
        <v>432</v>
      </c>
      <c r="B6">
        <v>5003</v>
      </c>
      <c r="E6" s="11">
        <v>500000</v>
      </c>
    </row>
    <row r="8" spans="1:6" x14ac:dyDescent="0.35">
      <c r="A8" s="31" t="s">
        <v>6</v>
      </c>
      <c r="B8" s="32" t="s">
        <v>7</v>
      </c>
      <c r="C8" s="32" t="s">
        <v>8</v>
      </c>
      <c r="D8" s="21" t="s">
        <v>9</v>
      </c>
      <c r="E8" s="21" t="s">
        <v>10</v>
      </c>
      <c r="F8" s="22" t="s">
        <v>11</v>
      </c>
    </row>
    <row r="9" spans="1:6" x14ac:dyDescent="0.35">
      <c r="A9" t="s">
        <v>565</v>
      </c>
      <c r="B9">
        <v>9582</v>
      </c>
      <c r="C9" t="s">
        <v>552</v>
      </c>
      <c r="D9" s="11">
        <v>500000</v>
      </c>
      <c r="E9" s="11">
        <v>500000</v>
      </c>
      <c r="F9" t="s">
        <v>372</v>
      </c>
    </row>
    <row r="12" spans="1:6" x14ac:dyDescent="0.35">
      <c r="A12" t="s">
        <v>566</v>
      </c>
      <c r="B12">
        <v>5273</v>
      </c>
      <c r="C12" t="s">
        <v>459</v>
      </c>
      <c r="D12" s="11">
        <v>150000</v>
      </c>
      <c r="E12" s="11">
        <v>150000</v>
      </c>
      <c r="F12" t="s">
        <v>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9"/>
  <sheetViews>
    <sheetView topLeftCell="A23" workbookViewId="0">
      <selection activeCell="B30" sqref="B30"/>
    </sheetView>
  </sheetViews>
  <sheetFormatPr defaultRowHeight="14.5" x14ac:dyDescent="0.35"/>
  <cols>
    <col min="1" max="1" width="10.453125" bestFit="1" customWidth="1"/>
    <col min="3" max="3" width="14.36328125" customWidth="1"/>
    <col min="4" max="4" width="15.1796875" customWidth="1"/>
    <col min="5" max="5" width="11.81640625" customWidth="1"/>
    <col min="6" max="6" width="15.6328125" customWidth="1"/>
  </cols>
  <sheetData>
    <row r="1" spans="1:6" ht="18.5" x14ac:dyDescent="0.45">
      <c r="A1" s="1" t="s">
        <v>196</v>
      </c>
      <c r="B1" s="1"/>
      <c r="C1" s="1"/>
      <c r="D1" s="1"/>
      <c r="E1" s="1"/>
      <c r="F1" s="1"/>
    </row>
    <row r="2" spans="1:6" ht="18.5" x14ac:dyDescent="0.45">
      <c r="A2" s="1" t="s">
        <v>197</v>
      </c>
      <c r="B2" s="15"/>
      <c r="C2" s="1"/>
      <c r="D2" s="1"/>
      <c r="E2" s="1"/>
      <c r="F2" s="1"/>
    </row>
    <row r="3" spans="1:6" ht="18.5" x14ac:dyDescent="0.45">
      <c r="A3" s="1" t="s">
        <v>198</v>
      </c>
      <c r="B3" s="1"/>
      <c r="C3" s="1"/>
      <c r="D3" s="1"/>
      <c r="E3" s="1"/>
      <c r="F3" s="1"/>
    </row>
    <row r="4" spans="1:6" ht="18.5" x14ac:dyDescent="0.45">
      <c r="A4" s="1" t="s">
        <v>328</v>
      </c>
      <c r="B4" s="1"/>
      <c r="C4" s="1"/>
      <c r="D4" s="1"/>
      <c r="E4" s="1"/>
      <c r="F4" s="1"/>
    </row>
    <row r="5" spans="1:6" ht="18.5" x14ac:dyDescent="0.45">
      <c r="A5" s="1" t="s">
        <v>199</v>
      </c>
      <c r="B5" s="1"/>
      <c r="C5" s="1"/>
      <c r="D5" s="1"/>
      <c r="E5" s="1"/>
      <c r="F5" s="1"/>
    </row>
    <row r="6" spans="1:6" ht="18.5" x14ac:dyDescent="0.45">
      <c r="A6" s="1" t="s">
        <v>200</v>
      </c>
      <c r="B6" s="1"/>
      <c r="C6" s="1"/>
      <c r="D6" s="1" t="s">
        <v>201</v>
      </c>
      <c r="E6" s="1"/>
      <c r="F6" s="1"/>
    </row>
    <row r="7" spans="1:6" x14ac:dyDescent="0.35">
      <c r="A7" s="12" t="s">
        <v>6</v>
      </c>
      <c r="B7" s="13" t="s">
        <v>7</v>
      </c>
      <c r="C7" s="14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9">
        <v>44813</v>
      </c>
      <c r="B8">
        <v>1110</v>
      </c>
      <c r="C8" t="s">
        <v>205</v>
      </c>
      <c r="D8" s="11">
        <v>12500</v>
      </c>
      <c r="E8" s="11">
        <v>12500</v>
      </c>
      <c r="F8" s="11">
        <v>162500</v>
      </c>
    </row>
    <row r="9" spans="1:6" x14ac:dyDescent="0.35">
      <c r="A9" t="s">
        <v>202</v>
      </c>
      <c r="B9">
        <v>1591</v>
      </c>
      <c r="C9" t="s">
        <v>206</v>
      </c>
      <c r="D9" s="11">
        <v>12500</v>
      </c>
      <c r="E9" s="11">
        <f>SUM(E8+D9)</f>
        <v>25000</v>
      </c>
      <c r="F9" s="11">
        <f>F8-D9</f>
        <v>150000</v>
      </c>
    </row>
    <row r="10" spans="1:6" x14ac:dyDescent="0.35">
      <c r="A10" s="9">
        <v>45233</v>
      </c>
      <c r="B10">
        <v>1592</v>
      </c>
      <c r="C10" t="s">
        <v>47</v>
      </c>
      <c r="D10" s="11">
        <v>12500</v>
      </c>
      <c r="E10" s="11">
        <f t="shared" ref="E10:E21" si="0">SUM(E9+D10)</f>
        <v>37500</v>
      </c>
      <c r="F10" s="11">
        <f t="shared" ref="F10:F21" si="1">F9-D10</f>
        <v>137500</v>
      </c>
    </row>
    <row r="11" spans="1:6" x14ac:dyDescent="0.35">
      <c r="A11" s="9">
        <v>45170</v>
      </c>
      <c r="B11">
        <v>2203</v>
      </c>
      <c r="C11" t="s">
        <v>207</v>
      </c>
      <c r="D11" s="11">
        <v>12500</v>
      </c>
      <c r="E11" s="11">
        <f t="shared" si="0"/>
        <v>50000</v>
      </c>
      <c r="F11" s="11">
        <f t="shared" si="1"/>
        <v>125000</v>
      </c>
    </row>
    <row r="12" spans="1:6" x14ac:dyDescent="0.35">
      <c r="A12" s="9">
        <v>45264</v>
      </c>
      <c r="B12">
        <v>1965</v>
      </c>
      <c r="C12" t="s">
        <v>47</v>
      </c>
      <c r="D12" s="11">
        <v>12500</v>
      </c>
      <c r="E12" s="11">
        <f t="shared" si="0"/>
        <v>62500</v>
      </c>
      <c r="F12" s="11">
        <f t="shared" si="1"/>
        <v>112500</v>
      </c>
    </row>
    <row r="13" spans="1:6" x14ac:dyDescent="0.35">
      <c r="A13" t="s">
        <v>203</v>
      </c>
      <c r="B13">
        <v>120</v>
      </c>
      <c r="C13" t="s">
        <v>47</v>
      </c>
      <c r="D13" s="11">
        <v>12500</v>
      </c>
      <c r="E13" s="11">
        <f t="shared" si="0"/>
        <v>75000</v>
      </c>
      <c r="F13" s="11">
        <f t="shared" si="1"/>
        <v>100000</v>
      </c>
    </row>
    <row r="14" spans="1:6" x14ac:dyDescent="0.35">
      <c r="A14" t="s">
        <v>204</v>
      </c>
      <c r="B14">
        <v>2543</v>
      </c>
      <c r="C14" t="s">
        <v>208</v>
      </c>
      <c r="D14" s="11">
        <v>12500</v>
      </c>
      <c r="E14" s="11">
        <f t="shared" si="0"/>
        <v>87500</v>
      </c>
      <c r="F14" s="11">
        <f t="shared" si="1"/>
        <v>87500</v>
      </c>
    </row>
    <row r="15" spans="1:6" x14ac:dyDescent="0.35">
      <c r="A15" t="s">
        <v>204</v>
      </c>
      <c r="B15">
        <v>2544</v>
      </c>
      <c r="C15" t="s">
        <v>47</v>
      </c>
      <c r="D15" s="11">
        <v>12500</v>
      </c>
      <c r="E15" s="11">
        <f t="shared" si="0"/>
        <v>100000</v>
      </c>
      <c r="F15" s="11">
        <f t="shared" si="1"/>
        <v>75000</v>
      </c>
    </row>
    <row r="16" spans="1:6" x14ac:dyDescent="0.35">
      <c r="A16" s="9">
        <v>45025</v>
      </c>
      <c r="B16">
        <v>3388</v>
      </c>
      <c r="C16" t="s">
        <v>47</v>
      </c>
      <c r="D16" s="11">
        <v>12500</v>
      </c>
      <c r="E16" s="11">
        <f t="shared" si="0"/>
        <v>112500</v>
      </c>
      <c r="F16" s="11">
        <f t="shared" si="1"/>
        <v>62500</v>
      </c>
    </row>
    <row r="17" spans="1:6" x14ac:dyDescent="0.35">
      <c r="A17" s="9">
        <v>45026</v>
      </c>
      <c r="B17">
        <v>271</v>
      </c>
      <c r="C17" t="s">
        <v>47</v>
      </c>
      <c r="D17" s="11">
        <v>12500</v>
      </c>
      <c r="E17" s="11">
        <f t="shared" si="0"/>
        <v>125000</v>
      </c>
      <c r="F17" s="11">
        <f t="shared" si="1"/>
        <v>50000</v>
      </c>
    </row>
    <row r="18" spans="1:6" x14ac:dyDescent="0.35">
      <c r="A18" s="9">
        <v>45088</v>
      </c>
      <c r="B18">
        <v>4663</v>
      </c>
      <c r="C18" t="s">
        <v>47</v>
      </c>
      <c r="D18" s="11">
        <v>12500</v>
      </c>
      <c r="E18" s="11">
        <f t="shared" si="0"/>
        <v>137500</v>
      </c>
      <c r="F18" s="11">
        <f t="shared" si="1"/>
        <v>37500</v>
      </c>
    </row>
    <row r="19" spans="1:6" x14ac:dyDescent="0.35">
      <c r="A19" s="9">
        <v>45119</v>
      </c>
      <c r="B19">
        <v>5346</v>
      </c>
      <c r="C19" t="s">
        <v>47</v>
      </c>
      <c r="D19" s="11">
        <v>12500</v>
      </c>
      <c r="E19" s="11">
        <f t="shared" si="0"/>
        <v>150000</v>
      </c>
      <c r="F19" s="11">
        <f t="shared" si="1"/>
        <v>25000</v>
      </c>
    </row>
    <row r="20" spans="1:6" x14ac:dyDescent="0.35">
      <c r="A20" s="9">
        <v>45413</v>
      </c>
      <c r="B20">
        <v>5905</v>
      </c>
      <c r="C20" t="s">
        <v>47</v>
      </c>
      <c r="D20" s="11">
        <v>12500</v>
      </c>
      <c r="E20" s="11">
        <f t="shared" si="0"/>
        <v>162500</v>
      </c>
      <c r="F20" s="11">
        <f t="shared" si="1"/>
        <v>12500</v>
      </c>
    </row>
    <row r="21" spans="1:6" x14ac:dyDescent="0.35">
      <c r="A21" s="9">
        <v>45628</v>
      </c>
      <c r="B21">
        <v>7106</v>
      </c>
      <c r="C21" t="s">
        <v>47</v>
      </c>
      <c r="D21" s="11">
        <v>12500</v>
      </c>
      <c r="E21" s="11">
        <f t="shared" si="0"/>
        <v>175000</v>
      </c>
      <c r="F21" s="11">
        <f t="shared" si="1"/>
        <v>0</v>
      </c>
    </row>
    <row r="22" spans="1:6" ht="18.5" x14ac:dyDescent="0.45">
      <c r="A22" s="73" t="s">
        <v>225</v>
      </c>
      <c r="B22" s="74"/>
      <c r="C22" s="74"/>
      <c r="D22" s="75"/>
      <c r="E22" s="75"/>
      <c r="F22" s="75">
        <f>F21-D22</f>
        <v>0</v>
      </c>
    </row>
    <row r="23" spans="1:6" ht="18.5" x14ac:dyDescent="0.45">
      <c r="A23" s="70" t="s">
        <v>6</v>
      </c>
      <c r="B23" s="70" t="s">
        <v>7</v>
      </c>
      <c r="C23" s="71" t="s">
        <v>8</v>
      </c>
      <c r="D23" s="72" t="s">
        <v>9</v>
      </c>
      <c r="E23" s="72" t="s">
        <v>10</v>
      </c>
      <c r="F23" s="72" t="s">
        <v>11</v>
      </c>
    </row>
    <row r="24" spans="1:6" x14ac:dyDescent="0.35">
      <c r="A24" s="58">
        <v>45972</v>
      </c>
      <c r="B24" s="7">
        <v>942</v>
      </c>
      <c r="C24" s="7" t="s">
        <v>634</v>
      </c>
      <c r="D24" s="8">
        <v>30000</v>
      </c>
      <c r="E24" s="8">
        <v>30000</v>
      </c>
      <c r="F24" s="8">
        <v>420000</v>
      </c>
    </row>
    <row r="25" spans="1:6" x14ac:dyDescent="0.35">
      <c r="A25" s="58">
        <v>45781</v>
      </c>
      <c r="B25" s="7">
        <v>704</v>
      </c>
      <c r="C25" s="7" t="s">
        <v>634</v>
      </c>
      <c r="D25" s="8">
        <v>20000</v>
      </c>
      <c r="E25" s="8">
        <f t="shared" ref="E25:E39" si="2">E24+D25</f>
        <v>50000</v>
      </c>
      <c r="F25" s="8">
        <f t="shared" ref="F25:F39" si="3">F24-D25</f>
        <v>400000</v>
      </c>
    </row>
    <row r="26" spans="1:6" x14ac:dyDescent="0.35">
      <c r="A26" s="7" t="s">
        <v>627</v>
      </c>
      <c r="B26" s="7">
        <v>773</v>
      </c>
      <c r="C26" s="7" t="s">
        <v>634</v>
      </c>
      <c r="D26" s="8">
        <v>10000</v>
      </c>
      <c r="E26" s="8">
        <f t="shared" si="2"/>
        <v>60000</v>
      </c>
      <c r="F26" s="8">
        <f t="shared" si="3"/>
        <v>390000</v>
      </c>
    </row>
    <row r="27" spans="1:6" x14ac:dyDescent="0.35">
      <c r="A27" s="7" t="s">
        <v>628</v>
      </c>
      <c r="B27" s="7">
        <v>3081</v>
      </c>
      <c r="C27" s="7" t="s">
        <v>634</v>
      </c>
      <c r="D27" s="8">
        <v>20000</v>
      </c>
      <c r="E27" s="8">
        <f t="shared" si="2"/>
        <v>80000</v>
      </c>
      <c r="F27" s="8">
        <f t="shared" si="3"/>
        <v>370000</v>
      </c>
    </row>
    <row r="28" spans="1:6" x14ac:dyDescent="0.35">
      <c r="A28" s="7" t="s">
        <v>629</v>
      </c>
      <c r="B28" s="7">
        <v>3407</v>
      </c>
      <c r="C28" s="7" t="s">
        <v>634</v>
      </c>
      <c r="D28" s="8">
        <v>10000</v>
      </c>
      <c r="E28" s="8">
        <f t="shared" si="2"/>
        <v>90000</v>
      </c>
      <c r="F28" s="8">
        <f t="shared" si="3"/>
        <v>360000</v>
      </c>
    </row>
    <row r="29" spans="1:6" x14ac:dyDescent="0.35">
      <c r="A29" s="7" t="s">
        <v>630</v>
      </c>
      <c r="B29" s="7">
        <v>3563</v>
      </c>
      <c r="C29" s="7" t="s">
        <v>634</v>
      </c>
      <c r="D29" s="8">
        <v>10000</v>
      </c>
      <c r="E29" s="8">
        <f t="shared" si="2"/>
        <v>100000</v>
      </c>
      <c r="F29" s="8">
        <f t="shared" si="3"/>
        <v>350000</v>
      </c>
    </row>
    <row r="30" spans="1:6" x14ac:dyDescent="0.35">
      <c r="A30" s="7" t="s">
        <v>631</v>
      </c>
      <c r="B30" s="7">
        <v>3353</v>
      </c>
      <c r="C30" s="7" t="s">
        <v>634</v>
      </c>
      <c r="D30" s="8">
        <v>10000</v>
      </c>
      <c r="E30" s="8">
        <f t="shared" si="2"/>
        <v>110000</v>
      </c>
      <c r="F30" s="8">
        <f t="shared" si="3"/>
        <v>340000</v>
      </c>
    </row>
    <row r="31" spans="1:6" x14ac:dyDescent="0.35">
      <c r="A31" s="7" t="s">
        <v>632</v>
      </c>
      <c r="B31" s="7">
        <v>3858</v>
      </c>
      <c r="C31" s="7" t="s">
        <v>634</v>
      </c>
      <c r="D31" s="8">
        <v>10000</v>
      </c>
      <c r="E31" s="8">
        <f t="shared" si="2"/>
        <v>120000</v>
      </c>
      <c r="F31" s="8">
        <f t="shared" si="3"/>
        <v>330000</v>
      </c>
    </row>
    <row r="32" spans="1:6" x14ac:dyDescent="0.35">
      <c r="A32" s="7" t="s">
        <v>633</v>
      </c>
      <c r="B32" s="7">
        <v>5145</v>
      </c>
      <c r="C32" s="7" t="s">
        <v>634</v>
      </c>
      <c r="D32" s="8">
        <v>10000</v>
      </c>
      <c r="E32" s="8">
        <f t="shared" si="2"/>
        <v>130000</v>
      </c>
      <c r="F32" s="8">
        <f t="shared" si="3"/>
        <v>320000</v>
      </c>
    </row>
    <row r="33" spans="1:6" x14ac:dyDescent="0.35">
      <c r="A33" s="7" t="s">
        <v>635</v>
      </c>
      <c r="B33" s="7">
        <v>5361</v>
      </c>
      <c r="C33" s="7" t="s">
        <v>634</v>
      </c>
      <c r="D33" s="8">
        <v>10000</v>
      </c>
      <c r="E33" s="8">
        <f t="shared" si="2"/>
        <v>140000</v>
      </c>
      <c r="F33" s="8">
        <f t="shared" si="3"/>
        <v>310000</v>
      </c>
    </row>
    <row r="34" spans="1:6" x14ac:dyDescent="0.35">
      <c r="A34" s="7" t="s">
        <v>636</v>
      </c>
      <c r="B34" s="7">
        <v>5778</v>
      </c>
      <c r="C34" s="7" t="s">
        <v>634</v>
      </c>
      <c r="D34" s="8">
        <v>10000</v>
      </c>
      <c r="E34" s="8">
        <f t="shared" si="2"/>
        <v>150000</v>
      </c>
      <c r="F34" s="8">
        <f t="shared" si="3"/>
        <v>300000</v>
      </c>
    </row>
    <row r="35" spans="1:6" x14ac:dyDescent="0.35">
      <c r="A35" s="7" t="s">
        <v>637</v>
      </c>
      <c r="B35" s="7">
        <v>1311</v>
      </c>
      <c r="C35" s="7" t="s">
        <v>634</v>
      </c>
      <c r="D35" s="8">
        <v>10000</v>
      </c>
      <c r="E35" s="8">
        <f t="shared" si="2"/>
        <v>160000</v>
      </c>
      <c r="F35" s="8">
        <f t="shared" si="3"/>
        <v>290000</v>
      </c>
    </row>
    <row r="36" spans="1:6" x14ac:dyDescent="0.35">
      <c r="A36" s="7" t="s">
        <v>638</v>
      </c>
      <c r="B36" s="7">
        <v>1475</v>
      </c>
      <c r="C36" s="7" t="s">
        <v>634</v>
      </c>
      <c r="D36" s="8">
        <v>10000</v>
      </c>
      <c r="E36" s="8">
        <f t="shared" si="2"/>
        <v>170000</v>
      </c>
      <c r="F36" s="8">
        <f t="shared" si="3"/>
        <v>280000</v>
      </c>
    </row>
    <row r="37" spans="1:6" x14ac:dyDescent="0.35">
      <c r="A37" s="7" t="s">
        <v>639</v>
      </c>
      <c r="B37" s="7">
        <v>1658</v>
      </c>
      <c r="C37" s="7" t="s">
        <v>634</v>
      </c>
      <c r="D37" s="8">
        <v>10000</v>
      </c>
      <c r="E37" s="8">
        <f t="shared" si="2"/>
        <v>180000</v>
      </c>
      <c r="F37" s="8">
        <f t="shared" si="3"/>
        <v>270000</v>
      </c>
    </row>
    <row r="38" spans="1:6" x14ac:dyDescent="0.35">
      <c r="A38" s="7" t="s">
        <v>640</v>
      </c>
      <c r="B38" s="7">
        <v>1854</v>
      </c>
      <c r="C38" s="7" t="s">
        <v>634</v>
      </c>
      <c r="D38" s="8">
        <v>10000</v>
      </c>
      <c r="E38" s="8">
        <f t="shared" si="2"/>
        <v>190000</v>
      </c>
      <c r="F38" s="8">
        <f t="shared" si="3"/>
        <v>260000</v>
      </c>
    </row>
    <row r="39" spans="1:6" x14ac:dyDescent="0.35">
      <c r="A39" s="7" t="s">
        <v>641</v>
      </c>
      <c r="B39" s="7">
        <v>1963</v>
      </c>
      <c r="C39" s="7" t="s">
        <v>634</v>
      </c>
      <c r="D39" s="8">
        <v>10000</v>
      </c>
      <c r="E39" s="8">
        <f t="shared" si="2"/>
        <v>200000</v>
      </c>
      <c r="F39" s="8">
        <f t="shared" si="3"/>
        <v>250000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56"/>
  <sheetViews>
    <sheetView topLeftCell="A47" workbookViewId="0">
      <selection activeCell="F60" sqref="F60"/>
    </sheetView>
  </sheetViews>
  <sheetFormatPr defaultRowHeight="14.5" x14ac:dyDescent="0.35"/>
  <cols>
    <col min="1" max="1" width="15.08984375" style="56" customWidth="1"/>
    <col min="2" max="2" width="16.81640625" style="56" customWidth="1"/>
    <col min="3" max="3" width="15.453125" style="56" customWidth="1"/>
    <col min="4" max="4" width="11.453125" style="56" customWidth="1"/>
    <col min="5" max="5" width="10.90625" style="56" customWidth="1"/>
    <col min="6" max="6" width="13.90625" style="56" customWidth="1"/>
    <col min="7" max="7" width="8.7265625" style="56"/>
    <col min="8" max="8" width="13.54296875" style="56" customWidth="1"/>
    <col min="9" max="9" width="26.08984375" style="56" customWidth="1"/>
    <col min="10" max="16384" width="8.7265625" style="56"/>
  </cols>
  <sheetData>
    <row r="1" spans="1:8" ht="18.5" x14ac:dyDescent="0.45">
      <c r="A1" s="107" t="s">
        <v>226</v>
      </c>
      <c r="B1" s="107"/>
      <c r="C1" s="107"/>
      <c r="D1" s="107"/>
      <c r="E1" s="107"/>
      <c r="F1" s="107"/>
    </row>
    <row r="2" spans="1:8" ht="18.5" x14ac:dyDescent="0.45">
      <c r="A2" s="107" t="s">
        <v>227</v>
      </c>
      <c r="C2" s="107"/>
      <c r="D2" s="107"/>
      <c r="E2" s="107"/>
      <c r="F2" s="107"/>
    </row>
    <row r="3" spans="1:8" ht="18.5" x14ac:dyDescent="0.45">
      <c r="A3" s="107" t="s">
        <v>228</v>
      </c>
      <c r="B3" s="107"/>
      <c r="C3" s="107"/>
      <c r="D3" s="107"/>
      <c r="E3" s="107"/>
      <c r="F3" s="107"/>
    </row>
    <row r="4" spans="1:8" ht="18.5" x14ac:dyDescent="0.45">
      <c r="A4" s="107" t="s">
        <v>194</v>
      </c>
      <c r="B4" s="107"/>
      <c r="C4" s="107"/>
      <c r="D4" s="107"/>
      <c r="E4" s="107"/>
      <c r="F4" s="107"/>
    </row>
    <row r="5" spans="1:8" ht="18.5" x14ac:dyDescent="0.45">
      <c r="A5" s="107" t="s">
        <v>229</v>
      </c>
      <c r="B5" s="107"/>
      <c r="C5" s="107"/>
      <c r="D5" s="107"/>
      <c r="E5" s="107"/>
      <c r="F5" s="107"/>
    </row>
    <row r="6" spans="1:8" ht="18.5" x14ac:dyDescent="0.45">
      <c r="A6" s="107" t="s">
        <v>788</v>
      </c>
      <c r="B6" s="107"/>
      <c r="C6" s="107"/>
      <c r="D6" s="107" t="s">
        <v>201</v>
      </c>
      <c r="E6" s="107"/>
      <c r="F6" s="107"/>
    </row>
    <row r="7" spans="1:8" x14ac:dyDescent="0.35">
      <c r="A7" s="101" t="s">
        <v>6</v>
      </c>
      <c r="B7" s="102" t="s">
        <v>7</v>
      </c>
      <c r="C7" s="102" t="s">
        <v>8</v>
      </c>
      <c r="D7" s="103" t="s">
        <v>9</v>
      </c>
      <c r="E7" s="103" t="s">
        <v>10</v>
      </c>
      <c r="F7" s="104" t="s">
        <v>11</v>
      </c>
      <c r="G7" s="100"/>
      <c r="H7" s="100"/>
    </row>
    <row r="8" spans="1:8" x14ac:dyDescent="0.35">
      <c r="A8" s="100" t="s">
        <v>230</v>
      </c>
      <c r="B8" s="100">
        <v>1525</v>
      </c>
      <c r="C8" s="100" t="s">
        <v>14</v>
      </c>
      <c r="D8" s="105">
        <v>250000</v>
      </c>
      <c r="E8" s="105">
        <v>250000</v>
      </c>
      <c r="F8" s="105">
        <v>100000</v>
      </c>
      <c r="G8" s="100"/>
      <c r="H8" s="100"/>
    </row>
    <row r="9" spans="1:8" x14ac:dyDescent="0.35">
      <c r="A9" s="106">
        <v>45263</v>
      </c>
      <c r="B9" s="100">
        <v>1526</v>
      </c>
      <c r="C9" s="100" t="s">
        <v>16</v>
      </c>
      <c r="D9" s="105">
        <v>12500</v>
      </c>
      <c r="E9" s="105">
        <f>SUM(E8+D9)</f>
        <v>262500</v>
      </c>
      <c r="F9" s="105">
        <f>F8-D9</f>
        <v>87500</v>
      </c>
      <c r="G9" s="100"/>
      <c r="H9" s="100"/>
    </row>
    <row r="10" spans="1:8" x14ac:dyDescent="0.35">
      <c r="A10" s="106">
        <v>45173</v>
      </c>
      <c r="B10" s="100">
        <v>1043</v>
      </c>
      <c r="C10" s="100" t="s">
        <v>16</v>
      </c>
      <c r="D10" s="105">
        <v>12500</v>
      </c>
      <c r="E10" s="105">
        <f t="shared" ref="E10:E16" si="0">SUM(E9+D10)</f>
        <v>275000</v>
      </c>
      <c r="F10" s="105">
        <f t="shared" ref="F10:F16" si="1">F9-D10</f>
        <v>75000</v>
      </c>
      <c r="G10" s="100"/>
      <c r="H10" s="100"/>
    </row>
    <row r="11" spans="1:8" x14ac:dyDescent="0.35">
      <c r="A11" s="106">
        <v>45143</v>
      </c>
      <c r="B11" s="100">
        <v>732</v>
      </c>
      <c r="C11" s="100" t="s">
        <v>16</v>
      </c>
      <c r="D11" s="105">
        <v>12500</v>
      </c>
      <c r="E11" s="105">
        <f t="shared" si="0"/>
        <v>287500</v>
      </c>
      <c r="F11" s="105">
        <f t="shared" si="1"/>
        <v>62500</v>
      </c>
      <c r="G11" s="100"/>
      <c r="H11" s="100"/>
    </row>
    <row r="12" spans="1:8" x14ac:dyDescent="0.35">
      <c r="A12" s="106">
        <v>45236</v>
      </c>
      <c r="B12" s="100">
        <v>463</v>
      </c>
      <c r="C12" s="100" t="s">
        <v>16</v>
      </c>
      <c r="D12" s="105">
        <v>12500</v>
      </c>
      <c r="E12" s="105">
        <f t="shared" si="0"/>
        <v>300000</v>
      </c>
      <c r="F12" s="105">
        <f t="shared" si="1"/>
        <v>50000</v>
      </c>
      <c r="G12" s="100"/>
      <c r="H12" s="100"/>
    </row>
    <row r="13" spans="1:8" x14ac:dyDescent="0.35">
      <c r="A13" s="106">
        <v>45206</v>
      </c>
      <c r="B13" s="100">
        <v>2664</v>
      </c>
      <c r="C13" s="100" t="s">
        <v>16</v>
      </c>
      <c r="D13" s="105">
        <v>12500</v>
      </c>
      <c r="E13" s="105">
        <f t="shared" si="0"/>
        <v>312500</v>
      </c>
      <c r="F13" s="105">
        <f t="shared" si="1"/>
        <v>37500</v>
      </c>
      <c r="G13" s="100"/>
      <c r="H13" s="100"/>
    </row>
    <row r="14" spans="1:8" x14ac:dyDescent="0.35">
      <c r="A14" s="106">
        <v>45115</v>
      </c>
      <c r="B14" s="100">
        <v>2269</v>
      </c>
      <c r="C14" s="100" t="s">
        <v>16</v>
      </c>
      <c r="D14" s="105">
        <v>12500</v>
      </c>
      <c r="E14" s="105">
        <f t="shared" si="0"/>
        <v>325000</v>
      </c>
      <c r="F14" s="105">
        <f t="shared" si="1"/>
        <v>25000</v>
      </c>
      <c r="G14" s="100"/>
      <c r="H14" s="100"/>
    </row>
    <row r="15" spans="1:8" x14ac:dyDescent="0.35">
      <c r="A15" s="106">
        <v>45116</v>
      </c>
      <c r="B15" s="100">
        <v>3430</v>
      </c>
      <c r="C15" s="100" t="s">
        <v>16</v>
      </c>
      <c r="D15" s="105">
        <v>12500</v>
      </c>
      <c r="E15" s="105">
        <f t="shared" si="0"/>
        <v>337500</v>
      </c>
      <c r="F15" s="105">
        <f t="shared" si="1"/>
        <v>12500</v>
      </c>
      <c r="G15" s="100"/>
      <c r="H15" s="100"/>
    </row>
    <row r="16" spans="1:8" x14ac:dyDescent="0.35">
      <c r="A16" s="106">
        <v>45148</v>
      </c>
      <c r="B16" s="100">
        <v>4101</v>
      </c>
      <c r="C16" s="100" t="s">
        <v>16</v>
      </c>
      <c r="D16" s="105">
        <v>12500</v>
      </c>
      <c r="E16" s="105">
        <f t="shared" si="0"/>
        <v>350000</v>
      </c>
      <c r="F16" s="105">
        <f t="shared" si="1"/>
        <v>0</v>
      </c>
      <c r="G16" s="100"/>
      <c r="H16" s="100"/>
    </row>
    <row r="17" spans="1:16" x14ac:dyDescent="0.35">
      <c r="A17" s="100"/>
      <c r="B17" s="100"/>
      <c r="C17" s="100"/>
      <c r="D17" s="100"/>
      <c r="E17" s="100"/>
      <c r="F17" s="100"/>
      <c r="G17" s="100"/>
      <c r="H17" s="100"/>
    </row>
    <row r="18" spans="1:16" x14ac:dyDescent="0.35">
      <c r="A18" s="100"/>
      <c r="B18" s="100"/>
      <c r="C18" s="100"/>
      <c r="D18" s="100"/>
      <c r="E18" s="100"/>
      <c r="F18" s="100"/>
      <c r="G18" s="100"/>
      <c r="H18" s="100"/>
    </row>
    <row r="19" spans="1:16" x14ac:dyDescent="0.35">
      <c r="A19" s="100"/>
      <c r="B19" s="100"/>
      <c r="C19" s="100"/>
      <c r="D19" s="100"/>
      <c r="E19" s="100"/>
      <c r="F19" s="100"/>
      <c r="G19" s="100"/>
      <c r="H19" s="100"/>
      <c r="L19" s="100"/>
      <c r="M19" s="100"/>
      <c r="N19" s="100"/>
      <c r="O19" s="100"/>
      <c r="P19" s="100"/>
    </row>
    <row r="20" spans="1:16" ht="18.5" x14ac:dyDescent="0.45">
      <c r="A20" s="107" t="s">
        <v>225</v>
      </c>
      <c r="B20" s="107"/>
      <c r="H20" s="100" t="s">
        <v>690</v>
      </c>
      <c r="I20" s="100" t="s">
        <v>691</v>
      </c>
      <c r="J20" s="100"/>
      <c r="K20" s="100"/>
    </row>
    <row r="21" spans="1:16" x14ac:dyDescent="0.35">
      <c r="A21" s="100"/>
      <c r="B21" s="100"/>
      <c r="C21" s="100"/>
      <c r="D21" s="100"/>
      <c r="E21" s="100"/>
      <c r="F21" s="100"/>
      <c r="G21" s="100"/>
      <c r="H21" s="100"/>
    </row>
    <row r="22" spans="1:16" x14ac:dyDescent="0.35">
      <c r="A22" s="132" t="s">
        <v>6</v>
      </c>
      <c r="B22" s="133" t="s">
        <v>7</v>
      </c>
      <c r="C22" s="133" t="s">
        <v>8</v>
      </c>
      <c r="D22" s="91" t="s">
        <v>9</v>
      </c>
      <c r="E22" s="91" t="s">
        <v>10</v>
      </c>
      <c r="F22" s="91" t="s">
        <v>11</v>
      </c>
      <c r="G22" s="100"/>
      <c r="H22" s="100"/>
    </row>
    <row r="23" spans="1:16" ht="28" x14ac:dyDescent="0.35">
      <c r="A23" s="134" t="s">
        <v>6</v>
      </c>
      <c r="B23" s="134" t="s">
        <v>789</v>
      </c>
      <c r="C23" s="134" t="s">
        <v>790</v>
      </c>
      <c r="D23" s="134" t="s">
        <v>791</v>
      </c>
      <c r="E23" s="134" t="s">
        <v>792</v>
      </c>
      <c r="F23" s="134" t="s">
        <v>793</v>
      </c>
      <c r="G23" s="100"/>
      <c r="H23" s="100"/>
    </row>
    <row r="24" spans="1:16" x14ac:dyDescent="0.35">
      <c r="A24" s="135">
        <v>45148</v>
      </c>
      <c r="B24" s="136" t="s">
        <v>794</v>
      </c>
      <c r="C24" s="136" t="s">
        <v>703</v>
      </c>
      <c r="D24" s="137">
        <v>15000</v>
      </c>
      <c r="E24" s="137">
        <v>435000</v>
      </c>
      <c r="F24" s="136" t="s">
        <v>795</v>
      </c>
    </row>
    <row r="25" spans="1:16" x14ac:dyDescent="0.35">
      <c r="A25" s="135">
        <v>45180</v>
      </c>
      <c r="B25" s="136" t="s">
        <v>796</v>
      </c>
      <c r="C25" s="136" t="s">
        <v>703</v>
      </c>
      <c r="D25" s="137">
        <v>15000</v>
      </c>
      <c r="E25" s="137">
        <v>420000</v>
      </c>
      <c r="F25" s="136" t="s">
        <v>703</v>
      </c>
    </row>
    <row r="26" spans="1:16" x14ac:dyDescent="0.35">
      <c r="A26" s="135">
        <v>45211</v>
      </c>
      <c r="B26" s="136" t="s">
        <v>797</v>
      </c>
      <c r="C26" s="136" t="s">
        <v>703</v>
      </c>
      <c r="D26" s="137">
        <v>15000</v>
      </c>
      <c r="E26" s="137">
        <v>405000</v>
      </c>
      <c r="F26" s="136" t="s">
        <v>703</v>
      </c>
    </row>
    <row r="27" spans="1:16" x14ac:dyDescent="0.35">
      <c r="A27" s="135">
        <v>45566</v>
      </c>
      <c r="B27" s="136" t="s">
        <v>798</v>
      </c>
      <c r="C27" s="136" t="s">
        <v>703</v>
      </c>
      <c r="D27" s="137">
        <v>10000</v>
      </c>
      <c r="E27" s="137">
        <v>395000</v>
      </c>
      <c r="F27" s="136" t="s">
        <v>703</v>
      </c>
    </row>
    <row r="28" spans="1:16" x14ac:dyDescent="0.35">
      <c r="A28" s="135">
        <v>45567</v>
      </c>
      <c r="B28" s="136" t="s">
        <v>799</v>
      </c>
      <c r="C28" s="136" t="s">
        <v>703</v>
      </c>
      <c r="D28" s="137">
        <v>10000</v>
      </c>
      <c r="E28" s="137">
        <v>385000</v>
      </c>
      <c r="F28" s="136" t="s">
        <v>703</v>
      </c>
    </row>
    <row r="29" spans="1:16" x14ac:dyDescent="0.35">
      <c r="A29" s="135">
        <v>45507</v>
      </c>
      <c r="B29" s="136" t="s">
        <v>800</v>
      </c>
      <c r="C29" s="136" t="s">
        <v>703</v>
      </c>
      <c r="D29" s="137">
        <v>10000</v>
      </c>
      <c r="E29" s="137">
        <v>375000</v>
      </c>
      <c r="F29" s="136" t="s">
        <v>703</v>
      </c>
    </row>
    <row r="30" spans="1:16" x14ac:dyDescent="0.35">
      <c r="A30" s="135">
        <v>45416</v>
      </c>
      <c r="B30" s="136" t="s">
        <v>801</v>
      </c>
      <c r="C30" s="136" t="s">
        <v>703</v>
      </c>
      <c r="D30" s="137">
        <v>10000</v>
      </c>
      <c r="E30" s="137">
        <v>365000</v>
      </c>
      <c r="F30" s="136" t="s">
        <v>703</v>
      </c>
    </row>
    <row r="31" spans="1:16" x14ac:dyDescent="0.35">
      <c r="A31" s="135">
        <v>45540</v>
      </c>
      <c r="B31" s="136" t="s">
        <v>802</v>
      </c>
      <c r="C31" s="136" t="s">
        <v>703</v>
      </c>
      <c r="D31" s="137">
        <v>10000</v>
      </c>
      <c r="E31" s="137">
        <v>355000</v>
      </c>
      <c r="F31" s="136" t="s">
        <v>703</v>
      </c>
    </row>
    <row r="32" spans="1:16" x14ac:dyDescent="0.35">
      <c r="A32" s="135">
        <v>45571</v>
      </c>
      <c r="B32" s="136" t="s">
        <v>803</v>
      </c>
      <c r="C32" s="136" t="s">
        <v>703</v>
      </c>
      <c r="D32" s="137">
        <v>10000</v>
      </c>
      <c r="E32" s="137">
        <v>345000</v>
      </c>
      <c r="F32" s="136" t="s">
        <v>703</v>
      </c>
    </row>
    <row r="33" spans="1:6" x14ac:dyDescent="0.35">
      <c r="A33" s="135">
        <v>45419</v>
      </c>
      <c r="B33" s="136" t="s">
        <v>804</v>
      </c>
      <c r="C33" s="136" t="s">
        <v>703</v>
      </c>
      <c r="D33" s="137">
        <v>10000</v>
      </c>
      <c r="E33" s="137">
        <v>335000</v>
      </c>
      <c r="F33" s="136" t="s">
        <v>703</v>
      </c>
    </row>
    <row r="34" spans="1:6" x14ac:dyDescent="0.35">
      <c r="A34" s="135">
        <v>45543</v>
      </c>
      <c r="B34" s="136" t="s">
        <v>805</v>
      </c>
      <c r="C34" s="136" t="s">
        <v>703</v>
      </c>
      <c r="D34" s="136" t="s">
        <v>703</v>
      </c>
      <c r="E34" s="136" t="s">
        <v>703</v>
      </c>
      <c r="F34" s="136" t="s">
        <v>703</v>
      </c>
    </row>
    <row r="35" spans="1:6" x14ac:dyDescent="0.35">
      <c r="A35" s="135">
        <v>45605</v>
      </c>
      <c r="B35" s="136" t="s">
        <v>806</v>
      </c>
      <c r="C35" s="136" t="s">
        <v>703</v>
      </c>
      <c r="D35" s="137">
        <v>10000</v>
      </c>
      <c r="E35" s="137">
        <v>325000</v>
      </c>
      <c r="F35" s="136" t="s">
        <v>703</v>
      </c>
    </row>
    <row r="36" spans="1:6" ht="28" x14ac:dyDescent="0.35">
      <c r="A36" s="135">
        <v>45606</v>
      </c>
      <c r="B36" s="136" t="s">
        <v>807</v>
      </c>
      <c r="C36" s="136" t="s">
        <v>703</v>
      </c>
      <c r="D36" s="137">
        <v>10000</v>
      </c>
      <c r="E36" s="137">
        <v>315000</v>
      </c>
      <c r="F36" s="136" t="s">
        <v>703</v>
      </c>
    </row>
    <row r="37" spans="1:6" ht="28" x14ac:dyDescent="0.35">
      <c r="A37" s="136" t="s">
        <v>808</v>
      </c>
      <c r="B37" s="56">
        <v>217</v>
      </c>
      <c r="D37" s="137">
        <v>10000</v>
      </c>
      <c r="E37" s="137">
        <v>305000</v>
      </c>
    </row>
    <row r="38" spans="1:6" ht="28" x14ac:dyDescent="0.35">
      <c r="A38" s="136" t="s">
        <v>809</v>
      </c>
      <c r="B38" s="56">
        <v>230</v>
      </c>
      <c r="D38" s="137">
        <v>10000</v>
      </c>
      <c r="E38" s="137">
        <v>295000</v>
      </c>
    </row>
    <row r="39" spans="1:6" ht="28" x14ac:dyDescent="0.35">
      <c r="A39" s="136" t="s">
        <v>810</v>
      </c>
      <c r="B39" s="56">
        <v>355</v>
      </c>
      <c r="D39" s="137">
        <v>10000</v>
      </c>
      <c r="E39" s="137">
        <v>285000</v>
      </c>
    </row>
    <row r="40" spans="1:6" ht="28" x14ac:dyDescent="0.35">
      <c r="A40" s="136" t="s">
        <v>811</v>
      </c>
      <c r="B40" s="56">
        <v>289</v>
      </c>
      <c r="D40" s="137">
        <v>10000</v>
      </c>
      <c r="E40" s="137">
        <v>275000</v>
      </c>
    </row>
    <row r="41" spans="1:6" ht="28" x14ac:dyDescent="0.35">
      <c r="A41" s="136" t="s">
        <v>812</v>
      </c>
      <c r="B41" s="56">
        <v>702</v>
      </c>
      <c r="D41" s="137">
        <v>20000</v>
      </c>
      <c r="E41" s="137">
        <v>255000</v>
      </c>
    </row>
    <row r="42" spans="1:6" ht="28" x14ac:dyDescent="0.35">
      <c r="A42" s="136" t="s">
        <v>813</v>
      </c>
      <c r="B42" s="56">
        <v>754</v>
      </c>
      <c r="D42" s="137">
        <v>10000</v>
      </c>
      <c r="E42" s="137">
        <v>245000</v>
      </c>
    </row>
    <row r="43" spans="1:6" x14ac:dyDescent="0.35">
      <c r="A43" s="138">
        <v>45999</v>
      </c>
      <c r="B43" s="56">
        <v>3948</v>
      </c>
      <c r="D43" s="55">
        <v>10000</v>
      </c>
      <c r="E43" s="55">
        <f t="shared" ref="E43:E56" si="2">E42-D43</f>
        <v>235000</v>
      </c>
    </row>
    <row r="44" spans="1:6" x14ac:dyDescent="0.35">
      <c r="A44" s="56" t="s">
        <v>814</v>
      </c>
      <c r="B44" s="56">
        <v>3512</v>
      </c>
      <c r="D44" s="55">
        <v>10000</v>
      </c>
      <c r="E44" s="55">
        <f t="shared" si="2"/>
        <v>225000</v>
      </c>
    </row>
    <row r="45" spans="1:6" x14ac:dyDescent="0.35">
      <c r="A45" s="138">
        <v>45940</v>
      </c>
      <c r="B45" s="56">
        <v>3283</v>
      </c>
      <c r="D45" s="55">
        <v>10000</v>
      </c>
      <c r="E45" s="55">
        <f t="shared" si="2"/>
        <v>215000</v>
      </c>
    </row>
    <row r="46" spans="1:6" x14ac:dyDescent="0.35">
      <c r="A46" s="138">
        <v>45941</v>
      </c>
      <c r="B46" s="56">
        <v>3681</v>
      </c>
      <c r="D46" s="55">
        <v>10000</v>
      </c>
      <c r="E46" s="55">
        <f t="shared" si="2"/>
        <v>205000</v>
      </c>
    </row>
    <row r="47" spans="1:6" x14ac:dyDescent="0.35">
      <c r="A47" s="138">
        <v>45942</v>
      </c>
      <c r="B47" s="56">
        <v>5045</v>
      </c>
      <c r="D47" s="55">
        <v>10000</v>
      </c>
      <c r="E47" s="55">
        <f t="shared" si="2"/>
        <v>195000</v>
      </c>
    </row>
    <row r="48" spans="1:6" x14ac:dyDescent="0.35">
      <c r="A48" s="138">
        <v>46296</v>
      </c>
      <c r="B48" s="56">
        <v>5244</v>
      </c>
      <c r="D48" s="55">
        <v>10000</v>
      </c>
      <c r="E48" s="55">
        <f t="shared" si="2"/>
        <v>185000</v>
      </c>
    </row>
    <row r="49" spans="1:5" x14ac:dyDescent="0.35">
      <c r="A49" s="138">
        <v>46267</v>
      </c>
      <c r="B49" s="56">
        <v>5469</v>
      </c>
      <c r="D49" s="55">
        <v>10000</v>
      </c>
      <c r="E49" s="55">
        <f t="shared" si="2"/>
        <v>175000</v>
      </c>
    </row>
    <row r="50" spans="1:5" x14ac:dyDescent="0.35">
      <c r="A50" s="56" t="s">
        <v>815</v>
      </c>
      <c r="B50" s="56">
        <v>5712</v>
      </c>
      <c r="D50" s="55">
        <v>10000</v>
      </c>
      <c r="E50" s="55">
        <f t="shared" si="2"/>
        <v>165000</v>
      </c>
    </row>
    <row r="51" spans="1:5" x14ac:dyDescent="0.35">
      <c r="A51" s="138">
        <v>46207</v>
      </c>
      <c r="B51" s="56">
        <v>5876</v>
      </c>
      <c r="D51" s="55">
        <v>10000</v>
      </c>
      <c r="E51" s="55">
        <f t="shared" si="2"/>
        <v>155000</v>
      </c>
    </row>
    <row r="52" spans="1:5" x14ac:dyDescent="0.35">
      <c r="A52" s="138">
        <v>46240</v>
      </c>
      <c r="B52" s="56">
        <v>1603</v>
      </c>
      <c r="D52" s="55">
        <v>20000</v>
      </c>
      <c r="E52" s="55">
        <f t="shared" si="2"/>
        <v>135000</v>
      </c>
    </row>
    <row r="53" spans="1:5" x14ac:dyDescent="0.35">
      <c r="A53" s="138">
        <v>46241</v>
      </c>
      <c r="B53" s="56">
        <v>1787</v>
      </c>
      <c r="D53" s="55">
        <v>10000</v>
      </c>
      <c r="E53" s="55">
        <f t="shared" si="2"/>
        <v>125000</v>
      </c>
    </row>
    <row r="54" spans="1:5" x14ac:dyDescent="0.35">
      <c r="A54" s="138">
        <v>46303</v>
      </c>
      <c r="B54" s="56">
        <v>3760</v>
      </c>
      <c r="D54" s="55">
        <v>10000</v>
      </c>
      <c r="E54" s="55">
        <f t="shared" si="2"/>
        <v>115000</v>
      </c>
    </row>
    <row r="55" spans="1:5" x14ac:dyDescent="0.35">
      <c r="A55" s="138">
        <v>46304</v>
      </c>
      <c r="B55" s="56">
        <v>2044</v>
      </c>
      <c r="D55" s="55">
        <v>10000</v>
      </c>
      <c r="E55" s="55">
        <f t="shared" si="2"/>
        <v>105000</v>
      </c>
    </row>
    <row r="56" spans="1:5" x14ac:dyDescent="0.35">
      <c r="A56" s="138">
        <v>46122</v>
      </c>
      <c r="B56" s="56">
        <v>2140</v>
      </c>
      <c r="D56" s="55">
        <v>10000</v>
      </c>
      <c r="E56" s="55">
        <f t="shared" si="2"/>
        <v>95000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B9" sqref="B9"/>
    </sheetView>
  </sheetViews>
  <sheetFormatPr defaultRowHeight="14.5" x14ac:dyDescent="0.35"/>
  <cols>
    <col min="1" max="1" width="16" customWidth="1"/>
    <col min="2" max="2" width="22.26953125" customWidth="1"/>
    <col min="3" max="4" width="12.6328125" customWidth="1"/>
    <col min="5" max="5" width="12.7265625" customWidth="1"/>
    <col min="6" max="7" width="11.7265625" customWidth="1"/>
  </cols>
  <sheetData>
    <row r="1" spans="1:7" ht="18.5" x14ac:dyDescent="0.45">
      <c r="A1" s="1" t="s">
        <v>680</v>
      </c>
      <c r="B1" s="108" t="s">
        <v>681</v>
      </c>
      <c r="C1" s="108"/>
      <c r="D1" s="108"/>
      <c r="E1" s="108"/>
      <c r="F1" s="108"/>
      <c r="G1" s="100"/>
    </row>
    <row r="2" spans="1:7" ht="18.5" x14ac:dyDescent="0.45">
      <c r="A2" s="1" t="s">
        <v>682</v>
      </c>
      <c r="B2" s="108" t="s">
        <v>683</v>
      </c>
      <c r="C2" s="108"/>
      <c r="D2" s="108"/>
      <c r="E2" s="108"/>
      <c r="F2" s="108"/>
      <c r="G2" s="100"/>
    </row>
    <row r="3" spans="1:7" ht="18.5" x14ac:dyDescent="0.45">
      <c r="A3" s="1" t="s">
        <v>361</v>
      </c>
      <c r="B3" s="108" t="s">
        <v>684</v>
      </c>
      <c r="C3" s="108"/>
      <c r="D3" s="108"/>
      <c r="E3" s="108"/>
      <c r="F3" s="108"/>
      <c r="G3" s="100"/>
    </row>
    <row r="4" spans="1:7" ht="18.5" x14ac:dyDescent="0.45">
      <c r="A4" s="1" t="s">
        <v>689</v>
      </c>
      <c r="B4" s="108">
        <v>3198540780</v>
      </c>
      <c r="C4" s="108"/>
      <c r="D4" s="108"/>
      <c r="E4" s="108"/>
      <c r="F4" s="108"/>
      <c r="G4" s="100"/>
    </row>
    <row r="5" spans="1:7" ht="18.5" x14ac:dyDescent="0.45">
      <c r="A5" s="1" t="s">
        <v>687</v>
      </c>
      <c r="B5" s="108" t="s">
        <v>688</v>
      </c>
      <c r="C5" s="108"/>
      <c r="D5" s="108" t="s">
        <v>685</v>
      </c>
      <c r="E5" s="108"/>
      <c r="F5" s="108"/>
      <c r="G5" s="100"/>
    </row>
    <row r="6" spans="1:7" ht="16" customHeight="1" x14ac:dyDescent="0.35">
      <c r="B6" s="100"/>
      <c r="C6" s="100"/>
      <c r="D6" s="100"/>
      <c r="E6" s="100"/>
      <c r="F6" s="100"/>
      <c r="G6" s="100"/>
    </row>
    <row r="7" spans="1:7" x14ac:dyDescent="0.35">
      <c r="A7" s="109" t="s">
        <v>6</v>
      </c>
      <c r="B7" s="110" t="s">
        <v>7</v>
      </c>
      <c r="C7" s="110" t="s">
        <v>8</v>
      </c>
      <c r="D7" s="111" t="s">
        <v>9</v>
      </c>
      <c r="E7" s="111" t="s">
        <v>10</v>
      </c>
      <c r="F7" s="112" t="s">
        <v>11</v>
      </c>
      <c r="G7" s="113"/>
    </row>
    <row r="8" spans="1:7" x14ac:dyDescent="0.35">
      <c r="A8" s="106">
        <v>46062</v>
      </c>
      <c r="B8" s="100">
        <v>870</v>
      </c>
      <c r="C8" s="100" t="s">
        <v>686</v>
      </c>
      <c r="D8" s="105">
        <v>5000</v>
      </c>
      <c r="E8" s="105">
        <v>5000</v>
      </c>
      <c r="F8" s="105">
        <v>795000</v>
      </c>
      <c r="G8" s="100"/>
    </row>
    <row r="9" spans="1:7" x14ac:dyDescent="0.35">
      <c r="A9" s="106">
        <v>44721</v>
      </c>
      <c r="B9" s="100">
        <v>1912</v>
      </c>
      <c r="C9" s="100" t="s">
        <v>46</v>
      </c>
      <c r="D9" s="105">
        <v>145000</v>
      </c>
      <c r="E9" s="105">
        <f>E8+D9</f>
        <v>150000</v>
      </c>
      <c r="F9" s="105">
        <f>F8-D9</f>
        <v>650000</v>
      </c>
      <c r="G9" s="100"/>
    </row>
    <row r="10" spans="1:7" x14ac:dyDescent="0.35">
      <c r="A10" s="100"/>
      <c r="B10" s="100"/>
      <c r="C10" s="100"/>
      <c r="D10" s="100"/>
      <c r="E10" s="100"/>
      <c r="F10" s="100"/>
      <c r="G10" s="10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zoomScale="115" zoomScaleNormal="115" workbookViewId="0">
      <selection sqref="A1:G9"/>
    </sheetView>
  </sheetViews>
  <sheetFormatPr defaultRowHeight="14.5" x14ac:dyDescent="0.35"/>
  <cols>
    <col min="1" max="1" width="10.90625" customWidth="1"/>
    <col min="3" max="3" width="13" customWidth="1"/>
    <col min="6" max="6" width="11.36328125" customWidth="1"/>
  </cols>
  <sheetData>
    <row r="1" spans="1:6" ht="18.5" x14ac:dyDescent="0.45">
      <c r="A1" s="1" t="s">
        <v>382</v>
      </c>
      <c r="B1" s="1"/>
      <c r="C1" s="1"/>
      <c r="D1" s="1"/>
      <c r="E1" s="1"/>
      <c r="F1" s="1"/>
    </row>
    <row r="2" spans="1:6" ht="18.5" x14ac:dyDescent="0.45">
      <c r="A2" s="1" t="s">
        <v>383</v>
      </c>
      <c r="C2" s="1"/>
      <c r="D2" s="1"/>
      <c r="E2" s="1"/>
      <c r="F2" s="1"/>
    </row>
    <row r="3" spans="1:6" ht="18.5" x14ac:dyDescent="0.45">
      <c r="A3" s="1" t="s">
        <v>384</v>
      </c>
      <c r="B3" s="1"/>
      <c r="C3" s="1"/>
      <c r="D3" s="1"/>
      <c r="E3" s="1"/>
      <c r="F3" s="1"/>
    </row>
    <row r="4" spans="1:6" ht="18.5" x14ac:dyDescent="0.45">
      <c r="A4" s="1" t="s">
        <v>387</v>
      </c>
      <c r="B4" s="1"/>
      <c r="C4" s="1"/>
      <c r="D4" s="1"/>
      <c r="E4" s="1"/>
      <c r="F4" s="1"/>
    </row>
    <row r="5" spans="1:6" ht="18.5" x14ac:dyDescent="0.45">
      <c r="A5" s="1" t="s">
        <v>385</v>
      </c>
      <c r="B5" s="1"/>
      <c r="C5" s="1"/>
      <c r="D5" s="1"/>
      <c r="E5" s="1"/>
      <c r="F5" s="1"/>
    </row>
    <row r="6" spans="1:6" ht="18.5" x14ac:dyDescent="0.45">
      <c r="A6" s="1" t="s">
        <v>386</v>
      </c>
      <c r="B6" s="1"/>
      <c r="C6" s="1"/>
      <c r="D6" s="1" t="s">
        <v>264</v>
      </c>
      <c r="E6" s="1"/>
      <c r="F6" s="1"/>
    </row>
    <row r="7" spans="1:6" x14ac:dyDescent="0.35">
      <c r="A7" s="31" t="s">
        <v>6</v>
      </c>
      <c r="B7" s="32" t="s">
        <v>7</v>
      </c>
      <c r="C7" s="32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t="s">
        <v>388</v>
      </c>
      <c r="B8">
        <v>4571</v>
      </c>
      <c r="C8" t="s">
        <v>394</v>
      </c>
      <c r="D8" s="11">
        <v>20000</v>
      </c>
      <c r="E8" s="11">
        <v>20000</v>
      </c>
      <c r="F8" s="11">
        <v>300000</v>
      </c>
    </row>
    <row r="9" spans="1:6" x14ac:dyDescent="0.35">
      <c r="A9" s="9">
        <v>44721</v>
      </c>
      <c r="B9">
        <v>287</v>
      </c>
      <c r="C9" t="s">
        <v>394</v>
      </c>
      <c r="D9" s="11">
        <v>10000</v>
      </c>
      <c r="E9" s="11">
        <f>E8+D9</f>
        <v>30000</v>
      </c>
      <c r="F9" s="11">
        <f>F8-D9</f>
        <v>290000</v>
      </c>
    </row>
    <row r="10" spans="1:6" x14ac:dyDescent="0.35">
      <c r="A10" t="s">
        <v>389</v>
      </c>
      <c r="B10">
        <v>2490</v>
      </c>
      <c r="C10" t="s">
        <v>14</v>
      </c>
      <c r="D10" s="11">
        <v>20000</v>
      </c>
      <c r="E10" s="11">
        <f t="shared" ref="E10:E30" si="0">E9+D10</f>
        <v>50000</v>
      </c>
      <c r="F10" s="11">
        <f t="shared" ref="F10:F30" si="1">F9-D10</f>
        <v>270000</v>
      </c>
    </row>
    <row r="11" spans="1:6" x14ac:dyDescent="0.35">
      <c r="A11" t="s">
        <v>390</v>
      </c>
      <c r="B11">
        <v>2491</v>
      </c>
      <c r="C11" t="s">
        <v>395</v>
      </c>
      <c r="D11" s="11">
        <v>20000</v>
      </c>
      <c r="E11" s="11">
        <f t="shared" si="0"/>
        <v>70000</v>
      </c>
      <c r="F11" s="11">
        <f t="shared" si="1"/>
        <v>250000</v>
      </c>
    </row>
    <row r="12" spans="1:6" x14ac:dyDescent="0.35">
      <c r="A12" s="9">
        <v>45112</v>
      </c>
      <c r="B12">
        <v>708</v>
      </c>
      <c r="C12" t="s">
        <v>395</v>
      </c>
      <c r="D12" s="11">
        <v>30000</v>
      </c>
      <c r="E12" s="11">
        <f t="shared" si="0"/>
        <v>100000</v>
      </c>
      <c r="F12" s="11">
        <f t="shared" si="1"/>
        <v>220000</v>
      </c>
    </row>
    <row r="13" spans="1:6" x14ac:dyDescent="0.35">
      <c r="A13" t="s">
        <v>391</v>
      </c>
      <c r="B13">
        <v>2933</v>
      </c>
      <c r="C13" t="s">
        <v>395</v>
      </c>
      <c r="D13" s="11">
        <v>20000</v>
      </c>
      <c r="E13" s="11">
        <f t="shared" si="0"/>
        <v>120000</v>
      </c>
      <c r="F13" s="11">
        <f t="shared" si="1"/>
        <v>200000</v>
      </c>
    </row>
    <row r="14" spans="1:6" x14ac:dyDescent="0.35">
      <c r="A14" t="s">
        <v>392</v>
      </c>
      <c r="B14">
        <v>3296</v>
      </c>
      <c r="C14" t="s">
        <v>395</v>
      </c>
      <c r="D14" s="11">
        <v>10000</v>
      </c>
      <c r="E14" s="11">
        <f t="shared" si="0"/>
        <v>130000</v>
      </c>
      <c r="F14" s="11">
        <f t="shared" si="1"/>
        <v>190000</v>
      </c>
    </row>
    <row r="15" spans="1:6" x14ac:dyDescent="0.35">
      <c r="A15" s="9">
        <v>44936</v>
      </c>
      <c r="B15">
        <v>3874</v>
      </c>
      <c r="C15" t="s">
        <v>395</v>
      </c>
      <c r="D15" s="11">
        <v>10000</v>
      </c>
      <c r="E15" s="11">
        <f t="shared" si="0"/>
        <v>140000</v>
      </c>
      <c r="F15" s="11">
        <f t="shared" si="1"/>
        <v>180000</v>
      </c>
    </row>
    <row r="16" spans="1:6" x14ac:dyDescent="0.35">
      <c r="A16" t="s">
        <v>393</v>
      </c>
      <c r="B16">
        <v>5201</v>
      </c>
      <c r="C16" t="s">
        <v>395</v>
      </c>
      <c r="D16" s="11">
        <v>20000</v>
      </c>
      <c r="E16" s="11">
        <f t="shared" si="0"/>
        <v>160000</v>
      </c>
      <c r="F16" s="11">
        <f t="shared" si="1"/>
        <v>160000</v>
      </c>
    </row>
    <row r="17" spans="1:6" x14ac:dyDescent="0.35">
      <c r="A17" s="9">
        <v>45566</v>
      </c>
      <c r="B17">
        <v>6062</v>
      </c>
      <c r="C17" t="s">
        <v>395</v>
      </c>
      <c r="D17" s="11">
        <v>20000</v>
      </c>
      <c r="E17" s="11">
        <f t="shared" si="0"/>
        <v>180000</v>
      </c>
      <c r="F17" s="11">
        <f t="shared" si="1"/>
        <v>140000</v>
      </c>
    </row>
    <row r="18" spans="1:6" x14ac:dyDescent="0.35">
      <c r="A18" s="9">
        <v>45628</v>
      </c>
      <c r="B18">
        <v>7114</v>
      </c>
      <c r="C18" t="s">
        <v>395</v>
      </c>
      <c r="D18" s="11">
        <v>10000</v>
      </c>
      <c r="E18" s="11">
        <f t="shared" si="0"/>
        <v>190000</v>
      </c>
      <c r="F18" s="11">
        <f t="shared" si="1"/>
        <v>130000</v>
      </c>
    </row>
    <row r="19" spans="1:6" x14ac:dyDescent="0.35">
      <c r="A19" s="9">
        <v>45354</v>
      </c>
      <c r="B19">
        <v>6871</v>
      </c>
      <c r="C19" t="s">
        <v>395</v>
      </c>
      <c r="D19" s="11">
        <v>10000</v>
      </c>
      <c r="E19" s="11">
        <f t="shared" si="0"/>
        <v>200000</v>
      </c>
      <c r="F19" s="11">
        <f t="shared" si="1"/>
        <v>120000</v>
      </c>
    </row>
    <row r="20" spans="1:6" x14ac:dyDescent="0.35">
      <c r="A20" t="s">
        <v>396</v>
      </c>
      <c r="B20">
        <v>8097</v>
      </c>
      <c r="C20" t="s">
        <v>395</v>
      </c>
      <c r="D20" s="11">
        <v>10000</v>
      </c>
      <c r="E20" s="11">
        <f t="shared" si="0"/>
        <v>210000</v>
      </c>
      <c r="F20" s="11">
        <f t="shared" si="1"/>
        <v>110000</v>
      </c>
    </row>
    <row r="21" spans="1:6" x14ac:dyDescent="0.35">
      <c r="A21" s="9">
        <v>45631</v>
      </c>
      <c r="B21">
        <v>8425</v>
      </c>
      <c r="C21" t="s">
        <v>395</v>
      </c>
      <c r="D21" s="11">
        <v>10000</v>
      </c>
      <c r="E21" s="11">
        <f t="shared" si="0"/>
        <v>220000</v>
      </c>
      <c r="F21" s="11">
        <f t="shared" si="1"/>
        <v>100000</v>
      </c>
    </row>
    <row r="22" spans="1:6" x14ac:dyDescent="0.35">
      <c r="A22" t="s">
        <v>397</v>
      </c>
      <c r="B22">
        <v>9775</v>
      </c>
      <c r="C22" t="s">
        <v>395</v>
      </c>
      <c r="D22" s="11">
        <v>10000</v>
      </c>
      <c r="E22" s="11">
        <f t="shared" si="0"/>
        <v>230000</v>
      </c>
      <c r="F22" s="11">
        <f t="shared" si="1"/>
        <v>90000</v>
      </c>
    </row>
    <row r="23" spans="1:6" x14ac:dyDescent="0.35">
      <c r="A23" t="s">
        <v>56</v>
      </c>
      <c r="B23">
        <v>9776</v>
      </c>
      <c r="C23" t="s">
        <v>395</v>
      </c>
      <c r="D23" s="11">
        <v>10000</v>
      </c>
      <c r="E23" s="11">
        <f t="shared" si="0"/>
        <v>240000</v>
      </c>
      <c r="F23" s="11">
        <f t="shared" si="1"/>
        <v>80000</v>
      </c>
    </row>
    <row r="24" spans="1:6" x14ac:dyDescent="0.35">
      <c r="A24" t="s">
        <v>297</v>
      </c>
      <c r="B24">
        <v>188</v>
      </c>
      <c r="C24" t="s">
        <v>395</v>
      </c>
      <c r="D24" s="11">
        <v>10000</v>
      </c>
      <c r="E24" s="11">
        <f t="shared" si="0"/>
        <v>250000</v>
      </c>
      <c r="F24" s="11">
        <f t="shared" si="1"/>
        <v>70000</v>
      </c>
    </row>
    <row r="25" spans="1:6" x14ac:dyDescent="0.35">
      <c r="A25" t="s">
        <v>108</v>
      </c>
      <c r="B25">
        <v>10120</v>
      </c>
      <c r="C25" t="s">
        <v>395</v>
      </c>
      <c r="D25" s="11">
        <v>20000</v>
      </c>
      <c r="E25" s="11">
        <f t="shared" si="0"/>
        <v>270000</v>
      </c>
      <c r="F25" s="11">
        <f t="shared" si="1"/>
        <v>50000</v>
      </c>
    </row>
    <row r="26" spans="1:6" x14ac:dyDescent="0.35">
      <c r="A26" t="s">
        <v>398</v>
      </c>
      <c r="B26">
        <v>12418</v>
      </c>
      <c r="C26" t="s">
        <v>395</v>
      </c>
      <c r="D26" s="11">
        <v>10000</v>
      </c>
      <c r="E26" s="11">
        <f t="shared" si="0"/>
        <v>280000</v>
      </c>
      <c r="F26" s="11">
        <f t="shared" si="1"/>
        <v>40000</v>
      </c>
    </row>
    <row r="27" spans="1:6" x14ac:dyDescent="0.35">
      <c r="A27" t="s">
        <v>302</v>
      </c>
      <c r="B27">
        <v>12176</v>
      </c>
      <c r="C27" t="s">
        <v>395</v>
      </c>
      <c r="D27" s="11">
        <v>10000</v>
      </c>
      <c r="E27" s="11">
        <f t="shared" si="0"/>
        <v>290000</v>
      </c>
      <c r="F27" s="11">
        <f t="shared" si="1"/>
        <v>30000</v>
      </c>
    </row>
    <row r="28" spans="1:6" x14ac:dyDescent="0.35">
      <c r="A28" t="s">
        <v>63</v>
      </c>
      <c r="B28">
        <v>9111</v>
      </c>
      <c r="C28" t="s">
        <v>395</v>
      </c>
      <c r="D28" s="11">
        <v>10000</v>
      </c>
      <c r="E28" s="11">
        <f t="shared" si="0"/>
        <v>300000</v>
      </c>
      <c r="F28" s="11">
        <f t="shared" si="1"/>
        <v>20000</v>
      </c>
    </row>
    <row r="29" spans="1:6" x14ac:dyDescent="0.35">
      <c r="A29" t="s">
        <v>113</v>
      </c>
      <c r="B29">
        <v>9490</v>
      </c>
      <c r="C29" t="s">
        <v>395</v>
      </c>
      <c r="D29" s="11">
        <v>10000</v>
      </c>
      <c r="E29" s="11">
        <f t="shared" si="0"/>
        <v>310000</v>
      </c>
      <c r="F29" s="11">
        <f t="shared" si="1"/>
        <v>10000</v>
      </c>
    </row>
    <row r="30" spans="1:6" x14ac:dyDescent="0.35">
      <c r="A30" t="s">
        <v>399</v>
      </c>
      <c r="B30">
        <v>3170</v>
      </c>
      <c r="C30" t="s">
        <v>395</v>
      </c>
      <c r="D30" s="11">
        <v>10000</v>
      </c>
      <c r="E30" s="11">
        <f t="shared" si="0"/>
        <v>320000</v>
      </c>
      <c r="F30" s="11">
        <f t="shared" si="1"/>
        <v>0</v>
      </c>
    </row>
    <row r="32" spans="1:6" x14ac:dyDescent="0.35">
      <c r="A32" t="s">
        <v>400</v>
      </c>
      <c r="B32">
        <v>1470</v>
      </c>
      <c r="C32" t="s">
        <v>151</v>
      </c>
      <c r="D32" s="11">
        <v>10000</v>
      </c>
      <c r="E32" s="11">
        <v>190000</v>
      </c>
    </row>
    <row r="33" spans="1:6" x14ac:dyDescent="0.35">
      <c r="A33" t="s">
        <v>400</v>
      </c>
      <c r="B33">
        <v>1472</v>
      </c>
      <c r="C33" t="s">
        <v>151</v>
      </c>
      <c r="D33" s="11">
        <v>190000</v>
      </c>
      <c r="E33" t="s">
        <v>257</v>
      </c>
    </row>
    <row r="35" spans="1:6" ht="21" x14ac:dyDescent="0.5">
      <c r="A35" s="53" t="s">
        <v>401</v>
      </c>
      <c r="B35" s="53"/>
      <c r="C35" s="53"/>
      <c r="D35" s="53"/>
      <c r="E35" s="53"/>
      <c r="F35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29" workbookViewId="0">
      <selection activeCell="A31" sqref="A31:G47"/>
    </sheetView>
  </sheetViews>
  <sheetFormatPr defaultRowHeight="14.5" x14ac:dyDescent="0.35"/>
  <cols>
    <col min="1" max="1" width="10.81640625" customWidth="1"/>
    <col min="3" max="3" width="14.26953125" customWidth="1"/>
    <col min="4" max="4" width="11.26953125" customWidth="1"/>
    <col min="6" max="6" width="11.6328125" customWidth="1"/>
  </cols>
  <sheetData>
    <row r="1" spans="1:6" ht="18.5" x14ac:dyDescent="0.45">
      <c r="A1" s="1" t="s">
        <v>402</v>
      </c>
      <c r="B1" s="1"/>
      <c r="C1" s="1"/>
      <c r="D1" s="1"/>
      <c r="E1" s="1"/>
      <c r="F1" s="1"/>
    </row>
    <row r="2" spans="1:6" ht="18.5" x14ac:dyDescent="0.45">
      <c r="A2" s="1" t="s">
        <v>403</v>
      </c>
      <c r="C2" s="1"/>
      <c r="D2" s="1"/>
      <c r="E2" s="1"/>
      <c r="F2" s="1"/>
    </row>
    <row r="3" spans="1:6" ht="18.5" x14ac:dyDescent="0.45">
      <c r="A3" s="1" t="s">
        <v>404</v>
      </c>
      <c r="B3" s="1"/>
      <c r="C3" s="1"/>
      <c r="D3" s="1"/>
      <c r="E3" s="1"/>
      <c r="F3" s="1"/>
    </row>
    <row r="4" spans="1:6" ht="18.5" x14ac:dyDescent="0.45">
      <c r="A4" s="1" t="s">
        <v>408</v>
      </c>
      <c r="B4" s="1"/>
      <c r="C4" s="1"/>
      <c r="D4" s="1"/>
      <c r="E4" s="1"/>
      <c r="F4" s="1"/>
    </row>
    <row r="5" spans="1:6" ht="18.5" x14ac:dyDescent="0.45">
      <c r="A5" s="1" t="s">
        <v>405</v>
      </c>
      <c r="B5" s="1"/>
      <c r="C5" s="1"/>
      <c r="D5" s="1"/>
      <c r="E5" s="1"/>
      <c r="F5" s="1"/>
    </row>
    <row r="6" spans="1:6" ht="18.5" x14ac:dyDescent="0.45">
      <c r="A6" s="1" t="s">
        <v>406</v>
      </c>
      <c r="B6" s="1"/>
      <c r="C6" s="1"/>
      <c r="D6" s="1" t="s">
        <v>407</v>
      </c>
      <c r="E6" s="1"/>
      <c r="F6" s="1"/>
    </row>
    <row r="7" spans="1:6" x14ac:dyDescent="0.35">
      <c r="A7" s="31" t="s">
        <v>6</v>
      </c>
      <c r="B7" s="32" t="s">
        <v>7</v>
      </c>
      <c r="C7" s="32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t="s">
        <v>409</v>
      </c>
      <c r="B8">
        <v>1124</v>
      </c>
      <c r="C8" t="s">
        <v>16</v>
      </c>
      <c r="D8" s="11">
        <v>10000</v>
      </c>
      <c r="E8" s="11">
        <v>10000</v>
      </c>
      <c r="F8" s="11">
        <v>290000</v>
      </c>
    </row>
    <row r="9" spans="1:6" x14ac:dyDescent="0.35">
      <c r="A9" t="s">
        <v>410</v>
      </c>
      <c r="B9">
        <v>1245</v>
      </c>
      <c r="C9" t="s">
        <v>14</v>
      </c>
      <c r="F9" s="11">
        <v>260000</v>
      </c>
    </row>
    <row r="10" spans="1:6" x14ac:dyDescent="0.35">
      <c r="A10" t="s">
        <v>411</v>
      </c>
      <c r="B10">
        <v>1215</v>
      </c>
      <c r="C10" t="s">
        <v>16</v>
      </c>
      <c r="D10" s="11">
        <v>10000</v>
      </c>
      <c r="E10" s="11">
        <v>20000</v>
      </c>
      <c r="F10" s="11">
        <v>250000</v>
      </c>
    </row>
    <row r="11" spans="1:6" x14ac:dyDescent="0.35">
      <c r="A11" s="9">
        <v>44875</v>
      </c>
      <c r="B11">
        <v>1993</v>
      </c>
      <c r="C11" t="s">
        <v>14</v>
      </c>
      <c r="D11" s="11">
        <v>30000</v>
      </c>
      <c r="E11" s="11">
        <f>E10+D11</f>
        <v>50000</v>
      </c>
      <c r="F11" s="11">
        <f>F10-D11</f>
        <v>220000</v>
      </c>
    </row>
    <row r="12" spans="1:6" x14ac:dyDescent="0.35">
      <c r="A12" t="s">
        <v>412</v>
      </c>
      <c r="B12">
        <v>1994</v>
      </c>
      <c r="C12" t="s">
        <v>16</v>
      </c>
      <c r="D12" s="11">
        <v>30000</v>
      </c>
      <c r="E12" s="11">
        <f t="shared" ref="E12:E29" si="0">E11+D12</f>
        <v>80000</v>
      </c>
      <c r="F12" s="11">
        <f t="shared" ref="F12:F29" si="1">F11-D12</f>
        <v>190000</v>
      </c>
    </row>
    <row r="13" spans="1:6" x14ac:dyDescent="0.35">
      <c r="A13" t="s">
        <v>413</v>
      </c>
      <c r="B13">
        <v>609</v>
      </c>
      <c r="C13" t="s">
        <v>16</v>
      </c>
      <c r="D13" s="11">
        <v>10000</v>
      </c>
      <c r="E13" s="11">
        <f t="shared" si="0"/>
        <v>90000</v>
      </c>
      <c r="F13" s="11">
        <f t="shared" si="1"/>
        <v>180000</v>
      </c>
    </row>
    <row r="14" spans="1:6" x14ac:dyDescent="0.35">
      <c r="A14" t="s">
        <v>162</v>
      </c>
      <c r="B14">
        <v>2895</v>
      </c>
      <c r="C14" t="s">
        <v>16</v>
      </c>
      <c r="D14" s="11">
        <v>10000</v>
      </c>
      <c r="E14" s="11">
        <f t="shared" si="0"/>
        <v>100000</v>
      </c>
      <c r="F14" s="11">
        <f t="shared" si="1"/>
        <v>170000</v>
      </c>
    </row>
    <row r="15" spans="1:6" x14ac:dyDescent="0.35">
      <c r="A15" t="s">
        <v>414</v>
      </c>
      <c r="B15">
        <v>525</v>
      </c>
      <c r="C15" t="s">
        <v>16</v>
      </c>
      <c r="D15" s="11">
        <v>10000</v>
      </c>
      <c r="E15" s="11">
        <f t="shared" si="0"/>
        <v>110000</v>
      </c>
      <c r="F15" s="11">
        <f t="shared" si="1"/>
        <v>160000</v>
      </c>
    </row>
    <row r="16" spans="1:6" x14ac:dyDescent="0.35">
      <c r="A16" t="s">
        <v>415</v>
      </c>
      <c r="B16">
        <v>178</v>
      </c>
      <c r="C16" t="s">
        <v>16</v>
      </c>
      <c r="D16" s="11">
        <v>10000</v>
      </c>
      <c r="E16" s="11">
        <f t="shared" si="0"/>
        <v>120000</v>
      </c>
      <c r="F16" s="11">
        <f t="shared" si="1"/>
        <v>150000</v>
      </c>
    </row>
    <row r="17" spans="1:6" x14ac:dyDescent="0.35">
      <c r="A17" t="s">
        <v>17</v>
      </c>
      <c r="B17">
        <v>3765</v>
      </c>
      <c r="C17" t="s">
        <v>16</v>
      </c>
      <c r="D17" s="11">
        <v>10000</v>
      </c>
      <c r="E17" s="11">
        <f t="shared" si="0"/>
        <v>130000</v>
      </c>
      <c r="F17" s="11">
        <f t="shared" si="1"/>
        <v>140000</v>
      </c>
    </row>
    <row r="18" spans="1:6" x14ac:dyDescent="0.35">
      <c r="A18" s="9">
        <v>45180</v>
      </c>
      <c r="B18">
        <v>4749</v>
      </c>
      <c r="C18" t="s">
        <v>16</v>
      </c>
      <c r="D18" s="11">
        <v>20000</v>
      </c>
      <c r="E18" s="11">
        <f t="shared" si="0"/>
        <v>150000</v>
      </c>
      <c r="F18" s="11">
        <f t="shared" si="1"/>
        <v>120000</v>
      </c>
    </row>
    <row r="19" spans="1:6" x14ac:dyDescent="0.35">
      <c r="A19" s="9">
        <v>45241</v>
      </c>
      <c r="B19">
        <v>5489</v>
      </c>
      <c r="C19" t="s">
        <v>16</v>
      </c>
      <c r="D19" s="11">
        <v>10000</v>
      </c>
      <c r="E19" s="11">
        <f t="shared" si="0"/>
        <v>160000</v>
      </c>
      <c r="F19" s="11">
        <f t="shared" si="1"/>
        <v>110000</v>
      </c>
    </row>
    <row r="20" spans="1:6" x14ac:dyDescent="0.35">
      <c r="A20" s="9">
        <v>45474</v>
      </c>
      <c r="B20">
        <v>5954</v>
      </c>
      <c r="C20" t="s">
        <v>16</v>
      </c>
      <c r="D20" s="11">
        <v>10000</v>
      </c>
      <c r="E20" s="11">
        <f t="shared" si="0"/>
        <v>170000</v>
      </c>
      <c r="F20" s="11">
        <f t="shared" si="1"/>
        <v>100000</v>
      </c>
    </row>
    <row r="21" spans="1:6" x14ac:dyDescent="0.35">
      <c r="A21" t="s">
        <v>104</v>
      </c>
      <c r="B21">
        <v>7959</v>
      </c>
      <c r="C21" t="s">
        <v>16</v>
      </c>
      <c r="D21" s="11">
        <v>10000</v>
      </c>
      <c r="E21" s="11">
        <f t="shared" si="0"/>
        <v>180000</v>
      </c>
      <c r="F21" s="11">
        <f t="shared" si="1"/>
        <v>90000</v>
      </c>
    </row>
    <row r="22" spans="1:6" x14ac:dyDescent="0.35">
      <c r="A22" s="9">
        <v>45511</v>
      </c>
      <c r="B22">
        <v>9749</v>
      </c>
      <c r="C22" t="s">
        <v>16</v>
      </c>
      <c r="D22" s="11">
        <v>20000</v>
      </c>
      <c r="E22" s="11">
        <f t="shared" si="0"/>
        <v>200000</v>
      </c>
      <c r="F22" s="11">
        <f t="shared" si="1"/>
        <v>70000</v>
      </c>
    </row>
    <row r="23" spans="1:6" x14ac:dyDescent="0.35">
      <c r="A23" t="s">
        <v>23</v>
      </c>
      <c r="B23">
        <v>7430</v>
      </c>
      <c r="C23" t="s">
        <v>16</v>
      </c>
      <c r="D23" s="11">
        <v>10000</v>
      </c>
      <c r="E23" s="11">
        <f t="shared" si="0"/>
        <v>210000</v>
      </c>
      <c r="F23" s="11">
        <f t="shared" si="1"/>
        <v>60000</v>
      </c>
    </row>
    <row r="24" spans="1:6" x14ac:dyDescent="0.35">
      <c r="A24" s="9">
        <v>45598</v>
      </c>
      <c r="B24">
        <v>7066</v>
      </c>
      <c r="C24" t="s">
        <v>16</v>
      </c>
      <c r="D24" s="11">
        <v>10000</v>
      </c>
      <c r="E24" s="11">
        <f t="shared" si="0"/>
        <v>220000</v>
      </c>
      <c r="F24" s="11">
        <f t="shared" si="1"/>
        <v>50000</v>
      </c>
    </row>
    <row r="25" spans="1:6" x14ac:dyDescent="0.35">
      <c r="A25" t="s">
        <v>416</v>
      </c>
      <c r="B25">
        <v>10358</v>
      </c>
      <c r="C25" t="s">
        <v>16</v>
      </c>
      <c r="D25" s="11">
        <v>10000</v>
      </c>
      <c r="E25" s="11">
        <f t="shared" si="0"/>
        <v>230000</v>
      </c>
      <c r="F25" s="11">
        <f t="shared" si="1"/>
        <v>40000</v>
      </c>
    </row>
    <row r="26" spans="1:6" x14ac:dyDescent="0.35">
      <c r="A26" s="9" t="s">
        <v>417</v>
      </c>
      <c r="B26">
        <v>10323</v>
      </c>
      <c r="C26" t="s">
        <v>16</v>
      </c>
      <c r="D26" s="11">
        <v>10000</v>
      </c>
      <c r="E26" s="11">
        <f t="shared" si="0"/>
        <v>240000</v>
      </c>
      <c r="F26" s="11">
        <f t="shared" si="1"/>
        <v>30000</v>
      </c>
    </row>
    <row r="27" spans="1:6" x14ac:dyDescent="0.35">
      <c r="A27" t="s">
        <v>418</v>
      </c>
      <c r="B27">
        <v>9158</v>
      </c>
      <c r="C27" t="s">
        <v>16</v>
      </c>
      <c r="D27" s="11">
        <v>10000</v>
      </c>
      <c r="E27" s="11">
        <f t="shared" si="0"/>
        <v>250000</v>
      </c>
      <c r="F27" s="11">
        <f t="shared" si="1"/>
        <v>20000</v>
      </c>
    </row>
    <row r="28" spans="1:6" x14ac:dyDescent="0.35">
      <c r="A28" s="9" t="s">
        <v>419</v>
      </c>
      <c r="B28">
        <v>8748</v>
      </c>
      <c r="C28" t="s">
        <v>16</v>
      </c>
      <c r="D28" s="11">
        <v>10000</v>
      </c>
      <c r="E28" s="11">
        <f t="shared" si="0"/>
        <v>260000</v>
      </c>
      <c r="F28" s="11">
        <f t="shared" si="1"/>
        <v>10000</v>
      </c>
    </row>
    <row r="29" spans="1:6" x14ac:dyDescent="0.35">
      <c r="A29" s="9">
        <v>45577</v>
      </c>
      <c r="B29">
        <v>12309</v>
      </c>
      <c r="C29" t="s">
        <v>16</v>
      </c>
      <c r="D29" s="11">
        <v>10000</v>
      </c>
      <c r="E29" s="11">
        <f t="shared" si="0"/>
        <v>270000</v>
      </c>
      <c r="F29" s="11">
        <f t="shared" si="1"/>
        <v>0</v>
      </c>
    </row>
    <row r="30" spans="1:6" ht="18.5" x14ac:dyDescent="0.45">
      <c r="A30" s="54" t="s">
        <v>225</v>
      </c>
      <c r="B30" s="52"/>
      <c r="C30" s="52"/>
      <c r="D30" s="52"/>
      <c r="E30" s="52"/>
      <c r="F30" s="52"/>
    </row>
    <row r="31" spans="1:6" x14ac:dyDescent="0.35">
      <c r="A31" s="9" t="s">
        <v>6</v>
      </c>
      <c r="B31" t="s">
        <v>7</v>
      </c>
      <c r="C31" t="s">
        <v>8</v>
      </c>
      <c r="D31" s="11" t="s">
        <v>9</v>
      </c>
      <c r="E31" t="s">
        <v>10</v>
      </c>
      <c r="F31" t="s">
        <v>11</v>
      </c>
    </row>
    <row r="33" spans="1:6" x14ac:dyDescent="0.35">
      <c r="A33" s="9">
        <v>45785</v>
      </c>
      <c r="B33">
        <v>12396</v>
      </c>
      <c r="C33" t="s">
        <v>459</v>
      </c>
      <c r="D33" s="11">
        <v>10000</v>
      </c>
      <c r="E33" s="11">
        <v>10000</v>
      </c>
      <c r="F33" s="11">
        <v>440000</v>
      </c>
    </row>
    <row r="34" spans="1:6" x14ac:dyDescent="0.35">
      <c r="A34" t="s">
        <v>692</v>
      </c>
      <c r="B34">
        <v>3201</v>
      </c>
      <c r="C34" t="s">
        <v>459</v>
      </c>
      <c r="D34" s="11">
        <v>5000</v>
      </c>
      <c r="E34" s="11">
        <v>15000</v>
      </c>
      <c r="F34" s="11">
        <v>435000</v>
      </c>
    </row>
    <row r="35" spans="1:6" x14ac:dyDescent="0.35">
      <c r="A35" t="s">
        <v>92</v>
      </c>
      <c r="B35">
        <v>3315</v>
      </c>
      <c r="C35" t="s">
        <v>459</v>
      </c>
      <c r="D35" s="11">
        <v>5000</v>
      </c>
      <c r="E35" s="11">
        <v>20000</v>
      </c>
      <c r="F35" s="11">
        <v>430000</v>
      </c>
    </row>
    <row r="36" spans="1:6" x14ac:dyDescent="0.35">
      <c r="A36" t="s">
        <v>693</v>
      </c>
      <c r="B36">
        <v>3842</v>
      </c>
      <c r="C36" t="s">
        <v>459</v>
      </c>
      <c r="D36" s="11">
        <v>5000</v>
      </c>
      <c r="E36" s="11">
        <v>25000</v>
      </c>
      <c r="F36" s="11">
        <v>425000</v>
      </c>
    </row>
    <row r="37" spans="1:6" x14ac:dyDescent="0.35">
      <c r="A37" s="9">
        <v>45881</v>
      </c>
      <c r="B37">
        <v>5037</v>
      </c>
      <c r="C37" t="s">
        <v>459</v>
      </c>
      <c r="D37" s="11">
        <v>5000</v>
      </c>
      <c r="E37" s="11">
        <v>30000</v>
      </c>
      <c r="F37" s="11">
        <v>420000</v>
      </c>
    </row>
    <row r="38" spans="1:6" x14ac:dyDescent="0.35">
      <c r="A38" t="s">
        <v>694</v>
      </c>
      <c r="B38">
        <v>5292</v>
      </c>
      <c r="C38" t="s">
        <v>459</v>
      </c>
      <c r="D38" s="11">
        <v>5000</v>
      </c>
      <c r="E38" s="11">
        <v>35000</v>
      </c>
      <c r="F38" s="11">
        <v>415000</v>
      </c>
    </row>
    <row r="39" spans="1:6" x14ac:dyDescent="0.35">
      <c r="A39" t="s">
        <v>695</v>
      </c>
      <c r="B39">
        <v>5519</v>
      </c>
      <c r="C39" t="s">
        <v>459</v>
      </c>
      <c r="D39" s="11">
        <v>5000</v>
      </c>
      <c r="E39" s="11">
        <v>40000</v>
      </c>
      <c r="F39" s="11">
        <v>410000</v>
      </c>
    </row>
    <row r="40" spans="1:6" x14ac:dyDescent="0.35">
      <c r="A40" s="9">
        <v>46359</v>
      </c>
      <c r="B40">
        <v>5706</v>
      </c>
      <c r="C40" t="s">
        <v>459</v>
      </c>
      <c r="D40" s="11">
        <v>5000</v>
      </c>
      <c r="E40" s="11">
        <v>45000</v>
      </c>
      <c r="F40" s="11">
        <v>405000</v>
      </c>
    </row>
    <row r="41" spans="1:6" x14ac:dyDescent="0.35">
      <c r="A41" t="s">
        <v>696</v>
      </c>
      <c r="B41">
        <v>5944</v>
      </c>
      <c r="C41" t="s">
        <v>459</v>
      </c>
      <c r="D41" s="11">
        <v>5000</v>
      </c>
      <c r="E41" s="11">
        <v>50000</v>
      </c>
      <c r="F41" s="11">
        <v>400000</v>
      </c>
    </row>
    <row r="42" spans="1:6" x14ac:dyDescent="0.35">
      <c r="A42" t="s">
        <v>697</v>
      </c>
      <c r="B42">
        <v>1474</v>
      </c>
      <c r="C42" t="s">
        <v>459</v>
      </c>
      <c r="D42" s="11">
        <v>10000</v>
      </c>
      <c r="E42" s="11">
        <v>60000</v>
      </c>
      <c r="F42" s="11">
        <v>390000</v>
      </c>
    </row>
    <row r="43" spans="1:6" x14ac:dyDescent="0.35">
      <c r="A43" s="9">
        <v>46209</v>
      </c>
      <c r="B43">
        <v>1593</v>
      </c>
      <c r="C43" t="s">
        <v>459</v>
      </c>
      <c r="D43" s="11">
        <v>10000</v>
      </c>
      <c r="E43" s="11">
        <v>70000</v>
      </c>
      <c r="F43" s="11">
        <v>380000</v>
      </c>
    </row>
    <row r="44" spans="1:6" x14ac:dyDescent="0.35">
      <c r="A44" t="s">
        <v>698</v>
      </c>
      <c r="B44">
        <v>1840</v>
      </c>
      <c r="C44" t="s">
        <v>459</v>
      </c>
      <c r="D44" s="11">
        <v>10000</v>
      </c>
      <c r="E44" s="11">
        <v>80000</v>
      </c>
      <c r="F44" s="11">
        <v>370000</v>
      </c>
    </row>
    <row r="45" spans="1:6" x14ac:dyDescent="0.35">
      <c r="A45" s="9">
        <v>46242</v>
      </c>
      <c r="B45">
        <v>3740</v>
      </c>
      <c r="C45" t="s">
        <v>459</v>
      </c>
      <c r="D45" s="11">
        <v>10000</v>
      </c>
      <c r="E45" s="11">
        <v>90000</v>
      </c>
      <c r="F45" s="11">
        <v>360000</v>
      </c>
    </row>
    <row r="46" spans="1:6" x14ac:dyDescent="0.35">
      <c r="A46" s="9">
        <v>46365</v>
      </c>
      <c r="B46">
        <v>2053</v>
      </c>
      <c r="C46" t="s">
        <v>459</v>
      </c>
      <c r="D46" s="11">
        <v>10000</v>
      </c>
      <c r="E46" s="11">
        <v>100000</v>
      </c>
      <c r="F46" s="11">
        <v>350000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28" workbookViewId="0">
      <selection activeCell="B46" sqref="B46"/>
    </sheetView>
  </sheetViews>
  <sheetFormatPr defaultRowHeight="14.5" x14ac:dyDescent="0.35"/>
  <cols>
    <col min="1" max="1" width="10.7265625" customWidth="1"/>
    <col min="3" max="3" width="13.36328125" customWidth="1"/>
    <col min="6" max="6" width="11.26953125" customWidth="1"/>
  </cols>
  <sheetData>
    <row r="1" spans="1:6" ht="18.5" x14ac:dyDescent="0.45">
      <c r="A1" s="1" t="s">
        <v>402</v>
      </c>
      <c r="B1" s="1"/>
      <c r="C1" s="1"/>
      <c r="D1" s="1"/>
      <c r="E1" s="1"/>
      <c r="F1" s="1"/>
    </row>
    <row r="2" spans="1:6" ht="18.5" x14ac:dyDescent="0.45">
      <c r="A2" s="1" t="s">
        <v>403</v>
      </c>
      <c r="C2" s="1"/>
      <c r="D2" s="1"/>
      <c r="E2" s="1"/>
      <c r="F2" s="1"/>
    </row>
    <row r="3" spans="1:6" ht="18.5" x14ac:dyDescent="0.45">
      <c r="A3" s="1" t="s">
        <v>404</v>
      </c>
      <c r="B3" s="1"/>
      <c r="C3" s="1"/>
      <c r="D3" s="1"/>
      <c r="E3" s="1"/>
      <c r="F3" s="1"/>
    </row>
    <row r="4" spans="1:6" ht="18.5" x14ac:dyDescent="0.45">
      <c r="A4" s="1" t="s">
        <v>420</v>
      </c>
      <c r="B4" s="1"/>
      <c r="C4" s="1"/>
      <c r="D4" s="1"/>
      <c r="E4" s="1"/>
      <c r="F4" s="1"/>
    </row>
    <row r="5" spans="1:6" ht="18.5" x14ac:dyDescent="0.45">
      <c r="A5" s="1" t="s">
        <v>405</v>
      </c>
      <c r="B5" s="1"/>
      <c r="C5" s="1"/>
      <c r="D5" s="1"/>
      <c r="E5" s="1"/>
      <c r="F5" s="1"/>
    </row>
    <row r="6" spans="1:6" ht="18.5" x14ac:dyDescent="0.45">
      <c r="A6" s="1" t="s">
        <v>426</v>
      </c>
      <c r="B6" s="1"/>
      <c r="C6" s="1"/>
      <c r="D6" s="1" t="s">
        <v>407</v>
      </c>
      <c r="E6" s="1"/>
      <c r="F6" s="1"/>
    </row>
    <row r="7" spans="1:6" x14ac:dyDescent="0.35">
      <c r="A7" s="31" t="s">
        <v>6</v>
      </c>
      <c r="B7" s="32" t="s">
        <v>7</v>
      </c>
      <c r="C7" s="32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t="s">
        <v>410</v>
      </c>
      <c r="B8">
        <v>1104</v>
      </c>
      <c r="C8" t="s">
        <v>424</v>
      </c>
      <c r="D8" s="11">
        <v>10000</v>
      </c>
      <c r="E8" s="11">
        <v>10000</v>
      </c>
      <c r="F8" s="11">
        <v>260000</v>
      </c>
    </row>
    <row r="9" spans="1:6" x14ac:dyDescent="0.35">
      <c r="A9" t="s">
        <v>421</v>
      </c>
      <c r="B9">
        <v>1214</v>
      </c>
      <c r="C9" t="s">
        <v>424</v>
      </c>
      <c r="D9" s="11">
        <v>10000</v>
      </c>
      <c r="E9" s="11">
        <f>E8+D9</f>
        <v>20000</v>
      </c>
      <c r="F9" s="11">
        <f>F8-D9</f>
        <v>250000</v>
      </c>
    </row>
    <row r="10" spans="1:6" x14ac:dyDescent="0.35">
      <c r="A10" s="9">
        <v>44875</v>
      </c>
      <c r="B10">
        <v>1995</v>
      </c>
      <c r="C10" t="s">
        <v>14</v>
      </c>
      <c r="D10" s="11">
        <v>30000</v>
      </c>
      <c r="E10" s="11">
        <f t="shared" ref="E10:E28" si="0">E9+D10</f>
        <v>50000</v>
      </c>
      <c r="F10" s="11">
        <f t="shared" ref="F10:F28" si="1">F9-D10</f>
        <v>220000</v>
      </c>
    </row>
    <row r="11" spans="1:6" x14ac:dyDescent="0.35">
      <c r="A11" t="s">
        <v>412</v>
      </c>
      <c r="B11">
        <v>1996</v>
      </c>
      <c r="C11" t="s">
        <v>424</v>
      </c>
      <c r="D11" s="11">
        <v>30000</v>
      </c>
      <c r="E11" s="11">
        <f t="shared" si="0"/>
        <v>80000</v>
      </c>
      <c r="F11" s="11">
        <f t="shared" si="1"/>
        <v>190000</v>
      </c>
    </row>
    <row r="12" spans="1:6" x14ac:dyDescent="0.35">
      <c r="A12" t="s">
        <v>413</v>
      </c>
      <c r="B12">
        <v>610</v>
      </c>
      <c r="C12" t="s">
        <v>424</v>
      </c>
      <c r="D12" s="11">
        <v>10000</v>
      </c>
      <c r="E12" s="11">
        <f t="shared" si="0"/>
        <v>90000</v>
      </c>
      <c r="F12" s="11">
        <f t="shared" si="1"/>
        <v>180000</v>
      </c>
    </row>
    <row r="13" spans="1:6" x14ac:dyDescent="0.35">
      <c r="A13" t="s">
        <v>422</v>
      </c>
      <c r="B13">
        <v>526</v>
      </c>
      <c r="C13" t="s">
        <v>424</v>
      </c>
      <c r="D13" s="11">
        <v>10000</v>
      </c>
      <c r="E13" s="11">
        <f t="shared" si="0"/>
        <v>100000</v>
      </c>
      <c r="F13" s="11">
        <f t="shared" si="1"/>
        <v>170000</v>
      </c>
    </row>
    <row r="14" spans="1:6" x14ac:dyDescent="0.35">
      <c r="A14" t="s">
        <v>162</v>
      </c>
      <c r="B14">
        <v>2896</v>
      </c>
      <c r="C14" t="s">
        <v>424</v>
      </c>
      <c r="D14" s="11">
        <v>10000</v>
      </c>
      <c r="E14" s="11">
        <f t="shared" si="0"/>
        <v>110000</v>
      </c>
      <c r="F14" s="11">
        <f t="shared" si="1"/>
        <v>160000</v>
      </c>
    </row>
    <row r="15" spans="1:6" x14ac:dyDescent="0.35">
      <c r="A15" t="s">
        <v>423</v>
      </c>
      <c r="B15">
        <v>3177</v>
      </c>
      <c r="C15" t="s">
        <v>424</v>
      </c>
      <c r="D15" s="11">
        <v>10000</v>
      </c>
      <c r="E15" s="11">
        <f t="shared" si="0"/>
        <v>120000</v>
      </c>
      <c r="F15" s="11">
        <f t="shared" si="1"/>
        <v>150000</v>
      </c>
    </row>
    <row r="16" spans="1:6" x14ac:dyDescent="0.35">
      <c r="A16" t="s">
        <v>298</v>
      </c>
      <c r="B16">
        <v>3766</v>
      </c>
      <c r="C16" t="s">
        <v>424</v>
      </c>
      <c r="D16" s="11">
        <v>10000</v>
      </c>
      <c r="E16" s="11">
        <f t="shared" si="0"/>
        <v>130000</v>
      </c>
      <c r="F16" s="11">
        <f t="shared" si="1"/>
        <v>140000</v>
      </c>
    </row>
    <row r="17" spans="1:6" x14ac:dyDescent="0.35">
      <c r="A17" s="9">
        <v>45180</v>
      </c>
      <c r="B17">
        <v>4749</v>
      </c>
      <c r="C17" t="s">
        <v>424</v>
      </c>
      <c r="D17" s="11">
        <v>20000</v>
      </c>
      <c r="E17" s="11">
        <f t="shared" si="0"/>
        <v>150000</v>
      </c>
      <c r="F17" s="11">
        <f t="shared" si="1"/>
        <v>120000</v>
      </c>
    </row>
    <row r="18" spans="1:6" x14ac:dyDescent="0.35">
      <c r="A18" s="9">
        <v>45242</v>
      </c>
      <c r="B18">
        <v>5489</v>
      </c>
      <c r="C18" t="s">
        <v>424</v>
      </c>
      <c r="D18" s="11">
        <v>10000</v>
      </c>
      <c r="E18" s="11">
        <f t="shared" si="0"/>
        <v>160000</v>
      </c>
      <c r="F18" s="11">
        <f t="shared" si="1"/>
        <v>110000</v>
      </c>
    </row>
    <row r="19" spans="1:6" x14ac:dyDescent="0.35">
      <c r="A19" s="9">
        <v>45474</v>
      </c>
      <c r="B19">
        <v>5954</v>
      </c>
      <c r="C19" t="s">
        <v>424</v>
      </c>
      <c r="D19" s="11">
        <v>10000</v>
      </c>
      <c r="E19" s="11">
        <f t="shared" si="0"/>
        <v>170000</v>
      </c>
      <c r="F19" s="11">
        <f t="shared" si="1"/>
        <v>100000</v>
      </c>
    </row>
    <row r="20" spans="1:6" x14ac:dyDescent="0.35">
      <c r="A20" s="9">
        <v>45598</v>
      </c>
      <c r="B20">
        <v>7066</v>
      </c>
      <c r="C20" t="s">
        <v>424</v>
      </c>
      <c r="D20" s="11">
        <v>10000</v>
      </c>
      <c r="E20" s="11">
        <f t="shared" si="0"/>
        <v>180000</v>
      </c>
      <c r="F20" s="11">
        <f t="shared" si="1"/>
        <v>90000</v>
      </c>
    </row>
    <row r="21" spans="1:6" x14ac:dyDescent="0.35">
      <c r="A21" t="s">
        <v>104</v>
      </c>
      <c r="B21">
        <v>7959</v>
      </c>
      <c r="C21" t="s">
        <v>424</v>
      </c>
      <c r="D21" s="11">
        <v>10000</v>
      </c>
      <c r="E21" s="11">
        <f t="shared" si="0"/>
        <v>190000</v>
      </c>
      <c r="F21" s="11">
        <f t="shared" si="1"/>
        <v>80000</v>
      </c>
    </row>
    <row r="22" spans="1:6" x14ac:dyDescent="0.35">
      <c r="A22" t="s">
        <v>23</v>
      </c>
      <c r="B22">
        <v>7430</v>
      </c>
      <c r="C22" t="s">
        <v>424</v>
      </c>
      <c r="D22" s="11">
        <v>10000</v>
      </c>
      <c r="E22" s="11">
        <f t="shared" si="0"/>
        <v>200000</v>
      </c>
      <c r="F22" s="11">
        <f t="shared" si="1"/>
        <v>70000</v>
      </c>
    </row>
    <row r="23" spans="1:6" x14ac:dyDescent="0.35">
      <c r="A23" s="9">
        <v>45511</v>
      </c>
      <c r="B23">
        <v>9749</v>
      </c>
      <c r="C23" t="s">
        <v>424</v>
      </c>
      <c r="D23" s="11">
        <v>20000</v>
      </c>
      <c r="E23" s="11">
        <f t="shared" si="0"/>
        <v>220000</v>
      </c>
      <c r="F23" s="11">
        <f t="shared" si="1"/>
        <v>50000</v>
      </c>
    </row>
    <row r="24" spans="1:6" x14ac:dyDescent="0.35">
      <c r="A24" t="s">
        <v>416</v>
      </c>
      <c r="B24">
        <v>10358</v>
      </c>
      <c r="C24" t="s">
        <v>424</v>
      </c>
      <c r="D24" s="11">
        <v>10000</v>
      </c>
      <c r="E24" s="11">
        <f t="shared" si="0"/>
        <v>230000</v>
      </c>
      <c r="F24" s="11">
        <f t="shared" si="1"/>
        <v>40000</v>
      </c>
    </row>
    <row r="25" spans="1:6" x14ac:dyDescent="0.35">
      <c r="A25" t="s">
        <v>417</v>
      </c>
      <c r="B25">
        <v>10323</v>
      </c>
      <c r="C25" t="s">
        <v>424</v>
      </c>
      <c r="D25" s="11">
        <v>10000</v>
      </c>
      <c r="E25" s="11">
        <f t="shared" si="0"/>
        <v>240000</v>
      </c>
      <c r="F25" s="11">
        <f t="shared" si="1"/>
        <v>30000</v>
      </c>
    </row>
    <row r="26" spans="1:6" x14ac:dyDescent="0.35">
      <c r="A26" t="s">
        <v>425</v>
      </c>
      <c r="B26">
        <v>8748</v>
      </c>
      <c r="C26" t="s">
        <v>424</v>
      </c>
      <c r="D26" s="11">
        <v>10000</v>
      </c>
      <c r="E26" s="11">
        <f t="shared" si="0"/>
        <v>250000</v>
      </c>
      <c r="F26" s="11">
        <f t="shared" si="1"/>
        <v>20000</v>
      </c>
    </row>
    <row r="27" spans="1:6" x14ac:dyDescent="0.35">
      <c r="A27" t="s">
        <v>418</v>
      </c>
      <c r="B27">
        <v>9159</v>
      </c>
      <c r="C27" t="s">
        <v>424</v>
      </c>
      <c r="D27" s="11">
        <v>10000</v>
      </c>
      <c r="E27" s="11">
        <f t="shared" si="0"/>
        <v>260000</v>
      </c>
      <c r="F27" s="11">
        <f t="shared" si="1"/>
        <v>10000</v>
      </c>
    </row>
    <row r="28" spans="1:6" x14ac:dyDescent="0.35">
      <c r="A28" s="9">
        <v>45577</v>
      </c>
      <c r="B28">
        <v>12308</v>
      </c>
      <c r="C28" t="s">
        <v>424</v>
      </c>
      <c r="D28" s="11">
        <v>10000</v>
      </c>
      <c r="E28" s="11">
        <f t="shared" si="0"/>
        <v>270000</v>
      </c>
      <c r="F28" s="11">
        <f t="shared" si="1"/>
        <v>0</v>
      </c>
    </row>
    <row r="29" spans="1:6" ht="18.5" x14ac:dyDescent="0.45">
      <c r="A29" s="52" t="s">
        <v>225</v>
      </c>
      <c r="B29" s="52"/>
      <c r="C29" s="52"/>
      <c r="D29" s="52"/>
      <c r="E29" s="52"/>
      <c r="F29" s="52"/>
    </row>
    <row r="31" spans="1:6" x14ac:dyDescent="0.35">
      <c r="A31" s="9" t="s">
        <v>6</v>
      </c>
      <c r="B31" t="s">
        <v>7</v>
      </c>
      <c r="C31" t="s">
        <v>8</v>
      </c>
      <c r="D31" s="11" t="s">
        <v>9</v>
      </c>
      <c r="E31" t="s">
        <v>10</v>
      </c>
      <c r="F31" t="s">
        <v>11</v>
      </c>
    </row>
    <row r="33" spans="1:6" x14ac:dyDescent="0.35">
      <c r="A33" s="9">
        <v>45785</v>
      </c>
      <c r="B33">
        <v>12397</v>
      </c>
      <c r="C33" t="s">
        <v>459</v>
      </c>
      <c r="D33" s="11">
        <v>10000</v>
      </c>
      <c r="E33" s="11">
        <v>10000</v>
      </c>
      <c r="F33" s="11">
        <v>440000</v>
      </c>
    </row>
    <row r="34" spans="1:6" x14ac:dyDescent="0.35">
      <c r="A34" t="s">
        <v>692</v>
      </c>
      <c r="B34">
        <v>3202</v>
      </c>
      <c r="C34" t="s">
        <v>459</v>
      </c>
      <c r="D34" s="11">
        <v>5000</v>
      </c>
      <c r="E34" s="11">
        <v>15000</v>
      </c>
      <c r="F34" s="11">
        <v>435000</v>
      </c>
    </row>
    <row r="35" spans="1:6" x14ac:dyDescent="0.35">
      <c r="A35" t="s">
        <v>92</v>
      </c>
      <c r="B35">
        <v>3316</v>
      </c>
      <c r="C35" t="s">
        <v>459</v>
      </c>
      <c r="D35" s="11">
        <v>5000</v>
      </c>
      <c r="E35" s="11">
        <v>20000</v>
      </c>
      <c r="F35" s="11">
        <v>430000</v>
      </c>
    </row>
    <row r="36" spans="1:6" x14ac:dyDescent="0.35">
      <c r="A36" t="s">
        <v>693</v>
      </c>
      <c r="B36">
        <v>3843</v>
      </c>
      <c r="C36" t="s">
        <v>459</v>
      </c>
      <c r="D36" s="11">
        <v>5000</v>
      </c>
      <c r="E36" s="11">
        <v>25000</v>
      </c>
      <c r="F36" s="11">
        <v>425000</v>
      </c>
    </row>
    <row r="37" spans="1:6" x14ac:dyDescent="0.35">
      <c r="A37" s="9">
        <v>45881</v>
      </c>
      <c r="B37">
        <v>5038</v>
      </c>
      <c r="C37" t="s">
        <v>459</v>
      </c>
      <c r="D37" s="11">
        <v>5000</v>
      </c>
      <c r="E37" s="11">
        <v>30000</v>
      </c>
      <c r="F37" s="11">
        <v>420000</v>
      </c>
    </row>
    <row r="38" spans="1:6" x14ac:dyDescent="0.35">
      <c r="A38" t="s">
        <v>694</v>
      </c>
      <c r="B38">
        <v>5293</v>
      </c>
      <c r="C38" t="s">
        <v>459</v>
      </c>
      <c r="D38" s="11">
        <v>5000</v>
      </c>
      <c r="E38" s="11">
        <v>35000</v>
      </c>
      <c r="F38" s="11">
        <v>415000</v>
      </c>
    </row>
    <row r="39" spans="1:6" x14ac:dyDescent="0.35">
      <c r="A39" t="s">
        <v>695</v>
      </c>
      <c r="B39">
        <v>5520</v>
      </c>
      <c r="C39" t="s">
        <v>459</v>
      </c>
      <c r="D39" s="11">
        <v>5000</v>
      </c>
      <c r="E39" s="11">
        <v>40000</v>
      </c>
      <c r="F39" s="11">
        <v>410000</v>
      </c>
    </row>
    <row r="40" spans="1:6" x14ac:dyDescent="0.35">
      <c r="A40" s="9">
        <v>46359</v>
      </c>
      <c r="B40">
        <v>5707</v>
      </c>
      <c r="C40" t="s">
        <v>459</v>
      </c>
      <c r="D40" s="11">
        <v>5000</v>
      </c>
      <c r="E40" s="11">
        <v>45000</v>
      </c>
      <c r="F40" s="11">
        <v>405000</v>
      </c>
    </row>
    <row r="41" spans="1:6" x14ac:dyDescent="0.35">
      <c r="A41" t="s">
        <v>696</v>
      </c>
      <c r="B41">
        <v>5945</v>
      </c>
      <c r="C41" t="s">
        <v>459</v>
      </c>
      <c r="D41" s="11">
        <v>5000</v>
      </c>
      <c r="E41" s="11">
        <v>50000</v>
      </c>
      <c r="F41" s="11">
        <v>400000</v>
      </c>
    </row>
    <row r="42" spans="1:6" x14ac:dyDescent="0.35">
      <c r="A42" t="s">
        <v>697</v>
      </c>
      <c r="B42">
        <v>1473</v>
      </c>
      <c r="C42" t="s">
        <v>459</v>
      </c>
      <c r="D42" s="11">
        <v>10000</v>
      </c>
      <c r="E42" s="11">
        <v>60000</v>
      </c>
      <c r="F42" s="11">
        <v>390000</v>
      </c>
    </row>
    <row r="43" spans="1:6" x14ac:dyDescent="0.35">
      <c r="A43" s="9">
        <v>46209</v>
      </c>
      <c r="B43">
        <v>1594</v>
      </c>
      <c r="C43" t="s">
        <v>459</v>
      </c>
      <c r="D43" s="11">
        <v>10000</v>
      </c>
      <c r="E43" s="11">
        <v>70000</v>
      </c>
      <c r="F43" s="11">
        <v>380000</v>
      </c>
    </row>
    <row r="44" spans="1:6" x14ac:dyDescent="0.35">
      <c r="A44" t="s">
        <v>698</v>
      </c>
      <c r="B44">
        <v>1841</v>
      </c>
      <c r="C44" t="s">
        <v>459</v>
      </c>
      <c r="D44" s="11">
        <v>10000</v>
      </c>
      <c r="E44" s="11">
        <v>80000</v>
      </c>
      <c r="F44" s="11">
        <v>370000</v>
      </c>
    </row>
    <row r="45" spans="1:6" x14ac:dyDescent="0.35">
      <c r="A45" s="9">
        <v>46242</v>
      </c>
      <c r="B45">
        <v>3741</v>
      </c>
      <c r="C45" t="s">
        <v>459</v>
      </c>
      <c r="D45" s="11">
        <v>10000</v>
      </c>
      <c r="E45" s="11">
        <v>90000</v>
      </c>
      <c r="F45" s="11">
        <v>360000</v>
      </c>
    </row>
    <row r="46" spans="1:6" x14ac:dyDescent="0.35">
      <c r="A46" s="9">
        <v>46365</v>
      </c>
      <c r="B46">
        <v>2054</v>
      </c>
      <c r="C46" t="s">
        <v>459</v>
      </c>
      <c r="D46" s="11">
        <v>10000</v>
      </c>
      <c r="E46" s="11">
        <v>100000</v>
      </c>
      <c r="F46" s="11">
        <v>350000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9"/>
  <sheetViews>
    <sheetView topLeftCell="A2" workbookViewId="0">
      <selection activeCell="F40" sqref="F40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48</v>
      </c>
      <c r="B1" s="1"/>
      <c r="C1" s="1"/>
      <c r="D1" s="1"/>
      <c r="E1" s="1"/>
      <c r="F1" s="1"/>
    </row>
    <row r="2" spans="1:6" ht="18.5" x14ac:dyDescent="0.45">
      <c r="A2" s="1" t="s">
        <v>49</v>
      </c>
      <c r="C2" s="1"/>
      <c r="D2" s="1"/>
      <c r="E2" s="1"/>
      <c r="F2" s="1"/>
    </row>
    <row r="3" spans="1:6" ht="18.5" x14ac:dyDescent="0.45">
      <c r="A3" s="1" t="s">
        <v>50</v>
      </c>
      <c r="B3" s="1"/>
      <c r="C3" s="1"/>
      <c r="D3" s="1"/>
      <c r="E3" s="1"/>
      <c r="F3" s="1"/>
    </row>
    <row r="4" spans="1:6" ht="18.5" x14ac:dyDescent="0.45">
      <c r="A4" s="1" t="s">
        <v>326</v>
      </c>
      <c r="B4" s="1"/>
      <c r="C4" s="1"/>
      <c r="D4" s="1"/>
      <c r="E4" s="1"/>
      <c r="F4" s="1"/>
    </row>
    <row r="5" spans="1:6" ht="18.5" x14ac:dyDescent="0.45">
      <c r="A5" s="1" t="s">
        <v>51</v>
      </c>
      <c r="B5" s="1"/>
      <c r="C5" s="1"/>
      <c r="D5" s="1"/>
      <c r="E5" s="1"/>
      <c r="F5" s="1"/>
    </row>
    <row r="6" spans="1:6" ht="18.5" x14ac:dyDescent="0.45">
      <c r="A6" s="1" t="s">
        <v>52</v>
      </c>
      <c r="B6" s="1"/>
      <c r="C6" s="1"/>
      <c r="D6" s="1" t="s">
        <v>53</v>
      </c>
      <c r="E6" s="1"/>
      <c r="F6" s="1"/>
    </row>
    <row r="7" spans="1:6" x14ac:dyDescent="0.35">
      <c r="A7" s="31" t="s">
        <v>6</v>
      </c>
      <c r="B7" s="32" t="s">
        <v>7</v>
      </c>
      <c r="C7" s="32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s="17" t="s">
        <v>21</v>
      </c>
      <c r="B8" s="2">
        <v>6245</v>
      </c>
      <c r="C8" s="2" t="s">
        <v>60</v>
      </c>
      <c r="D8" s="4">
        <v>200000</v>
      </c>
      <c r="E8" s="4">
        <v>200000</v>
      </c>
      <c r="F8" s="20">
        <v>500000</v>
      </c>
    </row>
    <row r="9" spans="1:6" x14ac:dyDescent="0.35">
      <c r="A9" s="16">
        <v>45567</v>
      </c>
      <c r="B9" s="2">
        <v>7034</v>
      </c>
      <c r="C9" s="2" t="s">
        <v>47</v>
      </c>
      <c r="D9" s="4">
        <v>10000</v>
      </c>
      <c r="E9" s="4">
        <f>SUM(E8+D9)</f>
        <v>210000</v>
      </c>
      <c r="F9" s="20">
        <f>F8-D9</f>
        <v>490000</v>
      </c>
    </row>
    <row r="10" spans="1:6" x14ac:dyDescent="0.35">
      <c r="A10" s="16">
        <v>45481</v>
      </c>
      <c r="B10" s="2">
        <v>6927</v>
      </c>
      <c r="C10" s="2" t="s">
        <v>47</v>
      </c>
      <c r="D10" s="4">
        <v>10000</v>
      </c>
      <c r="E10" s="4">
        <f t="shared" ref="E10:E34" si="0">SUM(E9+D10)</f>
        <v>220000</v>
      </c>
      <c r="F10" s="20">
        <f t="shared" ref="F10:F34" si="1">F9-D10</f>
        <v>480000</v>
      </c>
    </row>
    <row r="11" spans="1:6" x14ac:dyDescent="0.35">
      <c r="A11" s="16">
        <v>45484</v>
      </c>
      <c r="B11" s="2">
        <v>7749</v>
      </c>
      <c r="C11" s="2" t="s">
        <v>47</v>
      </c>
      <c r="D11" s="4">
        <v>10000</v>
      </c>
      <c r="E11" s="4">
        <f t="shared" si="0"/>
        <v>230000</v>
      </c>
      <c r="F11" s="20">
        <f t="shared" si="1"/>
        <v>470000</v>
      </c>
    </row>
    <row r="12" spans="1:6" x14ac:dyDescent="0.35">
      <c r="A12" s="17" t="s">
        <v>54</v>
      </c>
      <c r="B12" s="2">
        <v>8700</v>
      </c>
      <c r="C12" s="2" t="s">
        <v>47</v>
      </c>
      <c r="D12" s="4">
        <v>10000</v>
      </c>
      <c r="E12" s="4">
        <f t="shared" si="0"/>
        <v>240000</v>
      </c>
      <c r="F12" s="20">
        <f t="shared" si="1"/>
        <v>460000</v>
      </c>
    </row>
    <row r="13" spans="1:6" x14ac:dyDescent="0.35">
      <c r="A13" s="17" t="s">
        <v>55</v>
      </c>
      <c r="B13" s="2">
        <v>9280</v>
      </c>
      <c r="C13" s="2" t="s">
        <v>47</v>
      </c>
      <c r="D13" s="4">
        <v>10000</v>
      </c>
      <c r="E13" s="4">
        <f t="shared" si="0"/>
        <v>250000</v>
      </c>
      <c r="F13" s="20">
        <f t="shared" si="1"/>
        <v>450000</v>
      </c>
    </row>
    <row r="14" spans="1:6" x14ac:dyDescent="0.35">
      <c r="A14" s="17" t="s">
        <v>56</v>
      </c>
      <c r="B14" s="2">
        <v>9779</v>
      </c>
      <c r="C14" s="2" t="s">
        <v>47</v>
      </c>
      <c r="D14" s="4">
        <v>10000</v>
      </c>
      <c r="E14" s="4">
        <f t="shared" si="0"/>
        <v>260000</v>
      </c>
      <c r="F14" s="20">
        <f t="shared" si="1"/>
        <v>440000</v>
      </c>
    </row>
    <row r="15" spans="1:6" x14ac:dyDescent="0.35">
      <c r="A15" s="17" t="s">
        <v>57</v>
      </c>
      <c r="B15" s="2">
        <v>11299</v>
      </c>
      <c r="C15" s="2" t="s">
        <v>47</v>
      </c>
      <c r="D15" s="4">
        <v>10000</v>
      </c>
      <c r="E15" s="4">
        <f t="shared" si="0"/>
        <v>270000</v>
      </c>
      <c r="F15" s="20">
        <f t="shared" si="1"/>
        <v>430000</v>
      </c>
    </row>
    <row r="16" spans="1:6" x14ac:dyDescent="0.35">
      <c r="A16" s="17" t="s">
        <v>58</v>
      </c>
      <c r="B16" s="2">
        <v>385</v>
      </c>
      <c r="C16" s="2" t="s">
        <v>47</v>
      </c>
      <c r="D16" s="4">
        <v>10000</v>
      </c>
      <c r="E16" s="4">
        <f t="shared" si="0"/>
        <v>280000</v>
      </c>
      <c r="F16" s="20">
        <f t="shared" si="1"/>
        <v>420000</v>
      </c>
    </row>
    <row r="17" spans="1:6" x14ac:dyDescent="0.35">
      <c r="A17" s="17" t="s">
        <v>59</v>
      </c>
      <c r="B17" s="2">
        <v>10343</v>
      </c>
      <c r="C17" s="2" t="s">
        <v>47</v>
      </c>
      <c r="D17" s="4">
        <v>10000</v>
      </c>
      <c r="E17" s="4">
        <f t="shared" si="0"/>
        <v>290000</v>
      </c>
      <c r="F17" s="20">
        <f t="shared" si="1"/>
        <v>410000</v>
      </c>
    </row>
    <row r="18" spans="1:6" x14ac:dyDescent="0.35">
      <c r="A18" s="17" t="s">
        <v>61</v>
      </c>
      <c r="B18" s="2">
        <v>12732</v>
      </c>
      <c r="C18" s="2" t="s">
        <v>47</v>
      </c>
      <c r="D18" s="4">
        <v>10000</v>
      </c>
      <c r="E18" s="4">
        <f t="shared" si="0"/>
        <v>300000</v>
      </c>
      <c r="F18" s="20">
        <f t="shared" si="1"/>
        <v>400000</v>
      </c>
    </row>
    <row r="19" spans="1:6" x14ac:dyDescent="0.35">
      <c r="A19" s="17" t="s">
        <v>62</v>
      </c>
      <c r="B19" s="2">
        <v>12206</v>
      </c>
      <c r="C19" s="2" t="s">
        <v>47</v>
      </c>
      <c r="D19" s="4">
        <v>10000</v>
      </c>
      <c r="E19" s="4">
        <f t="shared" si="0"/>
        <v>310000</v>
      </c>
      <c r="F19" s="20">
        <f t="shared" si="1"/>
        <v>390000</v>
      </c>
    </row>
    <row r="20" spans="1:6" x14ac:dyDescent="0.35">
      <c r="A20" s="17" t="s">
        <v>63</v>
      </c>
      <c r="B20" s="2">
        <v>9109</v>
      </c>
      <c r="C20" s="2" t="s">
        <v>47</v>
      </c>
      <c r="D20" s="4">
        <v>10000</v>
      </c>
      <c r="E20" s="4">
        <f t="shared" si="0"/>
        <v>320000</v>
      </c>
      <c r="F20" s="20">
        <f t="shared" si="1"/>
        <v>380000</v>
      </c>
    </row>
    <row r="21" spans="1:6" x14ac:dyDescent="0.35">
      <c r="A21" s="17" t="s">
        <v>64</v>
      </c>
      <c r="B21" s="2">
        <v>9873</v>
      </c>
      <c r="C21" s="2" t="s">
        <v>47</v>
      </c>
      <c r="D21" s="4">
        <v>10000</v>
      </c>
      <c r="E21" s="4">
        <f t="shared" si="0"/>
        <v>330000</v>
      </c>
      <c r="F21" s="20">
        <f t="shared" si="1"/>
        <v>370000</v>
      </c>
    </row>
    <row r="22" spans="1:6" x14ac:dyDescent="0.35">
      <c r="A22" s="17" t="s">
        <v>65</v>
      </c>
      <c r="B22" s="2">
        <v>1874</v>
      </c>
      <c r="C22" s="2" t="s">
        <v>47</v>
      </c>
      <c r="D22" s="4">
        <v>10000</v>
      </c>
      <c r="E22" s="4">
        <f t="shared" si="0"/>
        <v>340000</v>
      </c>
      <c r="F22" s="20">
        <f t="shared" si="1"/>
        <v>360000</v>
      </c>
    </row>
    <row r="23" spans="1:6" x14ac:dyDescent="0.35">
      <c r="A23" s="17" t="s">
        <v>66</v>
      </c>
      <c r="B23" s="2">
        <v>10050</v>
      </c>
      <c r="C23" s="2" t="s">
        <v>47</v>
      </c>
      <c r="D23" s="4">
        <v>10000</v>
      </c>
      <c r="E23" s="4">
        <f t="shared" si="0"/>
        <v>350000</v>
      </c>
      <c r="F23" s="20">
        <f t="shared" si="1"/>
        <v>350000</v>
      </c>
    </row>
    <row r="24" spans="1:6" x14ac:dyDescent="0.35">
      <c r="A24" s="17" t="s">
        <v>67</v>
      </c>
      <c r="B24" s="2">
        <v>10858</v>
      </c>
      <c r="C24" s="2" t="s">
        <v>47</v>
      </c>
      <c r="D24" s="4">
        <v>10000</v>
      </c>
      <c r="E24" s="4">
        <f t="shared" si="0"/>
        <v>360000</v>
      </c>
      <c r="F24" s="20">
        <f t="shared" si="1"/>
        <v>340000</v>
      </c>
    </row>
    <row r="25" spans="1:6" x14ac:dyDescent="0.35">
      <c r="A25" s="17" t="s">
        <v>68</v>
      </c>
      <c r="B25" s="2">
        <v>10294</v>
      </c>
      <c r="C25" s="2" t="s">
        <v>47</v>
      </c>
      <c r="D25" s="4">
        <v>10000</v>
      </c>
      <c r="E25" s="4">
        <f t="shared" si="0"/>
        <v>370000</v>
      </c>
      <c r="F25" s="20">
        <f t="shared" si="1"/>
        <v>330000</v>
      </c>
    </row>
    <row r="26" spans="1:6" x14ac:dyDescent="0.35">
      <c r="A26" s="17" t="s">
        <v>69</v>
      </c>
      <c r="B26" s="2">
        <v>12287</v>
      </c>
      <c r="C26" s="2" t="s">
        <v>47</v>
      </c>
      <c r="D26" s="4">
        <v>10000</v>
      </c>
      <c r="E26" s="4">
        <f t="shared" si="0"/>
        <v>380000</v>
      </c>
      <c r="F26" s="20">
        <f t="shared" si="1"/>
        <v>320000</v>
      </c>
    </row>
    <row r="27" spans="1:6" x14ac:dyDescent="0.35">
      <c r="A27" s="17" t="s">
        <v>70</v>
      </c>
      <c r="B27" s="2">
        <v>12541</v>
      </c>
      <c r="C27" s="2" t="s">
        <v>47</v>
      </c>
      <c r="D27" s="4">
        <v>10000</v>
      </c>
      <c r="E27" s="4">
        <f t="shared" si="0"/>
        <v>390000</v>
      </c>
      <c r="F27" s="20">
        <f t="shared" si="1"/>
        <v>310000</v>
      </c>
    </row>
    <row r="28" spans="1:6" x14ac:dyDescent="0.35">
      <c r="A28" s="17" t="s">
        <v>71</v>
      </c>
      <c r="B28" s="2">
        <v>13812</v>
      </c>
      <c r="C28" s="2" t="s">
        <v>47</v>
      </c>
      <c r="D28" s="4">
        <v>10000</v>
      </c>
      <c r="E28" s="4">
        <f t="shared" si="0"/>
        <v>400000</v>
      </c>
      <c r="F28" s="20">
        <f t="shared" si="1"/>
        <v>300000</v>
      </c>
    </row>
    <row r="29" spans="1:6" x14ac:dyDescent="0.35">
      <c r="A29" s="17" t="s">
        <v>72</v>
      </c>
      <c r="B29" s="2">
        <v>13557</v>
      </c>
      <c r="C29" s="2" t="s">
        <v>47</v>
      </c>
      <c r="D29" s="4">
        <v>10000</v>
      </c>
      <c r="E29" s="4">
        <f t="shared" si="0"/>
        <v>410000</v>
      </c>
      <c r="F29" s="20">
        <f t="shared" si="1"/>
        <v>290000</v>
      </c>
    </row>
    <row r="30" spans="1:6" x14ac:dyDescent="0.35">
      <c r="A30" s="17" t="s">
        <v>73</v>
      </c>
      <c r="B30" s="2">
        <v>13093</v>
      </c>
      <c r="C30" s="2" t="s">
        <v>47</v>
      </c>
      <c r="D30" s="4">
        <v>10000</v>
      </c>
      <c r="E30" s="4">
        <f t="shared" si="0"/>
        <v>420000</v>
      </c>
      <c r="F30" s="20">
        <f t="shared" si="1"/>
        <v>280000</v>
      </c>
    </row>
    <row r="31" spans="1:6" x14ac:dyDescent="0.35">
      <c r="A31" s="17" t="s">
        <v>74</v>
      </c>
      <c r="B31" s="2">
        <v>13818</v>
      </c>
      <c r="C31" s="2" t="s">
        <v>47</v>
      </c>
      <c r="D31" s="4">
        <v>10000</v>
      </c>
      <c r="E31" s="4">
        <f t="shared" si="0"/>
        <v>430000</v>
      </c>
      <c r="F31" s="20">
        <f t="shared" si="1"/>
        <v>270000</v>
      </c>
    </row>
    <row r="32" spans="1:6" x14ac:dyDescent="0.35">
      <c r="A32" s="17" t="s">
        <v>75</v>
      </c>
      <c r="B32" s="2">
        <v>12252</v>
      </c>
      <c r="C32" s="2" t="s">
        <v>47</v>
      </c>
      <c r="D32" s="4">
        <v>10000</v>
      </c>
      <c r="E32" s="4">
        <f t="shared" si="0"/>
        <v>440000</v>
      </c>
      <c r="F32" s="20">
        <f t="shared" si="1"/>
        <v>260000</v>
      </c>
    </row>
    <row r="33" spans="1:6" x14ac:dyDescent="0.35">
      <c r="A33" s="17" t="s">
        <v>76</v>
      </c>
      <c r="B33" s="2">
        <v>12575</v>
      </c>
      <c r="C33" s="2" t="s">
        <v>47</v>
      </c>
      <c r="D33" s="4">
        <v>10000</v>
      </c>
      <c r="E33" s="4">
        <f t="shared" si="0"/>
        <v>450000</v>
      </c>
      <c r="F33" s="20">
        <f t="shared" si="1"/>
        <v>250000</v>
      </c>
    </row>
    <row r="34" spans="1:6" x14ac:dyDescent="0.35">
      <c r="A34" s="27" t="s">
        <v>195</v>
      </c>
      <c r="B34" s="10">
        <v>13948</v>
      </c>
      <c r="C34" s="2" t="s">
        <v>47</v>
      </c>
      <c r="D34" s="4">
        <v>10000</v>
      </c>
      <c r="E34" s="4">
        <f t="shared" si="0"/>
        <v>460000</v>
      </c>
      <c r="F34" s="20">
        <f t="shared" si="1"/>
        <v>240000</v>
      </c>
    </row>
    <row r="35" spans="1:6" x14ac:dyDescent="0.35">
      <c r="A35" s="23" t="s">
        <v>327</v>
      </c>
      <c r="B35" s="5">
        <v>13054</v>
      </c>
      <c r="C35" s="2" t="s">
        <v>47</v>
      </c>
      <c r="D35" s="4">
        <v>10000</v>
      </c>
      <c r="E35" s="24">
        <f>SUM(E34+D35)</f>
        <v>470000</v>
      </c>
      <c r="F35" s="25">
        <f>F34-D35</f>
        <v>230000</v>
      </c>
    </row>
    <row r="36" spans="1:6" x14ac:dyDescent="0.35">
      <c r="A36" t="s">
        <v>531</v>
      </c>
      <c r="B36">
        <v>13472</v>
      </c>
      <c r="C36" t="s">
        <v>47</v>
      </c>
      <c r="D36" s="55">
        <v>10000</v>
      </c>
      <c r="E36" s="55">
        <f>E35+D36</f>
        <v>480000</v>
      </c>
      <c r="F36" s="55">
        <f>F35-D36</f>
        <v>220000</v>
      </c>
    </row>
    <row r="37" spans="1:6" x14ac:dyDescent="0.35">
      <c r="A37" t="s">
        <v>532</v>
      </c>
      <c r="B37">
        <v>1321</v>
      </c>
      <c r="C37" t="s">
        <v>271</v>
      </c>
      <c r="D37" s="55">
        <v>10000</v>
      </c>
      <c r="E37" s="55">
        <f>E36+D37</f>
        <v>490000</v>
      </c>
      <c r="F37" s="55">
        <f>F36-D37</f>
        <v>210000</v>
      </c>
    </row>
    <row r="38" spans="1:6" x14ac:dyDescent="0.35">
      <c r="A38" t="s">
        <v>650</v>
      </c>
      <c r="B38">
        <v>1568</v>
      </c>
      <c r="C38" t="s">
        <v>271</v>
      </c>
      <c r="D38" s="55">
        <v>10000</v>
      </c>
      <c r="E38" s="11">
        <f>E37+D38</f>
        <v>500000</v>
      </c>
      <c r="F38" s="11">
        <f>F37-D38</f>
        <v>200000</v>
      </c>
    </row>
    <row r="39" spans="1:6" x14ac:dyDescent="0.35">
      <c r="A39" t="s">
        <v>651</v>
      </c>
      <c r="B39">
        <v>1862</v>
      </c>
      <c r="C39" t="s">
        <v>271</v>
      </c>
      <c r="D39" s="55">
        <v>10000</v>
      </c>
      <c r="E39" s="11">
        <f>E38+D39</f>
        <v>510000</v>
      </c>
      <c r="F39" s="11">
        <f>F38-D39</f>
        <v>190000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3"/>
  <sheetViews>
    <sheetView workbookViewId="0">
      <selection activeCell="F13" sqref="F13"/>
    </sheetView>
  </sheetViews>
  <sheetFormatPr defaultRowHeight="14.5" x14ac:dyDescent="0.35"/>
  <cols>
    <col min="3" max="3" width="13" customWidth="1"/>
    <col min="4" max="4" width="10.90625" customWidth="1"/>
    <col min="5" max="5" width="11.26953125" customWidth="1"/>
    <col min="6" max="6" width="12.1796875" customWidth="1"/>
  </cols>
  <sheetData>
    <row r="1" spans="1:6" ht="18.5" x14ac:dyDescent="0.45">
      <c r="A1" s="1" t="s">
        <v>319</v>
      </c>
      <c r="B1" s="1"/>
      <c r="C1" s="1"/>
      <c r="D1" s="1"/>
      <c r="E1" s="1"/>
      <c r="F1" s="1"/>
    </row>
    <row r="2" spans="1:6" ht="18.5" x14ac:dyDescent="0.45">
      <c r="A2" s="1" t="s">
        <v>320</v>
      </c>
      <c r="B2" s="15"/>
      <c r="C2" s="1"/>
      <c r="D2" s="1"/>
      <c r="E2" s="1"/>
      <c r="F2" s="1"/>
    </row>
    <row r="3" spans="1:6" ht="18.5" x14ac:dyDescent="0.45">
      <c r="A3" s="1" t="s">
        <v>321</v>
      </c>
      <c r="B3" s="1"/>
      <c r="C3" s="1"/>
      <c r="D3" s="1"/>
      <c r="E3" s="1"/>
      <c r="F3" s="1"/>
    </row>
    <row r="4" spans="1:6" ht="18.5" x14ac:dyDescent="0.45">
      <c r="A4" s="1" t="s">
        <v>325</v>
      </c>
      <c r="B4" s="1"/>
      <c r="C4" s="1"/>
      <c r="D4" s="1"/>
      <c r="E4" s="1"/>
      <c r="F4" s="1"/>
    </row>
    <row r="5" spans="1:6" ht="18.5" x14ac:dyDescent="0.45">
      <c r="A5" s="1" t="s">
        <v>322</v>
      </c>
      <c r="B5" s="1"/>
      <c r="C5" s="1"/>
      <c r="D5" s="1"/>
      <c r="E5" s="1"/>
      <c r="F5" s="1"/>
    </row>
    <row r="6" spans="1:6" ht="18.5" x14ac:dyDescent="0.45">
      <c r="A6" s="1" t="s">
        <v>323</v>
      </c>
      <c r="B6" s="1"/>
      <c r="C6" s="1"/>
      <c r="D6" s="1" t="s">
        <v>324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s="7" t="s">
        <v>104</v>
      </c>
      <c r="B8" s="7">
        <v>13033</v>
      </c>
      <c r="C8" s="7" t="s">
        <v>46</v>
      </c>
      <c r="D8" s="8">
        <v>200000</v>
      </c>
      <c r="E8" s="8">
        <v>200000</v>
      </c>
      <c r="F8" s="8">
        <v>600000</v>
      </c>
    </row>
    <row r="9" spans="1:6" x14ac:dyDescent="0.35">
      <c r="A9" s="7" t="s">
        <v>491</v>
      </c>
      <c r="B9" s="7">
        <v>13456</v>
      </c>
      <c r="C9" s="7" t="s">
        <v>455</v>
      </c>
      <c r="D9" s="8">
        <v>10000</v>
      </c>
      <c r="E9" s="8">
        <f>E8+D9</f>
        <v>210000</v>
      </c>
      <c r="F9" s="8">
        <f>F8-D9</f>
        <v>590000</v>
      </c>
    </row>
    <row r="10" spans="1:6" x14ac:dyDescent="0.35">
      <c r="A10" s="7" t="s">
        <v>492</v>
      </c>
      <c r="B10" s="7">
        <v>13639</v>
      </c>
      <c r="C10" s="7" t="s">
        <v>455</v>
      </c>
      <c r="D10" s="8">
        <v>10000</v>
      </c>
      <c r="E10" s="8">
        <f>E9+D10</f>
        <v>220000</v>
      </c>
      <c r="F10" s="8">
        <f>F9-D10</f>
        <v>580000</v>
      </c>
    </row>
    <row r="11" spans="1:6" x14ac:dyDescent="0.35">
      <c r="A11" s="7" t="s">
        <v>572</v>
      </c>
      <c r="B11" s="7">
        <v>1471</v>
      </c>
      <c r="C11" s="7" t="s">
        <v>455</v>
      </c>
      <c r="D11" s="8">
        <v>10000</v>
      </c>
      <c r="E11" s="8">
        <f>E10+D11</f>
        <v>230000</v>
      </c>
      <c r="F11" s="8">
        <f>F10-D11</f>
        <v>570000</v>
      </c>
    </row>
    <row r="12" spans="1:6" x14ac:dyDescent="0.35">
      <c r="A12" s="7" t="s">
        <v>649</v>
      </c>
      <c r="B12" s="7">
        <v>1819</v>
      </c>
      <c r="C12" s="7" t="s">
        <v>455</v>
      </c>
      <c r="D12" s="8">
        <v>10000</v>
      </c>
      <c r="E12" s="8">
        <f>E11+D12</f>
        <v>240000</v>
      </c>
      <c r="F12" s="8">
        <f>F11-D12</f>
        <v>560000</v>
      </c>
    </row>
    <row r="13" spans="1:6" x14ac:dyDescent="0.35">
      <c r="A13" s="114" t="s">
        <v>699</v>
      </c>
      <c r="B13" s="114">
        <v>2010</v>
      </c>
      <c r="C13" s="114" t="s">
        <v>455</v>
      </c>
      <c r="D13" s="11">
        <v>10000</v>
      </c>
      <c r="E13" s="11">
        <v>250000</v>
      </c>
      <c r="F13" s="11">
        <v>550000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9"/>
  <sheetViews>
    <sheetView workbookViewId="0">
      <selection activeCell="A7" sqref="A7:G7"/>
    </sheetView>
  </sheetViews>
  <sheetFormatPr defaultRowHeight="14.5" x14ac:dyDescent="0.35"/>
  <cols>
    <col min="3" max="3" width="10.453125" customWidth="1"/>
  </cols>
  <sheetData>
    <row r="1" spans="1:6" ht="18.5" x14ac:dyDescent="0.45">
      <c r="A1" s="1" t="s">
        <v>275</v>
      </c>
      <c r="B1" s="1"/>
      <c r="C1" s="1"/>
      <c r="D1" s="1"/>
      <c r="E1" s="1"/>
      <c r="F1" s="1"/>
    </row>
    <row r="2" spans="1:6" ht="18.5" x14ac:dyDescent="0.45">
      <c r="A2" s="1" t="s">
        <v>276</v>
      </c>
      <c r="B2" s="15"/>
      <c r="C2" s="1"/>
      <c r="D2" s="1"/>
      <c r="E2" s="1"/>
      <c r="F2" s="1"/>
    </row>
    <row r="3" spans="1:6" ht="18.5" x14ac:dyDescent="0.45">
      <c r="A3" s="1" t="s">
        <v>277</v>
      </c>
      <c r="B3" s="1"/>
      <c r="C3" s="1"/>
      <c r="D3" s="1"/>
      <c r="E3" s="1"/>
      <c r="F3" s="1"/>
    </row>
    <row r="4" spans="1:6" ht="18.5" x14ac:dyDescent="0.45">
      <c r="A4" s="1" t="s">
        <v>281</v>
      </c>
      <c r="B4" s="1"/>
      <c r="C4" s="1"/>
      <c r="D4" s="1"/>
      <c r="E4" s="1"/>
      <c r="F4" s="1"/>
    </row>
    <row r="5" spans="1:6" ht="18.5" x14ac:dyDescent="0.45">
      <c r="A5" s="1" t="s">
        <v>278</v>
      </c>
      <c r="B5" s="1"/>
      <c r="C5" s="1"/>
      <c r="D5" s="1"/>
      <c r="E5" s="1"/>
      <c r="F5" s="1"/>
    </row>
    <row r="6" spans="1:6" ht="18.5" x14ac:dyDescent="0.45">
      <c r="A6" s="1" t="s">
        <v>279</v>
      </c>
      <c r="B6" s="1"/>
      <c r="C6" s="1"/>
      <c r="D6" s="1" t="s">
        <v>280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s="9">
        <v>45415</v>
      </c>
      <c r="B8">
        <v>6899</v>
      </c>
      <c r="C8" t="s">
        <v>282</v>
      </c>
      <c r="D8" s="11">
        <v>400000</v>
      </c>
      <c r="E8" s="11">
        <v>400000</v>
      </c>
      <c r="F8" t="s">
        <v>257</v>
      </c>
    </row>
    <row r="9" spans="1:6" ht="18.5" x14ac:dyDescent="0.45">
      <c r="A9" s="1" t="s">
        <v>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4"/>
  <sheetViews>
    <sheetView topLeftCell="A9" workbookViewId="0">
      <selection activeCell="E16" sqref="E16"/>
    </sheetView>
  </sheetViews>
  <sheetFormatPr defaultRowHeight="14.5" x14ac:dyDescent="0.35"/>
  <cols>
    <col min="3" max="3" width="13.26953125" customWidth="1"/>
    <col min="4" max="4" width="14.36328125" customWidth="1"/>
    <col min="5" max="5" width="10.7265625" customWidth="1"/>
    <col min="6" max="6" width="14.90625" customWidth="1"/>
  </cols>
  <sheetData>
    <row r="1" spans="1:6" ht="18.5" x14ac:dyDescent="0.45">
      <c r="A1" s="1" t="s">
        <v>329</v>
      </c>
      <c r="B1" s="1"/>
      <c r="C1" s="1"/>
      <c r="D1" s="1"/>
      <c r="E1" s="1"/>
      <c r="F1" s="1"/>
    </row>
    <row r="2" spans="1:6" ht="18.5" x14ac:dyDescent="0.45">
      <c r="A2" s="1" t="s">
        <v>330</v>
      </c>
      <c r="B2" s="15"/>
      <c r="C2" s="1"/>
      <c r="D2" s="1"/>
      <c r="E2" s="1"/>
      <c r="F2" s="1"/>
    </row>
    <row r="3" spans="1:6" ht="18.5" x14ac:dyDescent="0.45">
      <c r="A3" s="1" t="s">
        <v>331</v>
      </c>
      <c r="B3" s="1"/>
      <c r="C3" s="1"/>
      <c r="D3" s="1"/>
      <c r="E3" s="1"/>
      <c r="F3" s="1"/>
    </row>
    <row r="4" spans="1:6" ht="18.5" x14ac:dyDescent="0.45">
      <c r="A4" s="1" t="s">
        <v>342</v>
      </c>
      <c r="B4" s="1"/>
      <c r="C4" s="1"/>
      <c r="D4" s="1"/>
      <c r="E4" s="1"/>
      <c r="F4" s="1"/>
    </row>
    <row r="5" spans="1:6" ht="18.5" x14ac:dyDescent="0.45">
      <c r="A5" s="1" t="s">
        <v>332</v>
      </c>
      <c r="B5" s="1"/>
      <c r="C5" s="1"/>
      <c r="D5" s="1"/>
      <c r="E5" s="1"/>
      <c r="F5" s="1"/>
    </row>
    <row r="6" spans="1:6" ht="18.5" x14ac:dyDescent="0.45">
      <c r="A6" s="1" t="s">
        <v>333</v>
      </c>
      <c r="B6" s="1"/>
      <c r="C6" s="1"/>
      <c r="D6" s="1" t="s">
        <v>341</v>
      </c>
      <c r="E6" s="1"/>
      <c r="F6" s="1"/>
    </row>
    <row r="7" spans="1:6" ht="18.5" x14ac:dyDescent="0.45">
      <c r="A7" s="1" t="s">
        <v>334</v>
      </c>
    </row>
    <row r="8" spans="1:6" ht="18.5" x14ac:dyDescent="0.45">
      <c r="A8" s="1" t="s">
        <v>335</v>
      </c>
    </row>
    <row r="9" spans="1:6" ht="18.5" x14ac:dyDescent="0.45">
      <c r="A9" s="1" t="s">
        <v>336</v>
      </c>
      <c r="B9" s="1"/>
      <c r="C9" s="1"/>
      <c r="D9" s="1"/>
      <c r="E9" s="1"/>
    </row>
    <row r="10" spans="1:6" ht="18.5" x14ac:dyDescent="0.45">
      <c r="A10" s="1" t="s">
        <v>337</v>
      </c>
      <c r="B10" s="15"/>
      <c r="C10" s="1"/>
      <c r="D10" s="1"/>
      <c r="E10" s="1"/>
    </row>
    <row r="11" spans="1:6" ht="18.5" x14ac:dyDescent="0.45">
      <c r="A11" s="1" t="s">
        <v>338</v>
      </c>
      <c r="B11" s="1"/>
      <c r="C11" s="1"/>
      <c r="D11" s="1"/>
      <c r="E11" s="1"/>
    </row>
    <row r="12" spans="1:6" ht="18.5" x14ac:dyDescent="0.45">
      <c r="A12" s="1" t="s">
        <v>342</v>
      </c>
      <c r="B12" s="1"/>
      <c r="C12" s="1"/>
      <c r="D12" s="1"/>
      <c r="E12" s="1"/>
    </row>
    <row r="13" spans="1:6" ht="18.5" x14ac:dyDescent="0.45">
      <c r="A13" s="1" t="s">
        <v>339</v>
      </c>
      <c r="B13" s="1"/>
      <c r="C13" s="1"/>
      <c r="D13" s="1"/>
      <c r="E13" s="1"/>
    </row>
    <row r="14" spans="1:6" ht="18.5" x14ac:dyDescent="0.45">
      <c r="A14" s="1" t="s">
        <v>333</v>
      </c>
      <c r="B14" s="1"/>
      <c r="C14" s="1"/>
      <c r="D14" s="1" t="s">
        <v>340</v>
      </c>
      <c r="E14" s="1"/>
    </row>
    <row r="15" spans="1:6" ht="18.5" x14ac:dyDescent="0.45">
      <c r="A15" s="96" t="s">
        <v>6</v>
      </c>
      <c r="B15" s="97" t="s">
        <v>7</v>
      </c>
      <c r="C15" s="98" t="s">
        <v>8</v>
      </c>
      <c r="D15" s="98" t="s">
        <v>9</v>
      </c>
      <c r="E15" s="98" t="s">
        <v>10</v>
      </c>
      <c r="F15" s="99" t="s">
        <v>11</v>
      </c>
    </row>
    <row r="16" spans="1:6" ht="18.5" x14ac:dyDescent="0.45">
      <c r="A16" s="1" t="s">
        <v>343</v>
      </c>
    </row>
    <row r="19" spans="1:6" ht="18.5" x14ac:dyDescent="0.45">
      <c r="A19" s="74" t="s">
        <v>225</v>
      </c>
      <c r="B19" s="74"/>
      <c r="C19" s="74"/>
    </row>
    <row r="20" spans="1:6" ht="18.5" x14ac:dyDescent="0.45">
      <c r="A20" s="96" t="s">
        <v>6</v>
      </c>
      <c r="B20" s="97" t="s">
        <v>7</v>
      </c>
      <c r="C20" s="98" t="s">
        <v>8</v>
      </c>
      <c r="D20" s="98" t="s">
        <v>9</v>
      </c>
      <c r="E20" s="98" t="s">
        <v>10</v>
      </c>
      <c r="F20" s="99" t="s">
        <v>11</v>
      </c>
    </row>
    <row r="21" spans="1:6" x14ac:dyDescent="0.35">
      <c r="A21" s="9">
        <v>45415</v>
      </c>
      <c r="B21">
        <v>159</v>
      </c>
      <c r="C21" t="s">
        <v>634</v>
      </c>
      <c r="D21" s="11">
        <v>25000</v>
      </c>
      <c r="E21">
        <v>25000</v>
      </c>
      <c r="F21" s="11">
        <v>425000</v>
      </c>
    </row>
    <row r="22" spans="1:6" x14ac:dyDescent="0.35">
      <c r="A22" s="9">
        <v>45908</v>
      </c>
      <c r="B22">
        <v>3921</v>
      </c>
      <c r="C22" t="s">
        <v>634</v>
      </c>
      <c r="D22" s="11">
        <v>10000</v>
      </c>
      <c r="E22" s="11">
        <f>E21+D22</f>
        <v>35000</v>
      </c>
      <c r="F22" s="11">
        <f>F21-D22</f>
        <v>415000</v>
      </c>
    </row>
    <row r="23" spans="1:6" x14ac:dyDescent="0.35">
      <c r="A23" t="s">
        <v>678</v>
      </c>
      <c r="B23">
        <v>3583</v>
      </c>
      <c r="C23" t="s">
        <v>634</v>
      </c>
      <c r="D23">
        <v>5000</v>
      </c>
      <c r="E23" s="11">
        <f>E22+D23</f>
        <v>40000</v>
      </c>
      <c r="F23" s="11">
        <f>F22-D23</f>
        <v>410000</v>
      </c>
    </row>
    <row r="24" spans="1:6" x14ac:dyDescent="0.35">
      <c r="A24" t="s">
        <v>679</v>
      </c>
      <c r="B24">
        <v>5170</v>
      </c>
      <c r="C24" t="s">
        <v>634</v>
      </c>
      <c r="D24" s="11">
        <v>150000</v>
      </c>
      <c r="E24" s="11">
        <f>E23+D24</f>
        <v>190000</v>
      </c>
      <c r="F24" s="11" t="s">
        <v>372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8"/>
  <sheetViews>
    <sheetView topLeftCell="A5" workbookViewId="0">
      <selection activeCell="L7" sqref="L7"/>
    </sheetView>
  </sheetViews>
  <sheetFormatPr defaultRowHeight="14.5" x14ac:dyDescent="0.35"/>
  <cols>
    <col min="1" max="1" width="9.453125" bestFit="1" customWidth="1"/>
    <col min="3" max="3" width="13.7265625" customWidth="1"/>
    <col min="6" max="6" width="11.36328125" customWidth="1"/>
  </cols>
  <sheetData>
    <row r="1" spans="1:11" ht="18.5" x14ac:dyDescent="0.45">
      <c r="A1" s="1" t="s">
        <v>233</v>
      </c>
      <c r="B1" s="1"/>
      <c r="C1" s="1"/>
      <c r="D1" s="1"/>
      <c r="E1" s="1"/>
      <c r="F1" s="1"/>
    </row>
    <row r="2" spans="1:11" ht="18.5" x14ac:dyDescent="0.45">
      <c r="A2" s="1" t="s">
        <v>234</v>
      </c>
      <c r="B2" s="15"/>
      <c r="C2" s="1"/>
      <c r="D2" s="1"/>
      <c r="E2" s="1"/>
      <c r="F2" s="1"/>
    </row>
    <row r="3" spans="1:11" ht="18.5" x14ac:dyDescent="0.45">
      <c r="A3" s="1" t="s">
        <v>235</v>
      </c>
      <c r="B3" s="1"/>
      <c r="C3" s="1"/>
      <c r="D3" s="1"/>
      <c r="E3" s="1"/>
      <c r="F3" s="1"/>
    </row>
    <row r="4" spans="1:11" ht="18.5" x14ac:dyDescent="0.45">
      <c r="A4" s="1" t="s">
        <v>346</v>
      </c>
      <c r="B4" s="1"/>
      <c r="C4" s="1"/>
      <c r="D4" s="1"/>
      <c r="E4" s="1"/>
      <c r="F4" s="1"/>
    </row>
    <row r="5" spans="1:11" ht="18.5" x14ac:dyDescent="0.45">
      <c r="A5" s="1" t="s">
        <v>236</v>
      </c>
      <c r="B5" s="1"/>
      <c r="C5" s="1"/>
      <c r="D5" s="1"/>
      <c r="E5" s="1"/>
      <c r="F5" s="1"/>
    </row>
    <row r="6" spans="1:11" ht="18.5" x14ac:dyDescent="0.45">
      <c r="A6" s="1" t="s">
        <v>237</v>
      </c>
      <c r="B6" s="1"/>
      <c r="C6" s="1"/>
      <c r="D6" s="1" t="s">
        <v>238</v>
      </c>
      <c r="E6" s="1"/>
      <c r="F6" s="1"/>
    </row>
    <row r="7" spans="1:11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11" x14ac:dyDescent="0.35">
      <c r="A8" s="9">
        <v>45728</v>
      </c>
      <c r="B8">
        <v>850</v>
      </c>
      <c r="C8" t="s">
        <v>231</v>
      </c>
      <c r="D8" s="11">
        <v>100000</v>
      </c>
      <c r="E8" s="11">
        <v>100000</v>
      </c>
      <c r="F8" s="11">
        <v>800000</v>
      </c>
    </row>
    <row r="9" spans="1:11" x14ac:dyDescent="0.35">
      <c r="A9" s="9">
        <v>46174</v>
      </c>
      <c r="B9">
        <v>12005</v>
      </c>
      <c r="C9" t="s">
        <v>232</v>
      </c>
      <c r="D9" s="11">
        <v>200000</v>
      </c>
      <c r="E9" s="11">
        <f>SUM(E8+D9)</f>
        <v>300000</v>
      </c>
      <c r="F9" s="11">
        <f>F8-D9</f>
        <v>600000</v>
      </c>
    </row>
    <row r="10" spans="1:11" x14ac:dyDescent="0.35">
      <c r="A10" s="9">
        <v>46297</v>
      </c>
      <c r="B10">
        <v>12419</v>
      </c>
      <c r="C10" t="s">
        <v>47</v>
      </c>
      <c r="D10" s="11">
        <v>15000</v>
      </c>
      <c r="E10" s="11">
        <f t="shared" ref="E10:E13" si="0">SUM(E9+D10)</f>
        <v>315000</v>
      </c>
      <c r="F10" s="11">
        <f t="shared" ref="F10:F13" si="1">F9-D10</f>
        <v>585000</v>
      </c>
      <c r="K10" t="s">
        <v>239</v>
      </c>
    </row>
    <row r="11" spans="1:11" x14ac:dyDescent="0.35">
      <c r="A11" s="9">
        <v>46329</v>
      </c>
      <c r="B11">
        <v>12819</v>
      </c>
      <c r="C11" t="s">
        <v>47</v>
      </c>
      <c r="D11" s="11">
        <v>15000</v>
      </c>
      <c r="E11" s="11">
        <f t="shared" si="0"/>
        <v>330000</v>
      </c>
      <c r="F11" s="11">
        <f t="shared" si="1"/>
        <v>570000</v>
      </c>
    </row>
    <row r="12" spans="1:11" x14ac:dyDescent="0.35">
      <c r="A12" s="9">
        <v>45508</v>
      </c>
      <c r="B12">
        <v>13176</v>
      </c>
      <c r="C12" t="s">
        <v>47</v>
      </c>
      <c r="D12" s="11">
        <v>15000</v>
      </c>
      <c r="E12" s="11">
        <f t="shared" si="0"/>
        <v>345000</v>
      </c>
      <c r="F12" s="11">
        <f t="shared" si="1"/>
        <v>555000</v>
      </c>
    </row>
    <row r="13" spans="1:11" x14ac:dyDescent="0.35">
      <c r="A13" s="9">
        <v>45540</v>
      </c>
      <c r="B13">
        <v>12964</v>
      </c>
      <c r="C13" t="s">
        <v>47</v>
      </c>
      <c r="D13" s="11">
        <v>15000</v>
      </c>
      <c r="E13" s="11">
        <f t="shared" si="0"/>
        <v>360000</v>
      </c>
      <c r="F13" s="11">
        <f t="shared" si="1"/>
        <v>540000</v>
      </c>
    </row>
    <row r="14" spans="1:11" x14ac:dyDescent="0.35">
      <c r="A14" t="s">
        <v>461</v>
      </c>
      <c r="B14">
        <v>13510</v>
      </c>
      <c r="C14" t="s">
        <v>47</v>
      </c>
      <c r="D14" s="11">
        <v>15000</v>
      </c>
      <c r="E14" s="11">
        <f>E13+D14</f>
        <v>375000</v>
      </c>
      <c r="F14" s="11">
        <f>F13-D14</f>
        <v>525000</v>
      </c>
    </row>
    <row r="15" spans="1:11" x14ac:dyDescent="0.35">
      <c r="A15" t="s">
        <v>571</v>
      </c>
      <c r="B15">
        <v>1422</v>
      </c>
      <c r="C15" t="s">
        <v>47</v>
      </c>
      <c r="D15" s="11">
        <v>15000</v>
      </c>
      <c r="E15" s="11">
        <f>E14+D15</f>
        <v>390000</v>
      </c>
      <c r="F15" s="11">
        <f>F14-D15</f>
        <v>510000</v>
      </c>
    </row>
    <row r="16" spans="1:11" x14ac:dyDescent="0.35">
      <c r="A16" s="9">
        <v>46334</v>
      </c>
      <c r="B16">
        <v>1729</v>
      </c>
      <c r="C16" t="s">
        <v>47</v>
      </c>
      <c r="D16" s="11">
        <v>15000</v>
      </c>
      <c r="E16" s="11">
        <f>E15+D16</f>
        <v>405000</v>
      </c>
      <c r="F16" s="11">
        <f>F15-D16</f>
        <v>495000</v>
      </c>
    </row>
    <row r="17" spans="1:6" x14ac:dyDescent="0.35">
      <c r="A17" s="9">
        <v>46243</v>
      </c>
      <c r="B17">
        <v>1938</v>
      </c>
      <c r="C17" t="s">
        <v>47</v>
      </c>
      <c r="D17" s="11">
        <v>15000</v>
      </c>
      <c r="E17" s="11">
        <v>420000</v>
      </c>
      <c r="F17" s="11">
        <v>480000</v>
      </c>
    </row>
    <row r="18" spans="1:6" x14ac:dyDescent="0.35">
      <c r="A18" s="9">
        <v>46275</v>
      </c>
      <c r="B18">
        <v>2196</v>
      </c>
      <c r="C18" t="s">
        <v>47</v>
      </c>
      <c r="D18" s="11">
        <v>15000</v>
      </c>
      <c r="E18" s="11">
        <v>435000</v>
      </c>
      <c r="F18" s="11">
        <v>465000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H12" sqref="H12"/>
    </sheetView>
  </sheetViews>
  <sheetFormatPr defaultRowHeight="14.5" x14ac:dyDescent="0.35"/>
  <cols>
    <col min="1" max="1" width="10.08984375" customWidth="1"/>
    <col min="3" max="3" width="11.6328125" customWidth="1"/>
    <col min="6" max="6" width="12.90625" customWidth="1"/>
  </cols>
  <sheetData>
    <row r="1" spans="1:6" ht="18.5" x14ac:dyDescent="0.45">
      <c r="A1" s="1" t="s">
        <v>347</v>
      </c>
      <c r="B1" s="1"/>
      <c r="C1" s="1"/>
      <c r="D1" s="1"/>
      <c r="E1" s="1"/>
      <c r="F1" s="1"/>
    </row>
    <row r="2" spans="1:6" ht="18.5" x14ac:dyDescent="0.45">
      <c r="A2" s="1" t="s">
        <v>348</v>
      </c>
      <c r="B2" s="15"/>
      <c r="C2" s="1"/>
      <c r="D2" s="1"/>
      <c r="E2" s="1"/>
      <c r="F2" s="1"/>
    </row>
    <row r="3" spans="1:6" ht="18.5" x14ac:dyDescent="0.45">
      <c r="A3" s="1" t="s">
        <v>349</v>
      </c>
      <c r="B3" s="1"/>
      <c r="C3" s="1"/>
      <c r="D3" s="1"/>
      <c r="E3" s="1"/>
      <c r="F3" s="1"/>
    </row>
    <row r="4" spans="1:6" ht="18.5" x14ac:dyDescent="0.45">
      <c r="A4" s="1" t="s">
        <v>353</v>
      </c>
      <c r="B4" s="1"/>
      <c r="C4" s="1"/>
      <c r="D4" s="1"/>
      <c r="E4" s="1"/>
      <c r="F4" s="1"/>
    </row>
    <row r="5" spans="1:6" ht="18.5" x14ac:dyDescent="0.45">
      <c r="A5" s="1" t="s">
        <v>350</v>
      </c>
      <c r="B5" s="1"/>
      <c r="C5" s="1"/>
      <c r="D5" s="1"/>
      <c r="E5" s="1"/>
      <c r="F5" s="1"/>
    </row>
    <row r="6" spans="1:6" ht="18.5" x14ac:dyDescent="0.45">
      <c r="A6" s="1" t="s">
        <v>351</v>
      </c>
      <c r="B6" s="1"/>
      <c r="C6" s="1"/>
      <c r="D6" s="1" t="s">
        <v>352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s="9">
        <v>44714</v>
      </c>
      <c r="B8">
        <v>2242</v>
      </c>
      <c r="C8" t="s">
        <v>355</v>
      </c>
      <c r="D8" s="11">
        <v>140000</v>
      </c>
      <c r="E8" s="11">
        <v>140000</v>
      </c>
      <c r="F8" s="11">
        <v>240000</v>
      </c>
    </row>
    <row r="9" spans="1:6" x14ac:dyDescent="0.35">
      <c r="A9" t="s">
        <v>354</v>
      </c>
      <c r="B9">
        <v>2243</v>
      </c>
      <c r="C9" t="s">
        <v>271</v>
      </c>
      <c r="D9" s="11">
        <v>10000</v>
      </c>
      <c r="E9" s="11">
        <f>E8+D9</f>
        <v>150000</v>
      </c>
      <c r="F9" s="11">
        <f>F8-D9</f>
        <v>230000</v>
      </c>
    </row>
    <row r="10" spans="1:6" x14ac:dyDescent="0.35">
      <c r="A10" s="9">
        <v>45144</v>
      </c>
      <c r="B10">
        <v>237</v>
      </c>
      <c r="C10" t="s">
        <v>271</v>
      </c>
      <c r="D10" s="11">
        <v>20000</v>
      </c>
      <c r="E10" s="11">
        <f t="shared" ref="E10:E16" si="0">E9+D10</f>
        <v>170000</v>
      </c>
      <c r="F10" s="11">
        <f t="shared" ref="F10:F15" si="1">F9-D10</f>
        <v>210000</v>
      </c>
    </row>
    <row r="11" spans="1:6" x14ac:dyDescent="0.35">
      <c r="A11" s="9">
        <v>44992</v>
      </c>
      <c r="B11">
        <v>2110</v>
      </c>
      <c r="C11" t="s">
        <v>271</v>
      </c>
      <c r="D11" s="11">
        <v>10000</v>
      </c>
      <c r="E11" s="11">
        <f t="shared" si="0"/>
        <v>180000</v>
      </c>
      <c r="F11" s="11">
        <f t="shared" si="1"/>
        <v>200000</v>
      </c>
    </row>
    <row r="12" spans="1:6" x14ac:dyDescent="0.35">
      <c r="A12" s="9">
        <v>44993</v>
      </c>
      <c r="B12">
        <v>2215</v>
      </c>
      <c r="C12" t="s">
        <v>271</v>
      </c>
      <c r="D12" s="11">
        <v>10000</v>
      </c>
      <c r="E12" s="11">
        <f t="shared" si="0"/>
        <v>190000</v>
      </c>
      <c r="F12" s="11">
        <f t="shared" si="1"/>
        <v>190000</v>
      </c>
    </row>
    <row r="13" spans="1:6" x14ac:dyDescent="0.35">
      <c r="A13" s="9">
        <v>44935</v>
      </c>
      <c r="B13">
        <v>3347</v>
      </c>
      <c r="C13" t="s">
        <v>271</v>
      </c>
      <c r="D13" s="11">
        <v>10000</v>
      </c>
      <c r="E13" s="11">
        <f t="shared" si="0"/>
        <v>200000</v>
      </c>
      <c r="F13" s="11">
        <f t="shared" si="1"/>
        <v>180000</v>
      </c>
    </row>
    <row r="14" spans="1:6" x14ac:dyDescent="0.35">
      <c r="A14" s="9">
        <v>45087</v>
      </c>
      <c r="B14">
        <v>4028</v>
      </c>
      <c r="C14" t="s">
        <v>271</v>
      </c>
      <c r="D14" s="11">
        <v>10000</v>
      </c>
      <c r="E14" s="11">
        <f t="shared" si="0"/>
        <v>210000</v>
      </c>
      <c r="F14" s="11">
        <f t="shared" si="1"/>
        <v>170000</v>
      </c>
    </row>
    <row r="15" spans="1:6" x14ac:dyDescent="0.35">
      <c r="A15" s="9">
        <v>44996</v>
      </c>
      <c r="B15">
        <v>4610</v>
      </c>
      <c r="C15" t="s">
        <v>271</v>
      </c>
      <c r="D15" s="11">
        <v>10000</v>
      </c>
      <c r="E15" s="11">
        <f t="shared" si="0"/>
        <v>220000</v>
      </c>
      <c r="F15" s="11">
        <f t="shared" si="1"/>
        <v>160000</v>
      </c>
    </row>
    <row r="16" spans="1:6" x14ac:dyDescent="0.35">
      <c r="A16" s="9">
        <v>45181</v>
      </c>
      <c r="B16">
        <v>5399</v>
      </c>
      <c r="C16" t="s">
        <v>271</v>
      </c>
      <c r="D16" s="11">
        <v>110000</v>
      </c>
      <c r="E16" s="11">
        <f t="shared" si="0"/>
        <v>330000</v>
      </c>
      <c r="F16" s="11" t="s">
        <v>372</v>
      </c>
    </row>
    <row r="18" spans="1:6" x14ac:dyDescent="0.35">
      <c r="A18" s="9">
        <v>45423</v>
      </c>
      <c r="B18">
        <v>234</v>
      </c>
      <c r="C18" t="s">
        <v>373</v>
      </c>
      <c r="D18" s="11">
        <v>220000</v>
      </c>
      <c r="E18" s="11">
        <v>220000</v>
      </c>
      <c r="F18" t="s">
        <v>257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G7"/>
    </sheetView>
  </sheetViews>
  <sheetFormatPr defaultRowHeight="14.5" x14ac:dyDescent="0.35"/>
  <cols>
    <col min="3" max="3" width="13.7265625" customWidth="1"/>
  </cols>
  <sheetData>
    <row r="1" spans="1:6" ht="18.5" x14ac:dyDescent="0.45">
      <c r="A1" s="1" t="s">
        <v>374</v>
      </c>
      <c r="B1" s="1"/>
      <c r="C1" s="1"/>
      <c r="D1" s="1"/>
      <c r="E1" s="1"/>
      <c r="F1" s="1"/>
    </row>
    <row r="2" spans="1:6" ht="18.5" x14ac:dyDescent="0.45">
      <c r="A2" s="1" t="s">
        <v>375</v>
      </c>
      <c r="B2" s="15"/>
      <c r="C2" s="1"/>
      <c r="D2" s="1"/>
      <c r="E2" s="1"/>
      <c r="F2" s="1"/>
    </row>
    <row r="3" spans="1:6" ht="18.5" x14ac:dyDescent="0.45">
      <c r="A3" s="1" t="s">
        <v>376</v>
      </c>
      <c r="B3" s="1"/>
      <c r="C3" s="1"/>
      <c r="D3" s="1"/>
      <c r="E3" s="1"/>
      <c r="F3" s="1"/>
    </row>
    <row r="4" spans="1:6" ht="18.5" x14ac:dyDescent="0.45">
      <c r="A4" s="1" t="s">
        <v>380</v>
      </c>
      <c r="B4" s="1"/>
      <c r="C4" s="1"/>
      <c r="D4" s="1"/>
      <c r="E4" s="1"/>
      <c r="F4" s="1"/>
    </row>
    <row r="5" spans="1:6" ht="18.5" x14ac:dyDescent="0.45">
      <c r="A5" s="1" t="s">
        <v>377</v>
      </c>
      <c r="B5" s="1"/>
      <c r="C5" s="1"/>
      <c r="D5" s="1"/>
      <c r="E5" s="1"/>
      <c r="F5" s="1"/>
    </row>
    <row r="6" spans="1:6" ht="18.5" x14ac:dyDescent="0.45">
      <c r="A6" s="1" t="s">
        <v>378</v>
      </c>
      <c r="B6" s="1"/>
      <c r="C6" s="1"/>
      <c r="D6" s="1" t="s">
        <v>379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t="s">
        <v>381</v>
      </c>
      <c r="B8">
        <v>3341</v>
      </c>
      <c r="C8" t="s">
        <v>46</v>
      </c>
      <c r="D8" s="11">
        <v>200000</v>
      </c>
      <c r="E8" s="11">
        <v>200000</v>
      </c>
      <c r="F8" s="11">
        <v>150000</v>
      </c>
    </row>
    <row r="9" spans="1:6" x14ac:dyDescent="0.35">
      <c r="A9" s="9">
        <v>45116</v>
      </c>
      <c r="B9">
        <v>3434</v>
      </c>
      <c r="D9" s="11">
        <v>100000</v>
      </c>
      <c r="E9" s="11">
        <v>300000</v>
      </c>
      <c r="F9" t="s">
        <v>257</v>
      </c>
    </row>
    <row r="10" spans="1:6" ht="18.5" x14ac:dyDescent="0.45">
      <c r="A10" s="52" t="s">
        <v>225</v>
      </c>
      <c r="B10" s="52"/>
      <c r="C10" s="52"/>
      <c r="D10" s="52"/>
      <c r="E10" s="5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B42" sqref="B42"/>
    </sheetView>
  </sheetViews>
  <sheetFormatPr defaultRowHeight="14.5" x14ac:dyDescent="0.35"/>
  <cols>
    <col min="1" max="1" width="9.90625" customWidth="1"/>
    <col min="3" max="3" width="14.08984375" customWidth="1"/>
    <col min="6" max="6" width="11.1796875" customWidth="1"/>
  </cols>
  <sheetData>
    <row r="1" spans="1:7" ht="18.5" x14ac:dyDescent="0.45">
      <c r="A1" s="1" t="s">
        <v>359</v>
      </c>
      <c r="B1" s="1"/>
      <c r="C1" s="1"/>
      <c r="D1" s="1"/>
      <c r="E1" s="1"/>
      <c r="F1" s="1"/>
      <c r="G1" s="1"/>
    </row>
    <row r="2" spans="1:7" ht="18.5" x14ac:dyDescent="0.45">
      <c r="A2" s="1" t="s">
        <v>360</v>
      </c>
      <c r="B2" s="15"/>
      <c r="C2" s="1"/>
      <c r="D2" s="1"/>
      <c r="E2" s="1"/>
      <c r="F2" s="1"/>
      <c r="G2" s="1"/>
    </row>
    <row r="3" spans="1:7" ht="18.5" x14ac:dyDescent="0.45">
      <c r="A3" s="1" t="s">
        <v>361</v>
      </c>
      <c r="B3" s="1"/>
      <c r="C3" s="1"/>
      <c r="D3" s="1"/>
      <c r="E3" s="1"/>
      <c r="F3" s="1"/>
      <c r="G3" s="1"/>
    </row>
    <row r="4" spans="1:7" ht="18.5" x14ac:dyDescent="0.45">
      <c r="A4" s="1" t="s">
        <v>595</v>
      </c>
      <c r="B4" s="1"/>
      <c r="C4" s="1"/>
      <c r="D4" s="1"/>
      <c r="E4" s="1"/>
      <c r="F4" s="1"/>
      <c r="G4" s="1"/>
    </row>
    <row r="5" spans="1:7" ht="18.5" x14ac:dyDescent="0.45">
      <c r="A5" s="1" t="s">
        <v>596</v>
      </c>
      <c r="B5" s="1"/>
      <c r="C5" s="1"/>
      <c r="D5" s="1"/>
      <c r="E5" s="1"/>
      <c r="F5" s="1"/>
      <c r="G5" s="1"/>
    </row>
    <row r="6" spans="1:7" ht="18.5" x14ac:dyDescent="0.45">
      <c r="A6" s="1" t="s">
        <v>362</v>
      </c>
      <c r="B6" s="1"/>
      <c r="C6" s="1"/>
      <c r="D6" s="1" t="s">
        <v>189</v>
      </c>
      <c r="E6" s="1"/>
      <c r="F6" s="1"/>
      <c r="G6" s="1"/>
    </row>
    <row r="7" spans="1:7" x14ac:dyDescent="0.35">
      <c r="A7" s="12" t="s">
        <v>6</v>
      </c>
      <c r="B7" s="13" t="s">
        <v>7</v>
      </c>
      <c r="C7" s="14" t="s">
        <v>8</v>
      </c>
      <c r="D7" s="2" t="s">
        <v>9</v>
      </c>
      <c r="E7" s="2" t="s">
        <v>10</v>
      </c>
      <c r="F7" s="2" t="s">
        <v>11</v>
      </c>
      <c r="G7" s="63"/>
    </row>
    <row r="8" spans="1:7" x14ac:dyDescent="0.35">
      <c r="A8" s="7" t="s">
        <v>363</v>
      </c>
      <c r="B8" s="7">
        <v>36</v>
      </c>
      <c r="C8" s="7" t="s">
        <v>370</v>
      </c>
      <c r="D8" s="8">
        <v>205000</v>
      </c>
      <c r="E8" s="8">
        <v>205000</v>
      </c>
      <c r="F8" s="8">
        <v>245000</v>
      </c>
      <c r="G8" s="11"/>
    </row>
    <row r="9" spans="1:7" x14ac:dyDescent="0.35">
      <c r="A9" s="7" t="s">
        <v>364</v>
      </c>
      <c r="B9" s="7">
        <v>37</v>
      </c>
      <c r="C9" s="7" t="s">
        <v>16</v>
      </c>
      <c r="D9" s="8">
        <v>10000</v>
      </c>
      <c r="E9" s="8">
        <f>E8+D9</f>
        <v>215000</v>
      </c>
      <c r="F9" s="8">
        <f>F8-D9</f>
        <v>235000</v>
      </c>
      <c r="G9" s="11"/>
    </row>
    <row r="10" spans="1:7" x14ac:dyDescent="0.35">
      <c r="A10" s="7" t="s">
        <v>365</v>
      </c>
      <c r="B10" s="7">
        <v>1377</v>
      </c>
      <c r="C10" s="7" t="s">
        <v>16</v>
      </c>
      <c r="D10" s="8">
        <v>10000</v>
      </c>
      <c r="E10" s="8">
        <f t="shared" ref="E10:E33" si="0">E9+D10</f>
        <v>225000</v>
      </c>
      <c r="F10" s="8">
        <f t="shared" ref="F10:F25" si="1">F9-D10</f>
        <v>225000</v>
      </c>
      <c r="G10" s="11"/>
    </row>
    <row r="11" spans="1:7" x14ac:dyDescent="0.35">
      <c r="A11" s="58">
        <v>45022</v>
      </c>
      <c r="B11" s="7">
        <v>265</v>
      </c>
      <c r="C11" s="7" t="s">
        <v>16</v>
      </c>
      <c r="D11" s="8">
        <v>10000</v>
      </c>
      <c r="E11" s="8">
        <f t="shared" si="0"/>
        <v>235000</v>
      </c>
      <c r="F11" s="8">
        <f t="shared" si="1"/>
        <v>215000</v>
      </c>
      <c r="G11" s="11"/>
    </row>
    <row r="12" spans="1:7" x14ac:dyDescent="0.35">
      <c r="A12" s="58">
        <v>45267</v>
      </c>
      <c r="B12" s="7">
        <v>2176</v>
      </c>
      <c r="C12" s="7" t="s">
        <v>16</v>
      </c>
      <c r="D12" s="8">
        <v>10000</v>
      </c>
      <c r="E12" s="8">
        <f t="shared" si="0"/>
        <v>245000</v>
      </c>
      <c r="F12" s="8">
        <f t="shared" si="1"/>
        <v>205000</v>
      </c>
      <c r="G12" s="11"/>
    </row>
    <row r="13" spans="1:7" x14ac:dyDescent="0.35">
      <c r="A13" s="7" t="s">
        <v>366</v>
      </c>
      <c r="B13" s="7">
        <v>2402</v>
      </c>
      <c r="C13" s="7" t="s">
        <v>16</v>
      </c>
      <c r="D13" s="8">
        <v>10000</v>
      </c>
      <c r="E13" s="8">
        <f t="shared" si="0"/>
        <v>255000</v>
      </c>
      <c r="F13" s="8">
        <f t="shared" si="1"/>
        <v>195000</v>
      </c>
      <c r="G13" s="11"/>
    </row>
    <row r="14" spans="1:7" x14ac:dyDescent="0.35">
      <c r="A14" s="7" t="s">
        <v>367</v>
      </c>
      <c r="B14" s="7">
        <v>3753</v>
      </c>
      <c r="C14" s="7" t="s">
        <v>16</v>
      </c>
      <c r="D14" s="8">
        <v>10000</v>
      </c>
      <c r="E14" s="8">
        <f t="shared" si="0"/>
        <v>265000</v>
      </c>
      <c r="F14" s="8">
        <f t="shared" si="1"/>
        <v>185000</v>
      </c>
      <c r="G14" s="11"/>
    </row>
    <row r="15" spans="1:7" x14ac:dyDescent="0.35">
      <c r="A15" s="7" t="s">
        <v>368</v>
      </c>
      <c r="B15" s="7">
        <v>4333</v>
      </c>
      <c r="C15" s="7" t="s">
        <v>16</v>
      </c>
      <c r="D15" s="8">
        <v>10000</v>
      </c>
      <c r="E15" s="8">
        <f t="shared" si="0"/>
        <v>275000</v>
      </c>
      <c r="F15" s="8">
        <f t="shared" si="1"/>
        <v>175000</v>
      </c>
      <c r="G15" s="11"/>
    </row>
    <row r="16" spans="1:7" x14ac:dyDescent="0.35">
      <c r="A16" s="58">
        <v>45057</v>
      </c>
      <c r="B16" s="7">
        <v>4634</v>
      </c>
      <c r="C16" s="7" t="s">
        <v>16</v>
      </c>
      <c r="D16" s="8">
        <v>10000</v>
      </c>
      <c r="E16" s="8">
        <f t="shared" si="0"/>
        <v>285000</v>
      </c>
      <c r="F16" s="8">
        <f t="shared" si="1"/>
        <v>165000</v>
      </c>
      <c r="G16" s="11"/>
    </row>
    <row r="17" spans="1:7" x14ac:dyDescent="0.35">
      <c r="A17" s="58">
        <v>45272</v>
      </c>
      <c r="B17" s="7">
        <v>5499</v>
      </c>
      <c r="C17" s="7" t="s">
        <v>16</v>
      </c>
      <c r="D17" s="8">
        <v>10000</v>
      </c>
      <c r="E17" s="8">
        <f t="shared" si="0"/>
        <v>295000</v>
      </c>
      <c r="F17" s="8">
        <f t="shared" si="1"/>
        <v>155000</v>
      </c>
      <c r="G17" s="11"/>
    </row>
    <row r="18" spans="1:7" x14ac:dyDescent="0.35">
      <c r="A18" s="7" t="s">
        <v>369</v>
      </c>
      <c r="B18" s="7">
        <v>6136</v>
      </c>
      <c r="C18" s="7" t="s">
        <v>16</v>
      </c>
      <c r="D18" s="8">
        <v>10000</v>
      </c>
      <c r="E18" s="8">
        <f t="shared" si="0"/>
        <v>305000</v>
      </c>
      <c r="F18" s="8">
        <f t="shared" si="1"/>
        <v>145000</v>
      </c>
      <c r="G18" s="11"/>
    </row>
    <row r="19" spans="1:7" x14ac:dyDescent="0.35">
      <c r="A19" s="7" t="s">
        <v>371</v>
      </c>
      <c r="B19" s="7">
        <v>6699</v>
      </c>
      <c r="C19" s="7" t="s">
        <v>16</v>
      </c>
      <c r="D19" s="8">
        <v>10000</v>
      </c>
      <c r="E19" s="8">
        <f t="shared" si="0"/>
        <v>315000</v>
      </c>
      <c r="F19" s="8">
        <f t="shared" si="1"/>
        <v>135000</v>
      </c>
    </row>
    <row r="20" spans="1:7" x14ac:dyDescent="0.35">
      <c r="A20" s="58">
        <v>45599</v>
      </c>
      <c r="B20" s="7">
        <v>7293</v>
      </c>
      <c r="C20" s="7" t="s">
        <v>16</v>
      </c>
      <c r="D20" s="8">
        <v>10000</v>
      </c>
      <c r="E20" s="8">
        <f t="shared" si="0"/>
        <v>325000</v>
      </c>
      <c r="F20" s="8">
        <f t="shared" si="1"/>
        <v>125000</v>
      </c>
    </row>
    <row r="21" spans="1:7" x14ac:dyDescent="0.35">
      <c r="A21" s="58">
        <v>45508</v>
      </c>
      <c r="B21" s="7">
        <v>7761</v>
      </c>
      <c r="C21" s="7" t="s">
        <v>16</v>
      </c>
      <c r="D21" s="8">
        <v>10000</v>
      </c>
      <c r="E21" s="8">
        <f t="shared" si="0"/>
        <v>335000</v>
      </c>
      <c r="F21" s="8">
        <f t="shared" si="1"/>
        <v>115000</v>
      </c>
    </row>
    <row r="22" spans="1:7" x14ac:dyDescent="0.35">
      <c r="A22" s="58">
        <v>45601</v>
      </c>
      <c r="B22" s="7">
        <v>8397</v>
      </c>
      <c r="C22" s="7" t="s">
        <v>16</v>
      </c>
      <c r="D22" s="8">
        <v>10000</v>
      </c>
      <c r="E22" s="8">
        <f t="shared" si="0"/>
        <v>345000</v>
      </c>
      <c r="F22" s="8">
        <f t="shared" si="1"/>
        <v>105000</v>
      </c>
    </row>
    <row r="23" spans="1:7" x14ac:dyDescent="0.35">
      <c r="A23" s="58">
        <v>45479</v>
      </c>
      <c r="B23" s="7">
        <v>8880</v>
      </c>
      <c r="C23" s="7" t="s">
        <v>16</v>
      </c>
      <c r="D23" s="8">
        <v>10000</v>
      </c>
      <c r="E23" s="8">
        <f t="shared" si="0"/>
        <v>355000</v>
      </c>
      <c r="F23" s="8">
        <f t="shared" si="1"/>
        <v>95000</v>
      </c>
    </row>
    <row r="24" spans="1:7" x14ac:dyDescent="0.35">
      <c r="A24" s="58">
        <v>45572</v>
      </c>
      <c r="B24" s="7">
        <v>9477</v>
      </c>
      <c r="C24" s="7" t="s">
        <v>16</v>
      </c>
      <c r="D24" s="8">
        <v>10000</v>
      </c>
      <c r="E24" s="8">
        <f t="shared" si="0"/>
        <v>365000</v>
      </c>
      <c r="F24" s="8">
        <f t="shared" si="1"/>
        <v>85000</v>
      </c>
    </row>
    <row r="25" spans="1:7" x14ac:dyDescent="0.35">
      <c r="A25" s="58">
        <v>45604</v>
      </c>
      <c r="B25" s="7">
        <v>11071</v>
      </c>
      <c r="C25" s="7" t="s">
        <v>16</v>
      </c>
      <c r="D25" s="8">
        <v>10000</v>
      </c>
      <c r="E25" s="8">
        <f t="shared" si="0"/>
        <v>375000</v>
      </c>
      <c r="F25" s="8">
        <f t="shared" si="1"/>
        <v>75000</v>
      </c>
    </row>
    <row r="26" spans="1:7" x14ac:dyDescent="0.35">
      <c r="A26" s="58">
        <v>45544</v>
      </c>
      <c r="B26" s="7">
        <v>10652</v>
      </c>
      <c r="C26" s="7" t="s">
        <v>16</v>
      </c>
      <c r="D26" s="8">
        <v>10000</v>
      </c>
      <c r="E26" s="8">
        <f t="shared" si="0"/>
        <v>385000</v>
      </c>
      <c r="F26" s="8">
        <f t="shared" ref="F26:F33" si="2">F25-D26</f>
        <v>65000</v>
      </c>
    </row>
    <row r="27" spans="1:7" x14ac:dyDescent="0.35">
      <c r="A27" s="58">
        <v>45453</v>
      </c>
      <c r="B27" s="7">
        <v>340</v>
      </c>
      <c r="C27" s="7" t="s">
        <v>16</v>
      </c>
      <c r="D27" s="8">
        <v>10000</v>
      </c>
      <c r="E27" s="8">
        <f t="shared" si="0"/>
        <v>395000</v>
      </c>
      <c r="F27" s="8">
        <f t="shared" si="2"/>
        <v>55000</v>
      </c>
    </row>
    <row r="28" spans="1:7" x14ac:dyDescent="0.35">
      <c r="A28" s="58">
        <v>45454</v>
      </c>
      <c r="B28" s="7">
        <v>11907</v>
      </c>
      <c r="C28" s="7" t="s">
        <v>16</v>
      </c>
      <c r="D28" s="8">
        <v>5000</v>
      </c>
      <c r="E28" s="8">
        <f t="shared" si="0"/>
        <v>400000</v>
      </c>
      <c r="F28" s="8">
        <f t="shared" si="2"/>
        <v>50000</v>
      </c>
    </row>
    <row r="29" spans="1:7" x14ac:dyDescent="0.35">
      <c r="A29" s="58">
        <v>45455</v>
      </c>
      <c r="B29" s="7">
        <v>12202</v>
      </c>
      <c r="C29" s="7" t="s">
        <v>16</v>
      </c>
      <c r="D29" s="8">
        <v>10000</v>
      </c>
      <c r="E29" s="8">
        <f t="shared" si="0"/>
        <v>410000</v>
      </c>
      <c r="F29" s="8">
        <f t="shared" si="2"/>
        <v>40000</v>
      </c>
    </row>
    <row r="30" spans="1:7" x14ac:dyDescent="0.35">
      <c r="A30" s="58">
        <v>45839</v>
      </c>
      <c r="B30" s="7">
        <v>12964</v>
      </c>
      <c r="C30" s="7" t="s">
        <v>16</v>
      </c>
      <c r="D30" s="8">
        <v>10000</v>
      </c>
      <c r="E30" s="8">
        <f t="shared" si="0"/>
        <v>420000</v>
      </c>
      <c r="F30" s="8">
        <f t="shared" si="2"/>
        <v>30000</v>
      </c>
    </row>
    <row r="31" spans="1:7" x14ac:dyDescent="0.35">
      <c r="A31" s="58">
        <v>45902</v>
      </c>
      <c r="B31" s="7">
        <v>9299</v>
      </c>
      <c r="C31" s="7" t="s">
        <v>16</v>
      </c>
      <c r="D31" s="8">
        <v>10000</v>
      </c>
      <c r="E31" s="8">
        <f t="shared" si="0"/>
        <v>430000</v>
      </c>
      <c r="F31" s="8">
        <f t="shared" si="2"/>
        <v>20000</v>
      </c>
    </row>
    <row r="32" spans="1:7" x14ac:dyDescent="0.35">
      <c r="A32" s="58">
        <v>45872</v>
      </c>
      <c r="B32" s="7">
        <v>9654</v>
      </c>
      <c r="C32" s="7" t="s">
        <v>16</v>
      </c>
      <c r="D32" s="8">
        <v>10000</v>
      </c>
      <c r="E32" s="8">
        <f t="shared" si="0"/>
        <v>440000</v>
      </c>
      <c r="F32" s="8">
        <f t="shared" si="2"/>
        <v>10000</v>
      </c>
    </row>
    <row r="33" spans="1:6" x14ac:dyDescent="0.35">
      <c r="A33" s="58">
        <v>45965</v>
      </c>
      <c r="B33" s="7">
        <v>12419</v>
      </c>
      <c r="C33" s="7" t="s">
        <v>16</v>
      </c>
      <c r="D33" s="8">
        <v>10000</v>
      </c>
      <c r="E33" s="8">
        <f t="shared" si="0"/>
        <v>450000</v>
      </c>
      <c r="F33" s="8">
        <f t="shared" si="2"/>
        <v>0</v>
      </c>
    </row>
    <row r="34" spans="1:6" ht="18.5" x14ac:dyDescent="0.45">
      <c r="A34" s="52" t="s">
        <v>225</v>
      </c>
      <c r="B34" s="52"/>
      <c r="C34" s="52"/>
      <c r="D34" s="52"/>
      <c r="E34" s="52"/>
      <c r="F34" s="52"/>
    </row>
    <row r="35" spans="1:6" x14ac:dyDescent="0.35">
      <c r="A35" s="3">
        <v>45817</v>
      </c>
      <c r="B35" s="7">
        <v>3476</v>
      </c>
      <c r="C35" s="7" t="s">
        <v>599</v>
      </c>
      <c r="D35" s="8">
        <v>10000</v>
      </c>
      <c r="E35" s="8">
        <v>10000</v>
      </c>
      <c r="F35" s="8">
        <v>440000</v>
      </c>
    </row>
    <row r="36" spans="1:6" x14ac:dyDescent="0.35">
      <c r="A36" s="3">
        <v>45787</v>
      </c>
      <c r="B36" s="7">
        <v>3256</v>
      </c>
      <c r="C36" s="7" t="s">
        <v>599</v>
      </c>
      <c r="D36" s="8">
        <v>50000</v>
      </c>
      <c r="E36" s="8">
        <f t="shared" ref="E36:E45" si="3">E35+D36</f>
        <v>60000</v>
      </c>
      <c r="F36" s="8">
        <f t="shared" ref="F36:F45" si="4">F35-D36</f>
        <v>390000</v>
      </c>
    </row>
    <row r="37" spans="1:6" x14ac:dyDescent="0.35">
      <c r="A37" s="3">
        <v>45880</v>
      </c>
      <c r="B37" s="7">
        <v>3641</v>
      </c>
      <c r="C37" s="7" t="s">
        <v>599</v>
      </c>
      <c r="D37" s="8">
        <v>5000</v>
      </c>
      <c r="E37" s="8">
        <f t="shared" si="3"/>
        <v>65000</v>
      </c>
      <c r="F37" s="8">
        <f t="shared" si="4"/>
        <v>385000</v>
      </c>
    </row>
    <row r="38" spans="1:6" x14ac:dyDescent="0.35">
      <c r="A38" s="3">
        <v>45870</v>
      </c>
      <c r="B38" s="7">
        <v>5234</v>
      </c>
      <c r="C38" s="7" t="s">
        <v>599</v>
      </c>
      <c r="D38" s="8">
        <v>10000</v>
      </c>
      <c r="E38" s="8">
        <f t="shared" si="3"/>
        <v>75000</v>
      </c>
      <c r="F38" s="8">
        <f t="shared" si="4"/>
        <v>375000</v>
      </c>
    </row>
    <row r="39" spans="1:6" x14ac:dyDescent="0.35">
      <c r="A39" s="3">
        <v>46328</v>
      </c>
      <c r="B39" s="7">
        <v>5498</v>
      </c>
      <c r="C39" s="7" t="s">
        <v>599</v>
      </c>
      <c r="D39" s="8">
        <v>5000</v>
      </c>
      <c r="E39" s="8">
        <f t="shared" si="3"/>
        <v>80000</v>
      </c>
      <c r="F39" s="8">
        <f t="shared" si="4"/>
        <v>370000</v>
      </c>
    </row>
    <row r="40" spans="1:6" x14ac:dyDescent="0.35">
      <c r="A40" s="2" t="s">
        <v>597</v>
      </c>
      <c r="B40" s="7">
        <v>5734</v>
      </c>
      <c r="C40" s="7" t="s">
        <v>599</v>
      </c>
      <c r="D40" s="8">
        <v>5000</v>
      </c>
      <c r="E40" s="8">
        <f t="shared" si="3"/>
        <v>85000</v>
      </c>
      <c r="F40" s="8">
        <f t="shared" si="4"/>
        <v>365000</v>
      </c>
    </row>
    <row r="41" spans="1:6" x14ac:dyDescent="0.35">
      <c r="A41" s="3">
        <v>46238</v>
      </c>
      <c r="B41" s="7">
        <v>5881</v>
      </c>
      <c r="C41" s="7" t="s">
        <v>599</v>
      </c>
      <c r="D41" s="8">
        <v>5000</v>
      </c>
      <c r="E41" s="8">
        <f t="shared" si="3"/>
        <v>90000</v>
      </c>
      <c r="F41" s="8">
        <f t="shared" si="4"/>
        <v>360000</v>
      </c>
    </row>
    <row r="42" spans="1:6" x14ac:dyDescent="0.35">
      <c r="A42" s="3">
        <v>46300</v>
      </c>
      <c r="B42" s="7">
        <v>1421</v>
      </c>
      <c r="C42" s="7" t="s">
        <v>599</v>
      </c>
      <c r="D42" s="8">
        <v>10000</v>
      </c>
      <c r="E42" s="8">
        <f t="shared" si="3"/>
        <v>100000</v>
      </c>
      <c r="F42" s="8">
        <f t="shared" si="4"/>
        <v>350000</v>
      </c>
    </row>
    <row r="43" spans="1:6" x14ac:dyDescent="0.35">
      <c r="A43" s="3" t="s">
        <v>598</v>
      </c>
      <c r="B43" s="7">
        <v>1636</v>
      </c>
      <c r="C43" s="7" t="s">
        <v>599</v>
      </c>
      <c r="D43" s="8">
        <v>10000</v>
      </c>
      <c r="E43" s="8">
        <f t="shared" si="3"/>
        <v>110000</v>
      </c>
      <c r="F43" s="8">
        <f t="shared" si="4"/>
        <v>340000</v>
      </c>
    </row>
    <row r="44" spans="1:6" x14ac:dyDescent="0.35">
      <c r="A44" s="3">
        <v>46363</v>
      </c>
      <c r="B44" s="7">
        <v>1814</v>
      </c>
      <c r="C44" s="7" t="s">
        <v>599</v>
      </c>
      <c r="D44" s="8">
        <v>10000</v>
      </c>
      <c r="E44" s="8">
        <f t="shared" si="3"/>
        <v>120000</v>
      </c>
      <c r="F44" s="8">
        <f t="shared" si="4"/>
        <v>330000</v>
      </c>
    </row>
    <row r="45" spans="1:6" x14ac:dyDescent="0.35">
      <c r="A45" s="58">
        <v>46273</v>
      </c>
      <c r="B45" s="7">
        <v>3753</v>
      </c>
      <c r="C45" s="7" t="s">
        <v>599</v>
      </c>
      <c r="D45" s="8">
        <v>5000</v>
      </c>
      <c r="E45" s="8">
        <f t="shared" si="3"/>
        <v>125000</v>
      </c>
      <c r="F45" s="8">
        <f t="shared" si="4"/>
        <v>325000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G7"/>
    </sheetView>
  </sheetViews>
  <sheetFormatPr defaultRowHeight="14.5" x14ac:dyDescent="0.35"/>
  <cols>
    <col min="1" max="1" width="9.453125" bestFit="1" customWidth="1"/>
    <col min="3" max="3" width="11.1796875" customWidth="1"/>
    <col min="4" max="4" width="12.1796875" customWidth="1"/>
    <col min="5" max="5" width="10" customWidth="1"/>
    <col min="7" max="7" width="7.54296875" customWidth="1"/>
  </cols>
  <sheetData>
    <row r="1" spans="1:7" ht="18.5" x14ac:dyDescent="0.45">
      <c r="A1" s="1" t="s">
        <v>600</v>
      </c>
      <c r="B1" s="1"/>
      <c r="C1" s="1"/>
      <c r="D1" s="1"/>
      <c r="E1" s="1"/>
      <c r="F1" s="1"/>
    </row>
    <row r="2" spans="1:7" ht="18.5" x14ac:dyDescent="0.45">
      <c r="A2" s="1" t="s">
        <v>601</v>
      </c>
      <c r="B2" s="15"/>
      <c r="C2" s="1"/>
      <c r="D2" s="1"/>
      <c r="E2" s="1"/>
      <c r="F2" s="1"/>
    </row>
    <row r="3" spans="1:7" ht="18.5" x14ac:dyDescent="0.45">
      <c r="A3" s="1" t="s">
        <v>602</v>
      </c>
      <c r="B3" s="1"/>
      <c r="C3" s="1"/>
      <c r="D3" s="1"/>
      <c r="E3" s="1"/>
      <c r="F3" s="1"/>
    </row>
    <row r="4" spans="1:7" ht="18.5" x14ac:dyDescent="0.45">
      <c r="A4" s="1" t="s">
        <v>603</v>
      </c>
      <c r="B4" s="1"/>
      <c r="C4" s="1"/>
      <c r="D4" s="1"/>
      <c r="E4" s="1"/>
      <c r="F4" s="1"/>
    </row>
    <row r="5" spans="1:7" ht="18.5" x14ac:dyDescent="0.45">
      <c r="A5" s="1" t="s">
        <v>604</v>
      </c>
      <c r="B5" s="1"/>
      <c r="C5" s="1"/>
      <c r="D5" s="1"/>
      <c r="E5" s="1"/>
      <c r="F5" s="1"/>
    </row>
    <row r="6" spans="1:7" ht="18.5" x14ac:dyDescent="0.45">
      <c r="A6" s="1" t="s">
        <v>605</v>
      </c>
      <c r="B6" s="1"/>
      <c r="C6" s="1"/>
      <c r="D6" s="1" t="s">
        <v>606</v>
      </c>
      <c r="E6" s="1"/>
      <c r="F6" s="1"/>
    </row>
    <row r="7" spans="1:7" ht="15.5" x14ac:dyDescent="0.35">
      <c r="A7" s="64" t="s">
        <v>6</v>
      </c>
      <c r="B7" s="65" t="s">
        <v>7</v>
      </c>
      <c r="C7" s="66" t="s">
        <v>8</v>
      </c>
      <c r="D7" s="67" t="s">
        <v>9</v>
      </c>
      <c r="E7" s="67" t="s">
        <v>10</v>
      </c>
      <c r="F7" s="68" t="s">
        <v>11</v>
      </c>
      <c r="G7" s="69"/>
    </row>
    <row r="8" spans="1:7" x14ac:dyDescent="0.35">
      <c r="A8" s="58">
        <v>46334</v>
      </c>
      <c r="B8" s="7">
        <v>1737</v>
      </c>
      <c r="C8" s="7" t="s">
        <v>607</v>
      </c>
      <c r="D8" s="8">
        <v>100000</v>
      </c>
      <c r="E8" s="8">
        <v>100000</v>
      </c>
      <c r="F8" s="8">
        <v>380000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F7"/>
    </sheetView>
  </sheetViews>
  <sheetFormatPr defaultRowHeight="14.5" x14ac:dyDescent="0.35"/>
  <cols>
    <col min="1" max="1" width="9.453125" bestFit="1" customWidth="1"/>
    <col min="3" max="3" width="11.36328125" customWidth="1"/>
    <col min="4" max="4" width="13.7265625" customWidth="1"/>
    <col min="5" max="5" width="11.453125" customWidth="1"/>
    <col min="6" max="6" width="12.08984375" customWidth="1"/>
  </cols>
  <sheetData>
    <row r="1" spans="1:7" ht="18.5" x14ac:dyDescent="0.45">
      <c r="A1" s="1" t="s">
        <v>608</v>
      </c>
      <c r="B1" s="1"/>
      <c r="C1" s="1"/>
      <c r="D1" s="1"/>
      <c r="E1" s="1"/>
      <c r="F1" s="1"/>
    </row>
    <row r="2" spans="1:7" ht="18.5" x14ac:dyDescent="0.45">
      <c r="A2" s="1" t="s">
        <v>601</v>
      </c>
      <c r="B2" s="15"/>
      <c r="C2" s="1"/>
      <c r="D2" s="1"/>
      <c r="E2" s="1"/>
      <c r="F2" s="1"/>
    </row>
    <row r="3" spans="1:7" ht="18.5" x14ac:dyDescent="0.45">
      <c r="A3" s="1" t="s">
        <v>609</v>
      </c>
      <c r="B3" s="1"/>
      <c r="C3" s="1"/>
      <c r="D3" s="1"/>
      <c r="E3" s="1"/>
      <c r="F3" s="1"/>
    </row>
    <row r="4" spans="1:7" ht="18.5" x14ac:dyDescent="0.45">
      <c r="A4" s="1" t="s">
        <v>611</v>
      </c>
      <c r="B4" s="1"/>
      <c r="C4" s="1"/>
      <c r="D4" s="1"/>
      <c r="E4" s="1"/>
      <c r="F4" s="1"/>
    </row>
    <row r="5" spans="1:7" ht="18.5" x14ac:dyDescent="0.45">
      <c r="A5" s="1" t="s">
        <v>604</v>
      </c>
      <c r="B5" s="1"/>
      <c r="C5" s="1"/>
      <c r="D5" s="1"/>
      <c r="E5" s="1"/>
      <c r="F5" s="1"/>
    </row>
    <row r="6" spans="1:7" ht="18.5" x14ac:dyDescent="0.45">
      <c r="A6" s="1" t="s">
        <v>610</v>
      </c>
      <c r="B6" s="1"/>
      <c r="C6" s="1"/>
      <c r="D6" s="1" t="s">
        <v>606</v>
      </c>
      <c r="E6" s="1"/>
      <c r="F6" s="1"/>
    </row>
    <row r="7" spans="1:7" ht="15.5" x14ac:dyDescent="0.35">
      <c r="A7" s="64" t="s">
        <v>6</v>
      </c>
      <c r="B7" s="65" t="s">
        <v>7</v>
      </c>
      <c r="C7" s="66" t="s">
        <v>8</v>
      </c>
      <c r="D7" s="67" t="s">
        <v>9</v>
      </c>
      <c r="E7" s="67" t="s">
        <v>10</v>
      </c>
      <c r="F7" s="68" t="s">
        <v>11</v>
      </c>
      <c r="G7" s="69"/>
    </row>
    <row r="8" spans="1:7" x14ac:dyDescent="0.35">
      <c r="A8" s="58">
        <v>46334</v>
      </c>
      <c r="B8" s="7">
        <v>1738</v>
      </c>
      <c r="C8" s="7" t="s">
        <v>607</v>
      </c>
      <c r="D8" s="8">
        <v>100000</v>
      </c>
      <c r="E8" s="8">
        <v>100000</v>
      </c>
      <c r="F8" s="8">
        <v>380000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3" workbookViewId="0">
      <selection activeCell="H22" sqref="H22"/>
    </sheetView>
  </sheetViews>
  <sheetFormatPr defaultRowHeight="14.5" x14ac:dyDescent="0.35"/>
  <cols>
    <col min="1" max="1" width="10.453125" bestFit="1" customWidth="1"/>
    <col min="3" max="3" width="14.08984375" customWidth="1"/>
    <col min="4" max="4" width="12.54296875" customWidth="1"/>
    <col min="5" max="5" width="10.54296875" customWidth="1"/>
    <col min="6" max="6" width="12.36328125" customWidth="1"/>
  </cols>
  <sheetData>
    <row r="1" spans="1:6" ht="18.5" x14ac:dyDescent="0.45">
      <c r="A1" s="1" t="s">
        <v>612</v>
      </c>
      <c r="B1" s="1"/>
      <c r="C1" s="1"/>
      <c r="D1" s="1"/>
      <c r="E1" s="1"/>
      <c r="F1" s="1"/>
    </row>
    <row r="2" spans="1:6" ht="18.5" x14ac:dyDescent="0.45">
      <c r="A2" s="1" t="s">
        <v>613</v>
      </c>
      <c r="B2" s="15"/>
      <c r="C2" s="1"/>
      <c r="D2" s="1"/>
      <c r="E2" s="1"/>
      <c r="F2" s="1"/>
    </row>
    <row r="3" spans="1:6" ht="18.5" x14ac:dyDescent="0.45">
      <c r="A3" s="1" t="s">
        <v>614</v>
      </c>
      <c r="B3" s="1"/>
      <c r="C3" s="1"/>
      <c r="D3" s="1"/>
      <c r="E3" s="1"/>
      <c r="F3" s="1"/>
    </row>
    <row r="4" spans="1:6" ht="18.5" x14ac:dyDescent="0.45">
      <c r="A4" s="1" t="s">
        <v>617</v>
      </c>
      <c r="B4" s="1"/>
      <c r="C4" s="1"/>
      <c r="D4" s="1"/>
      <c r="E4" s="1"/>
      <c r="F4" s="1"/>
    </row>
    <row r="5" spans="1:6" ht="18.5" x14ac:dyDescent="0.45">
      <c r="A5" s="1" t="s">
        <v>615</v>
      </c>
      <c r="B5" s="1"/>
      <c r="C5" s="1"/>
      <c r="D5" s="1"/>
      <c r="E5" s="1"/>
      <c r="F5" s="1"/>
    </row>
    <row r="6" spans="1:6" ht="18.5" x14ac:dyDescent="0.45">
      <c r="A6" s="1" t="s">
        <v>616</v>
      </c>
      <c r="B6" s="1"/>
      <c r="C6" s="1"/>
      <c r="D6" s="1" t="s">
        <v>618</v>
      </c>
      <c r="E6" s="1"/>
      <c r="F6" s="1"/>
    </row>
    <row r="7" spans="1:6" ht="15.5" x14ac:dyDescent="0.35">
      <c r="A7" s="64" t="s">
        <v>6</v>
      </c>
      <c r="B7" s="65" t="s">
        <v>7</v>
      </c>
      <c r="C7" s="66" t="s">
        <v>8</v>
      </c>
      <c r="D7" s="67" t="s">
        <v>9</v>
      </c>
      <c r="E7" s="67" t="s">
        <v>10</v>
      </c>
      <c r="F7" s="68" t="s">
        <v>11</v>
      </c>
    </row>
    <row r="8" spans="1:6" x14ac:dyDescent="0.35">
      <c r="A8" s="7" t="s">
        <v>619</v>
      </c>
      <c r="B8" s="7">
        <v>6166</v>
      </c>
      <c r="C8" s="7" t="s">
        <v>620</v>
      </c>
      <c r="D8" s="8">
        <v>500000</v>
      </c>
      <c r="E8" s="8">
        <v>500000</v>
      </c>
      <c r="F8" s="8" t="s">
        <v>621</v>
      </c>
    </row>
    <row r="10" spans="1:6" ht="18.5" x14ac:dyDescent="0.45">
      <c r="A10" s="1" t="s">
        <v>225</v>
      </c>
    </row>
    <row r="11" spans="1:6" ht="15.5" x14ac:dyDescent="0.35">
      <c r="A11" s="64" t="s">
        <v>6</v>
      </c>
      <c r="B11" s="65" t="s">
        <v>7</v>
      </c>
      <c r="C11" s="66" t="s">
        <v>8</v>
      </c>
      <c r="D11" s="67" t="s">
        <v>9</v>
      </c>
      <c r="E11" s="67" t="s">
        <v>10</v>
      </c>
      <c r="F11" s="68" t="s">
        <v>11</v>
      </c>
    </row>
    <row r="12" spans="1:6" x14ac:dyDescent="0.35">
      <c r="A12" t="s">
        <v>622</v>
      </c>
    </row>
    <row r="13" spans="1:6" x14ac:dyDescent="0.35">
      <c r="A13" s="2" t="s">
        <v>623</v>
      </c>
      <c r="B13" s="2">
        <v>508</v>
      </c>
      <c r="C13" s="2" t="s">
        <v>459</v>
      </c>
      <c r="D13" s="2">
        <v>5000</v>
      </c>
      <c r="E13" s="2">
        <v>5000</v>
      </c>
      <c r="F13" s="4">
        <v>445000</v>
      </c>
    </row>
    <row r="14" spans="1:6" x14ac:dyDescent="0.35">
      <c r="A14" s="2" t="s">
        <v>624</v>
      </c>
      <c r="B14" s="2">
        <v>12025</v>
      </c>
      <c r="C14" s="2" t="s">
        <v>459</v>
      </c>
      <c r="D14" s="2">
        <v>5000</v>
      </c>
      <c r="E14" s="2">
        <f t="shared" ref="E14:E19" si="0">E13+D14</f>
        <v>10000</v>
      </c>
      <c r="F14" s="4">
        <f t="shared" ref="F14:F18" si="1">F13-D14</f>
        <v>440000</v>
      </c>
    </row>
    <row r="15" spans="1:6" x14ac:dyDescent="0.35">
      <c r="A15" s="3">
        <v>45818</v>
      </c>
      <c r="B15" s="2">
        <v>3260</v>
      </c>
      <c r="C15" s="2" t="s">
        <v>459</v>
      </c>
      <c r="D15" s="2">
        <v>5000</v>
      </c>
      <c r="E15" s="2">
        <f t="shared" si="0"/>
        <v>15000</v>
      </c>
      <c r="F15" s="4">
        <f t="shared" si="1"/>
        <v>435000</v>
      </c>
    </row>
    <row r="16" spans="1:6" x14ac:dyDescent="0.35">
      <c r="A16" s="2" t="s">
        <v>625</v>
      </c>
      <c r="B16" s="2">
        <v>5147</v>
      </c>
      <c r="C16" s="2" t="s">
        <v>459</v>
      </c>
      <c r="D16" s="2">
        <v>5000</v>
      </c>
      <c r="E16" s="2">
        <f t="shared" si="0"/>
        <v>20000</v>
      </c>
      <c r="F16" s="4">
        <f t="shared" si="1"/>
        <v>430000</v>
      </c>
    </row>
    <row r="17" spans="1:6" x14ac:dyDescent="0.35">
      <c r="A17" s="3">
        <v>46237</v>
      </c>
      <c r="B17" s="2">
        <v>5674</v>
      </c>
      <c r="C17" s="2" t="s">
        <v>459</v>
      </c>
      <c r="D17" s="2">
        <v>5000</v>
      </c>
      <c r="E17" s="2">
        <f t="shared" si="0"/>
        <v>25000</v>
      </c>
      <c r="F17" s="4">
        <f t="shared" si="1"/>
        <v>425000</v>
      </c>
    </row>
    <row r="18" spans="1:6" x14ac:dyDescent="0.35">
      <c r="A18" s="3">
        <v>46363</v>
      </c>
      <c r="B18" s="2">
        <v>1822</v>
      </c>
      <c r="C18" s="2" t="s">
        <v>459</v>
      </c>
      <c r="D18" s="4">
        <v>10000</v>
      </c>
      <c r="E18" s="4">
        <f t="shared" si="0"/>
        <v>35000</v>
      </c>
      <c r="F18" s="4">
        <f t="shared" si="1"/>
        <v>415000</v>
      </c>
    </row>
    <row r="19" spans="1:6" x14ac:dyDescent="0.35">
      <c r="A19" s="2" t="s">
        <v>626</v>
      </c>
      <c r="B19" s="2">
        <v>1930</v>
      </c>
      <c r="C19" s="2" t="s">
        <v>459</v>
      </c>
      <c r="D19" s="4">
        <v>10000</v>
      </c>
      <c r="E19" s="4">
        <f t="shared" si="0"/>
        <v>45000</v>
      </c>
      <c r="F19" s="4">
        <f>F18-D19</f>
        <v>405000</v>
      </c>
    </row>
    <row r="20" spans="1:6" x14ac:dyDescent="0.35">
      <c r="A20" s="3">
        <v>46305</v>
      </c>
      <c r="B20" s="2">
        <v>1930</v>
      </c>
      <c r="C20" s="2" t="s">
        <v>816</v>
      </c>
      <c r="D20" s="4">
        <v>75000</v>
      </c>
      <c r="E20" s="4">
        <f t="shared" ref="E20" si="2">E19+D20</f>
        <v>120000</v>
      </c>
      <c r="F20" s="4">
        <f t="shared" ref="F20" si="3">F19-D20</f>
        <v>330000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14"/>
  <sheetViews>
    <sheetView workbookViewId="0">
      <selection activeCell="H8" sqref="H8"/>
    </sheetView>
  </sheetViews>
  <sheetFormatPr defaultRowHeight="14.5" x14ac:dyDescent="0.35"/>
  <cols>
    <col min="1" max="1" width="9.6328125" customWidth="1"/>
    <col min="2" max="5" width="10.26953125" customWidth="1"/>
    <col min="6" max="6" width="11.08984375" customWidth="1"/>
  </cols>
  <sheetData>
    <row r="1" spans="1:7" ht="18.5" x14ac:dyDescent="0.45">
      <c r="A1" s="1" t="s">
        <v>210</v>
      </c>
      <c r="B1" s="1"/>
      <c r="C1" s="1"/>
      <c r="D1" s="1"/>
      <c r="E1" s="1"/>
      <c r="F1" s="1"/>
    </row>
    <row r="2" spans="1:7" ht="18.5" x14ac:dyDescent="0.45">
      <c r="A2" s="1" t="s">
        <v>211</v>
      </c>
      <c r="B2" s="15"/>
      <c r="C2" s="1"/>
      <c r="D2" s="1"/>
      <c r="E2" s="1"/>
      <c r="F2" s="1"/>
    </row>
    <row r="3" spans="1:7" ht="18.5" x14ac:dyDescent="0.45">
      <c r="A3" s="1" t="s">
        <v>212</v>
      </c>
      <c r="B3" s="1"/>
      <c r="C3" s="1"/>
      <c r="D3" s="1"/>
      <c r="E3" s="1"/>
      <c r="F3" s="1"/>
    </row>
    <row r="4" spans="1:7" ht="18.5" x14ac:dyDescent="0.45">
      <c r="A4" s="1" t="s">
        <v>358</v>
      </c>
      <c r="B4" s="1"/>
      <c r="C4" s="1"/>
      <c r="D4" s="1"/>
      <c r="E4" s="1"/>
      <c r="F4" s="1"/>
    </row>
    <row r="5" spans="1:7" ht="18.5" x14ac:dyDescent="0.45">
      <c r="A5" s="1" t="s">
        <v>213</v>
      </c>
      <c r="B5" s="1"/>
      <c r="C5" s="1"/>
      <c r="D5" s="1"/>
      <c r="E5" s="1"/>
      <c r="F5" s="1"/>
    </row>
    <row r="6" spans="1:7" ht="18.5" x14ac:dyDescent="0.45">
      <c r="A6" s="1" t="s">
        <v>214</v>
      </c>
      <c r="B6" s="1"/>
      <c r="C6" s="1"/>
      <c r="D6" s="1" t="s">
        <v>215</v>
      </c>
      <c r="E6" s="1"/>
      <c r="F6" s="1"/>
    </row>
    <row r="7" spans="1:7" x14ac:dyDescent="0.35">
      <c r="A7" s="45" t="s">
        <v>209</v>
      </c>
      <c r="B7" s="46" t="s">
        <v>216</v>
      </c>
      <c r="C7" s="47" t="s">
        <v>217</v>
      </c>
      <c r="D7" s="21" t="s">
        <v>218</v>
      </c>
      <c r="E7" s="21" t="s">
        <v>219</v>
      </c>
      <c r="F7" s="22" t="s">
        <v>220</v>
      </c>
    </row>
    <row r="8" spans="1:7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7" x14ac:dyDescent="0.35">
      <c r="A9" s="106">
        <v>46146</v>
      </c>
      <c r="B9" s="100">
        <v>13151</v>
      </c>
      <c r="C9" s="100" t="s">
        <v>46</v>
      </c>
      <c r="D9" s="105">
        <v>150000</v>
      </c>
      <c r="E9" s="105">
        <v>150000</v>
      </c>
      <c r="F9" s="105">
        <v>725000</v>
      </c>
      <c r="G9" s="100"/>
    </row>
    <row r="10" spans="1:7" x14ac:dyDescent="0.35">
      <c r="A10" s="106">
        <v>46300</v>
      </c>
      <c r="B10" s="100">
        <v>13307</v>
      </c>
      <c r="C10" s="100" t="s">
        <v>16</v>
      </c>
      <c r="D10" s="105">
        <v>10000</v>
      </c>
      <c r="E10" s="105">
        <f>E9+D10</f>
        <v>160000</v>
      </c>
      <c r="F10" s="105">
        <f>F9-D10</f>
        <v>715000</v>
      </c>
      <c r="G10" s="100"/>
    </row>
    <row r="11" spans="1:7" x14ac:dyDescent="0.35">
      <c r="A11" s="100" t="s">
        <v>441</v>
      </c>
      <c r="B11" s="100">
        <v>13547</v>
      </c>
      <c r="C11" s="100" t="s">
        <v>16</v>
      </c>
      <c r="D11" s="105">
        <v>10000</v>
      </c>
      <c r="E11" s="105">
        <f>E10+D11</f>
        <v>170000</v>
      </c>
      <c r="F11" s="105">
        <f>F10-D11</f>
        <v>705000</v>
      </c>
      <c r="G11" s="100"/>
    </row>
    <row r="12" spans="1:7" x14ac:dyDescent="0.35">
      <c r="A12" s="100" t="s">
        <v>571</v>
      </c>
      <c r="B12" s="100">
        <v>1425</v>
      </c>
      <c r="C12" s="100" t="s">
        <v>16</v>
      </c>
      <c r="D12" s="105">
        <v>10000</v>
      </c>
      <c r="E12" s="105">
        <f>E11+D13</f>
        <v>180000</v>
      </c>
      <c r="F12" s="105">
        <f>F11-D13</f>
        <v>695000</v>
      </c>
      <c r="G12" s="100"/>
    </row>
    <row r="13" spans="1:7" x14ac:dyDescent="0.35">
      <c r="A13" s="106">
        <v>46273</v>
      </c>
      <c r="B13" s="100">
        <v>1698</v>
      </c>
      <c r="C13" s="100" t="s">
        <v>16</v>
      </c>
      <c r="D13" s="105">
        <v>10000</v>
      </c>
      <c r="E13" s="105">
        <f>E12+D13</f>
        <v>190000</v>
      </c>
      <c r="F13" s="105">
        <f>F12-D13</f>
        <v>685000</v>
      </c>
      <c r="G13" s="100"/>
    </row>
    <row r="14" spans="1:7" x14ac:dyDescent="0.35">
      <c r="A14" s="100" t="s">
        <v>699</v>
      </c>
      <c r="B14" s="100">
        <v>2014</v>
      </c>
      <c r="C14" s="100" t="s">
        <v>16</v>
      </c>
      <c r="D14" s="105">
        <v>10000</v>
      </c>
      <c r="E14" s="105">
        <v>200000</v>
      </c>
      <c r="F14" s="105">
        <v>695000</v>
      </c>
      <c r="G14" s="100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31" zoomScale="115" zoomScaleNormal="115" workbookViewId="0">
      <selection activeCell="B35" sqref="B35"/>
    </sheetView>
  </sheetViews>
  <sheetFormatPr defaultRowHeight="14.5" x14ac:dyDescent="0.35"/>
  <cols>
    <col min="1" max="1" width="20.36328125" customWidth="1"/>
    <col min="2" max="2" width="17.08984375" customWidth="1"/>
    <col min="3" max="3" width="12.453125" customWidth="1"/>
    <col min="4" max="4" width="11.6328125" customWidth="1"/>
    <col min="5" max="6" width="10.90625" customWidth="1"/>
  </cols>
  <sheetData>
    <row r="1" spans="1:7" x14ac:dyDescent="0.35">
      <c r="A1" s="100" t="s">
        <v>427</v>
      </c>
      <c r="B1" s="100" t="s">
        <v>433</v>
      </c>
      <c r="C1" s="100"/>
    </row>
    <row r="2" spans="1:7" x14ac:dyDescent="0.35">
      <c r="A2" s="100" t="s">
        <v>428</v>
      </c>
      <c r="B2" s="100" t="s">
        <v>434</v>
      </c>
      <c r="C2" s="100"/>
    </row>
    <row r="3" spans="1:7" x14ac:dyDescent="0.35">
      <c r="A3" s="100" t="s">
        <v>429</v>
      </c>
      <c r="B3" s="100" t="s">
        <v>435</v>
      </c>
      <c r="C3" s="100"/>
    </row>
    <row r="4" spans="1:7" x14ac:dyDescent="0.35">
      <c r="A4" s="100" t="s">
        <v>430</v>
      </c>
      <c r="B4" s="100" t="s">
        <v>437</v>
      </c>
      <c r="C4" s="100"/>
    </row>
    <row r="5" spans="1:7" x14ac:dyDescent="0.35">
      <c r="A5" s="100" t="s">
        <v>431</v>
      </c>
      <c r="B5" s="100" t="s">
        <v>436</v>
      </c>
      <c r="C5" s="100"/>
    </row>
    <row r="6" spans="1:7" x14ac:dyDescent="0.35">
      <c r="A6" s="100" t="s">
        <v>432</v>
      </c>
      <c r="B6" s="100">
        <v>5029</v>
      </c>
      <c r="C6" s="100"/>
    </row>
    <row r="8" spans="1:7" x14ac:dyDescent="0.35">
      <c r="A8" s="48" t="s">
        <v>6</v>
      </c>
      <c r="B8" s="49" t="s">
        <v>7</v>
      </c>
      <c r="C8" s="49" t="s">
        <v>8</v>
      </c>
      <c r="D8" s="124" t="s">
        <v>9</v>
      </c>
      <c r="E8" s="124" t="s">
        <v>10</v>
      </c>
      <c r="F8" s="125" t="s">
        <v>11</v>
      </c>
    </row>
    <row r="9" spans="1:7" ht="15.5" x14ac:dyDescent="0.35">
      <c r="A9" s="119" t="s">
        <v>438</v>
      </c>
      <c r="B9" s="100">
        <v>979</v>
      </c>
      <c r="C9" s="100" t="s">
        <v>439</v>
      </c>
      <c r="D9" s="100"/>
      <c r="E9" s="100"/>
      <c r="F9" s="100"/>
      <c r="G9" s="100"/>
    </row>
    <row r="10" spans="1:7" x14ac:dyDescent="0.35">
      <c r="A10" s="100"/>
      <c r="B10" s="100"/>
      <c r="C10" s="100"/>
      <c r="D10" s="100"/>
      <c r="E10" s="100"/>
      <c r="F10" s="100"/>
      <c r="G10" s="100"/>
    </row>
    <row r="12" spans="1:7" ht="23.5" x14ac:dyDescent="0.55000000000000004">
      <c r="D12" s="126" t="s">
        <v>749</v>
      </c>
      <c r="E12" s="126"/>
      <c r="F12" s="126"/>
    </row>
    <row r="13" spans="1:7" ht="15" thickBot="1" x14ac:dyDescent="0.4"/>
    <row r="14" spans="1:7" ht="28.5" thickBot="1" x14ac:dyDescent="0.4">
      <c r="A14" s="118" t="s">
        <v>6</v>
      </c>
      <c r="B14" s="118" t="s">
        <v>7</v>
      </c>
      <c r="C14" s="118" t="s">
        <v>8</v>
      </c>
      <c r="D14" s="118" t="s">
        <v>9</v>
      </c>
      <c r="E14" s="118" t="s">
        <v>10</v>
      </c>
      <c r="F14" s="118" t="s">
        <v>11</v>
      </c>
    </row>
    <row r="15" spans="1:7" ht="15" thickBot="1" x14ac:dyDescent="0.4">
      <c r="A15" s="123">
        <v>45394</v>
      </c>
      <c r="B15" s="121">
        <v>502</v>
      </c>
      <c r="C15" s="121" t="s">
        <v>424</v>
      </c>
      <c r="D15" s="122">
        <v>10000</v>
      </c>
      <c r="E15" s="122">
        <v>10000</v>
      </c>
      <c r="F15" s="122">
        <v>440000</v>
      </c>
    </row>
    <row r="16" spans="1:7" ht="15" thickBot="1" x14ac:dyDescent="0.4">
      <c r="A16" s="120" t="s">
        <v>750</v>
      </c>
      <c r="B16" s="121">
        <v>588</v>
      </c>
      <c r="C16" s="121" t="s">
        <v>424</v>
      </c>
      <c r="D16" s="122">
        <v>5000</v>
      </c>
      <c r="E16" s="122">
        <v>15000</v>
      </c>
      <c r="F16" s="105">
        <v>435000</v>
      </c>
    </row>
    <row r="17" spans="1:6" ht="15" thickBot="1" x14ac:dyDescent="0.4">
      <c r="A17" s="120" t="s">
        <v>751</v>
      </c>
      <c r="B17" s="121" t="s">
        <v>752</v>
      </c>
      <c r="C17" s="121" t="s">
        <v>424</v>
      </c>
      <c r="D17" s="122">
        <v>5000</v>
      </c>
      <c r="E17" s="122">
        <v>20000</v>
      </c>
      <c r="F17" s="105">
        <v>430000</v>
      </c>
    </row>
    <row r="18" spans="1:6" ht="15" thickBot="1" x14ac:dyDescent="0.4">
      <c r="A18" s="120" t="s">
        <v>753</v>
      </c>
      <c r="B18" s="121">
        <v>733</v>
      </c>
      <c r="C18" s="121" t="s">
        <v>424</v>
      </c>
      <c r="D18" s="122">
        <v>5000</v>
      </c>
      <c r="E18" s="122">
        <v>25000</v>
      </c>
      <c r="F18" s="105">
        <v>425000</v>
      </c>
    </row>
    <row r="19" spans="1:6" ht="15" thickBot="1" x14ac:dyDescent="0.4">
      <c r="A19" s="120" t="s">
        <v>754</v>
      </c>
      <c r="B19" s="121">
        <v>788</v>
      </c>
      <c r="C19" s="121" t="s">
        <v>424</v>
      </c>
      <c r="D19" s="122">
        <v>5000</v>
      </c>
      <c r="E19" s="122">
        <v>30000</v>
      </c>
      <c r="F19" s="105">
        <v>420000</v>
      </c>
    </row>
    <row r="20" spans="1:6" ht="15" thickBot="1" x14ac:dyDescent="0.4">
      <c r="A20" s="123">
        <v>45967</v>
      </c>
      <c r="B20" s="121">
        <v>653</v>
      </c>
      <c r="C20" s="121" t="s">
        <v>424</v>
      </c>
      <c r="D20" s="122">
        <v>5000</v>
      </c>
      <c r="E20" s="122">
        <v>35000</v>
      </c>
      <c r="F20" s="105">
        <v>415000</v>
      </c>
    </row>
    <row r="21" spans="1:6" ht="15" thickBot="1" x14ac:dyDescent="0.4">
      <c r="A21" s="120" t="s">
        <v>755</v>
      </c>
      <c r="B21" s="121">
        <v>3972</v>
      </c>
      <c r="C21" s="121" t="s">
        <v>424</v>
      </c>
      <c r="D21" s="122">
        <v>5000</v>
      </c>
      <c r="E21" s="122">
        <v>40000</v>
      </c>
      <c r="F21" s="105">
        <v>410000</v>
      </c>
    </row>
    <row r="22" spans="1:6" ht="15" thickBot="1" x14ac:dyDescent="0.4">
      <c r="A22" s="120" t="s">
        <v>756</v>
      </c>
      <c r="B22" s="121">
        <v>3543</v>
      </c>
      <c r="C22" s="121" t="s">
        <v>424</v>
      </c>
      <c r="D22" s="122">
        <v>5000</v>
      </c>
      <c r="E22" s="122">
        <v>45000</v>
      </c>
      <c r="F22" s="105">
        <v>405000</v>
      </c>
    </row>
    <row r="23" spans="1:6" ht="15" thickBot="1" x14ac:dyDescent="0.4">
      <c r="A23" s="120" t="s">
        <v>757</v>
      </c>
      <c r="B23" s="121">
        <v>3325</v>
      </c>
      <c r="C23" s="121" t="s">
        <v>424</v>
      </c>
      <c r="D23" s="122">
        <v>5000</v>
      </c>
      <c r="E23" s="122">
        <v>50000</v>
      </c>
      <c r="F23" s="105">
        <v>400000</v>
      </c>
    </row>
    <row r="24" spans="1:6" ht="15" thickBot="1" x14ac:dyDescent="0.4">
      <c r="A24" s="120" t="s">
        <v>758</v>
      </c>
      <c r="B24" s="121">
        <v>3805</v>
      </c>
      <c r="C24" s="121" t="s">
        <v>424</v>
      </c>
      <c r="D24" s="122">
        <v>5000</v>
      </c>
      <c r="E24" s="122">
        <v>55000</v>
      </c>
      <c r="F24" s="100">
        <v>395000</v>
      </c>
    </row>
    <row r="25" spans="1:6" ht="15" thickBot="1" x14ac:dyDescent="0.4">
      <c r="A25" s="120" t="s">
        <v>766</v>
      </c>
      <c r="B25" s="121">
        <v>5068</v>
      </c>
      <c r="C25" s="121" t="s">
        <v>424</v>
      </c>
      <c r="D25" s="122">
        <v>5000</v>
      </c>
      <c r="E25" s="122">
        <v>60000</v>
      </c>
      <c r="F25" s="100">
        <v>390000</v>
      </c>
    </row>
    <row r="26" spans="1:6" ht="15" thickBot="1" x14ac:dyDescent="0.4">
      <c r="A26" s="120" t="s">
        <v>759</v>
      </c>
      <c r="B26" s="121">
        <v>5329</v>
      </c>
      <c r="C26" s="121" t="s">
        <v>424</v>
      </c>
      <c r="D26" s="122">
        <v>5000</v>
      </c>
      <c r="E26" s="122">
        <v>65000</v>
      </c>
      <c r="F26" s="100">
        <v>385000</v>
      </c>
    </row>
    <row r="27" spans="1:6" ht="15" thickBot="1" x14ac:dyDescent="0.4">
      <c r="A27" s="120" t="s">
        <v>760</v>
      </c>
      <c r="B27" s="121">
        <v>5508</v>
      </c>
      <c r="C27" s="121" t="s">
        <v>424</v>
      </c>
      <c r="D27" s="122">
        <v>5000</v>
      </c>
      <c r="E27" s="122">
        <v>70000</v>
      </c>
      <c r="F27" s="100">
        <v>380000</v>
      </c>
    </row>
    <row r="28" spans="1:6" ht="15" thickBot="1" x14ac:dyDescent="0.4">
      <c r="A28" s="120" t="s">
        <v>761</v>
      </c>
      <c r="B28" s="121">
        <v>5742</v>
      </c>
      <c r="C28" s="121" t="s">
        <v>424</v>
      </c>
      <c r="D28" s="122">
        <v>5000</v>
      </c>
      <c r="E28" s="122">
        <v>75000</v>
      </c>
      <c r="F28" s="100">
        <v>375000</v>
      </c>
    </row>
    <row r="29" spans="1:6" ht="15" thickBot="1" x14ac:dyDescent="0.4">
      <c r="A29" s="120" t="s">
        <v>719</v>
      </c>
      <c r="B29" s="121">
        <v>5968</v>
      </c>
      <c r="C29" s="121" t="s">
        <v>424</v>
      </c>
      <c r="D29" s="122">
        <v>5000</v>
      </c>
      <c r="E29" s="122">
        <v>80000</v>
      </c>
      <c r="F29" s="100">
        <v>370000</v>
      </c>
    </row>
    <row r="30" spans="1:6" ht="15" thickBot="1" x14ac:dyDescent="0.4">
      <c r="A30" s="120" t="s">
        <v>762</v>
      </c>
      <c r="B30" s="121">
        <v>1520</v>
      </c>
      <c r="C30" s="121" t="s">
        <v>424</v>
      </c>
      <c r="D30" s="122">
        <v>5000</v>
      </c>
      <c r="E30" s="122">
        <v>85000</v>
      </c>
      <c r="F30" s="105">
        <v>365000</v>
      </c>
    </row>
    <row r="31" spans="1:6" ht="15" thickBot="1" x14ac:dyDescent="0.4">
      <c r="A31" s="120" t="s">
        <v>763</v>
      </c>
      <c r="B31" s="121">
        <v>1662</v>
      </c>
      <c r="C31" s="121" t="s">
        <v>424</v>
      </c>
      <c r="D31" s="122">
        <v>5000</v>
      </c>
      <c r="E31" s="122">
        <v>90000</v>
      </c>
      <c r="F31" s="105">
        <v>360000</v>
      </c>
    </row>
    <row r="32" spans="1:6" ht="15" thickBot="1" x14ac:dyDescent="0.4">
      <c r="A32" s="120" t="s">
        <v>764</v>
      </c>
      <c r="B32" s="121">
        <v>1847</v>
      </c>
      <c r="C32" s="121" t="s">
        <v>424</v>
      </c>
      <c r="D32" s="122">
        <v>5000</v>
      </c>
      <c r="E32" s="122">
        <v>95000</v>
      </c>
      <c r="F32" s="100">
        <v>355000</v>
      </c>
    </row>
    <row r="33" spans="1:6" ht="15" thickBot="1" x14ac:dyDescent="0.4">
      <c r="A33" s="120" t="s">
        <v>765</v>
      </c>
      <c r="B33" s="121">
        <v>1929</v>
      </c>
      <c r="C33" s="121" t="s">
        <v>424</v>
      </c>
      <c r="D33" s="122">
        <v>5000</v>
      </c>
      <c r="E33" s="122">
        <v>100000</v>
      </c>
      <c r="F33" s="105">
        <v>350000</v>
      </c>
    </row>
    <row r="34" spans="1:6" ht="15" thickBot="1" x14ac:dyDescent="0.4">
      <c r="A34" s="120" t="s">
        <v>727</v>
      </c>
      <c r="B34" s="121">
        <v>2091</v>
      </c>
      <c r="C34" s="121" t="s">
        <v>424</v>
      </c>
      <c r="D34" s="122">
        <v>5000</v>
      </c>
      <c r="E34" s="122">
        <v>105000</v>
      </c>
      <c r="F34" s="105">
        <v>345000</v>
      </c>
    </row>
    <row r="35" spans="1:6" ht="15" thickBot="1" x14ac:dyDescent="0.4">
      <c r="A35" s="123">
        <v>46244</v>
      </c>
      <c r="B35" s="121">
        <v>2167</v>
      </c>
      <c r="C35" s="121" t="s">
        <v>424</v>
      </c>
      <c r="D35" s="122">
        <v>5000</v>
      </c>
      <c r="E35" s="122">
        <v>105000</v>
      </c>
      <c r="F35" s="105">
        <v>345000</v>
      </c>
    </row>
    <row r="51" spans="6:6" x14ac:dyDescent="0.35">
      <c r="F51" s="11"/>
    </row>
    <row r="53" spans="6:6" x14ac:dyDescent="0.35">
      <c r="F53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5" workbookViewId="0">
      <selection activeCell="F22" sqref="F22"/>
    </sheetView>
  </sheetViews>
  <sheetFormatPr defaultRowHeight="14.5" x14ac:dyDescent="0.35"/>
  <cols>
    <col min="1" max="1" width="16.453125" style="100" customWidth="1"/>
    <col min="2" max="2" width="18.453125" style="100" customWidth="1"/>
    <col min="3" max="3" width="14.08984375" style="100" customWidth="1"/>
    <col min="4" max="4" width="13.7265625" style="100" customWidth="1"/>
    <col min="5" max="5" width="11.453125" style="100" customWidth="1"/>
    <col min="6" max="6" width="13.26953125" style="100" customWidth="1"/>
    <col min="7" max="7" width="11.36328125" style="100" customWidth="1"/>
    <col min="8" max="16384" width="8.7265625" style="100"/>
  </cols>
  <sheetData>
    <row r="1" spans="1:7" x14ac:dyDescent="0.35">
      <c r="A1" s="100" t="s">
        <v>767</v>
      </c>
      <c r="B1" s="100" t="s">
        <v>768</v>
      </c>
    </row>
    <row r="2" spans="1:7" x14ac:dyDescent="0.35">
      <c r="A2" s="100" t="s">
        <v>769</v>
      </c>
      <c r="B2" s="100" t="s">
        <v>770</v>
      </c>
    </row>
    <row r="3" spans="1:7" x14ac:dyDescent="0.35">
      <c r="A3" s="100" t="s">
        <v>771</v>
      </c>
      <c r="B3" s="100" t="s">
        <v>772</v>
      </c>
    </row>
    <row r="4" spans="1:7" x14ac:dyDescent="0.35">
      <c r="A4" s="100" t="s">
        <v>773</v>
      </c>
      <c r="B4" s="100">
        <v>3167506750</v>
      </c>
    </row>
    <row r="5" spans="1:7" x14ac:dyDescent="0.35">
      <c r="A5" s="100" t="s">
        <v>774</v>
      </c>
      <c r="B5" s="100" t="s">
        <v>775</v>
      </c>
    </row>
    <row r="6" spans="1:7" x14ac:dyDescent="0.35">
      <c r="A6" s="100" t="s">
        <v>776</v>
      </c>
      <c r="B6" s="100">
        <v>5002</v>
      </c>
      <c r="F6" s="100" t="s">
        <v>777</v>
      </c>
      <c r="G6" s="105">
        <v>500000</v>
      </c>
    </row>
    <row r="9" spans="1:7" x14ac:dyDescent="0.35">
      <c r="A9" s="127" t="s">
        <v>6</v>
      </c>
      <c r="B9" s="128" t="s">
        <v>7</v>
      </c>
      <c r="C9" s="128" t="s">
        <v>8</v>
      </c>
      <c r="D9" s="129" t="s">
        <v>9</v>
      </c>
      <c r="E9" s="129" t="s">
        <v>10</v>
      </c>
      <c r="F9" s="130" t="s">
        <v>11</v>
      </c>
    </row>
    <row r="10" spans="1:7" x14ac:dyDescent="0.35">
      <c r="A10" s="106" t="s">
        <v>778</v>
      </c>
      <c r="B10" s="100">
        <v>5618</v>
      </c>
      <c r="C10" s="100" t="s">
        <v>46</v>
      </c>
      <c r="D10" s="105">
        <v>400000</v>
      </c>
      <c r="E10" s="105">
        <v>400000</v>
      </c>
      <c r="F10" s="105">
        <v>100000</v>
      </c>
    </row>
    <row r="11" spans="1:7" x14ac:dyDescent="0.35">
      <c r="A11" s="106" t="s">
        <v>780</v>
      </c>
      <c r="B11" s="100">
        <v>6366</v>
      </c>
      <c r="C11" s="100" t="s">
        <v>779</v>
      </c>
      <c r="D11" s="105">
        <v>100000</v>
      </c>
      <c r="E11" s="105">
        <f>E10+D11</f>
        <v>500000</v>
      </c>
      <c r="F11" s="105">
        <f>F10-D11</f>
        <v>0</v>
      </c>
    </row>
    <row r="15" spans="1:7" ht="28.5" x14ac:dyDescent="0.65">
      <c r="E15" s="131" t="s">
        <v>781</v>
      </c>
    </row>
    <row r="20" spans="1:6" x14ac:dyDescent="0.35">
      <c r="A20" s="127" t="s">
        <v>6</v>
      </c>
      <c r="B20" s="128" t="s">
        <v>7</v>
      </c>
      <c r="C20" s="128" t="s">
        <v>8</v>
      </c>
      <c r="D20" s="129" t="s">
        <v>9</v>
      </c>
      <c r="E20" s="129" t="s">
        <v>10</v>
      </c>
      <c r="F20" s="130" t="s">
        <v>11</v>
      </c>
    </row>
    <row r="21" spans="1:6" x14ac:dyDescent="0.35">
      <c r="A21" s="106" t="s">
        <v>782</v>
      </c>
      <c r="B21" s="100">
        <v>2107</v>
      </c>
      <c r="C21" s="100" t="s">
        <v>783</v>
      </c>
      <c r="D21" s="105">
        <v>50000</v>
      </c>
      <c r="E21" s="105">
        <v>50000</v>
      </c>
      <c r="F21" s="105">
        <v>100000</v>
      </c>
    </row>
    <row r="22" spans="1:6" x14ac:dyDescent="0.35">
      <c r="A22" s="106" t="s">
        <v>786</v>
      </c>
      <c r="B22" s="100">
        <v>2117</v>
      </c>
      <c r="C22" s="100" t="s">
        <v>783</v>
      </c>
      <c r="D22" s="105">
        <v>100000</v>
      </c>
      <c r="E22" s="105">
        <v>150000</v>
      </c>
      <c r="F22" s="105">
        <v>50000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4"/>
  <sheetViews>
    <sheetView workbookViewId="0">
      <selection activeCell="A8" sqref="A8:F10"/>
    </sheetView>
  </sheetViews>
  <sheetFormatPr defaultRowHeight="14.5" x14ac:dyDescent="0.35"/>
  <cols>
    <col min="1" max="1" width="9.453125" bestFit="1" customWidth="1"/>
  </cols>
  <sheetData>
    <row r="1" spans="1:6" ht="18.5" x14ac:dyDescent="0.45">
      <c r="A1" s="1" t="s">
        <v>221</v>
      </c>
      <c r="B1" s="1"/>
      <c r="C1" s="1"/>
      <c r="D1" s="1"/>
      <c r="E1" s="1"/>
      <c r="F1" s="1"/>
    </row>
    <row r="2" spans="1:6" ht="18.5" x14ac:dyDescent="0.45">
      <c r="A2" s="1" t="s">
        <v>211</v>
      </c>
      <c r="B2" s="15"/>
      <c r="C2" s="1"/>
      <c r="D2" s="1"/>
      <c r="E2" s="1"/>
      <c r="F2" s="1"/>
    </row>
    <row r="3" spans="1:6" ht="18.5" x14ac:dyDescent="0.45">
      <c r="A3" s="1" t="s">
        <v>222</v>
      </c>
      <c r="B3" s="1"/>
      <c r="C3" s="1"/>
      <c r="D3" s="1"/>
      <c r="E3" s="1"/>
      <c r="F3" s="1"/>
    </row>
    <row r="4" spans="1:6" ht="18.5" x14ac:dyDescent="0.45">
      <c r="A4" s="1" t="s">
        <v>356</v>
      </c>
      <c r="B4" s="1"/>
      <c r="C4" s="1"/>
      <c r="D4" s="1"/>
      <c r="E4" s="1"/>
      <c r="F4" s="1"/>
    </row>
    <row r="5" spans="1:6" ht="18.5" x14ac:dyDescent="0.45">
      <c r="A5" s="1" t="s">
        <v>223</v>
      </c>
      <c r="B5" s="1"/>
      <c r="C5" s="1"/>
      <c r="D5" s="1"/>
      <c r="E5" s="1"/>
      <c r="F5" s="1"/>
    </row>
    <row r="6" spans="1:6" ht="18.5" x14ac:dyDescent="0.45">
      <c r="A6" s="1" t="s">
        <v>224</v>
      </c>
      <c r="B6" s="1"/>
      <c r="C6" s="1"/>
      <c r="D6" s="1" t="s">
        <v>215</v>
      </c>
      <c r="E6" s="1"/>
      <c r="F6" s="1"/>
    </row>
    <row r="7" spans="1:6" x14ac:dyDescent="0.35">
      <c r="A7" s="45" t="s">
        <v>209</v>
      </c>
      <c r="B7" s="46" t="s">
        <v>216</v>
      </c>
      <c r="C7" s="47" t="s">
        <v>217</v>
      </c>
      <c r="D7" s="21" t="s">
        <v>218</v>
      </c>
      <c r="E7" s="21" t="s">
        <v>219</v>
      </c>
      <c r="F7" s="22" t="s">
        <v>220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s="9">
        <v>46146</v>
      </c>
      <c r="B9">
        <v>13151</v>
      </c>
      <c r="C9" t="s">
        <v>46</v>
      </c>
      <c r="D9" s="11">
        <v>150000</v>
      </c>
      <c r="E9" s="11">
        <v>150000</v>
      </c>
      <c r="F9" s="11">
        <v>725000</v>
      </c>
    </row>
    <row r="10" spans="1:6" x14ac:dyDescent="0.35">
      <c r="A10" s="9">
        <v>46300</v>
      </c>
      <c r="B10">
        <v>13306</v>
      </c>
      <c r="C10" t="s">
        <v>357</v>
      </c>
      <c r="D10" s="11">
        <v>10000</v>
      </c>
      <c r="E10" s="11">
        <f>E9+D10</f>
        <v>160000</v>
      </c>
      <c r="F10" s="11">
        <f>F9-D10</f>
        <v>715000</v>
      </c>
    </row>
    <row r="11" spans="1:6" x14ac:dyDescent="0.35">
      <c r="A11" t="s">
        <v>440</v>
      </c>
      <c r="B11">
        <v>13548</v>
      </c>
      <c r="C11" t="s">
        <v>357</v>
      </c>
      <c r="D11" s="11">
        <v>10000</v>
      </c>
      <c r="E11" s="11">
        <f>E10+D11</f>
        <v>170000</v>
      </c>
      <c r="F11" s="11">
        <f>F10-D11</f>
        <v>705000</v>
      </c>
    </row>
    <row r="12" spans="1:6" x14ac:dyDescent="0.35">
      <c r="A12" t="s">
        <v>571</v>
      </c>
      <c r="B12">
        <v>1424</v>
      </c>
      <c r="C12" t="s">
        <v>357</v>
      </c>
      <c r="D12" s="11">
        <v>10000</v>
      </c>
      <c r="E12" s="11">
        <f>E11+D12</f>
        <v>180000</v>
      </c>
      <c r="F12" s="11">
        <f>F11-D12</f>
        <v>695000</v>
      </c>
    </row>
    <row r="13" spans="1:6" x14ac:dyDescent="0.35">
      <c r="A13" s="9">
        <v>46273</v>
      </c>
      <c r="B13">
        <v>1699</v>
      </c>
      <c r="C13" t="s">
        <v>357</v>
      </c>
      <c r="D13" s="11">
        <v>10000</v>
      </c>
      <c r="E13" s="11">
        <f>E12+D13</f>
        <v>190000</v>
      </c>
      <c r="F13" s="11">
        <f>F12-D13</f>
        <v>685000</v>
      </c>
    </row>
    <row r="14" spans="1:6" x14ac:dyDescent="0.35">
      <c r="A14" t="s">
        <v>699</v>
      </c>
      <c r="B14">
        <v>2015</v>
      </c>
      <c r="C14" t="s">
        <v>357</v>
      </c>
      <c r="D14" s="11">
        <v>10000</v>
      </c>
      <c r="E14" s="11">
        <v>200000</v>
      </c>
      <c r="F14" s="11">
        <v>675000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13"/>
  <sheetViews>
    <sheetView workbookViewId="0">
      <selection activeCell="A7" sqref="A7:F7"/>
    </sheetView>
  </sheetViews>
  <sheetFormatPr defaultRowHeight="14.5" x14ac:dyDescent="0.35"/>
  <cols>
    <col min="1" max="1" width="11" customWidth="1"/>
    <col min="3" max="3" width="11.26953125" customWidth="1"/>
    <col min="6" max="6" width="10.81640625" customWidth="1"/>
  </cols>
  <sheetData>
    <row r="1" spans="1:6" ht="18.5" x14ac:dyDescent="0.45">
      <c r="A1" s="1" t="s">
        <v>247</v>
      </c>
      <c r="B1" s="1"/>
      <c r="C1" s="1"/>
      <c r="D1" s="1"/>
      <c r="E1" s="1"/>
      <c r="F1" s="1"/>
    </row>
    <row r="2" spans="1:6" ht="18.5" x14ac:dyDescent="0.45">
      <c r="A2" s="1" t="s">
        <v>250</v>
      </c>
      <c r="B2" s="15"/>
      <c r="C2" s="1"/>
      <c r="D2" s="1"/>
      <c r="E2" s="1"/>
      <c r="F2" s="1"/>
    </row>
    <row r="3" spans="1:6" ht="18.5" x14ac:dyDescent="0.45">
      <c r="A3" s="1" t="s">
        <v>242</v>
      </c>
      <c r="B3" s="1"/>
      <c r="C3" s="1"/>
      <c r="D3" s="1"/>
      <c r="E3" s="1"/>
      <c r="F3" s="1"/>
    </row>
    <row r="4" spans="1:6" ht="18.5" x14ac:dyDescent="0.45">
      <c r="A4" s="1" t="s">
        <v>248</v>
      </c>
      <c r="B4" s="1"/>
      <c r="C4" s="1"/>
      <c r="D4" s="1"/>
      <c r="E4" s="1"/>
      <c r="F4" s="1"/>
    </row>
    <row r="5" spans="1:6" ht="18.5" x14ac:dyDescent="0.45">
      <c r="A5" s="1" t="s">
        <v>243</v>
      </c>
      <c r="B5" s="1"/>
      <c r="C5" s="1"/>
      <c r="D5" s="1"/>
      <c r="E5" s="1"/>
      <c r="F5" s="1"/>
    </row>
    <row r="6" spans="1:6" ht="18.5" x14ac:dyDescent="0.45">
      <c r="A6" s="1" t="s">
        <v>249</v>
      </c>
      <c r="B6" s="1"/>
      <c r="C6" s="1"/>
      <c r="D6" s="1" t="s">
        <v>53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t="s">
        <v>246</v>
      </c>
      <c r="B8">
        <v>13654</v>
      </c>
      <c r="C8" t="s">
        <v>46</v>
      </c>
      <c r="D8" s="11">
        <v>125000</v>
      </c>
      <c r="E8" s="11">
        <v>125000</v>
      </c>
      <c r="F8" s="11">
        <v>575000</v>
      </c>
    </row>
    <row r="9" spans="1:6" x14ac:dyDescent="0.35">
      <c r="A9" s="9">
        <v>45942</v>
      </c>
      <c r="B9">
        <v>13140</v>
      </c>
      <c r="C9" t="s">
        <v>47</v>
      </c>
      <c r="D9" s="11">
        <v>12500</v>
      </c>
      <c r="E9" s="11">
        <f>SUM(E8+D9)</f>
        <v>137500</v>
      </c>
      <c r="F9" s="11">
        <f>F8-D9</f>
        <v>562500</v>
      </c>
    </row>
    <row r="10" spans="1:6" x14ac:dyDescent="0.35">
      <c r="A10" s="9">
        <v>46296</v>
      </c>
      <c r="B10">
        <v>12052</v>
      </c>
      <c r="C10" t="s">
        <v>47</v>
      </c>
      <c r="D10" s="11">
        <v>12500</v>
      </c>
      <c r="E10" s="11">
        <f t="shared" ref="E10:E13" si="0">SUM(E9+D10)</f>
        <v>150000</v>
      </c>
      <c r="F10" s="11">
        <f t="shared" ref="F10:F13" si="1">F9-D10</f>
        <v>550000</v>
      </c>
    </row>
    <row r="11" spans="1:6" x14ac:dyDescent="0.35">
      <c r="A11" s="9">
        <v>46205</v>
      </c>
      <c r="B11">
        <v>12381</v>
      </c>
      <c r="C11" t="s">
        <v>47</v>
      </c>
      <c r="D11" s="11">
        <v>12500</v>
      </c>
      <c r="E11" s="11">
        <f t="shared" si="0"/>
        <v>162500</v>
      </c>
      <c r="F11" s="11">
        <f t="shared" si="1"/>
        <v>537500</v>
      </c>
    </row>
    <row r="12" spans="1:6" x14ac:dyDescent="0.35">
      <c r="A12" s="9">
        <v>46298</v>
      </c>
      <c r="B12">
        <v>12812</v>
      </c>
      <c r="C12" t="s">
        <v>47</v>
      </c>
      <c r="D12" s="11">
        <v>12500</v>
      </c>
      <c r="E12" s="11">
        <f t="shared" si="0"/>
        <v>175000</v>
      </c>
      <c r="F12" s="11">
        <f t="shared" si="1"/>
        <v>525000</v>
      </c>
    </row>
    <row r="13" spans="1:6" x14ac:dyDescent="0.35">
      <c r="A13" s="9">
        <v>46330</v>
      </c>
      <c r="B13">
        <v>13232</v>
      </c>
      <c r="C13" t="s">
        <v>47</v>
      </c>
      <c r="D13" s="11">
        <v>12500</v>
      </c>
      <c r="E13" s="11">
        <f t="shared" si="0"/>
        <v>187500</v>
      </c>
      <c r="F13" s="11">
        <f t="shared" si="1"/>
        <v>512500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13"/>
  <sheetViews>
    <sheetView workbookViewId="0">
      <selection activeCell="J15" sqref="J15"/>
    </sheetView>
  </sheetViews>
  <sheetFormatPr defaultRowHeight="14.5" x14ac:dyDescent="0.35"/>
  <cols>
    <col min="1" max="1" width="10" customWidth="1"/>
    <col min="3" max="3" width="10.36328125" customWidth="1"/>
  </cols>
  <sheetData>
    <row r="1" spans="1:6" ht="18.5" x14ac:dyDescent="0.45">
      <c r="A1" s="1" t="s">
        <v>240</v>
      </c>
      <c r="B1" s="1"/>
      <c r="C1" s="1"/>
      <c r="D1" s="1"/>
      <c r="E1" s="1"/>
      <c r="F1" s="1"/>
    </row>
    <row r="2" spans="1:6" ht="18.5" x14ac:dyDescent="0.45">
      <c r="A2" s="1" t="s">
        <v>241</v>
      </c>
      <c r="B2" s="15"/>
      <c r="C2" s="1"/>
      <c r="D2" s="1"/>
      <c r="E2" s="1"/>
      <c r="F2" s="1"/>
    </row>
    <row r="3" spans="1:6" ht="18.5" x14ac:dyDescent="0.45">
      <c r="A3" s="1" t="s">
        <v>242</v>
      </c>
      <c r="B3" s="1"/>
      <c r="C3" s="1"/>
      <c r="D3" s="1"/>
      <c r="E3" s="1"/>
      <c r="F3" s="1"/>
    </row>
    <row r="4" spans="1:6" ht="18.5" x14ac:dyDescent="0.45">
      <c r="A4" s="1" t="s">
        <v>245</v>
      </c>
      <c r="B4" s="1"/>
      <c r="C4" s="1"/>
      <c r="D4" s="1"/>
      <c r="E4" s="1"/>
      <c r="F4" s="1"/>
    </row>
    <row r="5" spans="1:6" ht="18.5" x14ac:dyDescent="0.45">
      <c r="A5" s="1" t="s">
        <v>243</v>
      </c>
      <c r="B5" s="1"/>
      <c r="C5" s="1"/>
      <c r="D5" s="1"/>
      <c r="E5" s="1"/>
      <c r="F5" s="1"/>
    </row>
    <row r="6" spans="1:6" ht="18.5" x14ac:dyDescent="0.45">
      <c r="A6" s="1" t="s">
        <v>244</v>
      </c>
      <c r="B6" s="1"/>
      <c r="C6" s="1"/>
      <c r="D6" s="1" t="s">
        <v>53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t="s">
        <v>246</v>
      </c>
      <c r="B8">
        <v>13655</v>
      </c>
      <c r="C8" t="s">
        <v>46</v>
      </c>
      <c r="D8" s="11">
        <v>125000</v>
      </c>
      <c r="E8" s="11">
        <v>125000</v>
      </c>
      <c r="F8" s="11">
        <v>575000</v>
      </c>
    </row>
    <row r="9" spans="1:6" x14ac:dyDescent="0.35">
      <c r="A9" s="9">
        <v>45942</v>
      </c>
      <c r="B9">
        <v>13141</v>
      </c>
      <c r="C9" t="s">
        <v>47</v>
      </c>
      <c r="D9" s="11">
        <v>12500</v>
      </c>
      <c r="E9" s="11">
        <f>SUM(E8+D9)</f>
        <v>137500</v>
      </c>
      <c r="F9" s="11">
        <f>F8-D9</f>
        <v>562500</v>
      </c>
    </row>
    <row r="10" spans="1:6" x14ac:dyDescent="0.35">
      <c r="A10" s="9">
        <v>46296</v>
      </c>
      <c r="B10">
        <v>12051</v>
      </c>
      <c r="C10" t="s">
        <v>47</v>
      </c>
      <c r="D10" s="11">
        <v>12500</v>
      </c>
      <c r="E10" s="11">
        <f t="shared" ref="E10:E13" si="0">SUM(E9+D10)</f>
        <v>150000</v>
      </c>
      <c r="F10" s="11">
        <f t="shared" ref="F10:F13" si="1">F9-D10</f>
        <v>550000</v>
      </c>
    </row>
    <row r="11" spans="1:6" x14ac:dyDescent="0.35">
      <c r="A11" s="9">
        <v>46205</v>
      </c>
      <c r="B11">
        <v>12051</v>
      </c>
      <c r="C11" t="s">
        <v>47</v>
      </c>
      <c r="D11" s="11">
        <v>12500</v>
      </c>
      <c r="E11" s="11">
        <f t="shared" si="0"/>
        <v>162500</v>
      </c>
      <c r="F11" s="11">
        <f t="shared" si="1"/>
        <v>537500</v>
      </c>
    </row>
    <row r="12" spans="1:6" x14ac:dyDescent="0.35">
      <c r="A12" s="9">
        <v>46298</v>
      </c>
      <c r="B12">
        <v>12813</v>
      </c>
      <c r="C12" t="s">
        <v>47</v>
      </c>
      <c r="D12" s="11">
        <v>12500</v>
      </c>
      <c r="E12" s="11">
        <f t="shared" si="0"/>
        <v>175000</v>
      </c>
      <c r="F12" s="11">
        <f t="shared" si="1"/>
        <v>525000</v>
      </c>
    </row>
    <row r="13" spans="1:6" x14ac:dyDescent="0.35">
      <c r="A13" s="9">
        <v>46330</v>
      </c>
      <c r="B13">
        <v>13231</v>
      </c>
      <c r="C13" t="s">
        <v>47</v>
      </c>
      <c r="D13" s="11">
        <v>12500</v>
      </c>
      <c r="E13" s="11">
        <f t="shared" si="0"/>
        <v>187500</v>
      </c>
      <c r="F13" s="11">
        <f t="shared" si="1"/>
        <v>512500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54"/>
  <sheetViews>
    <sheetView topLeftCell="A40" workbookViewId="0">
      <selection activeCell="F54" sqref="F54"/>
    </sheetView>
  </sheetViews>
  <sheetFormatPr defaultRowHeight="14.5" x14ac:dyDescent="0.35"/>
  <cols>
    <col min="1" max="1" width="9.453125" bestFit="1" customWidth="1"/>
    <col min="3" max="3" width="1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184</v>
      </c>
      <c r="B1" s="1"/>
      <c r="C1" s="1"/>
      <c r="D1" s="1"/>
      <c r="E1" s="1"/>
      <c r="F1" s="1"/>
    </row>
    <row r="2" spans="1:6" ht="18.5" x14ac:dyDescent="0.45">
      <c r="A2" s="1" t="s">
        <v>185</v>
      </c>
      <c r="C2" s="1"/>
      <c r="D2" s="1"/>
      <c r="E2" s="1"/>
      <c r="F2" s="1"/>
    </row>
    <row r="3" spans="1:6" ht="18.5" x14ac:dyDescent="0.45">
      <c r="A3" s="1" t="s">
        <v>186</v>
      </c>
      <c r="B3" s="1"/>
      <c r="C3" s="1"/>
      <c r="D3" s="1"/>
      <c r="E3" s="1"/>
      <c r="F3" s="1"/>
    </row>
    <row r="4" spans="1:6" ht="18.5" x14ac:dyDescent="0.45">
      <c r="A4" s="1" t="s">
        <v>344</v>
      </c>
      <c r="B4" s="1"/>
      <c r="C4" s="1"/>
      <c r="D4" s="1"/>
      <c r="E4" s="1"/>
      <c r="F4" s="1"/>
    </row>
    <row r="5" spans="1:6" ht="18.5" x14ac:dyDescent="0.45">
      <c r="A5" s="1" t="s">
        <v>187</v>
      </c>
      <c r="B5" s="1"/>
      <c r="C5" s="1"/>
      <c r="D5" s="1"/>
      <c r="E5" s="1"/>
      <c r="F5" s="1"/>
    </row>
    <row r="6" spans="1:6" ht="18.5" x14ac:dyDescent="0.45">
      <c r="A6" s="1" t="s">
        <v>188</v>
      </c>
      <c r="B6" s="1"/>
      <c r="C6" s="1"/>
      <c r="D6" s="1" t="s">
        <v>189</v>
      </c>
      <c r="E6" s="1"/>
      <c r="F6" s="1"/>
    </row>
    <row r="7" spans="1:6" x14ac:dyDescent="0.35">
      <c r="A7" s="35" t="s">
        <v>6</v>
      </c>
      <c r="B7" s="36" t="s">
        <v>7</v>
      </c>
      <c r="C7" s="36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s="16">
        <v>44750</v>
      </c>
      <c r="B8" s="2">
        <v>180</v>
      </c>
      <c r="C8" s="2" t="s">
        <v>16</v>
      </c>
      <c r="D8" s="4">
        <v>10000</v>
      </c>
      <c r="E8" s="4">
        <v>10000</v>
      </c>
      <c r="F8" s="20">
        <v>327500</v>
      </c>
    </row>
    <row r="9" spans="1:6" x14ac:dyDescent="0.35">
      <c r="A9" s="16">
        <v>44874</v>
      </c>
      <c r="B9" s="2">
        <v>225</v>
      </c>
      <c r="C9" s="2" t="s">
        <v>16</v>
      </c>
      <c r="D9" s="4">
        <v>10000</v>
      </c>
      <c r="E9" s="4">
        <v>10000</v>
      </c>
      <c r="F9" s="20">
        <v>317500</v>
      </c>
    </row>
    <row r="10" spans="1:6" x14ac:dyDescent="0.35">
      <c r="A10" s="17" t="s">
        <v>190</v>
      </c>
      <c r="B10" s="2">
        <v>2176</v>
      </c>
      <c r="C10" s="2" t="s">
        <v>191</v>
      </c>
      <c r="D10" s="4">
        <v>10000</v>
      </c>
      <c r="E10" s="4">
        <f>SUM(E9+D10)</f>
        <v>20000</v>
      </c>
      <c r="F10" s="20">
        <f>F9-D10</f>
        <v>307500</v>
      </c>
    </row>
    <row r="11" spans="1:6" x14ac:dyDescent="0.35">
      <c r="A11" s="16">
        <v>45263</v>
      </c>
      <c r="B11" s="2">
        <v>1493</v>
      </c>
      <c r="C11" s="2" t="s">
        <v>16</v>
      </c>
      <c r="D11" s="4">
        <v>10000</v>
      </c>
      <c r="E11" s="4">
        <f t="shared" ref="E11:E41" si="0">SUM(E10+D11)</f>
        <v>30000</v>
      </c>
      <c r="F11" s="20">
        <f t="shared" ref="F11:F41" si="1">F10-D11</f>
        <v>297500</v>
      </c>
    </row>
    <row r="12" spans="1:6" x14ac:dyDescent="0.35">
      <c r="A12" s="16">
        <v>45022</v>
      </c>
      <c r="B12" s="2">
        <v>277</v>
      </c>
      <c r="C12" s="2" t="s">
        <v>16</v>
      </c>
      <c r="D12" s="4">
        <v>10000</v>
      </c>
      <c r="E12" s="4">
        <f t="shared" si="0"/>
        <v>40000</v>
      </c>
      <c r="F12" s="20">
        <f t="shared" si="1"/>
        <v>287500</v>
      </c>
    </row>
    <row r="13" spans="1:6" x14ac:dyDescent="0.35">
      <c r="A13" s="16">
        <v>45176</v>
      </c>
      <c r="B13" s="2">
        <v>277</v>
      </c>
      <c r="C13" s="2" t="s">
        <v>16</v>
      </c>
      <c r="D13" s="4">
        <v>10000</v>
      </c>
      <c r="E13" s="4">
        <f t="shared" si="0"/>
        <v>50000</v>
      </c>
      <c r="F13" s="20">
        <f t="shared" si="1"/>
        <v>277500</v>
      </c>
    </row>
    <row r="14" spans="1:6" x14ac:dyDescent="0.35">
      <c r="A14" s="16">
        <v>45176</v>
      </c>
      <c r="B14" s="2">
        <v>2612</v>
      </c>
      <c r="C14" s="2" t="s">
        <v>16</v>
      </c>
      <c r="D14" s="4">
        <v>10000</v>
      </c>
      <c r="E14" s="4">
        <f t="shared" si="0"/>
        <v>60000</v>
      </c>
      <c r="F14" s="20">
        <f t="shared" si="1"/>
        <v>267500</v>
      </c>
    </row>
    <row r="15" spans="1:6" x14ac:dyDescent="0.35">
      <c r="A15" s="16">
        <v>45085</v>
      </c>
      <c r="B15" s="2">
        <v>2297</v>
      </c>
      <c r="C15" s="2" t="s">
        <v>16</v>
      </c>
      <c r="D15" s="4">
        <v>10000</v>
      </c>
      <c r="E15" s="4">
        <f t="shared" si="0"/>
        <v>70000</v>
      </c>
      <c r="F15" s="20">
        <f t="shared" si="1"/>
        <v>257500</v>
      </c>
    </row>
    <row r="16" spans="1:6" x14ac:dyDescent="0.35">
      <c r="A16" s="16">
        <v>44993</v>
      </c>
      <c r="B16" s="2">
        <v>3377</v>
      </c>
      <c r="C16" s="2" t="s">
        <v>16</v>
      </c>
      <c r="D16" s="4">
        <v>10000</v>
      </c>
      <c r="E16" s="4">
        <f t="shared" si="0"/>
        <v>80000</v>
      </c>
      <c r="F16" s="20">
        <f t="shared" si="1"/>
        <v>247500</v>
      </c>
    </row>
    <row r="17" spans="1:6" x14ac:dyDescent="0.35">
      <c r="A17" s="16">
        <v>45148</v>
      </c>
      <c r="B17" s="2">
        <v>4072</v>
      </c>
      <c r="C17" s="2" t="s">
        <v>16</v>
      </c>
      <c r="D17" s="4">
        <v>10000</v>
      </c>
      <c r="E17" s="4">
        <f t="shared" si="0"/>
        <v>90000</v>
      </c>
      <c r="F17" s="20">
        <f t="shared" si="1"/>
        <v>237500</v>
      </c>
    </row>
    <row r="18" spans="1:6" x14ac:dyDescent="0.35">
      <c r="A18" s="16">
        <v>45057</v>
      </c>
      <c r="B18" s="2">
        <v>4628</v>
      </c>
      <c r="C18" s="2" t="s">
        <v>16</v>
      </c>
      <c r="D18" s="4">
        <v>10000</v>
      </c>
      <c r="E18" s="4">
        <f t="shared" si="0"/>
        <v>100000</v>
      </c>
      <c r="F18" s="20">
        <f t="shared" si="1"/>
        <v>227500</v>
      </c>
    </row>
    <row r="19" spans="1:6" x14ac:dyDescent="0.35">
      <c r="A19" s="16">
        <v>44997</v>
      </c>
      <c r="B19" s="2">
        <v>5263</v>
      </c>
      <c r="C19" s="2" t="s">
        <v>16</v>
      </c>
      <c r="D19" s="4">
        <v>10000</v>
      </c>
      <c r="E19" s="4">
        <f t="shared" si="0"/>
        <v>110000</v>
      </c>
      <c r="F19" s="20">
        <f t="shared" si="1"/>
        <v>217500</v>
      </c>
    </row>
    <row r="20" spans="1:6" x14ac:dyDescent="0.35">
      <c r="A20" s="17" t="s">
        <v>192</v>
      </c>
      <c r="B20" s="2">
        <v>5872</v>
      </c>
      <c r="C20" s="2" t="s">
        <v>16</v>
      </c>
      <c r="D20" s="4">
        <v>10000</v>
      </c>
      <c r="E20" s="4">
        <f t="shared" si="0"/>
        <v>120000</v>
      </c>
      <c r="F20" s="20">
        <f t="shared" si="1"/>
        <v>207500</v>
      </c>
    </row>
    <row r="21" spans="1:6" x14ac:dyDescent="0.35">
      <c r="A21" s="16">
        <v>45384</v>
      </c>
      <c r="B21" s="2">
        <v>6528</v>
      </c>
      <c r="C21" s="2" t="s">
        <v>16</v>
      </c>
      <c r="D21" s="4">
        <v>10000</v>
      </c>
      <c r="E21" s="4">
        <f t="shared" si="0"/>
        <v>130000</v>
      </c>
      <c r="F21" s="20">
        <f t="shared" si="1"/>
        <v>197500</v>
      </c>
    </row>
    <row r="22" spans="1:6" x14ac:dyDescent="0.35">
      <c r="A22" s="16">
        <v>45354</v>
      </c>
      <c r="B22" s="2">
        <v>6875</v>
      </c>
      <c r="C22" s="2" t="s">
        <v>16</v>
      </c>
      <c r="D22" s="4">
        <v>10000</v>
      </c>
      <c r="E22" s="4">
        <f t="shared" si="0"/>
        <v>140000</v>
      </c>
      <c r="F22" s="20">
        <f t="shared" si="1"/>
        <v>187500</v>
      </c>
    </row>
    <row r="23" spans="1:6" x14ac:dyDescent="0.35">
      <c r="A23" s="16">
        <v>45477</v>
      </c>
      <c r="B23" s="2">
        <v>7724</v>
      </c>
      <c r="C23" s="2" t="s">
        <v>16</v>
      </c>
      <c r="D23" s="4">
        <v>10000</v>
      </c>
      <c r="E23" s="4">
        <f t="shared" si="0"/>
        <v>150000</v>
      </c>
      <c r="F23" s="20">
        <f t="shared" si="1"/>
        <v>177500</v>
      </c>
    </row>
    <row r="24" spans="1:6" x14ac:dyDescent="0.35">
      <c r="A24" s="16">
        <v>45417</v>
      </c>
      <c r="B24" s="2">
        <v>8227</v>
      </c>
      <c r="C24" s="2" t="s">
        <v>16</v>
      </c>
      <c r="D24" s="4">
        <v>10000</v>
      </c>
      <c r="E24" s="4">
        <f t="shared" si="0"/>
        <v>160000</v>
      </c>
      <c r="F24" s="20">
        <f t="shared" si="1"/>
        <v>167500</v>
      </c>
    </row>
    <row r="25" spans="1:6" x14ac:dyDescent="0.35">
      <c r="A25" s="16">
        <v>45328</v>
      </c>
      <c r="B25" s="2">
        <v>8822</v>
      </c>
      <c r="C25" s="2" t="s">
        <v>16</v>
      </c>
      <c r="D25" s="4">
        <v>10000</v>
      </c>
      <c r="E25" s="4">
        <f t="shared" si="0"/>
        <v>170000</v>
      </c>
      <c r="F25" s="20">
        <f t="shared" si="1"/>
        <v>157500</v>
      </c>
    </row>
    <row r="26" spans="1:6" x14ac:dyDescent="0.35">
      <c r="A26" s="17" t="s">
        <v>193</v>
      </c>
      <c r="B26" s="2">
        <v>9579</v>
      </c>
      <c r="C26" s="2" t="s">
        <v>16</v>
      </c>
      <c r="D26" s="4">
        <v>10000</v>
      </c>
      <c r="E26" s="4">
        <f t="shared" si="0"/>
        <v>180000</v>
      </c>
      <c r="F26" s="20">
        <f t="shared" si="1"/>
        <v>147500</v>
      </c>
    </row>
    <row r="27" spans="1:6" x14ac:dyDescent="0.35">
      <c r="A27" s="16">
        <v>45543</v>
      </c>
      <c r="B27" s="2">
        <v>11012</v>
      </c>
      <c r="C27" s="2" t="s">
        <v>16</v>
      </c>
      <c r="D27" s="4">
        <v>10000</v>
      </c>
      <c r="E27" s="4">
        <f t="shared" si="0"/>
        <v>190000</v>
      </c>
      <c r="F27" s="20">
        <f t="shared" si="1"/>
        <v>137500</v>
      </c>
    </row>
    <row r="28" spans="1:6" x14ac:dyDescent="0.35">
      <c r="A28" s="16">
        <v>45360</v>
      </c>
      <c r="B28" s="2">
        <v>10601</v>
      </c>
      <c r="C28" s="2" t="s">
        <v>16</v>
      </c>
      <c r="D28" s="4">
        <v>10000</v>
      </c>
      <c r="E28" s="4">
        <f t="shared" si="0"/>
        <v>200000</v>
      </c>
      <c r="F28" s="20">
        <f t="shared" si="1"/>
        <v>127500</v>
      </c>
    </row>
    <row r="29" spans="1:6" x14ac:dyDescent="0.35">
      <c r="A29" s="16">
        <v>45453</v>
      </c>
      <c r="B29" s="2">
        <v>11409</v>
      </c>
      <c r="C29" s="2" t="s">
        <v>16</v>
      </c>
      <c r="D29" s="4">
        <v>10000</v>
      </c>
      <c r="E29" s="4">
        <f t="shared" si="0"/>
        <v>210000</v>
      </c>
      <c r="F29" s="20">
        <f t="shared" si="1"/>
        <v>117500</v>
      </c>
    </row>
    <row r="30" spans="1:6" x14ac:dyDescent="0.35">
      <c r="A30" s="16">
        <v>45362</v>
      </c>
      <c r="B30" s="2">
        <v>11566</v>
      </c>
      <c r="C30" s="2" t="s">
        <v>16</v>
      </c>
      <c r="D30" s="4">
        <v>10000</v>
      </c>
      <c r="E30" s="4">
        <f t="shared" si="0"/>
        <v>220000</v>
      </c>
      <c r="F30" s="20">
        <f t="shared" si="1"/>
        <v>107500</v>
      </c>
    </row>
    <row r="31" spans="1:6" x14ac:dyDescent="0.35">
      <c r="A31" s="16">
        <v>45516</v>
      </c>
      <c r="B31" s="2">
        <v>12240</v>
      </c>
      <c r="C31" s="2" t="s">
        <v>16</v>
      </c>
      <c r="D31" s="4">
        <v>10000</v>
      </c>
      <c r="E31" s="4">
        <f t="shared" si="0"/>
        <v>230000</v>
      </c>
      <c r="F31" s="20">
        <f t="shared" si="1"/>
        <v>97500</v>
      </c>
    </row>
    <row r="32" spans="1:6" x14ac:dyDescent="0.35">
      <c r="A32" s="16">
        <v>45778</v>
      </c>
      <c r="B32" s="2">
        <v>12909</v>
      </c>
      <c r="C32" s="2" t="s">
        <v>16</v>
      </c>
      <c r="D32" s="4">
        <v>10000</v>
      </c>
      <c r="E32" s="4">
        <f t="shared" si="0"/>
        <v>240000</v>
      </c>
      <c r="F32" s="20">
        <f t="shared" si="1"/>
        <v>87500</v>
      </c>
    </row>
    <row r="33" spans="1:6" x14ac:dyDescent="0.35">
      <c r="A33" s="16">
        <v>45871</v>
      </c>
      <c r="B33" s="2">
        <v>9267</v>
      </c>
      <c r="C33" s="2" t="s">
        <v>16</v>
      </c>
      <c r="D33" s="4">
        <v>10000</v>
      </c>
      <c r="E33" s="4">
        <f t="shared" si="0"/>
        <v>250000</v>
      </c>
      <c r="F33" s="20">
        <f t="shared" si="1"/>
        <v>77500</v>
      </c>
    </row>
    <row r="34" spans="1:6" x14ac:dyDescent="0.35">
      <c r="A34" s="16">
        <v>45903</v>
      </c>
      <c r="B34" s="2">
        <v>9659</v>
      </c>
      <c r="C34" s="2" t="s">
        <v>16</v>
      </c>
      <c r="D34" s="4">
        <v>10000</v>
      </c>
      <c r="E34" s="4">
        <f t="shared" si="0"/>
        <v>260000</v>
      </c>
      <c r="F34" s="20">
        <f t="shared" si="1"/>
        <v>67500</v>
      </c>
    </row>
    <row r="35" spans="1:6" x14ac:dyDescent="0.35">
      <c r="A35" s="16">
        <v>45752</v>
      </c>
      <c r="B35" s="2">
        <v>10307</v>
      </c>
      <c r="C35" s="2" t="s">
        <v>16</v>
      </c>
      <c r="D35" s="4">
        <v>10000</v>
      </c>
      <c r="E35" s="4">
        <f t="shared" si="0"/>
        <v>270000</v>
      </c>
      <c r="F35" s="20">
        <f t="shared" si="1"/>
        <v>57500</v>
      </c>
    </row>
    <row r="36" spans="1:6" x14ac:dyDescent="0.35">
      <c r="A36" s="16">
        <v>45814</v>
      </c>
      <c r="B36" s="2">
        <v>10474</v>
      </c>
      <c r="C36" s="2" t="s">
        <v>16</v>
      </c>
      <c r="D36" s="4">
        <v>10000</v>
      </c>
      <c r="E36" s="4">
        <f t="shared" si="0"/>
        <v>280000</v>
      </c>
      <c r="F36" s="20">
        <f t="shared" si="1"/>
        <v>47500</v>
      </c>
    </row>
    <row r="37" spans="1:6" x14ac:dyDescent="0.35">
      <c r="A37" s="16">
        <v>45907</v>
      </c>
      <c r="B37" s="2">
        <v>12843</v>
      </c>
      <c r="C37" s="2" t="s">
        <v>16</v>
      </c>
      <c r="D37" s="4">
        <v>10000</v>
      </c>
      <c r="E37" s="4">
        <f t="shared" si="0"/>
        <v>290000</v>
      </c>
      <c r="F37" s="20">
        <f t="shared" si="1"/>
        <v>37500</v>
      </c>
    </row>
    <row r="38" spans="1:6" x14ac:dyDescent="0.35">
      <c r="A38" s="16">
        <v>45938</v>
      </c>
      <c r="B38" s="2">
        <v>12464</v>
      </c>
      <c r="C38" s="2" t="s">
        <v>16</v>
      </c>
      <c r="D38" s="4">
        <v>10000</v>
      </c>
      <c r="E38" s="4">
        <f t="shared" si="0"/>
        <v>300000</v>
      </c>
      <c r="F38" s="20">
        <f t="shared" si="1"/>
        <v>27500</v>
      </c>
    </row>
    <row r="39" spans="1:6" x14ac:dyDescent="0.35">
      <c r="A39" s="16">
        <v>45847</v>
      </c>
      <c r="B39" s="2">
        <v>12628</v>
      </c>
      <c r="C39" s="2" t="s">
        <v>16</v>
      </c>
      <c r="D39" s="4">
        <v>10000</v>
      </c>
      <c r="E39" s="4">
        <f t="shared" si="0"/>
        <v>310000</v>
      </c>
      <c r="F39" s="20">
        <f t="shared" si="1"/>
        <v>17500</v>
      </c>
    </row>
    <row r="40" spans="1:6" x14ac:dyDescent="0.35">
      <c r="A40" s="16">
        <v>45787</v>
      </c>
      <c r="B40" s="2">
        <v>13879</v>
      </c>
      <c r="C40" s="2" t="s">
        <v>16</v>
      </c>
      <c r="D40" s="4">
        <v>10000</v>
      </c>
      <c r="E40" s="4">
        <f t="shared" si="0"/>
        <v>320000</v>
      </c>
      <c r="F40" s="20">
        <f t="shared" si="1"/>
        <v>7500</v>
      </c>
    </row>
    <row r="41" spans="1:6" x14ac:dyDescent="0.35">
      <c r="A41" s="28">
        <v>45911</v>
      </c>
      <c r="B41" s="5">
        <v>13472</v>
      </c>
      <c r="C41" s="5" t="s">
        <v>16</v>
      </c>
      <c r="D41" s="24">
        <v>7500</v>
      </c>
      <c r="E41" s="24">
        <f t="shared" si="0"/>
        <v>327500</v>
      </c>
      <c r="F41" s="25">
        <f t="shared" si="1"/>
        <v>0</v>
      </c>
    </row>
    <row r="43" spans="1:6" ht="18.5" x14ac:dyDescent="0.45">
      <c r="A43" s="74" t="s">
        <v>648</v>
      </c>
      <c r="B43" s="80"/>
      <c r="C43" s="80"/>
    </row>
    <row r="44" spans="1:6" x14ac:dyDescent="0.35">
      <c r="A44" s="81" t="s">
        <v>6</v>
      </c>
      <c r="B44" s="82" t="s">
        <v>7</v>
      </c>
      <c r="C44" s="82" t="s">
        <v>8</v>
      </c>
      <c r="D44" s="83" t="s">
        <v>9</v>
      </c>
      <c r="E44" s="83" t="s">
        <v>10</v>
      </c>
      <c r="F44" s="83" t="s">
        <v>11</v>
      </c>
    </row>
    <row r="45" spans="1:6" x14ac:dyDescent="0.35">
      <c r="A45" s="58">
        <v>46113</v>
      </c>
      <c r="B45" s="7">
        <v>5214</v>
      </c>
      <c r="C45" s="7" t="s">
        <v>634</v>
      </c>
      <c r="D45" s="7">
        <v>15000</v>
      </c>
      <c r="E45" s="7">
        <v>15000</v>
      </c>
      <c r="F45" s="7">
        <v>435000</v>
      </c>
    </row>
    <row r="46" spans="1:6" x14ac:dyDescent="0.35">
      <c r="A46" s="58">
        <v>46024</v>
      </c>
      <c r="B46" s="7">
        <v>5423</v>
      </c>
      <c r="C46" s="7" t="s">
        <v>634</v>
      </c>
      <c r="D46" s="7">
        <v>5000</v>
      </c>
      <c r="E46" s="7">
        <f t="shared" ref="E46:E52" si="2">E45+D46</f>
        <v>20000</v>
      </c>
      <c r="F46" s="7">
        <f t="shared" ref="F46:F52" si="3">F45-D46</f>
        <v>430000</v>
      </c>
    </row>
    <row r="47" spans="1:6" x14ac:dyDescent="0.35">
      <c r="A47" s="58">
        <v>46206</v>
      </c>
      <c r="B47" s="7">
        <v>5658</v>
      </c>
      <c r="C47" s="7" t="s">
        <v>634</v>
      </c>
      <c r="D47" s="7">
        <v>5000</v>
      </c>
      <c r="E47" s="7">
        <f t="shared" si="2"/>
        <v>25000</v>
      </c>
      <c r="F47" s="7">
        <f t="shared" si="3"/>
        <v>425000</v>
      </c>
    </row>
    <row r="48" spans="1:6" x14ac:dyDescent="0.35">
      <c r="A48" s="58">
        <v>46146</v>
      </c>
      <c r="B48" s="7">
        <v>5845</v>
      </c>
      <c r="C48" s="7" t="s">
        <v>634</v>
      </c>
      <c r="D48" s="7">
        <v>5000</v>
      </c>
      <c r="E48" s="7">
        <f t="shared" si="2"/>
        <v>30000</v>
      </c>
      <c r="F48" s="7">
        <f t="shared" si="3"/>
        <v>420000</v>
      </c>
    </row>
    <row r="49" spans="1:6" x14ac:dyDescent="0.35">
      <c r="A49" s="58">
        <v>46086</v>
      </c>
      <c r="B49" s="7">
        <v>1365</v>
      </c>
      <c r="C49" s="7" t="s">
        <v>634</v>
      </c>
      <c r="D49" s="7">
        <v>5000</v>
      </c>
      <c r="E49" s="7">
        <f t="shared" si="2"/>
        <v>35000</v>
      </c>
      <c r="F49" s="7">
        <f t="shared" si="3"/>
        <v>415000</v>
      </c>
    </row>
    <row r="50" spans="1:6" x14ac:dyDescent="0.35">
      <c r="A50" s="58">
        <v>46209</v>
      </c>
      <c r="B50" s="7">
        <v>1592</v>
      </c>
      <c r="C50" s="7" t="s">
        <v>634</v>
      </c>
      <c r="D50" s="7">
        <v>5000</v>
      </c>
      <c r="E50" s="7">
        <f t="shared" si="2"/>
        <v>40000</v>
      </c>
      <c r="F50" s="7">
        <f t="shared" si="3"/>
        <v>410000</v>
      </c>
    </row>
    <row r="51" spans="1:6" x14ac:dyDescent="0.35">
      <c r="A51" s="58">
        <v>46149</v>
      </c>
      <c r="B51" s="7">
        <v>1754</v>
      </c>
      <c r="C51" s="7" t="s">
        <v>634</v>
      </c>
      <c r="D51" s="7">
        <v>5000</v>
      </c>
      <c r="E51" s="7">
        <f t="shared" si="2"/>
        <v>45000</v>
      </c>
      <c r="F51" s="7">
        <f t="shared" si="3"/>
        <v>405000</v>
      </c>
    </row>
    <row r="52" spans="1:6" x14ac:dyDescent="0.35">
      <c r="A52" s="58">
        <v>46273</v>
      </c>
      <c r="B52" s="7">
        <v>3756</v>
      </c>
      <c r="C52" s="7" t="s">
        <v>634</v>
      </c>
      <c r="D52" s="7">
        <v>5000</v>
      </c>
      <c r="E52" s="7">
        <f t="shared" si="2"/>
        <v>50000</v>
      </c>
      <c r="F52" s="7">
        <f t="shared" si="3"/>
        <v>400000</v>
      </c>
    </row>
    <row r="53" spans="1:6" x14ac:dyDescent="0.35">
      <c r="A53" s="9">
        <v>46182</v>
      </c>
      <c r="B53">
        <v>2008</v>
      </c>
      <c r="C53" s="114" t="s">
        <v>634</v>
      </c>
      <c r="D53" s="114">
        <v>5000</v>
      </c>
      <c r="E53">
        <v>55000</v>
      </c>
      <c r="F53" s="11">
        <v>395000</v>
      </c>
    </row>
    <row r="54" spans="1:6" x14ac:dyDescent="0.35">
      <c r="A54" s="9">
        <v>46122</v>
      </c>
      <c r="B54">
        <v>2143</v>
      </c>
      <c r="C54" s="114" t="s">
        <v>634</v>
      </c>
      <c r="D54" s="114">
        <v>5000</v>
      </c>
      <c r="E54" s="11">
        <v>60000</v>
      </c>
      <c r="F54" s="11">
        <v>390000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11"/>
  <sheetViews>
    <sheetView workbookViewId="0">
      <selection activeCell="I6" sqref="I6"/>
    </sheetView>
  </sheetViews>
  <sheetFormatPr defaultRowHeight="14.5" x14ac:dyDescent="0.35"/>
  <cols>
    <col min="1" max="1" width="9.453125" bestFit="1" customWidth="1"/>
    <col min="3" max="3" width="12.816406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174</v>
      </c>
      <c r="B1" s="1"/>
      <c r="C1" s="1"/>
      <c r="D1" s="1"/>
      <c r="E1" s="1"/>
      <c r="F1" s="1"/>
    </row>
    <row r="2" spans="1:6" ht="18.5" x14ac:dyDescent="0.45">
      <c r="A2" s="1" t="s">
        <v>175</v>
      </c>
      <c r="C2" s="1"/>
      <c r="D2" s="1"/>
      <c r="E2" s="1"/>
      <c r="F2" s="1"/>
    </row>
    <row r="3" spans="1:6" ht="18.5" x14ac:dyDescent="0.45">
      <c r="A3" s="1" t="s">
        <v>176</v>
      </c>
      <c r="B3" s="1"/>
      <c r="C3" s="1"/>
      <c r="D3" s="1"/>
      <c r="E3" s="1"/>
      <c r="F3" s="1"/>
    </row>
    <row r="4" spans="1:6" ht="18.5" x14ac:dyDescent="0.45">
      <c r="A4" s="1" t="s">
        <v>179</v>
      </c>
      <c r="B4" s="1"/>
      <c r="C4" s="1"/>
      <c r="D4" s="1"/>
      <c r="E4" s="1"/>
      <c r="F4" s="1"/>
    </row>
    <row r="5" spans="1:6" ht="18.5" x14ac:dyDescent="0.45">
      <c r="A5" s="1" t="s">
        <v>41</v>
      </c>
      <c r="B5" s="1"/>
      <c r="C5" s="1"/>
      <c r="D5" s="1"/>
      <c r="E5" s="1"/>
      <c r="F5" s="1"/>
    </row>
    <row r="6" spans="1:6" ht="18.5" x14ac:dyDescent="0.45">
      <c r="A6" s="1" t="s">
        <v>177</v>
      </c>
      <c r="B6" s="1"/>
      <c r="C6" s="1"/>
      <c r="D6" s="1" t="s">
        <v>178</v>
      </c>
      <c r="E6" s="1"/>
      <c r="F6" s="1"/>
    </row>
    <row r="7" spans="1:6" x14ac:dyDescent="0.35">
      <c r="A7" s="41" t="s">
        <v>6</v>
      </c>
      <c r="B7" s="42" t="s">
        <v>7</v>
      </c>
      <c r="C7" s="42" t="s">
        <v>8</v>
      </c>
      <c r="D7" s="10" t="s">
        <v>9</v>
      </c>
      <c r="E7" s="10" t="s">
        <v>10</v>
      </c>
      <c r="F7" s="10" t="s">
        <v>11</v>
      </c>
    </row>
    <row r="8" spans="1:6" x14ac:dyDescent="0.35">
      <c r="A8" t="s">
        <v>180</v>
      </c>
      <c r="B8">
        <v>605</v>
      </c>
      <c r="C8" t="s">
        <v>16</v>
      </c>
      <c r="D8" s="11">
        <v>10000</v>
      </c>
      <c r="E8" s="11">
        <v>10000</v>
      </c>
      <c r="F8" s="11">
        <v>110000</v>
      </c>
    </row>
    <row r="9" spans="1:6" x14ac:dyDescent="0.35">
      <c r="A9" s="9">
        <v>44663</v>
      </c>
      <c r="B9">
        <v>2555</v>
      </c>
      <c r="C9" t="s">
        <v>182</v>
      </c>
      <c r="D9" s="11">
        <v>50000</v>
      </c>
      <c r="E9" s="11">
        <f>SUM(E8+D9)</f>
        <v>60000</v>
      </c>
      <c r="F9" s="11">
        <f>F8-D9</f>
        <v>60000</v>
      </c>
    </row>
    <row r="10" spans="1:6" x14ac:dyDescent="0.35">
      <c r="A10" t="s">
        <v>181</v>
      </c>
      <c r="B10">
        <v>2556</v>
      </c>
      <c r="C10" t="s">
        <v>16</v>
      </c>
      <c r="D10" s="11">
        <v>30000</v>
      </c>
      <c r="E10" s="11">
        <f>SUM(E9+D10)</f>
        <v>90000</v>
      </c>
      <c r="F10" s="11">
        <f>F9-D10</f>
        <v>30000</v>
      </c>
    </row>
    <row r="11" spans="1:6" x14ac:dyDescent="0.35">
      <c r="B11" t="s">
        <v>183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11"/>
  <sheetViews>
    <sheetView workbookViewId="0">
      <selection activeCell="I18" sqref="I18"/>
    </sheetView>
  </sheetViews>
  <sheetFormatPr defaultRowHeight="14.5" x14ac:dyDescent="0.35"/>
  <cols>
    <col min="1" max="1" width="9.08984375" customWidth="1"/>
    <col min="3" max="3" width="13.08984375" customWidth="1"/>
    <col min="4" max="4" width="13" customWidth="1"/>
    <col min="5" max="5" width="10.453125" customWidth="1"/>
    <col min="6" max="6" width="13.453125" customWidth="1"/>
    <col min="7" max="7" width="10.26953125" customWidth="1"/>
  </cols>
  <sheetData>
    <row r="1" spans="1:7" ht="18.5" x14ac:dyDescent="0.45">
      <c r="A1" s="1" t="s">
        <v>142</v>
      </c>
      <c r="B1" s="1"/>
      <c r="C1" s="1"/>
      <c r="D1" s="1"/>
      <c r="E1" s="1"/>
      <c r="F1" s="1"/>
    </row>
    <row r="2" spans="1:7" ht="18.5" x14ac:dyDescent="0.45">
      <c r="A2" s="1" t="s">
        <v>143</v>
      </c>
      <c r="C2" s="1"/>
      <c r="D2" s="1"/>
      <c r="E2" s="1"/>
      <c r="F2" s="1"/>
    </row>
    <row r="3" spans="1:7" ht="18.5" x14ac:dyDescent="0.45">
      <c r="A3" s="1" t="s">
        <v>144</v>
      </c>
      <c r="B3" s="1"/>
      <c r="C3" s="1"/>
      <c r="D3" s="1"/>
      <c r="E3" s="1"/>
      <c r="F3" s="1"/>
    </row>
    <row r="4" spans="1:7" ht="18.5" x14ac:dyDescent="0.45">
      <c r="A4" s="1" t="s">
        <v>283</v>
      </c>
      <c r="B4" s="1"/>
      <c r="C4" s="1"/>
      <c r="D4" s="1"/>
      <c r="E4" s="1"/>
      <c r="F4" s="1"/>
    </row>
    <row r="5" spans="1:7" ht="18.5" x14ac:dyDescent="0.45">
      <c r="A5" s="1" t="s">
        <v>145</v>
      </c>
      <c r="B5" s="1"/>
      <c r="C5" s="1"/>
      <c r="D5" s="1"/>
      <c r="E5" s="1"/>
      <c r="F5" s="1"/>
    </row>
    <row r="6" spans="1:7" ht="18.5" x14ac:dyDescent="0.45">
      <c r="A6" s="1" t="s">
        <v>146</v>
      </c>
      <c r="B6" s="1"/>
      <c r="C6" s="1"/>
      <c r="D6" s="1" t="s">
        <v>147</v>
      </c>
      <c r="E6" s="1"/>
      <c r="F6" s="1"/>
    </row>
    <row r="7" spans="1:7" x14ac:dyDescent="0.35">
      <c r="A7" s="37" t="s">
        <v>6</v>
      </c>
      <c r="B7" s="38" t="s">
        <v>7</v>
      </c>
      <c r="C7" s="38" t="s">
        <v>8</v>
      </c>
      <c r="D7" s="26" t="s">
        <v>9</v>
      </c>
      <c r="E7" s="26" t="s">
        <v>10</v>
      </c>
      <c r="F7" s="26" t="s">
        <v>11</v>
      </c>
      <c r="G7" s="26" t="s">
        <v>209</v>
      </c>
    </row>
    <row r="8" spans="1:7" x14ac:dyDescent="0.35">
      <c r="A8" s="7" t="s">
        <v>148</v>
      </c>
      <c r="B8" s="7">
        <v>12882</v>
      </c>
      <c r="C8" s="7" t="s">
        <v>149</v>
      </c>
      <c r="D8" s="8">
        <v>330000</v>
      </c>
      <c r="E8" s="8">
        <v>330000</v>
      </c>
      <c r="F8" s="8">
        <v>150000</v>
      </c>
      <c r="G8" s="7"/>
    </row>
    <row r="9" spans="1:7" x14ac:dyDescent="0.35">
      <c r="A9" s="7" t="s">
        <v>148</v>
      </c>
      <c r="B9" s="7">
        <v>12883</v>
      </c>
      <c r="C9" s="7" t="s">
        <v>47</v>
      </c>
      <c r="D9" s="8">
        <v>150000</v>
      </c>
      <c r="E9" s="8">
        <v>480000</v>
      </c>
      <c r="F9" s="7" t="s">
        <v>150</v>
      </c>
      <c r="G9" s="7"/>
    </row>
    <row r="10" spans="1:7" x14ac:dyDescent="0.35">
      <c r="A10" s="7" t="s">
        <v>148</v>
      </c>
      <c r="B10" s="7">
        <v>5738</v>
      </c>
      <c r="C10" s="7" t="s">
        <v>151</v>
      </c>
      <c r="D10" s="8">
        <v>150000</v>
      </c>
      <c r="E10" s="8">
        <v>150000</v>
      </c>
      <c r="F10" s="7" t="s">
        <v>150</v>
      </c>
      <c r="G10" s="7"/>
    </row>
    <row r="11" spans="1:7" x14ac:dyDescent="0.35">
      <c r="C11" t="s">
        <v>152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29" workbookViewId="0">
      <selection activeCell="F43" sqref="F43"/>
    </sheetView>
  </sheetViews>
  <sheetFormatPr defaultRowHeight="14.5" x14ac:dyDescent="0.35"/>
  <cols>
    <col min="1" max="1" width="14.81640625" customWidth="1"/>
    <col min="2" max="2" width="10.7265625" customWidth="1"/>
    <col min="3" max="3" width="11.81640625" customWidth="1"/>
    <col min="4" max="4" width="13.81640625" customWidth="1"/>
    <col min="5" max="5" width="13.36328125" customWidth="1"/>
    <col min="6" max="6" width="11" customWidth="1"/>
  </cols>
  <sheetData>
    <row r="1" spans="1:6" x14ac:dyDescent="0.35">
      <c r="A1" t="s">
        <v>427</v>
      </c>
      <c r="B1" t="s">
        <v>495</v>
      </c>
    </row>
    <row r="2" spans="1:6" x14ac:dyDescent="0.35">
      <c r="A2" t="s">
        <v>428</v>
      </c>
      <c r="B2" t="s">
        <v>496</v>
      </c>
    </row>
    <row r="3" spans="1:6" x14ac:dyDescent="0.35">
      <c r="A3" t="s">
        <v>431</v>
      </c>
      <c r="B3" t="s">
        <v>497</v>
      </c>
    </row>
    <row r="4" spans="1:6" x14ac:dyDescent="0.35">
      <c r="A4" t="s">
        <v>429</v>
      </c>
      <c r="B4" t="s">
        <v>498</v>
      </c>
    </row>
    <row r="5" spans="1:6" x14ac:dyDescent="0.35">
      <c r="A5" t="s">
        <v>430</v>
      </c>
      <c r="B5" t="s">
        <v>499</v>
      </c>
    </row>
    <row r="6" spans="1:6" x14ac:dyDescent="0.35">
      <c r="A6" t="s">
        <v>432</v>
      </c>
      <c r="B6">
        <v>5051</v>
      </c>
      <c r="E6" s="11">
        <v>400000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t="s">
        <v>500</v>
      </c>
      <c r="B9">
        <v>1006</v>
      </c>
      <c r="C9" t="s">
        <v>510</v>
      </c>
      <c r="D9" s="11">
        <v>140000</v>
      </c>
      <c r="E9" s="11">
        <v>140000</v>
      </c>
      <c r="F9" s="11">
        <v>260000</v>
      </c>
    </row>
    <row r="10" spans="1:6" x14ac:dyDescent="0.35">
      <c r="A10" t="s">
        <v>501</v>
      </c>
      <c r="B10">
        <v>1007</v>
      </c>
      <c r="C10" t="s">
        <v>511</v>
      </c>
      <c r="D10" s="11">
        <v>10000</v>
      </c>
      <c r="E10" s="11">
        <f t="shared" ref="E10:E35" si="0">E9+D10</f>
        <v>150000</v>
      </c>
      <c r="F10" s="11">
        <f t="shared" ref="F10:F35" si="1">F9-D10</f>
        <v>250000</v>
      </c>
    </row>
    <row r="11" spans="1:6" x14ac:dyDescent="0.35">
      <c r="A11" t="s">
        <v>502</v>
      </c>
      <c r="B11">
        <v>1326</v>
      </c>
      <c r="C11" t="s">
        <v>455</v>
      </c>
      <c r="D11" s="11">
        <v>10000</v>
      </c>
      <c r="E11" s="11">
        <f t="shared" si="0"/>
        <v>160000</v>
      </c>
      <c r="F11" s="11">
        <f t="shared" si="1"/>
        <v>240000</v>
      </c>
    </row>
    <row r="12" spans="1:6" x14ac:dyDescent="0.35">
      <c r="A12" t="s">
        <v>470</v>
      </c>
      <c r="B12">
        <v>874</v>
      </c>
      <c r="C12" t="s">
        <v>455</v>
      </c>
      <c r="D12" s="11">
        <v>10000</v>
      </c>
      <c r="E12" s="11">
        <f t="shared" si="0"/>
        <v>170000</v>
      </c>
      <c r="F12" s="11">
        <f t="shared" si="1"/>
        <v>230000</v>
      </c>
    </row>
    <row r="13" spans="1:6" x14ac:dyDescent="0.35">
      <c r="A13" t="s">
        <v>503</v>
      </c>
      <c r="B13">
        <v>515</v>
      </c>
      <c r="C13" t="s">
        <v>455</v>
      </c>
      <c r="D13" s="11">
        <v>10000</v>
      </c>
      <c r="E13" s="11">
        <f t="shared" si="0"/>
        <v>180000</v>
      </c>
      <c r="F13" s="11">
        <f t="shared" si="1"/>
        <v>220000</v>
      </c>
    </row>
    <row r="14" spans="1:6" x14ac:dyDescent="0.35">
      <c r="A14" t="s">
        <v>504</v>
      </c>
      <c r="B14">
        <v>2116</v>
      </c>
      <c r="C14" t="s">
        <v>455</v>
      </c>
      <c r="D14" s="11">
        <v>10000</v>
      </c>
      <c r="E14" s="11">
        <f t="shared" si="0"/>
        <v>190000</v>
      </c>
      <c r="F14" s="11">
        <f t="shared" si="1"/>
        <v>210000</v>
      </c>
    </row>
    <row r="15" spans="1:6" x14ac:dyDescent="0.35">
      <c r="A15" t="s">
        <v>505</v>
      </c>
      <c r="B15">
        <v>2482</v>
      </c>
      <c r="C15" t="s">
        <v>455</v>
      </c>
      <c r="D15" s="11">
        <v>10000</v>
      </c>
      <c r="E15" s="11">
        <f t="shared" si="0"/>
        <v>200000</v>
      </c>
      <c r="F15" s="11">
        <f t="shared" si="1"/>
        <v>200000</v>
      </c>
    </row>
    <row r="16" spans="1:6" x14ac:dyDescent="0.35">
      <c r="A16" t="s">
        <v>506</v>
      </c>
      <c r="B16">
        <v>3299</v>
      </c>
      <c r="C16" t="s">
        <v>455</v>
      </c>
      <c r="D16" s="11">
        <v>10000</v>
      </c>
      <c r="E16" s="11">
        <f t="shared" si="0"/>
        <v>210000</v>
      </c>
      <c r="F16" s="11">
        <f t="shared" si="1"/>
        <v>190000</v>
      </c>
    </row>
    <row r="17" spans="1:6" x14ac:dyDescent="0.35">
      <c r="A17" t="s">
        <v>507</v>
      </c>
      <c r="B17">
        <v>4362</v>
      </c>
      <c r="C17" t="s">
        <v>455</v>
      </c>
      <c r="D17" s="11">
        <v>10000</v>
      </c>
      <c r="E17" s="11">
        <f t="shared" si="0"/>
        <v>220000</v>
      </c>
      <c r="F17" s="11">
        <f t="shared" si="1"/>
        <v>180000</v>
      </c>
    </row>
    <row r="18" spans="1:6" x14ac:dyDescent="0.35">
      <c r="A18" t="s">
        <v>508</v>
      </c>
      <c r="B18">
        <v>4608</v>
      </c>
      <c r="C18" t="s">
        <v>455</v>
      </c>
      <c r="D18" s="11">
        <v>10000</v>
      </c>
      <c r="E18" s="11">
        <f t="shared" si="0"/>
        <v>230000</v>
      </c>
      <c r="F18" s="11">
        <f t="shared" si="1"/>
        <v>170000</v>
      </c>
    </row>
    <row r="19" spans="1:6" x14ac:dyDescent="0.35">
      <c r="A19" t="s">
        <v>509</v>
      </c>
      <c r="B19">
        <v>5473</v>
      </c>
      <c r="C19" t="s">
        <v>455</v>
      </c>
      <c r="D19" s="11">
        <v>10000</v>
      </c>
      <c r="E19" s="11">
        <f t="shared" si="0"/>
        <v>240000</v>
      </c>
      <c r="F19" s="11">
        <f t="shared" si="1"/>
        <v>160000</v>
      </c>
    </row>
    <row r="20" spans="1:6" x14ac:dyDescent="0.35">
      <c r="A20" t="s">
        <v>512</v>
      </c>
      <c r="B20">
        <v>6129</v>
      </c>
      <c r="C20" t="s">
        <v>455</v>
      </c>
      <c r="D20" s="11">
        <v>10000</v>
      </c>
      <c r="E20" s="11">
        <f t="shared" si="0"/>
        <v>250000</v>
      </c>
      <c r="F20" s="11">
        <f t="shared" si="1"/>
        <v>150000</v>
      </c>
    </row>
    <row r="21" spans="1:6" x14ac:dyDescent="0.35">
      <c r="A21" t="s">
        <v>513</v>
      </c>
      <c r="B21">
        <v>7070</v>
      </c>
      <c r="C21" t="s">
        <v>455</v>
      </c>
      <c r="D21" s="11">
        <v>10000</v>
      </c>
      <c r="E21" s="11">
        <f t="shared" si="0"/>
        <v>260000</v>
      </c>
      <c r="F21" s="11">
        <f t="shared" si="1"/>
        <v>140000</v>
      </c>
    </row>
    <row r="22" spans="1:6" x14ac:dyDescent="0.35">
      <c r="A22" t="s">
        <v>477</v>
      </c>
      <c r="B22">
        <v>7897</v>
      </c>
      <c r="C22" t="s">
        <v>455</v>
      </c>
      <c r="D22" s="11">
        <v>10000</v>
      </c>
      <c r="E22" s="11">
        <f t="shared" si="0"/>
        <v>270000</v>
      </c>
      <c r="F22" s="11">
        <f t="shared" si="1"/>
        <v>130000</v>
      </c>
    </row>
    <row r="23" spans="1:6" x14ac:dyDescent="0.35">
      <c r="A23" t="s">
        <v>514</v>
      </c>
      <c r="B23">
        <v>7850</v>
      </c>
      <c r="C23" t="s">
        <v>455</v>
      </c>
      <c r="D23" s="11">
        <v>10000</v>
      </c>
      <c r="E23" s="11">
        <f t="shared" si="0"/>
        <v>280000</v>
      </c>
      <c r="F23" s="11">
        <f t="shared" si="1"/>
        <v>120000</v>
      </c>
    </row>
    <row r="24" spans="1:6" x14ac:dyDescent="0.35">
      <c r="A24" t="s">
        <v>515</v>
      </c>
      <c r="B24">
        <v>8549</v>
      </c>
      <c r="C24" t="s">
        <v>455</v>
      </c>
      <c r="D24" s="11">
        <v>10000</v>
      </c>
      <c r="E24" s="11">
        <f t="shared" si="0"/>
        <v>290000</v>
      </c>
      <c r="F24" s="11">
        <f t="shared" si="1"/>
        <v>110000</v>
      </c>
    </row>
    <row r="25" spans="1:6" x14ac:dyDescent="0.35">
      <c r="A25" t="s">
        <v>516</v>
      </c>
      <c r="B25">
        <v>9067</v>
      </c>
      <c r="C25" t="s">
        <v>455</v>
      </c>
      <c r="D25" s="11">
        <v>10000</v>
      </c>
      <c r="E25" s="11">
        <f t="shared" si="0"/>
        <v>300000</v>
      </c>
      <c r="F25" s="11">
        <f t="shared" si="1"/>
        <v>100000</v>
      </c>
    </row>
    <row r="26" spans="1:6" x14ac:dyDescent="0.35">
      <c r="A26" t="s">
        <v>517</v>
      </c>
      <c r="B26">
        <v>9659</v>
      </c>
      <c r="C26" t="s">
        <v>455</v>
      </c>
      <c r="D26" s="11">
        <v>10000</v>
      </c>
      <c r="E26" s="11">
        <f t="shared" si="0"/>
        <v>310000</v>
      </c>
      <c r="F26" s="11">
        <f t="shared" si="1"/>
        <v>90000</v>
      </c>
    </row>
    <row r="27" spans="1:6" x14ac:dyDescent="0.35">
      <c r="A27" t="s">
        <v>518</v>
      </c>
      <c r="B27">
        <v>10754</v>
      </c>
      <c r="C27" t="s">
        <v>455</v>
      </c>
      <c r="D27" s="11">
        <v>10000</v>
      </c>
      <c r="E27" s="11">
        <f t="shared" si="0"/>
        <v>320000</v>
      </c>
      <c r="F27" s="11">
        <f t="shared" si="1"/>
        <v>80000</v>
      </c>
    </row>
    <row r="28" spans="1:6" x14ac:dyDescent="0.35">
      <c r="A28" t="s">
        <v>519</v>
      </c>
      <c r="B28">
        <v>12328</v>
      </c>
      <c r="C28" t="s">
        <v>455</v>
      </c>
      <c r="D28" s="11">
        <v>10000</v>
      </c>
      <c r="E28" s="11">
        <f t="shared" si="0"/>
        <v>330000</v>
      </c>
      <c r="F28" s="11">
        <f t="shared" si="1"/>
        <v>70000</v>
      </c>
    </row>
    <row r="29" spans="1:6" x14ac:dyDescent="0.35">
      <c r="A29" t="s">
        <v>520</v>
      </c>
      <c r="B29">
        <v>12978</v>
      </c>
      <c r="C29" t="s">
        <v>455</v>
      </c>
      <c r="D29" s="11">
        <v>10000</v>
      </c>
      <c r="E29" s="11">
        <f t="shared" si="0"/>
        <v>340000</v>
      </c>
      <c r="F29" s="11">
        <f t="shared" si="1"/>
        <v>60000</v>
      </c>
    </row>
    <row r="30" spans="1:6" x14ac:dyDescent="0.35">
      <c r="A30" t="s">
        <v>521</v>
      </c>
      <c r="B30">
        <v>12978</v>
      </c>
      <c r="C30" t="s">
        <v>455</v>
      </c>
      <c r="D30" s="11">
        <v>10000</v>
      </c>
      <c r="E30" s="11">
        <f t="shared" si="0"/>
        <v>350000</v>
      </c>
      <c r="F30" s="11">
        <f t="shared" si="1"/>
        <v>50000</v>
      </c>
    </row>
    <row r="31" spans="1:6" x14ac:dyDescent="0.35">
      <c r="A31" t="s">
        <v>522</v>
      </c>
      <c r="B31">
        <v>9439</v>
      </c>
      <c r="C31" t="s">
        <v>455</v>
      </c>
      <c r="D31" s="11">
        <v>10000</v>
      </c>
      <c r="E31" s="11">
        <f t="shared" si="0"/>
        <v>360000</v>
      </c>
      <c r="F31" s="11">
        <f t="shared" si="1"/>
        <v>40000</v>
      </c>
    </row>
    <row r="32" spans="1:6" x14ac:dyDescent="0.35">
      <c r="A32" t="s">
        <v>523</v>
      </c>
      <c r="B32">
        <v>9688</v>
      </c>
      <c r="C32" t="s">
        <v>455</v>
      </c>
      <c r="D32" s="11">
        <v>10000</v>
      </c>
      <c r="E32" s="11">
        <f t="shared" si="0"/>
        <v>370000</v>
      </c>
      <c r="F32" s="11">
        <f t="shared" si="1"/>
        <v>30000</v>
      </c>
    </row>
    <row r="33" spans="1:6" x14ac:dyDescent="0.35">
      <c r="A33" t="s">
        <v>524</v>
      </c>
      <c r="B33">
        <v>9688</v>
      </c>
      <c r="C33" t="s">
        <v>455</v>
      </c>
      <c r="D33" s="11">
        <v>10000</v>
      </c>
      <c r="E33" s="11">
        <f t="shared" si="0"/>
        <v>380000</v>
      </c>
      <c r="F33" s="11">
        <f t="shared" si="1"/>
        <v>20000</v>
      </c>
    </row>
    <row r="34" spans="1:6" x14ac:dyDescent="0.35">
      <c r="A34" t="s">
        <v>525</v>
      </c>
      <c r="B34">
        <v>10188</v>
      </c>
      <c r="C34" t="s">
        <v>455</v>
      </c>
      <c r="D34" s="11">
        <v>10000</v>
      </c>
      <c r="E34" s="11">
        <f t="shared" si="0"/>
        <v>390000</v>
      </c>
      <c r="F34" s="11">
        <f t="shared" si="1"/>
        <v>10000</v>
      </c>
    </row>
    <row r="35" spans="1:6" x14ac:dyDescent="0.35">
      <c r="A35" t="s">
        <v>526</v>
      </c>
      <c r="B35">
        <v>10832</v>
      </c>
      <c r="C35" t="s">
        <v>455</v>
      </c>
      <c r="D35" s="11">
        <v>10000</v>
      </c>
      <c r="E35" s="11">
        <f t="shared" si="0"/>
        <v>400000</v>
      </c>
      <c r="F35" s="11">
        <f t="shared" si="1"/>
        <v>0</v>
      </c>
    </row>
    <row r="36" spans="1:6" x14ac:dyDescent="0.35">
      <c r="D36" s="11"/>
    </row>
    <row r="37" spans="1:6" x14ac:dyDescent="0.35">
      <c r="A37" s="115" t="s">
        <v>6</v>
      </c>
      <c r="B37" s="115" t="s">
        <v>729</v>
      </c>
      <c r="C37" s="115" t="s">
        <v>730</v>
      </c>
      <c r="D37" s="115" t="s">
        <v>424</v>
      </c>
      <c r="E37" s="115" t="s">
        <v>731</v>
      </c>
    </row>
    <row r="38" spans="1:6" x14ac:dyDescent="0.35">
      <c r="A38" s="116" t="s">
        <v>701</v>
      </c>
      <c r="B38" s="116" t="s">
        <v>702</v>
      </c>
      <c r="C38" s="116" t="s">
        <v>703</v>
      </c>
      <c r="D38" s="117">
        <v>10000</v>
      </c>
      <c r="E38" s="105">
        <v>440000</v>
      </c>
    </row>
    <row r="39" spans="1:6" x14ac:dyDescent="0.35">
      <c r="A39" s="116" t="s">
        <v>732</v>
      </c>
      <c r="B39" s="116" t="s">
        <v>704</v>
      </c>
      <c r="C39" s="116" t="s">
        <v>703</v>
      </c>
      <c r="D39" s="117">
        <v>10000</v>
      </c>
      <c r="E39" s="105">
        <v>430000</v>
      </c>
    </row>
    <row r="40" spans="1:6" x14ac:dyDescent="0.35">
      <c r="A40" s="116" t="s">
        <v>705</v>
      </c>
      <c r="B40" s="116" t="s">
        <v>706</v>
      </c>
      <c r="C40" s="116" t="s">
        <v>703</v>
      </c>
      <c r="D40" s="117">
        <v>10800</v>
      </c>
      <c r="E40" s="105">
        <v>420000</v>
      </c>
    </row>
    <row r="41" spans="1:6" x14ac:dyDescent="0.35">
      <c r="A41" s="116" t="s">
        <v>707</v>
      </c>
      <c r="B41" s="116" t="s">
        <v>708</v>
      </c>
      <c r="C41" s="116" t="s">
        <v>703</v>
      </c>
      <c r="D41" s="117">
        <v>10000</v>
      </c>
      <c r="E41" s="105">
        <v>410000</v>
      </c>
    </row>
    <row r="42" spans="1:6" x14ac:dyDescent="0.35">
      <c r="A42" s="116" t="s">
        <v>709</v>
      </c>
      <c r="B42" s="116" t="s">
        <v>710</v>
      </c>
      <c r="C42" s="116" t="s">
        <v>703</v>
      </c>
      <c r="D42" s="117">
        <v>10000</v>
      </c>
      <c r="E42" s="105">
        <v>400000</v>
      </c>
    </row>
    <row r="43" spans="1:6" x14ac:dyDescent="0.35">
      <c r="A43" s="116" t="s">
        <v>139</v>
      </c>
      <c r="B43" s="116" t="s">
        <v>711</v>
      </c>
      <c r="C43" s="116" t="s">
        <v>712</v>
      </c>
      <c r="D43" s="117">
        <v>10000</v>
      </c>
      <c r="E43" s="105">
        <v>390000</v>
      </c>
    </row>
    <row r="44" spans="1:6" x14ac:dyDescent="0.35">
      <c r="A44" s="116" t="s">
        <v>713</v>
      </c>
      <c r="B44" s="116" t="s">
        <v>714</v>
      </c>
      <c r="C44" s="116" t="s">
        <v>712</v>
      </c>
      <c r="D44" s="117">
        <v>10000</v>
      </c>
      <c r="E44" s="105">
        <v>380000</v>
      </c>
    </row>
    <row r="45" spans="1:6" x14ac:dyDescent="0.35">
      <c r="A45" s="116" t="s">
        <v>715</v>
      </c>
      <c r="B45" s="116" t="s">
        <v>716</v>
      </c>
      <c r="C45" s="116" t="s">
        <v>712</v>
      </c>
      <c r="D45" s="117">
        <v>10000</v>
      </c>
      <c r="E45" s="105">
        <v>370000</v>
      </c>
    </row>
    <row r="46" spans="1:6" x14ac:dyDescent="0.35">
      <c r="A46" s="116" t="s">
        <v>717</v>
      </c>
      <c r="B46" s="116" t="s">
        <v>718</v>
      </c>
      <c r="C46" s="116" t="s">
        <v>712</v>
      </c>
      <c r="D46" s="117">
        <v>10000</v>
      </c>
      <c r="E46" s="105">
        <v>360000</v>
      </c>
    </row>
    <row r="47" spans="1:6" x14ac:dyDescent="0.35">
      <c r="A47" s="116" t="s">
        <v>719</v>
      </c>
      <c r="B47" s="116" t="s">
        <v>720</v>
      </c>
      <c r="C47" s="116" t="s">
        <v>712</v>
      </c>
      <c r="D47" s="117">
        <v>10000</v>
      </c>
      <c r="E47" s="105">
        <v>350000</v>
      </c>
    </row>
    <row r="48" spans="1:6" x14ac:dyDescent="0.35">
      <c r="A48" s="116" t="s">
        <v>721</v>
      </c>
      <c r="B48" s="116" t="s">
        <v>722</v>
      </c>
      <c r="C48" s="116" t="s">
        <v>712</v>
      </c>
      <c r="D48" s="117">
        <v>10000</v>
      </c>
      <c r="E48" s="105">
        <v>340000</v>
      </c>
    </row>
    <row r="49" spans="1:5" x14ac:dyDescent="0.35">
      <c r="A49" s="116" t="s">
        <v>723</v>
      </c>
      <c r="B49" s="116" t="s">
        <v>724</v>
      </c>
      <c r="C49" s="116" t="s">
        <v>712</v>
      </c>
      <c r="D49" s="117">
        <v>10000</v>
      </c>
      <c r="E49" s="117">
        <v>330000</v>
      </c>
    </row>
    <row r="50" spans="1:5" x14ac:dyDescent="0.35">
      <c r="A50" s="116" t="s">
        <v>725</v>
      </c>
      <c r="B50" s="116" t="s">
        <v>726</v>
      </c>
      <c r="C50" s="116" t="s">
        <v>712</v>
      </c>
      <c r="D50" s="117">
        <v>10000</v>
      </c>
      <c r="E50" s="117">
        <v>320000</v>
      </c>
    </row>
    <row r="51" spans="1:5" x14ac:dyDescent="0.35">
      <c r="A51" s="116" t="s">
        <v>727</v>
      </c>
      <c r="B51" s="116" t="s">
        <v>728</v>
      </c>
      <c r="C51" s="116" t="s">
        <v>703</v>
      </c>
      <c r="D51" s="117">
        <v>10000</v>
      </c>
      <c r="E51" s="117">
        <v>310000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34" workbookViewId="0">
      <selection activeCell="F52" sqref="F52"/>
    </sheetView>
  </sheetViews>
  <sheetFormatPr defaultRowHeight="14.5" x14ac:dyDescent="0.35"/>
  <cols>
    <col min="1" max="1" width="12.6328125" customWidth="1"/>
    <col min="2" max="2" width="15.1796875" bestFit="1" customWidth="1"/>
    <col min="3" max="3" width="22.6328125" customWidth="1"/>
    <col min="4" max="4" width="12.36328125" customWidth="1"/>
    <col min="5" max="5" width="10.81640625" customWidth="1"/>
    <col min="6" max="6" width="10.08984375" customWidth="1"/>
  </cols>
  <sheetData>
    <row r="1" spans="1:6" x14ac:dyDescent="0.35">
      <c r="A1" t="s">
        <v>427</v>
      </c>
      <c r="B1" t="s">
        <v>527</v>
      </c>
    </row>
    <row r="2" spans="1:6" x14ac:dyDescent="0.35">
      <c r="A2" t="s">
        <v>428</v>
      </c>
      <c r="B2" t="s">
        <v>528</v>
      </c>
    </row>
    <row r="3" spans="1:6" x14ac:dyDescent="0.35">
      <c r="A3" t="s">
        <v>431</v>
      </c>
      <c r="B3" t="s">
        <v>497</v>
      </c>
    </row>
    <row r="4" spans="1:6" x14ac:dyDescent="0.35">
      <c r="A4" t="s">
        <v>429</v>
      </c>
      <c r="B4" t="s">
        <v>498</v>
      </c>
    </row>
    <row r="5" spans="1:6" x14ac:dyDescent="0.35">
      <c r="A5" t="s">
        <v>430</v>
      </c>
      <c r="B5" t="s">
        <v>529</v>
      </c>
    </row>
    <row r="6" spans="1:6" x14ac:dyDescent="0.35">
      <c r="A6" t="s">
        <v>432</v>
      </c>
      <c r="B6">
        <v>5052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t="s">
        <v>501</v>
      </c>
      <c r="B9">
        <v>811</v>
      </c>
      <c r="C9" t="s">
        <v>455</v>
      </c>
      <c r="D9" s="11">
        <v>10000</v>
      </c>
      <c r="E9" s="11">
        <v>10000</v>
      </c>
      <c r="F9" s="11">
        <v>300000</v>
      </c>
    </row>
    <row r="10" spans="1:6" x14ac:dyDescent="0.35">
      <c r="A10" t="s">
        <v>530</v>
      </c>
      <c r="B10">
        <v>1899</v>
      </c>
      <c r="C10" t="s">
        <v>510</v>
      </c>
      <c r="D10" s="11">
        <v>50000</v>
      </c>
      <c r="E10" s="11">
        <f t="shared" ref="E10:E35" si="0">E9+D10</f>
        <v>60000</v>
      </c>
      <c r="F10" s="11">
        <f t="shared" ref="F10:F35" si="1">F9-D10</f>
        <v>250000</v>
      </c>
    </row>
    <row r="11" spans="1:6" x14ac:dyDescent="0.35">
      <c r="A11" t="s">
        <v>502</v>
      </c>
      <c r="B11">
        <v>1900</v>
      </c>
      <c r="C11" t="s">
        <v>455</v>
      </c>
      <c r="D11" s="11">
        <v>10000</v>
      </c>
      <c r="E11" s="11">
        <f t="shared" si="0"/>
        <v>70000</v>
      </c>
      <c r="F11" s="11">
        <f t="shared" si="1"/>
        <v>240000</v>
      </c>
    </row>
    <row r="12" spans="1:6" x14ac:dyDescent="0.35">
      <c r="A12" t="s">
        <v>470</v>
      </c>
      <c r="B12">
        <v>873</v>
      </c>
      <c r="C12" t="s">
        <v>455</v>
      </c>
      <c r="D12" s="11">
        <v>10000</v>
      </c>
      <c r="E12" s="11">
        <f t="shared" si="0"/>
        <v>80000</v>
      </c>
      <c r="F12" s="11">
        <f t="shared" si="1"/>
        <v>230000</v>
      </c>
    </row>
    <row r="13" spans="1:6" x14ac:dyDescent="0.35">
      <c r="A13" t="s">
        <v>503</v>
      </c>
      <c r="B13">
        <v>514</v>
      </c>
      <c r="C13" t="s">
        <v>455</v>
      </c>
      <c r="D13" s="11">
        <v>10000</v>
      </c>
      <c r="E13" s="11">
        <f t="shared" si="0"/>
        <v>90000</v>
      </c>
      <c r="F13" s="11">
        <f t="shared" si="1"/>
        <v>220000</v>
      </c>
    </row>
    <row r="14" spans="1:6" x14ac:dyDescent="0.35">
      <c r="A14" t="s">
        <v>504</v>
      </c>
      <c r="B14">
        <v>2115</v>
      </c>
      <c r="C14" t="s">
        <v>455</v>
      </c>
      <c r="D14" s="11">
        <v>10000</v>
      </c>
      <c r="E14" s="11">
        <f t="shared" si="0"/>
        <v>100000</v>
      </c>
      <c r="F14" s="11">
        <f t="shared" si="1"/>
        <v>210000</v>
      </c>
    </row>
    <row r="15" spans="1:6" x14ac:dyDescent="0.35">
      <c r="A15" t="s">
        <v>505</v>
      </c>
      <c r="B15">
        <v>2481</v>
      </c>
      <c r="C15" t="s">
        <v>455</v>
      </c>
      <c r="D15" s="11">
        <v>10000</v>
      </c>
      <c r="E15" s="11">
        <f t="shared" si="0"/>
        <v>110000</v>
      </c>
      <c r="F15" s="11">
        <f t="shared" si="1"/>
        <v>200000</v>
      </c>
    </row>
    <row r="16" spans="1:6" x14ac:dyDescent="0.35">
      <c r="A16" t="s">
        <v>506</v>
      </c>
      <c r="B16">
        <v>3300</v>
      </c>
      <c r="C16" t="s">
        <v>455</v>
      </c>
      <c r="D16" s="11">
        <v>10000</v>
      </c>
      <c r="E16" s="11">
        <f t="shared" si="0"/>
        <v>120000</v>
      </c>
      <c r="F16" s="11">
        <f t="shared" si="1"/>
        <v>190000</v>
      </c>
    </row>
    <row r="17" spans="1:6" x14ac:dyDescent="0.35">
      <c r="A17" t="s">
        <v>507</v>
      </c>
      <c r="B17">
        <v>4364</v>
      </c>
      <c r="C17" t="s">
        <v>455</v>
      </c>
      <c r="D17" s="11">
        <v>10000</v>
      </c>
      <c r="E17" s="11">
        <f t="shared" si="0"/>
        <v>130000</v>
      </c>
      <c r="F17" s="11">
        <f t="shared" si="1"/>
        <v>180000</v>
      </c>
    </row>
    <row r="18" spans="1:6" x14ac:dyDescent="0.35">
      <c r="A18" t="s">
        <v>508</v>
      </c>
      <c r="B18">
        <v>4607</v>
      </c>
      <c r="C18" t="s">
        <v>455</v>
      </c>
      <c r="D18" s="11">
        <v>10000</v>
      </c>
      <c r="E18" s="11">
        <f t="shared" si="0"/>
        <v>140000</v>
      </c>
      <c r="F18" s="11">
        <f t="shared" si="1"/>
        <v>170000</v>
      </c>
    </row>
    <row r="19" spans="1:6" x14ac:dyDescent="0.35">
      <c r="A19" t="s">
        <v>509</v>
      </c>
      <c r="B19">
        <v>5474</v>
      </c>
      <c r="C19" t="s">
        <v>455</v>
      </c>
      <c r="D19" s="11">
        <v>10000</v>
      </c>
      <c r="E19" s="11">
        <f t="shared" si="0"/>
        <v>150000</v>
      </c>
      <c r="F19" s="11">
        <f t="shared" si="1"/>
        <v>160000</v>
      </c>
    </row>
    <row r="20" spans="1:6" x14ac:dyDescent="0.35">
      <c r="A20" t="s">
        <v>512</v>
      </c>
      <c r="B20">
        <v>6130</v>
      </c>
      <c r="C20" t="s">
        <v>455</v>
      </c>
      <c r="D20" s="11">
        <v>10000</v>
      </c>
      <c r="E20" s="11">
        <f t="shared" si="0"/>
        <v>160000</v>
      </c>
      <c r="F20" s="11">
        <f t="shared" si="1"/>
        <v>150000</v>
      </c>
    </row>
    <row r="21" spans="1:6" x14ac:dyDescent="0.35">
      <c r="A21" t="s">
        <v>513</v>
      </c>
      <c r="B21">
        <v>7069</v>
      </c>
      <c r="C21" t="s">
        <v>455</v>
      </c>
      <c r="D21" s="11">
        <v>10000</v>
      </c>
      <c r="E21" s="11">
        <f t="shared" si="0"/>
        <v>170000</v>
      </c>
      <c r="F21" s="11">
        <f t="shared" si="1"/>
        <v>140000</v>
      </c>
    </row>
    <row r="22" spans="1:6" x14ac:dyDescent="0.35">
      <c r="A22" t="s">
        <v>477</v>
      </c>
      <c r="B22">
        <v>7396</v>
      </c>
      <c r="C22" t="s">
        <v>455</v>
      </c>
      <c r="D22" s="11">
        <v>10000</v>
      </c>
      <c r="E22" s="11">
        <f t="shared" si="0"/>
        <v>180000</v>
      </c>
      <c r="F22" s="11">
        <f t="shared" si="1"/>
        <v>130000</v>
      </c>
    </row>
    <row r="23" spans="1:6" x14ac:dyDescent="0.35">
      <c r="A23" t="s">
        <v>514</v>
      </c>
      <c r="B23">
        <v>7849</v>
      </c>
      <c r="C23" t="s">
        <v>455</v>
      </c>
      <c r="D23" s="11">
        <v>10000</v>
      </c>
      <c r="E23" s="11">
        <f t="shared" si="0"/>
        <v>190000</v>
      </c>
      <c r="F23" s="11">
        <f t="shared" si="1"/>
        <v>120000</v>
      </c>
    </row>
    <row r="24" spans="1:6" x14ac:dyDescent="0.35">
      <c r="A24" t="s">
        <v>515</v>
      </c>
      <c r="B24">
        <v>8550</v>
      </c>
      <c r="C24" t="s">
        <v>455</v>
      </c>
      <c r="D24" s="11">
        <v>10000</v>
      </c>
      <c r="E24" s="11">
        <f t="shared" si="0"/>
        <v>200000</v>
      </c>
      <c r="F24" s="11">
        <f t="shared" si="1"/>
        <v>110000</v>
      </c>
    </row>
    <row r="25" spans="1:6" x14ac:dyDescent="0.35">
      <c r="A25" t="s">
        <v>516</v>
      </c>
      <c r="B25">
        <v>9068</v>
      </c>
      <c r="C25" t="s">
        <v>455</v>
      </c>
      <c r="D25" s="11">
        <v>10000</v>
      </c>
      <c r="E25" s="11">
        <f t="shared" si="0"/>
        <v>210000</v>
      </c>
      <c r="F25" s="11">
        <f t="shared" si="1"/>
        <v>100000</v>
      </c>
    </row>
    <row r="26" spans="1:6" x14ac:dyDescent="0.35">
      <c r="A26" t="s">
        <v>517</v>
      </c>
      <c r="B26">
        <v>9660</v>
      </c>
      <c r="C26" t="s">
        <v>455</v>
      </c>
      <c r="D26" s="11">
        <v>10000</v>
      </c>
      <c r="E26" s="11">
        <f t="shared" si="0"/>
        <v>220000</v>
      </c>
      <c r="F26" s="11">
        <f t="shared" si="1"/>
        <v>90000</v>
      </c>
    </row>
    <row r="27" spans="1:6" x14ac:dyDescent="0.35">
      <c r="A27" t="s">
        <v>518</v>
      </c>
      <c r="B27">
        <v>10752</v>
      </c>
      <c r="C27" t="s">
        <v>455</v>
      </c>
      <c r="D27" s="11">
        <v>10000</v>
      </c>
      <c r="E27" s="11">
        <f t="shared" si="0"/>
        <v>230000</v>
      </c>
      <c r="F27" s="11">
        <f t="shared" si="1"/>
        <v>80000</v>
      </c>
    </row>
    <row r="28" spans="1:6" x14ac:dyDescent="0.35">
      <c r="A28" t="s">
        <v>519</v>
      </c>
      <c r="B28">
        <v>11653</v>
      </c>
      <c r="C28" t="s">
        <v>455</v>
      </c>
      <c r="D28" s="11">
        <v>10000</v>
      </c>
      <c r="E28" s="11">
        <f t="shared" si="0"/>
        <v>240000</v>
      </c>
      <c r="F28" s="11">
        <f t="shared" si="1"/>
        <v>70000</v>
      </c>
    </row>
    <row r="29" spans="1:6" x14ac:dyDescent="0.35">
      <c r="A29" t="s">
        <v>520</v>
      </c>
      <c r="B29">
        <v>10955</v>
      </c>
      <c r="C29" t="s">
        <v>455</v>
      </c>
      <c r="D29" s="11">
        <v>10000</v>
      </c>
      <c r="E29" s="11">
        <f t="shared" si="0"/>
        <v>250000</v>
      </c>
      <c r="F29" s="11">
        <f t="shared" si="1"/>
        <v>60000</v>
      </c>
    </row>
    <row r="30" spans="1:6" x14ac:dyDescent="0.35">
      <c r="A30" t="s">
        <v>521</v>
      </c>
      <c r="B30">
        <v>12327</v>
      </c>
      <c r="C30" t="s">
        <v>455</v>
      </c>
      <c r="D30" s="11">
        <v>10000</v>
      </c>
      <c r="E30" s="11">
        <f t="shared" si="0"/>
        <v>260000</v>
      </c>
      <c r="F30" s="11">
        <f t="shared" si="1"/>
        <v>50000</v>
      </c>
    </row>
    <row r="31" spans="1:6" x14ac:dyDescent="0.35">
      <c r="A31" t="s">
        <v>522</v>
      </c>
      <c r="B31">
        <v>12979</v>
      </c>
      <c r="C31" t="s">
        <v>455</v>
      </c>
      <c r="D31" s="11">
        <v>10000</v>
      </c>
      <c r="E31" s="11">
        <f t="shared" si="0"/>
        <v>270000</v>
      </c>
      <c r="F31" s="11">
        <f t="shared" si="1"/>
        <v>40000</v>
      </c>
    </row>
    <row r="32" spans="1:6" x14ac:dyDescent="0.35">
      <c r="A32" t="s">
        <v>523</v>
      </c>
      <c r="B32">
        <v>914</v>
      </c>
      <c r="C32" t="s">
        <v>455</v>
      </c>
      <c r="D32" s="11">
        <v>10000</v>
      </c>
      <c r="E32" s="11">
        <f t="shared" si="0"/>
        <v>280000</v>
      </c>
      <c r="F32" s="11">
        <f t="shared" si="1"/>
        <v>30000</v>
      </c>
    </row>
    <row r="33" spans="1:6" x14ac:dyDescent="0.35">
      <c r="A33" t="s">
        <v>524</v>
      </c>
      <c r="B33">
        <v>9687</v>
      </c>
      <c r="C33" t="s">
        <v>455</v>
      </c>
      <c r="D33" s="11">
        <v>10000</v>
      </c>
      <c r="E33" s="11">
        <f t="shared" si="0"/>
        <v>290000</v>
      </c>
      <c r="F33" s="11">
        <f t="shared" si="1"/>
        <v>20000</v>
      </c>
    </row>
    <row r="34" spans="1:6" x14ac:dyDescent="0.35">
      <c r="A34" t="s">
        <v>525</v>
      </c>
      <c r="B34">
        <v>10187</v>
      </c>
      <c r="C34" t="s">
        <v>455</v>
      </c>
      <c r="D34" s="11">
        <v>10000</v>
      </c>
      <c r="E34" s="11">
        <f t="shared" si="0"/>
        <v>300000</v>
      </c>
      <c r="F34" s="11">
        <f t="shared" si="1"/>
        <v>10000</v>
      </c>
    </row>
    <row r="35" spans="1:6" x14ac:dyDescent="0.35">
      <c r="A35" t="s">
        <v>526</v>
      </c>
      <c r="B35">
        <v>10931</v>
      </c>
      <c r="C35" t="s">
        <v>455</v>
      </c>
      <c r="D35" s="11">
        <v>10000</v>
      </c>
      <c r="E35" s="11">
        <f t="shared" si="0"/>
        <v>310000</v>
      </c>
      <c r="F35" s="11">
        <f t="shared" si="1"/>
        <v>0</v>
      </c>
    </row>
    <row r="37" spans="1:6" x14ac:dyDescent="0.35">
      <c r="A37" s="115" t="s">
        <v>6</v>
      </c>
      <c r="B37" s="115" t="s">
        <v>729</v>
      </c>
      <c r="C37" s="115" t="s">
        <v>730</v>
      </c>
      <c r="D37" s="115" t="s">
        <v>424</v>
      </c>
      <c r="E37" s="115" t="s">
        <v>731</v>
      </c>
    </row>
    <row r="39" spans="1:6" x14ac:dyDescent="0.35">
      <c r="A39" s="116" t="s">
        <v>733</v>
      </c>
      <c r="B39" s="116" t="s">
        <v>734</v>
      </c>
      <c r="C39" s="116" t="s">
        <v>703</v>
      </c>
      <c r="D39" s="117">
        <v>10000</v>
      </c>
      <c r="E39" s="117">
        <v>440000</v>
      </c>
    </row>
    <row r="40" spans="1:6" x14ac:dyDescent="0.35">
      <c r="A40" s="116" t="s">
        <v>735</v>
      </c>
      <c r="B40" s="116" t="s">
        <v>736</v>
      </c>
      <c r="C40" s="116" t="s">
        <v>703</v>
      </c>
      <c r="D40" s="117">
        <v>10000</v>
      </c>
      <c r="E40" s="117">
        <v>430000</v>
      </c>
    </row>
    <row r="41" spans="1:6" x14ac:dyDescent="0.35">
      <c r="A41" s="116" t="s">
        <v>705</v>
      </c>
      <c r="B41" s="116" t="s">
        <v>737</v>
      </c>
      <c r="C41" s="116" t="s">
        <v>703</v>
      </c>
      <c r="D41" s="117">
        <v>10000</v>
      </c>
      <c r="E41" s="117">
        <v>420000</v>
      </c>
    </row>
    <row r="42" spans="1:6" x14ac:dyDescent="0.35">
      <c r="A42" s="116" t="s">
        <v>707</v>
      </c>
      <c r="B42" s="116" t="s">
        <v>738</v>
      </c>
      <c r="C42" s="116" t="s">
        <v>703</v>
      </c>
      <c r="D42" s="117">
        <v>10000</v>
      </c>
      <c r="E42" s="117">
        <v>410000</v>
      </c>
    </row>
    <row r="43" spans="1:6" x14ac:dyDescent="0.35">
      <c r="A43" s="116" t="s">
        <v>709</v>
      </c>
      <c r="B43" s="116" t="s">
        <v>739</v>
      </c>
      <c r="C43" s="116" t="s">
        <v>703</v>
      </c>
      <c r="D43" s="117">
        <v>10000</v>
      </c>
      <c r="E43" s="117">
        <v>400000</v>
      </c>
    </row>
    <row r="44" spans="1:6" x14ac:dyDescent="0.35">
      <c r="A44" s="116" t="s">
        <v>139</v>
      </c>
      <c r="B44" s="116" t="s">
        <v>740</v>
      </c>
      <c r="C44" s="116" t="s">
        <v>703</v>
      </c>
      <c r="D44" s="117">
        <v>10000</v>
      </c>
      <c r="E44" s="117">
        <v>390000</v>
      </c>
    </row>
    <row r="45" spans="1:6" x14ac:dyDescent="0.35">
      <c r="A45" s="116" t="s">
        <v>713</v>
      </c>
      <c r="B45" s="116" t="s">
        <v>741</v>
      </c>
      <c r="C45" s="116" t="s">
        <v>712</v>
      </c>
      <c r="D45" s="117">
        <v>10000</v>
      </c>
      <c r="E45" s="117">
        <v>380000</v>
      </c>
    </row>
    <row r="46" spans="1:6" x14ac:dyDescent="0.35">
      <c r="A46" s="116" t="s">
        <v>715</v>
      </c>
      <c r="B46" s="116" t="s">
        <v>742</v>
      </c>
      <c r="C46" s="116" t="s">
        <v>712</v>
      </c>
      <c r="D46" s="117">
        <v>10000</v>
      </c>
      <c r="E46" s="117">
        <v>370000</v>
      </c>
    </row>
    <row r="47" spans="1:6" x14ac:dyDescent="0.35">
      <c r="A47" s="116" t="s">
        <v>717</v>
      </c>
      <c r="B47" s="116" t="s">
        <v>743</v>
      </c>
      <c r="C47" s="116" t="s">
        <v>712</v>
      </c>
      <c r="D47" s="117">
        <v>10000</v>
      </c>
      <c r="E47" s="117">
        <v>360000</v>
      </c>
    </row>
    <row r="48" spans="1:6" x14ac:dyDescent="0.35">
      <c r="A48" s="116" t="s">
        <v>719</v>
      </c>
      <c r="B48" s="116" t="s">
        <v>744</v>
      </c>
      <c r="C48" s="116" t="s">
        <v>712</v>
      </c>
      <c r="D48" s="117">
        <v>10000</v>
      </c>
      <c r="E48" s="117">
        <v>350000</v>
      </c>
    </row>
    <row r="49" spans="1:5" x14ac:dyDescent="0.35">
      <c r="A49" s="116" t="s">
        <v>721</v>
      </c>
      <c r="B49" s="116" t="s">
        <v>745</v>
      </c>
      <c r="C49" s="116" t="s">
        <v>712</v>
      </c>
      <c r="D49" s="117">
        <v>10000</v>
      </c>
      <c r="E49" s="117">
        <v>340000</v>
      </c>
    </row>
    <row r="50" spans="1:5" x14ac:dyDescent="0.35">
      <c r="A50" s="116" t="s">
        <v>723</v>
      </c>
      <c r="B50" s="116" t="s">
        <v>746</v>
      </c>
      <c r="C50" s="116" t="s">
        <v>712</v>
      </c>
      <c r="D50" s="117">
        <v>10000</v>
      </c>
      <c r="E50" s="117">
        <v>330000</v>
      </c>
    </row>
    <row r="51" spans="1:5" x14ac:dyDescent="0.35">
      <c r="A51" s="116" t="s">
        <v>725</v>
      </c>
      <c r="B51" s="116" t="s">
        <v>747</v>
      </c>
      <c r="C51" s="116" t="s">
        <v>712</v>
      </c>
      <c r="D51" s="117">
        <v>10000</v>
      </c>
      <c r="E51" s="117">
        <v>320000</v>
      </c>
    </row>
    <row r="52" spans="1:5" x14ac:dyDescent="0.35">
      <c r="A52" s="116" t="s">
        <v>727</v>
      </c>
      <c r="B52" s="116" t="s">
        <v>748</v>
      </c>
      <c r="C52" s="116" t="s">
        <v>712</v>
      </c>
      <c r="D52" s="117">
        <v>10000</v>
      </c>
      <c r="E52" s="117">
        <v>310000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28"/>
  <sheetViews>
    <sheetView workbookViewId="0">
      <selection activeCell="F29" sqref="F29"/>
    </sheetView>
  </sheetViews>
  <sheetFormatPr defaultRowHeight="14.5" x14ac:dyDescent="0.35"/>
  <cols>
    <col min="1" max="1" width="9.453125" bestFit="1" customWidth="1"/>
    <col min="3" max="3" width="14.0898437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154</v>
      </c>
      <c r="B1" s="1"/>
      <c r="C1" s="1"/>
      <c r="D1" s="1"/>
      <c r="E1" s="1"/>
      <c r="F1" s="1"/>
    </row>
    <row r="2" spans="1:6" ht="18.5" x14ac:dyDescent="0.45">
      <c r="A2" s="1" t="s">
        <v>155</v>
      </c>
      <c r="C2" s="1"/>
      <c r="D2" s="1"/>
      <c r="E2" s="1"/>
      <c r="F2" s="1"/>
    </row>
    <row r="3" spans="1:6" ht="18.5" x14ac:dyDescent="0.45">
      <c r="A3" s="1" t="s">
        <v>156</v>
      </c>
      <c r="B3" s="1"/>
      <c r="C3" s="1"/>
      <c r="D3" s="1"/>
      <c r="E3" s="1"/>
      <c r="F3" s="1"/>
    </row>
    <row r="4" spans="1:6" ht="18.5" x14ac:dyDescent="0.45">
      <c r="A4" s="1" t="s">
        <v>345</v>
      </c>
      <c r="B4" s="1" t="s">
        <v>465</v>
      </c>
      <c r="C4" s="1"/>
      <c r="D4" s="1"/>
      <c r="E4" s="1"/>
      <c r="F4" s="1"/>
    </row>
    <row r="5" spans="1:6" ht="18.5" x14ac:dyDescent="0.45">
      <c r="A5" s="1" t="s">
        <v>157</v>
      </c>
      <c r="B5" s="1"/>
      <c r="C5" s="1"/>
      <c r="D5" s="1"/>
      <c r="E5" s="1"/>
      <c r="F5" s="1"/>
    </row>
    <row r="6" spans="1:6" ht="18.5" x14ac:dyDescent="0.45">
      <c r="A6" s="1" t="s">
        <v>158</v>
      </c>
      <c r="B6" s="1"/>
      <c r="C6" s="1"/>
      <c r="D6" s="1" t="s">
        <v>82</v>
      </c>
      <c r="E6" s="1"/>
      <c r="F6" s="1"/>
    </row>
    <row r="7" spans="1:6" x14ac:dyDescent="0.35">
      <c r="A7" s="43" t="s">
        <v>6</v>
      </c>
      <c r="B7" s="44" t="s">
        <v>7</v>
      </c>
      <c r="C7" s="44" t="s">
        <v>8</v>
      </c>
      <c r="D7" s="26" t="s">
        <v>9</v>
      </c>
      <c r="E7" s="26" t="s">
        <v>10</v>
      </c>
      <c r="F7" s="26" t="s">
        <v>11</v>
      </c>
    </row>
    <row r="8" spans="1:6" x14ac:dyDescent="0.35">
      <c r="A8" t="s">
        <v>159</v>
      </c>
      <c r="B8">
        <v>1891</v>
      </c>
      <c r="C8" t="s">
        <v>169</v>
      </c>
      <c r="D8" s="11">
        <v>120000</v>
      </c>
      <c r="E8" s="11">
        <v>120000</v>
      </c>
      <c r="F8" s="11">
        <v>480000</v>
      </c>
    </row>
    <row r="9" spans="1:6" x14ac:dyDescent="0.35">
      <c r="A9" t="s">
        <v>160</v>
      </c>
      <c r="B9">
        <v>2297</v>
      </c>
      <c r="C9" t="s">
        <v>16</v>
      </c>
      <c r="D9" s="11">
        <v>10000</v>
      </c>
      <c r="E9" s="11">
        <f>SUM(E8+D9)</f>
        <v>130000</v>
      </c>
      <c r="F9" s="11">
        <f>F8-D9</f>
        <v>470000</v>
      </c>
    </row>
    <row r="10" spans="1:6" x14ac:dyDescent="0.35">
      <c r="A10" t="s">
        <v>161</v>
      </c>
      <c r="B10">
        <v>867</v>
      </c>
      <c r="C10" t="s">
        <v>16</v>
      </c>
      <c r="D10" s="11">
        <v>20000</v>
      </c>
      <c r="E10" s="11">
        <f t="shared" ref="E10:E24" si="0">SUM(E9+D10)</f>
        <v>150000</v>
      </c>
      <c r="F10" s="11">
        <f t="shared" ref="F10:F23" si="1">F9-D10</f>
        <v>450000</v>
      </c>
    </row>
    <row r="11" spans="1:6" x14ac:dyDescent="0.35">
      <c r="A11" t="s">
        <v>162</v>
      </c>
      <c r="B11">
        <v>2884</v>
      </c>
      <c r="C11" t="s">
        <v>16</v>
      </c>
      <c r="D11" s="11">
        <v>19000</v>
      </c>
      <c r="E11" s="11">
        <f t="shared" si="0"/>
        <v>169000</v>
      </c>
      <c r="F11" s="11">
        <f t="shared" si="1"/>
        <v>431000</v>
      </c>
    </row>
    <row r="12" spans="1:6" x14ac:dyDescent="0.35">
      <c r="A12" t="s">
        <v>163</v>
      </c>
      <c r="B12">
        <v>3014</v>
      </c>
      <c r="C12" t="s">
        <v>16</v>
      </c>
      <c r="D12" s="11">
        <v>11000</v>
      </c>
      <c r="E12" s="11">
        <f t="shared" si="0"/>
        <v>180000</v>
      </c>
      <c r="F12" s="11">
        <f t="shared" si="1"/>
        <v>420000</v>
      </c>
    </row>
    <row r="13" spans="1:6" x14ac:dyDescent="0.35">
      <c r="A13" t="s">
        <v>164</v>
      </c>
      <c r="B13">
        <v>6389</v>
      </c>
      <c r="C13" t="s">
        <v>16</v>
      </c>
      <c r="D13" s="11">
        <v>10000</v>
      </c>
      <c r="E13" s="11">
        <f t="shared" si="0"/>
        <v>190000</v>
      </c>
      <c r="F13" s="11">
        <f t="shared" si="1"/>
        <v>410000</v>
      </c>
    </row>
    <row r="14" spans="1:6" x14ac:dyDescent="0.35">
      <c r="A14" s="9">
        <v>45537</v>
      </c>
      <c r="B14">
        <v>6580</v>
      </c>
      <c r="C14" t="s">
        <v>16</v>
      </c>
      <c r="D14" s="11">
        <v>10000</v>
      </c>
      <c r="E14" s="11">
        <f t="shared" si="0"/>
        <v>200000</v>
      </c>
      <c r="F14" s="11">
        <f t="shared" si="1"/>
        <v>400000</v>
      </c>
    </row>
    <row r="15" spans="1:6" x14ac:dyDescent="0.35">
      <c r="A15" t="s">
        <v>165</v>
      </c>
      <c r="B15">
        <v>6759</v>
      </c>
      <c r="C15" t="s">
        <v>16</v>
      </c>
      <c r="D15" s="11">
        <v>15000</v>
      </c>
      <c r="E15" s="11">
        <f t="shared" si="0"/>
        <v>215000</v>
      </c>
      <c r="F15" s="11">
        <f t="shared" si="1"/>
        <v>385000</v>
      </c>
    </row>
    <row r="16" spans="1:6" x14ac:dyDescent="0.35">
      <c r="A16" t="s">
        <v>166</v>
      </c>
      <c r="B16">
        <v>6844</v>
      </c>
      <c r="C16" t="s">
        <v>16</v>
      </c>
      <c r="D16" s="11">
        <v>10000</v>
      </c>
      <c r="E16" s="11">
        <f t="shared" si="0"/>
        <v>225000</v>
      </c>
      <c r="F16" s="11">
        <f t="shared" si="1"/>
        <v>375000</v>
      </c>
    </row>
    <row r="17" spans="1:6" x14ac:dyDescent="0.35">
      <c r="A17" t="s">
        <v>167</v>
      </c>
      <c r="B17">
        <v>7382</v>
      </c>
      <c r="C17" t="s">
        <v>16</v>
      </c>
      <c r="D17" s="11">
        <v>10000</v>
      </c>
      <c r="E17" s="11">
        <f t="shared" si="0"/>
        <v>235000</v>
      </c>
      <c r="F17" s="11">
        <f t="shared" si="1"/>
        <v>365000</v>
      </c>
    </row>
    <row r="18" spans="1:6" x14ac:dyDescent="0.35">
      <c r="A18" t="s">
        <v>168</v>
      </c>
      <c r="B18">
        <v>7606</v>
      </c>
      <c r="C18" t="s">
        <v>16</v>
      </c>
      <c r="D18" s="11">
        <v>10000</v>
      </c>
      <c r="E18" s="11">
        <f t="shared" si="0"/>
        <v>245000</v>
      </c>
      <c r="F18" s="11">
        <f t="shared" si="1"/>
        <v>355000</v>
      </c>
    </row>
    <row r="19" spans="1:6" x14ac:dyDescent="0.35">
      <c r="A19" s="9">
        <v>45296</v>
      </c>
      <c r="B19">
        <v>8178</v>
      </c>
      <c r="C19" t="s">
        <v>16</v>
      </c>
      <c r="D19" s="11">
        <v>15000</v>
      </c>
      <c r="E19" s="11">
        <f t="shared" si="0"/>
        <v>260000</v>
      </c>
      <c r="F19" s="11">
        <f t="shared" si="1"/>
        <v>340000</v>
      </c>
    </row>
    <row r="20" spans="1:6" x14ac:dyDescent="0.35">
      <c r="A20" s="9">
        <v>45298</v>
      </c>
      <c r="B20">
        <v>9359</v>
      </c>
      <c r="C20" t="s">
        <v>16</v>
      </c>
      <c r="D20" s="11">
        <v>15000</v>
      </c>
      <c r="E20" s="11">
        <f t="shared" si="0"/>
        <v>275000</v>
      </c>
      <c r="F20" s="11">
        <f t="shared" si="1"/>
        <v>325000</v>
      </c>
    </row>
    <row r="21" spans="1:6" x14ac:dyDescent="0.35">
      <c r="A21" t="s">
        <v>170</v>
      </c>
      <c r="B21">
        <v>11151</v>
      </c>
      <c r="C21" t="s">
        <v>16</v>
      </c>
      <c r="D21" s="11">
        <v>20000</v>
      </c>
      <c r="E21" s="11">
        <f t="shared" si="0"/>
        <v>295000</v>
      </c>
      <c r="F21" s="11">
        <f t="shared" si="1"/>
        <v>305000</v>
      </c>
    </row>
    <row r="22" spans="1:6" x14ac:dyDescent="0.35">
      <c r="A22" t="s">
        <v>171</v>
      </c>
      <c r="B22">
        <v>10256</v>
      </c>
      <c r="C22" t="s">
        <v>16</v>
      </c>
      <c r="D22" s="11">
        <v>20000</v>
      </c>
      <c r="E22" s="11">
        <f t="shared" si="0"/>
        <v>315000</v>
      </c>
      <c r="F22" s="11">
        <f t="shared" si="1"/>
        <v>285000</v>
      </c>
    </row>
    <row r="23" spans="1:6" x14ac:dyDescent="0.35">
      <c r="A23" t="s">
        <v>172</v>
      </c>
      <c r="B23">
        <v>12661</v>
      </c>
      <c r="C23" t="s">
        <v>16</v>
      </c>
      <c r="D23" s="11">
        <v>15000</v>
      </c>
      <c r="E23" s="11">
        <f t="shared" si="0"/>
        <v>330000</v>
      </c>
      <c r="F23" s="11">
        <f t="shared" si="1"/>
        <v>270000</v>
      </c>
    </row>
    <row r="24" spans="1:6" x14ac:dyDescent="0.35">
      <c r="A24" s="9">
        <v>45998</v>
      </c>
      <c r="B24">
        <v>12154</v>
      </c>
      <c r="C24" t="s">
        <v>16</v>
      </c>
      <c r="D24" s="11">
        <v>200000</v>
      </c>
      <c r="E24" s="11">
        <f t="shared" si="0"/>
        <v>530000</v>
      </c>
      <c r="F24" s="11">
        <v>0</v>
      </c>
    </row>
    <row r="25" spans="1:6" x14ac:dyDescent="0.35">
      <c r="B25" t="s">
        <v>173</v>
      </c>
    </row>
    <row r="26" spans="1:6" x14ac:dyDescent="0.35">
      <c r="A26" t="s">
        <v>225</v>
      </c>
      <c r="D26" s="11"/>
      <c r="E26" s="11"/>
      <c r="F26" s="11"/>
    </row>
    <row r="28" spans="1:6" x14ac:dyDescent="0.35">
      <c r="A28" t="s">
        <v>466</v>
      </c>
      <c r="B28">
        <v>1629</v>
      </c>
      <c r="C28" t="s">
        <v>459</v>
      </c>
      <c r="D28" s="11">
        <v>200000</v>
      </c>
      <c r="E28" s="11">
        <v>260000</v>
      </c>
      <c r="F28" t="s">
        <v>460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37"/>
  <sheetViews>
    <sheetView workbookViewId="0">
      <selection activeCell="D35" sqref="D35:D37"/>
    </sheetView>
  </sheetViews>
  <sheetFormatPr defaultRowHeight="14.5" x14ac:dyDescent="0.35"/>
  <cols>
    <col min="1" max="1" width="9.179687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318</v>
      </c>
      <c r="B4" s="1"/>
      <c r="C4" s="1"/>
      <c r="D4" s="1"/>
      <c r="E4" s="1"/>
      <c r="F4" s="1"/>
    </row>
    <row r="5" spans="1:6" ht="18.5" x14ac:dyDescent="0.45">
      <c r="A5" s="1" t="s">
        <v>3</v>
      </c>
      <c r="B5" s="1"/>
      <c r="C5" s="1"/>
      <c r="D5" s="1"/>
      <c r="E5" s="1"/>
      <c r="F5" s="1"/>
    </row>
    <row r="6" spans="1:6" ht="18.5" x14ac:dyDescent="0.45">
      <c r="A6" s="1" t="s">
        <v>4</v>
      </c>
      <c r="B6" s="1"/>
      <c r="C6" s="1"/>
      <c r="D6" s="1"/>
      <c r="E6" s="1" t="s">
        <v>5</v>
      </c>
      <c r="F6" s="1"/>
    </row>
    <row r="7" spans="1:6" x14ac:dyDescent="0.35">
      <c r="A7" s="39" t="s">
        <v>6</v>
      </c>
      <c r="B7" s="40" t="s">
        <v>7</v>
      </c>
      <c r="C7" s="40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s="16">
        <v>44628</v>
      </c>
      <c r="B8" s="2">
        <v>2749</v>
      </c>
      <c r="C8" s="2" t="s">
        <v>12</v>
      </c>
      <c r="D8" s="2">
        <v>120000</v>
      </c>
      <c r="E8" s="4">
        <v>120000</v>
      </c>
      <c r="F8" s="19">
        <v>355000</v>
      </c>
    </row>
    <row r="9" spans="1:6" x14ac:dyDescent="0.35">
      <c r="A9" s="29" t="s">
        <v>13</v>
      </c>
      <c r="B9" s="2">
        <v>2750</v>
      </c>
      <c r="C9" s="2" t="s">
        <v>14</v>
      </c>
      <c r="D9" s="2">
        <v>20000</v>
      </c>
      <c r="E9" s="4">
        <v>140000</v>
      </c>
      <c r="F9" s="19">
        <v>335000</v>
      </c>
    </row>
    <row r="10" spans="1:6" x14ac:dyDescent="0.35">
      <c r="A10" s="17" t="s">
        <v>15</v>
      </c>
      <c r="B10" s="2">
        <v>2751</v>
      </c>
      <c r="C10" s="2" t="s">
        <v>16</v>
      </c>
      <c r="D10" s="2">
        <v>10000</v>
      </c>
      <c r="E10" s="4">
        <f t="shared" ref="E10:E33" si="0">SUM(E9+D10)</f>
        <v>150000</v>
      </c>
      <c r="F10" s="19">
        <f t="shared" ref="F10:F33" si="1">F9-D10</f>
        <v>325000</v>
      </c>
    </row>
    <row r="11" spans="1:6" x14ac:dyDescent="0.35">
      <c r="A11" s="17" t="s">
        <v>17</v>
      </c>
      <c r="B11" s="2">
        <v>3773</v>
      </c>
      <c r="C11" s="2" t="s">
        <v>16</v>
      </c>
      <c r="D11" s="4">
        <v>30000</v>
      </c>
      <c r="E11" s="2">
        <f t="shared" si="0"/>
        <v>180000</v>
      </c>
      <c r="F11" s="19">
        <f t="shared" si="1"/>
        <v>295000</v>
      </c>
    </row>
    <row r="12" spans="1:6" x14ac:dyDescent="0.35">
      <c r="A12" s="17" t="s">
        <v>18</v>
      </c>
      <c r="B12" s="2">
        <v>4513</v>
      </c>
      <c r="C12" s="2" t="s">
        <v>16</v>
      </c>
      <c r="D12" s="2">
        <v>10000</v>
      </c>
      <c r="E12" s="2">
        <f t="shared" si="0"/>
        <v>190000</v>
      </c>
      <c r="F12" s="19">
        <f t="shared" si="1"/>
        <v>285000</v>
      </c>
    </row>
    <row r="13" spans="1:6" x14ac:dyDescent="0.35">
      <c r="A13" s="17" t="s">
        <v>19</v>
      </c>
      <c r="B13" s="2">
        <v>5100</v>
      </c>
      <c r="C13" s="2" t="s">
        <v>16</v>
      </c>
      <c r="D13" s="2">
        <v>10000</v>
      </c>
      <c r="E13" s="2">
        <f t="shared" si="0"/>
        <v>200000</v>
      </c>
      <c r="F13" s="19">
        <f t="shared" si="1"/>
        <v>275000</v>
      </c>
    </row>
    <row r="14" spans="1:6" x14ac:dyDescent="0.35">
      <c r="A14" s="17" t="s">
        <v>20</v>
      </c>
      <c r="B14" s="2">
        <v>5631</v>
      </c>
      <c r="C14" s="2" t="s">
        <v>16</v>
      </c>
      <c r="D14" s="4">
        <v>20000</v>
      </c>
      <c r="E14" s="2">
        <f t="shared" si="0"/>
        <v>220000</v>
      </c>
      <c r="F14" s="19">
        <f t="shared" si="1"/>
        <v>255000</v>
      </c>
    </row>
    <row r="15" spans="1:6" x14ac:dyDescent="0.35">
      <c r="A15" s="17" t="s">
        <v>21</v>
      </c>
      <c r="B15" s="2">
        <v>6252</v>
      </c>
      <c r="C15" s="2" t="s">
        <v>16</v>
      </c>
      <c r="D15" s="4">
        <v>10000</v>
      </c>
      <c r="E15" s="2">
        <f t="shared" si="0"/>
        <v>230000</v>
      </c>
      <c r="F15" s="19">
        <f t="shared" si="1"/>
        <v>245000</v>
      </c>
    </row>
    <row r="16" spans="1:6" x14ac:dyDescent="0.35">
      <c r="A16" s="17" t="s">
        <v>22</v>
      </c>
      <c r="B16" s="2">
        <v>6610</v>
      </c>
      <c r="C16" s="2" t="s">
        <v>16</v>
      </c>
      <c r="D16" s="4">
        <v>10000</v>
      </c>
      <c r="E16" s="2">
        <f t="shared" si="0"/>
        <v>240000</v>
      </c>
      <c r="F16" s="19">
        <f t="shared" si="1"/>
        <v>235000</v>
      </c>
    </row>
    <row r="17" spans="1:6" x14ac:dyDescent="0.35">
      <c r="A17" s="17" t="s">
        <v>23</v>
      </c>
      <c r="B17" s="2">
        <v>7423</v>
      </c>
      <c r="C17" s="2" t="s">
        <v>16</v>
      </c>
      <c r="D17" s="4">
        <v>10000</v>
      </c>
      <c r="E17" s="2">
        <f t="shared" si="0"/>
        <v>250000</v>
      </c>
      <c r="F17" s="19">
        <f t="shared" si="1"/>
        <v>225000</v>
      </c>
    </row>
    <row r="18" spans="1:6" x14ac:dyDescent="0.35">
      <c r="A18" s="17" t="s">
        <v>24</v>
      </c>
      <c r="B18" s="2">
        <v>7920</v>
      </c>
      <c r="C18" s="2" t="s">
        <v>16</v>
      </c>
      <c r="D18" s="4">
        <v>10000</v>
      </c>
      <c r="E18" s="2">
        <f t="shared" si="0"/>
        <v>260000</v>
      </c>
      <c r="F18" s="19">
        <f t="shared" si="1"/>
        <v>215000</v>
      </c>
    </row>
    <row r="19" spans="1:6" x14ac:dyDescent="0.35">
      <c r="A19" s="17" t="s">
        <v>25</v>
      </c>
      <c r="B19" s="2">
        <v>9303</v>
      </c>
      <c r="C19" s="2" t="s">
        <v>16</v>
      </c>
      <c r="D19" s="4">
        <v>20000</v>
      </c>
      <c r="E19" s="2">
        <f t="shared" si="0"/>
        <v>280000</v>
      </c>
      <c r="F19" s="19">
        <f t="shared" si="1"/>
        <v>195000</v>
      </c>
    </row>
    <row r="20" spans="1:6" x14ac:dyDescent="0.35">
      <c r="A20" s="17" t="s">
        <v>26</v>
      </c>
      <c r="B20" s="2">
        <v>10859</v>
      </c>
      <c r="C20" s="2" t="s">
        <v>16</v>
      </c>
      <c r="D20" s="4">
        <v>20000</v>
      </c>
      <c r="E20" s="2">
        <f t="shared" si="0"/>
        <v>300000</v>
      </c>
      <c r="F20" s="19">
        <f t="shared" si="1"/>
        <v>175000</v>
      </c>
    </row>
    <row r="21" spans="1:6" x14ac:dyDescent="0.35">
      <c r="A21" s="17" t="s">
        <v>27</v>
      </c>
      <c r="B21" s="2">
        <v>12497</v>
      </c>
      <c r="C21" s="2" t="s">
        <v>16</v>
      </c>
      <c r="D21" s="4">
        <v>10000</v>
      </c>
      <c r="E21" s="2">
        <f t="shared" si="0"/>
        <v>310000</v>
      </c>
      <c r="F21" s="19">
        <f t="shared" si="1"/>
        <v>165000</v>
      </c>
    </row>
    <row r="22" spans="1:6" x14ac:dyDescent="0.35">
      <c r="A22" s="17" t="s">
        <v>28</v>
      </c>
      <c r="B22" s="2">
        <v>12497</v>
      </c>
      <c r="C22" s="2" t="s">
        <v>16</v>
      </c>
      <c r="D22" s="4">
        <v>10000</v>
      </c>
      <c r="E22" s="2">
        <f t="shared" si="0"/>
        <v>320000</v>
      </c>
      <c r="F22" s="19">
        <f t="shared" si="1"/>
        <v>155000</v>
      </c>
    </row>
    <row r="23" spans="1:6" x14ac:dyDescent="0.35">
      <c r="A23" s="17" t="s">
        <v>29</v>
      </c>
      <c r="B23" s="2">
        <v>12848</v>
      </c>
      <c r="C23" s="2" t="s">
        <v>16</v>
      </c>
      <c r="D23" s="4">
        <v>10000</v>
      </c>
      <c r="E23" s="2">
        <f t="shared" si="0"/>
        <v>330000</v>
      </c>
      <c r="F23" s="19">
        <f t="shared" si="1"/>
        <v>145000</v>
      </c>
    </row>
    <row r="24" spans="1:6" x14ac:dyDescent="0.35">
      <c r="A24" s="16">
        <v>45718</v>
      </c>
      <c r="B24" s="2">
        <v>9208</v>
      </c>
      <c r="C24" s="2" t="s">
        <v>16</v>
      </c>
      <c r="D24" s="4">
        <v>10000</v>
      </c>
      <c r="E24" s="4">
        <f t="shared" si="0"/>
        <v>340000</v>
      </c>
      <c r="F24" s="19">
        <f t="shared" si="1"/>
        <v>135000</v>
      </c>
    </row>
    <row r="25" spans="1:6" x14ac:dyDescent="0.35">
      <c r="A25" s="17" t="s">
        <v>30</v>
      </c>
      <c r="B25" s="2">
        <v>9816</v>
      </c>
      <c r="C25" s="2" t="s">
        <v>16</v>
      </c>
      <c r="D25" s="4">
        <v>10000</v>
      </c>
      <c r="E25" s="4">
        <f t="shared" si="0"/>
        <v>350000</v>
      </c>
      <c r="F25" s="19">
        <f t="shared" si="1"/>
        <v>125000</v>
      </c>
    </row>
    <row r="26" spans="1:6" x14ac:dyDescent="0.35">
      <c r="A26" s="17" t="s">
        <v>31</v>
      </c>
      <c r="B26" s="2">
        <v>9924</v>
      </c>
      <c r="C26" s="2" t="s">
        <v>16</v>
      </c>
      <c r="D26" s="4">
        <v>10000</v>
      </c>
      <c r="E26" s="4">
        <f t="shared" si="0"/>
        <v>360000</v>
      </c>
      <c r="F26" s="20">
        <f t="shared" si="1"/>
        <v>115000</v>
      </c>
    </row>
    <row r="27" spans="1:6" x14ac:dyDescent="0.35">
      <c r="A27" s="17" t="s">
        <v>32</v>
      </c>
      <c r="B27" s="2">
        <v>12880</v>
      </c>
      <c r="C27" s="2" t="s">
        <v>16</v>
      </c>
      <c r="D27" s="4">
        <v>10000</v>
      </c>
      <c r="E27" s="4">
        <f t="shared" si="0"/>
        <v>370000</v>
      </c>
      <c r="F27" s="20">
        <f t="shared" si="1"/>
        <v>105000</v>
      </c>
    </row>
    <row r="28" spans="1:6" x14ac:dyDescent="0.35">
      <c r="A28" s="17" t="s">
        <v>33</v>
      </c>
      <c r="B28" s="2">
        <v>12937</v>
      </c>
      <c r="C28" s="2" t="s">
        <v>16</v>
      </c>
      <c r="D28" s="4">
        <v>10000</v>
      </c>
      <c r="E28" s="4">
        <f t="shared" si="0"/>
        <v>380000</v>
      </c>
      <c r="F28" s="20">
        <f t="shared" si="1"/>
        <v>95000</v>
      </c>
    </row>
    <row r="29" spans="1:6" x14ac:dyDescent="0.35">
      <c r="A29" s="17" t="s">
        <v>34</v>
      </c>
      <c r="B29" s="2">
        <v>12795</v>
      </c>
      <c r="C29" s="2" t="s">
        <v>16</v>
      </c>
      <c r="D29" s="4">
        <v>10000</v>
      </c>
      <c r="E29" s="4">
        <f t="shared" si="0"/>
        <v>390000</v>
      </c>
      <c r="F29" s="20">
        <f t="shared" si="1"/>
        <v>85000</v>
      </c>
    </row>
    <row r="30" spans="1:6" x14ac:dyDescent="0.35">
      <c r="A30" s="17" t="s">
        <v>35</v>
      </c>
      <c r="B30" s="2">
        <v>13643</v>
      </c>
      <c r="C30" s="2" t="s">
        <v>16</v>
      </c>
      <c r="D30" s="4">
        <v>10000</v>
      </c>
      <c r="E30" s="4">
        <f t="shared" si="0"/>
        <v>400000</v>
      </c>
      <c r="F30" s="20">
        <f t="shared" si="1"/>
        <v>75000</v>
      </c>
    </row>
    <row r="31" spans="1:6" x14ac:dyDescent="0.35">
      <c r="A31" s="17" t="s">
        <v>36</v>
      </c>
      <c r="B31" s="2">
        <v>13237</v>
      </c>
      <c r="C31" s="2" t="s">
        <v>16</v>
      </c>
      <c r="D31" s="4">
        <v>10000</v>
      </c>
      <c r="E31" s="4">
        <f t="shared" si="0"/>
        <v>410000</v>
      </c>
      <c r="F31" s="20">
        <f t="shared" si="1"/>
        <v>65000</v>
      </c>
    </row>
    <row r="32" spans="1:6" x14ac:dyDescent="0.35">
      <c r="A32" s="17" t="s">
        <v>37</v>
      </c>
      <c r="B32" s="2">
        <v>12180</v>
      </c>
      <c r="C32" s="2" t="s">
        <v>16</v>
      </c>
      <c r="D32" s="4">
        <v>10000</v>
      </c>
      <c r="E32" s="4">
        <f t="shared" si="0"/>
        <v>420000</v>
      </c>
      <c r="F32" s="20">
        <f t="shared" si="1"/>
        <v>55000</v>
      </c>
    </row>
    <row r="33" spans="1:6" x14ac:dyDescent="0.35">
      <c r="A33" s="28">
        <v>46083</v>
      </c>
      <c r="B33" s="5">
        <v>12318</v>
      </c>
      <c r="C33" s="5" t="s">
        <v>16</v>
      </c>
      <c r="D33" s="24">
        <v>10000</v>
      </c>
      <c r="E33" s="24">
        <f t="shared" si="0"/>
        <v>430000</v>
      </c>
      <c r="F33" s="25">
        <f t="shared" si="1"/>
        <v>45000</v>
      </c>
    </row>
    <row r="34" spans="1:6" x14ac:dyDescent="0.35">
      <c r="A34" s="28">
        <v>46115</v>
      </c>
      <c r="B34" s="5">
        <v>13120</v>
      </c>
      <c r="C34" s="5" t="s">
        <v>16</v>
      </c>
      <c r="D34" s="24">
        <v>10000</v>
      </c>
      <c r="E34" s="24">
        <f>SUM(E33+D34)</f>
        <v>440000</v>
      </c>
      <c r="F34" s="25">
        <f>F33-D34</f>
        <v>35000</v>
      </c>
    </row>
    <row r="35" spans="1:6" x14ac:dyDescent="0.35">
      <c r="A35" s="23" t="s">
        <v>317</v>
      </c>
      <c r="B35" s="5">
        <v>13015</v>
      </c>
      <c r="C35" s="5" t="s">
        <v>16</v>
      </c>
      <c r="D35" s="24">
        <v>10000</v>
      </c>
      <c r="E35" s="24">
        <f>SUM(E34+D35)</f>
        <v>450000</v>
      </c>
      <c r="F35" s="25">
        <f>F34-D35</f>
        <v>25000</v>
      </c>
    </row>
    <row r="36" spans="1:6" x14ac:dyDescent="0.35">
      <c r="A36" t="s">
        <v>576</v>
      </c>
      <c r="B36">
        <v>13351</v>
      </c>
      <c r="C36" s="5" t="s">
        <v>16</v>
      </c>
      <c r="D36" s="24">
        <v>10000</v>
      </c>
      <c r="E36" s="4">
        <f t="shared" ref="E36:E37" si="2">SUM(E35+D36)</f>
        <v>460000</v>
      </c>
      <c r="F36" s="20">
        <f t="shared" ref="F36:F37" si="3">F35-D36</f>
        <v>15000</v>
      </c>
    </row>
    <row r="37" spans="1:6" x14ac:dyDescent="0.35">
      <c r="A37" t="s">
        <v>466</v>
      </c>
      <c r="B37">
        <v>13621</v>
      </c>
      <c r="C37" s="5" t="s">
        <v>16</v>
      </c>
      <c r="D37" s="24">
        <v>10000</v>
      </c>
      <c r="E37" s="4">
        <f t="shared" si="2"/>
        <v>470000</v>
      </c>
      <c r="F37" s="20">
        <f t="shared" si="3"/>
        <v>5000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41"/>
  <sheetViews>
    <sheetView tabSelected="1" topLeftCell="A24" workbookViewId="0">
      <selection activeCell="H25" sqref="H25"/>
    </sheetView>
  </sheetViews>
  <sheetFormatPr defaultRowHeight="14.5" x14ac:dyDescent="0.35"/>
  <cols>
    <col min="1" max="1" width="13.54296875" customWidth="1"/>
    <col min="3" max="3" width="11.6328125" customWidth="1"/>
    <col min="6" max="6" width="10.90625" customWidth="1"/>
  </cols>
  <sheetData>
    <row r="1" spans="1:7" ht="18.5" x14ac:dyDescent="0.45">
      <c r="A1" s="1" t="s">
        <v>284</v>
      </c>
      <c r="B1" s="1"/>
      <c r="C1" s="1"/>
      <c r="D1" s="1"/>
      <c r="E1" s="1"/>
      <c r="F1" s="1"/>
    </row>
    <row r="2" spans="1:7" ht="18.5" x14ac:dyDescent="0.45">
      <c r="A2" s="1" t="s">
        <v>285</v>
      </c>
      <c r="C2" s="1"/>
      <c r="D2" s="1"/>
      <c r="E2" s="1"/>
      <c r="F2" s="1"/>
    </row>
    <row r="3" spans="1:7" ht="18.5" x14ac:dyDescent="0.45">
      <c r="A3" s="1" t="s">
        <v>286</v>
      </c>
      <c r="B3" s="1"/>
      <c r="C3" s="1"/>
      <c r="D3" s="1"/>
      <c r="E3" s="1"/>
      <c r="F3" s="1"/>
    </row>
    <row r="4" spans="1:7" ht="18.5" x14ac:dyDescent="0.45">
      <c r="A4" s="1" t="s">
        <v>290</v>
      </c>
      <c r="B4" s="1"/>
      <c r="C4" s="1"/>
      <c r="D4" s="1"/>
      <c r="E4" s="1"/>
      <c r="F4" s="1"/>
    </row>
    <row r="5" spans="1:7" ht="18.5" x14ac:dyDescent="0.45">
      <c r="A5" s="1" t="s">
        <v>287</v>
      </c>
      <c r="B5" s="1"/>
      <c r="C5" s="1"/>
      <c r="D5" s="1"/>
      <c r="E5" s="1"/>
      <c r="F5" s="1"/>
    </row>
    <row r="6" spans="1:7" ht="18.5" x14ac:dyDescent="0.45">
      <c r="A6" s="1" t="s">
        <v>288</v>
      </c>
      <c r="B6" s="1"/>
      <c r="C6" s="1"/>
      <c r="D6" s="1" t="s">
        <v>289</v>
      </c>
      <c r="E6" s="1"/>
      <c r="F6" s="1"/>
    </row>
    <row r="7" spans="1:7" x14ac:dyDescent="0.35">
      <c r="A7" s="37" t="s">
        <v>6</v>
      </c>
      <c r="B7" s="38" t="s">
        <v>7</v>
      </c>
      <c r="C7" s="38" t="s">
        <v>8</v>
      </c>
      <c r="D7" s="26" t="s">
        <v>9</v>
      </c>
      <c r="E7" s="26" t="s">
        <v>10</v>
      </c>
      <c r="F7" s="26" t="s">
        <v>11</v>
      </c>
    </row>
    <row r="8" spans="1:7" x14ac:dyDescent="0.35">
      <c r="A8" s="100" t="s">
        <v>291</v>
      </c>
      <c r="B8" s="100">
        <v>6793</v>
      </c>
      <c r="C8" s="100" t="s">
        <v>301</v>
      </c>
      <c r="D8" s="105">
        <v>118000</v>
      </c>
      <c r="E8" s="105">
        <v>118000</v>
      </c>
      <c r="F8" s="105">
        <v>632000</v>
      </c>
      <c r="G8" s="100"/>
    </row>
    <row r="9" spans="1:7" x14ac:dyDescent="0.35">
      <c r="A9" s="100" t="s">
        <v>292</v>
      </c>
      <c r="B9" s="100">
        <v>6794</v>
      </c>
      <c r="C9" s="100" t="s">
        <v>271</v>
      </c>
      <c r="D9" s="105">
        <v>70000</v>
      </c>
      <c r="E9" s="105">
        <f>SUM(E8+D9)</f>
        <v>188000</v>
      </c>
      <c r="F9" s="105">
        <f>F8-D9</f>
        <v>562000</v>
      </c>
      <c r="G9" s="100"/>
    </row>
    <row r="10" spans="1:7" x14ac:dyDescent="0.35">
      <c r="A10" s="100" t="s">
        <v>65</v>
      </c>
      <c r="B10" s="100">
        <v>7534</v>
      </c>
      <c r="C10" s="100" t="s">
        <v>271</v>
      </c>
      <c r="D10" s="105">
        <v>10000</v>
      </c>
      <c r="E10" s="105">
        <f t="shared" ref="E10:E35" si="0">SUM(E9+D10)</f>
        <v>198000</v>
      </c>
      <c r="F10" s="105">
        <f t="shared" ref="F10:F35" si="1">F9-D10</f>
        <v>552000</v>
      </c>
      <c r="G10" s="100"/>
    </row>
    <row r="11" spans="1:7" x14ac:dyDescent="0.35">
      <c r="A11" s="100" t="s">
        <v>293</v>
      </c>
      <c r="B11" s="100">
        <v>8013</v>
      </c>
      <c r="C11" s="100" t="s">
        <v>271</v>
      </c>
      <c r="D11" s="105">
        <v>10000</v>
      </c>
      <c r="E11" s="105">
        <f t="shared" si="0"/>
        <v>208000</v>
      </c>
      <c r="F11" s="105">
        <f t="shared" si="1"/>
        <v>542000</v>
      </c>
      <c r="G11" s="100"/>
    </row>
    <row r="12" spans="1:7" x14ac:dyDescent="0.35">
      <c r="A12" s="100" t="s">
        <v>294</v>
      </c>
      <c r="B12" s="100">
        <v>8607</v>
      </c>
      <c r="C12" s="100" t="s">
        <v>271</v>
      </c>
      <c r="D12" s="105">
        <v>10000</v>
      </c>
      <c r="E12" s="105">
        <f t="shared" si="0"/>
        <v>218000</v>
      </c>
      <c r="F12" s="105">
        <f t="shared" si="1"/>
        <v>532000</v>
      </c>
      <c r="G12" s="100"/>
    </row>
    <row r="13" spans="1:7" x14ac:dyDescent="0.35">
      <c r="A13" s="100" t="s">
        <v>295</v>
      </c>
      <c r="B13" s="100">
        <v>9244</v>
      </c>
      <c r="C13" s="100" t="s">
        <v>271</v>
      </c>
      <c r="D13" s="105">
        <v>10000</v>
      </c>
      <c r="E13" s="105">
        <f t="shared" si="0"/>
        <v>228000</v>
      </c>
      <c r="F13" s="105">
        <f t="shared" si="1"/>
        <v>522000</v>
      </c>
      <c r="G13" s="100"/>
    </row>
    <row r="14" spans="1:7" x14ac:dyDescent="0.35">
      <c r="A14" s="100" t="s">
        <v>296</v>
      </c>
      <c r="B14" s="100">
        <v>9731</v>
      </c>
      <c r="C14" s="100" t="s">
        <v>271</v>
      </c>
      <c r="D14" s="105">
        <v>10000</v>
      </c>
      <c r="E14" s="105">
        <f t="shared" si="0"/>
        <v>238000</v>
      </c>
      <c r="F14" s="105">
        <f t="shared" si="1"/>
        <v>512000</v>
      </c>
      <c r="G14" s="100"/>
    </row>
    <row r="15" spans="1:7" x14ac:dyDescent="0.35">
      <c r="A15" s="100" t="s">
        <v>297</v>
      </c>
      <c r="B15" s="100">
        <v>181</v>
      </c>
      <c r="C15" s="100" t="s">
        <v>271</v>
      </c>
      <c r="D15" s="105">
        <v>10000</v>
      </c>
      <c r="E15" s="105">
        <f t="shared" si="0"/>
        <v>248000</v>
      </c>
      <c r="F15" s="105">
        <f t="shared" si="1"/>
        <v>502000</v>
      </c>
      <c r="G15" s="100"/>
    </row>
    <row r="16" spans="1:7" x14ac:dyDescent="0.35">
      <c r="A16" s="100" t="s">
        <v>298</v>
      </c>
      <c r="B16" s="100">
        <v>10876</v>
      </c>
      <c r="C16" s="100" t="s">
        <v>271</v>
      </c>
      <c r="D16" s="105">
        <v>10000</v>
      </c>
      <c r="E16" s="105">
        <f t="shared" si="0"/>
        <v>258000</v>
      </c>
      <c r="F16" s="105">
        <f t="shared" si="1"/>
        <v>492000</v>
      </c>
      <c r="G16" s="100"/>
    </row>
    <row r="17" spans="1:7" x14ac:dyDescent="0.35">
      <c r="A17" s="100" t="s">
        <v>299</v>
      </c>
      <c r="B17" s="100">
        <v>10272</v>
      </c>
      <c r="C17" s="100" t="s">
        <v>271</v>
      </c>
      <c r="D17" s="105">
        <v>10000</v>
      </c>
      <c r="E17" s="105">
        <f t="shared" si="0"/>
        <v>268000</v>
      </c>
      <c r="F17" s="105">
        <f t="shared" si="1"/>
        <v>482000</v>
      </c>
      <c r="G17" s="100"/>
    </row>
    <row r="18" spans="1:7" x14ac:dyDescent="0.35">
      <c r="A18" s="100" t="s">
        <v>300</v>
      </c>
      <c r="B18" s="100">
        <v>12442</v>
      </c>
      <c r="C18" s="100" t="s">
        <v>271</v>
      </c>
      <c r="D18" s="105">
        <v>10000</v>
      </c>
      <c r="E18" s="105">
        <f t="shared" si="0"/>
        <v>278000</v>
      </c>
      <c r="F18" s="105">
        <f t="shared" si="1"/>
        <v>472000</v>
      </c>
      <c r="G18" s="100"/>
    </row>
    <row r="19" spans="1:7" x14ac:dyDescent="0.35">
      <c r="A19" s="100" t="s">
        <v>302</v>
      </c>
      <c r="B19" s="100">
        <v>12709</v>
      </c>
      <c r="C19" s="100" t="s">
        <v>271</v>
      </c>
      <c r="D19" s="105">
        <v>10000</v>
      </c>
      <c r="E19" s="105">
        <f t="shared" si="0"/>
        <v>288000</v>
      </c>
      <c r="F19" s="105">
        <f t="shared" si="1"/>
        <v>462000</v>
      </c>
      <c r="G19" s="100"/>
    </row>
    <row r="20" spans="1:7" x14ac:dyDescent="0.35">
      <c r="A20" s="100" t="s">
        <v>303</v>
      </c>
      <c r="B20" s="100">
        <v>9064</v>
      </c>
      <c r="C20" s="100" t="s">
        <v>271</v>
      </c>
      <c r="D20" s="105">
        <v>10000</v>
      </c>
      <c r="E20" s="105">
        <f t="shared" si="0"/>
        <v>298000</v>
      </c>
      <c r="F20" s="105">
        <f t="shared" si="1"/>
        <v>452000</v>
      </c>
      <c r="G20" s="100"/>
    </row>
    <row r="21" spans="1:7" x14ac:dyDescent="0.35">
      <c r="A21" s="100" t="s">
        <v>304</v>
      </c>
      <c r="B21" s="100">
        <v>9504</v>
      </c>
      <c r="C21" s="100" t="s">
        <v>271</v>
      </c>
      <c r="D21" s="105">
        <v>10000</v>
      </c>
      <c r="E21" s="105">
        <f t="shared" si="0"/>
        <v>308000</v>
      </c>
      <c r="F21" s="105">
        <f t="shared" si="1"/>
        <v>442000</v>
      </c>
      <c r="G21" s="100"/>
    </row>
    <row r="22" spans="1:7" x14ac:dyDescent="0.35">
      <c r="A22" s="100" t="s">
        <v>305</v>
      </c>
      <c r="B22" s="100">
        <v>9864</v>
      </c>
      <c r="C22" s="100" t="s">
        <v>271</v>
      </c>
      <c r="D22" s="105">
        <v>10000</v>
      </c>
      <c r="E22" s="105">
        <f t="shared" si="0"/>
        <v>318000</v>
      </c>
      <c r="F22" s="105">
        <f t="shared" si="1"/>
        <v>432000</v>
      </c>
      <c r="G22" s="100"/>
    </row>
    <row r="23" spans="1:7" x14ac:dyDescent="0.35">
      <c r="A23" s="100" t="s">
        <v>306</v>
      </c>
      <c r="B23" s="100">
        <v>10222</v>
      </c>
      <c r="C23" s="100" t="s">
        <v>271</v>
      </c>
      <c r="D23" s="105">
        <v>10000</v>
      </c>
      <c r="E23" s="105">
        <f t="shared" si="0"/>
        <v>328000</v>
      </c>
      <c r="F23" s="105">
        <f t="shared" si="1"/>
        <v>422000</v>
      </c>
      <c r="G23" s="100"/>
    </row>
    <row r="24" spans="1:7" x14ac:dyDescent="0.35">
      <c r="A24" s="100" t="s">
        <v>307</v>
      </c>
      <c r="B24" s="100">
        <v>10672</v>
      </c>
      <c r="C24" s="100" t="s">
        <v>271</v>
      </c>
      <c r="D24" s="105">
        <v>10000</v>
      </c>
      <c r="E24" s="105">
        <f t="shared" si="0"/>
        <v>338000</v>
      </c>
      <c r="F24" s="105">
        <f t="shared" si="1"/>
        <v>412000</v>
      </c>
      <c r="G24" s="100"/>
    </row>
    <row r="25" spans="1:7" x14ac:dyDescent="0.35">
      <c r="A25" s="100" t="s">
        <v>137</v>
      </c>
      <c r="B25" s="100">
        <v>11852</v>
      </c>
      <c r="C25" s="100" t="s">
        <v>271</v>
      </c>
      <c r="D25" s="105">
        <v>10000</v>
      </c>
      <c r="E25" s="105">
        <f t="shared" si="0"/>
        <v>348000</v>
      </c>
      <c r="F25" s="105">
        <f t="shared" si="1"/>
        <v>402000</v>
      </c>
      <c r="G25" s="100"/>
    </row>
    <row r="26" spans="1:7" x14ac:dyDescent="0.35">
      <c r="A26" s="100" t="s">
        <v>308</v>
      </c>
      <c r="B26" s="100">
        <v>269</v>
      </c>
      <c r="C26" s="100" t="s">
        <v>271</v>
      </c>
      <c r="D26" s="105">
        <v>10000</v>
      </c>
      <c r="E26" s="105">
        <f t="shared" si="0"/>
        <v>358000</v>
      </c>
      <c r="F26" s="105">
        <f t="shared" si="1"/>
        <v>392000</v>
      </c>
      <c r="G26" s="100"/>
    </row>
    <row r="27" spans="1:7" x14ac:dyDescent="0.35">
      <c r="A27" s="100" t="s">
        <v>309</v>
      </c>
      <c r="B27" s="100">
        <v>12506</v>
      </c>
      <c r="C27" s="100" t="s">
        <v>271</v>
      </c>
      <c r="D27" s="105">
        <v>10000</v>
      </c>
      <c r="E27" s="105">
        <f t="shared" si="0"/>
        <v>368000</v>
      </c>
      <c r="F27" s="105">
        <f t="shared" si="1"/>
        <v>382000</v>
      </c>
      <c r="G27" s="100"/>
    </row>
    <row r="28" spans="1:7" x14ac:dyDescent="0.35">
      <c r="A28" s="100" t="s">
        <v>310</v>
      </c>
      <c r="B28" s="100">
        <v>13938</v>
      </c>
      <c r="C28" s="100" t="s">
        <v>271</v>
      </c>
      <c r="D28" s="105">
        <v>10000</v>
      </c>
      <c r="E28" s="105">
        <f t="shared" si="0"/>
        <v>378000</v>
      </c>
      <c r="F28" s="105">
        <f t="shared" si="1"/>
        <v>372000</v>
      </c>
      <c r="G28" s="100"/>
    </row>
    <row r="29" spans="1:7" x14ac:dyDescent="0.35">
      <c r="A29" s="100" t="s">
        <v>311</v>
      </c>
      <c r="B29" s="100">
        <v>13670</v>
      </c>
      <c r="C29" s="100" t="s">
        <v>271</v>
      </c>
      <c r="D29" s="105">
        <v>10000</v>
      </c>
      <c r="E29" s="105">
        <f t="shared" si="0"/>
        <v>388000</v>
      </c>
      <c r="F29" s="105">
        <f t="shared" si="1"/>
        <v>362000</v>
      </c>
      <c r="G29" s="100"/>
    </row>
    <row r="30" spans="1:7" x14ac:dyDescent="0.35">
      <c r="A30" s="100" t="s">
        <v>312</v>
      </c>
      <c r="B30" s="100">
        <v>13067</v>
      </c>
      <c r="C30" s="100" t="s">
        <v>271</v>
      </c>
      <c r="D30" s="105">
        <v>10000</v>
      </c>
      <c r="E30" s="105">
        <f t="shared" si="0"/>
        <v>398000</v>
      </c>
      <c r="F30" s="105">
        <f t="shared" si="1"/>
        <v>352000</v>
      </c>
      <c r="G30" s="100"/>
    </row>
    <row r="31" spans="1:7" x14ac:dyDescent="0.35">
      <c r="A31" s="100" t="s">
        <v>313</v>
      </c>
      <c r="B31" s="100">
        <v>12684</v>
      </c>
      <c r="C31" s="100" t="s">
        <v>271</v>
      </c>
      <c r="D31" s="105">
        <v>10000</v>
      </c>
      <c r="E31" s="105">
        <f t="shared" si="0"/>
        <v>408000</v>
      </c>
      <c r="F31" s="105">
        <f t="shared" si="1"/>
        <v>342000</v>
      </c>
      <c r="G31" s="100"/>
    </row>
    <row r="32" spans="1:7" x14ac:dyDescent="0.35">
      <c r="A32" s="100" t="s">
        <v>314</v>
      </c>
      <c r="B32" s="100">
        <v>12168</v>
      </c>
      <c r="C32" s="100" t="s">
        <v>271</v>
      </c>
      <c r="D32" s="105">
        <v>10000</v>
      </c>
      <c r="E32" s="105">
        <f t="shared" si="0"/>
        <v>418000</v>
      </c>
      <c r="F32" s="105">
        <f t="shared" si="1"/>
        <v>332000</v>
      </c>
      <c r="G32" s="100"/>
    </row>
    <row r="33" spans="1:8" x14ac:dyDescent="0.35">
      <c r="A33" s="100" t="s">
        <v>315</v>
      </c>
      <c r="B33" s="100">
        <v>12464</v>
      </c>
      <c r="C33" s="100" t="s">
        <v>271</v>
      </c>
      <c r="D33" s="105">
        <v>10000</v>
      </c>
      <c r="E33" s="105">
        <f t="shared" si="0"/>
        <v>428000</v>
      </c>
      <c r="F33" s="105">
        <f t="shared" si="1"/>
        <v>322000</v>
      </c>
      <c r="G33" s="100"/>
    </row>
    <row r="34" spans="1:8" x14ac:dyDescent="0.35">
      <c r="A34" s="100" t="s">
        <v>316</v>
      </c>
      <c r="B34" s="100">
        <v>13920</v>
      </c>
      <c r="C34" s="100" t="s">
        <v>271</v>
      </c>
      <c r="D34" s="105">
        <v>10000</v>
      </c>
      <c r="E34" s="105">
        <f t="shared" si="0"/>
        <v>438000</v>
      </c>
      <c r="F34" s="105">
        <f t="shared" si="1"/>
        <v>312000</v>
      </c>
      <c r="G34" s="100"/>
    </row>
    <row r="35" spans="1:8" x14ac:dyDescent="0.35">
      <c r="A35" s="100" t="s">
        <v>317</v>
      </c>
      <c r="B35" s="100">
        <v>13019</v>
      </c>
      <c r="C35" s="100" t="s">
        <v>271</v>
      </c>
      <c r="D35" s="105">
        <v>10000</v>
      </c>
      <c r="E35" s="105">
        <f t="shared" si="0"/>
        <v>448000</v>
      </c>
      <c r="F35" s="105">
        <f t="shared" si="1"/>
        <v>302000</v>
      </c>
      <c r="G35" s="100"/>
    </row>
    <row r="36" spans="1:8" x14ac:dyDescent="0.35">
      <c r="A36" s="100" t="s">
        <v>494</v>
      </c>
      <c r="B36" s="100">
        <v>13434</v>
      </c>
      <c r="C36" s="100" t="s">
        <v>271</v>
      </c>
      <c r="D36" s="105">
        <v>10000</v>
      </c>
      <c r="E36" s="105">
        <v>458000</v>
      </c>
      <c r="F36" s="105">
        <f>F35-D36</f>
        <v>292000</v>
      </c>
      <c r="G36" s="100"/>
    </row>
    <row r="37" spans="1:8" x14ac:dyDescent="0.35">
      <c r="A37" s="100" t="s">
        <v>493</v>
      </c>
      <c r="B37" s="100">
        <v>13696</v>
      </c>
      <c r="C37" s="100" t="s">
        <v>271</v>
      </c>
      <c r="D37" s="105">
        <v>10000</v>
      </c>
      <c r="E37" s="105">
        <f>E36+D37</f>
        <v>468000</v>
      </c>
      <c r="F37" s="105">
        <f>F36-D37</f>
        <v>282000</v>
      </c>
      <c r="G37" s="100"/>
      <c r="H37" t="s">
        <v>817</v>
      </c>
    </row>
    <row r="38" spans="1:8" x14ac:dyDescent="0.35">
      <c r="A38" s="100" t="s">
        <v>577</v>
      </c>
      <c r="B38" s="100">
        <v>1531</v>
      </c>
      <c r="C38" s="100" t="s">
        <v>271</v>
      </c>
      <c r="D38" s="105">
        <v>10000</v>
      </c>
      <c r="E38" s="105">
        <f>E37+D38</f>
        <v>478000</v>
      </c>
      <c r="F38" s="105">
        <f>F37-D38</f>
        <v>272000</v>
      </c>
      <c r="G38" s="100"/>
    </row>
    <row r="39" spans="1:8" x14ac:dyDescent="0.35">
      <c r="A39" s="100" t="s">
        <v>700</v>
      </c>
      <c r="B39" s="100">
        <v>1861</v>
      </c>
      <c r="C39" s="100" t="s">
        <v>271</v>
      </c>
      <c r="D39" s="105">
        <v>10000</v>
      </c>
      <c r="E39" s="105">
        <f>E38+D39</f>
        <v>488000</v>
      </c>
      <c r="F39" s="105">
        <f>F38-D39</f>
        <v>262000</v>
      </c>
      <c r="G39" s="100"/>
    </row>
    <row r="40" spans="1:8" x14ac:dyDescent="0.35">
      <c r="A40" s="100" t="s">
        <v>699</v>
      </c>
      <c r="B40" s="100">
        <v>1999</v>
      </c>
      <c r="C40" s="100" t="s">
        <v>271</v>
      </c>
      <c r="D40" s="105">
        <v>10000</v>
      </c>
      <c r="E40" s="105">
        <v>498000</v>
      </c>
      <c r="F40" s="105">
        <v>252000</v>
      </c>
      <c r="G40" s="100"/>
    </row>
    <row r="41" spans="1:8" x14ac:dyDescent="0.35">
      <c r="A41" s="106">
        <v>46336</v>
      </c>
      <c r="B41" s="100">
        <v>5046</v>
      </c>
      <c r="C41" s="100" t="s">
        <v>271</v>
      </c>
      <c r="D41" s="105">
        <v>10000</v>
      </c>
      <c r="E41" s="139">
        <v>508000</v>
      </c>
      <c r="F41" s="139">
        <v>242000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41"/>
  <sheetViews>
    <sheetView topLeftCell="A17" workbookViewId="0">
      <selection activeCell="A4" sqref="A4"/>
    </sheetView>
  </sheetViews>
  <sheetFormatPr defaultRowHeight="14.5" x14ac:dyDescent="0.35"/>
  <cols>
    <col min="1" max="1" width="33.36328125" bestFit="1" customWidth="1"/>
    <col min="3" max="3" width="12.36328125" customWidth="1"/>
    <col min="4" max="4" width="15.81640625" bestFit="1" customWidth="1"/>
    <col min="5" max="5" width="10.453125" customWidth="1"/>
    <col min="6" max="6" width="13.453125" customWidth="1"/>
  </cols>
  <sheetData>
    <row r="1" spans="1:6" ht="18.5" x14ac:dyDescent="0.45">
      <c r="A1" s="1" t="s">
        <v>96</v>
      </c>
      <c r="B1" s="1"/>
      <c r="C1" s="1"/>
      <c r="D1" s="1"/>
      <c r="E1" s="1"/>
      <c r="F1" s="1"/>
    </row>
    <row r="2" spans="1:6" ht="18.5" x14ac:dyDescent="0.45">
      <c r="A2" s="1" t="s">
        <v>97</v>
      </c>
      <c r="C2" s="1"/>
      <c r="D2" s="1"/>
      <c r="E2" s="1"/>
      <c r="F2" s="1"/>
    </row>
    <row r="3" spans="1:6" ht="18.5" x14ac:dyDescent="0.45">
      <c r="A3" s="1" t="s">
        <v>98</v>
      </c>
      <c r="B3" s="1"/>
      <c r="C3" s="1"/>
      <c r="D3" s="1"/>
      <c r="E3" s="1"/>
      <c r="F3" s="1"/>
    </row>
    <row r="4" spans="1:6" ht="18.5" x14ac:dyDescent="0.45">
      <c r="A4" s="1" t="s">
        <v>580</v>
      </c>
      <c r="B4" s="1"/>
      <c r="C4" s="1"/>
      <c r="D4" s="1"/>
      <c r="E4" s="1"/>
      <c r="F4" s="1"/>
    </row>
    <row r="5" spans="1:6" ht="18.5" x14ac:dyDescent="0.45">
      <c r="A5" s="1" t="s">
        <v>99</v>
      </c>
      <c r="B5" s="1"/>
      <c r="C5" s="1"/>
      <c r="D5" s="1"/>
      <c r="E5" s="1"/>
      <c r="F5" s="1"/>
    </row>
    <row r="6" spans="1:6" ht="18.5" x14ac:dyDescent="0.45">
      <c r="A6" s="1" t="s">
        <v>100</v>
      </c>
      <c r="B6" s="1"/>
      <c r="C6" s="1"/>
      <c r="D6" s="1" t="s">
        <v>101</v>
      </c>
      <c r="E6" s="1"/>
      <c r="F6" s="1"/>
    </row>
    <row r="7" spans="1:6" x14ac:dyDescent="0.35">
      <c r="A7" s="39" t="s">
        <v>6</v>
      </c>
      <c r="B7" s="40" t="s">
        <v>7</v>
      </c>
      <c r="C7" s="40" t="s">
        <v>8</v>
      </c>
      <c r="D7" s="21" t="s">
        <v>9</v>
      </c>
      <c r="E7" s="21" t="s">
        <v>10</v>
      </c>
      <c r="F7" s="22" t="s">
        <v>11</v>
      </c>
    </row>
    <row r="8" spans="1:6" x14ac:dyDescent="0.35">
      <c r="A8" s="16">
        <v>45239</v>
      </c>
      <c r="B8" s="2">
        <v>1192</v>
      </c>
      <c r="C8" s="2" t="s">
        <v>102</v>
      </c>
      <c r="D8" s="4">
        <v>110000</v>
      </c>
      <c r="E8" s="4">
        <v>110000</v>
      </c>
      <c r="F8" s="20">
        <v>440000</v>
      </c>
    </row>
    <row r="9" spans="1:6" x14ac:dyDescent="0.35">
      <c r="A9" s="16">
        <v>44721</v>
      </c>
      <c r="B9" s="2">
        <v>13</v>
      </c>
      <c r="C9" s="2" t="s">
        <v>103</v>
      </c>
      <c r="D9" s="4">
        <v>10000</v>
      </c>
      <c r="E9" s="4">
        <f>SUM(E8+D9)</f>
        <v>120000</v>
      </c>
      <c r="F9" s="20">
        <f>F8-D9</f>
        <v>430000</v>
      </c>
    </row>
    <row r="10" spans="1:6" x14ac:dyDescent="0.35">
      <c r="A10" s="16">
        <v>45080</v>
      </c>
      <c r="B10" s="2">
        <v>2698</v>
      </c>
      <c r="C10" s="2" t="s">
        <v>16</v>
      </c>
      <c r="D10" s="4">
        <v>10000</v>
      </c>
      <c r="E10" s="4">
        <f t="shared" ref="E10:E39" si="0">SUM(E9+D10)</f>
        <v>130000</v>
      </c>
      <c r="F10" s="20">
        <f t="shared" ref="F10:F39" si="1">F9-D10</f>
        <v>420000</v>
      </c>
    </row>
    <row r="11" spans="1:6" x14ac:dyDescent="0.35">
      <c r="A11" s="17" t="s">
        <v>104</v>
      </c>
      <c r="B11" s="2">
        <v>1241</v>
      </c>
      <c r="C11" s="2" t="s">
        <v>16</v>
      </c>
      <c r="D11" s="4">
        <v>10000</v>
      </c>
      <c r="E11" s="4">
        <f t="shared" si="0"/>
        <v>140000</v>
      </c>
      <c r="F11" s="20">
        <f t="shared" si="1"/>
        <v>410000</v>
      </c>
    </row>
    <row r="12" spans="1:6" x14ac:dyDescent="0.35">
      <c r="A12" s="16">
        <v>45266</v>
      </c>
      <c r="B12" s="2">
        <v>507</v>
      </c>
      <c r="C12" s="2" t="s">
        <v>16</v>
      </c>
      <c r="D12" s="4">
        <v>10000</v>
      </c>
      <c r="E12" s="4">
        <f t="shared" si="0"/>
        <v>150000</v>
      </c>
      <c r="F12" s="20">
        <f t="shared" si="1"/>
        <v>400000</v>
      </c>
    </row>
    <row r="13" spans="1:6" x14ac:dyDescent="0.35">
      <c r="A13" s="17" t="s">
        <v>105</v>
      </c>
      <c r="B13" s="2">
        <v>2794</v>
      </c>
      <c r="C13" s="2" t="s">
        <v>16</v>
      </c>
      <c r="D13" s="4">
        <v>10000</v>
      </c>
      <c r="E13" s="4">
        <f t="shared" si="0"/>
        <v>160000</v>
      </c>
      <c r="F13" s="20">
        <f t="shared" si="1"/>
        <v>390000</v>
      </c>
    </row>
    <row r="14" spans="1:6" x14ac:dyDescent="0.35">
      <c r="A14" s="16">
        <v>45115</v>
      </c>
      <c r="B14" s="2">
        <v>2264</v>
      </c>
      <c r="C14" s="2" t="s">
        <v>16</v>
      </c>
      <c r="D14" s="4">
        <v>10000</v>
      </c>
      <c r="E14" s="4">
        <f t="shared" si="0"/>
        <v>170000</v>
      </c>
      <c r="F14" s="20">
        <f t="shared" si="1"/>
        <v>380000</v>
      </c>
    </row>
    <row r="15" spans="1:6" x14ac:dyDescent="0.35">
      <c r="A15" s="17" t="s">
        <v>106</v>
      </c>
      <c r="B15" s="2">
        <v>3702</v>
      </c>
      <c r="C15" s="2" t="s">
        <v>16</v>
      </c>
      <c r="D15" s="4">
        <v>10000</v>
      </c>
      <c r="E15" s="4">
        <f t="shared" si="0"/>
        <v>180000</v>
      </c>
      <c r="F15" s="20">
        <f t="shared" si="1"/>
        <v>370000</v>
      </c>
    </row>
    <row r="16" spans="1:6" x14ac:dyDescent="0.35">
      <c r="A16" s="16" t="s">
        <v>18</v>
      </c>
      <c r="B16" s="2">
        <v>4517</v>
      </c>
      <c r="C16" s="2" t="s">
        <v>16</v>
      </c>
      <c r="D16" s="4">
        <v>10000</v>
      </c>
      <c r="E16" s="4">
        <f t="shared" si="0"/>
        <v>190000</v>
      </c>
      <c r="F16" s="20">
        <f t="shared" si="1"/>
        <v>360000</v>
      </c>
    </row>
    <row r="17" spans="1:6" x14ac:dyDescent="0.35">
      <c r="A17" s="17" t="s">
        <v>19</v>
      </c>
      <c r="B17" s="2">
        <v>5099</v>
      </c>
      <c r="C17" s="2" t="s">
        <v>16</v>
      </c>
      <c r="D17" s="4">
        <v>10000</v>
      </c>
      <c r="E17" s="4">
        <f t="shared" si="0"/>
        <v>200000</v>
      </c>
      <c r="F17" s="20">
        <f t="shared" si="1"/>
        <v>350000</v>
      </c>
    </row>
    <row r="18" spans="1:6" x14ac:dyDescent="0.35">
      <c r="A18" s="16" t="s">
        <v>21</v>
      </c>
      <c r="B18" s="2">
        <v>6249</v>
      </c>
      <c r="C18" s="2" t="s">
        <v>16</v>
      </c>
      <c r="D18" s="4">
        <v>20000</v>
      </c>
      <c r="E18" s="4">
        <f t="shared" si="0"/>
        <v>220000</v>
      </c>
      <c r="F18" s="20">
        <f t="shared" si="1"/>
        <v>330000</v>
      </c>
    </row>
    <row r="19" spans="1:6" x14ac:dyDescent="0.35">
      <c r="A19" s="17" t="s">
        <v>22</v>
      </c>
      <c r="B19" s="2">
        <v>6611</v>
      </c>
      <c r="C19" s="2" t="s">
        <v>16</v>
      </c>
      <c r="D19" s="4">
        <v>10000</v>
      </c>
      <c r="E19" s="4">
        <f t="shared" si="0"/>
        <v>230000</v>
      </c>
      <c r="F19" s="20">
        <f t="shared" si="1"/>
        <v>320000</v>
      </c>
    </row>
    <row r="20" spans="1:6" x14ac:dyDescent="0.35">
      <c r="A20" s="16" t="s">
        <v>23</v>
      </c>
      <c r="B20" s="2">
        <v>7419</v>
      </c>
      <c r="C20" s="2" t="s">
        <v>16</v>
      </c>
      <c r="D20" s="4">
        <v>10000</v>
      </c>
      <c r="E20" s="4">
        <f t="shared" si="0"/>
        <v>240000</v>
      </c>
      <c r="F20" s="20">
        <f t="shared" si="1"/>
        <v>310000</v>
      </c>
    </row>
    <row r="21" spans="1:6" x14ac:dyDescent="0.35">
      <c r="A21" s="17" t="s">
        <v>24</v>
      </c>
      <c r="B21" s="2">
        <v>7921</v>
      </c>
      <c r="C21" s="2" t="s">
        <v>16</v>
      </c>
      <c r="D21" s="4">
        <v>10000</v>
      </c>
      <c r="E21" s="4">
        <f t="shared" si="0"/>
        <v>250000</v>
      </c>
      <c r="F21" s="20">
        <f t="shared" si="1"/>
        <v>300000</v>
      </c>
    </row>
    <row r="22" spans="1:6" x14ac:dyDescent="0.35">
      <c r="A22" s="16" t="s">
        <v>107</v>
      </c>
      <c r="B22" s="2">
        <v>8586</v>
      </c>
      <c r="C22" s="2" t="s">
        <v>16</v>
      </c>
      <c r="D22" s="4">
        <v>10000</v>
      </c>
      <c r="E22" s="4">
        <f t="shared" si="0"/>
        <v>260000</v>
      </c>
      <c r="F22" s="20">
        <f t="shared" si="1"/>
        <v>290000</v>
      </c>
    </row>
    <row r="23" spans="1:6" x14ac:dyDescent="0.35">
      <c r="A23" s="17" t="s">
        <v>25</v>
      </c>
      <c r="B23" s="2">
        <v>9302</v>
      </c>
      <c r="C23" s="2" t="s">
        <v>16</v>
      </c>
      <c r="D23" s="4">
        <v>10000</v>
      </c>
      <c r="E23" s="4">
        <f t="shared" si="0"/>
        <v>270000</v>
      </c>
      <c r="F23" s="20">
        <f t="shared" si="1"/>
        <v>280000</v>
      </c>
    </row>
    <row r="24" spans="1:6" x14ac:dyDescent="0.35">
      <c r="A24" s="16" t="s">
        <v>108</v>
      </c>
      <c r="B24" s="2">
        <v>10119</v>
      </c>
      <c r="C24" s="2" t="s">
        <v>16</v>
      </c>
      <c r="D24" s="4">
        <v>20000</v>
      </c>
      <c r="E24" s="4">
        <f t="shared" si="0"/>
        <v>290000</v>
      </c>
      <c r="F24" s="20">
        <f t="shared" si="1"/>
        <v>260000</v>
      </c>
    </row>
    <row r="25" spans="1:6" x14ac:dyDescent="0.35">
      <c r="A25" s="17" t="s">
        <v>109</v>
      </c>
      <c r="B25" s="2">
        <v>381</v>
      </c>
      <c r="C25" s="2" t="s">
        <v>16</v>
      </c>
      <c r="D25" s="4">
        <v>20000</v>
      </c>
      <c r="E25" s="4">
        <f t="shared" si="0"/>
        <v>310000</v>
      </c>
      <c r="F25" s="20">
        <f t="shared" si="1"/>
        <v>240000</v>
      </c>
    </row>
    <row r="26" spans="1:6" x14ac:dyDescent="0.35">
      <c r="A26" s="16" t="s">
        <v>110</v>
      </c>
      <c r="B26" s="2">
        <v>12199</v>
      </c>
      <c r="C26" s="2" t="s">
        <v>16</v>
      </c>
      <c r="D26" s="4">
        <v>10000</v>
      </c>
      <c r="E26" s="4">
        <f t="shared" si="0"/>
        <v>320000</v>
      </c>
      <c r="F26" s="20">
        <f t="shared" si="1"/>
        <v>230000</v>
      </c>
    </row>
    <row r="27" spans="1:6" x14ac:dyDescent="0.35">
      <c r="A27" s="17" t="s">
        <v>111</v>
      </c>
      <c r="B27" s="2">
        <v>12692</v>
      </c>
      <c r="C27" s="2" t="s">
        <v>16</v>
      </c>
      <c r="D27" s="4">
        <v>10000</v>
      </c>
      <c r="E27" s="4">
        <f t="shared" si="0"/>
        <v>330000</v>
      </c>
      <c r="F27" s="20">
        <f t="shared" si="1"/>
        <v>220000</v>
      </c>
    </row>
    <row r="28" spans="1:6" x14ac:dyDescent="0.35">
      <c r="A28" s="16" t="s">
        <v>112</v>
      </c>
      <c r="B28" s="2">
        <v>9092</v>
      </c>
      <c r="C28" s="2" t="s">
        <v>16</v>
      </c>
      <c r="D28" s="4">
        <v>10000</v>
      </c>
      <c r="E28" s="4">
        <f t="shared" si="0"/>
        <v>340000</v>
      </c>
      <c r="F28" s="20">
        <f t="shared" si="1"/>
        <v>210000</v>
      </c>
    </row>
    <row r="29" spans="1:6" x14ac:dyDescent="0.35">
      <c r="A29" s="17" t="s">
        <v>113</v>
      </c>
      <c r="B29" s="2">
        <v>9499</v>
      </c>
      <c r="C29" s="2" t="s">
        <v>16</v>
      </c>
      <c r="D29" s="4">
        <v>10000</v>
      </c>
      <c r="E29" s="4">
        <f t="shared" si="0"/>
        <v>350000</v>
      </c>
      <c r="F29" s="20">
        <f t="shared" si="1"/>
        <v>200000</v>
      </c>
    </row>
    <row r="30" spans="1:6" x14ac:dyDescent="0.35">
      <c r="A30" s="16" t="s">
        <v>114</v>
      </c>
      <c r="B30" s="2">
        <v>9856</v>
      </c>
      <c r="C30" s="2" t="s">
        <v>16</v>
      </c>
      <c r="D30" s="4">
        <v>10000</v>
      </c>
      <c r="E30" s="4">
        <f t="shared" si="0"/>
        <v>360000</v>
      </c>
      <c r="F30" s="20">
        <f t="shared" si="1"/>
        <v>190000</v>
      </c>
    </row>
    <row r="31" spans="1:6" x14ac:dyDescent="0.35">
      <c r="A31" s="17" t="s">
        <v>115</v>
      </c>
      <c r="B31" s="2">
        <v>10032</v>
      </c>
      <c r="C31" s="2" t="s">
        <v>16</v>
      </c>
      <c r="D31" s="4">
        <v>10000</v>
      </c>
      <c r="E31" s="4">
        <f t="shared" si="0"/>
        <v>370000</v>
      </c>
      <c r="F31" s="20">
        <f t="shared" si="1"/>
        <v>180000</v>
      </c>
    </row>
    <row r="32" spans="1:6" x14ac:dyDescent="0.35">
      <c r="A32" s="16" t="s">
        <v>116</v>
      </c>
      <c r="B32" s="2">
        <v>10838</v>
      </c>
      <c r="C32" s="2" t="s">
        <v>16</v>
      </c>
      <c r="D32" s="4">
        <v>10000</v>
      </c>
      <c r="E32" s="4">
        <f t="shared" si="0"/>
        <v>380000</v>
      </c>
      <c r="F32" s="20">
        <f t="shared" si="1"/>
        <v>170000</v>
      </c>
    </row>
    <row r="33" spans="1:6" x14ac:dyDescent="0.35">
      <c r="A33" s="17" t="s">
        <v>117</v>
      </c>
      <c r="B33" s="2">
        <v>12240</v>
      </c>
      <c r="C33" s="2" t="s">
        <v>16</v>
      </c>
      <c r="D33" s="4">
        <v>10000</v>
      </c>
      <c r="E33" s="4">
        <f t="shared" si="0"/>
        <v>390000</v>
      </c>
      <c r="F33" s="20">
        <f t="shared" si="1"/>
        <v>160000</v>
      </c>
    </row>
    <row r="34" spans="1:6" x14ac:dyDescent="0.35">
      <c r="A34" s="16" t="s">
        <v>118</v>
      </c>
      <c r="B34" s="2">
        <v>13000</v>
      </c>
      <c r="C34" s="2" t="s">
        <v>16</v>
      </c>
      <c r="D34" s="4">
        <v>10000</v>
      </c>
      <c r="E34" s="4">
        <f t="shared" si="0"/>
        <v>400000</v>
      </c>
      <c r="F34" s="20">
        <f t="shared" si="1"/>
        <v>150000</v>
      </c>
    </row>
    <row r="35" spans="1:6" x14ac:dyDescent="0.35">
      <c r="A35" s="17" t="s">
        <v>119</v>
      </c>
      <c r="B35" s="2">
        <v>13959</v>
      </c>
      <c r="C35" s="2" t="s">
        <v>16</v>
      </c>
      <c r="D35" s="4">
        <v>10000</v>
      </c>
      <c r="E35" s="4">
        <f t="shared" si="0"/>
        <v>410000</v>
      </c>
      <c r="F35" s="20">
        <f t="shared" si="1"/>
        <v>140000</v>
      </c>
    </row>
    <row r="36" spans="1:6" x14ac:dyDescent="0.35">
      <c r="A36" s="16" t="s">
        <v>120</v>
      </c>
      <c r="B36" s="2">
        <v>13537</v>
      </c>
      <c r="C36" s="2" t="s">
        <v>16</v>
      </c>
      <c r="D36" s="4">
        <v>10000</v>
      </c>
      <c r="E36" s="4">
        <f t="shared" si="0"/>
        <v>420000</v>
      </c>
      <c r="F36" s="20">
        <f t="shared" si="1"/>
        <v>130000</v>
      </c>
    </row>
    <row r="37" spans="1:6" x14ac:dyDescent="0.35">
      <c r="A37" s="17" t="s">
        <v>121</v>
      </c>
      <c r="B37" s="2">
        <v>13055</v>
      </c>
      <c r="C37" s="2" t="s">
        <v>16</v>
      </c>
      <c r="D37" s="4">
        <v>10000</v>
      </c>
      <c r="E37" s="4">
        <f t="shared" si="0"/>
        <v>430000</v>
      </c>
      <c r="F37" s="20">
        <f t="shared" si="1"/>
        <v>120000</v>
      </c>
    </row>
    <row r="38" spans="1:6" x14ac:dyDescent="0.35">
      <c r="A38" s="16" t="s">
        <v>122</v>
      </c>
      <c r="B38" s="2">
        <v>12228</v>
      </c>
      <c r="C38" s="2" t="s">
        <v>16</v>
      </c>
      <c r="D38" s="4">
        <v>10000</v>
      </c>
      <c r="E38" s="4">
        <f t="shared" si="0"/>
        <v>440000</v>
      </c>
      <c r="F38" s="20">
        <f t="shared" si="1"/>
        <v>110000</v>
      </c>
    </row>
    <row r="39" spans="1:6" x14ac:dyDescent="0.35">
      <c r="A39" s="23" t="s">
        <v>123</v>
      </c>
      <c r="B39" s="5">
        <v>12552</v>
      </c>
      <c r="C39" s="5" t="s">
        <v>16</v>
      </c>
      <c r="D39" s="24">
        <v>10000</v>
      </c>
      <c r="E39" s="24">
        <f t="shared" si="0"/>
        <v>450000</v>
      </c>
      <c r="F39" s="25">
        <f t="shared" si="1"/>
        <v>100000</v>
      </c>
    </row>
    <row r="40" spans="1:6" x14ac:dyDescent="0.35">
      <c r="A40" s="56" t="s">
        <v>578</v>
      </c>
      <c r="B40" s="56">
        <v>13695</v>
      </c>
      <c r="C40" s="56" t="s">
        <v>16</v>
      </c>
      <c r="D40" s="55">
        <v>10000</v>
      </c>
      <c r="E40" s="55">
        <f>E39+D40</f>
        <v>460000</v>
      </c>
      <c r="F40" s="55">
        <f>F39-D40</f>
        <v>90000</v>
      </c>
    </row>
    <row r="41" spans="1:6" x14ac:dyDescent="0.35">
      <c r="A41" s="56" t="s">
        <v>579</v>
      </c>
      <c r="B41" s="56">
        <v>1563</v>
      </c>
      <c r="C41" s="56" t="s">
        <v>271</v>
      </c>
      <c r="D41" s="55">
        <v>10000</v>
      </c>
      <c r="E41" s="55">
        <f>E40+D41</f>
        <v>470000</v>
      </c>
      <c r="F41" s="55">
        <f>F40-D41</f>
        <v>80000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18"/>
  <sheetViews>
    <sheetView workbookViewId="0">
      <selection activeCell="D18" sqref="D18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5.81640625" bestFit="1" customWidth="1"/>
  </cols>
  <sheetData>
    <row r="1" spans="1:6" ht="18.5" x14ac:dyDescent="0.45">
      <c r="A1" s="1" t="s">
        <v>38</v>
      </c>
      <c r="B1" s="1"/>
      <c r="C1" s="1"/>
      <c r="D1" s="1"/>
      <c r="E1" s="1"/>
      <c r="F1" s="1"/>
    </row>
    <row r="2" spans="1:6" ht="18.5" x14ac:dyDescent="0.45">
      <c r="A2" s="1" t="s">
        <v>39</v>
      </c>
      <c r="C2" s="1"/>
      <c r="D2" s="1"/>
      <c r="E2" s="1"/>
      <c r="F2" s="1"/>
    </row>
    <row r="3" spans="1:6" ht="18.5" x14ac:dyDescent="0.45">
      <c r="A3" s="1" t="s">
        <v>40</v>
      </c>
      <c r="B3" s="1"/>
      <c r="C3" s="1"/>
      <c r="D3" s="1"/>
      <c r="E3" s="1"/>
      <c r="F3" s="1"/>
    </row>
    <row r="4" spans="1:6" ht="18.5" x14ac:dyDescent="0.45">
      <c r="A4" s="1" t="s">
        <v>153</v>
      </c>
      <c r="B4" s="1" t="s">
        <v>464</v>
      </c>
      <c r="C4" s="1"/>
      <c r="D4" s="1"/>
      <c r="E4" s="1"/>
      <c r="F4" s="1"/>
    </row>
    <row r="5" spans="1:6" ht="18.5" x14ac:dyDescent="0.45">
      <c r="A5" s="1" t="s">
        <v>41</v>
      </c>
      <c r="B5" s="1"/>
      <c r="C5" s="1"/>
      <c r="D5" s="1"/>
      <c r="E5" s="1"/>
      <c r="F5" s="1"/>
    </row>
    <row r="6" spans="1:6" ht="18.5" x14ac:dyDescent="0.45">
      <c r="A6" s="1" t="s">
        <v>42</v>
      </c>
      <c r="B6" s="1"/>
      <c r="C6" s="1"/>
      <c r="D6" s="1"/>
      <c r="E6" s="1"/>
      <c r="F6" s="1" t="s">
        <v>43</v>
      </c>
    </row>
    <row r="7" spans="1:6" x14ac:dyDescent="0.35">
      <c r="A7" s="41" t="s">
        <v>6</v>
      </c>
      <c r="B7" s="42" t="s">
        <v>7</v>
      </c>
      <c r="C7" s="42" t="s">
        <v>8</v>
      </c>
      <c r="D7" s="10" t="s">
        <v>9</v>
      </c>
      <c r="E7" s="10" t="s">
        <v>10</v>
      </c>
      <c r="F7" s="30" t="s">
        <v>11</v>
      </c>
    </row>
    <row r="8" spans="1:6" x14ac:dyDescent="0.35">
      <c r="A8" s="6" t="s">
        <v>44</v>
      </c>
      <c r="B8" s="2">
        <v>13904</v>
      </c>
      <c r="C8" s="2" t="s">
        <v>46</v>
      </c>
      <c r="D8" s="4">
        <v>50000</v>
      </c>
      <c r="E8" s="4">
        <v>50000</v>
      </c>
      <c r="F8" s="20">
        <v>600000</v>
      </c>
    </row>
    <row r="9" spans="1:6" x14ac:dyDescent="0.35">
      <c r="A9" s="3">
        <v>45698</v>
      </c>
      <c r="B9" s="2">
        <v>13535</v>
      </c>
      <c r="C9" s="2" t="s">
        <v>47</v>
      </c>
      <c r="D9" s="4">
        <v>10000</v>
      </c>
      <c r="E9" s="4">
        <f>SUM(E8+D9)</f>
        <v>60000</v>
      </c>
      <c r="F9" s="20">
        <f>F8-D9</f>
        <v>590000</v>
      </c>
    </row>
    <row r="10" spans="1:6" x14ac:dyDescent="0.35">
      <c r="A10" s="2" t="s">
        <v>45</v>
      </c>
      <c r="B10" s="2">
        <v>13357</v>
      </c>
      <c r="C10" s="2" t="s">
        <v>47</v>
      </c>
      <c r="D10" s="4">
        <v>10000</v>
      </c>
      <c r="E10" s="4">
        <f t="shared" ref="E10:E14" si="0">SUM(E9+D10)</f>
        <v>70000</v>
      </c>
      <c r="F10" s="20">
        <f t="shared" ref="F10:F14" si="1">F9-D10</f>
        <v>580000</v>
      </c>
    </row>
    <row r="11" spans="1:6" x14ac:dyDescent="0.35">
      <c r="A11" s="3">
        <v>45942</v>
      </c>
      <c r="B11" s="2">
        <v>13153</v>
      </c>
      <c r="C11" s="2" t="s">
        <v>47</v>
      </c>
      <c r="D11" s="4">
        <v>10000</v>
      </c>
      <c r="E11" s="4">
        <f t="shared" si="0"/>
        <v>80000</v>
      </c>
      <c r="F11" s="20">
        <f t="shared" si="1"/>
        <v>570000</v>
      </c>
    </row>
    <row r="12" spans="1:6" x14ac:dyDescent="0.35">
      <c r="A12" s="3">
        <v>46327</v>
      </c>
      <c r="B12" s="2">
        <v>12084</v>
      </c>
      <c r="C12" s="2" t="s">
        <v>47</v>
      </c>
      <c r="D12" s="4">
        <v>10000</v>
      </c>
      <c r="E12" s="4">
        <f t="shared" si="0"/>
        <v>90000</v>
      </c>
      <c r="F12" s="20">
        <f t="shared" si="1"/>
        <v>560000</v>
      </c>
    </row>
    <row r="13" spans="1:6" x14ac:dyDescent="0.35">
      <c r="A13" s="3">
        <v>46236</v>
      </c>
      <c r="B13" s="2">
        <v>12393</v>
      </c>
      <c r="C13" s="2" t="s">
        <v>47</v>
      </c>
      <c r="D13" s="4">
        <v>10000</v>
      </c>
      <c r="E13" s="4">
        <f t="shared" si="0"/>
        <v>100000</v>
      </c>
      <c r="F13" s="20">
        <f t="shared" si="1"/>
        <v>550000</v>
      </c>
    </row>
    <row r="14" spans="1:6" x14ac:dyDescent="0.35">
      <c r="A14" s="9">
        <v>46359</v>
      </c>
      <c r="B14" s="10">
        <v>12833</v>
      </c>
      <c r="C14" s="10" t="s">
        <v>47</v>
      </c>
      <c r="D14" s="4">
        <v>10000</v>
      </c>
      <c r="E14" s="4">
        <f t="shared" si="0"/>
        <v>110000</v>
      </c>
      <c r="F14" s="20">
        <f t="shared" si="1"/>
        <v>540000</v>
      </c>
    </row>
    <row r="15" spans="1:6" x14ac:dyDescent="0.35">
      <c r="A15" t="s">
        <v>462</v>
      </c>
      <c r="B15">
        <v>13251</v>
      </c>
      <c r="C15" t="s">
        <v>47</v>
      </c>
      <c r="D15" s="55">
        <v>10000</v>
      </c>
      <c r="E15" s="55">
        <f>E14+D15</f>
        <v>120000</v>
      </c>
      <c r="F15" s="55">
        <f>F14-D15</f>
        <v>530000</v>
      </c>
    </row>
    <row r="16" spans="1:6" x14ac:dyDescent="0.35">
      <c r="A16" t="s">
        <v>463</v>
      </c>
      <c r="B16">
        <v>13501</v>
      </c>
      <c r="C16" t="s">
        <v>47</v>
      </c>
      <c r="D16" s="55">
        <v>20000</v>
      </c>
      <c r="E16" s="55">
        <f>E15+D16</f>
        <v>140000</v>
      </c>
      <c r="F16" s="55">
        <f>F15-D16</f>
        <v>510000</v>
      </c>
    </row>
    <row r="17" spans="1:7" x14ac:dyDescent="0.35">
      <c r="A17" t="s">
        <v>784</v>
      </c>
      <c r="B17">
        <v>1803</v>
      </c>
      <c r="C17" t="s">
        <v>47</v>
      </c>
      <c r="D17" s="55">
        <v>10000</v>
      </c>
      <c r="E17" s="55">
        <f>E16+D17</f>
        <v>150000</v>
      </c>
      <c r="F17" s="55">
        <f>F16-D17</f>
        <v>500000</v>
      </c>
      <c r="G17" t="s">
        <v>785</v>
      </c>
    </row>
    <row r="18" spans="1:7" x14ac:dyDescent="0.35">
      <c r="A18" t="s">
        <v>787</v>
      </c>
      <c r="B18">
        <v>2163</v>
      </c>
      <c r="C18" t="s">
        <v>47</v>
      </c>
      <c r="D18" s="55">
        <v>25000</v>
      </c>
      <c r="E18" s="55">
        <f>E17+D18</f>
        <v>175000</v>
      </c>
      <c r="F18" s="55">
        <f>F17-D18</f>
        <v>475000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35"/>
  <sheetViews>
    <sheetView workbookViewId="0">
      <selection activeCell="I1" sqref="I1"/>
    </sheetView>
  </sheetViews>
  <sheetFormatPr defaultRowHeight="14.5" x14ac:dyDescent="0.35"/>
  <cols>
    <col min="1" max="1" width="10.453125" bestFit="1" customWidth="1"/>
    <col min="3" max="3" width="18.5429687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77</v>
      </c>
      <c r="B1" s="1"/>
      <c r="C1" s="1"/>
      <c r="D1" s="1"/>
      <c r="E1" s="1"/>
      <c r="F1" s="1"/>
    </row>
    <row r="2" spans="1:6" ht="18.5" x14ac:dyDescent="0.45">
      <c r="A2" s="1" t="s">
        <v>78</v>
      </c>
      <c r="C2" s="1"/>
      <c r="D2" s="1"/>
      <c r="E2" s="1"/>
      <c r="F2" s="1"/>
    </row>
    <row r="3" spans="1:6" ht="18.5" x14ac:dyDescent="0.45">
      <c r="A3" s="1" t="s">
        <v>79</v>
      </c>
      <c r="B3" s="1"/>
      <c r="C3" s="1"/>
      <c r="D3" s="1"/>
      <c r="E3" s="1"/>
      <c r="F3" s="1"/>
    </row>
    <row r="4" spans="1:6" ht="18.5" x14ac:dyDescent="0.45">
      <c r="A4" s="1" t="s">
        <v>80</v>
      </c>
      <c r="B4" s="1"/>
      <c r="C4" s="1"/>
      <c r="D4" s="1"/>
      <c r="E4" s="1"/>
      <c r="F4" s="1"/>
    </row>
    <row r="5" spans="1:6" ht="18.5" x14ac:dyDescent="0.45">
      <c r="A5" s="1" t="s">
        <v>81</v>
      </c>
      <c r="B5" s="1"/>
      <c r="C5" s="1"/>
      <c r="D5" s="1" t="s">
        <v>82</v>
      </c>
      <c r="E5" s="1"/>
      <c r="F5" s="1"/>
    </row>
    <row r="6" spans="1:6" x14ac:dyDescent="0.35">
      <c r="A6" s="39" t="s">
        <v>6</v>
      </c>
      <c r="B6" s="40" t="s">
        <v>7</v>
      </c>
      <c r="C6" s="40" t="s">
        <v>8</v>
      </c>
      <c r="D6" s="21" t="s">
        <v>9</v>
      </c>
      <c r="E6" s="21" t="s">
        <v>10</v>
      </c>
      <c r="F6" s="22" t="s">
        <v>11</v>
      </c>
    </row>
    <row r="7" spans="1:6" x14ac:dyDescent="0.35">
      <c r="A7" s="16">
        <v>44845</v>
      </c>
      <c r="B7" s="2">
        <v>1448</v>
      </c>
      <c r="C7" s="2" t="s">
        <v>90</v>
      </c>
      <c r="D7" s="2">
        <v>50000</v>
      </c>
      <c r="E7" s="2">
        <v>50000</v>
      </c>
      <c r="F7" s="20">
        <v>550000</v>
      </c>
    </row>
    <row r="8" spans="1:6" x14ac:dyDescent="0.35">
      <c r="A8" s="17" t="s">
        <v>83</v>
      </c>
      <c r="B8" s="2">
        <v>1449</v>
      </c>
      <c r="C8" s="2" t="s">
        <v>47</v>
      </c>
      <c r="D8" s="4">
        <v>10000</v>
      </c>
      <c r="E8" s="4">
        <f>SUM(E7+D8)</f>
        <v>60000</v>
      </c>
      <c r="F8" s="20">
        <f>F7-D8</f>
        <v>540000</v>
      </c>
    </row>
    <row r="9" spans="1:6" x14ac:dyDescent="0.35">
      <c r="A9" s="16">
        <v>44986</v>
      </c>
      <c r="B9" s="2">
        <v>1450</v>
      </c>
      <c r="C9" s="2" t="s">
        <v>47</v>
      </c>
      <c r="D9" s="4">
        <v>10000</v>
      </c>
      <c r="E9" s="4">
        <f t="shared" ref="E9:E35" si="0">SUM(E8+D9)</f>
        <v>70000</v>
      </c>
      <c r="F9" s="20">
        <f t="shared" ref="F9:F35" si="1">F8-D9</f>
        <v>530000</v>
      </c>
    </row>
    <row r="10" spans="1:6" x14ac:dyDescent="0.35">
      <c r="A10" s="17" t="s">
        <v>84</v>
      </c>
      <c r="B10" s="2">
        <v>1704</v>
      </c>
      <c r="C10" s="2" t="s">
        <v>47</v>
      </c>
      <c r="D10" s="4">
        <v>10000</v>
      </c>
      <c r="E10" s="4">
        <f t="shared" si="0"/>
        <v>80000</v>
      </c>
      <c r="F10" s="20">
        <f t="shared" si="1"/>
        <v>520000</v>
      </c>
    </row>
    <row r="11" spans="1:6" x14ac:dyDescent="0.35">
      <c r="A11" s="17" t="s">
        <v>85</v>
      </c>
      <c r="B11" s="2">
        <v>1291</v>
      </c>
      <c r="C11" s="2" t="s">
        <v>47</v>
      </c>
      <c r="D11" s="4">
        <v>10000</v>
      </c>
      <c r="E11" s="4">
        <f t="shared" si="0"/>
        <v>90000</v>
      </c>
      <c r="F11" s="20">
        <f t="shared" si="1"/>
        <v>510000</v>
      </c>
    </row>
    <row r="12" spans="1:6" x14ac:dyDescent="0.35">
      <c r="A12" s="17" t="s">
        <v>86</v>
      </c>
      <c r="B12" s="2">
        <v>585</v>
      </c>
      <c r="C12" s="2" t="s">
        <v>47</v>
      </c>
      <c r="D12" s="4">
        <v>10000</v>
      </c>
      <c r="E12" s="4">
        <f t="shared" si="0"/>
        <v>100000</v>
      </c>
      <c r="F12" s="20">
        <f t="shared" si="1"/>
        <v>500000</v>
      </c>
    </row>
    <row r="13" spans="1:6" x14ac:dyDescent="0.35">
      <c r="A13" s="16">
        <v>45024</v>
      </c>
      <c r="B13" s="2">
        <v>2221</v>
      </c>
      <c r="C13" s="2" t="s">
        <v>47</v>
      </c>
      <c r="D13" s="4">
        <v>20000</v>
      </c>
      <c r="E13" s="4">
        <f t="shared" si="0"/>
        <v>120000</v>
      </c>
      <c r="F13" s="20">
        <f t="shared" si="1"/>
        <v>480000</v>
      </c>
    </row>
    <row r="14" spans="1:6" x14ac:dyDescent="0.35">
      <c r="A14" s="17" t="s">
        <v>87</v>
      </c>
      <c r="B14" s="2">
        <v>3594</v>
      </c>
      <c r="C14" s="2" t="s">
        <v>47</v>
      </c>
      <c r="D14" s="4">
        <v>10000</v>
      </c>
      <c r="E14" s="4">
        <f t="shared" si="0"/>
        <v>130000</v>
      </c>
      <c r="F14" s="20">
        <f t="shared" si="1"/>
        <v>470000</v>
      </c>
    </row>
    <row r="15" spans="1:6" x14ac:dyDescent="0.35">
      <c r="A15" s="17" t="s">
        <v>88</v>
      </c>
      <c r="B15" s="2">
        <v>4959</v>
      </c>
      <c r="C15" s="2" t="s">
        <v>47</v>
      </c>
      <c r="D15" s="4">
        <v>10000</v>
      </c>
      <c r="E15" s="4">
        <f t="shared" si="0"/>
        <v>140000</v>
      </c>
      <c r="F15" s="20">
        <f t="shared" si="1"/>
        <v>460000</v>
      </c>
    </row>
    <row r="16" spans="1:6" x14ac:dyDescent="0.35">
      <c r="A16" s="17" t="s">
        <v>89</v>
      </c>
      <c r="B16" s="2">
        <v>6480</v>
      </c>
      <c r="C16" s="2" t="s">
        <v>47</v>
      </c>
      <c r="D16" s="4">
        <v>30000</v>
      </c>
      <c r="E16" s="4">
        <f t="shared" si="0"/>
        <v>170000</v>
      </c>
      <c r="F16" s="20">
        <f t="shared" si="1"/>
        <v>430000</v>
      </c>
    </row>
    <row r="17" spans="1:6" x14ac:dyDescent="0.35">
      <c r="A17" s="16">
        <v>45568</v>
      </c>
      <c r="B17" s="2">
        <v>7256</v>
      </c>
      <c r="C17" s="2" t="s">
        <v>47</v>
      </c>
      <c r="D17" s="4">
        <v>20000</v>
      </c>
      <c r="E17" s="4">
        <f t="shared" si="0"/>
        <v>190000</v>
      </c>
      <c r="F17" s="20">
        <f t="shared" si="1"/>
        <v>410000</v>
      </c>
    </row>
    <row r="18" spans="1:6" x14ac:dyDescent="0.35">
      <c r="A18" s="16">
        <v>45295</v>
      </c>
      <c r="B18" s="2">
        <v>8049</v>
      </c>
      <c r="C18" s="2" t="s">
        <v>47</v>
      </c>
      <c r="D18" s="4">
        <v>10000</v>
      </c>
      <c r="E18" s="4">
        <f t="shared" si="0"/>
        <v>200000</v>
      </c>
      <c r="F18" s="20">
        <f t="shared" si="1"/>
        <v>400000</v>
      </c>
    </row>
    <row r="19" spans="1:6" x14ac:dyDescent="0.35">
      <c r="A19" s="18"/>
      <c r="B19" s="2">
        <v>8873</v>
      </c>
      <c r="C19" s="2" t="s">
        <v>47</v>
      </c>
      <c r="D19" s="4">
        <v>15000</v>
      </c>
      <c r="E19" s="4">
        <f t="shared" si="0"/>
        <v>215000</v>
      </c>
      <c r="F19" s="20">
        <f t="shared" si="1"/>
        <v>385000</v>
      </c>
    </row>
    <row r="20" spans="1:6" x14ac:dyDescent="0.35">
      <c r="A20" s="17"/>
      <c r="B20" s="2">
        <v>9413</v>
      </c>
      <c r="C20" s="2" t="s">
        <v>47</v>
      </c>
      <c r="D20" s="4">
        <v>10000</v>
      </c>
      <c r="E20" s="4">
        <f t="shared" si="0"/>
        <v>225000</v>
      </c>
      <c r="F20" s="20">
        <f t="shared" si="1"/>
        <v>375000</v>
      </c>
    </row>
    <row r="21" spans="1:6" x14ac:dyDescent="0.35">
      <c r="A21" s="17"/>
      <c r="B21" s="2">
        <v>10509</v>
      </c>
      <c r="C21" s="2" t="s">
        <v>47</v>
      </c>
      <c r="D21" s="4">
        <v>20000</v>
      </c>
      <c r="E21" s="4">
        <f t="shared" si="0"/>
        <v>245000</v>
      </c>
      <c r="F21" s="20">
        <f t="shared" si="1"/>
        <v>355000</v>
      </c>
    </row>
    <row r="22" spans="1:6" x14ac:dyDescent="0.35">
      <c r="A22" s="16">
        <v>45392</v>
      </c>
      <c r="B22" s="2">
        <v>11680</v>
      </c>
      <c r="C22" s="2" t="s">
        <v>47</v>
      </c>
      <c r="D22" s="4">
        <v>10000</v>
      </c>
      <c r="E22" s="4">
        <f t="shared" si="0"/>
        <v>255000</v>
      </c>
      <c r="F22" s="20">
        <f t="shared" si="1"/>
        <v>345000</v>
      </c>
    </row>
    <row r="23" spans="1:6" x14ac:dyDescent="0.35">
      <c r="A23" s="16">
        <v>45515</v>
      </c>
      <c r="B23" s="2">
        <v>12150</v>
      </c>
      <c r="C23" s="2" t="s">
        <v>47</v>
      </c>
      <c r="D23" s="4">
        <v>10000</v>
      </c>
      <c r="E23" s="4">
        <f t="shared" si="0"/>
        <v>265000</v>
      </c>
      <c r="F23" s="20">
        <f t="shared" si="1"/>
        <v>335000</v>
      </c>
    </row>
    <row r="24" spans="1:6" x14ac:dyDescent="0.35">
      <c r="A24" s="16">
        <v>45455</v>
      </c>
      <c r="B24" s="2">
        <v>12655</v>
      </c>
      <c r="C24" s="2" t="s">
        <v>47</v>
      </c>
      <c r="D24" s="4">
        <v>10000</v>
      </c>
      <c r="E24" s="4">
        <f t="shared" si="0"/>
        <v>275000</v>
      </c>
      <c r="F24" s="20">
        <f t="shared" si="1"/>
        <v>325000</v>
      </c>
    </row>
    <row r="25" spans="1:6" x14ac:dyDescent="0.35">
      <c r="A25" s="16">
        <v>45717</v>
      </c>
      <c r="B25" s="2">
        <v>12076</v>
      </c>
      <c r="C25" s="2" t="s">
        <v>47</v>
      </c>
      <c r="D25" s="4">
        <v>10000</v>
      </c>
      <c r="E25" s="4">
        <f t="shared" si="0"/>
        <v>285000</v>
      </c>
      <c r="F25" s="20">
        <f t="shared" si="1"/>
        <v>315000</v>
      </c>
    </row>
    <row r="26" spans="1:6" x14ac:dyDescent="0.35">
      <c r="A26" s="16">
        <v>45690</v>
      </c>
      <c r="B26" s="2">
        <v>9369</v>
      </c>
      <c r="C26" s="2" t="s">
        <v>47</v>
      </c>
      <c r="D26" s="4">
        <v>10000</v>
      </c>
      <c r="E26" s="4">
        <f t="shared" si="0"/>
        <v>295000</v>
      </c>
      <c r="F26" s="20">
        <f t="shared" si="1"/>
        <v>305000</v>
      </c>
    </row>
    <row r="27" spans="1:6" x14ac:dyDescent="0.35">
      <c r="A27" s="16">
        <v>45811</v>
      </c>
      <c r="B27" s="2">
        <v>9806</v>
      </c>
      <c r="C27" s="2" t="s">
        <v>47</v>
      </c>
      <c r="D27" s="4">
        <v>10000</v>
      </c>
      <c r="E27" s="4">
        <f t="shared" si="0"/>
        <v>305000</v>
      </c>
      <c r="F27" s="20">
        <f t="shared" si="1"/>
        <v>295000</v>
      </c>
    </row>
    <row r="28" spans="1:6" x14ac:dyDescent="0.35">
      <c r="A28" s="16">
        <v>45782</v>
      </c>
      <c r="B28" s="2">
        <v>10610</v>
      </c>
      <c r="C28" s="2" t="s">
        <v>47</v>
      </c>
      <c r="D28" s="4">
        <v>10000</v>
      </c>
      <c r="E28" s="4">
        <f t="shared" si="0"/>
        <v>315000</v>
      </c>
      <c r="F28" s="20">
        <f t="shared" si="1"/>
        <v>285000</v>
      </c>
    </row>
    <row r="29" spans="1:6" x14ac:dyDescent="0.35">
      <c r="A29" s="16">
        <v>45814</v>
      </c>
      <c r="B29" s="2">
        <v>9984</v>
      </c>
      <c r="C29" s="2" t="s">
        <v>47</v>
      </c>
      <c r="D29" s="4">
        <v>10000</v>
      </c>
      <c r="E29" s="4">
        <f t="shared" si="0"/>
        <v>325000</v>
      </c>
      <c r="F29" s="20">
        <f t="shared" si="1"/>
        <v>275000</v>
      </c>
    </row>
    <row r="30" spans="1:6" x14ac:dyDescent="0.35">
      <c r="A30" s="16">
        <v>45785</v>
      </c>
      <c r="B30" s="2">
        <v>12404</v>
      </c>
      <c r="C30" s="2" t="s">
        <v>47</v>
      </c>
      <c r="D30" s="4">
        <v>15000</v>
      </c>
      <c r="E30" s="4">
        <f t="shared" si="0"/>
        <v>340000</v>
      </c>
      <c r="F30" s="20">
        <f t="shared" si="1"/>
        <v>260000</v>
      </c>
    </row>
    <row r="31" spans="1:6" x14ac:dyDescent="0.35">
      <c r="A31" s="17" t="s">
        <v>91</v>
      </c>
      <c r="B31" s="2">
        <v>12757</v>
      </c>
      <c r="C31" s="2" t="s">
        <v>47</v>
      </c>
      <c r="D31" s="4">
        <v>10000</v>
      </c>
      <c r="E31" s="4">
        <f t="shared" si="0"/>
        <v>350000</v>
      </c>
      <c r="F31" s="20">
        <f t="shared" si="1"/>
        <v>250000</v>
      </c>
    </row>
    <row r="32" spans="1:6" x14ac:dyDescent="0.35">
      <c r="A32" s="17" t="s">
        <v>92</v>
      </c>
      <c r="B32" s="2">
        <v>13621</v>
      </c>
      <c r="C32" s="2" t="s">
        <v>47</v>
      </c>
      <c r="D32" s="4">
        <v>10000</v>
      </c>
      <c r="E32" s="4">
        <f t="shared" si="0"/>
        <v>360000</v>
      </c>
      <c r="F32" s="20">
        <f t="shared" si="1"/>
        <v>240000</v>
      </c>
    </row>
    <row r="33" spans="1:6" x14ac:dyDescent="0.35">
      <c r="A33" s="17" t="s">
        <v>93</v>
      </c>
      <c r="B33" s="2">
        <v>13013</v>
      </c>
      <c r="C33" s="2" t="s">
        <v>47</v>
      </c>
      <c r="D33" s="4">
        <v>10000</v>
      </c>
      <c r="E33" s="4">
        <f t="shared" si="0"/>
        <v>370000</v>
      </c>
      <c r="F33" s="20">
        <f t="shared" si="1"/>
        <v>230000</v>
      </c>
    </row>
    <row r="34" spans="1:6" x14ac:dyDescent="0.35">
      <c r="A34" s="17" t="s">
        <v>94</v>
      </c>
      <c r="B34" s="2">
        <v>12650</v>
      </c>
      <c r="C34" s="2" t="s">
        <v>47</v>
      </c>
      <c r="D34" s="4">
        <v>10000</v>
      </c>
      <c r="E34" s="4">
        <f t="shared" si="0"/>
        <v>380000</v>
      </c>
      <c r="F34" s="20">
        <f t="shared" si="1"/>
        <v>220000</v>
      </c>
    </row>
    <row r="35" spans="1:6" x14ac:dyDescent="0.35">
      <c r="A35" s="23" t="s">
        <v>95</v>
      </c>
      <c r="B35" s="5">
        <v>12554</v>
      </c>
      <c r="C35" s="5" t="s">
        <v>47</v>
      </c>
      <c r="D35" s="24">
        <v>10000</v>
      </c>
      <c r="E35" s="24">
        <f t="shared" si="0"/>
        <v>390000</v>
      </c>
      <c r="F35" s="25">
        <f t="shared" si="1"/>
        <v>210000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10"/>
  <sheetViews>
    <sheetView workbookViewId="0">
      <selection activeCell="K8" sqref="K8"/>
    </sheetView>
  </sheetViews>
  <sheetFormatPr defaultRowHeight="14.5" x14ac:dyDescent="0.35"/>
  <cols>
    <col min="1" max="1" width="9.7265625" customWidth="1"/>
    <col min="3" max="3" width="14.81640625" customWidth="1"/>
    <col min="6" max="6" width="11.26953125" customWidth="1"/>
  </cols>
  <sheetData>
    <row r="1" spans="1:6" ht="18.5" x14ac:dyDescent="0.45">
      <c r="A1" s="1" t="s">
        <v>251</v>
      </c>
      <c r="B1" s="1"/>
      <c r="C1" s="1"/>
      <c r="D1" s="1"/>
      <c r="E1" s="1"/>
      <c r="F1" s="1"/>
    </row>
    <row r="2" spans="1:6" ht="18.5" x14ac:dyDescent="0.45">
      <c r="A2" s="1" t="s">
        <v>143</v>
      </c>
      <c r="B2" s="15"/>
      <c r="C2" s="1"/>
      <c r="D2" s="1"/>
      <c r="E2" s="1"/>
      <c r="F2" s="1"/>
    </row>
    <row r="3" spans="1:6" ht="18.5" x14ac:dyDescent="0.45">
      <c r="A3" s="1" t="s">
        <v>252</v>
      </c>
      <c r="B3" s="1"/>
      <c r="C3" s="1"/>
      <c r="D3" s="1"/>
      <c r="E3" s="1"/>
      <c r="F3" s="1"/>
    </row>
    <row r="4" spans="1:6" ht="18.5" x14ac:dyDescent="0.45">
      <c r="A4" s="1" t="s">
        <v>258</v>
      </c>
      <c r="B4" s="1"/>
      <c r="C4" s="1"/>
      <c r="D4" s="1"/>
      <c r="E4" s="1"/>
      <c r="F4" s="1"/>
    </row>
    <row r="5" spans="1:6" ht="18.5" x14ac:dyDescent="0.45">
      <c r="A5" s="1" t="s">
        <v>253</v>
      </c>
      <c r="B5" s="1"/>
      <c r="C5" s="1"/>
      <c r="D5" s="1"/>
      <c r="E5" s="1"/>
      <c r="F5" s="1"/>
    </row>
    <row r="6" spans="1:6" ht="18.5" x14ac:dyDescent="0.45">
      <c r="A6" s="1" t="s">
        <v>254</v>
      </c>
      <c r="B6" s="1"/>
      <c r="C6" s="1"/>
      <c r="D6" s="1" t="s">
        <v>255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t="s">
        <v>256</v>
      </c>
      <c r="B8">
        <v>13269</v>
      </c>
      <c r="C8" t="s">
        <v>46</v>
      </c>
      <c r="D8" s="11">
        <v>200000</v>
      </c>
      <c r="E8" s="11">
        <v>200000</v>
      </c>
      <c r="F8" t="s">
        <v>257</v>
      </c>
    </row>
    <row r="9" spans="1:6" x14ac:dyDescent="0.35">
      <c r="A9" t="s">
        <v>256</v>
      </c>
      <c r="B9">
        <v>5935</v>
      </c>
      <c r="C9" t="s">
        <v>151</v>
      </c>
      <c r="D9" s="11">
        <v>100000</v>
      </c>
      <c r="E9" s="11">
        <v>100000</v>
      </c>
      <c r="F9" t="s">
        <v>257</v>
      </c>
    </row>
    <row r="10" spans="1:6" ht="18.5" x14ac:dyDescent="0.45">
      <c r="A10" s="52" t="s">
        <v>259</v>
      </c>
      <c r="B10" s="52"/>
      <c r="C10" s="52"/>
      <c r="D10" s="52"/>
      <c r="E10" s="52"/>
      <c r="F10" s="5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10"/>
  <sheetViews>
    <sheetView workbookViewId="0">
      <selection activeCell="J18" sqref="J18"/>
    </sheetView>
  </sheetViews>
  <sheetFormatPr defaultRowHeight="14.5" x14ac:dyDescent="0.35"/>
  <sheetData>
    <row r="1" spans="1:6" ht="18.5" x14ac:dyDescent="0.45">
      <c r="A1" s="1" t="s">
        <v>251</v>
      </c>
      <c r="B1" s="1"/>
      <c r="C1" s="1"/>
      <c r="D1" s="1"/>
      <c r="E1" s="1"/>
      <c r="F1" s="1"/>
    </row>
    <row r="2" spans="1:6" ht="18.5" x14ac:dyDescent="0.45">
      <c r="A2" s="1" t="s">
        <v>143</v>
      </c>
      <c r="B2" s="15"/>
      <c r="C2" s="1"/>
      <c r="D2" s="1"/>
      <c r="E2" s="1"/>
      <c r="F2" s="1"/>
    </row>
    <row r="3" spans="1:6" ht="18.5" x14ac:dyDescent="0.45">
      <c r="A3" s="1" t="s">
        <v>252</v>
      </c>
      <c r="B3" s="1"/>
      <c r="C3" s="1"/>
      <c r="D3" s="1"/>
      <c r="E3" s="1"/>
      <c r="F3" s="1"/>
    </row>
    <row r="4" spans="1:6" ht="18.5" x14ac:dyDescent="0.45">
      <c r="A4" s="1" t="s">
        <v>273</v>
      </c>
      <c r="B4" s="1"/>
      <c r="C4" s="1"/>
      <c r="D4" s="1"/>
      <c r="E4" s="1"/>
      <c r="F4" s="1"/>
    </row>
    <row r="5" spans="1:6" ht="18.5" x14ac:dyDescent="0.45">
      <c r="A5" s="1" t="s">
        <v>253</v>
      </c>
      <c r="B5" s="1"/>
      <c r="C5" s="1"/>
      <c r="D5" s="1"/>
      <c r="E5" s="1"/>
      <c r="F5" s="1"/>
    </row>
    <row r="6" spans="1:6" ht="18.5" x14ac:dyDescent="0.45">
      <c r="A6" s="1" t="s">
        <v>274</v>
      </c>
      <c r="B6" s="1"/>
      <c r="C6" s="1"/>
      <c r="D6" s="1" t="s">
        <v>255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t="s">
        <v>256</v>
      </c>
      <c r="B8">
        <v>13270</v>
      </c>
      <c r="C8" t="s">
        <v>46</v>
      </c>
      <c r="D8" s="11">
        <v>200000</v>
      </c>
      <c r="E8" s="11">
        <v>200000</v>
      </c>
      <c r="F8" t="s">
        <v>257</v>
      </c>
    </row>
    <row r="9" spans="1:6" x14ac:dyDescent="0.35">
      <c r="A9" t="s">
        <v>256</v>
      </c>
      <c r="B9">
        <v>5936</v>
      </c>
      <c r="C9" t="s">
        <v>151</v>
      </c>
      <c r="D9" s="11">
        <v>100000</v>
      </c>
      <c r="E9" s="11">
        <v>100000</v>
      </c>
      <c r="F9" t="s">
        <v>257</v>
      </c>
    </row>
    <row r="10" spans="1:6" ht="18.5" x14ac:dyDescent="0.45">
      <c r="A10" s="52" t="s">
        <v>259</v>
      </c>
      <c r="B10" s="52"/>
      <c r="C10" s="52"/>
      <c r="D10" s="52"/>
      <c r="E10" s="52"/>
      <c r="F10" s="5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25"/>
  <sheetViews>
    <sheetView workbookViewId="0">
      <selection sqref="A1:F7"/>
    </sheetView>
  </sheetViews>
  <sheetFormatPr defaultRowHeight="14.5" x14ac:dyDescent="0.35"/>
  <cols>
    <col min="1" max="1" width="10" customWidth="1"/>
    <col min="3" max="3" width="13.26953125" customWidth="1"/>
    <col min="6" max="6" width="10.6328125" customWidth="1"/>
  </cols>
  <sheetData>
    <row r="1" spans="1:6" ht="18.5" x14ac:dyDescent="0.45">
      <c r="A1" s="1" t="s">
        <v>260</v>
      </c>
      <c r="B1" s="1"/>
      <c r="C1" s="1"/>
      <c r="D1" s="1"/>
      <c r="E1" s="1"/>
      <c r="F1" s="1"/>
    </row>
    <row r="2" spans="1:6" ht="18.5" x14ac:dyDescent="0.45">
      <c r="A2" s="1" t="s">
        <v>581</v>
      </c>
      <c r="B2" s="15"/>
      <c r="C2" s="1"/>
      <c r="D2" s="1"/>
      <c r="E2" s="1"/>
      <c r="F2" s="1"/>
    </row>
    <row r="3" spans="1:6" ht="18.5" x14ac:dyDescent="0.45">
      <c r="A3" s="1" t="s">
        <v>261</v>
      </c>
      <c r="B3" s="1"/>
      <c r="C3" s="1"/>
      <c r="D3" s="1"/>
      <c r="E3" s="1"/>
      <c r="F3" s="1"/>
    </row>
    <row r="4" spans="1:6" ht="18.5" x14ac:dyDescent="0.45">
      <c r="A4" s="1" t="s">
        <v>265</v>
      </c>
      <c r="B4" s="1"/>
      <c r="C4" s="1"/>
      <c r="D4" s="1"/>
      <c r="E4" s="1"/>
      <c r="F4" s="1"/>
    </row>
    <row r="5" spans="1:6" ht="18.5" x14ac:dyDescent="0.45">
      <c r="A5" s="1" t="s">
        <v>262</v>
      </c>
      <c r="B5" s="1"/>
      <c r="C5" s="1"/>
      <c r="D5" s="1"/>
      <c r="E5" s="1"/>
      <c r="F5" s="1"/>
    </row>
    <row r="6" spans="1:6" ht="18.5" x14ac:dyDescent="0.45">
      <c r="A6" s="1" t="s">
        <v>263</v>
      </c>
      <c r="B6" s="1"/>
      <c r="C6" s="1"/>
      <c r="D6" s="1" t="s">
        <v>264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x14ac:dyDescent="0.35">
      <c r="A8" t="s">
        <v>266</v>
      </c>
      <c r="B8">
        <v>927</v>
      </c>
      <c r="C8" t="s">
        <v>46</v>
      </c>
      <c r="D8" s="11">
        <v>100000</v>
      </c>
      <c r="E8" s="11">
        <v>100000</v>
      </c>
      <c r="F8" s="11">
        <v>350000</v>
      </c>
    </row>
    <row r="9" spans="1:6" x14ac:dyDescent="0.35">
      <c r="A9" t="s">
        <v>267</v>
      </c>
      <c r="B9">
        <v>364</v>
      </c>
      <c r="C9" t="s">
        <v>14</v>
      </c>
      <c r="D9" s="11">
        <v>40000</v>
      </c>
      <c r="E9" s="11">
        <f>SUM(E8+D9)</f>
        <v>140000</v>
      </c>
      <c r="F9" s="11">
        <f>F8-D9</f>
        <v>310000</v>
      </c>
    </row>
    <row r="10" spans="1:6" x14ac:dyDescent="0.35">
      <c r="A10" t="s">
        <v>268</v>
      </c>
      <c r="B10">
        <v>365</v>
      </c>
      <c r="C10" t="s">
        <v>271</v>
      </c>
      <c r="D10" s="11">
        <v>10000</v>
      </c>
      <c r="E10" s="11">
        <f t="shared" ref="E10:E23" si="0">SUM(E9+D10)</f>
        <v>150000</v>
      </c>
      <c r="F10" s="11">
        <f t="shared" ref="F10:F23" si="1">F9-D10</f>
        <v>300000</v>
      </c>
    </row>
    <row r="11" spans="1:6" x14ac:dyDescent="0.35">
      <c r="A11" s="9">
        <v>45144</v>
      </c>
      <c r="B11">
        <v>369</v>
      </c>
      <c r="C11" t="s">
        <v>271</v>
      </c>
      <c r="D11" s="11">
        <v>10000</v>
      </c>
      <c r="E11" s="11">
        <f t="shared" si="0"/>
        <v>160000</v>
      </c>
      <c r="F11" s="11">
        <f t="shared" si="1"/>
        <v>290000</v>
      </c>
    </row>
    <row r="12" spans="1:6" x14ac:dyDescent="0.35">
      <c r="A12" s="9">
        <v>45084</v>
      </c>
      <c r="B12">
        <v>1251</v>
      </c>
      <c r="C12" t="s">
        <v>271</v>
      </c>
      <c r="D12" s="11">
        <v>10000</v>
      </c>
      <c r="E12" s="11">
        <f t="shared" si="0"/>
        <v>170000</v>
      </c>
      <c r="F12" s="11">
        <f t="shared" si="1"/>
        <v>280000</v>
      </c>
    </row>
    <row r="13" spans="1:6" x14ac:dyDescent="0.35">
      <c r="A13" t="s">
        <v>269</v>
      </c>
      <c r="B13">
        <v>8656</v>
      </c>
      <c r="C13" t="s">
        <v>271</v>
      </c>
      <c r="D13" s="11">
        <v>60000</v>
      </c>
      <c r="E13" s="11">
        <f t="shared" si="0"/>
        <v>230000</v>
      </c>
      <c r="F13" s="11">
        <f t="shared" si="1"/>
        <v>220000</v>
      </c>
    </row>
    <row r="14" spans="1:6" x14ac:dyDescent="0.35">
      <c r="A14" t="s">
        <v>270</v>
      </c>
      <c r="B14">
        <v>4487</v>
      </c>
      <c r="C14" t="s">
        <v>271</v>
      </c>
      <c r="D14" s="11">
        <v>20000</v>
      </c>
      <c r="E14" s="11">
        <f t="shared" si="0"/>
        <v>250000</v>
      </c>
      <c r="F14" s="11">
        <f t="shared" si="1"/>
        <v>200000</v>
      </c>
    </row>
    <row r="15" spans="1:6" x14ac:dyDescent="0.35">
      <c r="A15" s="9">
        <v>45333</v>
      </c>
      <c r="B15">
        <v>11563</v>
      </c>
      <c r="C15" t="s">
        <v>271</v>
      </c>
      <c r="D15" s="11">
        <v>20000</v>
      </c>
      <c r="E15" s="11">
        <f t="shared" si="0"/>
        <v>270000</v>
      </c>
      <c r="F15" s="11">
        <f t="shared" si="1"/>
        <v>180000</v>
      </c>
    </row>
    <row r="16" spans="1:6" x14ac:dyDescent="0.35">
      <c r="A16" s="9">
        <v>45334</v>
      </c>
      <c r="B16">
        <v>12547</v>
      </c>
      <c r="C16" t="s">
        <v>271</v>
      </c>
      <c r="D16" s="11">
        <v>20000</v>
      </c>
      <c r="E16" s="11">
        <f t="shared" si="0"/>
        <v>290000</v>
      </c>
      <c r="F16" s="11">
        <f t="shared" si="1"/>
        <v>160000</v>
      </c>
    </row>
    <row r="17" spans="1:6" x14ac:dyDescent="0.35">
      <c r="A17" s="9">
        <v>46001</v>
      </c>
      <c r="B17">
        <v>13788</v>
      </c>
      <c r="C17" t="s">
        <v>271</v>
      </c>
      <c r="D17" s="11">
        <v>40000</v>
      </c>
      <c r="E17" s="11">
        <f t="shared" si="0"/>
        <v>330000</v>
      </c>
      <c r="F17" s="11">
        <f t="shared" si="1"/>
        <v>120000</v>
      </c>
    </row>
    <row r="18" spans="1:6" x14ac:dyDescent="0.35">
      <c r="A18" s="9">
        <v>45972</v>
      </c>
      <c r="B18">
        <v>13334</v>
      </c>
      <c r="C18" t="s">
        <v>271</v>
      </c>
      <c r="D18" s="11">
        <v>10000</v>
      </c>
      <c r="E18" s="11">
        <f t="shared" si="0"/>
        <v>340000</v>
      </c>
      <c r="F18" s="11">
        <f t="shared" si="1"/>
        <v>110000</v>
      </c>
    </row>
    <row r="19" spans="1:6" x14ac:dyDescent="0.35">
      <c r="A19" s="9">
        <v>45942</v>
      </c>
      <c r="B19">
        <v>13155</v>
      </c>
      <c r="C19" t="s">
        <v>271</v>
      </c>
      <c r="D19" s="11">
        <v>10000</v>
      </c>
      <c r="E19" s="11">
        <f t="shared" si="0"/>
        <v>350000</v>
      </c>
      <c r="F19" s="11">
        <f t="shared" si="1"/>
        <v>100000</v>
      </c>
    </row>
    <row r="20" spans="1:6" x14ac:dyDescent="0.35">
      <c r="A20" s="9">
        <v>46357</v>
      </c>
      <c r="B20">
        <v>12099</v>
      </c>
      <c r="C20" t="s">
        <v>271</v>
      </c>
      <c r="D20" s="11">
        <v>10000</v>
      </c>
      <c r="E20" s="11">
        <f t="shared" si="0"/>
        <v>360000</v>
      </c>
      <c r="F20" s="11">
        <f t="shared" si="1"/>
        <v>90000</v>
      </c>
    </row>
    <row r="21" spans="1:6" x14ac:dyDescent="0.35">
      <c r="A21" s="9">
        <v>46083</v>
      </c>
      <c r="B21">
        <v>12430</v>
      </c>
      <c r="C21" t="s">
        <v>271</v>
      </c>
      <c r="D21" s="11">
        <v>10000</v>
      </c>
      <c r="E21" s="11">
        <f t="shared" si="0"/>
        <v>370000</v>
      </c>
      <c r="F21" s="11">
        <f t="shared" si="1"/>
        <v>80000</v>
      </c>
    </row>
    <row r="22" spans="1:6" x14ac:dyDescent="0.35">
      <c r="A22" t="s">
        <v>272</v>
      </c>
      <c r="B22">
        <v>12857</v>
      </c>
      <c r="C22" t="s">
        <v>271</v>
      </c>
      <c r="D22" s="11">
        <v>10000</v>
      </c>
      <c r="E22" s="11">
        <f t="shared" si="0"/>
        <v>380000</v>
      </c>
      <c r="F22" s="11">
        <f t="shared" si="1"/>
        <v>70000</v>
      </c>
    </row>
    <row r="23" spans="1:6" x14ac:dyDescent="0.35">
      <c r="A23" t="s">
        <v>256</v>
      </c>
      <c r="B23">
        <v>13278</v>
      </c>
      <c r="C23" t="s">
        <v>271</v>
      </c>
      <c r="D23" s="11">
        <v>10000</v>
      </c>
      <c r="E23" s="11">
        <f t="shared" si="0"/>
        <v>390000</v>
      </c>
      <c r="F23" s="11">
        <f t="shared" si="1"/>
        <v>60000</v>
      </c>
    </row>
    <row r="24" spans="1:6" x14ac:dyDescent="0.35">
      <c r="A24" t="s">
        <v>582</v>
      </c>
      <c r="B24">
        <v>13407</v>
      </c>
      <c r="C24" t="s">
        <v>271</v>
      </c>
      <c r="D24" s="11">
        <v>10000</v>
      </c>
      <c r="E24" s="11">
        <f>E23+D24</f>
        <v>400000</v>
      </c>
      <c r="F24" s="11">
        <f>F23-D24</f>
        <v>50000</v>
      </c>
    </row>
    <row r="25" spans="1:6" x14ac:dyDescent="0.35">
      <c r="A25" t="s">
        <v>583</v>
      </c>
      <c r="B25">
        <v>1583</v>
      </c>
      <c r="C25" t="s">
        <v>271</v>
      </c>
      <c r="D25" s="11">
        <v>20000</v>
      </c>
      <c r="E25" s="11">
        <v>420000</v>
      </c>
      <c r="F25" s="11">
        <f>F24-D25</f>
        <v>30000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9" workbookViewId="0">
      <selection activeCell="D15" sqref="D15"/>
    </sheetView>
  </sheetViews>
  <sheetFormatPr defaultRowHeight="14.5" x14ac:dyDescent="0.35"/>
  <cols>
    <col min="1" max="1" width="9.453125" bestFit="1" customWidth="1"/>
  </cols>
  <sheetData>
    <row r="1" spans="1:6" ht="18.5" x14ac:dyDescent="0.45">
      <c r="A1" s="1" t="s">
        <v>584</v>
      </c>
      <c r="B1" s="1"/>
      <c r="C1" s="1"/>
      <c r="D1" s="1"/>
      <c r="E1" s="1"/>
      <c r="F1" s="1"/>
    </row>
    <row r="2" spans="1:6" ht="18.5" x14ac:dyDescent="0.45">
      <c r="A2" s="1" t="s">
        <v>585</v>
      </c>
      <c r="B2" s="15"/>
      <c r="C2" s="1"/>
      <c r="D2" s="1"/>
      <c r="E2" s="1"/>
      <c r="F2" s="1"/>
    </row>
    <row r="3" spans="1:6" ht="18.5" x14ac:dyDescent="0.45">
      <c r="A3" s="1" t="s">
        <v>586</v>
      </c>
      <c r="B3" s="1"/>
      <c r="C3" s="1"/>
      <c r="D3" s="1"/>
      <c r="E3" s="1"/>
      <c r="F3" s="1"/>
    </row>
    <row r="4" spans="1:6" ht="18.5" x14ac:dyDescent="0.45">
      <c r="A4" s="1" t="s">
        <v>587</v>
      </c>
      <c r="B4" s="1"/>
      <c r="C4" s="1"/>
      <c r="D4" s="1"/>
      <c r="E4" s="1"/>
      <c r="F4" s="1"/>
    </row>
    <row r="5" spans="1:6" ht="18.5" x14ac:dyDescent="0.45">
      <c r="A5" s="1" t="s">
        <v>589</v>
      </c>
      <c r="B5" s="1"/>
      <c r="C5" s="1"/>
      <c r="D5" s="1"/>
      <c r="E5" s="1"/>
      <c r="F5" s="1"/>
    </row>
    <row r="6" spans="1:6" ht="18.5" x14ac:dyDescent="0.45">
      <c r="A6" s="1" t="s">
        <v>588</v>
      </c>
      <c r="B6" s="1"/>
      <c r="C6" s="1"/>
      <c r="D6" s="1" t="s">
        <v>201</v>
      </c>
      <c r="E6" s="1"/>
      <c r="F6" s="1"/>
    </row>
    <row r="7" spans="1:6" x14ac:dyDescent="0.35">
      <c r="A7" s="48" t="s">
        <v>6</v>
      </c>
      <c r="B7" s="49" t="s">
        <v>7</v>
      </c>
      <c r="C7" s="50" t="s">
        <v>8</v>
      </c>
      <c r="D7" s="5" t="s">
        <v>9</v>
      </c>
      <c r="E7" s="5" t="s">
        <v>10</v>
      </c>
      <c r="F7" s="51" t="s">
        <v>11</v>
      </c>
    </row>
    <row r="8" spans="1:6" ht="18.5" x14ac:dyDescent="0.45">
      <c r="A8" s="57" t="s">
        <v>590</v>
      </c>
      <c r="B8" s="7">
        <v>1238</v>
      </c>
      <c r="C8" s="7" t="s">
        <v>47</v>
      </c>
      <c r="D8" s="8">
        <v>10000</v>
      </c>
      <c r="E8" s="8">
        <v>10000</v>
      </c>
      <c r="F8" s="8">
        <v>125000</v>
      </c>
    </row>
    <row r="9" spans="1:6" x14ac:dyDescent="0.35">
      <c r="A9" s="58">
        <v>44570</v>
      </c>
      <c r="B9" s="7">
        <v>335</v>
      </c>
      <c r="C9" s="7" t="s">
        <v>47</v>
      </c>
      <c r="D9" s="8">
        <v>10000</v>
      </c>
      <c r="E9" s="8">
        <f t="shared" ref="E9:E17" si="0">E8+D9</f>
        <v>20000</v>
      </c>
      <c r="F9" s="8">
        <f t="shared" ref="F9:F16" si="1">F8-D9</f>
        <v>115000</v>
      </c>
    </row>
    <row r="10" spans="1:6" ht="18.5" x14ac:dyDescent="0.45">
      <c r="A10" s="57" t="s">
        <v>591</v>
      </c>
      <c r="B10" s="7">
        <v>2286</v>
      </c>
      <c r="C10" s="7" t="s">
        <v>593</v>
      </c>
      <c r="D10" s="8">
        <v>30000</v>
      </c>
      <c r="E10" s="8">
        <f t="shared" si="0"/>
        <v>50000</v>
      </c>
      <c r="F10" s="8">
        <f t="shared" si="1"/>
        <v>85000</v>
      </c>
    </row>
    <row r="11" spans="1:6" ht="18.5" x14ac:dyDescent="0.45">
      <c r="A11" s="57" t="s">
        <v>592</v>
      </c>
      <c r="B11" s="7">
        <v>2287</v>
      </c>
      <c r="C11" s="7" t="s">
        <v>47</v>
      </c>
      <c r="D11" s="8">
        <v>10000</v>
      </c>
      <c r="E11" s="8">
        <f t="shared" si="0"/>
        <v>60000</v>
      </c>
      <c r="F11" s="8">
        <f t="shared" si="1"/>
        <v>75000</v>
      </c>
    </row>
    <row r="12" spans="1:6" x14ac:dyDescent="0.35">
      <c r="A12" s="59">
        <v>45234</v>
      </c>
      <c r="B12" s="7">
        <v>1957</v>
      </c>
      <c r="C12" s="7" t="s">
        <v>47</v>
      </c>
      <c r="D12" s="8">
        <v>10000</v>
      </c>
      <c r="E12" s="8">
        <f t="shared" si="0"/>
        <v>70000</v>
      </c>
      <c r="F12" s="8">
        <f t="shared" si="1"/>
        <v>65000</v>
      </c>
    </row>
    <row r="13" spans="1:6" x14ac:dyDescent="0.35">
      <c r="A13" s="58">
        <v>45083</v>
      </c>
      <c r="B13" s="7">
        <v>1484</v>
      </c>
      <c r="C13" s="7" t="s">
        <v>47</v>
      </c>
      <c r="D13" s="8">
        <v>10000</v>
      </c>
      <c r="E13" s="8">
        <f t="shared" si="0"/>
        <v>80000</v>
      </c>
      <c r="F13" s="8">
        <f t="shared" si="1"/>
        <v>55000</v>
      </c>
    </row>
    <row r="14" spans="1:6" x14ac:dyDescent="0.35">
      <c r="A14" s="58">
        <v>45083</v>
      </c>
      <c r="B14" s="7">
        <v>342</v>
      </c>
      <c r="C14" s="7" t="s">
        <v>47</v>
      </c>
      <c r="D14" s="8">
        <v>10000</v>
      </c>
      <c r="E14" s="8">
        <f t="shared" si="0"/>
        <v>90000</v>
      </c>
      <c r="F14" s="8">
        <f t="shared" si="1"/>
        <v>45000</v>
      </c>
    </row>
    <row r="15" spans="1:6" x14ac:dyDescent="0.35">
      <c r="A15" s="58">
        <v>45237</v>
      </c>
      <c r="B15" s="7">
        <v>282</v>
      </c>
      <c r="C15" s="7" t="s">
        <v>47</v>
      </c>
      <c r="D15" s="8">
        <v>10000</v>
      </c>
      <c r="E15" s="8">
        <f t="shared" si="0"/>
        <v>100000</v>
      </c>
      <c r="F15" s="8">
        <f t="shared" si="1"/>
        <v>35000</v>
      </c>
    </row>
    <row r="16" spans="1:6" x14ac:dyDescent="0.35">
      <c r="A16" s="58">
        <v>45178</v>
      </c>
      <c r="B16" s="7">
        <v>3485</v>
      </c>
      <c r="C16" s="7" t="s">
        <v>47</v>
      </c>
      <c r="D16" s="8">
        <v>15000</v>
      </c>
      <c r="E16" s="8">
        <f t="shared" si="0"/>
        <v>115000</v>
      </c>
      <c r="F16" s="8">
        <f t="shared" si="1"/>
        <v>20000</v>
      </c>
    </row>
    <row r="17" spans="1:6" x14ac:dyDescent="0.35">
      <c r="A17" s="60">
        <v>45117</v>
      </c>
      <c r="B17" s="61">
        <v>4054</v>
      </c>
      <c r="C17" s="61" t="s">
        <v>47</v>
      </c>
      <c r="D17" s="62">
        <v>20000</v>
      </c>
      <c r="E17" s="62">
        <f t="shared" si="0"/>
        <v>135000</v>
      </c>
      <c r="F17" s="61" t="s">
        <v>372</v>
      </c>
    </row>
    <row r="18" spans="1:6" x14ac:dyDescent="0.35">
      <c r="A18" s="60">
        <v>45664</v>
      </c>
      <c r="B18" s="61">
        <v>3011</v>
      </c>
      <c r="C18" s="61" t="s">
        <v>594</v>
      </c>
      <c r="D18" s="62">
        <v>350000</v>
      </c>
      <c r="E18" s="62">
        <v>350000</v>
      </c>
      <c r="F18" s="61" t="s">
        <v>372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427</v>
      </c>
      <c r="B1" t="s">
        <v>444</v>
      </c>
    </row>
    <row r="2" spans="1:6" x14ac:dyDescent="0.35">
      <c r="A2" t="s">
        <v>428</v>
      </c>
      <c r="B2" t="s">
        <v>445</v>
      </c>
    </row>
    <row r="3" spans="1:6" x14ac:dyDescent="0.35">
      <c r="A3" t="s">
        <v>431</v>
      </c>
      <c r="B3" t="s">
        <v>446</v>
      </c>
    </row>
    <row r="4" spans="1:6" x14ac:dyDescent="0.35">
      <c r="A4" t="s">
        <v>442</v>
      </c>
      <c r="B4" t="s">
        <v>447</v>
      </c>
    </row>
    <row r="5" spans="1:6" x14ac:dyDescent="0.35">
      <c r="A5" t="s">
        <v>443</v>
      </c>
    </row>
    <row r="6" spans="1:6" x14ac:dyDescent="0.35">
      <c r="A6" t="s">
        <v>432</v>
      </c>
      <c r="B6">
        <v>5037</v>
      </c>
      <c r="E6" t="s">
        <v>457</v>
      </c>
      <c r="F6" s="11">
        <v>360000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t="s">
        <v>448</v>
      </c>
      <c r="B9">
        <v>178</v>
      </c>
      <c r="C9" t="s">
        <v>454</v>
      </c>
      <c r="D9" s="11">
        <v>30000</v>
      </c>
      <c r="E9" s="11">
        <v>30000</v>
      </c>
      <c r="F9" s="11">
        <v>125000</v>
      </c>
    </row>
    <row r="10" spans="1:6" x14ac:dyDescent="0.35">
      <c r="A10" t="s">
        <v>449</v>
      </c>
      <c r="B10">
        <v>1169</v>
      </c>
      <c r="C10" t="s">
        <v>455</v>
      </c>
      <c r="D10" s="11">
        <v>15000</v>
      </c>
      <c r="E10" s="11">
        <f>E9+D10</f>
        <v>45000</v>
      </c>
      <c r="F10" s="11">
        <f>F9-D10</f>
        <v>110000</v>
      </c>
    </row>
    <row r="11" spans="1:6" x14ac:dyDescent="0.35">
      <c r="A11" t="s">
        <v>450</v>
      </c>
      <c r="B11">
        <v>1269</v>
      </c>
      <c r="C11" t="s">
        <v>456</v>
      </c>
      <c r="D11" s="11">
        <v>30000</v>
      </c>
      <c r="E11" s="11">
        <f>E10+D11</f>
        <v>75000</v>
      </c>
      <c r="F11" s="11">
        <f>F10-D11</f>
        <v>80000</v>
      </c>
    </row>
    <row r="12" spans="1:6" x14ac:dyDescent="0.35">
      <c r="A12" t="s">
        <v>451</v>
      </c>
      <c r="B12">
        <v>1270</v>
      </c>
      <c r="C12" t="s">
        <v>454</v>
      </c>
      <c r="D12" s="11">
        <v>30000</v>
      </c>
      <c r="E12" s="11">
        <f>E11+D12</f>
        <v>105000</v>
      </c>
      <c r="F12" s="11">
        <f>F11-D12</f>
        <v>50000</v>
      </c>
    </row>
    <row r="13" spans="1:6" x14ac:dyDescent="0.35">
      <c r="A13" t="s">
        <v>452</v>
      </c>
      <c r="B13">
        <v>1562</v>
      </c>
      <c r="C13" t="s">
        <v>454</v>
      </c>
      <c r="D13" s="11">
        <v>25000</v>
      </c>
      <c r="E13" s="11">
        <f>E12+D13</f>
        <v>130000</v>
      </c>
      <c r="F13" s="11">
        <f>F12-D13</f>
        <v>25000</v>
      </c>
    </row>
    <row r="14" spans="1:6" x14ac:dyDescent="0.35">
      <c r="A14" t="s">
        <v>453</v>
      </c>
      <c r="B14">
        <v>903</v>
      </c>
      <c r="C14" t="s">
        <v>454</v>
      </c>
      <c r="D14" s="11">
        <v>25000</v>
      </c>
      <c r="E14" s="11">
        <f>E13+D14</f>
        <v>155000</v>
      </c>
      <c r="F14" s="11">
        <f>F13-D14</f>
        <v>0</v>
      </c>
    </row>
    <row r="17" spans="1:6" x14ac:dyDescent="0.35">
      <c r="A17" t="s">
        <v>458</v>
      </c>
      <c r="B17">
        <v>1600</v>
      </c>
      <c r="C17" t="s">
        <v>459</v>
      </c>
      <c r="D17" s="11">
        <v>170000</v>
      </c>
      <c r="E17" s="11">
        <v>280000</v>
      </c>
      <c r="F17" t="s">
        <v>460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427</v>
      </c>
      <c r="B1" t="s">
        <v>487</v>
      </c>
    </row>
    <row r="2" spans="1:6" x14ac:dyDescent="0.35">
      <c r="A2" t="s">
        <v>428</v>
      </c>
      <c r="B2" t="s">
        <v>488</v>
      </c>
    </row>
    <row r="3" spans="1:6" x14ac:dyDescent="0.35">
      <c r="A3" t="s">
        <v>431</v>
      </c>
      <c r="B3" t="s">
        <v>489</v>
      </c>
    </row>
    <row r="4" spans="1:6" x14ac:dyDescent="0.35">
      <c r="A4" t="s">
        <v>467</v>
      </c>
      <c r="B4" t="s">
        <v>490</v>
      </c>
    </row>
    <row r="5" spans="1:6" x14ac:dyDescent="0.35">
      <c r="A5" t="s">
        <v>468</v>
      </c>
      <c r="B5" t="s">
        <v>465</v>
      </c>
    </row>
    <row r="6" spans="1:6" x14ac:dyDescent="0.35">
      <c r="A6" t="s">
        <v>432</v>
      </c>
      <c r="B6">
        <v>5045</v>
      </c>
      <c r="E6" s="11">
        <v>600000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t="s">
        <v>469</v>
      </c>
      <c r="B9">
        <v>1891</v>
      </c>
      <c r="C9" t="s">
        <v>479</v>
      </c>
      <c r="D9" s="11">
        <v>120000</v>
      </c>
      <c r="E9" s="11">
        <v>120000</v>
      </c>
      <c r="F9" s="11">
        <v>480000</v>
      </c>
    </row>
    <row r="10" spans="1:6" x14ac:dyDescent="0.35">
      <c r="A10" t="s">
        <v>469</v>
      </c>
      <c r="B10">
        <v>2297</v>
      </c>
      <c r="C10" t="s">
        <v>455</v>
      </c>
      <c r="D10" s="11">
        <v>10000</v>
      </c>
      <c r="E10" s="11">
        <f t="shared" ref="E10:E25" si="0">E9+D10</f>
        <v>130000</v>
      </c>
      <c r="F10" s="11">
        <f t="shared" ref="F10:F25" si="1">F9-D10</f>
        <v>470000</v>
      </c>
    </row>
    <row r="11" spans="1:6" x14ac:dyDescent="0.35">
      <c r="A11" t="s">
        <v>470</v>
      </c>
      <c r="B11">
        <v>867</v>
      </c>
      <c r="C11" t="s">
        <v>455</v>
      </c>
      <c r="D11" s="11">
        <v>20000</v>
      </c>
      <c r="E11" s="11">
        <f t="shared" si="0"/>
        <v>150000</v>
      </c>
      <c r="F11" s="11">
        <f t="shared" si="1"/>
        <v>450000</v>
      </c>
    </row>
    <row r="12" spans="1:6" x14ac:dyDescent="0.35">
      <c r="A12" t="s">
        <v>471</v>
      </c>
      <c r="B12">
        <v>2884</v>
      </c>
      <c r="C12" t="s">
        <v>455</v>
      </c>
      <c r="D12" s="11">
        <v>19000</v>
      </c>
      <c r="E12" s="11">
        <f t="shared" si="0"/>
        <v>169000</v>
      </c>
      <c r="F12" s="11">
        <f t="shared" si="1"/>
        <v>431000</v>
      </c>
    </row>
    <row r="13" spans="1:6" x14ac:dyDescent="0.35">
      <c r="A13" t="s">
        <v>472</v>
      </c>
      <c r="B13">
        <v>3014</v>
      </c>
      <c r="C13" t="s">
        <v>455</v>
      </c>
      <c r="D13" s="11">
        <v>11000</v>
      </c>
      <c r="E13" s="11">
        <f t="shared" si="0"/>
        <v>180000</v>
      </c>
      <c r="F13" s="11">
        <f t="shared" si="1"/>
        <v>420000</v>
      </c>
    </row>
    <row r="14" spans="1:6" x14ac:dyDescent="0.35">
      <c r="A14" t="s">
        <v>473</v>
      </c>
      <c r="B14">
        <v>6389</v>
      </c>
      <c r="C14" t="s">
        <v>455</v>
      </c>
      <c r="D14" s="11">
        <v>10000</v>
      </c>
      <c r="E14" s="11">
        <f t="shared" si="0"/>
        <v>190000</v>
      </c>
      <c r="F14" s="11">
        <f t="shared" si="1"/>
        <v>410000</v>
      </c>
    </row>
    <row r="15" spans="1:6" x14ac:dyDescent="0.35">
      <c r="A15" t="s">
        <v>474</v>
      </c>
      <c r="B15">
        <v>6580</v>
      </c>
      <c r="C15" t="s">
        <v>455</v>
      </c>
      <c r="D15" s="11">
        <v>10000</v>
      </c>
      <c r="E15" s="11">
        <f t="shared" si="0"/>
        <v>200000</v>
      </c>
      <c r="F15" s="11">
        <f t="shared" si="1"/>
        <v>400000</v>
      </c>
    </row>
    <row r="16" spans="1:6" x14ac:dyDescent="0.35">
      <c r="A16" t="s">
        <v>475</v>
      </c>
      <c r="B16">
        <v>6759</v>
      </c>
      <c r="C16" t="s">
        <v>455</v>
      </c>
      <c r="D16" s="11">
        <v>15000</v>
      </c>
      <c r="E16" s="11">
        <f t="shared" si="0"/>
        <v>215000</v>
      </c>
      <c r="F16" s="11">
        <f t="shared" si="1"/>
        <v>385000</v>
      </c>
    </row>
    <row r="17" spans="1:6" x14ac:dyDescent="0.35">
      <c r="A17" t="s">
        <v>476</v>
      </c>
      <c r="B17">
        <v>6844</v>
      </c>
      <c r="C17" t="s">
        <v>455</v>
      </c>
      <c r="D17" s="11">
        <v>10000</v>
      </c>
      <c r="E17" s="11">
        <f t="shared" si="0"/>
        <v>225000</v>
      </c>
      <c r="F17" s="11">
        <f t="shared" si="1"/>
        <v>375000</v>
      </c>
    </row>
    <row r="18" spans="1:6" x14ac:dyDescent="0.35">
      <c r="A18" t="s">
        <v>477</v>
      </c>
      <c r="B18">
        <v>7382</v>
      </c>
      <c r="C18" t="s">
        <v>455</v>
      </c>
      <c r="D18" s="11">
        <v>10000</v>
      </c>
      <c r="E18" s="11">
        <f t="shared" si="0"/>
        <v>235000</v>
      </c>
      <c r="F18" s="11">
        <f t="shared" si="1"/>
        <v>365000</v>
      </c>
    </row>
    <row r="19" spans="1:6" x14ac:dyDescent="0.35">
      <c r="A19" t="s">
        <v>478</v>
      </c>
      <c r="B19">
        <v>7806</v>
      </c>
      <c r="C19" t="s">
        <v>455</v>
      </c>
      <c r="D19" s="11">
        <v>10000</v>
      </c>
      <c r="E19" s="11">
        <f t="shared" si="0"/>
        <v>245000</v>
      </c>
      <c r="F19" s="11">
        <f t="shared" si="1"/>
        <v>355000</v>
      </c>
    </row>
    <row r="20" spans="1:6" x14ac:dyDescent="0.35">
      <c r="A20" t="s">
        <v>480</v>
      </c>
      <c r="B20">
        <v>8178</v>
      </c>
      <c r="C20" t="s">
        <v>455</v>
      </c>
      <c r="D20" s="11">
        <v>15000</v>
      </c>
      <c r="E20" s="11">
        <f t="shared" si="0"/>
        <v>260000</v>
      </c>
      <c r="F20" s="11">
        <f t="shared" si="1"/>
        <v>340000</v>
      </c>
    </row>
    <row r="21" spans="1:6" x14ac:dyDescent="0.35">
      <c r="A21" t="s">
        <v>481</v>
      </c>
      <c r="B21">
        <v>9359</v>
      </c>
      <c r="C21" t="s">
        <v>455</v>
      </c>
      <c r="D21" s="11">
        <v>15000</v>
      </c>
      <c r="E21" s="11">
        <f t="shared" si="0"/>
        <v>275000</v>
      </c>
      <c r="F21" s="11">
        <f t="shared" si="1"/>
        <v>325000</v>
      </c>
    </row>
    <row r="22" spans="1:6" x14ac:dyDescent="0.35">
      <c r="A22" t="s">
        <v>482</v>
      </c>
      <c r="B22">
        <v>11151</v>
      </c>
      <c r="C22" t="s">
        <v>455</v>
      </c>
      <c r="D22" s="11">
        <v>20000</v>
      </c>
      <c r="E22" s="11">
        <f t="shared" si="0"/>
        <v>295000</v>
      </c>
      <c r="F22" s="11">
        <f t="shared" si="1"/>
        <v>305000</v>
      </c>
    </row>
    <row r="23" spans="1:6" x14ac:dyDescent="0.35">
      <c r="A23" t="s">
        <v>483</v>
      </c>
      <c r="B23">
        <v>10256</v>
      </c>
      <c r="C23" t="s">
        <v>455</v>
      </c>
      <c r="D23" s="11">
        <v>20000</v>
      </c>
      <c r="E23" s="11">
        <f t="shared" si="0"/>
        <v>315000</v>
      </c>
      <c r="F23" s="11">
        <f t="shared" si="1"/>
        <v>285000</v>
      </c>
    </row>
    <row r="24" spans="1:6" x14ac:dyDescent="0.35">
      <c r="A24" t="s">
        <v>484</v>
      </c>
      <c r="B24">
        <v>12601</v>
      </c>
      <c r="C24" t="s">
        <v>455</v>
      </c>
      <c r="D24" s="11">
        <v>15000</v>
      </c>
      <c r="E24" s="11">
        <f t="shared" si="0"/>
        <v>330000</v>
      </c>
      <c r="F24" s="11">
        <f t="shared" si="1"/>
        <v>270000</v>
      </c>
    </row>
    <row r="25" spans="1:6" x14ac:dyDescent="0.35">
      <c r="A25" t="s">
        <v>485</v>
      </c>
      <c r="B25">
        <v>12154</v>
      </c>
      <c r="C25" t="s">
        <v>455</v>
      </c>
      <c r="D25" s="11">
        <v>200000</v>
      </c>
      <c r="E25" s="11">
        <f t="shared" si="0"/>
        <v>530000</v>
      </c>
      <c r="F25" s="11">
        <f t="shared" si="1"/>
        <v>70000</v>
      </c>
    </row>
    <row r="27" spans="1:6" x14ac:dyDescent="0.35">
      <c r="C27" t="s">
        <v>486</v>
      </c>
    </row>
    <row r="29" spans="1:6" x14ac:dyDescent="0.35">
      <c r="A29" t="s">
        <v>466</v>
      </c>
      <c r="B29">
        <v>1269</v>
      </c>
      <c r="C29" t="s">
        <v>459</v>
      </c>
      <c r="D29" s="11">
        <v>200000</v>
      </c>
      <c r="E29" s="11">
        <v>260000</v>
      </c>
      <c r="F29" t="s">
        <v>460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427</v>
      </c>
      <c r="B1" t="s">
        <v>538</v>
      </c>
    </row>
    <row r="2" spans="1:6" x14ac:dyDescent="0.35">
      <c r="A2" t="s">
        <v>428</v>
      </c>
      <c r="B2" t="s">
        <v>539</v>
      </c>
    </row>
    <row r="3" spans="1:6" x14ac:dyDescent="0.35">
      <c r="A3" t="s">
        <v>431</v>
      </c>
      <c r="B3" t="s">
        <v>540</v>
      </c>
    </row>
    <row r="4" spans="1:6" x14ac:dyDescent="0.35">
      <c r="A4" t="s">
        <v>467</v>
      </c>
      <c r="B4" t="s">
        <v>541</v>
      </c>
    </row>
    <row r="5" spans="1:6" x14ac:dyDescent="0.35">
      <c r="A5" t="s">
        <v>468</v>
      </c>
      <c r="B5" t="s">
        <v>533</v>
      </c>
    </row>
    <row r="6" spans="1:6" x14ac:dyDescent="0.35">
      <c r="A6" t="s">
        <v>432</v>
      </c>
      <c r="B6">
        <v>5059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t="s">
        <v>534</v>
      </c>
      <c r="C9" t="s">
        <v>535</v>
      </c>
      <c r="D9" s="11">
        <v>100000</v>
      </c>
      <c r="E9" s="11">
        <v>100000</v>
      </c>
      <c r="F9" s="11">
        <v>270000</v>
      </c>
    </row>
    <row r="11" spans="1:6" x14ac:dyDescent="0.35">
      <c r="C11" t="s">
        <v>536</v>
      </c>
    </row>
    <row r="13" spans="1:6" x14ac:dyDescent="0.35">
      <c r="A13" t="s">
        <v>537</v>
      </c>
      <c r="B13">
        <v>550</v>
      </c>
      <c r="C13" t="s">
        <v>459</v>
      </c>
      <c r="D13" s="11">
        <v>200000</v>
      </c>
      <c r="E13" s="11">
        <v>200000</v>
      </c>
      <c r="F13" t="s">
        <v>460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7" sqref="B7"/>
    </sheetView>
  </sheetViews>
  <sheetFormatPr defaultRowHeight="14.5" x14ac:dyDescent="0.35"/>
  <sheetData>
    <row r="1" spans="1:6" x14ac:dyDescent="0.35">
      <c r="A1" t="s">
        <v>427</v>
      </c>
      <c r="B1" t="s">
        <v>561</v>
      </c>
    </row>
    <row r="2" spans="1:6" x14ac:dyDescent="0.35">
      <c r="A2" t="s">
        <v>428</v>
      </c>
      <c r="B2" t="s">
        <v>562</v>
      </c>
    </row>
    <row r="3" spans="1:6" x14ac:dyDescent="0.35">
      <c r="A3" t="s">
        <v>431</v>
      </c>
      <c r="B3" t="s">
        <v>540</v>
      </c>
    </row>
    <row r="4" spans="1:6" x14ac:dyDescent="0.35">
      <c r="A4" t="s">
        <v>442</v>
      </c>
      <c r="B4" t="s">
        <v>563</v>
      </c>
    </row>
    <row r="5" spans="1:6" x14ac:dyDescent="0.35">
      <c r="A5" t="s">
        <v>443</v>
      </c>
      <c r="B5" t="s">
        <v>542</v>
      </c>
    </row>
    <row r="6" spans="1:6" x14ac:dyDescent="0.35">
      <c r="A6" t="s">
        <v>432</v>
      </c>
      <c r="B6">
        <v>5058</v>
      </c>
    </row>
    <row r="8" spans="1:6" x14ac:dyDescent="0.35">
      <c r="A8" s="48" t="s">
        <v>6</v>
      </c>
      <c r="B8" s="49" t="s">
        <v>7</v>
      </c>
      <c r="C8" s="50" t="s">
        <v>8</v>
      </c>
      <c r="D8" s="5" t="s">
        <v>9</v>
      </c>
      <c r="E8" s="5" t="s">
        <v>10</v>
      </c>
      <c r="F8" s="51" t="s">
        <v>11</v>
      </c>
    </row>
    <row r="9" spans="1:6" x14ac:dyDescent="0.35">
      <c r="A9" t="s">
        <v>543</v>
      </c>
      <c r="C9" t="s">
        <v>552</v>
      </c>
      <c r="D9" s="11">
        <v>130000</v>
      </c>
      <c r="E9" s="11">
        <v>130000</v>
      </c>
      <c r="F9" s="11">
        <v>190000</v>
      </c>
    </row>
    <row r="10" spans="1:6" x14ac:dyDescent="0.35">
      <c r="A10" t="s">
        <v>544</v>
      </c>
      <c r="B10">
        <v>230</v>
      </c>
      <c r="C10" t="s">
        <v>455</v>
      </c>
      <c r="D10" s="11">
        <v>10000</v>
      </c>
      <c r="E10" s="11">
        <f t="shared" ref="E10:E26" si="0">E9+D10</f>
        <v>140000</v>
      </c>
      <c r="F10" s="11">
        <f t="shared" ref="F10:F24" si="1">F9-D10</f>
        <v>180000</v>
      </c>
    </row>
    <row r="11" spans="1:6" x14ac:dyDescent="0.35">
      <c r="A11" t="s">
        <v>545</v>
      </c>
      <c r="B11">
        <v>43</v>
      </c>
      <c r="C11" t="s">
        <v>510</v>
      </c>
      <c r="D11" s="11">
        <v>50000</v>
      </c>
      <c r="E11" s="11">
        <f t="shared" si="0"/>
        <v>190000</v>
      </c>
      <c r="F11" s="11">
        <f t="shared" si="1"/>
        <v>130000</v>
      </c>
    </row>
    <row r="12" spans="1:6" x14ac:dyDescent="0.35">
      <c r="A12" t="s">
        <v>546</v>
      </c>
      <c r="B12">
        <v>44</v>
      </c>
      <c r="C12" t="s">
        <v>455</v>
      </c>
      <c r="D12" s="11">
        <v>10000</v>
      </c>
      <c r="E12" s="11">
        <f t="shared" si="0"/>
        <v>200000</v>
      </c>
      <c r="F12" s="11">
        <f t="shared" si="1"/>
        <v>120000</v>
      </c>
    </row>
    <row r="13" spans="1:6" x14ac:dyDescent="0.35">
      <c r="A13" t="s">
        <v>450</v>
      </c>
      <c r="B13">
        <v>43</v>
      </c>
      <c r="C13" t="s">
        <v>455</v>
      </c>
      <c r="D13" s="11">
        <v>10000</v>
      </c>
      <c r="E13" s="11">
        <f t="shared" si="0"/>
        <v>210000</v>
      </c>
      <c r="F13" s="11">
        <f t="shared" si="1"/>
        <v>110000</v>
      </c>
    </row>
    <row r="14" spans="1:6" x14ac:dyDescent="0.35">
      <c r="A14" t="s">
        <v>547</v>
      </c>
      <c r="B14">
        <v>1040</v>
      </c>
      <c r="C14" t="s">
        <v>455</v>
      </c>
      <c r="D14" s="11">
        <v>10000</v>
      </c>
      <c r="E14" s="11">
        <f t="shared" si="0"/>
        <v>220000</v>
      </c>
      <c r="F14" s="11">
        <f t="shared" si="1"/>
        <v>100000</v>
      </c>
    </row>
    <row r="15" spans="1:6" x14ac:dyDescent="0.35">
      <c r="A15" t="s">
        <v>452</v>
      </c>
      <c r="B15">
        <v>1579</v>
      </c>
      <c r="C15" t="s">
        <v>455</v>
      </c>
      <c r="D15" s="11">
        <v>10000</v>
      </c>
      <c r="E15" s="11">
        <f t="shared" si="0"/>
        <v>230000</v>
      </c>
      <c r="F15" s="11">
        <f t="shared" si="1"/>
        <v>90000</v>
      </c>
    </row>
    <row r="16" spans="1:6" x14ac:dyDescent="0.35">
      <c r="A16" t="s">
        <v>548</v>
      </c>
      <c r="B16">
        <v>279</v>
      </c>
      <c r="C16" t="s">
        <v>455</v>
      </c>
      <c r="D16" s="11">
        <v>10000</v>
      </c>
      <c r="E16" s="11">
        <f t="shared" si="0"/>
        <v>240000</v>
      </c>
      <c r="F16" s="11">
        <f t="shared" si="1"/>
        <v>80000</v>
      </c>
    </row>
    <row r="17" spans="1:6" x14ac:dyDescent="0.35">
      <c r="A17" t="s">
        <v>549</v>
      </c>
      <c r="B17">
        <v>2196</v>
      </c>
      <c r="C17" t="s">
        <v>455</v>
      </c>
      <c r="D17" s="11">
        <v>10000</v>
      </c>
      <c r="E17" s="11">
        <f t="shared" si="0"/>
        <v>250000</v>
      </c>
      <c r="F17" s="11">
        <f t="shared" si="1"/>
        <v>70000</v>
      </c>
    </row>
    <row r="18" spans="1:6" x14ac:dyDescent="0.35">
      <c r="A18" t="s">
        <v>550</v>
      </c>
      <c r="B18">
        <v>3078</v>
      </c>
      <c r="C18" t="s">
        <v>455</v>
      </c>
      <c r="D18" s="11">
        <v>10000</v>
      </c>
      <c r="E18" s="11">
        <f t="shared" si="0"/>
        <v>260000</v>
      </c>
      <c r="F18" s="11">
        <f t="shared" si="1"/>
        <v>60000</v>
      </c>
    </row>
    <row r="19" spans="1:6" x14ac:dyDescent="0.35">
      <c r="A19" t="s">
        <v>551</v>
      </c>
      <c r="B19">
        <v>3881</v>
      </c>
      <c r="C19" t="s">
        <v>455</v>
      </c>
      <c r="D19" s="11">
        <v>10000</v>
      </c>
      <c r="E19" s="11">
        <f t="shared" si="0"/>
        <v>270000</v>
      </c>
      <c r="F19" s="11">
        <f t="shared" si="1"/>
        <v>50000</v>
      </c>
    </row>
    <row r="20" spans="1:6" x14ac:dyDescent="0.35">
      <c r="A20" t="s">
        <v>553</v>
      </c>
      <c r="B20">
        <v>4282</v>
      </c>
      <c r="C20" t="s">
        <v>455</v>
      </c>
      <c r="D20" s="11">
        <v>10000</v>
      </c>
      <c r="E20" s="11">
        <f t="shared" si="0"/>
        <v>280000</v>
      </c>
      <c r="F20" s="11">
        <f t="shared" si="1"/>
        <v>40000</v>
      </c>
    </row>
    <row r="21" spans="1:6" x14ac:dyDescent="0.35">
      <c r="A21" t="s">
        <v>554</v>
      </c>
      <c r="B21">
        <v>4821</v>
      </c>
      <c r="C21" t="s">
        <v>455</v>
      </c>
      <c r="D21" s="11">
        <v>10000</v>
      </c>
      <c r="E21" s="11">
        <f t="shared" si="0"/>
        <v>290000</v>
      </c>
      <c r="F21" s="11">
        <f t="shared" si="1"/>
        <v>30000</v>
      </c>
    </row>
    <row r="22" spans="1:6" x14ac:dyDescent="0.35">
      <c r="A22" t="s">
        <v>555</v>
      </c>
      <c r="B22">
        <v>5417</v>
      </c>
      <c r="C22" t="s">
        <v>455</v>
      </c>
      <c r="D22" s="11">
        <v>10000</v>
      </c>
      <c r="E22" s="11">
        <f t="shared" si="0"/>
        <v>300000</v>
      </c>
      <c r="F22" s="11">
        <f t="shared" si="1"/>
        <v>20000</v>
      </c>
    </row>
    <row r="23" spans="1:6" x14ac:dyDescent="0.35">
      <c r="A23" t="s">
        <v>556</v>
      </c>
      <c r="B23">
        <v>6163</v>
      </c>
      <c r="C23" t="s">
        <v>455</v>
      </c>
      <c r="D23" s="11">
        <v>10000</v>
      </c>
      <c r="E23" s="11">
        <f t="shared" si="0"/>
        <v>310000</v>
      </c>
      <c r="F23" s="11">
        <f t="shared" si="1"/>
        <v>10000</v>
      </c>
    </row>
    <row r="24" spans="1:6" x14ac:dyDescent="0.35">
      <c r="A24" t="s">
        <v>557</v>
      </c>
      <c r="B24">
        <v>6658</v>
      </c>
      <c r="C24" t="s">
        <v>455</v>
      </c>
      <c r="D24" s="11">
        <v>10000</v>
      </c>
      <c r="E24" s="11">
        <f t="shared" si="0"/>
        <v>320000</v>
      </c>
      <c r="F24" s="11">
        <f t="shared" si="1"/>
        <v>0</v>
      </c>
    </row>
    <row r="25" spans="1:6" x14ac:dyDescent="0.35">
      <c r="A25" t="s">
        <v>558</v>
      </c>
      <c r="B25">
        <v>7418</v>
      </c>
      <c r="C25" t="s">
        <v>455</v>
      </c>
      <c r="D25" s="11">
        <v>10000</v>
      </c>
      <c r="E25" s="11">
        <f t="shared" si="0"/>
        <v>330000</v>
      </c>
      <c r="F25">
        <v>0</v>
      </c>
    </row>
    <row r="26" spans="1:6" x14ac:dyDescent="0.35">
      <c r="A26" t="s">
        <v>559</v>
      </c>
      <c r="B26">
        <v>7949</v>
      </c>
      <c r="C26" t="s">
        <v>455</v>
      </c>
      <c r="D26" s="11">
        <v>10000</v>
      </c>
      <c r="E26" s="11">
        <f t="shared" si="0"/>
        <v>340000</v>
      </c>
      <c r="F26">
        <v>0</v>
      </c>
    </row>
    <row r="29" spans="1:6" x14ac:dyDescent="0.35">
      <c r="A29" t="s">
        <v>560</v>
      </c>
      <c r="B29">
        <v>8635</v>
      </c>
      <c r="C29" t="s">
        <v>459</v>
      </c>
      <c r="D29" s="11">
        <v>200000</v>
      </c>
      <c r="E29" s="11">
        <v>200000</v>
      </c>
      <c r="F29" t="s">
        <v>460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7"/>
    </sheetView>
  </sheetViews>
  <sheetFormatPr defaultRowHeight="14.5" x14ac:dyDescent="0.35"/>
  <cols>
    <col min="3" max="3" width="10.26953125" customWidth="1"/>
    <col min="4" max="4" width="10.90625" customWidth="1"/>
    <col min="6" max="6" width="11.1796875" customWidth="1"/>
  </cols>
  <sheetData>
    <row r="1" spans="1:6" ht="18.5" x14ac:dyDescent="0.45">
      <c r="A1" s="1" t="s">
        <v>656</v>
      </c>
      <c r="B1" s="1"/>
      <c r="C1" s="1"/>
      <c r="D1" s="1"/>
      <c r="E1" s="1"/>
      <c r="F1" s="1"/>
    </row>
    <row r="2" spans="1:6" ht="18.5" x14ac:dyDescent="0.45">
      <c r="A2" s="1" t="s">
        <v>657</v>
      </c>
      <c r="B2" s="15"/>
      <c r="C2" s="1"/>
      <c r="D2" s="1"/>
      <c r="E2" s="1"/>
      <c r="F2" s="1"/>
    </row>
    <row r="3" spans="1:6" ht="18.5" x14ac:dyDescent="0.45">
      <c r="A3" s="1" t="s">
        <v>658</v>
      </c>
      <c r="B3" s="1"/>
      <c r="C3" s="1"/>
      <c r="D3" s="1"/>
      <c r="E3" s="1"/>
      <c r="F3" s="1"/>
    </row>
    <row r="4" spans="1:6" ht="18.5" x14ac:dyDescent="0.45">
      <c r="A4" s="1" t="s">
        <v>654</v>
      </c>
      <c r="B4" s="1"/>
      <c r="C4" s="1"/>
      <c r="D4" s="1"/>
      <c r="E4" s="1"/>
      <c r="F4" s="1"/>
    </row>
    <row r="5" spans="1:6" ht="18.5" x14ac:dyDescent="0.45">
      <c r="A5" s="1" t="s">
        <v>655</v>
      </c>
      <c r="B5" s="1"/>
      <c r="C5" s="1"/>
      <c r="D5" s="1"/>
      <c r="E5" s="1"/>
      <c r="F5" s="1"/>
    </row>
    <row r="6" spans="1:6" ht="18.5" x14ac:dyDescent="0.45">
      <c r="A6" s="1" t="s">
        <v>653</v>
      </c>
      <c r="B6" s="1"/>
      <c r="C6" s="1"/>
      <c r="D6" s="1" t="s">
        <v>652</v>
      </c>
      <c r="E6" s="1"/>
      <c r="F6" s="1"/>
    </row>
    <row r="7" spans="1:6" x14ac:dyDescent="0.35">
      <c r="A7" s="87" t="s">
        <v>6</v>
      </c>
      <c r="B7" s="88" t="s">
        <v>7</v>
      </c>
      <c r="C7" s="88" t="s">
        <v>8</v>
      </c>
      <c r="D7" s="89" t="s">
        <v>9</v>
      </c>
      <c r="E7" s="89" t="s">
        <v>10</v>
      </c>
      <c r="F7" s="89" t="s">
        <v>11</v>
      </c>
    </row>
    <row r="8" spans="1:6" x14ac:dyDescent="0.35">
      <c r="A8" s="90">
        <v>46151</v>
      </c>
      <c r="B8" s="91">
        <v>1906</v>
      </c>
      <c r="C8" s="91" t="s">
        <v>46</v>
      </c>
      <c r="D8" s="92">
        <v>200000</v>
      </c>
      <c r="E8" s="92">
        <v>200000</v>
      </c>
      <c r="F8" s="92">
        <v>175000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7"/>
    </sheetView>
  </sheetViews>
  <sheetFormatPr defaultRowHeight="14.5" x14ac:dyDescent="0.35"/>
  <cols>
    <col min="3" max="4" width="10.81640625" customWidth="1"/>
    <col min="6" max="6" width="10.6328125" customWidth="1"/>
  </cols>
  <sheetData>
    <row r="1" spans="1:6" ht="18.5" x14ac:dyDescent="0.45">
      <c r="A1" s="1" t="s">
        <v>663</v>
      </c>
      <c r="B1" s="1"/>
      <c r="C1" s="1"/>
      <c r="D1" s="1"/>
      <c r="E1" s="1"/>
      <c r="F1" s="1"/>
    </row>
    <row r="2" spans="1:6" ht="18.5" x14ac:dyDescent="0.45">
      <c r="A2" s="1" t="s">
        <v>664</v>
      </c>
      <c r="B2" s="15"/>
      <c r="C2" s="1"/>
      <c r="D2" s="1"/>
      <c r="E2" s="1"/>
      <c r="F2" s="1"/>
    </row>
    <row r="3" spans="1:6" ht="18.5" x14ac:dyDescent="0.45">
      <c r="A3" s="1" t="s">
        <v>662</v>
      </c>
      <c r="B3" s="1"/>
      <c r="C3" s="1"/>
      <c r="D3" s="1"/>
      <c r="E3" s="1"/>
      <c r="F3" s="1"/>
    </row>
    <row r="4" spans="1:6" ht="18.5" x14ac:dyDescent="0.45">
      <c r="A4" s="1" t="s">
        <v>659</v>
      </c>
      <c r="B4" s="1"/>
      <c r="C4" s="1"/>
      <c r="D4" s="1"/>
      <c r="E4" s="1"/>
      <c r="F4" s="1"/>
    </row>
    <row r="5" spans="1:6" ht="18.5" x14ac:dyDescent="0.45">
      <c r="A5" s="1" t="s">
        <v>661</v>
      </c>
      <c r="B5" s="1"/>
      <c r="C5" s="1"/>
      <c r="D5" s="1"/>
      <c r="E5" s="1"/>
      <c r="F5" s="1"/>
    </row>
    <row r="6" spans="1:6" ht="18.5" x14ac:dyDescent="0.45">
      <c r="A6" s="1" t="s">
        <v>660</v>
      </c>
      <c r="B6" s="1"/>
      <c r="C6" s="1"/>
      <c r="D6" s="1" t="s">
        <v>652</v>
      </c>
      <c r="E6" s="1"/>
      <c r="F6" s="1"/>
    </row>
    <row r="7" spans="1:6" x14ac:dyDescent="0.35">
      <c r="A7" s="87" t="s">
        <v>6</v>
      </c>
      <c r="B7" s="88" t="s">
        <v>7</v>
      </c>
      <c r="C7" s="88" t="s">
        <v>8</v>
      </c>
      <c r="D7" s="89" t="s">
        <v>9</v>
      </c>
      <c r="E7" s="89" t="s">
        <v>10</v>
      </c>
      <c r="F7" s="89" t="s">
        <v>11</v>
      </c>
    </row>
    <row r="8" spans="1:6" x14ac:dyDescent="0.35">
      <c r="A8" s="90">
        <v>46151</v>
      </c>
      <c r="B8" s="91">
        <v>1905</v>
      </c>
      <c r="C8" s="91" t="s">
        <v>46</v>
      </c>
      <c r="D8" s="92">
        <v>200000</v>
      </c>
      <c r="E8" s="92">
        <v>200000</v>
      </c>
      <c r="F8" s="92">
        <v>175000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7"/>
    </sheetView>
  </sheetViews>
  <sheetFormatPr defaultRowHeight="14.5" x14ac:dyDescent="0.35"/>
  <cols>
    <col min="3" max="3" width="10.26953125" customWidth="1"/>
    <col min="4" max="4" width="10.7265625" customWidth="1"/>
    <col min="6" max="6" width="11.36328125" customWidth="1"/>
  </cols>
  <sheetData>
    <row r="1" spans="1:6" ht="18.5" x14ac:dyDescent="0.45">
      <c r="A1" s="1" t="s">
        <v>670</v>
      </c>
      <c r="B1" s="1"/>
      <c r="C1" s="1"/>
      <c r="D1" s="1"/>
      <c r="E1" s="1"/>
      <c r="F1" s="1"/>
    </row>
    <row r="2" spans="1:6" ht="18.5" x14ac:dyDescent="0.45">
      <c r="A2" s="1" t="s">
        <v>669</v>
      </c>
      <c r="B2" s="15"/>
      <c r="C2" s="1"/>
      <c r="D2" s="1"/>
      <c r="E2" s="1"/>
      <c r="F2" s="1"/>
    </row>
    <row r="3" spans="1:6" ht="18.5" x14ac:dyDescent="0.45">
      <c r="A3" s="1" t="s">
        <v>668</v>
      </c>
      <c r="B3" s="1"/>
      <c r="C3" s="1"/>
      <c r="D3" s="1"/>
      <c r="E3" s="1"/>
      <c r="F3" s="1"/>
    </row>
    <row r="4" spans="1:6" ht="18.5" x14ac:dyDescent="0.45">
      <c r="A4" s="1" t="s">
        <v>665</v>
      </c>
      <c r="B4" s="1"/>
      <c r="C4" s="1"/>
      <c r="D4" s="1"/>
      <c r="E4" s="1"/>
      <c r="F4" s="1"/>
    </row>
    <row r="5" spans="1:6" ht="18.5" x14ac:dyDescent="0.45">
      <c r="A5" s="1" t="s">
        <v>667</v>
      </c>
      <c r="B5" s="1"/>
      <c r="C5" s="1"/>
      <c r="D5" s="1"/>
      <c r="E5" s="1"/>
      <c r="F5" s="1"/>
    </row>
    <row r="6" spans="1:6" ht="18.5" x14ac:dyDescent="0.45">
      <c r="A6" s="1" t="s">
        <v>666</v>
      </c>
      <c r="B6" s="1"/>
      <c r="C6" s="1"/>
      <c r="D6" s="1" t="s">
        <v>289</v>
      </c>
      <c r="E6" s="1"/>
      <c r="F6" s="1"/>
    </row>
    <row r="7" spans="1:6" x14ac:dyDescent="0.35">
      <c r="A7" s="87" t="s">
        <v>6</v>
      </c>
      <c r="B7" s="88" t="s">
        <v>7</v>
      </c>
      <c r="C7" s="88" t="s">
        <v>8</v>
      </c>
      <c r="D7" s="89" t="s">
        <v>9</v>
      </c>
      <c r="E7" s="89" t="s">
        <v>10</v>
      </c>
      <c r="F7" s="89" t="s">
        <v>11</v>
      </c>
    </row>
    <row r="8" spans="1:6" x14ac:dyDescent="0.35">
      <c r="A8" s="90">
        <v>46151</v>
      </c>
      <c r="B8" s="91">
        <v>1904</v>
      </c>
      <c r="C8" s="91" t="s">
        <v>46</v>
      </c>
      <c r="D8" s="92">
        <v>100000</v>
      </c>
      <c r="E8" s="92">
        <v>100000</v>
      </c>
      <c r="F8" s="92">
        <v>650000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J12" sqref="J12"/>
    </sheetView>
  </sheetViews>
  <sheetFormatPr defaultRowHeight="14.5" x14ac:dyDescent="0.35"/>
  <cols>
    <col min="3" max="3" width="10" customWidth="1"/>
    <col min="4" max="4" width="11.36328125" customWidth="1"/>
    <col min="6" max="6" width="11.26953125" customWidth="1"/>
  </cols>
  <sheetData>
    <row r="1" spans="1:9" ht="18.5" x14ac:dyDescent="0.45">
      <c r="A1" s="1" t="s">
        <v>677</v>
      </c>
      <c r="B1" s="1"/>
      <c r="C1" s="1"/>
      <c r="D1" s="1"/>
      <c r="E1" s="1"/>
      <c r="F1" s="1"/>
    </row>
    <row r="2" spans="1:9" ht="18.5" x14ac:dyDescent="0.45">
      <c r="A2" s="1" t="s">
        <v>676</v>
      </c>
      <c r="B2" s="15"/>
      <c r="C2" s="1"/>
      <c r="D2" s="1"/>
      <c r="E2" s="1"/>
      <c r="F2" s="1"/>
    </row>
    <row r="3" spans="1:9" ht="18.5" x14ac:dyDescent="0.45">
      <c r="A3" s="1" t="s">
        <v>675</v>
      </c>
      <c r="B3" s="1"/>
      <c r="C3" s="1"/>
      <c r="D3" s="1"/>
      <c r="E3" s="1"/>
      <c r="F3" s="1"/>
    </row>
    <row r="4" spans="1:9" ht="18.5" x14ac:dyDescent="0.45">
      <c r="A4" s="1" t="s">
        <v>673</v>
      </c>
      <c r="B4" s="1"/>
      <c r="C4" s="1"/>
      <c r="D4" s="1"/>
      <c r="E4" s="1"/>
      <c r="F4" s="1"/>
    </row>
    <row r="5" spans="1:9" ht="18.5" x14ac:dyDescent="0.45">
      <c r="A5" s="1" t="s">
        <v>674</v>
      </c>
      <c r="B5" s="1"/>
      <c r="C5" s="1"/>
      <c r="D5" s="1"/>
      <c r="E5" s="1"/>
      <c r="F5" s="1"/>
    </row>
    <row r="6" spans="1:9" ht="18.5" x14ac:dyDescent="0.45">
      <c r="A6" s="1" t="s">
        <v>671</v>
      </c>
      <c r="B6" s="1"/>
      <c r="C6" s="1"/>
      <c r="D6" s="1" t="s">
        <v>672</v>
      </c>
      <c r="E6" s="1"/>
      <c r="F6" s="1"/>
    </row>
    <row r="7" spans="1:9" x14ac:dyDescent="0.35">
      <c r="A7" s="93" t="s">
        <v>6</v>
      </c>
      <c r="B7" s="94" t="s">
        <v>7</v>
      </c>
      <c r="C7" s="94" t="s">
        <v>8</v>
      </c>
      <c r="D7" s="95" t="s">
        <v>9</v>
      </c>
      <c r="E7" s="95" t="s">
        <v>10</v>
      </c>
      <c r="F7" s="95" t="s">
        <v>11</v>
      </c>
    </row>
    <row r="8" spans="1:9" x14ac:dyDescent="0.35">
      <c r="A8" s="58">
        <v>46151</v>
      </c>
      <c r="B8" s="7">
        <v>1903</v>
      </c>
      <c r="C8" s="7" t="s">
        <v>46</v>
      </c>
      <c r="D8" s="8">
        <v>300000</v>
      </c>
      <c r="E8" s="8">
        <v>300000</v>
      </c>
      <c r="F8" s="8">
        <v>200000</v>
      </c>
    </row>
    <row r="14" spans="1:9" x14ac:dyDescent="0.35">
      <c r="I1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L-5006</vt:lpstr>
      <vt:lpstr>L-5001</vt:lpstr>
      <vt:lpstr>a</vt:lpstr>
      <vt:lpstr>L-5003</vt:lpstr>
      <vt:lpstr>L-5007</vt:lpstr>
      <vt:lpstr>L-5008</vt:lpstr>
      <vt:lpstr>L-5009</vt:lpstr>
      <vt:lpstr>L-5011</vt:lpstr>
      <vt:lpstr>L-5032</vt:lpstr>
      <vt:lpstr>L-5033</vt:lpstr>
      <vt:lpstr>L-5014</vt:lpstr>
      <vt:lpstr>L-5016</vt:lpstr>
      <vt:lpstr>L-5023</vt:lpstr>
      <vt:lpstr>L-5024</vt:lpstr>
      <vt:lpstr>L-5025</vt:lpstr>
      <vt:lpstr>L-5026</vt:lpstr>
      <vt:lpstr>L-5027</vt:lpstr>
      <vt:lpstr>L-5090</vt:lpstr>
      <vt:lpstr>L-5021</vt:lpstr>
      <vt:lpstr>L-5020</vt:lpstr>
      <vt:lpstr>L-5013</vt:lpstr>
      <vt:lpstr>L-5030</vt:lpstr>
      <vt:lpstr>L-5029</vt:lpstr>
      <vt:lpstr>L-5002</vt:lpstr>
      <vt:lpstr>L-5031</vt:lpstr>
      <vt:lpstr>L-5035</vt:lpstr>
      <vt:lpstr>L-5036</vt:lpstr>
      <vt:lpstr>L-5043</vt:lpstr>
      <vt:lpstr>L-5047</vt:lpstr>
      <vt:lpstr>L-5049</vt:lpstr>
      <vt:lpstr>L-5051</vt:lpstr>
      <vt:lpstr>L-5052</vt:lpstr>
      <vt:lpstr>L-5054</vt:lpstr>
      <vt:lpstr>L-5053</vt:lpstr>
      <vt:lpstr>L-5056</vt:lpstr>
      <vt:lpstr>L-5062</vt:lpstr>
      <vt:lpstr>L-5064</vt:lpstr>
      <vt:lpstr>L-5088</vt:lpstr>
      <vt:lpstr>L-5097</vt:lpstr>
      <vt:lpstr>L-5098</vt:lpstr>
      <vt:lpstr>L-5100</vt:lpstr>
      <vt:lpstr>L-5005</vt:lpstr>
      <vt:lpstr>L-5037</vt:lpstr>
      <vt:lpstr>L-5045</vt:lpstr>
      <vt:lpstr>L-5059</vt:lpstr>
      <vt:lpstr>L-5058</vt:lpstr>
      <vt:lpstr>L-5018-B</vt:lpstr>
      <vt:lpstr>L-5018-A</vt:lpstr>
      <vt:lpstr>L-5022</vt:lpstr>
      <vt:lpstr>L-5017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2026-02-22T00:15:51Z</dcterms:created>
  <dcterms:modified xsi:type="dcterms:W3CDTF">2026-10-12T14:57:51Z</dcterms:modified>
</cp:coreProperties>
</file>