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DC5020A5-4C90-4EF7-AF81-679A816F1D0B}" xr6:coauthVersionLast="47" xr6:coauthVersionMax="47" xr10:uidLastSave="{00000000-0000-0000-0000-000000000000}"/>
  <bookViews>
    <workbookView xWindow="-110" yWindow="-110" windowWidth="19420" windowHeight="10420" firstSheet="8" activeTab="8" xr2:uid="{8E3D6D5C-57BC-4CE4-A930-C2E28563A097}"/>
  </bookViews>
  <sheets>
    <sheet name="L-6310" sheetId="11" r:id="rId1"/>
    <sheet name="L-6328" sheetId="26" r:id="rId2"/>
    <sheet name="L-6315" sheetId="15" r:id="rId3"/>
    <sheet name="L-6312" sheetId="7" r:id="rId4"/>
    <sheet name="L-6316" sheetId="2" r:id="rId5"/>
    <sheet name="L-6318" sheetId="23" r:id="rId6"/>
    <sheet name="L-6319" sheetId="22" r:id="rId7"/>
    <sheet name="L-6321" sheetId="14" r:id="rId8"/>
    <sheet name="L-6324" sheetId="9" r:id="rId9"/>
    <sheet name="L-6323" sheetId="18" r:id="rId10"/>
    <sheet name="L-6322" sheetId="19" r:id="rId11"/>
    <sheet name="L-6333" sheetId="6" r:id="rId12"/>
    <sheet name="L-6336" sheetId="10" r:id="rId13"/>
    <sheet name="L-6338" sheetId="5" r:id="rId14"/>
    <sheet name="L-6343" sheetId="1" r:id="rId15"/>
    <sheet name="L-6359" sheetId="8" r:id="rId16"/>
    <sheet name="L-6368" sheetId="13" r:id="rId17"/>
    <sheet name="L-6369" sheetId="12" r:id="rId18"/>
    <sheet name="L-6377" sheetId="3" r:id="rId19"/>
    <sheet name="L-6387" sheetId="4" r:id="rId20"/>
    <sheet name="L-6384" sheetId="16" r:id="rId21"/>
    <sheet name="L-6317" sheetId="17" r:id="rId22"/>
    <sheet name="L-6327" sheetId="20" r:id="rId23"/>
    <sheet name="L-6398" sheetId="21" r:id="rId24"/>
    <sheet name="L-6311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9" l="1"/>
  <c r="E21" i="9"/>
  <c r="F40" i="4"/>
  <c r="E40" i="4"/>
  <c r="F42" i="8"/>
  <c r="F41" i="8"/>
  <c r="F40" i="8"/>
  <c r="E42" i="8"/>
  <c r="E41" i="8"/>
  <c r="E40" i="8"/>
  <c r="F19" i="5"/>
  <c r="F18" i="5"/>
  <c r="E19" i="5"/>
  <c r="E18" i="5"/>
  <c r="F15" i="6"/>
  <c r="F14" i="6"/>
  <c r="E15" i="6"/>
  <c r="E14" i="6"/>
  <c r="F49" i="10"/>
  <c r="E49" i="10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F18" i="26"/>
  <c r="F17" i="26"/>
  <c r="F16" i="26"/>
  <c r="F15" i="26"/>
  <c r="F14" i="26"/>
  <c r="F13" i="26"/>
  <c r="F12" i="26"/>
  <c r="F11" i="26"/>
  <c r="F10" i="26"/>
  <c r="F9" i="26"/>
  <c r="E18" i="26"/>
  <c r="E17" i="26"/>
  <c r="E16" i="26"/>
  <c r="E15" i="26"/>
  <c r="E14" i="26"/>
  <c r="E13" i="26"/>
  <c r="E12" i="26"/>
  <c r="E11" i="26"/>
  <c r="E10" i="26"/>
  <c r="E9" i="26"/>
  <c r="F18" i="11"/>
  <c r="E18" i="11"/>
  <c r="F20" i="18"/>
  <c r="E20" i="18"/>
  <c r="F19" i="18"/>
  <c r="E19" i="18"/>
  <c r="F39" i="4"/>
  <c r="E39" i="4"/>
  <c r="F17" i="11"/>
  <c r="E17" i="11"/>
  <c r="F16" i="11"/>
  <c r="E16" i="11"/>
  <c r="F15" i="11"/>
  <c r="E15" i="11"/>
  <c r="F19" i="25"/>
  <c r="E19" i="25"/>
  <c r="F18" i="25"/>
  <c r="E18" i="25"/>
  <c r="F17" i="25"/>
  <c r="E17" i="25"/>
  <c r="F16" i="25"/>
  <c r="E16" i="25"/>
  <c r="F15" i="25"/>
  <c r="E15" i="25"/>
  <c r="F14" i="25"/>
  <c r="E14" i="25"/>
  <c r="F13" i="25"/>
  <c r="E13" i="25"/>
  <c r="F41" i="10"/>
  <c r="F42" i="10" s="1"/>
  <c r="F43" i="10" s="1"/>
  <c r="F44" i="10" s="1"/>
  <c r="F45" i="10" s="1"/>
  <c r="F46" i="10" s="1"/>
  <c r="F47" i="10" s="1"/>
  <c r="F48" i="10" s="1"/>
  <c r="F40" i="10"/>
  <c r="E40" i="10"/>
  <c r="E41" i="10" s="1"/>
  <c r="E42" i="10" s="1"/>
  <c r="E43" i="10" s="1"/>
  <c r="E44" i="10" s="1"/>
  <c r="E45" i="10" s="1"/>
  <c r="E46" i="10" s="1"/>
  <c r="E47" i="10" s="1"/>
  <c r="E48" i="10" s="1"/>
  <c r="F16" i="15"/>
  <c r="E16" i="15"/>
  <c r="F20" i="9"/>
  <c r="E20" i="9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F20" i="20"/>
  <c r="E20" i="20"/>
  <c r="F10" i="20"/>
  <c r="F11" i="20" s="1"/>
  <c r="F12" i="20" s="1"/>
  <c r="F13" i="20" s="1"/>
  <c r="F14" i="20" s="1"/>
  <c r="F15" i="20" s="1"/>
  <c r="F16" i="20" s="1"/>
  <c r="F17" i="20" s="1"/>
  <c r="F18" i="20" s="1"/>
  <c r="F19" i="20" s="1"/>
  <c r="E10" i="20"/>
  <c r="E11" i="20" s="1"/>
  <c r="E12" i="20" s="1"/>
  <c r="E13" i="20" s="1"/>
  <c r="E14" i="20" s="1"/>
  <c r="E15" i="20" s="1"/>
  <c r="E16" i="20" s="1"/>
  <c r="E17" i="20" s="1"/>
  <c r="E18" i="20" s="1"/>
  <c r="E19" i="20" s="1"/>
  <c r="F15" i="15"/>
  <c r="E15" i="15"/>
  <c r="F19" i="9"/>
  <c r="E19" i="9"/>
  <c r="F17" i="5"/>
  <c r="E17" i="5"/>
  <c r="F13" i="6"/>
  <c r="E13" i="6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E24" i="17"/>
  <c r="E23" i="17"/>
  <c r="E22" i="17"/>
  <c r="E21" i="17"/>
  <c r="E20" i="17"/>
  <c r="E19" i="17"/>
  <c r="E18" i="17"/>
  <c r="E17" i="17"/>
  <c r="E16" i="17"/>
  <c r="E14" i="17"/>
  <c r="E15" i="17" s="1"/>
  <c r="E13" i="17"/>
  <c r="E12" i="17"/>
  <c r="E11" i="17"/>
  <c r="E10" i="17"/>
  <c r="F18" i="7"/>
  <c r="E18" i="7"/>
  <c r="F20" i="2"/>
  <c r="E20" i="2"/>
  <c r="F39" i="8"/>
  <c r="F38" i="8"/>
  <c r="E39" i="8"/>
  <c r="E38" i="8"/>
  <c r="F41" i="14"/>
  <c r="E41" i="14"/>
  <c r="F38" i="4"/>
  <c r="E38" i="4"/>
  <c r="F14" i="15"/>
  <c r="E14" i="15"/>
  <c r="F10" i="19"/>
  <c r="F11" i="19" s="1"/>
  <c r="F12" i="19" s="1"/>
  <c r="F13" i="19" s="1"/>
  <c r="F14" i="19" s="1"/>
  <c r="F15" i="19" s="1"/>
  <c r="F16" i="19" s="1"/>
  <c r="F17" i="19" s="1"/>
  <c r="F18" i="19" s="1"/>
  <c r="E10" i="19"/>
  <c r="E11" i="19" s="1"/>
  <c r="E12" i="19" s="1"/>
  <c r="E13" i="19" s="1"/>
  <c r="E14" i="19" s="1"/>
  <c r="E15" i="19" s="1"/>
  <c r="E16" i="19" s="1"/>
  <c r="E17" i="19" s="1"/>
  <c r="E18" i="19" s="1"/>
  <c r="F9" i="19"/>
  <c r="E9" i="19"/>
  <c r="F10" i="18" l="1"/>
  <c r="F11" i="18" s="1"/>
  <c r="F12" i="18" s="1"/>
  <c r="F13" i="18" s="1"/>
  <c r="F14" i="18" s="1"/>
  <c r="F15" i="18" s="1"/>
  <c r="F16" i="18" s="1"/>
  <c r="F17" i="18" s="1"/>
  <c r="F18" i="18" s="1"/>
  <c r="E10" i="18"/>
  <c r="E11" i="18" s="1"/>
  <c r="E12" i="18" s="1"/>
  <c r="E13" i="18" s="1"/>
  <c r="E14" i="18" s="1"/>
  <c r="E15" i="18" s="1"/>
  <c r="E16" i="18" s="1"/>
  <c r="E17" i="18" s="1"/>
  <c r="E18" i="18" s="1"/>
  <c r="F9" i="18"/>
  <c r="E9" i="18"/>
  <c r="F18" i="9" l="1"/>
  <c r="E18" i="9"/>
  <c r="F19" i="2"/>
  <c r="E19" i="2"/>
  <c r="F16" i="5"/>
  <c r="E16" i="5"/>
  <c r="F12" i="6"/>
  <c r="F11" i="6"/>
  <c r="E12" i="6"/>
  <c r="E11" i="6"/>
  <c r="F17" i="7" l="1"/>
  <c r="E17" i="7"/>
  <c r="F10" i="15"/>
  <c r="F11" i="15" s="1"/>
  <c r="F12" i="15" s="1"/>
  <c r="F13" i="15" s="1"/>
  <c r="E10" i="15"/>
  <c r="E11" i="15"/>
  <c r="E12" i="15" s="1"/>
  <c r="E13" i="15" s="1"/>
  <c r="F9" i="15"/>
  <c r="E9" i="15"/>
  <c r="F19" i="14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E19" i="14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F10" i="14"/>
  <c r="F11" i="14" s="1"/>
  <c r="F12" i="14" s="1"/>
  <c r="F13" i="14" s="1"/>
  <c r="F14" i="14" s="1"/>
  <c r="F15" i="14" s="1"/>
  <c r="F16" i="14" s="1"/>
  <c r="F17" i="14" s="1"/>
  <c r="F18" i="14" s="1"/>
  <c r="E10" i="14"/>
  <c r="E11" i="14" s="1"/>
  <c r="E12" i="14" s="1"/>
  <c r="E13" i="14" s="1"/>
  <c r="E14" i="14" s="1"/>
  <c r="E15" i="14" s="1"/>
  <c r="E16" i="14" s="1"/>
  <c r="E17" i="14" s="1"/>
  <c r="E18" i="14" s="1"/>
  <c r="F9" i="14"/>
  <c r="E9" i="14"/>
  <c r="F17" i="9"/>
  <c r="E17" i="9"/>
  <c r="F15" i="5"/>
  <c r="E15" i="5"/>
  <c r="F19" i="13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E19" i="13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F10" i="13"/>
  <c r="F11" i="13" s="1"/>
  <c r="F12" i="13" s="1"/>
  <c r="F13" i="13" s="1"/>
  <c r="F14" i="13" s="1"/>
  <c r="F15" i="13" s="1"/>
  <c r="F16" i="13" s="1"/>
  <c r="F17" i="13" s="1"/>
  <c r="F18" i="13" s="1"/>
  <c r="E10" i="13"/>
  <c r="E11" i="13"/>
  <c r="E12" i="13"/>
  <c r="E13" i="13"/>
  <c r="E14" i="13" s="1"/>
  <c r="E15" i="13" s="1"/>
  <c r="E16" i="13" s="1"/>
  <c r="E17" i="13" s="1"/>
  <c r="E18" i="13" s="1"/>
  <c r="F9" i="13"/>
  <c r="E9" i="13"/>
  <c r="F31" i="12"/>
  <c r="F32" i="12" s="1"/>
  <c r="F33" i="12" s="1"/>
  <c r="F34" i="12" s="1"/>
  <c r="F35" i="12" s="1"/>
  <c r="F36" i="12" s="1"/>
  <c r="E31" i="12"/>
  <c r="E32" i="12" s="1"/>
  <c r="E33" i="12" s="1"/>
  <c r="E34" i="12" s="1"/>
  <c r="E35" i="12" s="1"/>
  <c r="E36" i="12" s="1"/>
  <c r="F30" i="12"/>
  <c r="E30" i="12"/>
  <c r="F19" i="12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E19" i="12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F10" i="12"/>
  <c r="F11" i="12" s="1"/>
  <c r="F12" i="12" s="1"/>
  <c r="F13" i="12" s="1"/>
  <c r="F14" i="12" s="1"/>
  <c r="F15" i="12" s="1"/>
  <c r="F16" i="12" s="1"/>
  <c r="F17" i="12" s="1"/>
  <c r="F18" i="12" s="1"/>
  <c r="E10" i="12"/>
  <c r="E11" i="12" s="1"/>
  <c r="E12" i="12" s="1"/>
  <c r="E13" i="12" s="1"/>
  <c r="E14" i="12" s="1"/>
  <c r="E15" i="12" s="1"/>
  <c r="E16" i="12" s="1"/>
  <c r="E17" i="12" s="1"/>
  <c r="E18" i="12" s="1"/>
  <c r="F9" i="12"/>
  <c r="E9" i="12"/>
  <c r="F9" i="11"/>
  <c r="F10" i="11" s="1"/>
  <c r="F11" i="11" s="1"/>
  <c r="F12" i="11" s="1"/>
  <c r="F13" i="11" s="1"/>
  <c r="F14" i="11" s="1"/>
  <c r="E9" i="11"/>
  <c r="E10" i="11" s="1"/>
  <c r="E11" i="11" s="1"/>
  <c r="E12" i="11" s="1"/>
  <c r="E13" i="11" s="1"/>
  <c r="E14" i="11" s="1"/>
  <c r="F14" i="5"/>
  <c r="E14" i="5"/>
  <c r="F37" i="4"/>
  <c r="E37" i="4"/>
  <c r="F9" i="9"/>
  <c r="F10" i="9" s="1"/>
  <c r="F11" i="9" s="1"/>
  <c r="F12" i="9" s="1"/>
  <c r="F13" i="9" s="1"/>
  <c r="F14" i="9" s="1"/>
  <c r="F15" i="9" s="1"/>
  <c r="F16" i="9" s="1"/>
  <c r="E9" i="9"/>
  <c r="E10" i="9" s="1"/>
  <c r="E11" i="9" s="1"/>
  <c r="E12" i="9" s="1"/>
  <c r="E13" i="9" s="1"/>
  <c r="E14" i="9" s="1"/>
  <c r="E15" i="9" s="1"/>
  <c r="E16" i="9" s="1"/>
  <c r="F10" i="8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F9" i="8"/>
  <c r="E9" i="8"/>
  <c r="F9" i="7"/>
  <c r="F10" i="7" s="1"/>
  <c r="F11" i="7" s="1"/>
  <c r="F12" i="7" s="1"/>
  <c r="F13" i="7" s="1"/>
  <c r="F14" i="7" s="1"/>
  <c r="F15" i="7" s="1"/>
  <c r="F16" i="7" s="1"/>
  <c r="E9" i="7"/>
  <c r="E10" i="7" s="1"/>
  <c r="E11" i="7" s="1"/>
  <c r="E12" i="7" s="1"/>
  <c r="E13" i="7" s="1"/>
  <c r="E14" i="7" s="1"/>
  <c r="E15" i="7" s="1"/>
  <c r="E16" i="7" s="1"/>
  <c r="F9" i="5"/>
  <c r="F10" i="5" s="1"/>
  <c r="F11" i="5" s="1"/>
  <c r="F12" i="5" s="1"/>
  <c r="F13" i="5" s="1"/>
  <c r="E9" i="5"/>
  <c r="E10" i="5"/>
  <c r="E11" i="5" s="1"/>
  <c r="E12" i="5" s="1"/>
  <c r="E13" i="5" s="1"/>
  <c r="F8" i="5"/>
  <c r="E8" i="5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F8" i="4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E8" i="4"/>
  <c r="F18" i="3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E18" i="3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9" i="3"/>
  <c r="E10" i="3"/>
  <c r="E11" i="3" s="1"/>
  <c r="E12" i="3" s="1"/>
  <c r="E13" i="3" s="1"/>
  <c r="E14" i="3" s="1"/>
  <c r="E15" i="3" s="1"/>
  <c r="E16" i="3" s="1"/>
  <c r="E17" i="3" s="1"/>
  <c r="F8" i="3"/>
  <c r="F9" i="3" s="1"/>
  <c r="F10" i="3" s="1"/>
  <c r="F11" i="3" s="1"/>
  <c r="F12" i="3" s="1"/>
  <c r="F13" i="3" s="1"/>
  <c r="F14" i="3" s="1"/>
  <c r="F15" i="3" s="1"/>
  <c r="F16" i="3" s="1"/>
  <c r="F17" i="3" s="1"/>
  <c r="E8" i="3"/>
  <c r="E10" i="2"/>
  <c r="E11" i="2" s="1"/>
  <c r="E12" i="2" s="1"/>
  <c r="E13" i="2" s="1"/>
  <c r="E14" i="2" s="1"/>
  <c r="E15" i="2" s="1"/>
  <c r="E16" i="2" s="1"/>
  <c r="E17" i="2" s="1"/>
  <c r="E18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E9" i="2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</calcChain>
</file>

<file path=xl/sharedStrings.xml><?xml version="1.0" encoding="utf-8"?>
<sst xmlns="http://schemas.openxmlformats.org/spreadsheetml/2006/main" count="1139" uniqueCount="447">
  <si>
    <t>Date</t>
  </si>
  <si>
    <t>R.NO</t>
  </si>
  <si>
    <t>Description</t>
  </si>
  <si>
    <t>Amount Rec</t>
  </si>
  <si>
    <t>Total Rec</t>
  </si>
  <si>
    <t>Amount Due</t>
  </si>
  <si>
    <t>Name :Muhammad Wajid</t>
  </si>
  <si>
    <t>Father Name : Sabir</t>
  </si>
  <si>
    <t>CNIC # 42101-5926588-1</t>
  </si>
  <si>
    <t>Contact # 03148068165</t>
  </si>
  <si>
    <t>Plot No : L-6343</t>
  </si>
  <si>
    <t>Cost : 600,000</t>
  </si>
  <si>
    <t>27/11/2022</t>
  </si>
  <si>
    <t>16/8/2023</t>
  </si>
  <si>
    <t>25/10/2023</t>
  </si>
  <si>
    <t>15/1/2024</t>
  </si>
  <si>
    <t>14/3/2024</t>
  </si>
  <si>
    <t>20/9/2024</t>
  </si>
  <si>
    <t>31/10/2024</t>
  </si>
  <si>
    <t>20/11/2024</t>
  </si>
  <si>
    <t>23/7/2025</t>
  </si>
  <si>
    <t>Adj Reh</t>
  </si>
  <si>
    <t>instalment</t>
  </si>
  <si>
    <t>28/8/2025</t>
  </si>
  <si>
    <t>30/10/2025</t>
  </si>
  <si>
    <t>28/11/2025</t>
  </si>
  <si>
    <t>30/12/2025</t>
  </si>
  <si>
    <t>Name :Nosheen Sahar</t>
  </si>
  <si>
    <t>Father Name : Muhammad Ali</t>
  </si>
  <si>
    <t>CNIC # 42401-1348207-6</t>
  </si>
  <si>
    <t xml:space="preserve">Contact # </t>
  </si>
  <si>
    <t>Plot No : L-6316</t>
  </si>
  <si>
    <t>18/3/2025</t>
  </si>
  <si>
    <t>15/7/2025</t>
  </si>
  <si>
    <t>25/8/2025</t>
  </si>
  <si>
    <t>24/9/2025</t>
  </si>
  <si>
    <t>20/10/2025</t>
  </si>
  <si>
    <t>Res Booking</t>
  </si>
  <si>
    <t>Name :M.Qasim</t>
  </si>
  <si>
    <t>Father Name : M.Bakhsh</t>
  </si>
  <si>
    <t xml:space="preserve">CNIC # </t>
  </si>
  <si>
    <t>Plot No : L-6377</t>
  </si>
  <si>
    <t>Cost :540,000</t>
  </si>
  <si>
    <t>21/3/2023</t>
  </si>
  <si>
    <t>16/5/2023</t>
  </si>
  <si>
    <t>28/8/2023</t>
  </si>
  <si>
    <t>18/7/2024</t>
  </si>
  <si>
    <t>18/8//2024</t>
  </si>
  <si>
    <t>23/9/2024</t>
  </si>
  <si>
    <t>19/10/2024</t>
  </si>
  <si>
    <t>21/11/2024</t>
  </si>
  <si>
    <t>instalment 2pend</t>
  </si>
  <si>
    <t>instalment 2 pend</t>
  </si>
  <si>
    <t>1 Lac increase</t>
  </si>
  <si>
    <t>21/1/2025</t>
  </si>
  <si>
    <t>23/2/2025</t>
  </si>
  <si>
    <t>27/4/2025</t>
  </si>
  <si>
    <t>22/5/2025</t>
  </si>
  <si>
    <t>23/6/2025</t>
  </si>
  <si>
    <t>20/7/2025</t>
  </si>
  <si>
    <t>24/8/2025</t>
  </si>
  <si>
    <t>25/9/2025</t>
  </si>
  <si>
    <t>26/10/2025</t>
  </si>
  <si>
    <t>26/11/2025</t>
  </si>
  <si>
    <t>20/12/2025</t>
  </si>
  <si>
    <t>30/1/2026</t>
  </si>
  <si>
    <t>25/2/2026</t>
  </si>
  <si>
    <t>Name :Afzal Khan</t>
  </si>
  <si>
    <t>Father Name : Labbah khan</t>
  </si>
  <si>
    <t>CNIC # 42401-3700071-3</t>
  </si>
  <si>
    <t>Contact # 03102491298</t>
  </si>
  <si>
    <t>Plot No : L-6387</t>
  </si>
  <si>
    <t>Cost :650,000</t>
  </si>
  <si>
    <t>25/2/2023</t>
  </si>
  <si>
    <t>Token adj</t>
  </si>
  <si>
    <t>insalment</t>
  </si>
  <si>
    <t>23/4/2025</t>
  </si>
  <si>
    <t>24/5/2025</t>
  </si>
  <si>
    <t>22/6/2025</t>
  </si>
  <si>
    <t>21/9/2025</t>
  </si>
  <si>
    <t>23/11/2025</t>
  </si>
  <si>
    <t>21/12/2025</t>
  </si>
  <si>
    <t>26/1/2026</t>
  </si>
  <si>
    <t>22/2/2026</t>
  </si>
  <si>
    <t>Name :Mr Aziz Noor</t>
  </si>
  <si>
    <t>Father Name : Shehzad Noor</t>
  </si>
  <si>
    <t>CNIC # 42401-9236527-7</t>
  </si>
  <si>
    <t>Plot No : L-6338</t>
  </si>
  <si>
    <t>Cost :680,000</t>
  </si>
  <si>
    <t>16/9/2025</t>
  </si>
  <si>
    <t>21/10/2025</t>
  </si>
  <si>
    <t>17/11/2025</t>
  </si>
  <si>
    <t>14/12/2025</t>
  </si>
  <si>
    <t>19/1/2025</t>
  </si>
  <si>
    <t>21/2/2026</t>
  </si>
  <si>
    <t>Booking</t>
  </si>
  <si>
    <t>Name :Habib Noor</t>
  </si>
  <si>
    <t>CNIC # 16101-874288-9</t>
  </si>
  <si>
    <t>Plot No : L-6333</t>
  </si>
  <si>
    <t>19/1/2026</t>
  </si>
  <si>
    <t>Name :Umme Aiman</t>
  </si>
  <si>
    <t>Father Name : Syed Jahanzaib</t>
  </si>
  <si>
    <t>CNIC # 42301-5110653-0</t>
  </si>
  <si>
    <t>Plot No : L-6312</t>
  </si>
  <si>
    <t>Cost :700,000</t>
  </si>
  <si>
    <t>17/7/2025</t>
  </si>
  <si>
    <t>15/8/2025</t>
  </si>
  <si>
    <t>28/9/2025</t>
  </si>
  <si>
    <t>Name :Afsar Ali</t>
  </si>
  <si>
    <t>Father Name : Sher Ali</t>
  </si>
  <si>
    <t>CNIC # 42401-1719588-5</t>
  </si>
  <si>
    <t>Plot No : L-6359</t>
  </si>
  <si>
    <t>Cost :500,000</t>
  </si>
  <si>
    <t>11/10/2022 3/11/2022 19/1/23</t>
  </si>
  <si>
    <t>22/5/2023</t>
  </si>
  <si>
    <t>19/8/2023</t>
  </si>
  <si>
    <t>22/9/2023</t>
  </si>
  <si>
    <t>21/10/2023</t>
  </si>
  <si>
    <t>25/11/2023</t>
  </si>
  <si>
    <t>26/12/2023</t>
  </si>
  <si>
    <t>Adj Rehman</t>
  </si>
  <si>
    <t>20/2/2024</t>
  </si>
  <si>
    <t>23/4/2024</t>
  </si>
  <si>
    <t>20/5/2024</t>
  </si>
  <si>
    <t>15/9/2024</t>
  </si>
  <si>
    <t>14/10/2024</t>
  </si>
  <si>
    <t>23/12/2024</t>
  </si>
  <si>
    <t>22/2/2025</t>
  </si>
  <si>
    <t>17/6/2025</t>
  </si>
  <si>
    <t>28/7/2025</t>
  </si>
  <si>
    <t>15/9/2025</t>
  </si>
  <si>
    <t>22/10/2025</t>
  </si>
  <si>
    <t>18/11/2025</t>
  </si>
  <si>
    <t>Name :Muhammad Zahid</t>
  </si>
  <si>
    <t>Father Name : Fayyaz Ali</t>
  </si>
  <si>
    <t>CNIC # 42401-6586436-7</t>
  </si>
  <si>
    <t>Contact # 03128571409</t>
  </si>
  <si>
    <t>Plot No : L-6324</t>
  </si>
  <si>
    <t>13/10/2025</t>
  </si>
  <si>
    <t>14/2/2026</t>
  </si>
  <si>
    <t>RES Booking</t>
  </si>
  <si>
    <t>Code Num;CQL4577273</t>
  </si>
  <si>
    <t>Father Name : Muhammad Wahid Khan</t>
  </si>
  <si>
    <t>Contact # 03162610475</t>
  </si>
  <si>
    <t>Plot No : L-6336</t>
  </si>
  <si>
    <t>Cost : 400,000</t>
  </si>
  <si>
    <t>Name : Yasmeen Begum</t>
  </si>
  <si>
    <t>CNIC # 42101-9347569-5</t>
  </si>
  <si>
    <t>Advance</t>
  </si>
  <si>
    <t>27/8/2023</t>
  </si>
  <si>
    <t>28/9/2023</t>
  </si>
  <si>
    <t>14/10/2023</t>
  </si>
  <si>
    <t>16/11/2023</t>
  </si>
  <si>
    <t>16/12/2023</t>
  </si>
  <si>
    <t>19/2/2024</t>
  </si>
  <si>
    <t>16/3/2024</t>
  </si>
  <si>
    <t>16/4/2024</t>
  </si>
  <si>
    <t>17/5/2024</t>
  </si>
  <si>
    <t>15/6/2024</t>
  </si>
  <si>
    <t>18/8/2024</t>
  </si>
  <si>
    <t>18/11/2024</t>
  </si>
  <si>
    <t>21/12/2024</t>
  </si>
  <si>
    <t>21/2/2025</t>
  </si>
  <si>
    <t>17/3/2025</t>
  </si>
  <si>
    <t>25/3/2026</t>
  </si>
  <si>
    <t>Name :Syd Nasir Abbas Bukhari</t>
  </si>
  <si>
    <t>Father Name : Syed Sajjad Hussain Bukhari</t>
  </si>
  <si>
    <t>CNIC # 32402-8618248-1</t>
  </si>
  <si>
    <t>Contact #</t>
  </si>
  <si>
    <t>Plot No : L-6310</t>
  </si>
  <si>
    <t>28/5/2024</t>
  </si>
  <si>
    <t>18/9/2024</t>
  </si>
  <si>
    <t>20/5/2025</t>
  </si>
  <si>
    <t>instalmnt</t>
  </si>
  <si>
    <t>Code Num;CUJ3665665</t>
  </si>
  <si>
    <t>Name :Arshad Hussain</t>
  </si>
  <si>
    <t>Father Name : Shah Muhammad</t>
  </si>
  <si>
    <t>CNIC # 42401-9212454-5</t>
  </si>
  <si>
    <t>Contact #03442058729</t>
  </si>
  <si>
    <t>Plot No : L-6369</t>
  </si>
  <si>
    <t>Cost :420,000</t>
  </si>
  <si>
    <t>31/7/2022</t>
  </si>
  <si>
    <t>20/9/2022</t>
  </si>
  <si>
    <t>18/7/2023</t>
  </si>
  <si>
    <t>26/8/2023</t>
  </si>
  <si>
    <t>30/9/2023</t>
  </si>
  <si>
    <t>19/10/2023</t>
  </si>
  <si>
    <t xml:space="preserve">instalment </t>
  </si>
  <si>
    <t>Sobho instal</t>
  </si>
  <si>
    <t>Adj Instalment</t>
  </si>
  <si>
    <t>installment</t>
  </si>
  <si>
    <t>18/11/2023</t>
  </si>
  <si>
    <t>14/1/2024</t>
  </si>
  <si>
    <t>16/2/2024</t>
  </si>
  <si>
    <t>20/3/2024</t>
  </si>
  <si>
    <t>17/4/2024</t>
  </si>
  <si>
    <t>26/6/2024</t>
  </si>
  <si>
    <t>21/7/2024</t>
  </si>
  <si>
    <t>20/8/2024</t>
  </si>
  <si>
    <t>21/9/2024</t>
  </si>
  <si>
    <t>20/10/2024</t>
  </si>
  <si>
    <t>20/12/2024</t>
  </si>
  <si>
    <t>14/4/2025</t>
  </si>
  <si>
    <r>
      <t>13/</t>
    </r>
    <r>
      <rPr>
        <strike/>
        <sz val="11"/>
        <color theme="1"/>
        <rFont val="Calibri"/>
        <family val="2"/>
        <scheme val="minor"/>
      </rPr>
      <t>5/2025</t>
    </r>
  </si>
  <si>
    <t xml:space="preserve">INSTALLMENT CLEAR </t>
  </si>
  <si>
    <t>DEVELOPMENT CONTINUE</t>
  </si>
  <si>
    <t>Code Num;CEF8247279</t>
  </si>
  <si>
    <t>Plot No : L-6368</t>
  </si>
  <si>
    <t>Cost :450,000</t>
  </si>
  <si>
    <t>Code Num;CEY1149185</t>
  </si>
  <si>
    <t>13/8/2022</t>
  </si>
  <si>
    <t>Installment</t>
  </si>
  <si>
    <t>INSTALLMENT CLEAR</t>
  </si>
  <si>
    <t>15/4/2026</t>
  </si>
  <si>
    <t>Code Num;BCK4024981</t>
  </si>
  <si>
    <t>Name :Farhana Mustafa</t>
  </si>
  <si>
    <t>Father Name : Qari Mustafa Abid</t>
  </si>
  <si>
    <t>CNIC # 42101-7948919-8</t>
  </si>
  <si>
    <t>Contact # 03022410912</t>
  </si>
  <si>
    <t>Plot No : L-6321</t>
  </si>
  <si>
    <t>Cost :600,000</t>
  </si>
  <si>
    <t>Code Num;CQT2836378</t>
  </si>
  <si>
    <t>15/7/2023</t>
  </si>
  <si>
    <t>24/9/2023</t>
  </si>
  <si>
    <t>15/10/2023</t>
  </si>
  <si>
    <t>13/11/2023</t>
  </si>
  <si>
    <t>14/12/2023</t>
  </si>
  <si>
    <t>18/2/2024</t>
  </si>
  <si>
    <t>23/3/2024</t>
  </si>
  <si>
    <t>Token</t>
  </si>
  <si>
    <t>27/7/2024</t>
  </si>
  <si>
    <t>22/8/2024</t>
  </si>
  <si>
    <t>22/9/2024</t>
  </si>
  <si>
    <t>17/11/2024</t>
  </si>
  <si>
    <t>15/12/2024</t>
  </si>
  <si>
    <t>16/1/2025</t>
  </si>
  <si>
    <t>20/4/2025</t>
  </si>
  <si>
    <t>18/5/2025</t>
  </si>
  <si>
    <t>14/6/2025</t>
  </si>
  <si>
    <t>18/7/2025</t>
  </si>
  <si>
    <t>17/8/2025</t>
  </si>
  <si>
    <t>19/10/2025</t>
  </si>
  <si>
    <t>20/11/2025</t>
  </si>
  <si>
    <t>20/1/2026</t>
  </si>
  <si>
    <t>15/2/2026</t>
  </si>
  <si>
    <t>23/3/2026</t>
  </si>
  <si>
    <t>19/4/2026</t>
  </si>
  <si>
    <t>Name :Muhammad Maqsood Hussain</t>
  </si>
  <si>
    <t>Father Name : Muhammad Adil</t>
  </si>
  <si>
    <t>CNIC # 42401-8432945-7</t>
  </si>
  <si>
    <t>Contact #03702303088</t>
  </si>
  <si>
    <t>Plot No : L-6315</t>
  </si>
  <si>
    <t>Code Num;CQD1392944</t>
  </si>
  <si>
    <t>14/3/2026</t>
  </si>
  <si>
    <t>26/4/2026</t>
  </si>
  <si>
    <t>Code Num;AZH8462159</t>
  </si>
  <si>
    <t>Code NUM;CBN5547753</t>
  </si>
  <si>
    <t>Name; Shabana Faizan</t>
  </si>
  <si>
    <t>Father Name : Faizan</t>
  </si>
  <si>
    <t>CNIC # 42401-6778778-4</t>
  </si>
  <si>
    <t>Plot No : L-6384</t>
  </si>
  <si>
    <t>Res booking</t>
  </si>
  <si>
    <t>Nill</t>
  </si>
  <si>
    <t xml:space="preserve">developmnt </t>
  </si>
  <si>
    <t>Installment and development both clear</t>
  </si>
  <si>
    <t xml:space="preserve">TRANSFEER LY GY </t>
  </si>
  <si>
    <t>Contact # 03122087490</t>
  </si>
  <si>
    <t>15/5/2026</t>
  </si>
  <si>
    <t>Code Num;CHF7792294</t>
  </si>
  <si>
    <t>16/5/2026</t>
  </si>
  <si>
    <t>Name :Zaheer Ahmed</t>
  </si>
  <si>
    <t>Father Name : Maqbool</t>
  </si>
  <si>
    <t>CNIC # 32201-2364621-9</t>
  </si>
  <si>
    <t>Plot No : L-6323</t>
  </si>
  <si>
    <t>Code Num;BPX8908982</t>
  </si>
  <si>
    <t>16/11/2025</t>
  </si>
  <si>
    <t>17/12/2025</t>
  </si>
  <si>
    <t>18/1/2026</t>
  </si>
  <si>
    <t>18/3/2026</t>
  </si>
  <si>
    <t>`16/4/2026</t>
  </si>
  <si>
    <t>17/5/2026</t>
  </si>
  <si>
    <t>Name :Muhammad Siddique Awan</t>
  </si>
  <si>
    <t>Father Name : Chiriya</t>
  </si>
  <si>
    <t>CNIC # 42401-1892520-1</t>
  </si>
  <si>
    <t>Plot No : L-6322</t>
  </si>
  <si>
    <t>Code Num;CVT8457731</t>
  </si>
  <si>
    <t>16/8/2025</t>
  </si>
  <si>
    <t>16/4/2026</t>
  </si>
  <si>
    <t>17\05\026</t>
  </si>
  <si>
    <t>18\05\026</t>
  </si>
  <si>
    <t>CODE NO"</t>
  </si>
  <si>
    <t>4\5\26</t>
  </si>
  <si>
    <t>21\05\026</t>
  </si>
  <si>
    <t>8\6\26</t>
  </si>
  <si>
    <t>7\6\26</t>
  </si>
  <si>
    <t>NAME:</t>
  </si>
  <si>
    <t>F\NAME:</t>
  </si>
  <si>
    <t>CONTACT NO:</t>
  </si>
  <si>
    <t>CNIC NO:</t>
  </si>
  <si>
    <t>CODE NO:</t>
  </si>
  <si>
    <t>PLOT NO:</t>
  </si>
  <si>
    <t>ABRAR SHAH</t>
  </si>
  <si>
    <t>LAALL HUSIAN SHAH</t>
  </si>
  <si>
    <t>0319-2306253</t>
  </si>
  <si>
    <t>42401-3839356-3</t>
  </si>
  <si>
    <t>CKZ8705975</t>
  </si>
  <si>
    <t>5\8\22</t>
  </si>
  <si>
    <t>7\12\22</t>
  </si>
  <si>
    <t>19\3\23</t>
  </si>
  <si>
    <t>10\5\23</t>
  </si>
  <si>
    <t>1\6\23</t>
  </si>
  <si>
    <t>16\7\23</t>
  </si>
  <si>
    <t>7\9\23</t>
  </si>
  <si>
    <t>11\10\23</t>
  </si>
  <si>
    <t>26\11\23</t>
  </si>
  <si>
    <t>26\12\23</t>
  </si>
  <si>
    <t>29\1\24</t>
  </si>
  <si>
    <t>22\3\24</t>
  </si>
  <si>
    <t>22\5\24</t>
  </si>
  <si>
    <t>9\11\24</t>
  </si>
  <si>
    <t>31\8\25</t>
  </si>
  <si>
    <t>4\1\26</t>
  </si>
  <si>
    <t>INSTALLMENT</t>
  </si>
  <si>
    <t>REHMAN ADJUSTMENT</t>
  </si>
  <si>
    <t>nil</t>
  </si>
  <si>
    <t>FILE TRANSFERD</t>
  </si>
  <si>
    <t>NOMAN</t>
  </si>
  <si>
    <t>ALEEM U DIN</t>
  </si>
  <si>
    <t>42401-1417508-7</t>
  </si>
  <si>
    <t>CKW3423209</t>
  </si>
  <si>
    <t>13\6\26</t>
  </si>
  <si>
    <t>GUL ZAIB KA HER EK INSTALLMENT PAYMENT PAR 50% COMMISION HAI</t>
  </si>
  <si>
    <t>14\6\26</t>
  </si>
  <si>
    <t>CNIC:</t>
  </si>
  <si>
    <t>2\6\20</t>
  </si>
  <si>
    <t>26\8\20</t>
  </si>
  <si>
    <t>15\9\20</t>
  </si>
  <si>
    <t>3\10\20</t>
  </si>
  <si>
    <t>15\11\20</t>
  </si>
  <si>
    <t>13\12\20</t>
  </si>
  <si>
    <t>18\4\21</t>
  </si>
  <si>
    <t>28\5\21</t>
  </si>
  <si>
    <t>26\6\21</t>
  </si>
  <si>
    <t>11\12\21</t>
  </si>
  <si>
    <t>15\1\22</t>
  </si>
  <si>
    <t>BOOKING ADVANCE</t>
  </si>
  <si>
    <t>INSTALMENT</t>
  </si>
  <si>
    <t>24\2\22</t>
  </si>
  <si>
    <t>23\5\22</t>
  </si>
  <si>
    <t>3\8\22</t>
  </si>
  <si>
    <t>20\9\22</t>
  </si>
  <si>
    <t>4\12\22</t>
  </si>
  <si>
    <t>21\1\23</t>
  </si>
  <si>
    <t>26\2\23</t>
  </si>
  <si>
    <t>28\5\23</t>
  </si>
  <si>
    <t>26\7\23</t>
  </si>
  <si>
    <t>26\8\23</t>
  </si>
  <si>
    <t>30\923</t>
  </si>
  <si>
    <t>15\10\23</t>
  </si>
  <si>
    <t>18\11\23</t>
  </si>
  <si>
    <t>17\12\23</t>
  </si>
  <si>
    <t>20\1\24</t>
  </si>
  <si>
    <t>MUHAMMAD HAMID</t>
  </si>
  <si>
    <t>MUHAMMAD SULIMAN</t>
  </si>
  <si>
    <t>0334-2725299</t>
  </si>
  <si>
    <t>CUB6787638</t>
  </si>
  <si>
    <t>42201-2184504-3</t>
  </si>
  <si>
    <t>AYN5683925</t>
  </si>
  <si>
    <t>19\8\22</t>
  </si>
  <si>
    <t>4\1\23</t>
  </si>
  <si>
    <t>25\2\23</t>
  </si>
  <si>
    <t>26\3\23</t>
  </si>
  <si>
    <t>20\4\23</t>
  </si>
  <si>
    <t>22\6\23</t>
  </si>
  <si>
    <t>7\10\23</t>
  </si>
  <si>
    <t>10\11\23</t>
  </si>
  <si>
    <t>27\12\23</t>
  </si>
  <si>
    <t>AL-REHMAN</t>
  </si>
  <si>
    <t>21\2\24</t>
  </si>
  <si>
    <t>23\3\24</t>
  </si>
  <si>
    <t>20\4\24</t>
  </si>
  <si>
    <t>18\5\24</t>
  </si>
  <si>
    <t>22\6\24</t>
  </si>
  <si>
    <t>22\7\24</t>
  </si>
  <si>
    <t>9\9\24</t>
  </si>
  <si>
    <t>2\7\26</t>
  </si>
  <si>
    <t>DEVELOPMENT</t>
  </si>
  <si>
    <t>NILL</t>
  </si>
  <si>
    <t>ENSON STEPHEN</t>
  </si>
  <si>
    <t>GEORGE STEPHEN</t>
  </si>
  <si>
    <t>42401-9704107-5</t>
  </si>
  <si>
    <t>11\7\26</t>
  </si>
  <si>
    <t>AFAQ</t>
  </si>
  <si>
    <t>SABGHAT ULLAH PIRZADA</t>
  </si>
  <si>
    <t>45206-6960411-1</t>
  </si>
  <si>
    <t>ALL AMOUNT GIVEN TO ALREHMAN</t>
  </si>
  <si>
    <t>AFTAB</t>
  </si>
  <si>
    <t>42401-2218876-3</t>
  </si>
  <si>
    <t>ALL AMOUNT GIVEN TO AL-REHMAN BUILDERS</t>
  </si>
  <si>
    <t>19\7\26</t>
  </si>
  <si>
    <t>27\10\2025</t>
  </si>
  <si>
    <t>development</t>
  </si>
  <si>
    <t>24\11\25</t>
  </si>
  <si>
    <t>28\12\25</t>
  </si>
  <si>
    <t>28\1\2026</t>
  </si>
  <si>
    <t>28\2\2026</t>
  </si>
  <si>
    <t>26\3\26</t>
  </si>
  <si>
    <t>28\4\26</t>
  </si>
  <si>
    <t>31\5\2026</t>
  </si>
  <si>
    <t>23\6\26</t>
  </si>
  <si>
    <t>23\7\2026</t>
  </si>
  <si>
    <t>SYED SHABANA BUKHARI</t>
  </si>
  <si>
    <t>SYED SAFEER HUSSAIN</t>
  </si>
  <si>
    <t>0324-8767602</t>
  </si>
  <si>
    <t>32402-9829397-8</t>
  </si>
  <si>
    <t>L-6311</t>
  </si>
  <si>
    <t>CLH4112140</t>
  </si>
  <si>
    <t>24/6/24</t>
  </si>
  <si>
    <t>21/8/24</t>
  </si>
  <si>
    <t>18/9/24</t>
  </si>
  <si>
    <t>28/10/24</t>
  </si>
  <si>
    <t>RES B</t>
  </si>
  <si>
    <t>13/2/26</t>
  </si>
  <si>
    <r>
      <t>TOTAL COST</t>
    </r>
    <r>
      <rPr>
        <b/>
        <i/>
        <sz val="11"/>
        <color theme="1"/>
        <rFont val="Calibri"/>
        <family val="2"/>
        <scheme val="minor"/>
      </rPr>
      <t>#700,000</t>
    </r>
  </si>
  <si>
    <t>0342-2820478</t>
  </si>
  <si>
    <t>22/6/26</t>
  </si>
  <si>
    <t>Name :UMAR DARAZ</t>
  </si>
  <si>
    <t>Father Name : MUHAMMAD YOUNUS</t>
  </si>
  <si>
    <t>CNIC # 34603-3750306-9</t>
  </si>
  <si>
    <t>Code Num;RX6776922</t>
  </si>
  <si>
    <t>Plot No : L-6328</t>
  </si>
  <si>
    <t>31/7/23</t>
  </si>
  <si>
    <t>17/8/23</t>
  </si>
  <si>
    <t>17/10/23</t>
  </si>
  <si>
    <t>6//4/24</t>
  </si>
  <si>
    <t>TOKEN</t>
  </si>
  <si>
    <t>RES BOOKING</t>
  </si>
  <si>
    <t>15/9/25</t>
  </si>
  <si>
    <t>13/7/25</t>
  </si>
  <si>
    <t>15/1/26</t>
  </si>
  <si>
    <t>14/4/26</t>
  </si>
  <si>
    <t>14/8/26</t>
  </si>
  <si>
    <t>13/8/26</t>
  </si>
  <si>
    <t>15/7/26</t>
  </si>
  <si>
    <t>15/8/26</t>
  </si>
  <si>
    <t>14/6/26</t>
  </si>
  <si>
    <t>16/8/26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</si>
</sst>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4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6" fillId="0" borderId="0" xfId="0" applyFont="1"/>
    <xf numFmtId="0" fontId="1" fillId="0" borderId="0" xfId="0" applyFont="1"/>
    <xf numFmtId="3" fontId="1" fillId="0" borderId="0" xfId="0" applyNumberFormat="1" applyFont="1"/>
    <xf numFmtId="0" fontId="0" fillId="0" borderId="4" xfId="0" applyBorder="1" applyAlignment="1">
      <alignment horizontal="left"/>
    </xf>
    <xf numFmtId="3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695A-9706-4AE5-854F-E12624C85C36}">
  <dimension ref="A1:F18"/>
  <sheetViews>
    <sheetView workbookViewId="0">
      <selection sqref="A1:G7"/>
    </sheetView>
  </sheetViews>
  <sheetFormatPr defaultRowHeight="14.5" x14ac:dyDescent="0.35"/>
  <cols>
    <col min="1" max="1" width="9.453125" bestFit="1" customWidth="1"/>
    <col min="3" max="3" width="10.54296875" customWidth="1"/>
  </cols>
  <sheetData>
    <row r="1" spans="1:6" ht="18.5" x14ac:dyDescent="0.45">
      <c r="A1" s="1" t="s">
        <v>165</v>
      </c>
      <c r="B1" s="1"/>
      <c r="C1" s="1"/>
      <c r="D1" s="1"/>
      <c r="E1" s="1"/>
      <c r="F1" s="1"/>
    </row>
    <row r="2" spans="1:6" ht="18.5" x14ac:dyDescent="0.45">
      <c r="A2" s="1" t="s">
        <v>166</v>
      </c>
      <c r="C2" s="1"/>
      <c r="D2" s="1"/>
      <c r="E2" s="1"/>
      <c r="F2" s="1"/>
    </row>
    <row r="3" spans="1:6" ht="18.5" x14ac:dyDescent="0.45">
      <c r="A3" s="1" t="s">
        <v>167</v>
      </c>
      <c r="B3" s="1"/>
      <c r="C3" s="1"/>
      <c r="D3" s="1"/>
      <c r="E3" s="1"/>
      <c r="F3" s="1"/>
    </row>
    <row r="4" spans="1:6" ht="18.5" x14ac:dyDescent="0.45">
      <c r="A4" s="1" t="s">
        <v>174</v>
      </c>
      <c r="B4" s="1"/>
      <c r="C4" s="1"/>
      <c r="D4" s="1"/>
      <c r="E4" s="1"/>
      <c r="F4" s="1"/>
    </row>
    <row r="5" spans="1:6" ht="18.5" x14ac:dyDescent="0.45">
      <c r="A5" s="1" t="s">
        <v>168</v>
      </c>
      <c r="B5" s="1"/>
      <c r="C5" s="1"/>
      <c r="D5" s="1"/>
      <c r="E5" s="1"/>
      <c r="F5" s="1"/>
    </row>
    <row r="6" spans="1:6" ht="18.5" x14ac:dyDescent="0.45">
      <c r="A6" s="1" t="s">
        <v>169</v>
      </c>
      <c r="B6" s="1"/>
      <c r="C6" s="1"/>
      <c r="D6" s="1" t="s">
        <v>104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7" t="s">
        <v>170</v>
      </c>
      <c r="B8" s="7">
        <v>8751</v>
      </c>
      <c r="C8" s="7" t="s">
        <v>37</v>
      </c>
      <c r="D8" s="8">
        <v>10000</v>
      </c>
      <c r="E8" s="8">
        <v>10000</v>
      </c>
      <c r="F8" s="8">
        <v>690000</v>
      </c>
    </row>
    <row r="9" spans="1:6" x14ac:dyDescent="0.35">
      <c r="A9" s="7" t="s">
        <v>171</v>
      </c>
      <c r="B9" s="7">
        <v>10811</v>
      </c>
      <c r="C9" s="7" t="s">
        <v>173</v>
      </c>
      <c r="D9" s="8">
        <v>20000</v>
      </c>
      <c r="E9" s="8">
        <f>SUM(E8+D9)</f>
        <v>30000</v>
      </c>
      <c r="F9" s="8">
        <f>F8-D9</f>
        <v>670000</v>
      </c>
    </row>
    <row r="10" spans="1:6" x14ac:dyDescent="0.35">
      <c r="A10" s="7" t="s">
        <v>172</v>
      </c>
      <c r="B10" s="7">
        <v>10820</v>
      </c>
      <c r="C10" s="7" t="s">
        <v>173</v>
      </c>
      <c r="D10" s="8">
        <v>30000</v>
      </c>
      <c r="E10" s="8">
        <f t="shared" ref="E10:E14" si="0">SUM(E9+D10)</f>
        <v>60000</v>
      </c>
      <c r="F10" s="8">
        <f t="shared" ref="F10:F14" si="1">F9-D10</f>
        <v>640000</v>
      </c>
    </row>
    <row r="11" spans="1:6" x14ac:dyDescent="0.35">
      <c r="A11" s="9">
        <v>45757</v>
      </c>
      <c r="B11" s="7">
        <v>13867</v>
      </c>
      <c r="C11" s="7" t="s">
        <v>173</v>
      </c>
      <c r="D11" s="8">
        <v>30000</v>
      </c>
      <c r="E11" s="8">
        <f t="shared" si="0"/>
        <v>90000</v>
      </c>
      <c r="F11" s="8">
        <f t="shared" si="1"/>
        <v>610000</v>
      </c>
    </row>
    <row r="12" spans="1:6" x14ac:dyDescent="0.35">
      <c r="A12" s="9">
        <v>46298</v>
      </c>
      <c r="B12" s="7">
        <v>12798</v>
      </c>
      <c r="C12" s="7" t="s">
        <v>173</v>
      </c>
      <c r="D12" s="8">
        <v>10000</v>
      </c>
      <c r="E12" s="8">
        <f t="shared" si="0"/>
        <v>100000</v>
      </c>
      <c r="F12" s="8">
        <f t="shared" si="1"/>
        <v>600000</v>
      </c>
    </row>
    <row r="13" spans="1:6" x14ac:dyDescent="0.35">
      <c r="A13" s="9" t="s">
        <v>422</v>
      </c>
      <c r="B13" s="7">
        <v>12453</v>
      </c>
      <c r="C13" s="7" t="s">
        <v>173</v>
      </c>
      <c r="D13" s="8">
        <v>20000</v>
      </c>
      <c r="E13" s="8">
        <f t="shared" si="0"/>
        <v>120000</v>
      </c>
      <c r="F13" s="8">
        <f t="shared" si="1"/>
        <v>580000</v>
      </c>
    </row>
    <row r="14" spans="1:6" x14ac:dyDescent="0.35">
      <c r="A14" s="9">
        <v>46269</v>
      </c>
      <c r="B14" s="7">
        <v>13193</v>
      </c>
      <c r="C14" s="7" t="s">
        <v>173</v>
      </c>
      <c r="D14" s="8">
        <v>20000</v>
      </c>
      <c r="E14" s="8">
        <f t="shared" si="0"/>
        <v>140000</v>
      </c>
      <c r="F14" s="8">
        <f t="shared" si="1"/>
        <v>560000</v>
      </c>
    </row>
    <row r="15" spans="1:6" x14ac:dyDescent="0.35">
      <c r="A15" s="9">
        <v>46270</v>
      </c>
      <c r="B15" s="7">
        <v>12974</v>
      </c>
      <c r="C15" s="7" t="s">
        <v>173</v>
      </c>
      <c r="D15" s="8">
        <v>10000</v>
      </c>
      <c r="E15" s="8">
        <f>E14+D15</f>
        <v>150000</v>
      </c>
      <c r="F15" s="8">
        <f>F14-D15</f>
        <v>550000</v>
      </c>
    </row>
    <row r="16" spans="1:6" x14ac:dyDescent="0.35">
      <c r="A16" s="9">
        <v>46240</v>
      </c>
      <c r="B16" s="7">
        <v>13551</v>
      </c>
      <c r="C16" s="7" t="s">
        <v>173</v>
      </c>
      <c r="D16" s="8">
        <v>10000</v>
      </c>
      <c r="E16" s="8">
        <f>E15+D16</f>
        <v>160000</v>
      </c>
      <c r="F16" s="8">
        <f>F15-D16</f>
        <v>540000</v>
      </c>
    </row>
    <row r="17" spans="1:6" x14ac:dyDescent="0.35">
      <c r="A17" s="9">
        <v>46272</v>
      </c>
      <c r="B17" s="7">
        <v>1440</v>
      </c>
      <c r="C17" s="7" t="s">
        <v>173</v>
      </c>
      <c r="D17" s="8">
        <v>10000</v>
      </c>
      <c r="E17" s="8">
        <f>E16+D17</f>
        <v>170000</v>
      </c>
      <c r="F17" s="8">
        <f>F16-D17</f>
        <v>530000</v>
      </c>
    </row>
    <row r="18" spans="1:6" x14ac:dyDescent="0.35">
      <c r="A18" s="9">
        <v>46273</v>
      </c>
      <c r="B18" s="7">
        <v>1707</v>
      </c>
      <c r="C18" s="7" t="s">
        <v>173</v>
      </c>
      <c r="D18" s="8">
        <v>10000</v>
      </c>
      <c r="E18" s="8">
        <f>E17+D18</f>
        <v>180000</v>
      </c>
      <c r="F18" s="8">
        <f>F17-D18</f>
        <v>520000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7C10-3EC2-4446-93DB-3D2FA37CA64A}">
  <dimension ref="A1:F39"/>
  <sheetViews>
    <sheetView topLeftCell="A33" workbookViewId="0">
      <selection activeCell="A8" sqref="A8:F39"/>
    </sheetView>
  </sheetViews>
  <sheetFormatPr defaultRowHeight="14.5" x14ac:dyDescent="0.35"/>
  <cols>
    <col min="1" max="1" width="10" customWidth="1"/>
    <col min="3" max="3" width="12.1796875" customWidth="1"/>
    <col min="4" max="4" width="10.81640625" customWidth="1"/>
    <col min="5" max="5" width="9.26953125" customWidth="1"/>
  </cols>
  <sheetData>
    <row r="1" spans="1:6" ht="18.5" x14ac:dyDescent="0.45">
      <c r="A1" s="1" t="s">
        <v>426</v>
      </c>
      <c r="B1" s="1"/>
      <c r="C1" s="1"/>
      <c r="D1" s="1"/>
      <c r="E1" s="1"/>
      <c r="F1" s="1"/>
    </row>
    <row r="2" spans="1:6" ht="18.5" x14ac:dyDescent="0.45">
      <c r="A2" s="1" t="s">
        <v>427</v>
      </c>
      <c r="C2" s="1"/>
      <c r="D2" s="1"/>
      <c r="E2" s="1"/>
      <c r="F2" s="1"/>
    </row>
    <row r="3" spans="1:6" ht="18.5" x14ac:dyDescent="0.45">
      <c r="A3" s="1" t="s">
        <v>428</v>
      </c>
      <c r="B3" s="1"/>
      <c r="C3" s="1"/>
      <c r="D3" s="1"/>
      <c r="E3" s="1"/>
      <c r="F3" s="1"/>
    </row>
    <row r="4" spans="1:6" ht="18.5" x14ac:dyDescent="0.45">
      <c r="A4" s="1" t="s">
        <v>429</v>
      </c>
      <c r="B4" s="1"/>
      <c r="C4" s="1"/>
      <c r="D4" s="1"/>
      <c r="E4" s="1"/>
      <c r="F4" s="1"/>
    </row>
    <row r="5" spans="1:6" ht="18.5" x14ac:dyDescent="0.45">
      <c r="A5" s="1" t="s">
        <v>168</v>
      </c>
      <c r="B5" s="1"/>
      <c r="C5" s="1"/>
      <c r="D5" s="1"/>
      <c r="E5" s="1"/>
      <c r="F5" s="1"/>
    </row>
    <row r="6" spans="1:6" ht="18.5" x14ac:dyDescent="0.45">
      <c r="A6" s="1" t="s">
        <v>430</v>
      </c>
      <c r="B6" s="1"/>
      <c r="C6" s="1"/>
      <c r="D6" s="1" t="s">
        <v>72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7" t="s">
        <v>431</v>
      </c>
      <c r="B8" s="7">
        <v>140</v>
      </c>
      <c r="C8" s="7" t="s">
        <v>435</v>
      </c>
      <c r="D8" s="7">
        <v>15000</v>
      </c>
      <c r="E8" s="7">
        <v>15000</v>
      </c>
      <c r="F8" s="8">
        <v>635000</v>
      </c>
    </row>
    <row r="9" spans="1:6" x14ac:dyDescent="0.35">
      <c r="A9" s="7" t="s">
        <v>432</v>
      </c>
      <c r="B9" s="7">
        <v>3034</v>
      </c>
      <c r="C9" s="7" t="s">
        <v>436</v>
      </c>
      <c r="D9" s="8">
        <v>135000</v>
      </c>
      <c r="E9" s="8">
        <f t="shared" ref="E9:E18" si="0">E8+D9</f>
        <v>150000</v>
      </c>
      <c r="F9" s="8">
        <f t="shared" ref="F9:F18" si="1">F8-D9</f>
        <v>500000</v>
      </c>
    </row>
    <row r="10" spans="1:6" x14ac:dyDescent="0.35">
      <c r="A10" s="7" t="s">
        <v>433</v>
      </c>
      <c r="B10" s="7">
        <v>4370</v>
      </c>
      <c r="C10" s="7" t="s">
        <v>322</v>
      </c>
      <c r="D10" s="8">
        <v>10000</v>
      </c>
      <c r="E10" s="8">
        <f t="shared" si="0"/>
        <v>160000</v>
      </c>
      <c r="F10" s="8">
        <f t="shared" si="1"/>
        <v>490000</v>
      </c>
    </row>
    <row r="11" spans="1:6" x14ac:dyDescent="0.35">
      <c r="A11" s="9">
        <v>45271</v>
      </c>
      <c r="B11" s="7">
        <v>4851</v>
      </c>
      <c r="C11" s="7" t="s">
        <v>322</v>
      </c>
      <c r="D11" s="8">
        <v>20000</v>
      </c>
      <c r="E11" s="8">
        <f t="shared" si="0"/>
        <v>180000</v>
      </c>
      <c r="F11" s="8">
        <f t="shared" si="1"/>
        <v>470000</v>
      </c>
    </row>
    <row r="12" spans="1:6" x14ac:dyDescent="0.35">
      <c r="A12" s="9">
        <v>45211</v>
      </c>
      <c r="B12" s="7">
        <v>5452</v>
      </c>
      <c r="C12" s="7" t="s">
        <v>322</v>
      </c>
      <c r="D12" s="8">
        <v>10000</v>
      </c>
      <c r="E12" s="8">
        <f t="shared" si="0"/>
        <v>190000</v>
      </c>
      <c r="F12" s="8">
        <f t="shared" si="1"/>
        <v>460000</v>
      </c>
    </row>
    <row r="13" spans="1:6" x14ac:dyDescent="0.35">
      <c r="A13" s="9">
        <v>45566</v>
      </c>
      <c r="B13" s="7">
        <v>6090</v>
      </c>
      <c r="C13" s="7" t="s">
        <v>322</v>
      </c>
      <c r="D13" s="8">
        <v>10000</v>
      </c>
      <c r="E13" s="8">
        <f t="shared" si="0"/>
        <v>200000</v>
      </c>
      <c r="F13" s="8">
        <f t="shared" si="1"/>
        <v>450000</v>
      </c>
    </row>
    <row r="14" spans="1:6" x14ac:dyDescent="0.35">
      <c r="A14" s="9">
        <v>45506</v>
      </c>
      <c r="B14" s="7">
        <v>6573</v>
      </c>
      <c r="C14" s="7" t="s">
        <v>322</v>
      </c>
      <c r="D14" s="8">
        <v>10000</v>
      </c>
      <c r="E14" s="8">
        <f t="shared" si="0"/>
        <v>210000</v>
      </c>
      <c r="F14" s="8">
        <f t="shared" si="1"/>
        <v>440000</v>
      </c>
    </row>
    <row r="15" spans="1:6" x14ac:dyDescent="0.35">
      <c r="A15" s="9">
        <v>45568</v>
      </c>
      <c r="B15" s="7">
        <v>7261</v>
      </c>
      <c r="C15" s="7" t="s">
        <v>322</v>
      </c>
      <c r="D15" s="8">
        <v>10000</v>
      </c>
      <c r="E15" s="8">
        <f t="shared" si="0"/>
        <v>220000</v>
      </c>
      <c r="F15" s="8">
        <f t="shared" si="1"/>
        <v>430000</v>
      </c>
    </row>
    <row r="16" spans="1:6" x14ac:dyDescent="0.35">
      <c r="A16" s="7" t="s">
        <v>434</v>
      </c>
      <c r="B16" s="7">
        <v>7691</v>
      </c>
      <c r="C16" s="7" t="s">
        <v>322</v>
      </c>
      <c r="D16" s="8">
        <v>10000</v>
      </c>
      <c r="E16" s="8">
        <f t="shared" si="0"/>
        <v>230000</v>
      </c>
      <c r="F16" s="8">
        <f t="shared" si="1"/>
        <v>420000</v>
      </c>
    </row>
    <row r="17" spans="1:6" x14ac:dyDescent="0.35">
      <c r="A17" s="9">
        <v>45387</v>
      </c>
      <c r="B17" s="7">
        <v>8194</v>
      </c>
      <c r="C17" s="7" t="s">
        <v>322</v>
      </c>
      <c r="D17" s="8">
        <v>10000</v>
      </c>
      <c r="E17" s="8">
        <f t="shared" si="0"/>
        <v>240000</v>
      </c>
      <c r="F17" s="8">
        <f t="shared" si="1"/>
        <v>410000</v>
      </c>
    </row>
    <row r="18" spans="1:6" x14ac:dyDescent="0.35">
      <c r="A18" s="9">
        <v>45297</v>
      </c>
      <c r="B18" s="7">
        <v>8802</v>
      </c>
      <c r="C18" s="7" t="s">
        <v>322</v>
      </c>
      <c r="D18" s="8">
        <v>10000</v>
      </c>
      <c r="E18" s="8">
        <f t="shared" si="0"/>
        <v>250000</v>
      </c>
      <c r="F18" s="8">
        <f t="shared" si="1"/>
        <v>400000</v>
      </c>
    </row>
    <row r="19" spans="1:6" x14ac:dyDescent="0.35">
      <c r="A19" s="9">
        <v>45542</v>
      </c>
      <c r="B19" s="7">
        <v>332</v>
      </c>
      <c r="C19" s="7" t="s">
        <v>322</v>
      </c>
      <c r="D19" s="8">
        <v>10000</v>
      </c>
      <c r="E19" s="8">
        <f t="shared" ref="E19:E39" si="2">E18+D19</f>
        <v>260000</v>
      </c>
      <c r="F19" s="8">
        <f t="shared" ref="F19:F39" si="3">F18-D19</f>
        <v>390000</v>
      </c>
    </row>
    <row r="20" spans="1:6" x14ac:dyDescent="0.35">
      <c r="A20" s="9">
        <v>45390</v>
      </c>
      <c r="B20" s="7">
        <v>333</v>
      </c>
      <c r="C20" s="7" t="s">
        <v>322</v>
      </c>
      <c r="D20" s="8">
        <v>10000</v>
      </c>
      <c r="E20" s="8">
        <f t="shared" si="2"/>
        <v>270000</v>
      </c>
      <c r="F20" s="8">
        <f t="shared" si="3"/>
        <v>380000</v>
      </c>
    </row>
    <row r="21" spans="1:6" x14ac:dyDescent="0.35">
      <c r="A21" s="9">
        <v>45544</v>
      </c>
      <c r="B21" s="7">
        <v>10857</v>
      </c>
      <c r="C21" s="7" t="s">
        <v>322</v>
      </c>
      <c r="D21" s="8">
        <v>10000</v>
      </c>
      <c r="E21" s="8">
        <f t="shared" si="2"/>
        <v>280000</v>
      </c>
      <c r="F21" s="8">
        <f t="shared" si="3"/>
        <v>370000</v>
      </c>
    </row>
    <row r="22" spans="1:6" x14ac:dyDescent="0.35">
      <c r="A22" s="9">
        <v>45575</v>
      </c>
      <c r="B22" s="7">
        <v>11370</v>
      </c>
      <c r="C22" s="7" t="s">
        <v>322</v>
      </c>
      <c r="D22" s="8">
        <v>10000</v>
      </c>
      <c r="E22" s="8">
        <f t="shared" si="2"/>
        <v>290000</v>
      </c>
      <c r="F22" s="8">
        <f t="shared" si="3"/>
        <v>360000</v>
      </c>
    </row>
    <row r="23" spans="1:6" x14ac:dyDescent="0.35">
      <c r="A23" s="9">
        <v>45607</v>
      </c>
      <c r="B23" s="7">
        <v>10924</v>
      </c>
      <c r="C23" s="7" t="s">
        <v>322</v>
      </c>
      <c r="D23" s="8">
        <v>10000</v>
      </c>
      <c r="E23" s="8">
        <f t="shared" si="2"/>
        <v>300000</v>
      </c>
      <c r="F23" s="8">
        <f t="shared" si="3"/>
        <v>350000</v>
      </c>
    </row>
    <row r="24" spans="1:6" x14ac:dyDescent="0.35">
      <c r="A24" s="9">
        <v>45577</v>
      </c>
      <c r="B24" s="7">
        <v>12321</v>
      </c>
      <c r="C24" s="7" t="s">
        <v>322</v>
      </c>
      <c r="D24" s="8">
        <v>10000</v>
      </c>
      <c r="E24" s="8">
        <f t="shared" si="2"/>
        <v>310000</v>
      </c>
      <c r="F24" s="8">
        <f t="shared" si="3"/>
        <v>340000</v>
      </c>
    </row>
    <row r="25" spans="1:6" x14ac:dyDescent="0.35">
      <c r="A25" s="7" t="s">
        <v>437</v>
      </c>
      <c r="B25" s="7">
        <v>12772</v>
      </c>
      <c r="C25" s="7" t="s">
        <v>322</v>
      </c>
      <c r="D25" s="8">
        <v>50000</v>
      </c>
      <c r="E25" s="8">
        <f t="shared" si="2"/>
        <v>360000</v>
      </c>
      <c r="F25" s="8">
        <f t="shared" si="3"/>
        <v>290000</v>
      </c>
    </row>
    <row r="26" spans="1:6" x14ac:dyDescent="0.35">
      <c r="A26" s="9">
        <v>45844</v>
      </c>
      <c r="B26" s="7">
        <v>10282</v>
      </c>
      <c r="C26" s="7" t="s">
        <v>322</v>
      </c>
      <c r="D26" s="8">
        <v>10000</v>
      </c>
      <c r="E26" s="8">
        <f t="shared" si="2"/>
        <v>370000</v>
      </c>
      <c r="F26" s="8">
        <f t="shared" si="3"/>
        <v>280000</v>
      </c>
    </row>
    <row r="27" spans="1:6" x14ac:dyDescent="0.35">
      <c r="A27" s="7" t="s">
        <v>438</v>
      </c>
      <c r="B27" s="7">
        <v>12187</v>
      </c>
      <c r="C27" s="7" t="s">
        <v>322</v>
      </c>
      <c r="D27" s="8">
        <v>10000</v>
      </c>
      <c r="E27" s="8">
        <f t="shared" si="2"/>
        <v>380000</v>
      </c>
      <c r="F27" s="8">
        <f t="shared" si="3"/>
        <v>270000</v>
      </c>
    </row>
    <row r="28" spans="1:6" x14ac:dyDescent="0.35">
      <c r="A28" s="9">
        <v>45938</v>
      </c>
      <c r="B28" s="7">
        <v>12464</v>
      </c>
      <c r="C28" s="7" t="s">
        <v>322</v>
      </c>
      <c r="D28" s="8">
        <v>10000</v>
      </c>
      <c r="E28" s="8">
        <f t="shared" si="2"/>
        <v>390000</v>
      </c>
      <c r="F28" s="8">
        <f t="shared" si="3"/>
        <v>260000</v>
      </c>
    </row>
    <row r="29" spans="1:6" x14ac:dyDescent="0.35">
      <c r="A29" s="9">
        <v>45909</v>
      </c>
      <c r="B29" s="7">
        <v>12687</v>
      </c>
      <c r="C29" s="7" t="s">
        <v>322</v>
      </c>
      <c r="D29" s="8">
        <v>10000</v>
      </c>
      <c r="E29" s="8">
        <f t="shared" si="2"/>
        <v>400000</v>
      </c>
      <c r="F29" s="8">
        <f t="shared" si="3"/>
        <v>250000</v>
      </c>
    </row>
    <row r="30" spans="1:6" x14ac:dyDescent="0.35">
      <c r="A30" s="9">
        <v>45940</v>
      </c>
      <c r="B30" s="7">
        <v>13740</v>
      </c>
      <c r="C30" s="7" t="s">
        <v>322</v>
      </c>
      <c r="D30" s="8">
        <v>10000</v>
      </c>
      <c r="E30" s="8">
        <f t="shared" si="2"/>
        <v>410000</v>
      </c>
      <c r="F30" s="8">
        <f t="shared" si="3"/>
        <v>240000</v>
      </c>
    </row>
    <row r="31" spans="1:6" x14ac:dyDescent="0.35">
      <c r="A31" s="9">
        <v>45972</v>
      </c>
      <c r="B31" s="7">
        <v>13324</v>
      </c>
      <c r="C31" s="7" t="s">
        <v>322</v>
      </c>
      <c r="D31" s="8">
        <v>10000</v>
      </c>
      <c r="E31" s="8">
        <f t="shared" si="2"/>
        <v>420000</v>
      </c>
      <c r="F31" s="8">
        <f t="shared" si="3"/>
        <v>230000</v>
      </c>
    </row>
    <row r="32" spans="1:6" x14ac:dyDescent="0.35">
      <c r="A32" s="9">
        <v>45912</v>
      </c>
      <c r="B32" s="7">
        <v>13134</v>
      </c>
      <c r="C32" s="7" t="s">
        <v>322</v>
      </c>
      <c r="D32" s="8">
        <v>10000</v>
      </c>
      <c r="E32" s="8">
        <f t="shared" si="2"/>
        <v>430000</v>
      </c>
      <c r="F32" s="8">
        <f t="shared" si="3"/>
        <v>220000</v>
      </c>
    </row>
    <row r="33" spans="1:6" x14ac:dyDescent="0.35">
      <c r="A33" s="7" t="s">
        <v>439</v>
      </c>
      <c r="B33" s="7">
        <v>12143</v>
      </c>
      <c r="C33" s="7" t="s">
        <v>322</v>
      </c>
      <c r="D33" s="8">
        <v>20000</v>
      </c>
      <c r="E33" s="8">
        <f t="shared" si="2"/>
        <v>450000</v>
      </c>
      <c r="F33" s="8">
        <f t="shared" si="3"/>
        <v>200000</v>
      </c>
    </row>
    <row r="34" spans="1:6" x14ac:dyDescent="0.35">
      <c r="A34" s="9">
        <v>46268</v>
      </c>
      <c r="B34" s="7">
        <v>12792</v>
      </c>
      <c r="C34" s="7" t="s">
        <v>322</v>
      </c>
      <c r="D34" s="8">
        <v>10000</v>
      </c>
      <c r="E34" s="8">
        <f t="shared" si="2"/>
        <v>460000</v>
      </c>
      <c r="F34" s="8">
        <f t="shared" si="3"/>
        <v>190000</v>
      </c>
    </row>
    <row r="35" spans="1:6" x14ac:dyDescent="0.35">
      <c r="A35" s="9" t="s">
        <v>440</v>
      </c>
      <c r="B35" s="7">
        <v>13283</v>
      </c>
      <c r="C35" s="7" t="s">
        <v>322</v>
      </c>
      <c r="D35" s="8">
        <v>10000</v>
      </c>
      <c r="E35" s="8">
        <f t="shared" si="2"/>
        <v>470000</v>
      </c>
      <c r="F35" s="8">
        <f t="shared" si="3"/>
        <v>180000</v>
      </c>
    </row>
    <row r="36" spans="1:6" x14ac:dyDescent="0.35">
      <c r="A36" s="9">
        <v>46300</v>
      </c>
      <c r="B36" s="7">
        <v>13320</v>
      </c>
      <c r="C36" s="7" t="s">
        <v>322</v>
      </c>
      <c r="D36" s="8">
        <v>10000</v>
      </c>
      <c r="E36" s="8">
        <f t="shared" si="2"/>
        <v>480000</v>
      </c>
      <c r="F36" s="8">
        <f t="shared" si="3"/>
        <v>170000</v>
      </c>
    </row>
    <row r="37" spans="1:6" x14ac:dyDescent="0.35">
      <c r="A37" s="9">
        <v>46362</v>
      </c>
      <c r="B37" s="7">
        <v>13606</v>
      </c>
      <c r="C37" s="7" t="s">
        <v>322</v>
      </c>
      <c r="D37" s="8">
        <v>10000</v>
      </c>
      <c r="E37" s="8">
        <f t="shared" si="2"/>
        <v>490000</v>
      </c>
      <c r="F37" s="8">
        <f t="shared" si="3"/>
        <v>160000</v>
      </c>
    </row>
    <row r="38" spans="1:6" x14ac:dyDescent="0.35">
      <c r="A38" s="9">
        <v>46029</v>
      </c>
      <c r="B38" s="7">
        <v>1357</v>
      </c>
      <c r="C38" s="7" t="s">
        <v>322</v>
      </c>
      <c r="D38" s="8">
        <v>10000</v>
      </c>
      <c r="E38" s="8">
        <f t="shared" si="2"/>
        <v>500000</v>
      </c>
      <c r="F38" s="8">
        <f t="shared" si="3"/>
        <v>150000</v>
      </c>
    </row>
    <row r="39" spans="1:6" x14ac:dyDescent="0.35">
      <c r="A39" s="7" t="s">
        <v>441</v>
      </c>
      <c r="B39" s="7">
        <v>1765</v>
      </c>
      <c r="C39" s="7" t="s">
        <v>322</v>
      </c>
      <c r="D39" s="8">
        <v>10000</v>
      </c>
      <c r="E39" s="8">
        <f t="shared" si="2"/>
        <v>510000</v>
      </c>
      <c r="F39" s="8">
        <f t="shared" si="3"/>
        <v>140000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1C8E-9600-44F2-9A5F-1E22084DD387}">
  <dimension ref="A1:F16"/>
  <sheetViews>
    <sheetView workbookViewId="0">
      <selection activeCell="F17" sqref="F17"/>
    </sheetView>
  </sheetViews>
  <sheetFormatPr defaultRowHeight="14.5" x14ac:dyDescent="0.35"/>
  <cols>
    <col min="1" max="1" width="9.453125" bestFit="1" customWidth="1"/>
    <col min="3" max="3" width="11.54296875" customWidth="1"/>
    <col min="6" max="6" width="11" customWidth="1"/>
  </cols>
  <sheetData>
    <row r="1" spans="1:6" ht="18.5" x14ac:dyDescent="0.45">
      <c r="A1" s="1" t="s">
        <v>247</v>
      </c>
      <c r="B1" s="1"/>
      <c r="C1" s="1"/>
      <c r="D1" s="1"/>
      <c r="E1" s="1"/>
      <c r="F1" s="1"/>
    </row>
    <row r="2" spans="1:6" ht="18.5" x14ac:dyDescent="0.45">
      <c r="A2" s="1" t="s">
        <v>248</v>
      </c>
      <c r="C2" s="1"/>
      <c r="D2" s="1"/>
      <c r="E2" s="1"/>
      <c r="F2" s="1"/>
    </row>
    <row r="3" spans="1:6" ht="18.5" x14ac:dyDescent="0.45">
      <c r="A3" s="1" t="s">
        <v>249</v>
      </c>
      <c r="B3" s="1"/>
      <c r="C3" s="1"/>
      <c r="D3" s="1"/>
      <c r="E3" s="1"/>
      <c r="F3" s="1"/>
    </row>
    <row r="4" spans="1:6" ht="18.5" x14ac:dyDescent="0.45">
      <c r="A4" s="1" t="s">
        <v>252</v>
      </c>
      <c r="B4" s="1"/>
      <c r="C4" s="1"/>
      <c r="D4" s="1"/>
      <c r="E4" s="1"/>
      <c r="F4" s="1"/>
    </row>
    <row r="5" spans="1:6" ht="18.5" x14ac:dyDescent="0.45">
      <c r="A5" s="1" t="s">
        <v>250</v>
      </c>
      <c r="B5" s="1"/>
      <c r="C5" s="1"/>
      <c r="D5" s="1"/>
      <c r="E5" s="1"/>
      <c r="F5" s="1"/>
    </row>
    <row r="6" spans="1:6" ht="18.5" x14ac:dyDescent="0.45">
      <c r="A6" s="1" t="s">
        <v>251</v>
      </c>
      <c r="B6" s="1"/>
      <c r="C6" s="1"/>
      <c r="D6" s="1" t="s">
        <v>104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14">
        <v>45911</v>
      </c>
      <c r="B8">
        <v>13471</v>
      </c>
      <c r="C8" t="s">
        <v>95</v>
      </c>
      <c r="D8" s="15">
        <v>10000</v>
      </c>
      <c r="E8" s="15">
        <v>10000</v>
      </c>
      <c r="F8" s="15">
        <v>690000</v>
      </c>
    </row>
    <row r="9" spans="1:6" x14ac:dyDescent="0.35">
      <c r="A9" s="14">
        <v>45850</v>
      </c>
      <c r="B9">
        <v>13291</v>
      </c>
      <c r="C9" t="s">
        <v>190</v>
      </c>
      <c r="D9" s="15">
        <v>10000</v>
      </c>
      <c r="E9" s="15">
        <f>SUM(E8+D9)</f>
        <v>20000</v>
      </c>
      <c r="F9" s="15">
        <f>F8-D9</f>
        <v>680000</v>
      </c>
    </row>
    <row r="10" spans="1:6" x14ac:dyDescent="0.35">
      <c r="A10" t="s">
        <v>99</v>
      </c>
      <c r="B10">
        <v>12201</v>
      </c>
      <c r="C10" t="s">
        <v>190</v>
      </c>
      <c r="D10" s="15">
        <v>10000</v>
      </c>
      <c r="E10" s="15">
        <f t="shared" ref="E10:E14" si="0">SUM(E9+D10)</f>
        <v>30000</v>
      </c>
      <c r="F10" s="15">
        <f t="shared" ref="F10:F14" si="1">F9-D10</f>
        <v>670000</v>
      </c>
    </row>
    <row r="11" spans="1:6" x14ac:dyDescent="0.35">
      <c r="A11" t="s">
        <v>244</v>
      </c>
      <c r="B11">
        <v>12463</v>
      </c>
      <c r="C11" t="s">
        <v>190</v>
      </c>
      <c r="D11" s="15">
        <v>10000</v>
      </c>
      <c r="E11" s="15">
        <f t="shared" si="0"/>
        <v>40000</v>
      </c>
      <c r="F11" s="15">
        <f t="shared" si="1"/>
        <v>660000</v>
      </c>
    </row>
    <row r="12" spans="1:6" x14ac:dyDescent="0.35">
      <c r="A12" t="s">
        <v>253</v>
      </c>
      <c r="B12">
        <v>12865</v>
      </c>
      <c r="C12" t="s">
        <v>190</v>
      </c>
      <c r="D12" s="15">
        <v>10000</v>
      </c>
      <c r="E12" s="15">
        <f t="shared" si="0"/>
        <v>50000</v>
      </c>
      <c r="F12" s="15">
        <f t="shared" si="1"/>
        <v>650000</v>
      </c>
    </row>
    <row r="13" spans="1:6" x14ac:dyDescent="0.35">
      <c r="A13" t="s">
        <v>254</v>
      </c>
      <c r="B13">
        <v>13063</v>
      </c>
      <c r="C13" t="s">
        <v>190</v>
      </c>
      <c r="D13" s="15">
        <v>10000</v>
      </c>
      <c r="E13" s="15">
        <f t="shared" si="0"/>
        <v>60000</v>
      </c>
      <c r="F13" s="15">
        <f t="shared" si="1"/>
        <v>640000</v>
      </c>
    </row>
    <row r="14" spans="1:6" x14ac:dyDescent="0.35">
      <c r="A14" t="s">
        <v>280</v>
      </c>
      <c r="B14">
        <v>13401</v>
      </c>
      <c r="C14" t="s">
        <v>190</v>
      </c>
      <c r="D14" s="15">
        <v>10000</v>
      </c>
      <c r="E14" s="15">
        <f t="shared" si="0"/>
        <v>70000</v>
      </c>
      <c r="F14" s="15">
        <f t="shared" si="1"/>
        <v>630000</v>
      </c>
    </row>
    <row r="15" spans="1:6" x14ac:dyDescent="0.35">
      <c r="A15" t="s">
        <v>332</v>
      </c>
      <c r="B15">
        <v>13626</v>
      </c>
      <c r="C15" t="s">
        <v>190</v>
      </c>
      <c r="D15" s="15">
        <v>10000</v>
      </c>
      <c r="E15" s="15">
        <f>E14+D15</f>
        <v>80000</v>
      </c>
      <c r="F15" s="15">
        <f>F14-D15</f>
        <v>620000</v>
      </c>
    </row>
    <row r="16" spans="1:6" x14ac:dyDescent="0.35">
      <c r="A16" t="s">
        <v>399</v>
      </c>
      <c r="B16">
        <v>1532</v>
      </c>
      <c r="C16" t="s">
        <v>190</v>
      </c>
      <c r="D16" s="15">
        <v>10000</v>
      </c>
      <c r="E16" s="15">
        <f>E15+D16</f>
        <v>90000</v>
      </c>
      <c r="F16" s="15">
        <f>F15-D16</f>
        <v>610000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BB96-1F64-438D-93B3-DF9AFAADB238}">
  <dimension ref="A1:F18"/>
  <sheetViews>
    <sheetView workbookViewId="0">
      <selection activeCell="A23" sqref="A23"/>
    </sheetView>
  </sheetViews>
  <sheetFormatPr defaultRowHeight="14.5" x14ac:dyDescent="0.35"/>
  <cols>
    <col min="1" max="1" width="10.453125" bestFit="1" customWidth="1"/>
    <col min="3" max="3" width="10.36328125" bestFit="1" customWidth="1"/>
    <col min="4" max="4" width="15.26953125" bestFit="1" customWidth="1"/>
    <col min="6" max="6" width="11.453125" bestFit="1" customWidth="1"/>
  </cols>
  <sheetData>
    <row r="1" spans="1:6" ht="18.5" x14ac:dyDescent="0.45">
      <c r="A1" s="1" t="s">
        <v>100</v>
      </c>
      <c r="B1" s="1"/>
      <c r="C1" s="1"/>
      <c r="D1" s="1"/>
      <c r="E1" s="1"/>
      <c r="F1" s="1"/>
    </row>
    <row r="2" spans="1:6" ht="18.5" x14ac:dyDescent="0.45">
      <c r="A2" s="1" t="s">
        <v>101</v>
      </c>
      <c r="C2" s="1"/>
      <c r="D2" s="1"/>
      <c r="E2" s="1"/>
      <c r="F2" s="1"/>
    </row>
    <row r="3" spans="1:6" ht="18.5" x14ac:dyDescent="0.45">
      <c r="A3" s="1" t="s">
        <v>102</v>
      </c>
      <c r="B3" s="1"/>
      <c r="C3" s="1"/>
      <c r="D3" s="1"/>
      <c r="E3" s="1"/>
      <c r="F3" s="1"/>
    </row>
    <row r="4" spans="1:6" ht="18.5" x14ac:dyDescent="0.45">
      <c r="A4" s="1" t="s">
        <v>256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/>
      <c r="C5" s="1"/>
      <c r="D5" s="1"/>
      <c r="E5" s="1"/>
      <c r="F5" s="1"/>
    </row>
    <row r="6" spans="1:6" ht="18.5" x14ac:dyDescent="0.45">
      <c r="A6" s="1" t="s">
        <v>103</v>
      </c>
      <c r="B6" s="1"/>
      <c r="C6" s="1"/>
      <c r="D6" s="1" t="s">
        <v>104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3" t="s">
        <v>105</v>
      </c>
      <c r="B8" s="3">
        <v>12890</v>
      </c>
      <c r="C8" s="3" t="s">
        <v>37</v>
      </c>
      <c r="D8" s="4">
        <v>150000</v>
      </c>
      <c r="E8" s="4">
        <v>150000</v>
      </c>
      <c r="F8" s="4">
        <v>550000</v>
      </c>
    </row>
    <row r="9" spans="1:6" x14ac:dyDescent="0.35">
      <c r="A9" s="3" t="s">
        <v>106</v>
      </c>
      <c r="B9" s="3">
        <v>13762</v>
      </c>
      <c r="C9" s="3" t="s">
        <v>22</v>
      </c>
      <c r="D9" s="4">
        <v>10000</v>
      </c>
      <c r="E9" s="4">
        <f>SUM(E8+D9)</f>
        <v>160000</v>
      </c>
      <c r="F9" s="4">
        <f>F8-D9</f>
        <v>540000</v>
      </c>
    </row>
    <row r="10" spans="1:6" x14ac:dyDescent="0.35">
      <c r="A10" s="3" t="s">
        <v>107</v>
      </c>
      <c r="B10" s="3">
        <v>13837</v>
      </c>
      <c r="C10" s="3" t="s">
        <v>22</v>
      </c>
      <c r="D10" s="4">
        <v>10000</v>
      </c>
      <c r="E10" s="4">
        <f t="shared" ref="E10:E17" si="0">SUM(E9+D10)</f>
        <v>170000</v>
      </c>
      <c r="F10" s="4">
        <f t="shared" ref="F10:F17" si="1">F9-D10</f>
        <v>530000</v>
      </c>
    </row>
    <row r="11" spans="1:6" x14ac:dyDescent="0.35">
      <c r="A11" s="5">
        <v>45971</v>
      </c>
      <c r="B11" s="3">
        <v>13761</v>
      </c>
      <c r="C11" s="3" t="s">
        <v>22</v>
      </c>
      <c r="D11" s="4">
        <v>10000</v>
      </c>
      <c r="E11" s="4">
        <f t="shared" si="0"/>
        <v>180000</v>
      </c>
      <c r="F11" s="4">
        <f t="shared" si="1"/>
        <v>520000</v>
      </c>
    </row>
    <row r="12" spans="1:6" x14ac:dyDescent="0.35">
      <c r="A12" s="5">
        <v>45972</v>
      </c>
      <c r="B12" s="3">
        <v>13337</v>
      </c>
      <c r="C12" s="3" t="s">
        <v>22</v>
      </c>
      <c r="D12" s="4">
        <v>10000</v>
      </c>
      <c r="E12" s="4">
        <f t="shared" si="0"/>
        <v>190000</v>
      </c>
      <c r="F12" s="4">
        <f t="shared" si="1"/>
        <v>510000</v>
      </c>
    </row>
    <row r="13" spans="1:6" x14ac:dyDescent="0.35">
      <c r="A13" s="5">
        <v>45942</v>
      </c>
      <c r="B13" s="3">
        <v>13148</v>
      </c>
      <c r="C13" s="3" t="s">
        <v>22</v>
      </c>
      <c r="D13" s="4">
        <v>10000</v>
      </c>
      <c r="E13" s="4">
        <f t="shared" si="0"/>
        <v>200000</v>
      </c>
      <c r="F13" s="4">
        <f t="shared" si="1"/>
        <v>500000</v>
      </c>
    </row>
    <row r="14" spans="1:6" x14ac:dyDescent="0.35">
      <c r="A14" s="5">
        <v>46144</v>
      </c>
      <c r="B14" s="3">
        <v>12346</v>
      </c>
      <c r="C14" s="3" t="s">
        <v>22</v>
      </c>
      <c r="D14" s="4">
        <v>20000</v>
      </c>
      <c r="E14" s="4">
        <f t="shared" si="0"/>
        <v>220000</v>
      </c>
      <c r="F14" s="4">
        <f t="shared" si="1"/>
        <v>480000</v>
      </c>
    </row>
    <row r="15" spans="1:6" x14ac:dyDescent="0.35">
      <c r="A15" s="5">
        <v>46084</v>
      </c>
      <c r="B15" s="3">
        <v>12726</v>
      </c>
      <c r="C15" s="3" t="s">
        <v>22</v>
      </c>
      <c r="D15" s="4">
        <v>10000</v>
      </c>
      <c r="E15" s="4">
        <f t="shared" si="0"/>
        <v>230000</v>
      </c>
      <c r="F15" s="4">
        <f t="shared" si="1"/>
        <v>470000</v>
      </c>
    </row>
    <row r="16" spans="1:6" x14ac:dyDescent="0.35">
      <c r="A16" s="9">
        <v>46269</v>
      </c>
      <c r="B16" s="3">
        <v>13195</v>
      </c>
      <c r="C16" s="3" t="s">
        <v>22</v>
      </c>
      <c r="D16" s="4">
        <v>10000</v>
      </c>
      <c r="E16" s="4">
        <f t="shared" si="0"/>
        <v>240000</v>
      </c>
      <c r="F16" s="4">
        <f t="shared" si="1"/>
        <v>460000</v>
      </c>
    </row>
    <row r="17" spans="1:6" x14ac:dyDescent="0.35">
      <c r="A17" s="9">
        <v>46178</v>
      </c>
      <c r="B17" s="3">
        <v>12948</v>
      </c>
      <c r="C17" s="3" t="s">
        <v>22</v>
      </c>
      <c r="D17" s="4">
        <v>10000</v>
      </c>
      <c r="E17" s="4">
        <f t="shared" si="0"/>
        <v>250000</v>
      </c>
      <c r="F17" s="4">
        <f t="shared" si="1"/>
        <v>450000</v>
      </c>
    </row>
    <row r="18" spans="1:6" x14ac:dyDescent="0.35">
      <c r="A18" t="s">
        <v>294</v>
      </c>
      <c r="B18" s="13">
        <v>13540</v>
      </c>
      <c r="C18" s="13" t="s">
        <v>22</v>
      </c>
      <c r="D18" s="12">
        <v>10000</v>
      </c>
      <c r="E18" s="12">
        <f>E17+D18</f>
        <v>260000</v>
      </c>
      <c r="F18" s="12">
        <f>F17-D18</f>
        <v>440000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CCE8-09E0-447F-B784-BAB287C337BC}">
  <dimension ref="A1:F20"/>
  <sheetViews>
    <sheetView workbookViewId="0">
      <selection activeCell="A7" sqref="A7:F7"/>
    </sheetView>
  </sheetViews>
  <sheetFormatPr defaultRowHeight="14.5" x14ac:dyDescent="0.35"/>
  <cols>
    <col min="1" max="1" width="9.453125" bestFit="1" customWidth="1"/>
    <col min="3" max="3" width="10.36328125" bestFit="1" customWidth="1"/>
    <col min="4" max="4" width="15.81640625" bestFit="1" customWidth="1"/>
    <col min="6" max="6" width="11.453125" bestFit="1" customWidth="1"/>
  </cols>
  <sheetData>
    <row r="1" spans="1:6" ht="18.5" x14ac:dyDescent="0.45">
      <c r="A1" s="1" t="s">
        <v>27</v>
      </c>
      <c r="B1" s="1"/>
      <c r="C1" s="1"/>
      <c r="D1" s="1"/>
      <c r="E1" s="1"/>
      <c r="F1" s="1"/>
    </row>
    <row r="2" spans="1:6" ht="18.5" x14ac:dyDescent="0.45">
      <c r="A2" s="1" t="s">
        <v>28</v>
      </c>
      <c r="C2" s="1"/>
      <c r="D2" s="1"/>
      <c r="E2" s="1"/>
      <c r="F2" s="1"/>
    </row>
    <row r="3" spans="1:6" ht="18.5" x14ac:dyDescent="0.45">
      <c r="A3" s="1" t="s">
        <v>29</v>
      </c>
      <c r="B3" s="1"/>
      <c r="C3" s="1"/>
      <c r="D3" s="1"/>
      <c r="E3" s="1"/>
      <c r="F3" s="1"/>
    </row>
    <row r="4" spans="1:6" ht="18.5" x14ac:dyDescent="0.45">
      <c r="A4" s="1" t="s">
        <v>268</v>
      </c>
      <c r="B4" s="1"/>
      <c r="C4" s="1"/>
      <c r="D4" s="1"/>
      <c r="E4" s="1"/>
      <c r="F4" s="1"/>
    </row>
    <row r="5" spans="1:6" ht="18.5" x14ac:dyDescent="0.45">
      <c r="A5" s="1" t="s">
        <v>266</v>
      </c>
      <c r="B5" s="1"/>
      <c r="C5" s="1"/>
      <c r="D5" s="1"/>
      <c r="E5" s="1"/>
      <c r="F5" s="1"/>
    </row>
    <row r="6" spans="1:6" ht="18.5" x14ac:dyDescent="0.45">
      <c r="A6" s="1" t="s">
        <v>31</v>
      </c>
      <c r="B6" s="1"/>
      <c r="C6" s="1"/>
      <c r="D6" s="1" t="s">
        <v>11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5">
        <v>45719</v>
      </c>
      <c r="B8" s="3">
        <v>7600</v>
      </c>
      <c r="C8" s="3" t="s">
        <v>37</v>
      </c>
      <c r="D8" s="4">
        <v>10000</v>
      </c>
      <c r="E8" s="4">
        <v>10000</v>
      </c>
      <c r="F8" s="4">
        <v>590000</v>
      </c>
    </row>
    <row r="9" spans="1:6" x14ac:dyDescent="0.35">
      <c r="A9" s="3" t="s">
        <v>32</v>
      </c>
      <c r="B9" s="3">
        <v>10685</v>
      </c>
      <c r="C9" s="3" t="s">
        <v>22</v>
      </c>
      <c r="D9" s="4">
        <v>10000</v>
      </c>
      <c r="E9" s="4">
        <f>SUM(E8+D9)</f>
        <v>20000</v>
      </c>
      <c r="F9" s="4">
        <f>F8-D9</f>
        <v>580000</v>
      </c>
    </row>
    <row r="10" spans="1:6" x14ac:dyDescent="0.35">
      <c r="A10" s="5">
        <v>45965</v>
      </c>
      <c r="B10" s="3">
        <v>10688</v>
      </c>
      <c r="C10" s="3" t="s">
        <v>22</v>
      </c>
      <c r="D10" s="4">
        <v>10000</v>
      </c>
      <c r="E10" s="4">
        <f t="shared" ref="E10:E19" si="0">SUM(E9+D10)</f>
        <v>30000</v>
      </c>
      <c r="F10" s="4">
        <f t="shared" ref="F10:F19" si="1">F9-D10</f>
        <v>570000</v>
      </c>
    </row>
    <row r="11" spans="1:6" x14ac:dyDescent="0.35">
      <c r="A11" s="3" t="s">
        <v>33</v>
      </c>
      <c r="B11" s="3">
        <v>12524</v>
      </c>
      <c r="C11" s="3" t="s">
        <v>22</v>
      </c>
      <c r="D11" s="4">
        <v>20000</v>
      </c>
      <c r="E11" s="4">
        <f t="shared" si="0"/>
        <v>50000</v>
      </c>
      <c r="F11" s="4">
        <f t="shared" si="1"/>
        <v>550000</v>
      </c>
    </row>
    <row r="12" spans="1:6" x14ac:dyDescent="0.35">
      <c r="A12" s="3" t="s">
        <v>34</v>
      </c>
      <c r="B12" s="3">
        <v>12525</v>
      </c>
      <c r="C12" s="3" t="s">
        <v>22</v>
      </c>
      <c r="D12" s="4">
        <v>10000</v>
      </c>
      <c r="E12" s="4">
        <f t="shared" si="0"/>
        <v>60000</v>
      </c>
      <c r="F12" s="4">
        <f t="shared" si="1"/>
        <v>540000</v>
      </c>
    </row>
    <row r="13" spans="1:6" x14ac:dyDescent="0.35">
      <c r="A13" s="3" t="s">
        <v>35</v>
      </c>
      <c r="B13" s="3">
        <v>13984</v>
      </c>
      <c r="C13" s="3" t="s">
        <v>22</v>
      </c>
      <c r="D13" s="4">
        <v>10000</v>
      </c>
      <c r="E13" s="4">
        <f t="shared" si="0"/>
        <v>70000</v>
      </c>
      <c r="F13" s="4">
        <f t="shared" si="1"/>
        <v>530000</v>
      </c>
    </row>
    <row r="14" spans="1:6" x14ac:dyDescent="0.35">
      <c r="A14" s="3" t="s">
        <v>36</v>
      </c>
      <c r="B14" s="3">
        <v>13516</v>
      </c>
      <c r="C14" s="3" t="s">
        <v>22</v>
      </c>
      <c r="D14" s="4">
        <v>10000</v>
      </c>
      <c r="E14" s="4">
        <f t="shared" si="0"/>
        <v>80000</v>
      </c>
      <c r="F14" s="4">
        <f t="shared" si="1"/>
        <v>520000</v>
      </c>
    </row>
    <row r="15" spans="1:6" x14ac:dyDescent="0.35">
      <c r="A15" s="5">
        <v>45788</v>
      </c>
      <c r="B15" s="3">
        <v>13379</v>
      </c>
      <c r="C15" s="3" t="s">
        <v>22</v>
      </c>
      <c r="D15" s="4">
        <v>10000</v>
      </c>
      <c r="E15" s="4">
        <f t="shared" si="0"/>
        <v>90000</v>
      </c>
      <c r="F15" s="4">
        <f t="shared" si="1"/>
        <v>510000</v>
      </c>
    </row>
    <row r="16" spans="1:6" x14ac:dyDescent="0.35">
      <c r="A16" s="5">
        <v>45881</v>
      </c>
      <c r="B16" s="3">
        <v>13110</v>
      </c>
      <c r="C16" s="3" t="s">
        <v>22</v>
      </c>
      <c r="D16" s="4">
        <v>10000</v>
      </c>
      <c r="E16" s="4">
        <f t="shared" si="0"/>
        <v>100000</v>
      </c>
      <c r="F16" s="4">
        <f t="shared" si="1"/>
        <v>500000</v>
      </c>
    </row>
    <row r="17" spans="1:6" x14ac:dyDescent="0.35">
      <c r="A17" s="5">
        <v>46143</v>
      </c>
      <c r="B17" s="3">
        <v>13848</v>
      </c>
      <c r="C17" s="3" t="s">
        <v>22</v>
      </c>
      <c r="D17" s="4">
        <v>10000</v>
      </c>
      <c r="E17" s="4">
        <f t="shared" si="0"/>
        <v>110000</v>
      </c>
      <c r="F17" s="4">
        <f t="shared" si="1"/>
        <v>490000</v>
      </c>
    </row>
    <row r="18" spans="1:6" x14ac:dyDescent="0.35">
      <c r="A18" s="5">
        <v>46328</v>
      </c>
      <c r="B18" s="3">
        <v>12429</v>
      </c>
      <c r="C18" s="3" t="s">
        <v>22</v>
      </c>
      <c r="D18" s="4">
        <v>10000</v>
      </c>
      <c r="E18" s="4">
        <f t="shared" si="0"/>
        <v>120000</v>
      </c>
      <c r="F18" s="4">
        <f t="shared" si="1"/>
        <v>480000</v>
      </c>
    </row>
    <row r="19" spans="1:6" x14ac:dyDescent="0.35">
      <c r="A19" t="s">
        <v>267</v>
      </c>
      <c r="B19" s="13">
        <v>13376</v>
      </c>
      <c r="C19" s="13" t="s">
        <v>22</v>
      </c>
      <c r="D19" s="4">
        <v>10000</v>
      </c>
      <c r="E19" s="4">
        <f t="shared" si="0"/>
        <v>130000</v>
      </c>
      <c r="F19" s="4">
        <f t="shared" si="1"/>
        <v>470000</v>
      </c>
    </row>
    <row r="20" spans="1:6" x14ac:dyDescent="0.35">
      <c r="A20" t="s">
        <v>293</v>
      </c>
      <c r="B20" s="13">
        <v>13549</v>
      </c>
      <c r="C20" s="13" t="s">
        <v>22</v>
      </c>
      <c r="D20" s="12">
        <v>10000</v>
      </c>
      <c r="E20" s="12">
        <f>E19+D20</f>
        <v>140000</v>
      </c>
      <c r="F20" s="12">
        <f>F19-D20</f>
        <v>460000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9B3A-5CA3-4CA1-BCE2-1C7F91E1FD16}">
  <dimension ref="A1:F9"/>
  <sheetViews>
    <sheetView workbookViewId="0">
      <selection activeCell="C10" sqref="C10"/>
    </sheetView>
  </sheetViews>
  <sheetFormatPr defaultRowHeight="14.5" x14ac:dyDescent="0.35"/>
  <sheetData>
    <row r="1" spans="1:6" x14ac:dyDescent="0.35">
      <c r="A1" t="s">
        <v>295</v>
      </c>
      <c r="B1" t="s">
        <v>396</v>
      </c>
    </row>
    <row r="2" spans="1:6" x14ac:dyDescent="0.35">
      <c r="A2" t="s">
        <v>296</v>
      </c>
      <c r="B2" t="s">
        <v>393</v>
      </c>
    </row>
    <row r="3" spans="1:6" x14ac:dyDescent="0.35">
      <c r="A3" t="s">
        <v>297</v>
      </c>
    </row>
    <row r="4" spans="1:6" x14ac:dyDescent="0.35">
      <c r="A4" t="s">
        <v>299</v>
      </c>
    </row>
    <row r="5" spans="1:6" x14ac:dyDescent="0.35">
      <c r="A5" t="s">
        <v>298</v>
      </c>
      <c r="B5" t="s">
        <v>397</v>
      </c>
    </row>
    <row r="6" spans="1:6" x14ac:dyDescent="0.35">
      <c r="A6" t="s">
        <v>300</v>
      </c>
      <c r="B6">
        <v>6318</v>
      </c>
    </row>
    <row r="8" spans="1:6" x14ac:dyDescent="0.3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35">
      <c r="C9" t="s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C829-723F-415B-AF93-9BFB94DBEB9A}">
  <dimension ref="A1:F9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295</v>
      </c>
      <c r="B1" t="s">
        <v>392</v>
      </c>
    </row>
    <row r="2" spans="1:6" x14ac:dyDescent="0.35">
      <c r="A2" t="s">
        <v>296</v>
      </c>
      <c r="B2" t="s">
        <v>393</v>
      </c>
    </row>
    <row r="3" spans="1:6" x14ac:dyDescent="0.35">
      <c r="A3" t="s">
        <v>297</v>
      </c>
    </row>
    <row r="4" spans="1:6" x14ac:dyDescent="0.35">
      <c r="A4" t="s">
        <v>298</v>
      </c>
      <c r="B4" t="s">
        <v>394</v>
      </c>
    </row>
    <row r="5" spans="1:6" x14ac:dyDescent="0.35">
      <c r="A5" t="s">
        <v>299</v>
      </c>
    </row>
    <row r="6" spans="1:6" x14ac:dyDescent="0.35">
      <c r="A6" t="s">
        <v>300</v>
      </c>
      <c r="B6">
        <v>6319</v>
      </c>
    </row>
    <row r="8" spans="1:6" x14ac:dyDescent="0.3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35">
      <c r="C9" t="s">
        <v>395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DE2A-B357-4A22-ABB6-1DDE2AB659D3}">
  <dimension ref="A1:F41"/>
  <sheetViews>
    <sheetView topLeftCell="A29" workbookViewId="0">
      <selection activeCell="F42" sqref="F42"/>
    </sheetView>
  </sheetViews>
  <sheetFormatPr defaultRowHeight="14.5" x14ac:dyDescent="0.35"/>
  <cols>
    <col min="1" max="1" width="9.453125" bestFit="1" customWidth="1"/>
    <col min="3" max="3" width="13.08984375" customWidth="1"/>
    <col min="6" max="6" width="11.08984375" customWidth="1"/>
  </cols>
  <sheetData>
    <row r="1" spans="1:6" ht="18.5" x14ac:dyDescent="0.45">
      <c r="A1" s="1" t="s">
        <v>215</v>
      </c>
      <c r="B1" s="1"/>
      <c r="C1" s="1"/>
      <c r="D1" s="1"/>
      <c r="E1" s="1"/>
      <c r="F1" s="1"/>
    </row>
    <row r="2" spans="1:6" ht="18.5" x14ac:dyDescent="0.45">
      <c r="A2" s="1" t="s">
        <v>216</v>
      </c>
      <c r="C2" s="1"/>
      <c r="D2" s="1"/>
      <c r="E2" s="1"/>
      <c r="F2" s="1"/>
    </row>
    <row r="3" spans="1:6" ht="18.5" x14ac:dyDescent="0.45">
      <c r="A3" s="1" t="s">
        <v>217</v>
      </c>
      <c r="B3" s="1"/>
      <c r="C3" s="1"/>
      <c r="D3" s="1"/>
      <c r="E3" s="1"/>
      <c r="F3" s="1"/>
    </row>
    <row r="4" spans="1:6" ht="18.5" x14ac:dyDescent="0.45">
      <c r="A4" s="1" t="s">
        <v>221</v>
      </c>
      <c r="B4" s="1"/>
      <c r="C4" s="1"/>
      <c r="D4" s="1"/>
      <c r="E4" s="1"/>
      <c r="F4" s="1"/>
    </row>
    <row r="5" spans="1:6" ht="18.5" x14ac:dyDescent="0.45">
      <c r="A5" s="1" t="s">
        <v>218</v>
      </c>
      <c r="B5" s="1"/>
      <c r="C5" s="1"/>
      <c r="D5" s="1"/>
      <c r="E5" s="1"/>
      <c r="F5" s="1"/>
    </row>
    <row r="6" spans="1:6" ht="18.5" x14ac:dyDescent="0.45">
      <c r="A6" s="1" t="s">
        <v>219</v>
      </c>
      <c r="B6" s="1"/>
      <c r="C6" s="1"/>
      <c r="D6" s="1" t="s">
        <v>220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14">
        <v>45144</v>
      </c>
      <c r="B8">
        <v>375</v>
      </c>
      <c r="C8" t="s">
        <v>37</v>
      </c>
      <c r="D8" s="15">
        <v>95000</v>
      </c>
      <c r="E8" s="15">
        <v>95000</v>
      </c>
      <c r="F8" s="15">
        <v>505000</v>
      </c>
    </row>
    <row r="9" spans="1:6" x14ac:dyDescent="0.35">
      <c r="A9" s="14">
        <v>45022</v>
      </c>
      <c r="B9">
        <v>104</v>
      </c>
      <c r="C9" t="s">
        <v>229</v>
      </c>
      <c r="D9" s="15">
        <v>5000</v>
      </c>
      <c r="E9" s="15">
        <f>SUM(E8+D9)</f>
        <v>100000</v>
      </c>
      <c r="F9" s="15">
        <f>F8-D9</f>
        <v>500000</v>
      </c>
    </row>
    <row r="10" spans="1:6" x14ac:dyDescent="0.35">
      <c r="A10" t="s">
        <v>222</v>
      </c>
      <c r="B10">
        <v>2790</v>
      </c>
      <c r="C10" t="s">
        <v>190</v>
      </c>
      <c r="D10" s="15">
        <v>10000</v>
      </c>
      <c r="E10" s="15">
        <f t="shared" ref="E10:E40" si="0">SUM(E9+D10)</f>
        <v>110000</v>
      </c>
      <c r="F10" s="15">
        <f t="shared" ref="F10:F40" si="1">F9-D10</f>
        <v>490000</v>
      </c>
    </row>
    <row r="11" spans="1:6" x14ac:dyDescent="0.35">
      <c r="A11" t="s">
        <v>13</v>
      </c>
      <c r="B11">
        <v>2489</v>
      </c>
      <c r="C11" t="s">
        <v>190</v>
      </c>
      <c r="D11" s="15">
        <v>10000</v>
      </c>
      <c r="E11" s="15">
        <f t="shared" si="0"/>
        <v>120000</v>
      </c>
      <c r="F11" s="15">
        <f t="shared" si="1"/>
        <v>480000</v>
      </c>
    </row>
    <row r="12" spans="1:6" x14ac:dyDescent="0.35">
      <c r="A12" t="s">
        <v>223</v>
      </c>
      <c r="B12">
        <v>3891</v>
      </c>
      <c r="C12" t="s">
        <v>190</v>
      </c>
      <c r="D12" s="15">
        <v>10000</v>
      </c>
      <c r="E12" s="15">
        <f t="shared" si="0"/>
        <v>130000</v>
      </c>
      <c r="F12" s="15">
        <f t="shared" si="1"/>
        <v>470000</v>
      </c>
    </row>
    <row r="13" spans="1:6" x14ac:dyDescent="0.35">
      <c r="A13" t="s">
        <v>224</v>
      </c>
      <c r="B13">
        <v>4277</v>
      </c>
      <c r="C13" t="s">
        <v>190</v>
      </c>
      <c r="D13" s="15">
        <v>10000</v>
      </c>
      <c r="E13" s="15">
        <f t="shared" si="0"/>
        <v>140000</v>
      </c>
      <c r="F13" s="15">
        <f t="shared" si="1"/>
        <v>460000</v>
      </c>
    </row>
    <row r="14" spans="1:6" x14ac:dyDescent="0.35">
      <c r="A14" t="s">
        <v>225</v>
      </c>
      <c r="B14">
        <v>4875</v>
      </c>
      <c r="C14" t="s">
        <v>190</v>
      </c>
      <c r="D14" s="15">
        <v>10000</v>
      </c>
      <c r="E14" s="15">
        <f t="shared" si="0"/>
        <v>150000</v>
      </c>
      <c r="F14" s="15">
        <f t="shared" si="1"/>
        <v>450000</v>
      </c>
    </row>
    <row r="15" spans="1:6" x14ac:dyDescent="0.35">
      <c r="A15" t="s">
        <v>226</v>
      </c>
      <c r="B15">
        <v>5559</v>
      </c>
      <c r="C15" t="s">
        <v>190</v>
      </c>
      <c r="D15" s="15">
        <v>10000</v>
      </c>
      <c r="E15" s="15">
        <f t="shared" si="0"/>
        <v>160000</v>
      </c>
      <c r="F15" s="15">
        <f t="shared" si="1"/>
        <v>440000</v>
      </c>
    </row>
    <row r="16" spans="1:6" x14ac:dyDescent="0.35">
      <c r="A16" t="s">
        <v>15</v>
      </c>
      <c r="B16">
        <v>6217</v>
      </c>
      <c r="C16" t="s">
        <v>190</v>
      </c>
      <c r="D16" s="15">
        <v>10000</v>
      </c>
      <c r="E16" s="15">
        <f t="shared" si="0"/>
        <v>170000</v>
      </c>
      <c r="F16" s="15">
        <f t="shared" si="1"/>
        <v>430000</v>
      </c>
    </row>
    <row r="17" spans="1:6" x14ac:dyDescent="0.35">
      <c r="A17" t="s">
        <v>227</v>
      </c>
      <c r="B17">
        <v>6650</v>
      </c>
      <c r="C17" t="s">
        <v>190</v>
      </c>
      <c r="D17" s="15">
        <v>10000</v>
      </c>
      <c r="E17" s="15">
        <f t="shared" si="0"/>
        <v>180000</v>
      </c>
      <c r="F17" s="15">
        <f t="shared" si="1"/>
        <v>420000</v>
      </c>
    </row>
    <row r="18" spans="1:6" x14ac:dyDescent="0.35">
      <c r="A18" t="s">
        <v>228</v>
      </c>
      <c r="B18">
        <v>7513</v>
      </c>
      <c r="C18" t="s">
        <v>190</v>
      </c>
      <c r="D18" s="15">
        <v>10000</v>
      </c>
      <c r="E18" s="15">
        <f t="shared" si="0"/>
        <v>190000</v>
      </c>
      <c r="F18" s="15">
        <f t="shared" si="1"/>
        <v>410000</v>
      </c>
    </row>
    <row r="19" spans="1:6" x14ac:dyDescent="0.35">
      <c r="A19" s="14">
        <v>45601</v>
      </c>
      <c r="B19">
        <v>8406</v>
      </c>
      <c r="C19" t="s">
        <v>190</v>
      </c>
      <c r="D19" s="15">
        <v>10000</v>
      </c>
      <c r="E19" s="15">
        <f t="shared" si="0"/>
        <v>200000</v>
      </c>
      <c r="F19" s="15">
        <f t="shared" si="1"/>
        <v>400000</v>
      </c>
    </row>
    <row r="20" spans="1:6" x14ac:dyDescent="0.35">
      <c r="A20" s="14">
        <v>45297</v>
      </c>
      <c r="B20">
        <v>9122</v>
      </c>
      <c r="C20" t="s">
        <v>190</v>
      </c>
      <c r="D20" s="15">
        <v>10000</v>
      </c>
      <c r="E20" s="15">
        <f t="shared" si="0"/>
        <v>210000</v>
      </c>
      <c r="F20" s="15">
        <f t="shared" si="1"/>
        <v>390000</v>
      </c>
    </row>
    <row r="21" spans="1:6" x14ac:dyDescent="0.35">
      <c r="A21" t="s">
        <v>230</v>
      </c>
      <c r="B21">
        <v>9781</v>
      </c>
      <c r="C21" t="s">
        <v>190</v>
      </c>
      <c r="D21" s="15">
        <v>10000</v>
      </c>
      <c r="E21" s="15">
        <f t="shared" si="0"/>
        <v>220000</v>
      </c>
      <c r="F21" s="15">
        <f t="shared" si="1"/>
        <v>380000</v>
      </c>
    </row>
    <row r="22" spans="1:6" x14ac:dyDescent="0.35">
      <c r="A22" t="s">
        <v>231</v>
      </c>
      <c r="B22">
        <v>11282</v>
      </c>
      <c r="C22" t="s">
        <v>190</v>
      </c>
      <c r="D22" s="15">
        <v>10000</v>
      </c>
      <c r="E22" s="15">
        <f t="shared" si="0"/>
        <v>230000</v>
      </c>
      <c r="F22" s="15">
        <f t="shared" si="1"/>
        <v>370000</v>
      </c>
    </row>
    <row r="23" spans="1:6" x14ac:dyDescent="0.35">
      <c r="A23" t="s">
        <v>232</v>
      </c>
      <c r="B23">
        <v>10887</v>
      </c>
      <c r="C23" t="s">
        <v>190</v>
      </c>
      <c r="D23" s="15">
        <v>10000</v>
      </c>
      <c r="E23" s="15">
        <f t="shared" si="0"/>
        <v>240000</v>
      </c>
      <c r="F23" s="15">
        <f t="shared" si="1"/>
        <v>360000</v>
      </c>
    </row>
    <row r="24" spans="1:6" x14ac:dyDescent="0.35">
      <c r="A24" s="14">
        <v>45453</v>
      </c>
      <c r="B24">
        <v>10216</v>
      </c>
      <c r="C24" t="s">
        <v>190</v>
      </c>
      <c r="D24" s="15">
        <v>10000</v>
      </c>
      <c r="E24" s="15">
        <f t="shared" si="0"/>
        <v>250000</v>
      </c>
      <c r="F24" s="15">
        <f t="shared" si="1"/>
        <v>350000</v>
      </c>
    </row>
    <row r="25" spans="1:6" x14ac:dyDescent="0.35">
      <c r="A25" t="s">
        <v>233</v>
      </c>
      <c r="B25">
        <v>12124</v>
      </c>
      <c r="C25" t="s">
        <v>190</v>
      </c>
      <c r="D25" s="15">
        <v>10000</v>
      </c>
      <c r="E25" s="15">
        <f t="shared" si="0"/>
        <v>260000</v>
      </c>
      <c r="F25" s="15">
        <f t="shared" si="1"/>
        <v>340000</v>
      </c>
    </row>
    <row r="26" spans="1:6" x14ac:dyDescent="0.35">
      <c r="A26" t="s">
        <v>234</v>
      </c>
      <c r="B26">
        <v>12609</v>
      </c>
      <c r="C26" t="s">
        <v>190</v>
      </c>
      <c r="D26" s="15">
        <v>10000</v>
      </c>
      <c r="E26" s="15">
        <f t="shared" si="0"/>
        <v>270000</v>
      </c>
      <c r="F26" s="15">
        <f t="shared" si="1"/>
        <v>330000</v>
      </c>
    </row>
    <row r="27" spans="1:6" x14ac:dyDescent="0.35">
      <c r="A27" t="s">
        <v>235</v>
      </c>
      <c r="B27">
        <v>9030</v>
      </c>
      <c r="C27" t="s">
        <v>190</v>
      </c>
      <c r="D27" s="15">
        <v>10000</v>
      </c>
      <c r="E27" s="15">
        <f t="shared" si="0"/>
        <v>280000</v>
      </c>
      <c r="F27" s="15">
        <f t="shared" si="1"/>
        <v>320000</v>
      </c>
    </row>
    <row r="28" spans="1:6" x14ac:dyDescent="0.35">
      <c r="A28" s="14">
        <v>45963</v>
      </c>
      <c r="B28">
        <v>9711</v>
      </c>
      <c r="C28" t="s">
        <v>190</v>
      </c>
      <c r="D28" s="15">
        <v>20000</v>
      </c>
      <c r="E28" s="15">
        <f t="shared" si="0"/>
        <v>300000</v>
      </c>
      <c r="F28" s="15">
        <f t="shared" si="1"/>
        <v>300000</v>
      </c>
    </row>
    <row r="29" spans="1:6" x14ac:dyDescent="0.35">
      <c r="A29" t="s">
        <v>236</v>
      </c>
      <c r="B29">
        <v>10236</v>
      </c>
      <c r="C29" t="s">
        <v>190</v>
      </c>
      <c r="D29" s="15">
        <v>10000</v>
      </c>
      <c r="E29" s="15">
        <f t="shared" si="0"/>
        <v>310000</v>
      </c>
      <c r="F29" s="15">
        <f t="shared" si="1"/>
        <v>290000</v>
      </c>
    </row>
    <row r="30" spans="1:6" x14ac:dyDescent="0.35">
      <c r="A30" t="s">
        <v>237</v>
      </c>
      <c r="B30">
        <v>10681</v>
      </c>
      <c r="C30" t="s">
        <v>190</v>
      </c>
      <c r="D30" s="15">
        <v>10000</v>
      </c>
      <c r="E30" s="15">
        <f t="shared" si="0"/>
        <v>320000</v>
      </c>
      <c r="F30" s="15">
        <f t="shared" si="1"/>
        <v>280000</v>
      </c>
    </row>
    <row r="31" spans="1:6" x14ac:dyDescent="0.35">
      <c r="A31" t="s">
        <v>238</v>
      </c>
      <c r="B31">
        <v>9945</v>
      </c>
      <c r="C31" t="s">
        <v>190</v>
      </c>
      <c r="D31" s="15">
        <v>10000</v>
      </c>
      <c r="E31" s="15">
        <f t="shared" si="0"/>
        <v>330000</v>
      </c>
      <c r="F31" s="15">
        <f t="shared" si="1"/>
        <v>270000</v>
      </c>
    </row>
    <row r="32" spans="1:6" x14ac:dyDescent="0.35">
      <c r="A32" t="s">
        <v>239</v>
      </c>
      <c r="B32">
        <v>12201</v>
      </c>
      <c r="C32" t="s">
        <v>190</v>
      </c>
      <c r="D32" s="15">
        <v>10000</v>
      </c>
      <c r="E32" s="15">
        <f t="shared" si="0"/>
        <v>340000</v>
      </c>
      <c r="F32" s="15">
        <f t="shared" si="1"/>
        <v>260000</v>
      </c>
    </row>
    <row r="33" spans="1:6" x14ac:dyDescent="0.35">
      <c r="A33" t="s">
        <v>240</v>
      </c>
      <c r="B33">
        <v>12968</v>
      </c>
      <c r="C33" t="s">
        <v>190</v>
      </c>
      <c r="D33" s="15">
        <v>10000</v>
      </c>
      <c r="E33" s="15">
        <f t="shared" si="0"/>
        <v>350000</v>
      </c>
      <c r="F33" s="15">
        <f t="shared" si="1"/>
        <v>250000</v>
      </c>
    </row>
    <row r="34" spans="1:6" x14ac:dyDescent="0.35">
      <c r="A34" t="s">
        <v>241</v>
      </c>
      <c r="B34">
        <v>13681</v>
      </c>
      <c r="C34" t="s">
        <v>190</v>
      </c>
      <c r="D34" s="15">
        <v>10000</v>
      </c>
      <c r="E34" s="15">
        <f t="shared" si="0"/>
        <v>360000</v>
      </c>
      <c r="F34" s="15">
        <f t="shared" si="1"/>
        <v>240000</v>
      </c>
    </row>
    <row r="35" spans="1:6" x14ac:dyDescent="0.35">
      <c r="A35" t="s">
        <v>242</v>
      </c>
      <c r="B35">
        <v>13049</v>
      </c>
      <c r="C35" t="s">
        <v>190</v>
      </c>
      <c r="D35" s="15">
        <v>10000</v>
      </c>
      <c r="E35" s="15">
        <f t="shared" si="0"/>
        <v>370000</v>
      </c>
      <c r="F35" s="15">
        <f t="shared" si="1"/>
        <v>230000</v>
      </c>
    </row>
    <row r="36" spans="1:6" x14ac:dyDescent="0.35">
      <c r="A36" t="s">
        <v>64</v>
      </c>
      <c r="B36">
        <v>12664</v>
      </c>
      <c r="C36" t="s">
        <v>190</v>
      </c>
      <c r="D36" s="15">
        <v>10000</v>
      </c>
      <c r="E36" s="15">
        <f t="shared" si="0"/>
        <v>380000</v>
      </c>
      <c r="F36" s="15">
        <f t="shared" si="1"/>
        <v>220000</v>
      </c>
    </row>
    <row r="37" spans="1:6" x14ac:dyDescent="0.35">
      <c r="A37" t="s">
        <v>243</v>
      </c>
      <c r="B37">
        <v>12223</v>
      </c>
      <c r="C37" t="s">
        <v>190</v>
      </c>
      <c r="D37" s="15">
        <v>10000</v>
      </c>
      <c r="E37" s="15">
        <f t="shared" si="0"/>
        <v>390000</v>
      </c>
      <c r="F37" s="15">
        <f t="shared" si="1"/>
        <v>210000</v>
      </c>
    </row>
    <row r="38" spans="1:6" x14ac:dyDescent="0.35">
      <c r="A38" t="s">
        <v>244</v>
      </c>
      <c r="B38">
        <v>12475</v>
      </c>
      <c r="C38" t="s">
        <v>190</v>
      </c>
      <c r="D38" s="15">
        <v>10000</v>
      </c>
      <c r="E38" s="15">
        <f t="shared" si="0"/>
        <v>400000</v>
      </c>
      <c r="F38" s="15">
        <f t="shared" si="1"/>
        <v>200000</v>
      </c>
    </row>
    <row r="39" spans="1:6" x14ac:dyDescent="0.35">
      <c r="A39" t="s">
        <v>245</v>
      </c>
      <c r="B39">
        <v>13935</v>
      </c>
      <c r="C39" t="s">
        <v>190</v>
      </c>
      <c r="D39" s="15">
        <v>10000</v>
      </c>
      <c r="E39" s="15">
        <f t="shared" si="0"/>
        <v>410000</v>
      </c>
      <c r="F39" s="15">
        <f t="shared" si="1"/>
        <v>190000</v>
      </c>
    </row>
    <row r="40" spans="1:6" x14ac:dyDescent="0.35">
      <c r="A40" t="s">
        <v>246</v>
      </c>
      <c r="B40">
        <v>13026</v>
      </c>
      <c r="C40" t="s">
        <v>190</v>
      </c>
      <c r="D40" s="15">
        <v>10000</v>
      </c>
      <c r="E40" s="15">
        <f t="shared" si="0"/>
        <v>420000</v>
      </c>
      <c r="F40" s="15">
        <f t="shared" si="1"/>
        <v>180000</v>
      </c>
    </row>
    <row r="41" spans="1:6" x14ac:dyDescent="0.35">
      <c r="A41" t="s">
        <v>289</v>
      </c>
      <c r="B41">
        <v>13416</v>
      </c>
      <c r="C41" t="s">
        <v>190</v>
      </c>
      <c r="D41" s="15">
        <v>10000</v>
      </c>
      <c r="E41" s="15">
        <f>E40+D41</f>
        <v>430000</v>
      </c>
      <c r="F41" s="15">
        <f>F40-D41</f>
        <v>170000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237B-437E-488E-83E3-5791EF26EFAE}">
  <dimension ref="A1:F21"/>
  <sheetViews>
    <sheetView tabSelected="1" topLeftCell="A9" workbookViewId="0">
      <selection activeCell="K16" sqref="K16"/>
    </sheetView>
  </sheetViews>
  <sheetFormatPr defaultRowHeight="14.5" x14ac:dyDescent="0.35"/>
  <cols>
    <col min="1" max="1" width="10.453125" bestFit="1" customWidth="1"/>
    <col min="3" max="3" width="13.453125" customWidth="1"/>
    <col min="4" max="4" width="10.453125" customWidth="1"/>
    <col min="6" max="6" width="11.26953125" customWidth="1"/>
  </cols>
  <sheetData>
    <row r="1" spans="1:6" ht="18.5" x14ac:dyDescent="0.45">
      <c r="A1" s="1" t="s">
        <v>133</v>
      </c>
      <c r="B1" s="1"/>
      <c r="C1" s="1"/>
      <c r="D1" s="1"/>
      <c r="E1" s="1"/>
      <c r="F1" s="1"/>
    </row>
    <row r="2" spans="1:6" ht="18.5" x14ac:dyDescent="0.45">
      <c r="A2" s="1" t="s">
        <v>134</v>
      </c>
      <c r="C2" s="1"/>
      <c r="D2" s="1"/>
      <c r="E2" s="1"/>
      <c r="F2" s="1"/>
    </row>
    <row r="3" spans="1:6" ht="18.5" x14ac:dyDescent="0.45">
      <c r="A3" s="1" t="s">
        <v>135</v>
      </c>
      <c r="B3" s="1"/>
      <c r="C3" s="1"/>
      <c r="D3" s="1"/>
      <c r="E3" s="1"/>
      <c r="F3" s="1"/>
    </row>
    <row r="4" spans="1:6" ht="18.5" x14ac:dyDescent="0.45">
      <c r="A4" s="1" t="s">
        <v>214</v>
      </c>
      <c r="B4" s="1"/>
      <c r="C4" s="1"/>
      <c r="D4" s="1"/>
      <c r="E4" s="1"/>
      <c r="F4" s="1"/>
    </row>
    <row r="5" spans="1:6" ht="18.5" x14ac:dyDescent="0.45">
      <c r="A5" s="1" t="s">
        <v>136</v>
      </c>
      <c r="B5" s="1"/>
      <c r="C5" s="1"/>
      <c r="D5" s="1"/>
      <c r="E5" s="1"/>
      <c r="F5" s="1"/>
    </row>
    <row r="6" spans="1:6" ht="18.5" x14ac:dyDescent="0.45">
      <c r="A6" s="1" t="s">
        <v>137</v>
      </c>
      <c r="B6" s="1"/>
      <c r="C6" s="1"/>
      <c r="D6" s="1" t="s">
        <v>104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10">
        <v>45723</v>
      </c>
      <c r="B8" s="11">
        <v>12044</v>
      </c>
      <c r="C8" s="11" t="s">
        <v>140</v>
      </c>
      <c r="D8" s="12">
        <v>50000</v>
      </c>
      <c r="E8" s="12">
        <v>50000</v>
      </c>
      <c r="F8" s="12">
        <v>650000</v>
      </c>
    </row>
    <row r="9" spans="1:6" x14ac:dyDescent="0.35">
      <c r="A9" s="10">
        <v>45969</v>
      </c>
      <c r="B9" s="11">
        <v>12494</v>
      </c>
      <c r="C9" s="11" t="s">
        <v>22</v>
      </c>
      <c r="D9" s="12">
        <v>10000</v>
      </c>
      <c r="E9" s="12">
        <f>SUM(E8+D9)</f>
        <v>60000</v>
      </c>
      <c r="F9" s="12">
        <f>F8-D9</f>
        <v>640000</v>
      </c>
    </row>
    <row r="10" spans="1:6" x14ac:dyDescent="0.35">
      <c r="A10" s="11" t="s">
        <v>107</v>
      </c>
      <c r="B10" s="11">
        <v>13832</v>
      </c>
      <c r="C10" s="11" t="s">
        <v>22</v>
      </c>
      <c r="D10" s="12">
        <v>10000</v>
      </c>
      <c r="E10" s="12">
        <f t="shared" ref="E10:E18" si="0">SUM(E9+D10)</f>
        <v>70000</v>
      </c>
      <c r="F10" s="12">
        <f t="shared" ref="F10:F18" si="1">F9-D10</f>
        <v>630000</v>
      </c>
    </row>
    <row r="11" spans="1:6" x14ac:dyDescent="0.35">
      <c r="A11" s="11" t="s">
        <v>138</v>
      </c>
      <c r="B11" s="11">
        <v>13791</v>
      </c>
      <c r="C11" s="11" t="s">
        <v>22</v>
      </c>
      <c r="D11" s="12">
        <v>10000</v>
      </c>
      <c r="E11" s="12">
        <f t="shared" si="0"/>
        <v>80000</v>
      </c>
      <c r="F11" s="12">
        <f t="shared" si="1"/>
        <v>620000</v>
      </c>
    </row>
    <row r="12" spans="1:6" x14ac:dyDescent="0.35">
      <c r="A12" s="10">
        <v>46002</v>
      </c>
      <c r="B12" s="11">
        <v>13347</v>
      </c>
      <c r="C12" s="11" t="s">
        <v>22</v>
      </c>
      <c r="D12" s="12">
        <v>10000</v>
      </c>
      <c r="E12" s="12">
        <f t="shared" si="0"/>
        <v>90000</v>
      </c>
      <c r="F12" s="12">
        <f t="shared" si="1"/>
        <v>610000</v>
      </c>
    </row>
    <row r="13" spans="1:6" x14ac:dyDescent="0.35">
      <c r="A13" s="10">
        <v>46003</v>
      </c>
      <c r="B13" s="11">
        <v>13186</v>
      </c>
      <c r="C13" s="11" t="s">
        <v>22</v>
      </c>
      <c r="D13" s="12">
        <v>10000</v>
      </c>
      <c r="E13" s="12">
        <f t="shared" si="0"/>
        <v>100000</v>
      </c>
      <c r="F13" s="12">
        <f t="shared" si="1"/>
        <v>600000</v>
      </c>
    </row>
    <row r="14" spans="1:6" x14ac:dyDescent="0.35">
      <c r="A14" s="10">
        <v>46204</v>
      </c>
      <c r="B14" s="11">
        <v>12167</v>
      </c>
      <c r="C14" s="11" t="s">
        <v>22</v>
      </c>
      <c r="D14" s="12">
        <v>10000</v>
      </c>
      <c r="E14" s="12">
        <f t="shared" si="0"/>
        <v>110000</v>
      </c>
      <c r="F14" s="12">
        <f t="shared" si="1"/>
        <v>590000</v>
      </c>
    </row>
    <row r="15" spans="1:6" x14ac:dyDescent="0.35">
      <c r="A15" s="11" t="s">
        <v>139</v>
      </c>
      <c r="B15" s="11">
        <v>12461</v>
      </c>
      <c r="C15" s="11" t="s">
        <v>22</v>
      </c>
      <c r="D15" s="12">
        <v>10000</v>
      </c>
      <c r="E15" s="12">
        <f t="shared" si="0"/>
        <v>120000</v>
      </c>
      <c r="F15" s="12">
        <f t="shared" si="1"/>
        <v>580000</v>
      </c>
    </row>
    <row r="16" spans="1:6" x14ac:dyDescent="0.35">
      <c r="A16" s="10">
        <v>46115</v>
      </c>
      <c r="B16" s="11">
        <v>12862</v>
      </c>
      <c r="C16" s="11" t="s">
        <v>22</v>
      </c>
      <c r="D16" s="12">
        <v>10000</v>
      </c>
      <c r="E16" s="12">
        <f t="shared" si="0"/>
        <v>130000</v>
      </c>
      <c r="F16" s="12">
        <f t="shared" si="1"/>
        <v>570000</v>
      </c>
    </row>
    <row r="17" spans="1:6" x14ac:dyDescent="0.35">
      <c r="A17" t="s">
        <v>213</v>
      </c>
      <c r="B17" s="11">
        <v>13096</v>
      </c>
      <c r="C17" s="11" t="s">
        <v>22</v>
      </c>
      <c r="D17" s="12">
        <v>10000</v>
      </c>
      <c r="E17" s="12">
        <f t="shared" si="0"/>
        <v>140000</v>
      </c>
      <c r="F17" s="12">
        <f t="shared" si="1"/>
        <v>560000</v>
      </c>
    </row>
    <row r="18" spans="1:6" x14ac:dyDescent="0.35">
      <c r="A18" t="s">
        <v>269</v>
      </c>
      <c r="B18" s="11">
        <v>13384</v>
      </c>
      <c r="C18" s="11" t="s">
        <v>22</v>
      </c>
      <c r="D18" s="12">
        <v>10000</v>
      </c>
      <c r="E18" s="12">
        <f t="shared" si="0"/>
        <v>150000</v>
      </c>
      <c r="F18" s="12">
        <f t="shared" si="1"/>
        <v>550000</v>
      </c>
    </row>
    <row r="19" spans="1:6" x14ac:dyDescent="0.35">
      <c r="A19" t="s">
        <v>330</v>
      </c>
      <c r="B19" s="11">
        <v>13616</v>
      </c>
      <c r="C19" s="11" t="s">
        <v>22</v>
      </c>
      <c r="D19" s="12">
        <v>10000</v>
      </c>
      <c r="E19" s="12">
        <f>E18+D19</f>
        <v>160000</v>
      </c>
      <c r="F19" s="12">
        <f>F18-D19</f>
        <v>540000</v>
      </c>
    </row>
    <row r="20" spans="1:6" x14ac:dyDescent="0.35">
      <c r="A20" t="s">
        <v>391</v>
      </c>
      <c r="B20" s="11">
        <v>1450</v>
      </c>
      <c r="C20" s="11" t="s">
        <v>22</v>
      </c>
      <c r="D20" s="12">
        <v>10000</v>
      </c>
      <c r="E20" s="12">
        <f>E19+D20</f>
        <v>170000</v>
      </c>
      <c r="F20" s="12">
        <f>F19-D20</f>
        <v>530000</v>
      </c>
    </row>
    <row r="21" spans="1:6" x14ac:dyDescent="0.35">
      <c r="A21" s="14">
        <v>46334</v>
      </c>
      <c r="B21" s="11">
        <v>1736</v>
      </c>
      <c r="C21" s="11" t="s">
        <v>22</v>
      </c>
      <c r="D21" s="12">
        <v>10000</v>
      </c>
      <c r="E21" s="15">
        <f>E20+D21</f>
        <v>180000</v>
      </c>
      <c r="F21" s="15">
        <f>F20-D21</f>
        <v>520000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D178-6722-4DDE-A916-BE20F1534EF0}">
  <dimension ref="A1:F20"/>
  <sheetViews>
    <sheetView workbookViewId="0">
      <selection activeCell="C15" sqref="C15"/>
    </sheetView>
  </sheetViews>
  <sheetFormatPr defaultRowHeight="14.5" x14ac:dyDescent="0.35"/>
  <cols>
    <col min="1" max="1" width="10.54296875" customWidth="1"/>
    <col min="3" max="3" width="12.54296875" customWidth="1"/>
    <col min="6" max="6" width="13.453125" customWidth="1"/>
  </cols>
  <sheetData>
    <row r="1" spans="1:6" ht="18.5" x14ac:dyDescent="0.45">
      <c r="A1" s="1" t="s">
        <v>270</v>
      </c>
      <c r="B1" s="1"/>
      <c r="C1" s="1"/>
      <c r="D1" s="1"/>
      <c r="E1" s="1"/>
      <c r="F1" s="1"/>
    </row>
    <row r="2" spans="1:6" ht="18.5" x14ac:dyDescent="0.45">
      <c r="A2" s="1" t="s">
        <v>271</v>
      </c>
      <c r="C2" s="1"/>
      <c r="D2" s="1"/>
      <c r="E2" s="1"/>
      <c r="F2" s="1"/>
    </row>
    <row r="3" spans="1:6" ht="18.5" x14ac:dyDescent="0.45">
      <c r="A3" s="1" t="s">
        <v>272</v>
      </c>
      <c r="B3" s="1"/>
      <c r="C3" s="1"/>
      <c r="D3" s="1"/>
      <c r="E3" s="1"/>
      <c r="F3" s="1"/>
    </row>
    <row r="4" spans="1:6" ht="18.5" x14ac:dyDescent="0.45">
      <c r="A4" s="1" t="s">
        <v>274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 t="s">
        <v>424</v>
      </c>
      <c r="C5" s="1"/>
      <c r="D5" s="1"/>
      <c r="E5" s="1"/>
      <c r="F5" s="1"/>
    </row>
    <row r="6" spans="1:6" ht="18.5" x14ac:dyDescent="0.45">
      <c r="A6" s="1" t="s">
        <v>273</v>
      </c>
      <c r="B6" s="1"/>
      <c r="C6" s="1"/>
      <c r="D6" s="1" t="s">
        <v>220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9">
        <v>45267</v>
      </c>
      <c r="B8" s="7">
        <v>12159</v>
      </c>
      <c r="C8" s="7" t="s">
        <v>37</v>
      </c>
      <c r="D8" s="8">
        <v>50000</v>
      </c>
      <c r="E8" s="8">
        <v>50000</v>
      </c>
      <c r="F8" s="8">
        <v>550000</v>
      </c>
    </row>
    <row r="9" spans="1:6" x14ac:dyDescent="0.35">
      <c r="A9" s="9">
        <v>45969</v>
      </c>
      <c r="B9" s="7">
        <v>12958</v>
      </c>
      <c r="C9" s="7" t="s">
        <v>211</v>
      </c>
      <c r="D9" s="8">
        <v>10000</v>
      </c>
      <c r="E9" s="8">
        <f>E8+D9</f>
        <v>60000</v>
      </c>
      <c r="F9" s="8">
        <f>F8-D9</f>
        <v>540000</v>
      </c>
    </row>
    <row r="10" spans="1:6" x14ac:dyDescent="0.35">
      <c r="A10" s="7" t="s">
        <v>107</v>
      </c>
      <c r="B10" s="7">
        <v>13831</v>
      </c>
      <c r="C10" s="7" t="s">
        <v>211</v>
      </c>
      <c r="D10" s="8">
        <v>10000</v>
      </c>
      <c r="E10" s="8">
        <f t="shared" ref="E10:E18" si="0">E9+D10</f>
        <v>70000</v>
      </c>
      <c r="F10" s="8">
        <f t="shared" ref="F10:F18" si="1">F9-D10</f>
        <v>530000</v>
      </c>
    </row>
    <row r="11" spans="1:6" x14ac:dyDescent="0.35">
      <c r="A11" s="7" t="s">
        <v>62</v>
      </c>
      <c r="B11" s="7">
        <v>13575</v>
      </c>
      <c r="C11" s="7" t="s">
        <v>211</v>
      </c>
      <c r="D11" s="8">
        <v>10000</v>
      </c>
      <c r="E11" s="8">
        <f t="shared" si="0"/>
        <v>80000</v>
      </c>
      <c r="F11" s="8">
        <f t="shared" si="1"/>
        <v>520000</v>
      </c>
    </row>
    <row r="12" spans="1:6" x14ac:dyDescent="0.35">
      <c r="A12" s="7" t="s">
        <v>275</v>
      </c>
      <c r="B12" s="7">
        <v>13383</v>
      </c>
      <c r="C12" s="7" t="s">
        <v>211</v>
      </c>
      <c r="D12" s="8">
        <v>10000</v>
      </c>
      <c r="E12" s="8">
        <f t="shared" si="0"/>
        <v>90000</v>
      </c>
      <c r="F12" s="8">
        <f t="shared" si="1"/>
        <v>510000</v>
      </c>
    </row>
    <row r="13" spans="1:6" x14ac:dyDescent="0.35">
      <c r="A13" s="7" t="s">
        <v>276</v>
      </c>
      <c r="B13" s="7">
        <v>12647</v>
      </c>
      <c r="C13" s="7" t="s">
        <v>211</v>
      </c>
      <c r="D13" s="8">
        <v>10000</v>
      </c>
      <c r="E13" s="8">
        <f t="shared" si="0"/>
        <v>100000</v>
      </c>
      <c r="F13" s="8">
        <f t="shared" si="1"/>
        <v>500000</v>
      </c>
    </row>
    <row r="14" spans="1:6" x14ac:dyDescent="0.35">
      <c r="A14" s="7" t="s">
        <v>277</v>
      </c>
      <c r="B14" s="7">
        <v>12171</v>
      </c>
      <c r="C14" s="7" t="s">
        <v>211</v>
      </c>
      <c r="D14" s="8">
        <v>10000</v>
      </c>
      <c r="E14" s="8">
        <f t="shared" si="0"/>
        <v>110000</v>
      </c>
      <c r="F14" s="8">
        <f t="shared" si="1"/>
        <v>490000</v>
      </c>
    </row>
    <row r="15" spans="1:6" x14ac:dyDescent="0.35">
      <c r="A15" s="7" t="s">
        <v>244</v>
      </c>
      <c r="B15" s="7">
        <v>12469</v>
      </c>
      <c r="C15" s="7" t="s">
        <v>211</v>
      </c>
      <c r="D15" s="8">
        <v>10000</v>
      </c>
      <c r="E15" s="8">
        <f t="shared" si="0"/>
        <v>120000</v>
      </c>
      <c r="F15" s="8">
        <f t="shared" si="1"/>
        <v>480000</v>
      </c>
    </row>
    <row r="16" spans="1:6" x14ac:dyDescent="0.35">
      <c r="A16" s="7" t="s">
        <v>278</v>
      </c>
      <c r="B16" s="7">
        <v>13916</v>
      </c>
      <c r="C16" s="7" t="s">
        <v>211</v>
      </c>
      <c r="D16" s="8">
        <v>10000</v>
      </c>
      <c r="E16" s="8">
        <f t="shared" si="0"/>
        <v>130000</v>
      </c>
      <c r="F16" s="8">
        <f t="shared" si="1"/>
        <v>470000</v>
      </c>
    </row>
    <row r="17" spans="1:6" x14ac:dyDescent="0.35">
      <c r="A17" s="7" t="s">
        <v>279</v>
      </c>
      <c r="B17" s="7">
        <v>13006</v>
      </c>
      <c r="C17" s="7" t="s">
        <v>211</v>
      </c>
      <c r="D17" s="8">
        <v>10000</v>
      </c>
      <c r="E17" s="8">
        <f t="shared" si="0"/>
        <v>140000</v>
      </c>
      <c r="F17" s="8">
        <f t="shared" si="1"/>
        <v>460000</v>
      </c>
    </row>
    <row r="18" spans="1:6" x14ac:dyDescent="0.35">
      <c r="A18" s="7" t="s">
        <v>280</v>
      </c>
      <c r="B18" s="7">
        <v>13399</v>
      </c>
      <c r="C18" s="7" t="s">
        <v>211</v>
      </c>
      <c r="D18" s="8">
        <v>10000</v>
      </c>
      <c r="E18" s="8">
        <f t="shared" si="0"/>
        <v>150000</v>
      </c>
      <c r="F18" s="8">
        <f t="shared" si="1"/>
        <v>450000</v>
      </c>
    </row>
    <row r="19" spans="1:6" x14ac:dyDescent="0.35">
      <c r="A19" s="7" t="s">
        <v>425</v>
      </c>
      <c r="B19" s="7">
        <v>1313</v>
      </c>
      <c r="C19" s="7" t="s">
        <v>211</v>
      </c>
      <c r="D19" s="8">
        <v>10000</v>
      </c>
      <c r="E19" s="8">
        <f>E18+D19</f>
        <v>160000</v>
      </c>
      <c r="F19" s="8">
        <f>F18-D19</f>
        <v>440000</v>
      </c>
    </row>
    <row r="20" spans="1:6" x14ac:dyDescent="0.35">
      <c r="A20" s="9">
        <v>46061</v>
      </c>
      <c r="B20" s="7">
        <v>1622</v>
      </c>
      <c r="C20" s="7" t="s">
        <v>211</v>
      </c>
      <c r="D20" s="8">
        <v>20000</v>
      </c>
      <c r="E20" s="8">
        <f>E19+D20</f>
        <v>180000</v>
      </c>
      <c r="F20" s="8">
        <f>F19-D20</f>
        <v>420000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437A-645C-4287-BB2C-6EA7FBCDCF94}">
  <dimension ref="A1:F18"/>
  <sheetViews>
    <sheetView workbookViewId="0">
      <selection activeCell="G4" sqref="G4"/>
    </sheetView>
  </sheetViews>
  <sheetFormatPr defaultRowHeight="14.5" x14ac:dyDescent="0.35"/>
  <cols>
    <col min="1" max="1" width="11.81640625" customWidth="1"/>
    <col min="3" max="3" width="12.453125" customWidth="1"/>
    <col min="6" max="6" width="10.90625" customWidth="1"/>
  </cols>
  <sheetData>
    <row r="1" spans="1:6" ht="18.5" x14ac:dyDescent="0.45">
      <c r="A1" s="1" t="s">
        <v>281</v>
      </c>
      <c r="B1" s="1"/>
      <c r="C1" s="1"/>
      <c r="D1" s="1"/>
      <c r="E1" s="1"/>
      <c r="F1" s="1"/>
    </row>
    <row r="2" spans="1:6" ht="18.5" x14ac:dyDescent="0.45">
      <c r="A2" s="1" t="s">
        <v>282</v>
      </c>
      <c r="C2" s="1"/>
      <c r="D2" s="1"/>
      <c r="E2" s="1"/>
      <c r="F2" s="1"/>
    </row>
    <row r="3" spans="1:6" ht="18.5" x14ac:dyDescent="0.45">
      <c r="A3" s="1" t="s">
        <v>283</v>
      </c>
      <c r="B3" s="1"/>
      <c r="C3" s="1"/>
      <c r="D3" s="1"/>
      <c r="E3" s="1"/>
      <c r="F3" s="1"/>
    </row>
    <row r="4" spans="1:6" ht="18.5" x14ac:dyDescent="0.45">
      <c r="A4" s="1" t="s">
        <v>285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/>
      <c r="C5" s="1"/>
      <c r="D5" s="1"/>
      <c r="E5" s="1"/>
      <c r="F5" s="1"/>
    </row>
    <row r="6" spans="1:6" ht="18.5" x14ac:dyDescent="0.45">
      <c r="A6" s="1" t="s">
        <v>284</v>
      </c>
      <c r="B6" s="1"/>
      <c r="C6" s="1"/>
      <c r="D6" s="1" t="s">
        <v>220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14">
        <v>45998</v>
      </c>
      <c r="B8">
        <v>12160</v>
      </c>
      <c r="C8" t="s">
        <v>37</v>
      </c>
      <c r="D8" s="15">
        <v>50000</v>
      </c>
      <c r="E8" s="15">
        <v>50000</v>
      </c>
      <c r="F8" s="15">
        <v>550000</v>
      </c>
    </row>
    <row r="9" spans="1:6" x14ac:dyDescent="0.35">
      <c r="A9" t="s">
        <v>286</v>
      </c>
      <c r="B9">
        <v>129579</v>
      </c>
      <c r="C9" t="s">
        <v>211</v>
      </c>
      <c r="D9" s="15">
        <v>10000</v>
      </c>
      <c r="E9" s="15">
        <f>E8+D9</f>
        <v>60000</v>
      </c>
      <c r="F9" s="15">
        <f>F8-D9</f>
        <v>540000</v>
      </c>
    </row>
    <row r="10" spans="1:6" x14ac:dyDescent="0.35">
      <c r="A10" t="s">
        <v>107</v>
      </c>
      <c r="B10">
        <v>13830</v>
      </c>
      <c r="C10" t="s">
        <v>211</v>
      </c>
      <c r="D10" s="15">
        <v>10000</v>
      </c>
      <c r="E10" s="15">
        <f t="shared" ref="E10:E18" si="0">E9+D10</f>
        <v>70000</v>
      </c>
      <c r="F10" s="15">
        <f t="shared" ref="F10:F18" si="1">F9-D10</f>
        <v>530000</v>
      </c>
    </row>
    <row r="11" spans="1:6" x14ac:dyDescent="0.35">
      <c r="A11" t="s">
        <v>62</v>
      </c>
      <c r="B11">
        <v>13574</v>
      </c>
      <c r="C11" t="s">
        <v>211</v>
      </c>
      <c r="D11" s="15">
        <v>10000</v>
      </c>
      <c r="E11" s="15">
        <f t="shared" si="0"/>
        <v>80000</v>
      </c>
      <c r="F11" s="15">
        <f t="shared" si="1"/>
        <v>520000</v>
      </c>
    </row>
    <row r="12" spans="1:6" x14ac:dyDescent="0.35">
      <c r="A12" t="s">
        <v>275</v>
      </c>
      <c r="B12">
        <v>13387</v>
      </c>
      <c r="C12" t="s">
        <v>211</v>
      </c>
      <c r="D12" s="15">
        <v>10000</v>
      </c>
      <c r="E12" s="15">
        <f t="shared" si="0"/>
        <v>90000</v>
      </c>
      <c r="F12" s="15">
        <f t="shared" si="1"/>
        <v>510000</v>
      </c>
    </row>
    <row r="13" spans="1:6" x14ac:dyDescent="0.35">
      <c r="A13" t="s">
        <v>276</v>
      </c>
      <c r="B13">
        <v>12646</v>
      </c>
      <c r="C13" t="s">
        <v>211</v>
      </c>
      <c r="D13" s="15">
        <v>10000</v>
      </c>
      <c r="E13" s="15">
        <f t="shared" si="0"/>
        <v>100000</v>
      </c>
      <c r="F13" s="15">
        <f t="shared" si="1"/>
        <v>500000</v>
      </c>
    </row>
    <row r="14" spans="1:6" x14ac:dyDescent="0.35">
      <c r="A14" t="s">
        <v>277</v>
      </c>
      <c r="B14">
        <v>12170</v>
      </c>
      <c r="C14" t="s">
        <v>211</v>
      </c>
      <c r="D14" s="15">
        <v>10000</v>
      </c>
      <c r="E14" s="15">
        <f t="shared" si="0"/>
        <v>110000</v>
      </c>
      <c r="F14" s="15">
        <f t="shared" si="1"/>
        <v>490000</v>
      </c>
    </row>
    <row r="15" spans="1:6" x14ac:dyDescent="0.35">
      <c r="A15" t="s">
        <v>244</v>
      </c>
      <c r="B15">
        <v>12458</v>
      </c>
      <c r="C15" t="s">
        <v>211</v>
      </c>
      <c r="D15" s="15">
        <v>10000</v>
      </c>
      <c r="E15" s="15">
        <f t="shared" si="0"/>
        <v>120000</v>
      </c>
      <c r="F15" s="15">
        <f t="shared" si="1"/>
        <v>480000</v>
      </c>
    </row>
    <row r="16" spans="1:6" x14ac:dyDescent="0.35">
      <c r="A16" t="s">
        <v>278</v>
      </c>
      <c r="B16">
        <v>13915</v>
      </c>
      <c r="C16" t="s">
        <v>211</v>
      </c>
      <c r="D16" s="15">
        <v>10000</v>
      </c>
      <c r="E16" s="15">
        <f t="shared" si="0"/>
        <v>130000</v>
      </c>
      <c r="F16" s="15">
        <f t="shared" si="1"/>
        <v>470000</v>
      </c>
    </row>
    <row r="17" spans="1:6" x14ac:dyDescent="0.35">
      <c r="A17" t="s">
        <v>287</v>
      </c>
      <c r="B17">
        <v>13005</v>
      </c>
      <c r="C17" t="s">
        <v>211</v>
      </c>
      <c r="D17" s="15">
        <v>10000</v>
      </c>
      <c r="E17" s="15">
        <f t="shared" si="0"/>
        <v>140000</v>
      </c>
      <c r="F17" s="15">
        <f t="shared" si="1"/>
        <v>460000</v>
      </c>
    </row>
    <row r="18" spans="1:6" x14ac:dyDescent="0.35">
      <c r="A18" t="s">
        <v>280</v>
      </c>
      <c r="B18">
        <v>13393</v>
      </c>
      <c r="C18" t="s">
        <v>211</v>
      </c>
      <c r="D18" s="15">
        <v>10000</v>
      </c>
      <c r="E18" s="15">
        <f t="shared" si="0"/>
        <v>150000</v>
      </c>
      <c r="F18" s="15">
        <f t="shared" si="1"/>
        <v>450000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8578-4718-4BC1-A0FA-21159DC7AA98}">
  <dimension ref="A1:F15"/>
  <sheetViews>
    <sheetView workbookViewId="0">
      <selection activeCell="A7" sqref="A7:F15"/>
    </sheetView>
  </sheetViews>
  <sheetFormatPr defaultRowHeight="14.5" x14ac:dyDescent="0.35"/>
  <cols>
    <col min="1" max="1" width="9.453125" bestFit="1" customWidth="1"/>
    <col min="3" max="3" width="10.36328125" bestFit="1" customWidth="1"/>
    <col min="4" max="4" width="11.90625" customWidth="1"/>
    <col min="6" max="6" width="11.453125" bestFit="1" customWidth="1"/>
  </cols>
  <sheetData>
    <row r="1" spans="1:6" ht="18.5" x14ac:dyDescent="0.45">
      <c r="A1" s="1" t="s">
        <v>96</v>
      </c>
      <c r="B1" s="1"/>
      <c r="C1" s="1"/>
      <c r="D1" s="1"/>
      <c r="E1" s="1"/>
      <c r="F1" s="1"/>
    </row>
    <row r="2" spans="1:6" ht="18.5" x14ac:dyDescent="0.45">
      <c r="A2" s="1" t="s">
        <v>85</v>
      </c>
      <c r="C2" s="1"/>
      <c r="D2" s="1"/>
      <c r="E2" s="1"/>
      <c r="F2" s="1"/>
    </row>
    <row r="3" spans="1:6" ht="18.5" x14ac:dyDescent="0.45">
      <c r="A3" s="1" t="s">
        <v>97</v>
      </c>
      <c r="B3" s="1"/>
      <c r="C3" s="1"/>
      <c r="D3" s="1"/>
      <c r="E3" s="1"/>
      <c r="F3" s="1"/>
    </row>
    <row r="4" spans="1:6" ht="18.5" x14ac:dyDescent="0.45">
      <c r="A4" s="1" t="s">
        <v>30</v>
      </c>
      <c r="B4" s="1"/>
      <c r="C4" s="1"/>
      <c r="D4" s="1"/>
      <c r="E4" s="1"/>
      <c r="F4" s="1"/>
    </row>
    <row r="5" spans="1:6" ht="18.5" x14ac:dyDescent="0.45">
      <c r="A5" s="1" t="s">
        <v>98</v>
      </c>
      <c r="B5" s="1"/>
      <c r="C5" s="1"/>
      <c r="D5" s="1" t="s">
        <v>88</v>
      </c>
      <c r="F5" s="1"/>
    </row>
    <row r="6" spans="1:6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x14ac:dyDescent="0.35">
      <c r="A7" s="7" t="s">
        <v>91</v>
      </c>
      <c r="B7" s="7">
        <v>13399</v>
      </c>
      <c r="C7" s="7" t="s">
        <v>95</v>
      </c>
      <c r="D7" s="8">
        <v>20000</v>
      </c>
      <c r="E7" s="8">
        <v>20000</v>
      </c>
      <c r="F7" s="8">
        <v>660000</v>
      </c>
    </row>
    <row r="8" spans="1:6" x14ac:dyDescent="0.35">
      <c r="A8" s="7" t="s">
        <v>92</v>
      </c>
      <c r="B8" s="7">
        <v>13196</v>
      </c>
      <c r="C8" s="7" t="s">
        <v>22</v>
      </c>
      <c r="D8" s="8">
        <v>10000</v>
      </c>
      <c r="E8" s="8">
        <v>30000</v>
      </c>
      <c r="F8" s="8">
        <v>650000</v>
      </c>
    </row>
    <row r="9" spans="1:6" x14ac:dyDescent="0.35">
      <c r="A9" s="7" t="s">
        <v>99</v>
      </c>
      <c r="B9" s="7">
        <v>12198</v>
      </c>
      <c r="C9" s="7" t="s">
        <v>22</v>
      </c>
      <c r="D9" s="8">
        <v>10000</v>
      </c>
      <c r="E9" s="8">
        <v>40000</v>
      </c>
      <c r="F9" s="8">
        <v>640000</v>
      </c>
    </row>
    <row r="10" spans="1:6" x14ac:dyDescent="0.35">
      <c r="A10" s="7" t="s">
        <v>94</v>
      </c>
      <c r="B10" s="7">
        <v>12545</v>
      </c>
      <c r="C10" s="7" t="s">
        <v>22</v>
      </c>
      <c r="D10" s="8">
        <v>10000</v>
      </c>
      <c r="E10" s="8">
        <v>50000</v>
      </c>
      <c r="F10" s="8">
        <v>630000</v>
      </c>
    </row>
    <row r="11" spans="1:6" x14ac:dyDescent="0.35">
      <c r="A11" s="9">
        <v>46299</v>
      </c>
      <c r="B11" s="7">
        <v>13206</v>
      </c>
      <c r="C11" s="7" t="s">
        <v>22</v>
      </c>
      <c r="D11" s="8">
        <v>10000</v>
      </c>
      <c r="E11" s="8">
        <f>E10+D11</f>
        <v>60000</v>
      </c>
      <c r="F11" s="8">
        <f>F10-D11</f>
        <v>620000</v>
      </c>
    </row>
    <row r="12" spans="1:6" x14ac:dyDescent="0.35">
      <c r="A12" s="9">
        <v>46331</v>
      </c>
      <c r="B12" s="7">
        <v>13325</v>
      </c>
      <c r="C12" s="7" t="s">
        <v>22</v>
      </c>
      <c r="D12" s="8">
        <v>10000</v>
      </c>
      <c r="E12" s="8">
        <f>E11+D12</f>
        <v>70000</v>
      </c>
      <c r="F12" s="8">
        <f>F11-D12</f>
        <v>610000</v>
      </c>
    </row>
    <row r="13" spans="1:6" x14ac:dyDescent="0.35">
      <c r="A13" s="7" t="s">
        <v>330</v>
      </c>
      <c r="B13" s="7">
        <v>13612</v>
      </c>
      <c r="C13" s="7" t="s">
        <v>22</v>
      </c>
      <c r="D13" s="8">
        <v>10000</v>
      </c>
      <c r="E13" s="8">
        <f>E12+D13</f>
        <v>80000</v>
      </c>
      <c r="F13" s="8">
        <f>F12-D13</f>
        <v>600000</v>
      </c>
    </row>
    <row r="14" spans="1:6" x14ac:dyDescent="0.35">
      <c r="A14" s="7" t="s">
        <v>443</v>
      </c>
      <c r="B14" s="7">
        <v>1493</v>
      </c>
      <c r="C14" s="7" t="s">
        <v>22</v>
      </c>
      <c r="D14" s="8">
        <v>10000</v>
      </c>
      <c r="E14" s="8">
        <f>E13+D14</f>
        <v>90000</v>
      </c>
      <c r="F14" s="8">
        <f>F13-D14</f>
        <v>590000</v>
      </c>
    </row>
    <row r="15" spans="1:6" x14ac:dyDescent="0.35">
      <c r="A15" s="7" t="s">
        <v>444</v>
      </c>
      <c r="B15" s="7">
        <v>1805</v>
      </c>
      <c r="C15" s="7" t="s">
        <v>22</v>
      </c>
      <c r="D15" s="8">
        <v>10000</v>
      </c>
      <c r="E15" s="8">
        <f>E14+D15</f>
        <v>100000</v>
      </c>
      <c r="F15" s="8">
        <f>F14-D15</f>
        <v>580000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553F-8F9F-4EA7-9A29-D36BF150F892}">
  <dimension ref="A1:G49"/>
  <sheetViews>
    <sheetView topLeftCell="A37" workbookViewId="0">
      <selection activeCell="A39" sqref="A39:F49"/>
    </sheetView>
  </sheetViews>
  <sheetFormatPr defaultRowHeight="14.5" x14ac:dyDescent="0.35"/>
  <cols>
    <col min="1" max="1" width="10.453125" bestFit="1" customWidth="1"/>
    <col min="3" max="3" width="12.6328125" customWidth="1"/>
    <col min="6" max="6" width="11.6328125" customWidth="1"/>
  </cols>
  <sheetData>
    <row r="1" spans="1:6" ht="18.5" x14ac:dyDescent="0.45">
      <c r="A1" s="1" t="s">
        <v>146</v>
      </c>
      <c r="B1" s="1"/>
      <c r="C1" s="1"/>
      <c r="D1" s="1"/>
      <c r="E1" s="1"/>
      <c r="F1" s="1"/>
    </row>
    <row r="2" spans="1:6" ht="18.5" x14ac:dyDescent="0.45">
      <c r="A2" s="1" t="s">
        <v>142</v>
      </c>
      <c r="C2" s="1"/>
      <c r="D2" s="1"/>
      <c r="E2" s="1"/>
      <c r="F2" s="1"/>
    </row>
    <row r="3" spans="1:6" ht="18.5" x14ac:dyDescent="0.45">
      <c r="A3" s="1" t="s">
        <v>147</v>
      </c>
      <c r="B3" s="1"/>
      <c r="C3" s="1"/>
      <c r="D3" s="1"/>
      <c r="E3" s="1"/>
      <c r="F3" s="1"/>
    </row>
    <row r="4" spans="1:6" ht="18.5" x14ac:dyDescent="0.45">
      <c r="A4" s="1" t="s">
        <v>255</v>
      </c>
      <c r="B4" s="1"/>
      <c r="C4" s="1"/>
      <c r="D4" s="1"/>
      <c r="E4" s="1"/>
      <c r="F4" s="1"/>
    </row>
    <row r="5" spans="1:6" ht="18.5" x14ac:dyDescent="0.45">
      <c r="A5" s="1" t="s">
        <v>143</v>
      </c>
      <c r="B5" s="1"/>
      <c r="C5" s="1"/>
      <c r="D5" s="1"/>
      <c r="E5" s="1"/>
      <c r="F5" s="1"/>
    </row>
    <row r="6" spans="1:6" ht="18.5" x14ac:dyDescent="0.45">
      <c r="A6" s="1" t="s">
        <v>144</v>
      </c>
      <c r="B6" s="1"/>
      <c r="C6" s="1"/>
      <c r="D6" s="1"/>
      <c r="E6" t="s">
        <v>145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5">
        <v>44054</v>
      </c>
      <c r="B8" s="3">
        <v>106</v>
      </c>
      <c r="C8" s="3" t="s">
        <v>148</v>
      </c>
      <c r="D8" s="4">
        <v>100000</v>
      </c>
      <c r="E8" s="4">
        <v>100000</v>
      </c>
      <c r="F8" s="4">
        <v>300000</v>
      </c>
    </row>
    <row r="9" spans="1:6" x14ac:dyDescent="0.35">
      <c r="A9" s="5">
        <v>44177</v>
      </c>
      <c r="B9" s="3"/>
      <c r="C9" s="3" t="s">
        <v>22</v>
      </c>
      <c r="D9" s="4">
        <v>10000</v>
      </c>
      <c r="E9" s="4">
        <v>110000</v>
      </c>
      <c r="F9" s="4">
        <v>290000</v>
      </c>
    </row>
    <row r="10" spans="1:6" x14ac:dyDescent="0.35">
      <c r="A10" s="5">
        <v>44475</v>
      </c>
      <c r="B10" s="3"/>
      <c r="C10" s="3" t="s">
        <v>22</v>
      </c>
      <c r="D10" s="4">
        <v>20000</v>
      </c>
      <c r="E10" s="4">
        <v>130000</v>
      </c>
      <c r="F10" s="4">
        <v>270000</v>
      </c>
    </row>
    <row r="11" spans="1:6" x14ac:dyDescent="0.35">
      <c r="A11" s="5">
        <v>44744</v>
      </c>
      <c r="B11" s="3">
        <v>107</v>
      </c>
      <c r="C11" s="3" t="s">
        <v>22</v>
      </c>
      <c r="D11" s="4">
        <v>10000</v>
      </c>
      <c r="E11" s="4">
        <v>140000</v>
      </c>
      <c r="F11" s="4">
        <v>260000</v>
      </c>
    </row>
    <row r="12" spans="1:6" x14ac:dyDescent="0.35">
      <c r="A12" s="5">
        <v>44869</v>
      </c>
      <c r="B12" s="3"/>
      <c r="C12" s="3" t="s">
        <v>22</v>
      </c>
      <c r="D12" s="4">
        <v>10000</v>
      </c>
      <c r="E12" s="4">
        <v>150000</v>
      </c>
      <c r="F12" s="4">
        <v>250000</v>
      </c>
    </row>
    <row r="13" spans="1:6" x14ac:dyDescent="0.35">
      <c r="A13" s="5">
        <v>44628</v>
      </c>
      <c r="B13" s="3">
        <v>108</v>
      </c>
      <c r="C13" s="3" t="s">
        <v>22</v>
      </c>
      <c r="D13" s="4">
        <v>10000</v>
      </c>
      <c r="E13" s="4">
        <v>160000</v>
      </c>
      <c r="F13" s="4">
        <v>240000</v>
      </c>
    </row>
    <row r="14" spans="1:6" x14ac:dyDescent="0.35">
      <c r="A14" s="5">
        <v>44693</v>
      </c>
      <c r="B14" s="3">
        <v>1796</v>
      </c>
      <c r="C14" s="3" t="s">
        <v>120</v>
      </c>
      <c r="D14" s="4">
        <v>10000</v>
      </c>
      <c r="E14" s="4">
        <v>170000</v>
      </c>
      <c r="F14" s="4">
        <v>230000</v>
      </c>
    </row>
    <row r="15" spans="1:6" x14ac:dyDescent="0.35">
      <c r="A15" s="5">
        <v>45020</v>
      </c>
      <c r="B15" s="3">
        <v>1797</v>
      </c>
      <c r="C15" s="3" t="s">
        <v>22</v>
      </c>
      <c r="D15" s="4">
        <v>10000</v>
      </c>
      <c r="E15" s="4">
        <v>180000</v>
      </c>
      <c r="F15" s="4">
        <v>220000</v>
      </c>
    </row>
    <row r="16" spans="1:6" x14ac:dyDescent="0.35">
      <c r="A16" s="5">
        <v>45023</v>
      </c>
      <c r="B16" s="3">
        <v>2118</v>
      </c>
      <c r="C16" s="3" t="s">
        <v>22</v>
      </c>
      <c r="D16" s="4">
        <v>20000</v>
      </c>
      <c r="E16" s="4">
        <v>200000</v>
      </c>
      <c r="F16" s="4">
        <v>200000</v>
      </c>
    </row>
    <row r="17" spans="1:6" x14ac:dyDescent="0.35">
      <c r="A17" s="5">
        <v>45267</v>
      </c>
      <c r="B17" s="3">
        <v>2720</v>
      </c>
      <c r="C17" s="3" t="s">
        <v>22</v>
      </c>
      <c r="D17" s="4">
        <v>10000</v>
      </c>
      <c r="E17" s="4">
        <v>210000</v>
      </c>
      <c r="F17" s="4">
        <v>190000</v>
      </c>
    </row>
    <row r="18" spans="1:6" x14ac:dyDescent="0.35">
      <c r="A18" s="3" t="s">
        <v>149</v>
      </c>
      <c r="B18" s="3">
        <v>3273</v>
      </c>
      <c r="C18" s="3" t="s">
        <v>22</v>
      </c>
      <c r="D18" s="4">
        <v>10000</v>
      </c>
      <c r="E18" s="4">
        <v>220000</v>
      </c>
      <c r="F18" s="4">
        <v>180000</v>
      </c>
    </row>
    <row r="19" spans="1:6" x14ac:dyDescent="0.35">
      <c r="A19" s="3" t="s">
        <v>150</v>
      </c>
      <c r="B19" s="3">
        <v>3829</v>
      </c>
      <c r="C19" s="3" t="s">
        <v>22</v>
      </c>
      <c r="D19" s="4">
        <v>10000</v>
      </c>
      <c r="E19" s="4">
        <v>230000</v>
      </c>
      <c r="F19" s="4">
        <v>170000</v>
      </c>
    </row>
    <row r="20" spans="1:6" x14ac:dyDescent="0.35">
      <c r="A20" s="3" t="s">
        <v>151</v>
      </c>
      <c r="B20" s="3">
        <v>4262</v>
      </c>
      <c r="C20" s="3" t="s">
        <v>22</v>
      </c>
      <c r="D20" s="4">
        <v>10000</v>
      </c>
      <c r="E20" s="4">
        <v>240000</v>
      </c>
      <c r="F20" s="4">
        <v>160000</v>
      </c>
    </row>
    <row r="21" spans="1:6" x14ac:dyDescent="0.35">
      <c r="A21" s="3" t="s">
        <v>152</v>
      </c>
      <c r="B21" s="3">
        <v>4954</v>
      </c>
      <c r="C21" s="3" t="s">
        <v>22</v>
      </c>
      <c r="D21" s="4">
        <v>10000</v>
      </c>
      <c r="E21" s="4">
        <v>250000</v>
      </c>
      <c r="F21" s="4">
        <v>150000</v>
      </c>
    </row>
    <row r="22" spans="1:6" x14ac:dyDescent="0.35">
      <c r="A22" s="3" t="s">
        <v>153</v>
      </c>
      <c r="B22" s="3">
        <v>5610</v>
      </c>
      <c r="C22" s="3" t="s">
        <v>22</v>
      </c>
      <c r="D22" s="4">
        <v>10000</v>
      </c>
      <c r="E22" s="4">
        <v>260000</v>
      </c>
      <c r="F22" s="4">
        <v>140000</v>
      </c>
    </row>
    <row r="23" spans="1:6" x14ac:dyDescent="0.35">
      <c r="A23" s="3" t="s">
        <v>15</v>
      </c>
      <c r="B23" s="3">
        <v>6235</v>
      </c>
      <c r="C23" s="3" t="s">
        <v>22</v>
      </c>
      <c r="D23" s="4">
        <v>10000</v>
      </c>
      <c r="E23" s="4">
        <v>270000</v>
      </c>
      <c r="F23" s="4">
        <v>130000</v>
      </c>
    </row>
    <row r="24" spans="1:6" x14ac:dyDescent="0.35">
      <c r="A24" s="3" t="s">
        <v>154</v>
      </c>
      <c r="B24" s="3">
        <v>6676</v>
      </c>
      <c r="C24" s="3" t="s">
        <v>22</v>
      </c>
      <c r="D24" s="4">
        <v>10000</v>
      </c>
      <c r="E24" s="4">
        <v>280000</v>
      </c>
      <c r="F24" s="4">
        <v>120000</v>
      </c>
    </row>
    <row r="25" spans="1:6" x14ac:dyDescent="0.35">
      <c r="A25" s="3" t="s">
        <v>155</v>
      </c>
      <c r="B25" s="3">
        <v>7385</v>
      </c>
      <c r="C25" s="3" t="s">
        <v>22</v>
      </c>
      <c r="D25" s="4">
        <v>10000</v>
      </c>
      <c r="E25" s="4">
        <v>290000</v>
      </c>
      <c r="F25" s="4">
        <v>110000</v>
      </c>
    </row>
    <row r="26" spans="1:6" x14ac:dyDescent="0.35">
      <c r="A26" s="3" t="s">
        <v>156</v>
      </c>
      <c r="B26" s="3">
        <v>7884</v>
      </c>
      <c r="C26" s="3" t="s">
        <v>22</v>
      </c>
      <c r="D26" s="4">
        <v>10000</v>
      </c>
      <c r="E26" s="4">
        <v>300000</v>
      </c>
      <c r="F26" s="4">
        <v>100000</v>
      </c>
    </row>
    <row r="27" spans="1:6" x14ac:dyDescent="0.35">
      <c r="A27" s="3" t="s">
        <v>157</v>
      </c>
      <c r="B27" s="3">
        <v>8566</v>
      </c>
      <c r="C27" s="3" t="s">
        <v>22</v>
      </c>
      <c r="D27" s="4">
        <v>10000</v>
      </c>
      <c r="E27" s="4">
        <v>310000</v>
      </c>
      <c r="F27" s="4">
        <v>90000</v>
      </c>
    </row>
    <row r="28" spans="1:6" x14ac:dyDescent="0.35">
      <c r="A28" s="3" t="s">
        <v>158</v>
      </c>
      <c r="B28" s="3">
        <v>9091</v>
      </c>
      <c r="C28" s="3" t="s">
        <v>22</v>
      </c>
      <c r="D28" s="4">
        <v>10000</v>
      </c>
      <c r="E28" s="4">
        <v>320000</v>
      </c>
      <c r="F28" s="4">
        <v>80000</v>
      </c>
    </row>
    <row r="29" spans="1:6" x14ac:dyDescent="0.35">
      <c r="A29" s="3" t="s">
        <v>46</v>
      </c>
      <c r="B29" s="3">
        <v>9676</v>
      </c>
      <c r="C29" s="3" t="s">
        <v>22</v>
      </c>
      <c r="D29" s="4">
        <v>10000</v>
      </c>
      <c r="E29" s="4">
        <v>330000</v>
      </c>
      <c r="F29" s="4">
        <v>70000</v>
      </c>
    </row>
    <row r="30" spans="1:6" x14ac:dyDescent="0.35">
      <c r="A30" s="3" t="s">
        <v>159</v>
      </c>
      <c r="B30" s="3">
        <v>11202</v>
      </c>
      <c r="C30" s="3" t="s">
        <v>22</v>
      </c>
      <c r="D30" s="4">
        <v>10000</v>
      </c>
      <c r="E30" s="4">
        <v>340000</v>
      </c>
      <c r="F30" s="4">
        <v>60000</v>
      </c>
    </row>
    <row r="31" spans="1:6" x14ac:dyDescent="0.35">
      <c r="A31" s="5">
        <v>45636</v>
      </c>
      <c r="B31" s="3">
        <v>11400</v>
      </c>
      <c r="C31" s="3" t="s">
        <v>22</v>
      </c>
      <c r="D31" s="4">
        <v>10000</v>
      </c>
      <c r="E31" s="4">
        <v>350000</v>
      </c>
      <c r="F31" s="4">
        <v>50000</v>
      </c>
    </row>
    <row r="32" spans="1:6" x14ac:dyDescent="0.35">
      <c r="A32" s="3" t="s">
        <v>160</v>
      </c>
      <c r="B32" s="3">
        <v>12140</v>
      </c>
      <c r="C32" s="3" t="s">
        <v>22</v>
      </c>
      <c r="D32" s="4">
        <v>10000</v>
      </c>
      <c r="E32" s="4">
        <v>360000</v>
      </c>
      <c r="F32" s="4">
        <v>40000</v>
      </c>
    </row>
    <row r="33" spans="1:7" x14ac:dyDescent="0.35">
      <c r="A33" s="3" t="s">
        <v>161</v>
      </c>
      <c r="B33" s="3">
        <v>12705</v>
      </c>
      <c r="C33" s="3" t="s">
        <v>22</v>
      </c>
      <c r="D33" s="4">
        <v>10000</v>
      </c>
      <c r="E33" s="4">
        <v>370000</v>
      </c>
      <c r="F33" s="4">
        <v>30000</v>
      </c>
    </row>
    <row r="34" spans="1:7" x14ac:dyDescent="0.35">
      <c r="A34" s="3" t="s">
        <v>54</v>
      </c>
      <c r="B34" s="3">
        <v>9079</v>
      </c>
      <c r="C34" s="3" t="s">
        <v>22</v>
      </c>
      <c r="D34" s="4">
        <v>10000</v>
      </c>
      <c r="E34" s="4">
        <v>380000</v>
      </c>
      <c r="F34" s="4">
        <v>20000</v>
      </c>
    </row>
    <row r="35" spans="1:7" x14ac:dyDescent="0.35">
      <c r="A35" s="3" t="s">
        <v>162</v>
      </c>
      <c r="B35" s="3">
        <v>9468</v>
      </c>
      <c r="C35" s="3" t="s">
        <v>22</v>
      </c>
      <c r="D35" s="4">
        <v>10000</v>
      </c>
      <c r="E35" s="4">
        <v>390000</v>
      </c>
      <c r="F35" s="4">
        <v>10000</v>
      </c>
    </row>
    <row r="36" spans="1:7" x14ac:dyDescent="0.35">
      <c r="A36" s="3" t="s">
        <v>163</v>
      </c>
      <c r="B36" s="3">
        <v>9815</v>
      </c>
      <c r="C36" s="3" t="s">
        <v>22</v>
      </c>
      <c r="D36" s="4">
        <v>10000</v>
      </c>
      <c r="E36" s="4">
        <v>400000</v>
      </c>
      <c r="F36" s="3">
        <v>0</v>
      </c>
    </row>
    <row r="37" spans="1:7" ht="18.5" x14ac:dyDescent="0.45">
      <c r="A37" s="20" t="s">
        <v>205</v>
      </c>
      <c r="B37" s="16"/>
      <c r="C37" s="16"/>
      <c r="D37" s="16"/>
      <c r="E37" s="16"/>
      <c r="F37" s="16"/>
      <c r="G37" s="16"/>
    </row>
    <row r="39" spans="1:7" x14ac:dyDescent="0.35">
      <c r="A39" s="3" t="s">
        <v>400</v>
      </c>
      <c r="B39" s="3">
        <v>3602</v>
      </c>
      <c r="C39" s="3" t="s">
        <v>401</v>
      </c>
      <c r="D39" s="8">
        <v>10000</v>
      </c>
      <c r="E39" s="8">
        <v>10000</v>
      </c>
      <c r="F39" s="8">
        <v>440000</v>
      </c>
    </row>
    <row r="40" spans="1:7" x14ac:dyDescent="0.35">
      <c r="A40" s="3" t="s">
        <v>402</v>
      </c>
      <c r="B40" s="3">
        <v>3854</v>
      </c>
      <c r="C40" s="3" t="s">
        <v>401</v>
      </c>
      <c r="D40" s="7">
        <v>5000</v>
      </c>
      <c r="E40" s="8">
        <f t="shared" ref="E40:E48" si="0">E39+D40</f>
        <v>15000</v>
      </c>
      <c r="F40" s="8">
        <f t="shared" ref="F40:F48" si="1">F39-D40</f>
        <v>435000</v>
      </c>
    </row>
    <row r="41" spans="1:7" x14ac:dyDescent="0.35">
      <c r="A41" s="3" t="s">
        <v>403</v>
      </c>
      <c r="B41" s="3">
        <v>5165</v>
      </c>
      <c r="C41" s="3" t="s">
        <v>401</v>
      </c>
      <c r="D41" s="7">
        <v>5000</v>
      </c>
      <c r="E41" s="8">
        <f t="shared" si="0"/>
        <v>20000</v>
      </c>
      <c r="F41" s="8">
        <f t="shared" si="1"/>
        <v>430000</v>
      </c>
    </row>
    <row r="42" spans="1:7" x14ac:dyDescent="0.35">
      <c r="A42" s="3" t="s">
        <v>404</v>
      </c>
      <c r="B42" s="3">
        <v>5408</v>
      </c>
      <c r="C42" s="3" t="s">
        <v>401</v>
      </c>
      <c r="D42" s="7">
        <v>5000</v>
      </c>
      <c r="E42" s="8">
        <f t="shared" si="0"/>
        <v>25000</v>
      </c>
      <c r="F42" s="8">
        <f t="shared" si="1"/>
        <v>425000</v>
      </c>
    </row>
    <row r="43" spans="1:7" x14ac:dyDescent="0.35">
      <c r="A43" s="3" t="s">
        <v>405</v>
      </c>
      <c r="B43" s="3">
        <v>5604</v>
      </c>
      <c r="C43" s="3" t="s">
        <v>401</v>
      </c>
      <c r="D43" s="7">
        <v>5000</v>
      </c>
      <c r="E43" s="8">
        <f t="shared" si="0"/>
        <v>30000</v>
      </c>
      <c r="F43" s="8">
        <f t="shared" si="1"/>
        <v>420000</v>
      </c>
    </row>
    <row r="44" spans="1:7" x14ac:dyDescent="0.35">
      <c r="A44" s="3" t="s">
        <v>406</v>
      </c>
      <c r="B44" s="3">
        <v>5787</v>
      </c>
      <c r="C44" s="3" t="s">
        <v>401</v>
      </c>
      <c r="D44" s="7">
        <v>5000</v>
      </c>
      <c r="E44" s="8">
        <f t="shared" si="0"/>
        <v>35000</v>
      </c>
      <c r="F44" s="8">
        <f t="shared" si="1"/>
        <v>415000</v>
      </c>
    </row>
    <row r="45" spans="1:7" x14ac:dyDescent="0.35">
      <c r="A45" s="3" t="s">
        <v>407</v>
      </c>
      <c r="B45" s="3">
        <v>1329</v>
      </c>
      <c r="C45" s="3" t="s">
        <v>401</v>
      </c>
      <c r="D45" s="7">
        <v>5000</v>
      </c>
      <c r="E45" s="8">
        <f t="shared" si="0"/>
        <v>40000</v>
      </c>
      <c r="F45" s="8">
        <f t="shared" si="1"/>
        <v>410000</v>
      </c>
    </row>
    <row r="46" spans="1:7" x14ac:dyDescent="0.35">
      <c r="A46" s="3" t="s">
        <v>408</v>
      </c>
      <c r="B46" s="3">
        <v>1553</v>
      </c>
      <c r="C46" s="3" t="s">
        <v>401</v>
      </c>
      <c r="D46" s="7">
        <v>5000</v>
      </c>
      <c r="E46" s="8">
        <f t="shared" si="0"/>
        <v>45000</v>
      </c>
      <c r="F46" s="8">
        <f t="shared" si="1"/>
        <v>405000</v>
      </c>
    </row>
    <row r="47" spans="1:7" x14ac:dyDescent="0.35">
      <c r="A47" s="3" t="s">
        <v>409</v>
      </c>
      <c r="B47" s="3">
        <v>1714</v>
      </c>
      <c r="C47" s="3" t="s">
        <v>401</v>
      </c>
      <c r="D47" s="7">
        <v>5000</v>
      </c>
      <c r="E47" s="8">
        <f t="shared" si="0"/>
        <v>50000</v>
      </c>
      <c r="F47" s="8">
        <f t="shared" si="1"/>
        <v>400000</v>
      </c>
    </row>
    <row r="48" spans="1:7" x14ac:dyDescent="0.35">
      <c r="A48" s="3" t="s">
        <v>410</v>
      </c>
      <c r="B48" s="3">
        <v>1888</v>
      </c>
      <c r="C48" s="3" t="s">
        <v>401</v>
      </c>
      <c r="D48" s="7">
        <v>5000</v>
      </c>
      <c r="E48" s="8">
        <f t="shared" si="0"/>
        <v>55000</v>
      </c>
      <c r="F48" s="8">
        <f t="shared" si="1"/>
        <v>395000</v>
      </c>
    </row>
    <row r="49" spans="1:6" x14ac:dyDescent="0.35">
      <c r="A49" s="3" t="s">
        <v>442</v>
      </c>
      <c r="B49" s="3">
        <v>3800</v>
      </c>
      <c r="C49" s="3" t="s">
        <v>401</v>
      </c>
      <c r="D49" s="7">
        <v>5000</v>
      </c>
      <c r="E49" s="8">
        <f>E48+D49</f>
        <v>60000</v>
      </c>
      <c r="F49" s="8">
        <f>F48-D49</f>
        <v>390000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7203-11CF-416D-A83E-6ADA78BB0DF1}">
  <dimension ref="A1:H19"/>
  <sheetViews>
    <sheetView topLeftCell="A5" workbookViewId="0">
      <selection activeCell="A17" sqref="A17:F19"/>
    </sheetView>
  </sheetViews>
  <sheetFormatPr defaultRowHeight="14.5" x14ac:dyDescent="0.35"/>
  <cols>
    <col min="1" max="1" width="9.453125" bestFit="1" customWidth="1"/>
    <col min="3" max="3" width="10.36328125" bestFit="1" customWidth="1"/>
    <col min="4" max="4" width="15.26953125" bestFit="1" customWidth="1"/>
    <col min="6" max="6" width="11.453125" bestFit="1" customWidth="1"/>
  </cols>
  <sheetData>
    <row r="1" spans="1:8" ht="18.5" x14ac:dyDescent="0.45">
      <c r="A1" s="1" t="s">
        <v>84</v>
      </c>
      <c r="B1" s="1"/>
      <c r="C1" s="1"/>
      <c r="D1" s="1"/>
      <c r="E1" s="1"/>
      <c r="F1" s="1"/>
    </row>
    <row r="2" spans="1:8" ht="18.5" x14ac:dyDescent="0.45">
      <c r="A2" s="1" t="s">
        <v>85</v>
      </c>
      <c r="C2" s="1"/>
      <c r="D2" s="1"/>
      <c r="E2" s="1"/>
      <c r="F2" s="1"/>
    </row>
    <row r="3" spans="1:8" ht="18.5" x14ac:dyDescent="0.45">
      <c r="A3" s="1" t="s">
        <v>86</v>
      </c>
      <c r="B3" s="1"/>
      <c r="C3" s="1"/>
      <c r="D3" s="1"/>
      <c r="E3" s="1"/>
      <c r="F3" s="1"/>
      <c r="H3" t="s">
        <v>331</v>
      </c>
    </row>
    <row r="4" spans="1:8" ht="18.5" x14ac:dyDescent="0.45">
      <c r="A4" s="1" t="s">
        <v>30</v>
      </c>
      <c r="B4" s="1"/>
      <c r="C4" s="1"/>
      <c r="D4" s="1"/>
      <c r="E4" s="1"/>
      <c r="F4" s="1"/>
    </row>
    <row r="5" spans="1:8" ht="18.5" x14ac:dyDescent="0.45">
      <c r="A5" s="1" t="s">
        <v>87</v>
      </c>
      <c r="B5" s="1"/>
      <c r="C5" s="1"/>
      <c r="D5" s="1" t="s">
        <v>88</v>
      </c>
      <c r="F5" s="1"/>
    </row>
    <row r="6" spans="1:8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 spans="1:8" x14ac:dyDescent="0.35">
      <c r="A7" s="3" t="s">
        <v>89</v>
      </c>
      <c r="B7" s="3">
        <v>13907</v>
      </c>
      <c r="C7" s="3" t="s">
        <v>95</v>
      </c>
      <c r="D7" s="4">
        <v>10000</v>
      </c>
      <c r="E7" s="4">
        <v>10000</v>
      </c>
      <c r="F7" s="4">
        <v>670000</v>
      </c>
    </row>
    <row r="8" spans="1:8" x14ac:dyDescent="0.35">
      <c r="A8" s="3" t="s">
        <v>89</v>
      </c>
      <c r="B8" s="3">
        <v>13908</v>
      </c>
      <c r="C8" s="3" t="s">
        <v>22</v>
      </c>
      <c r="D8" s="4">
        <v>10000</v>
      </c>
      <c r="E8" s="4">
        <f>SUM(E7+D8)</f>
        <v>20000</v>
      </c>
      <c r="F8" s="4">
        <f>F7-D8</f>
        <v>660000</v>
      </c>
    </row>
    <row r="9" spans="1:8" x14ac:dyDescent="0.35">
      <c r="A9" s="3" t="s">
        <v>90</v>
      </c>
      <c r="B9" s="3">
        <v>13529</v>
      </c>
      <c r="C9" s="3" t="s">
        <v>22</v>
      </c>
      <c r="D9" s="4">
        <v>10000</v>
      </c>
      <c r="E9" s="4">
        <f t="shared" ref="E9:E16" si="0">SUM(E8+D9)</f>
        <v>30000</v>
      </c>
      <c r="F9" s="4">
        <f t="shared" ref="F9:F16" si="1">F8-D9</f>
        <v>650000</v>
      </c>
    </row>
    <row r="10" spans="1:8" x14ac:dyDescent="0.35">
      <c r="A10" s="3" t="s">
        <v>91</v>
      </c>
      <c r="B10" s="3">
        <v>13397</v>
      </c>
      <c r="C10" s="3" t="s">
        <v>22</v>
      </c>
      <c r="D10" s="4">
        <v>10000</v>
      </c>
      <c r="E10" s="4">
        <f t="shared" si="0"/>
        <v>40000</v>
      </c>
      <c r="F10" s="4">
        <f t="shared" si="1"/>
        <v>640000</v>
      </c>
    </row>
    <row r="11" spans="1:8" x14ac:dyDescent="0.35">
      <c r="A11" s="3" t="s">
        <v>92</v>
      </c>
      <c r="B11" s="3">
        <v>13192</v>
      </c>
      <c r="C11" s="3" t="s">
        <v>22</v>
      </c>
      <c r="D11" s="4">
        <v>10000</v>
      </c>
      <c r="E11" s="4">
        <f t="shared" si="0"/>
        <v>50000</v>
      </c>
      <c r="F11" s="4">
        <f t="shared" si="1"/>
        <v>630000</v>
      </c>
    </row>
    <row r="12" spans="1:8" x14ac:dyDescent="0.35">
      <c r="A12" s="3" t="s">
        <v>93</v>
      </c>
      <c r="B12" s="3">
        <v>12197</v>
      </c>
      <c r="C12" s="3" t="s">
        <v>22</v>
      </c>
      <c r="D12" s="4">
        <v>10000</v>
      </c>
      <c r="E12" s="4">
        <f t="shared" si="0"/>
        <v>60000</v>
      </c>
      <c r="F12" s="4">
        <f t="shared" si="1"/>
        <v>620000</v>
      </c>
    </row>
    <row r="13" spans="1:8" x14ac:dyDescent="0.35">
      <c r="A13" s="3" t="s">
        <v>94</v>
      </c>
      <c r="B13" s="3">
        <v>2547</v>
      </c>
      <c r="C13" s="3" t="s">
        <v>22</v>
      </c>
      <c r="D13" s="4">
        <v>10000</v>
      </c>
      <c r="E13" s="4">
        <f t="shared" si="0"/>
        <v>70000</v>
      </c>
      <c r="F13" s="4">
        <f t="shared" si="1"/>
        <v>610000</v>
      </c>
    </row>
    <row r="14" spans="1:8" x14ac:dyDescent="0.35">
      <c r="A14" s="14">
        <v>46026</v>
      </c>
      <c r="B14" s="13">
        <v>13989</v>
      </c>
      <c r="C14" s="3" t="s">
        <v>22</v>
      </c>
      <c r="D14" s="4">
        <v>10000</v>
      </c>
      <c r="E14" s="4">
        <f t="shared" si="0"/>
        <v>80000</v>
      </c>
      <c r="F14" s="4">
        <f t="shared" si="1"/>
        <v>600000</v>
      </c>
    </row>
    <row r="15" spans="1:8" x14ac:dyDescent="0.35">
      <c r="A15" s="14">
        <v>46299</v>
      </c>
      <c r="B15" s="13">
        <v>13208</v>
      </c>
      <c r="C15" s="3" t="s">
        <v>22</v>
      </c>
      <c r="D15" s="4">
        <v>10000</v>
      </c>
      <c r="E15" s="4">
        <f t="shared" si="0"/>
        <v>90000</v>
      </c>
      <c r="F15" s="4">
        <f t="shared" si="1"/>
        <v>590000</v>
      </c>
    </row>
    <row r="16" spans="1:8" x14ac:dyDescent="0.35">
      <c r="A16" s="14">
        <v>46331</v>
      </c>
      <c r="B16" s="13">
        <v>13328</v>
      </c>
      <c r="C16" s="25" t="s">
        <v>22</v>
      </c>
      <c r="D16" s="26">
        <v>10000</v>
      </c>
      <c r="E16" s="26">
        <f t="shared" si="0"/>
        <v>100000</v>
      </c>
      <c r="F16" s="26">
        <f t="shared" si="1"/>
        <v>580000</v>
      </c>
    </row>
    <row r="17" spans="1:6" x14ac:dyDescent="0.35">
      <c r="A17" s="7" t="s">
        <v>330</v>
      </c>
      <c r="B17" s="3">
        <v>13611</v>
      </c>
      <c r="C17" s="3" t="s">
        <v>22</v>
      </c>
      <c r="D17" s="8">
        <v>10000</v>
      </c>
      <c r="E17" s="8">
        <f>E16+D17</f>
        <v>110000</v>
      </c>
      <c r="F17" s="8">
        <f>F16-D17</f>
        <v>570000</v>
      </c>
    </row>
    <row r="18" spans="1:6" x14ac:dyDescent="0.35">
      <c r="A18" s="7" t="s">
        <v>443</v>
      </c>
      <c r="B18" s="3">
        <v>1495</v>
      </c>
      <c r="C18" s="3" t="s">
        <v>22</v>
      </c>
      <c r="D18" s="8">
        <v>10000</v>
      </c>
      <c r="E18" s="8">
        <f>E17+D18</f>
        <v>120000</v>
      </c>
      <c r="F18" s="8">
        <f>F17-D18</f>
        <v>560000</v>
      </c>
    </row>
    <row r="19" spans="1:6" x14ac:dyDescent="0.35">
      <c r="A19" s="7" t="s">
        <v>444</v>
      </c>
      <c r="B19" s="3">
        <v>1804</v>
      </c>
      <c r="C19" s="3" t="s">
        <v>22</v>
      </c>
      <c r="D19" s="8">
        <v>10000</v>
      </c>
      <c r="E19" s="8">
        <f>E18+D19</f>
        <v>130000</v>
      </c>
      <c r="F19" s="8">
        <f>F18-D19</f>
        <v>550000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BC20-2D5E-469F-816E-2BF303C6CBB0}">
  <dimension ref="A1:F25"/>
  <sheetViews>
    <sheetView workbookViewId="0">
      <selection activeCell="H15" sqref="H15"/>
    </sheetView>
  </sheetViews>
  <sheetFormatPr defaultRowHeight="14.5" x14ac:dyDescent="0.35"/>
  <cols>
    <col min="1" max="1" width="9.453125" bestFit="1" customWidth="1"/>
    <col min="3" max="3" width="10.36328125" bestFit="1" customWidth="1"/>
    <col min="4" max="4" width="15.81640625" bestFit="1" customWidth="1"/>
    <col min="5" max="5" width="8.453125" bestFit="1" customWidth="1"/>
    <col min="6" max="6" width="11.453125" bestFit="1" customWidth="1"/>
  </cols>
  <sheetData>
    <row r="1" spans="1:6" ht="18.5" x14ac:dyDescent="0.45">
      <c r="A1" s="1" t="s">
        <v>6</v>
      </c>
      <c r="B1" s="1"/>
      <c r="C1" s="1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141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s="3" t="s">
        <v>12</v>
      </c>
      <c r="B8" s="3">
        <v>3001</v>
      </c>
      <c r="C8" s="3" t="s">
        <v>21</v>
      </c>
      <c r="D8" s="4">
        <v>50000</v>
      </c>
      <c r="E8" s="4">
        <v>50000</v>
      </c>
      <c r="F8" s="4">
        <v>550000</v>
      </c>
    </row>
    <row r="9" spans="1:6" x14ac:dyDescent="0.35">
      <c r="A9" s="3" t="s">
        <v>13</v>
      </c>
      <c r="B9" s="3">
        <v>3002</v>
      </c>
      <c r="C9" s="3" t="s">
        <v>22</v>
      </c>
      <c r="D9" s="4">
        <v>70000</v>
      </c>
      <c r="E9" s="4">
        <f>SUM(E8+D9)</f>
        <v>120000</v>
      </c>
      <c r="F9" s="4">
        <f>F8-D9</f>
        <v>480000</v>
      </c>
    </row>
    <row r="10" spans="1:6" x14ac:dyDescent="0.35">
      <c r="A10" s="3" t="s">
        <v>14</v>
      </c>
      <c r="B10" s="3">
        <v>4520</v>
      </c>
      <c r="C10" s="3" t="s">
        <v>22</v>
      </c>
      <c r="D10" s="4">
        <v>20000</v>
      </c>
      <c r="E10" s="4">
        <f t="shared" ref="E10:E25" si="0">SUM(E9+D10)</f>
        <v>140000</v>
      </c>
      <c r="F10" s="4">
        <f t="shared" ref="F10:F25" si="1">F9-D10</f>
        <v>460000</v>
      </c>
    </row>
    <row r="11" spans="1:6" x14ac:dyDescent="0.35">
      <c r="A11" s="3" t="s">
        <v>15</v>
      </c>
      <c r="B11" s="3">
        <v>6237</v>
      </c>
      <c r="C11" s="3" t="s">
        <v>22</v>
      </c>
      <c r="D11" s="4">
        <v>20000</v>
      </c>
      <c r="E11" s="4">
        <f t="shared" si="0"/>
        <v>160000</v>
      </c>
      <c r="F11" s="4">
        <f t="shared" si="1"/>
        <v>440000</v>
      </c>
    </row>
    <row r="12" spans="1:6" x14ac:dyDescent="0.35">
      <c r="A12" s="3" t="s">
        <v>16</v>
      </c>
      <c r="B12" s="3">
        <v>7267</v>
      </c>
      <c r="C12" s="3" t="s">
        <v>22</v>
      </c>
      <c r="D12" s="4">
        <v>30000</v>
      </c>
      <c r="E12" s="4">
        <f t="shared" si="0"/>
        <v>190000</v>
      </c>
      <c r="F12" s="4">
        <f t="shared" si="1"/>
        <v>410000</v>
      </c>
    </row>
    <row r="13" spans="1:6" x14ac:dyDescent="0.35">
      <c r="A13" s="5">
        <v>45388</v>
      </c>
      <c r="B13" s="3">
        <v>8845</v>
      </c>
      <c r="C13" s="3" t="s">
        <v>22</v>
      </c>
      <c r="D13" s="4">
        <v>20000</v>
      </c>
      <c r="E13" s="4">
        <f t="shared" si="0"/>
        <v>210000</v>
      </c>
      <c r="F13" s="4">
        <f t="shared" si="1"/>
        <v>390000</v>
      </c>
    </row>
    <row r="14" spans="1:6" x14ac:dyDescent="0.35">
      <c r="A14" s="3" t="s">
        <v>17</v>
      </c>
      <c r="B14" s="3">
        <v>10855</v>
      </c>
      <c r="C14" s="3" t="s">
        <v>22</v>
      </c>
      <c r="D14" s="4">
        <v>10000</v>
      </c>
      <c r="E14" s="4">
        <f t="shared" si="0"/>
        <v>220000</v>
      </c>
      <c r="F14" s="4">
        <f t="shared" si="1"/>
        <v>380000</v>
      </c>
    </row>
    <row r="15" spans="1:6" x14ac:dyDescent="0.35">
      <c r="A15" s="3" t="s">
        <v>18</v>
      </c>
      <c r="B15" s="3">
        <v>11546</v>
      </c>
      <c r="C15" s="3" t="s">
        <v>22</v>
      </c>
      <c r="D15" s="4">
        <v>10000</v>
      </c>
      <c r="E15" s="4">
        <f t="shared" si="0"/>
        <v>230000</v>
      </c>
      <c r="F15" s="4">
        <f t="shared" si="1"/>
        <v>370000</v>
      </c>
    </row>
    <row r="16" spans="1:6" x14ac:dyDescent="0.35">
      <c r="A16" s="3" t="s">
        <v>19</v>
      </c>
      <c r="B16" s="3">
        <v>12545</v>
      </c>
      <c r="C16" s="3" t="s">
        <v>22</v>
      </c>
      <c r="D16" s="4">
        <v>10000</v>
      </c>
      <c r="E16" s="4">
        <f t="shared" si="0"/>
        <v>240000</v>
      </c>
      <c r="F16" s="4">
        <f t="shared" si="1"/>
        <v>360000</v>
      </c>
    </row>
    <row r="17" spans="1:6" x14ac:dyDescent="0.35">
      <c r="A17" s="5">
        <v>45874</v>
      </c>
      <c r="B17" s="3">
        <v>10382</v>
      </c>
      <c r="C17" s="3" t="s">
        <v>22</v>
      </c>
      <c r="D17" s="4">
        <v>20000</v>
      </c>
      <c r="E17" s="4">
        <f t="shared" si="0"/>
        <v>260000</v>
      </c>
      <c r="F17" s="4">
        <f t="shared" si="1"/>
        <v>340000</v>
      </c>
    </row>
    <row r="18" spans="1:6" x14ac:dyDescent="0.35">
      <c r="A18" s="3" t="s">
        <v>20</v>
      </c>
      <c r="B18" s="3">
        <v>12275</v>
      </c>
      <c r="C18" s="3" t="s">
        <v>22</v>
      </c>
      <c r="D18" s="4">
        <v>50000</v>
      </c>
      <c r="E18" s="4">
        <f t="shared" si="0"/>
        <v>310000</v>
      </c>
      <c r="F18" s="4">
        <f t="shared" si="1"/>
        <v>290000</v>
      </c>
    </row>
    <row r="19" spans="1:6" x14ac:dyDescent="0.35">
      <c r="A19" s="3" t="s">
        <v>23</v>
      </c>
      <c r="B19" s="3">
        <v>12573</v>
      </c>
      <c r="C19" s="3" t="s">
        <v>22</v>
      </c>
      <c r="D19" s="4">
        <v>10000</v>
      </c>
      <c r="E19" s="4">
        <f t="shared" si="0"/>
        <v>320000</v>
      </c>
      <c r="F19" s="4">
        <f t="shared" si="1"/>
        <v>280000</v>
      </c>
    </row>
    <row r="20" spans="1:6" x14ac:dyDescent="0.35">
      <c r="A20" s="5">
        <v>45726</v>
      </c>
      <c r="B20" s="3">
        <v>13862</v>
      </c>
      <c r="C20" s="3" t="s">
        <v>22</v>
      </c>
      <c r="D20" s="4">
        <v>10000</v>
      </c>
      <c r="E20" s="4">
        <f t="shared" si="0"/>
        <v>330000</v>
      </c>
      <c r="F20" s="4">
        <f t="shared" si="1"/>
        <v>270000</v>
      </c>
    </row>
    <row r="21" spans="1:6" x14ac:dyDescent="0.35">
      <c r="A21" s="3" t="s">
        <v>24</v>
      </c>
      <c r="B21" s="3">
        <v>13404</v>
      </c>
      <c r="C21" s="3" t="s">
        <v>22</v>
      </c>
      <c r="D21" s="4">
        <v>10000</v>
      </c>
      <c r="E21" s="4">
        <f t="shared" si="0"/>
        <v>340000</v>
      </c>
      <c r="F21" s="4">
        <f t="shared" si="1"/>
        <v>260000</v>
      </c>
    </row>
    <row r="22" spans="1:6" x14ac:dyDescent="0.35">
      <c r="A22" s="3" t="s">
        <v>25</v>
      </c>
      <c r="B22" s="3">
        <v>13230</v>
      </c>
      <c r="C22" s="3" t="s">
        <v>22</v>
      </c>
      <c r="D22" s="4">
        <v>10000</v>
      </c>
      <c r="E22" s="4">
        <f t="shared" si="0"/>
        <v>350000</v>
      </c>
      <c r="F22" s="4">
        <f t="shared" si="1"/>
        <v>250000</v>
      </c>
    </row>
    <row r="23" spans="1:6" x14ac:dyDescent="0.35">
      <c r="A23" s="3" t="s">
        <v>26</v>
      </c>
      <c r="B23" s="3">
        <v>13849</v>
      </c>
      <c r="C23" s="3" t="s">
        <v>22</v>
      </c>
      <c r="D23" s="4">
        <v>10000</v>
      </c>
      <c r="E23" s="4">
        <f t="shared" si="0"/>
        <v>360000</v>
      </c>
      <c r="F23" s="4">
        <f t="shared" si="1"/>
        <v>240000</v>
      </c>
    </row>
    <row r="24" spans="1:6" x14ac:dyDescent="0.35">
      <c r="A24" s="5">
        <v>46328</v>
      </c>
      <c r="B24" s="3">
        <v>12438</v>
      </c>
      <c r="C24" s="3" t="s">
        <v>22</v>
      </c>
      <c r="D24" s="4">
        <v>10000</v>
      </c>
      <c r="E24" s="4">
        <f t="shared" si="0"/>
        <v>370000</v>
      </c>
      <c r="F24" s="4">
        <f t="shared" si="1"/>
        <v>230000</v>
      </c>
    </row>
    <row r="25" spans="1:6" x14ac:dyDescent="0.35">
      <c r="A25" s="9">
        <v>46206</v>
      </c>
      <c r="B25" s="3">
        <v>12766</v>
      </c>
      <c r="C25" s="3" t="s">
        <v>22</v>
      </c>
      <c r="D25" s="4">
        <v>10000</v>
      </c>
      <c r="E25" s="4">
        <f t="shared" si="0"/>
        <v>380000</v>
      </c>
      <c r="F25" s="4">
        <f t="shared" si="1"/>
        <v>220000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1E8D-34D7-44C3-80DF-B3842EE22790}">
  <dimension ref="A1:F43"/>
  <sheetViews>
    <sheetView topLeftCell="A33" workbookViewId="0">
      <selection activeCell="F43" sqref="F43"/>
    </sheetView>
  </sheetViews>
  <sheetFormatPr defaultRowHeight="14.5" x14ac:dyDescent="0.35"/>
  <cols>
    <col min="1" max="1" width="26.90625" bestFit="1" customWidth="1"/>
    <col min="3" max="3" width="15.36328125" customWidth="1"/>
    <col min="6" max="6" width="11.36328125" bestFit="1" customWidth="1"/>
  </cols>
  <sheetData>
    <row r="1" spans="1:6" ht="18.5" x14ac:dyDescent="0.45">
      <c r="A1" s="1" t="s">
        <v>108</v>
      </c>
      <c r="B1" s="1"/>
      <c r="C1" s="1"/>
      <c r="D1" s="1"/>
      <c r="E1" s="1"/>
      <c r="F1" s="1"/>
    </row>
    <row r="2" spans="1:6" ht="18.5" x14ac:dyDescent="0.45">
      <c r="A2" s="1" t="s">
        <v>109</v>
      </c>
      <c r="C2" s="1"/>
      <c r="D2" s="1"/>
      <c r="E2" s="1"/>
      <c r="F2" s="1"/>
    </row>
    <row r="3" spans="1:6" ht="18.5" x14ac:dyDescent="0.45">
      <c r="A3" s="1" t="s">
        <v>290</v>
      </c>
      <c r="B3">
        <v>6359</v>
      </c>
      <c r="C3" s="1"/>
      <c r="D3" s="1"/>
      <c r="E3" s="1"/>
      <c r="F3" s="1"/>
    </row>
    <row r="4" spans="1:6" ht="18.5" x14ac:dyDescent="0.45">
      <c r="A4" s="1" t="s">
        <v>110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/>
      <c r="C5" s="1"/>
      <c r="D5" s="1"/>
      <c r="E5" s="1"/>
      <c r="F5" s="1"/>
    </row>
    <row r="6" spans="1:6" ht="18.5" x14ac:dyDescent="0.45">
      <c r="A6" s="1" t="s">
        <v>111</v>
      </c>
      <c r="B6" s="1" t="s">
        <v>112</v>
      </c>
      <c r="C6" s="1"/>
      <c r="D6" s="1"/>
      <c r="F6" s="1"/>
    </row>
    <row r="7" spans="1:6" x14ac:dyDescent="0.3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x14ac:dyDescent="0.35">
      <c r="A8" s="5" t="s">
        <v>113</v>
      </c>
      <c r="B8" s="3">
        <v>806</v>
      </c>
      <c r="C8" s="3" t="s">
        <v>22</v>
      </c>
      <c r="D8" s="4">
        <v>10000</v>
      </c>
      <c r="E8" s="4">
        <v>10000</v>
      </c>
      <c r="F8" s="4">
        <v>390000</v>
      </c>
    </row>
    <row r="9" spans="1:6" x14ac:dyDescent="0.35">
      <c r="A9" s="5">
        <v>45234</v>
      </c>
      <c r="B9" s="3">
        <v>1913</v>
      </c>
      <c r="C9" s="3" t="s">
        <v>120</v>
      </c>
      <c r="D9" s="4">
        <v>30000</v>
      </c>
      <c r="E9" s="4">
        <f>SUM(E8+D9)</f>
        <v>40000</v>
      </c>
      <c r="F9" s="4">
        <f>F8-D9</f>
        <v>360000</v>
      </c>
    </row>
    <row r="10" spans="1:6" x14ac:dyDescent="0.35">
      <c r="A10" s="5">
        <v>45234</v>
      </c>
      <c r="B10" s="3">
        <v>1914</v>
      </c>
      <c r="C10" s="3" t="s">
        <v>22</v>
      </c>
      <c r="D10" s="4">
        <v>10000</v>
      </c>
      <c r="E10" s="4">
        <f t="shared" ref="E10:E37" si="0">SUM(E9+D10)</f>
        <v>50000</v>
      </c>
      <c r="F10" s="4">
        <f t="shared" ref="F10:F37" si="1">F9-D10</f>
        <v>350000</v>
      </c>
    </row>
    <row r="11" spans="1:6" x14ac:dyDescent="0.35">
      <c r="A11" s="5" t="s">
        <v>114</v>
      </c>
      <c r="B11" s="3">
        <v>207</v>
      </c>
      <c r="C11" s="3" t="s">
        <v>22</v>
      </c>
      <c r="D11" s="4">
        <v>10000</v>
      </c>
      <c r="E11" s="4">
        <f t="shared" si="0"/>
        <v>60000</v>
      </c>
      <c r="F11" s="4">
        <f t="shared" si="1"/>
        <v>340000</v>
      </c>
    </row>
    <row r="12" spans="1:6" x14ac:dyDescent="0.35">
      <c r="A12" s="5">
        <v>45053</v>
      </c>
      <c r="B12" s="3">
        <v>2128</v>
      </c>
      <c r="C12" s="3" t="s">
        <v>22</v>
      </c>
      <c r="D12" s="4">
        <v>10000</v>
      </c>
      <c r="E12" s="4">
        <f t="shared" si="0"/>
        <v>70000</v>
      </c>
      <c r="F12" s="4">
        <f t="shared" si="1"/>
        <v>330000</v>
      </c>
    </row>
    <row r="13" spans="1:6" x14ac:dyDescent="0.35">
      <c r="A13" s="5" t="s">
        <v>115</v>
      </c>
      <c r="B13" s="3">
        <v>3065</v>
      </c>
      <c r="C13" s="3" t="s">
        <v>22</v>
      </c>
      <c r="D13" s="4">
        <v>15000</v>
      </c>
      <c r="E13" s="4">
        <f t="shared" si="0"/>
        <v>85000</v>
      </c>
      <c r="F13" s="4">
        <f t="shared" si="1"/>
        <v>315000</v>
      </c>
    </row>
    <row r="14" spans="1:6" x14ac:dyDescent="0.35">
      <c r="A14" s="3" t="s">
        <v>116</v>
      </c>
      <c r="B14" s="3">
        <v>3768</v>
      </c>
      <c r="C14" s="3" t="s">
        <v>22</v>
      </c>
      <c r="D14" s="4">
        <v>15000</v>
      </c>
      <c r="E14" s="4">
        <f t="shared" si="0"/>
        <v>100000</v>
      </c>
      <c r="F14" s="4">
        <f t="shared" si="1"/>
        <v>300000</v>
      </c>
    </row>
    <row r="15" spans="1:6" x14ac:dyDescent="0.35">
      <c r="A15" s="5" t="s">
        <v>117</v>
      </c>
      <c r="B15" s="3">
        <v>4436</v>
      </c>
      <c r="C15" s="3" t="s">
        <v>22</v>
      </c>
      <c r="D15" s="4">
        <v>10000</v>
      </c>
      <c r="E15" s="4">
        <f t="shared" si="0"/>
        <v>110000</v>
      </c>
      <c r="F15" s="4">
        <f t="shared" si="1"/>
        <v>290000</v>
      </c>
    </row>
    <row r="16" spans="1:6" x14ac:dyDescent="0.35">
      <c r="A16" s="5" t="s">
        <v>118</v>
      </c>
      <c r="B16" s="3">
        <v>5111</v>
      </c>
      <c r="C16" s="3" t="s">
        <v>22</v>
      </c>
      <c r="D16" s="4">
        <v>10000</v>
      </c>
      <c r="E16" s="4">
        <f t="shared" si="0"/>
        <v>120000</v>
      </c>
      <c r="F16" s="4">
        <f t="shared" si="1"/>
        <v>280000</v>
      </c>
    </row>
    <row r="17" spans="1:6" x14ac:dyDescent="0.35">
      <c r="A17" s="5" t="s">
        <v>119</v>
      </c>
      <c r="B17" s="3">
        <v>5817</v>
      </c>
      <c r="C17" s="3" t="s">
        <v>22</v>
      </c>
      <c r="D17" s="4">
        <v>10000</v>
      </c>
      <c r="E17" s="4">
        <f t="shared" si="0"/>
        <v>130000</v>
      </c>
      <c r="F17" s="4">
        <f t="shared" si="1"/>
        <v>270000</v>
      </c>
    </row>
    <row r="18" spans="1:6" x14ac:dyDescent="0.35">
      <c r="A18" s="5">
        <v>45353</v>
      </c>
      <c r="B18" s="3">
        <v>6505</v>
      </c>
      <c r="C18" s="3" t="s">
        <v>22</v>
      </c>
      <c r="D18" s="4">
        <v>10000</v>
      </c>
      <c r="E18" s="4">
        <f t="shared" si="0"/>
        <v>140000</v>
      </c>
      <c r="F18" s="4">
        <f t="shared" si="1"/>
        <v>260000</v>
      </c>
    </row>
    <row r="19" spans="1:6" x14ac:dyDescent="0.35">
      <c r="A19" s="5" t="s">
        <v>121</v>
      </c>
      <c r="B19" s="3">
        <v>6705</v>
      </c>
      <c r="C19" s="3" t="s">
        <v>22</v>
      </c>
      <c r="D19" s="4">
        <v>10000</v>
      </c>
      <c r="E19" s="4">
        <f t="shared" si="0"/>
        <v>150000</v>
      </c>
      <c r="F19" s="4">
        <f t="shared" si="1"/>
        <v>250000</v>
      </c>
    </row>
    <row r="20" spans="1:6" x14ac:dyDescent="0.35">
      <c r="A20" s="5" t="s">
        <v>122</v>
      </c>
      <c r="B20" s="3">
        <v>8070</v>
      </c>
      <c r="C20" s="3" t="s">
        <v>22</v>
      </c>
      <c r="D20" s="4">
        <v>10000</v>
      </c>
      <c r="E20" s="4">
        <f t="shared" si="0"/>
        <v>160000</v>
      </c>
      <c r="F20" s="4">
        <f t="shared" si="1"/>
        <v>240000</v>
      </c>
    </row>
    <row r="21" spans="1:6" x14ac:dyDescent="0.35">
      <c r="A21" s="5" t="s">
        <v>123</v>
      </c>
      <c r="B21" s="3">
        <v>8650</v>
      </c>
      <c r="C21" s="3" t="s">
        <v>22</v>
      </c>
      <c r="D21" s="4">
        <v>15000</v>
      </c>
      <c r="E21" s="4">
        <f t="shared" si="0"/>
        <v>175000</v>
      </c>
      <c r="F21" s="4">
        <f t="shared" si="1"/>
        <v>225000</v>
      </c>
    </row>
    <row r="22" spans="1:6" x14ac:dyDescent="0.35">
      <c r="A22" s="5">
        <v>45298</v>
      </c>
      <c r="B22" s="3">
        <v>9347</v>
      </c>
      <c r="C22" s="3" t="s">
        <v>22</v>
      </c>
      <c r="D22" s="4">
        <v>10000</v>
      </c>
      <c r="E22" s="4">
        <f t="shared" si="0"/>
        <v>185000</v>
      </c>
      <c r="F22" s="4">
        <f t="shared" si="1"/>
        <v>215000</v>
      </c>
    </row>
    <row r="23" spans="1:6" x14ac:dyDescent="0.35">
      <c r="A23" s="5">
        <v>45573</v>
      </c>
      <c r="B23" s="3">
        <v>11018</v>
      </c>
      <c r="C23" s="3" t="s">
        <v>22</v>
      </c>
      <c r="D23" s="4">
        <v>25000</v>
      </c>
      <c r="E23" s="4">
        <f t="shared" si="0"/>
        <v>210000</v>
      </c>
      <c r="F23" s="4">
        <f t="shared" si="1"/>
        <v>190000</v>
      </c>
    </row>
    <row r="24" spans="1:6" x14ac:dyDescent="0.35">
      <c r="A24" s="5" t="s">
        <v>124</v>
      </c>
      <c r="B24" s="3">
        <v>10781</v>
      </c>
      <c r="C24" s="3" t="s">
        <v>22</v>
      </c>
      <c r="D24" s="4">
        <v>10000</v>
      </c>
      <c r="E24" s="4">
        <f t="shared" si="0"/>
        <v>220000</v>
      </c>
      <c r="F24" s="4">
        <f t="shared" si="1"/>
        <v>180000</v>
      </c>
    </row>
    <row r="25" spans="1:6" x14ac:dyDescent="0.35">
      <c r="A25" s="5" t="s">
        <v>125</v>
      </c>
      <c r="B25" s="3">
        <v>11661</v>
      </c>
      <c r="C25" s="3" t="s">
        <v>22</v>
      </c>
      <c r="D25" s="4">
        <v>10000</v>
      </c>
      <c r="E25" s="4">
        <f t="shared" si="0"/>
        <v>230000</v>
      </c>
      <c r="F25" s="4">
        <f t="shared" si="1"/>
        <v>170000</v>
      </c>
    </row>
    <row r="26" spans="1:6" x14ac:dyDescent="0.35">
      <c r="A26" s="5" t="s">
        <v>50</v>
      </c>
      <c r="B26" s="3">
        <v>12191</v>
      </c>
      <c r="C26" s="3" t="s">
        <v>22</v>
      </c>
      <c r="D26" s="4">
        <v>10000</v>
      </c>
      <c r="E26" s="4">
        <f t="shared" si="0"/>
        <v>240000</v>
      </c>
      <c r="F26" s="4">
        <f t="shared" si="1"/>
        <v>160000</v>
      </c>
    </row>
    <row r="27" spans="1:6" x14ac:dyDescent="0.35">
      <c r="A27" s="5" t="s">
        <v>126</v>
      </c>
      <c r="B27" s="3">
        <v>12740</v>
      </c>
      <c r="C27" s="3" t="s">
        <v>22</v>
      </c>
      <c r="D27" s="4">
        <v>10000</v>
      </c>
      <c r="E27" s="4">
        <f t="shared" si="0"/>
        <v>250000</v>
      </c>
      <c r="F27" s="4">
        <f t="shared" si="1"/>
        <v>150000</v>
      </c>
    </row>
    <row r="28" spans="1:6" x14ac:dyDescent="0.35">
      <c r="A28" s="5">
        <v>45749</v>
      </c>
      <c r="B28" s="3">
        <v>9224</v>
      </c>
      <c r="C28" s="3" t="s">
        <v>22</v>
      </c>
      <c r="D28" s="4">
        <v>10000</v>
      </c>
      <c r="E28" s="4">
        <f t="shared" si="0"/>
        <v>260000</v>
      </c>
      <c r="F28" s="4">
        <f t="shared" si="1"/>
        <v>140000</v>
      </c>
    </row>
    <row r="29" spans="1:6" x14ac:dyDescent="0.35">
      <c r="A29" s="5" t="s">
        <v>127</v>
      </c>
      <c r="B29" s="3">
        <v>9498</v>
      </c>
      <c r="C29" s="3" t="s">
        <v>22</v>
      </c>
      <c r="D29" s="4">
        <v>10000</v>
      </c>
      <c r="E29" s="4">
        <f t="shared" si="0"/>
        <v>270000</v>
      </c>
      <c r="F29" s="4">
        <f t="shared" si="1"/>
        <v>130000</v>
      </c>
    </row>
    <row r="30" spans="1:6" x14ac:dyDescent="0.35">
      <c r="A30" s="5" t="s">
        <v>128</v>
      </c>
      <c r="B30" s="3">
        <v>9990</v>
      </c>
      <c r="C30" s="3" t="s">
        <v>22</v>
      </c>
      <c r="D30" s="4">
        <v>10000</v>
      </c>
      <c r="E30" s="4">
        <f t="shared" si="0"/>
        <v>280000</v>
      </c>
      <c r="F30" s="4">
        <f t="shared" si="1"/>
        <v>120000</v>
      </c>
    </row>
    <row r="31" spans="1:6" x14ac:dyDescent="0.35">
      <c r="A31" s="5" t="s">
        <v>129</v>
      </c>
      <c r="B31" s="3">
        <v>12310</v>
      </c>
      <c r="C31" s="3" t="s">
        <v>22</v>
      </c>
      <c r="D31" s="4">
        <v>10000</v>
      </c>
      <c r="E31" s="4">
        <f t="shared" si="0"/>
        <v>290000</v>
      </c>
      <c r="F31" s="4">
        <f t="shared" si="1"/>
        <v>110000</v>
      </c>
    </row>
    <row r="32" spans="1:6" x14ac:dyDescent="0.35">
      <c r="A32" s="5" t="s">
        <v>130</v>
      </c>
      <c r="B32" s="3">
        <v>12771</v>
      </c>
      <c r="C32" s="3" t="s">
        <v>22</v>
      </c>
      <c r="D32" s="4">
        <v>10000</v>
      </c>
      <c r="E32" s="4">
        <f t="shared" si="0"/>
        <v>300000</v>
      </c>
      <c r="F32" s="4">
        <f t="shared" si="1"/>
        <v>100000</v>
      </c>
    </row>
    <row r="33" spans="1:6" x14ac:dyDescent="0.35">
      <c r="A33" s="5" t="s">
        <v>131</v>
      </c>
      <c r="B33" s="3">
        <v>13546</v>
      </c>
      <c r="C33" s="3" t="s">
        <v>22</v>
      </c>
      <c r="D33" s="4">
        <v>10000</v>
      </c>
      <c r="E33" s="4">
        <f t="shared" si="0"/>
        <v>310000</v>
      </c>
      <c r="F33" s="4">
        <f t="shared" si="1"/>
        <v>90000</v>
      </c>
    </row>
    <row r="34" spans="1:6" x14ac:dyDescent="0.35">
      <c r="A34" s="5">
        <v>45759</v>
      </c>
      <c r="B34" s="3">
        <v>13276</v>
      </c>
      <c r="C34" s="3" t="s">
        <v>22</v>
      </c>
      <c r="D34" s="4">
        <v>10000</v>
      </c>
      <c r="E34" s="4">
        <f t="shared" si="0"/>
        <v>320000</v>
      </c>
      <c r="F34" s="4">
        <f t="shared" si="1"/>
        <v>80000</v>
      </c>
    </row>
    <row r="35" spans="1:6" x14ac:dyDescent="0.35">
      <c r="A35" s="5" t="s">
        <v>132</v>
      </c>
      <c r="B35" s="3">
        <v>10212</v>
      </c>
      <c r="C35" s="3" t="s">
        <v>22</v>
      </c>
      <c r="D35" s="4">
        <v>10000</v>
      </c>
      <c r="E35" s="4">
        <f t="shared" si="0"/>
        <v>330000</v>
      </c>
      <c r="F35" s="4">
        <f t="shared" si="1"/>
        <v>70000</v>
      </c>
    </row>
    <row r="36" spans="1:6" x14ac:dyDescent="0.35">
      <c r="A36" s="5">
        <v>46357</v>
      </c>
      <c r="B36" s="3">
        <v>12105</v>
      </c>
      <c r="C36" s="3" t="s">
        <v>22</v>
      </c>
      <c r="D36" s="4">
        <v>10000</v>
      </c>
      <c r="E36" s="4">
        <f t="shared" si="0"/>
        <v>340000</v>
      </c>
      <c r="F36" s="4">
        <f t="shared" si="1"/>
        <v>60000</v>
      </c>
    </row>
    <row r="37" spans="1:6" x14ac:dyDescent="0.35">
      <c r="A37" s="5">
        <v>46083</v>
      </c>
      <c r="B37" s="3">
        <v>12724</v>
      </c>
      <c r="C37" s="3" t="s">
        <v>22</v>
      </c>
      <c r="D37" s="4">
        <v>10000</v>
      </c>
      <c r="E37" s="4">
        <f t="shared" si="0"/>
        <v>350000</v>
      </c>
      <c r="F37" s="4">
        <f t="shared" si="1"/>
        <v>50000</v>
      </c>
    </row>
    <row r="38" spans="1:6" x14ac:dyDescent="0.35">
      <c r="A38" s="7" t="s">
        <v>291</v>
      </c>
      <c r="B38" s="3">
        <v>12931</v>
      </c>
      <c r="C38" s="3" t="s">
        <v>22</v>
      </c>
      <c r="D38" s="4">
        <v>10000</v>
      </c>
      <c r="E38" s="4">
        <f>E37+D38</f>
        <v>360000</v>
      </c>
      <c r="F38" s="4">
        <f>F37-D38</f>
        <v>40000</v>
      </c>
    </row>
    <row r="39" spans="1:6" x14ac:dyDescent="0.35">
      <c r="A39" s="7" t="s">
        <v>292</v>
      </c>
      <c r="B39" s="3">
        <v>13442</v>
      </c>
      <c r="C39" s="3" t="s">
        <v>22</v>
      </c>
      <c r="D39" s="4">
        <v>10000</v>
      </c>
      <c r="E39" s="4">
        <f>E38+D39</f>
        <v>370000</v>
      </c>
      <c r="F39" s="4">
        <f>F38-D39</f>
        <v>30000</v>
      </c>
    </row>
    <row r="40" spans="1:6" x14ac:dyDescent="0.35">
      <c r="A40" s="3" t="s">
        <v>445</v>
      </c>
      <c r="B40" s="3">
        <v>13637</v>
      </c>
      <c r="C40" s="3" t="s">
        <v>22</v>
      </c>
      <c r="D40" s="4">
        <v>10000</v>
      </c>
      <c r="E40" s="4">
        <f>E39+D40</f>
        <v>380000</v>
      </c>
      <c r="F40" s="4">
        <f>F39-D40</f>
        <v>20000</v>
      </c>
    </row>
    <row r="41" spans="1:6" x14ac:dyDescent="0.35">
      <c r="A41" s="5">
        <v>46363</v>
      </c>
      <c r="B41" s="3">
        <v>1463</v>
      </c>
      <c r="C41" s="3" t="s">
        <v>22</v>
      </c>
      <c r="D41" s="4">
        <v>10000</v>
      </c>
      <c r="E41" s="4">
        <f>E40+D41</f>
        <v>390000</v>
      </c>
      <c r="F41" s="4">
        <f>F40-D41</f>
        <v>10000</v>
      </c>
    </row>
    <row r="42" spans="1:6" x14ac:dyDescent="0.35">
      <c r="A42" s="3" t="s">
        <v>444</v>
      </c>
      <c r="B42" s="3">
        <v>1774</v>
      </c>
      <c r="C42" s="3" t="s">
        <v>22</v>
      </c>
      <c r="D42" s="4">
        <v>10000</v>
      </c>
      <c r="E42" s="4">
        <f>E41+D42</f>
        <v>400000</v>
      </c>
      <c r="F42" s="4">
        <f>F41-D42</f>
        <v>0</v>
      </c>
    </row>
    <row r="43" spans="1:6" x14ac:dyDescent="0.35">
      <c r="A43" s="3"/>
      <c r="B43" s="3"/>
      <c r="C43" s="3"/>
      <c r="D43" s="3"/>
      <c r="E43" s="3"/>
      <c r="F43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AD5D-63F6-465E-ADC9-5CFB802DB703}">
  <dimension ref="A1:F36"/>
  <sheetViews>
    <sheetView workbookViewId="0">
      <selection activeCell="K30" sqref="K30"/>
    </sheetView>
  </sheetViews>
  <sheetFormatPr defaultRowHeight="14.5" x14ac:dyDescent="0.35"/>
  <cols>
    <col min="1" max="1" width="10.36328125" customWidth="1"/>
    <col min="3" max="3" width="13.54296875" customWidth="1"/>
    <col min="6" max="6" width="11.36328125" customWidth="1"/>
  </cols>
  <sheetData>
    <row r="1" spans="1:6" ht="18.5" x14ac:dyDescent="0.45">
      <c r="A1" s="1" t="s">
        <v>175</v>
      </c>
      <c r="B1" s="1"/>
      <c r="C1" s="1"/>
      <c r="D1" s="1"/>
      <c r="E1" s="1"/>
      <c r="F1" s="1"/>
    </row>
    <row r="2" spans="1:6" ht="18.5" x14ac:dyDescent="0.45">
      <c r="A2" s="1" t="s">
        <v>176</v>
      </c>
      <c r="C2" s="1"/>
      <c r="D2" s="1"/>
      <c r="E2" s="1"/>
      <c r="F2" s="1"/>
    </row>
    <row r="3" spans="1:6" ht="18.5" x14ac:dyDescent="0.45">
      <c r="A3" s="1" t="s">
        <v>177</v>
      </c>
      <c r="B3" s="1"/>
      <c r="C3" s="1"/>
      <c r="D3" s="1"/>
      <c r="E3" s="1"/>
      <c r="F3" s="1"/>
    </row>
    <row r="4" spans="1:6" ht="18.5" x14ac:dyDescent="0.45">
      <c r="A4" s="1" t="s">
        <v>209</v>
      </c>
      <c r="B4" s="1"/>
      <c r="C4" s="1"/>
      <c r="D4" s="1"/>
      <c r="E4" s="1"/>
      <c r="F4" s="1"/>
    </row>
    <row r="5" spans="1:6" ht="18.5" x14ac:dyDescent="0.45">
      <c r="A5" s="1" t="s">
        <v>178</v>
      </c>
      <c r="B5" s="1"/>
      <c r="C5" s="1"/>
      <c r="D5" s="1"/>
      <c r="E5" s="1"/>
      <c r="F5" s="1"/>
    </row>
    <row r="6" spans="1:6" ht="18.5" x14ac:dyDescent="0.45">
      <c r="A6" s="1" t="s">
        <v>207</v>
      </c>
      <c r="B6" s="1"/>
      <c r="C6" s="1"/>
      <c r="D6" s="1" t="s">
        <v>208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210</v>
      </c>
      <c r="B8">
        <v>449</v>
      </c>
      <c r="C8" t="s">
        <v>211</v>
      </c>
      <c r="D8" s="15">
        <v>10000</v>
      </c>
      <c r="E8" s="15">
        <v>10000</v>
      </c>
      <c r="F8" s="15">
        <v>290000</v>
      </c>
    </row>
    <row r="9" spans="1:6" x14ac:dyDescent="0.35">
      <c r="A9" t="s">
        <v>182</v>
      </c>
      <c r="B9">
        <v>1243</v>
      </c>
      <c r="C9" t="s">
        <v>211</v>
      </c>
      <c r="D9" s="15">
        <v>10000</v>
      </c>
      <c r="E9" s="15">
        <f>SUM(E8+D9)</f>
        <v>20000</v>
      </c>
      <c r="F9" s="15">
        <f>F8-D9</f>
        <v>280000</v>
      </c>
    </row>
    <row r="10" spans="1:6" x14ac:dyDescent="0.35">
      <c r="A10" t="s">
        <v>12</v>
      </c>
      <c r="B10">
        <v>2602</v>
      </c>
      <c r="C10" t="s">
        <v>120</v>
      </c>
      <c r="D10" s="15">
        <v>30000</v>
      </c>
      <c r="E10" s="15">
        <f t="shared" ref="E10:E35" si="0">SUM(E9+D10)</f>
        <v>50000</v>
      </c>
      <c r="F10" s="15">
        <f t="shared" ref="F10:F35" si="1">F9-D10</f>
        <v>250000</v>
      </c>
    </row>
    <row r="11" spans="1:6" x14ac:dyDescent="0.35">
      <c r="A11" s="14">
        <v>45019</v>
      </c>
      <c r="B11">
        <v>2878</v>
      </c>
      <c r="C11" t="s">
        <v>190</v>
      </c>
      <c r="D11" s="15">
        <v>10000</v>
      </c>
      <c r="E11" s="15">
        <f t="shared" si="0"/>
        <v>60000</v>
      </c>
      <c r="F11" s="15">
        <f t="shared" si="1"/>
        <v>240000</v>
      </c>
    </row>
    <row r="12" spans="1:6" x14ac:dyDescent="0.35">
      <c r="A12" s="14">
        <v>44930</v>
      </c>
      <c r="B12">
        <v>1739</v>
      </c>
      <c r="C12" t="s">
        <v>190</v>
      </c>
      <c r="D12" s="15">
        <v>10000</v>
      </c>
      <c r="E12" s="15">
        <f t="shared" si="0"/>
        <v>70000</v>
      </c>
      <c r="F12" s="15">
        <f t="shared" si="1"/>
        <v>230000</v>
      </c>
    </row>
    <row r="13" spans="1:6" x14ac:dyDescent="0.35">
      <c r="A13" s="14">
        <v>44990</v>
      </c>
      <c r="B13">
        <v>1430</v>
      </c>
      <c r="C13" t="s">
        <v>190</v>
      </c>
      <c r="D13" s="15">
        <v>10000</v>
      </c>
      <c r="E13" s="15">
        <f t="shared" si="0"/>
        <v>80000</v>
      </c>
      <c r="F13" s="15">
        <f t="shared" si="1"/>
        <v>220000</v>
      </c>
    </row>
    <row r="14" spans="1:6" x14ac:dyDescent="0.35">
      <c r="A14" s="14">
        <v>45022</v>
      </c>
      <c r="B14">
        <v>248</v>
      </c>
      <c r="C14" t="s">
        <v>190</v>
      </c>
      <c r="D14" s="15">
        <v>10000</v>
      </c>
      <c r="E14" s="15">
        <f t="shared" si="0"/>
        <v>90000</v>
      </c>
      <c r="F14" s="15">
        <f t="shared" si="1"/>
        <v>210000</v>
      </c>
    </row>
    <row r="15" spans="1:6" x14ac:dyDescent="0.35">
      <c r="A15" t="s">
        <v>183</v>
      </c>
      <c r="B15">
        <v>2871</v>
      </c>
      <c r="C15" t="s">
        <v>190</v>
      </c>
      <c r="D15" s="15">
        <v>10000</v>
      </c>
      <c r="E15" s="15">
        <f t="shared" si="0"/>
        <v>100000</v>
      </c>
      <c r="F15" s="15">
        <f t="shared" si="1"/>
        <v>200000</v>
      </c>
    </row>
    <row r="16" spans="1:6" x14ac:dyDescent="0.35">
      <c r="A16" t="s">
        <v>184</v>
      </c>
      <c r="B16">
        <v>3223</v>
      </c>
      <c r="C16" t="s">
        <v>190</v>
      </c>
      <c r="D16" s="15">
        <v>10000</v>
      </c>
      <c r="E16" s="15">
        <f t="shared" si="0"/>
        <v>110000</v>
      </c>
      <c r="F16" s="15">
        <f t="shared" si="1"/>
        <v>190000</v>
      </c>
    </row>
    <row r="17" spans="1:6" x14ac:dyDescent="0.35">
      <c r="A17" t="s">
        <v>185</v>
      </c>
      <c r="B17">
        <v>3857</v>
      </c>
      <c r="C17" t="s">
        <v>190</v>
      </c>
      <c r="D17" s="15">
        <v>10000</v>
      </c>
      <c r="E17" s="15">
        <f t="shared" si="0"/>
        <v>120000</v>
      </c>
      <c r="F17" s="15">
        <f t="shared" si="1"/>
        <v>180000</v>
      </c>
    </row>
    <row r="18" spans="1:6" x14ac:dyDescent="0.35">
      <c r="A18" t="s">
        <v>186</v>
      </c>
      <c r="B18">
        <v>4417</v>
      </c>
      <c r="C18" t="s">
        <v>190</v>
      </c>
      <c r="D18" s="15">
        <v>10000</v>
      </c>
      <c r="E18" s="15">
        <f t="shared" si="0"/>
        <v>130000</v>
      </c>
      <c r="F18" s="15">
        <f t="shared" si="1"/>
        <v>170000</v>
      </c>
    </row>
    <row r="19" spans="1:6" x14ac:dyDescent="0.35">
      <c r="A19" t="s">
        <v>191</v>
      </c>
      <c r="B19">
        <v>4994</v>
      </c>
      <c r="C19" t="s">
        <v>190</v>
      </c>
      <c r="D19" s="15">
        <v>10000</v>
      </c>
      <c r="E19" s="15">
        <f t="shared" si="0"/>
        <v>140000</v>
      </c>
      <c r="F19" s="15">
        <f t="shared" si="1"/>
        <v>160000</v>
      </c>
    </row>
    <row r="20" spans="1:6" x14ac:dyDescent="0.35">
      <c r="A20" t="s">
        <v>153</v>
      </c>
      <c r="B20">
        <v>5616</v>
      </c>
      <c r="C20" t="s">
        <v>190</v>
      </c>
      <c r="D20" s="15">
        <v>10000</v>
      </c>
      <c r="E20" s="15">
        <f t="shared" si="0"/>
        <v>150000</v>
      </c>
      <c r="F20" s="15">
        <f t="shared" si="1"/>
        <v>150000</v>
      </c>
    </row>
    <row r="21" spans="1:6" x14ac:dyDescent="0.35">
      <c r="A21" t="s">
        <v>192</v>
      </c>
      <c r="B21">
        <v>6177</v>
      </c>
      <c r="C21" t="s">
        <v>190</v>
      </c>
      <c r="D21" s="15">
        <v>10000</v>
      </c>
      <c r="E21" s="15">
        <f t="shared" si="0"/>
        <v>160000</v>
      </c>
      <c r="F21" s="15">
        <f t="shared" si="1"/>
        <v>140000</v>
      </c>
    </row>
    <row r="22" spans="1:6" x14ac:dyDescent="0.35">
      <c r="A22" t="s">
        <v>193</v>
      </c>
      <c r="B22">
        <v>6624</v>
      </c>
      <c r="C22" t="s">
        <v>190</v>
      </c>
      <c r="D22" s="15">
        <v>10000</v>
      </c>
      <c r="E22" s="15">
        <f t="shared" si="0"/>
        <v>170000</v>
      </c>
      <c r="F22" s="15">
        <f t="shared" si="1"/>
        <v>130000</v>
      </c>
    </row>
    <row r="23" spans="1:6" x14ac:dyDescent="0.35">
      <c r="A23" t="s">
        <v>194</v>
      </c>
      <c r="B23">
        <v>7484</v>
      </c>
      <c r="C23" t="s">
        <v>190</v>
      </c>
      <c r="D23" s="15">
        <v>10000</v>
      </c>
      <c r="E23" s="15">
        <f t="shared" si="0"/>
        <v>180000</v>
      </c>
      <c r="F23" s="15">
        <f t="shared" si="1"/>
        <v>120000</v>
      </c>
    </row>
    <row r="24" spans="1:6" x14ac:dyDescent="0.35">
      <c r="A24" t="s">
        <v>195</v>
      </c>
      <c r="B24">
        <v>7925</v>
      </c>
      <c r="C24" t="s">
        <v>190</v>
      </c>
      <c r="D24" s="15">
        <v>10000</v>
      </c>
      <c r="E24" s="15">
        <f t="shared" si="0"/>
        <v>190000</v>
      </c>
      <c r="F24" s="15">
        <f t="shared" si="1"/>
        <v>110000</v>
      </c>
    </row>
    <row r="25" spans="1:6" x14ac:dyDescent="0.35">
      <c r="A25" t="s">
        <v>123</v>
      </c>
      <c r="B25">
        <v>8653</v>
      </c>
      <c r="C25" t="s">
        <v>190</v>
      </c>
      <c r="D25" s="15">
        <v>10000</v>
      </c>
      <c r="E25" s="15">
        <f t="shared" si="0"/>
        <v>200000</v>
      </c>
      <c r="F25" s="15">
        <f t="shared" si="1"/>
        <v>100000</v>
      </c>
    </row>
    <row r="26" spans="1:6" x14ac:dyDescent="0.35">
      <c r="A26" t="s">
        <v>196</v>
      </c>
      <c r="B26">
        <v>9296</v>
      </c>
      <c r="C26" t="s">
        <v>190</v>
      </c>
      <c r="D26" s="15">
        <v>10000</v>
      </c>
      <c r="E26" s="15">
        <f t="shared" si="0"/>
        <v>210000</v>
      </c>
      <c r="F26" s="15">
        <f t="shared" si="1"/>
        <v>90000</v>
      </c>
    </row>
    <row r="27" spans="1:6" x14ac:dyDescent="0.35">
      <c r="A27" t="s">
        <v>197</v>
      </c>
      <c r="B27">
        <v>9728</v>
      </c>
      <c r="C27" t="s">
        <v>190</v>
      </c>
      <c r="D27" s="15">
        <v>10000</v>
      </c>
      <c r="E27" s="15">
        <f t="shared" si="0"/>
        <v>220000</v>
      </c>
      <c r="F27" s="15">
        <f t="shared" si="1"/>
        <v>80000</v>
      </c>
    </row>
    <row r="28" spans="1:6" x14ac:dyDescent="0.35">
      <c r="A28" t="s">
        <v>198</v>
      </c>
      <c r="B28">
        <v>11251</v>
      </c>
      <c r="C28" t="s">
        <v>190</v>
      </c>
      <c r="D28" s="15">
        <v>10000</v>
      </c>
      <c r="E28" s="15">
        <f t="shared" si="0"/>
        <v>230000</v>
      </c>
      <c r="F28" s="15">
        <f t="shared" si="1"/>
        <v>70000</v>
      </c>
    </row>
    <row r="29" spans="1:6" x14ac:dyDescent="0.35">
      <c r="A29" t="s">
        <v>199</v>
      </c>
      <c r="B29">
        <v>10865</v>
      </c>
      <c r="C29" t="s">
        <v>190</v>
      </c>
      <c r="D29" s="15">
        <v>10000</v>
      </c>
      <c r="E29" s="15">
        <f t="shared" si="0"/>
        <v>240000</v>
      </c>
      <c r="F29" s="15">
        <f t="shared" si="1"/>
        <v>60000</v>
      </c>
    </row>
    <row r="30" spans="1:6" x14ac:dyDescent="0.35">
      <c r="A30" t="s">
        <v>200</v>
      </c>
      <c r="B30">
        <v>10292</v>
      </c>
      <c r="C30" t="s">
        <v>190</v>
      </c>
      <c r="D30" s="15">
        <v>10000</v>
      </c>
      <c r="E30" s="15">
        <f t="shared" si="0"/>
        <v>250000</v>
      </c>
      <c r="F30" s="15">
        <f t="shared" si="1"/>
        <v>50000</v>
      </c>
    </row>
    <row r="31" spans="1:6" x14ac:dyDescent="0.35">
      <c r="A31" t="s">
        <v>19</v>
      </c>
      <c r="B31">
        <v>12175</v>
      </c>
      <c r="C31" t="s">
        <v>190</v>
      </c>
      <c r="D31" s="15">
        <v>10000</v>
      </c>
      <c r="E31" s="15">
        <f t="shared" si="0"/>
        <v>260000</v>
      </c>
      <c r="F31" s="15">
        <f t="shared" si="1"/>
        <v>40000</v>
      </c>
    </row>
    <row r="32" spans="1:6" x14ac:dyDescent="0.35">
      <c r="A32" t="s">
        <v>201</v>
      </c>
      <c r="B32">
        <v>12685</v>
      </c>
      <c r="C32" t="s">
        <v>190</v>
      </c>
      <c r="D32" s="15">
        <v>10000</v>
      </c>
      <c r="E32" s="15">
        <f t="shared" si="0"/>
        <v>270000</v>
      </c>
      <c r="F32" s="15">
        <f t="shared" si="1"/>
        <v>30000</v>
      </c>
    </row>
    <row r="33" spans="1:6" x14ac:dyDescent="0.35">
      <c r="A33" t="s">
        <v>93</v>
      </c>
      <c r="B33">
        <v>9060</v>
      </c>
      <c r="C33" t="s">
        <v>190</v>
      </c>
      <c r="D33" s="15">
        <v>10000</v>
      </c>
      <c r="E33" s="15">
        <f t="shared" si="0"/>
        <v>280000</v>
      </c>
      <c r="F33" s="15">
        <f t="shared" si="1"/>
        <v>20000</v>
      </c>
    </row>
    <row r="34" spans="1:6" x14ac:dyDescent="0.35">
      <c r="A34" t="s">
        <v>162</v>
      </c>
      <c r="B34">
        <v>9466</v>
      </c>
      <c r="C34" t="s">
        <v>190</v>
      </c>
      <c r="D34" s="15">
        <v>10000</v>
      </c>
      <c r="E34" s="15">
        <f t="shared" si="0"/>
        <v>290000</v>
      </c>
      <c r="F34" s="15">
        <f t="shared" si="1"/>
        <v>10000</v>
      </c>
    </row>
    <row r="35" spans="1:6" x14ac:dyDescent="0.35">
      <c r="A35" t="s">
        <v>202</v>
      </c>
      <c r="B35">
        <v>10175</v>
      </c>
      <c r="C35" t="s">
        <v>190</v>
      </c>
      <c r="D35" s="15">
        <v>10000</v>
      </c>
      <c r="E35" s="15">
        <f t="shared" si="0"/>
        <v>300000</v>
      </c>
      <c r="F35" s="15">
        <f t="shared" si="1"/>
        <v>0</v>
      </c>
    </row>
    <row r="36" spans="1:6" ht="18.5" x14ac:dyDescent="0.45">
      <c r="A36" s="16" t="s">
        <v>212</v>
      </c>
      <c r="B36" s="16"/>
      <c r="C36" s="16"/>
      <c r="D36" s="16"/>
      <c r="E36" s="16"/>
      <c r="F36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3305-3D1A-4355-99F9-BC685384CDF0}">
  <dimension ref="A1:F38"/>
  <sheetViews>
    <sheetView workbookViewId="0">
      <selection activeCell="H17" sqref="H17"/>
    </sheetView>
  </sheetViews>
  <sheetFormatPr defaultRowHeight="14.5" x14ac:dyDescent="0.35"/>
  <cols>
    <col min="1" max="1" width="10.08984375" customWidth="1"/>
    <col min="3" max="3" width="13.54296875" customWidth="1"/>
    <col min="6" max="6" width="11.81640625" customWidth="1"/>
  </cols>
  <sheetData>
    <row r="1" spans="1:6" ht="18.5" x14ac:dyDescent="0.45">
      <c r="A1" s="1" t="s">
        <v>175</v>
      </c>
      <c r="B1" s="1"/>
      <c r="C1" s="1"/>
      <c r="D1" s="1"/>
      <c r="E1" s="1"/>
      <c r="F1" s="1"/>
    </row>
    <row r="2" spans="1:6" ht="18.5" x14ac:dyDescent="0.45">
      <c r="A2" s="1" t="s">
        <v>176</v>
      </c>
      <c r="C2" s="1"/>
      <c r="D2" s="1"/>
      <c r="E2" s="1"/>
      <c r="F2" s="1"/>
    </row>
    <row r="3" spans="1:6" ht="18.5" x14ac:dyDescent="0.45">
      <c r="A3" s="1" t="s">
        <v>177</v>
      </c>
      <c r="B3" s="1"/>
      <c r="C3" s="1"/>
      <c r="D3" s="1"/>
      <c r="E3" s="1"/>
      <c r="F3" s="1"/>
    </row>
    <row r="4" spans="1:6" ht="18.5" x14ac:dyDescent="0.45">
      <c r="A4" s="1" t="s">
        <v>206</v>
      </c>
      <c r="B4" s="1"/>
      <c r="C4" s="1"/>
      <c r="D4" s="1"/>
      <c r="E4" s="1"/>
      <c r="F4" s="1"/>
    </row>
    <row r="5" spans="1:6" ht="18.5" x14ac:dyDescent="0.45">
      <c r="A5" s="1" t="s">
        <v>178</v>
      </c>
      <c r="B5" s="1"/>
      <c r="C5" s="1"/>
      <c r="D5" s="1"/>
      <c r="E5" s="1"/>
      <c r="F5" s="1"/>
    </row>
    <row r="6" spans="1:6" ht="18.5" x14ac:dyDescent="0.45">
      <c r="A6" s="1" t="s">
        <v>179</v>
      </c>
      <c r="B6" s="1"/>
      <c r="C6" s="1"/>
      <c r="D6" s="1" t="s">
        <v>180</v>
      </c>
      <c r="F6" s="1"/>
    </row>
    <row r="7" spans="1:6" x14ac:dyDescent="0.3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x14ac:dyDescent="0.35">
      <c r="A8" t="s">
        <v>181</v>
      </c>
      <c r="B8">
        <v>18</v>
      </c>
      <c r="C8" t="s">
        <v>187</v>
      </c>
      <c r="D8" s="15">
        <v>10000</v>
      </c>
      <c r="E8" s="15">
        <v>10000</v>
      </c>
      <c r="F8" s="15">
        <v>290000</v>
      </c>
    </row>
    <row r="9" spans="1:6" x14ac:dyDescent="0.35">
      <c r="A9" t="s">
        <v>182</v>
      </c>
      <c r="B9">
        <v>1292</v>
      </c>
      <c r="C9" t="s">
        <v>188</v>
      </c>
      <c r="D9" s="15">
        <v>10000</v>
      </c>
      <c r="E9" s="15">
        <f>SUM(E8+D9)</f>
        <v>20000</v>
      </c>
      <c r="F9" s="15">
        <f>F8-D9</f>
        <v>280000</v>
      </c>
    </row>
    <row r="10" spans="1:6" x14ac:dyDescent="0.35">
      <c r="A10" s="14">
        <v>45108</v>
      </c>
      <c r="B10">
        <v>2604</v>
      </c>
      <c r="C10" t="s">
        <v>189</v>
      </c>
      <c r="D10" s="15">
        <v>20000</v>
      </c>
      <c r="E10" s="15">
        <f t="shared" ref="E10:E29" si="0">SUM(E9+D10)</f>
        <v>40000</v>
      </c>
      <c r="F10" s="15">
        <f t="shared" ref="F10:F29" si="1">F9-D10</f>
        <v>260000</v>
      </c>
    </row>
    <row r="11" spans="1:6" x14ac:dyDescent="0.35">
      <c r="A11" s="14">
        <v>44654</v>
      </c>
      <c r="B11">
        <v>2877</v>
      </c>
      <c r="C11" t="s">
        <v>190</v>
      </c>
      <c r="D11" s="15">
        <v>10000</v>
      </c>
      <c r="E11" s="15">
        <f t="shared" si="0"/>
        <v>50000</v>
      </c>
      <c r="F11" s="15">
        <f t="shared" si="1"/>
        <v>250000</v>
      </c>
    </row>
    <row r="12" spans="1:6" x14ac:dyDescent="0.35">
      <c r="A12" s="14">
        <v>44930</v>
      </c>
      <c r="B12">
        <v>1740</v>
      </c>
      <c r="C12" t="s">
        <v>190</v>
      </c>
      <c r="D12" s="15">
        <v>10000</v>
      </c>
      <c r="E12" s="15">
        <f t="shared" si="0"/>
        <v>60000</v>
      </c>
      <c r="F12" s="15">
        <f t="shared" si="1"/>
        <v>240000</v>
      </c>
    </row>
    <row r="13" spans="1:6" x14ac:dyDescent="0.35">
      <c r="A13" s="14">
        <v>44990</v>
      </c>
      <c r="B13">
        <v>1431</v>
      </c>
      <c r="C13" t="s">
        <v>190</v>
      </c>
      <c r="D13" s="15">
        <v>10000</v>
      </c>
      <c r="E13" s="15">
        <f t="shared" si="0"/>
        <v>70000</v>
      </c>
      <c r="F13" s="15">
        <f t="shared" si="1"/>
        <v>230000</v>
      </c>
    </row>
    <row r="14" spans="1:6" x14ac:dyDescent="0.35">
      <c r="A14" s="14">
        <v>45022</v>
      </c>
      <c r="B14">
        <v>285</v>
      </c>
      <c r="C14" t="s">
        <v>190</v>
      </c>
      <c r="D14" s="15">
        <v>10000</v>
      </c>
      <c r="E14" s="15">
        <f t="shared" si="0"/>
        <v>80000</v>
      </c>
      <c r="F14" s="15">
        <f t="shared" si="1"/>
        <v>220000</v>
      </c>
    </row>
    <row r="15" spans="1:6" x14ac:dyDescent="0.35">
      <c r="A15" t="s">
        <v>183</v>
      </c>
      <c r="B15">
        <v>2870</v>
      </c>
      <c r="C15" t="s">
        <v>190</v>
      </c>
      <c r="D15" s="15">
        <v>10000</v>
      </c>
      <c r="E15" s="15">
        <f t="shared" si="0"/>
        <v>90000</v>
      </c>
      <c r="F15" s="15">
        <f t="shared" si="1"/>
        <v>210000</v>
      </c>
    </row>
    <row r="16" spans="1:6" x14ac:dyDescent="0.35">
      <c r="A16" t="s">
        <v>184</v>
      </c>
      <c r="B16">
        <v>3225</v>
      </c>
      <c r="C16" t="s">
        <v>190</v>
      </c>
      <c r="D16" s="15">
        <v>10000</v>
      </c>
      <c r="E16" s="15">
        <f t="shared" si="0"/>
        <v>100000</v>
      </c>
      <c r="F16" s="15">
        <f t="shared" si="1"/>
        <v>200000</v>
      </c>
    </row>
    <row r="17" spans="1:6" x14ac:dyDescent="0.35">
      <c r="A17" t="s">
        <v>185</v>
      </c>
      <c r="B17">
        <v>3856</v>
      </c>
      <c r="C17" t="s">
        <v>190</v>
      </c>
      <c r="D17" s="15">
        <v>10000</v>
      </c>
      <c r="E17" s="15">
        <f t="shared" si="0"/>
        <v>110000</v>
      </c>
      <c r="F17" s="15">
        <f t="shared" si="1"/>
        <v>190000</v>
      </c>
    </row>
    <row r="18" spans="1:6" x14ac:dyDescent="0.35">
      <c r="A18" t="s">
        <v>186</v>
      </c>
      <c r="B18">
        <v>4416</v>
      </c>
      <c r="C18" t="s">
        <v>190</v>
      </c>
      <c r="D18" s="15">
        <v>10000</v>
      </c>
      <c r="E18" s="15">
        <f t="shared" si="0"/>
        <v>120000</v>
      </c>
      <c r="F18" s="15">
        <f t="shared" si="1"/>
        <v>180000</v>
      </c>
    </row>
    <row r="19" spans="1:6" x14ac:dyDescent="0.35">
      <c r="A19" t="s">
        <v>191</v>
      </c>
      <c r="B19">
        <v>4993</v>
      </c>
      <c r="C19" t="s">
        <v>190</v>
      </c>
      <c r="D19" s="15">
        <v>10000</v>
      </c>
      <c r="E19" s="15">
        <f t="shared" si="0"/>
        <v>130000</v>
      </c>
      <c r="F19" s="15">
        <f t="shared" si="1"/>
        <v>170000</v>
      </c>
    </row>
    <row r="20" spans="1:6" x14ac:dyDescent="0.35">
      <c r="A20" t="s">
        <v>153</v>
      </c>
      <c r="B20">
        <v>5617</v>
      </c>
      <c r="C20" t="s">
        <v>190</v>
      </c>
      <c r="D20" s="15">
        <v>10000</v>
      </c>
      <c r="E20" s="15">
        <f t="shared" si="0"/>
        <v>140000</v>
      </c>
      <c r="F20" s="15">
        <f t="shared" si="1"/>
        <v>160000</v>
      </c>
    </row>
    <row r="21" spans="1:6" x14ac:dyDescent="0.35">
      <c r="A21" t="s">
        <v>192</v>
      </c>
      <c r="B21">
        <v>6178</v>
      </c>
      <c r="C21" t="s">
        <v>190</v>
      </c>
      <c r="D21" s="15">
        <v>10000</v>
      </c>
      <c r="E21" s="15">
        <f t="shared" si="0"/>
        <v>150000</v>
      </c>
      <c r="F21" s="15">
        <f t="shared" si="1"/>
        <v>150000</v>
      </c>
    </row>
    <row r="22" spans="1:6" x14ac:dyDescent="0.35">
      <c r="A22" t="s">
        <v>193</v>
      </c>
      <c r="B22">
        <v>6623</v>
      </c>
      <c r="C22" t="s">
        <v>190</v>
      </c>
      <c r="D22" s="15">
        <v>10000</v>
      </c>
      <c r="E22" s="15">
        <f t="shared" si="0"/>
        <v>160000</v>
      </c>
      <c r="F22" s="15">
        <f t="shared" si="1"/>
        <v>140000</v>
      </c>
    </row>
    <row r="23" spans="1:6" x14ac:dyDescent="0.35">
      <c r="A23" t="s">
        <v>194</v>
      </c>
      <c r="B23">
        <v>7483</v>
      </c>
      <c r="C23" t="s">
        <v>190</v>
      </c>
      <c r="D23" s="15">
        <v>10000</v>
      </c>
      <c r="E23" s="15">
        <f t="shared" si="0"/>
        <v>170000</v>
      </c>
      <c r="F23" s="15">
        <f t="shared" si="1"/>
        <v>130000</v>
      </c>
    </row>
    <row r="24" spans="1:6" x14ac:dyDescent="0.35">
      <c r="A24" t="s">
        <v>195</v>
      </c>
      <c r="B24">
        <v>7926</v>
      </c>
      <c r="C24" t="s">
        <v>190</v>
      </c>
      <c r="D24" s="15">
        <v>10000</v>
      </c>
      <c r="E24" s="15">
        <f t="shared" si="0"/>
        <v>180000</v>
      </c>
      <c r="F24" s="15">
        <f t="shared" si="1"/>
        <v>120000</v>
      </c>
    </row>
    <row r="25" spans="1:6" x14ac:dyDescent="0.35">
      <c r="A25" t="s">
        <v>123</v>
      </c>
      <c r="B25">
        <v>8654</v>
      </c>
      <c r="C25" t="s">
        <v>190</v>
      </c>
      <c r="D25" s="15">
        <v>10000</v>
      </c>
      <c r="E25" s="15">
        <f t="shared" si="0"/>
        <v>190000</v>
      </c>
      <c r="F25" s="15">
        <f t="shared" si="1"/>
        <v>110000</v>
      </c>
    </row>
    <row r="26" spans="1:6" x14ac:dyDescent="0.35">
      <c r="A26" t="s">
        <v>196</v>
      </c>
      <c r="B26">
        <v>9297</v>
      </c>
      <c r="C26" t="s">
        <v>190</v>
      </c>
      <c r="D26" s="15">
        <v>10000</v>
      </c>
      <c r="E26" s="15">
        <f t="shared" si="0"/>
        <v>200000</v>
      </c>
      <c r="F26" s="15">
        <f t="shared" si="1"/>
        <v>100000</v>
      </c>
    </row>
    <row r="27" spans="1:6" x14ac:dyDescent="0.35">
      <c r="A27" t="s">
        <v>197</v>
      </c>
      <c r="B27">
        <v>9727</v>
      </c>
      <c r="C27" t="s">
        <v>190</v>
      </c>
      <c r="D27" s="15">
        <v>10000</v>
      </c>
      <c r="E27" s="15">
        <f t="shared" si="0"/>
        <v>210000</v>
      </c>
      <c r="F27" s="15">
        <f t="shared" si="1"/>
        <v>90000</v>
      </c>
    </row>
    <row r="28" spans="1:6" x14ac:dyDescent="0.35">
      <c r="A28" t="s">
        <v>198</v>
      </c>
      <c r="B28">
        <v>11250</v>
      </c>
      <c r="C28" t="s">
        <v>190</v>
      </c>
      <c r="D28" s="15">
        <v>10000</v>
      </c>
      <c r="E28" s="15">
        <f t="shared" si="0"/>
        <v>220000</v>
      </c>
      <c r="F28" s="15">
        <f t="shared" si="1"/>
        <v>80000</v>
      </c>
    </row>
    <row r="29" spans="1:6" x14ac:dyDescent="0.35">
      <c r="A29" t="s">
        <v>199</v>
      </c>
      <c r="B29">
        <v>10864</v>
      </c>
      <c r="C29" t="s">
        <v>190</v>
      </c>
      <c r="D29" s="15">
        <v>10000</v>
      </c>
      <c r="E29" s="15">
        <f t="shared" si="0"/>
        <v>230000</v>
      </c>
      <c r="F29" s="15">
        <f t="shared" si="1"/>
        <v>70000</v>
      </c>
    </row>
    <row r="30" spans="1:6" x14ac:dyDescent="0.35">
      <c r="A30" t="s">
        <v>200</v>
      </c>
      <c r="B30">
        <v>10291</v>
      </c>
      <c r="C30" t="s">
        <v>190</v>
      </c>
      <c r="D30" s="15">
        <v>10000</v>
      </c>
      <c r="E30" s="15">
        <f t="shared" ref="E30:E36" si="2">SUM(E29+D30)</f>
        <v>240000</v>
      </c>
      <c r="F30" s="15">
        <f t="shared" ref="F30:F36" si="3">F29-D30</f>
        <v>60000</v>
      </c>
    </row>
    <row r="31" spans="1:6" x14ac:dyDescent="0.35">
      <c r="A31" t="s">
        <v>19</v>
      </c>
      <c r="B31">
        <v>12176</v>
      </c>
      <c r="C31" t="s">
        <v>190</v>
      </c>
      <c r="D31" s="15">
        <v>10000</v>
      </c>
      <c r="E31" s="15">
        <f t="shared" si="2"/>
        <v>250000</v>
      </c>
      <c r="F31" s="15">
        <f t="shared" si="3"/>
        <v>50000</v>
      </c>
    </row>
    <row r="32" spans="1:6" x14ac:dyDescent="0.35">
      <c r="A32" t="s">
        <v>201</v>
      </c>
      <c r="B32">
        <v>12686</v>
      </c>
      <c r="C32" t="s">
        <v>190</v>
      </c>
      <c r="D32" s="15">
        <v>10000</v>
      </c>
      <c r="E32" s="15">
        <f t="shared" si="2"/>
        <v>260000</v>
      </c>
      <c r="F32" s="15">
        <f t="shared" si="3"/>
        <v>40000</v>
      </c>
    </row>
    <row r="33" spans="1:6" x14ac:dyDescent="0.35">
      <c r="A33" t="s">
        <v>93</v>
      </c>
      <c r="B33">
        <v>9059</v>
      </c>
      <c r="C33" t="s">
        <v>190</v>
      </c>
      <c r="D33" s="15">
        <v>10000</v>
      </c>
      <c r="E33" s="15">
        <f t="shared" si="2"/>
        <v>270000</v>
      </c>
      <c r="F33" s="15">
        <f t="shared" si="3"/>
        <v>30000</v>
      </c>
    </row>
    <row r="34" spans="1:6" x14ac:dyDescent="0.35">
      <c r="A34" t="s">
        <v>162</v>
      </c>
      <c r="B34">
        <v>9465</v>
      </c>
      <c r="C34" t="s">
        <v>190</v>
      </c>
      <c r="D34" s="15">
        <v>10000</v>
      </c>
      <c r="E34" s="15">
        <f t="shared" si="2"/>
        <v>280000</v>
      </c>
      <c r="F34" s="15">
        <f t="shared" si="3"/>
        <v>20000</v>
      </c>
    </row>
    <row r="35" spans="1:6" x14ac:dyDescent="0.35">
      <c r="A35" t="s">
        <v>202</v>
      </c>
      <c r="B35">
        <v>10176</v>
      </c>
      <c r="C35" t="s">
        <v>190</v>
      </c>
      <c r="D35" s="15">
        <v>10000</v>
      </c>
      <c r="E35" s="15">
        <f t="shared" si="2"/>
        <v>290000</v>
      </c>
      <c r="F35" s="15">
        <f t="shared" si="3"/>
        <v>10000</v>
      </c>
    </row>
    <row r="36" spans="1:6" x14ac:dyDescent="0.35">
      <c r="A36" t="s">
        <v>203</v>
      </c>
      <c r="B36">
        <v>10982</v>
      </c>
      <c r="C36" t="s">
        <v>190</v>
      </c>
      <c r="D36" s="15">
        <v>10000</v>
      </c>
      <c r="E36" s="15">
        <f t="shared" si="2"/>
        <v>300000</v>
      </c>
      <c r="F36" s="15">
        <f t="shared" si="3"/>
        <v>0</v>
      </c>
    </row>
    <row r="37" spans="1:6" ht="15.5" x14ac:dyDescent="0.35">
      <c r="A37" s="18" t="s">
        <v>204</v>
      </c>
      <c r="B37" s="18"/>
      <c r="C37" s="18"/>
      <c r="D37" s="19"/>
      <c r="E37" s="19"/>
      <c r="F37" s="19"/>
    </row>
    <row r="38" spans="1:6" ht="18.5" x14ac:dyDescent="0.45">
      <c r="A38" s="16" t="s">
        <v>205</v>
      </c>
      <c r="B38" s="16"/>
      <c r="C38" s="16"/>
      <c r="D38" s="17"/>
      <c r="E38" s="17"/>
      <c r="F38" s="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57C4-F081-4839-A33F-69035A6C2047}">
  <dimension ref="A1:G32"/>
  <sheetViews>
    <sheetView workbookViewId="0">
      <selection activeCell="K8" sqref="K8"/>
    </sheetView>
  </sheetViews>
  <sheetFormatPr defaultRowHeight="14.5" x14ac:dyDescent="0.35"/>
  <cols>
    <col min="1" max="1" width="10.453125" bestFit="1" customWidth="1"/>
    <col min="3" max="3" width="15.90625" bestFit="1" customWidth="1"/>
    <col min="4" max="4" width="15.26953125" bestFit="1" customWidth="1"/>
    <col min="7" max="7" width="14.453125" customWidth="1"/>
  </cols>
  <sheetData>
    <row r="1" spans="1:7" ht="18.5" x14ac:dyDescent="0.45">
      <c r="A1" s="1" t="s">
        <v>38</v>
      </c>
      <c r="B1" s="1"/>
      <c r="C1" s="1"/>
      <c r="D1" s="1"/>
      <c r="E1" s="1"/>
      <c r="F1" s="1"/>
    </row>
    <row r="2" spans="1:7" ht="18.5" x14ac:dyDescent="0.45">
      <c r="A2" s="1" t="s">
        <v>39</v>
      </c>
      <c r="C2" s="1"/>
      <c r="D2" s="1"/>
      <c r="E2" s="1"/>
      <c r="F2" s="1"/>
    </row>
    <row r="3" spans="1:7" ht="18.5" x14ac:dyDescent="0.45">
      <c r="A3" s="1" t="s">
        <v>40</v>
      </c>
      <c r="B3" s="1"/>
      <c r="C3" s="1"/>
      <c r="D3" s="1"/>
      <c r="E3" s="1"/>
      <c r="F3" s="1"/>
    </row>
    <row r="4" spans="1:7" ht="18.5" x14ac:dyDescent="0.45">
      <c r="A4" s="1" t="s">
        <v>30</v>
      </c>
      <c r="B4" s="1"/>
      <c r="C4" s="1"/>
      <c r="D4" s="1"/>
      <c r="E4" s="1"/>
      <c r="F4" s="1"/>
    </row>
    <row r="5" spans="1:7" ht="18.5" x14ac:dyDescent="0.45">
      <c r="A5" s="1" t="s">
        <v>41</v>
      </c>
      <c r="B5" s="1"/>
      <c r="C5" s="1"/>
      <c r="D5" s="1" t="s">
        <v>42</v>
      </c>
      <c r="F5" s="1"/>
    </row>
    <row r="6" spans="1:7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/>
    </row>
    <row r="7" spans="1:7" x14ac:dyDescent="0.35">
      <c r="A7" s="5">
        <v>44813</v>
      </c>
      <c r="B7" s="3">
        <v>156</v>
      </c>
      <c r="C7" s="3" t="s">
        <v>22</v>
      </c>
      <c r="D7" s="4">
        <v>10000</v>
      </c>
      <c r="E7" s="4">
        <v>10000</v>
      </c>
      <c r="F7" s="4">
        <v>376000</v>
      </c>
      <c r="G7" s="3"/>
    </row>
    <row r="8" spans="1:7" x14ac:dyDescent="0.35">
      <c r="A8" s="3" t="s">
        <v>43</v>
      </c>
      <c r="B8" s="3">
        <v>372</v>
      </c>
      <c r="C8" s="3" t="s">
        <v>22</v>
      </c>
      <c r="D8" s="4">
        <v>30000</v>
      </c>
      <c r="E8" s="4">
        <f>SUM(E7+D8)</f>
        <v>40000</v>
      </c>
      <c r="F8" s="4">
        <f>F7-D8</f>
        <v>346000</v>
      </c>
      <c r="G8" s="3"/>
    </row>
    <row r="9" spans="1:7" x14ac:dyDescent="0.35">
      <c r="A9" s="3" t="s">
        <v>44</v>
      </c>
      <c r="B9" s="3">
        <v>825</v>
      </c>
      <c r="C9" s="3" t="s">
        <v>22</v>
      </c>
      <c r="D9" s="4">
        <v>20000</v>
      </c>
      <c r="E9" s="4">
        <f t="shared" ref="E9:E32" si="0">SUM(E8+D9)</f>
        <v>60000</v>
      </c>
      <c r="F9" s="4">
        <f t="shared" ref="F9:F32" si="1">F8-D9</f>
        <v>326000</v>
      </c>
      <c r="G9" s="3"/>
    </row>
    <row r="10" spans="1:7" x14ac:dyDescent="0.35">
      <c r="A10" s="3" t="s">
        <v>45</v>
      </c>
      <c r="B10" s="3">
        <v>3282</v>
      </c>
      <c r="C10" s="3" t="s">
        <v>22</v>
      </c>
      <c r="D10" s="4">
        <v>30000</v>
      </c>
      <c r="E10" s="4">
        <f t="shared" si="0"/>
        <v>90000</v>
      </c>
      <c r="F10" s="4">
        <f t="shared" si="1"/>
        <v>296000</v>
      </c>
      <c r="G10" s="3"/>
    </row>
    <row r="11" spans="1:7" x14ac:dyDescent="0.35">
      <c r="A11" s="5">
        <v>44938</v>
      </c>
      <c r="B11" s="3">
        <v>5228</v>
      </c>
      <c r="C11" s="3" t="s">
        <v>22</v>
      </c>
      <c r="D11" s="4">
        <v>20000</v>
      </c>
      <c r="E11" s="4">
        <f t="shared" si="0"/>
        <v>110000</v>
      </c>
      <c r="F11" s="4">
        <f t="shared" si="1"/>
        <v>276000</v>
      </c>
      <c r="G11" s="3"/>
    </row>
    <row r="12" spans="1:7" x14ac:dyDescent="0.35">
      <c r="A12" s="5">
        <v>45632</v>
      </c>
      <c r="B12" s="3">
        <v>9043</v>
      </c>
      <c r="C12" s="3" t="s">
        <v>51</v>
      </c>
      <c r="D12" s="4">
        <v>50000</v>
      </c>
      <c r="E12" s="4">
        <f t="shared" si="0"/>
        <v>160000</v>
      </c>
      <c r="F12" s="4">
        <f t="shared" si="1"/>
        <v>226000</v>
      </c>
      <c r="G12" s="3" t="s">
        <v>53</v>
      </c>
    </row>
    <row r="13" spans="1:7" x14ac:dyDescent="0.35">
      <c r="A13" s="3" t="s">
        <v>46</v>
      </c>
      <c r="B13" s="3">
        <v>9675</v>
      </c>
      <c r="C13" s="3" t="s">
        <v>52</v>
      </c>
      <c r="D13" s="4">
        <v>26000</v>
      </c>
      <c r="E13" s="4">
        <f t="shared" si="0"/>
        <v>186000</v>
      </c>
      <c r="F13" s="4">
        <f t="shared" si="1"/>
        <v>200000</v>
      </c>
      <c r="G13" s="3"/>
    </row>
    <row r="14" spans="1:7" x14ac:dyDescent="0.35">
      <c r="A14" s="3" t="s">
        <v>47</v>
      </c>
      <c r="B14" s="3">
        <v>11221</v>
      </c>
      <c r="C14" s="3" t="s">
        <v>22</v>
      </c>
      <c r="D14" s="4">
        <v>10000</v>
      </c>
      <c r="E14" s="4">
        <f t="shared" si="0"/>
        <v>196000</v>
      </c>
      <c r="F14" s="4">
        <f t="shared" si="1"/>
        <v>190000</v>
      </c>
      <c r="G14" s="3"/>
    </row>
    <row r="15" spans="1:7" x14ac:dyDescent="0.35">
      <c r="A15" s="3" t="s">
        <v>48</v>
      </c>
      <c r="B15" s="3">
        <v>389</v>
      </c>
      <c r="C15" s="3" t="s">
        <v>22</v>
      </c>
      <c r="D15" s="4">
        <v>10000</v>
      </c>
      <c r="E15" s="4">
        <f t="shared" si="0"/>
        <v>206000</v>
      </c>
      <c r="F15" s="4">
        <f t="shared" si="1"/>
        <v>180000</v>
      </c>
      <c r="G15" s="3"/>
    </row>
    <row r="16" spans="1:7" x14ac:dyDescent="0.35">
      <c r="A16" s="3" t="s">
        <v>49</v>
      </c>
      <c r="B16" s="3">
        <v>10269</v>
      </c>
      <c r="C16" s="3" t="s">
        <v>22</v>
      </c>
      <c r="D16" s="4">
        <v>10000</v>
      </c>
      <c r="E16" s="4">
        <f t="shared" si="0"/>
        <v>216000</v>
      </c>
      <c r="F16" s="4">
        <f t="shared" si="1"/>
        <v>170000</v>
      </c>
      <c r="G16" s="3"/>
    </row>
    <row r="17" spans="1:7" x14ac:dyDescent="0.35">
      <c r="A17" s="3" t="s">
        <v>50</v>
      </c>
      <c r="B17" s="3">
        <v>12192</v>
      </c>
      <c r="C17" s="3" t="s">
        <v>22</v>
      </c>
      <c r="D17" s="4">
        <v>10000</v>
      </c>
      <c r="E17" s="4">
        <f t="shared" si="0"/>
        <v>226000</v>
      </c>
      <c r="F17" s="4">
        <f t="shared" si="1"/>
        <v>160000</v>
      </c>
      <c r="G17" s="3"/>
    </row>
    <row r="18" spans="1:7" x14ac:dyDescent="0.35">
      <c r="A18" s="5">
        <v>45577</v>
      </c>
      <c r="B18" s="3">
        <v>12690</v>
      </c>
      <c r="C18" s="3" t="s">
        <v>22</v>
      </c>
      <c r="D18" s="4">
        <v>10000</v>
      </c>
      <c r="E18" s="4">
        <f t="shared" si="0"/>
        <v>236000</v>
      </c>
      <c r="F18" s="4">
        <f t="shared" si="1"/>
        <v>150000</v>
      </c>
      <c r="G18" s="3"/>
    </row>
    <row r="19" spans="1:7" x14ac:dyDescent="0.35">
      <c r="A19" s="3" t="s">
        <v>54</v>
      </c>
      <c r="B19" s="3">
        <v>9082</v>
      </c>
      <c r="C19" s="3" t="s">
        <v>22</v>
      </c>
      <c r="D19" s="4">
        <v>10000</v>
      </c>
      <c r="E19" s="4">
        <f t="shared" si="0"/>
        <v>246000</v>
      </c>
      <c r="F19" s="4">
        <f t="shared" si="1"/>
        <v>140000</v>
      </c>
      <c r="G19" s="3"/>
    </row>
    <row r="20" spans="1:7" x14ac:dyDescent="0.35">
      <c r="A20" s="3" t="s">
        <v>55</v>
      </c>
      <c r="B20" s="3">
        <v>9517</v>
      </c>
      <c r="C20" s="3" t="s">
        <v>22</v>
      </c>
      <c r="D20" s="4">
        <v>10000</v>
      </c>
      <c r="E20" s="4">
        <f t="shared" si="0"/>
        <v>256000</v>
      </c>
      <c r="F20" s="4">
        <f t="shared" si="1"/>
        <v>130000</v>
      </c>
      <c r="G20" s="3"/>
    </row>
    <row r="21" spans="1:7" x14ac:dyDescent="0.35">
      <c r="A21" s="3" t="s">
        <v>32</v>
      </c>
      <c r="B21" s="3">
        <v>9836</v>
      </c>
      <c r="C21" s="3" t="s">
        <v>22</v>
      </c>
      <c r="D21" s="4">
        <v>10000</v>
      </c>
      <c r="E21" s="4">
        <f t="shared" si="0"/>
        <v>266000</v>
      </c>
      <c r="F21" s="4">
        <f t="shared" si="1"/>
        <v>120000</v>
      </c>
      <c r="G21" s="3"/>
    </row>
    <row r="22" spans="1:7" x14ac:dyDescent="0.35">
      <c r="A22" s="3" t="s">
        <v>56</v>
      </c>
      <c r="B22" s="3">
        <v>10060</v>
      </c>
      <c r="C22" s="3" t="s">
        <v>22</v>
      </c>
      <c r="D22" s="4">
        <v>10000</v>
      </c>
      <c r="E22" s="4">
        <f t="shared" si="0"/>
        <v>276000</v>
      </c>
      <c r="F22" s="4">
        <f t="shared" si="1"/>
        <v>110000</v>
      </c>
      <c r="G22" s="3"/>
    </row>
    <row r="23" spans="1:7" x14ac:dyDescent="0.35">
      <c r="A23" s="3" t="s">
        <v>57</v>
      </c>
      <c r="B23" s="3">
        <v>10847</v>
      </c>
      <c r="C23" s="3" t="s">
        <v>22</v>
      </c>
      <c r="D23" s="4">
        <v>10000</v>
      </c>
      <c r="E23" s="4">
        <f t="shared" si="0"/>
        <v>286000</v>
      </c>
      <c r="F23" s="4">
        <f t="shared" si="1"/>
        <v>100000</v>
      </c>
      <c r="G23" s="3"/>
    </row>
    <row r="24" spans="1:7" x14ac:dyDescent="0.35">
      <c r="A24" s="3" t="s">
        <v>58</v>
      </c>
      <c r="B24" s="3">
        <v>10296</v>
      </c>
      <c r="C24" s="3" t="s">
        <v>22</v>
      </c>
      <c r="D24" s="4">
        <v>10000</v>
      </c>
      <c r="E24" s="4">
        <f t="shared" si="0"/>
        <v>296000</v>
      </c>
      <c r="F24" s="4">
        <f t="shared" si="1"/>
        <v>90000</v>
      </c>
      <c r="G24" s="3"/>
    </row>
    <row r="25" spans="1:7" x14ac:dyDescent="0.35">
      <c r="A25" s="3" t="s">
        <v>59</v>
      </c>
      <c r="B25" s="3">
        <v>12218</v>
      </c>
      <c r="C25" s="3" t="s">
        <v>22</v>
      </c>
      <c r="D25" s="4">
        <v>10000</v>
      </c>
      <c r="E25" s="4">
        <f t="shared" si="0"/>
        <v>306000</v>
      </c>
      <c r="F25" s="4">
        <f t="shared" si="1"/>
        <v>80000</v>
      </c>
      <c r="G25" s="3"/>
    </row>
    <row r="26" spans="1:7" x14ac:dyDescent="0.35">
      <c r="A26" s="3" t="s">
        <v>60</v>
      </c>
      <c r="B26" s="3">
        <v>12518</v>
      </c>
      <c r="C26" s="3" t="s">
        <v>22</v>
      </c>
      <c r="D26" s="4">
        <v>10000</v>
      </c>
      <c r="E26" s="4">
        <f t="shared" si="0"/>
        <v>316000</v>
      </c>
      <c r="F26" s="4">
        <f t="shared" si="1"/>
        <v>70000</v>
      </c>
      <c r="G26" s="3"/>
    </row>
    <row r="27" spans="1:7" x14ac:dyDescent="0.35">
      <c r="A27" s="3" t="s">
        <v>61</v>
      </c>
      <c r="B27" s="3">
        <v>13998</v>
      </c>
      <c r="C27" s="3" t="s">
        <v>22</v>
      </c>
      <c r="D27" s="4">
        <v>10000</v>
      </c>
      <c r="E27" s="4">
        <f t="shared" si="0"/>
        <v>326000</v>
      </c>
      <c r="F27" s="4">
        <f t="shared" si="1"/>
        <v>60000</v>
      </c>
      <c r="G27" s="3"/>
    </row>
    <row r="28" spans="1:7" x14ac:dyDescent="0.35">
      <c r="A28" s="3" t="s">
        <v>62</v>
      </c>
      <c r="B28" s="3">
        <v>13579</v>
      </c>
      <c r="C28" s="3" t="s">
        <v>22</v>
      </c>
      <c r="D28" s="4">
        <v>10000</v>
      </c>
      <c r="E28" s="4">
        <f t="shared" si="0"/>
        <v>336000</v>
      </c>
      <c r="F28" s="4">
        <f t="shared" si="1"/>
        <v>50000</v>
      </c>
      <c r="G28" s="3"/>
    </row>
    <row r="29" spans="1:7" x14ac:dyDescent="0.35">
      <c r="A29" s="3" t="s">
        <v>63</v>
      </c>
      <c r="B29" s="3">
        <v>13215</v>
      </c>
      <c r="C29" s="3" t="s">
        <v>22</v>
      </c>
      <c r="D29" s="4">
        <v>10000</v>
      </c>
      <c r="E29" s="4">
        <f t="shared" si="0"/>
        <v>346000</v>
      </c>
      <c r="F29" s="4">
        <f t="shared" si="1"/>
        <v>40000</v>
      </c>
      <c r="G29" s="3"/>
    </row>
    <row r="30" spans="1:7" x14ac:dyDescent="0.35">
      <c r="A30" s="3" t="s">
        <v>64</v>
      </c>
      <c r="B30" s="3">
        <v>13852</v>
      </c>
      <c r="C30" s="3" t="s">
        <v>22</v>
      </c>
      <c r="D30" s="4">
        <v>10000</v>
      </c>
      <c r="E30" s="4">
        <f t="shared" si="0"/>
        <v>356000</v>
      </c>
      <c r="F30" s="4">
        <f t="shared" si="1"/>
        <v>30000</v>
      </c>
      <c r="G30" s="3"/>
    </row>
    <row r="31" spans="1:7" x14ac:dyDescent="0.35">
      <c r="A31" s="3" t="s">
        <v>65</v>
      </c>
      <c r="B31" s="3">
        <v>12292</v>
      </c>
      <c r="C31" s="3" t="s">
        <v>22</v>
      </c>
      <c r="D31" s="4">
        <v>10000</v>
      </c>
      <c r="E31" s="4">
        <f t="shared" si="0"/>
        <v>366000</v>
      </c>
      <c r="F31" s="4">
        <f t="shared" si="1"/>
        <v>20000</v>
      </c>
      <c r="G31" s="3"/>
    </row>
    <row r="32" spans="1:7" x14ac:dyDescent="0.35">
      <c r="A32" s="3" t="s">
        <v>66</v>
      </c>
      <c r="B32" s="3">
        <v>12589</v>
      </c>
      <c r="C32" s="3" t="s">
        <v>22</v>
      </c>
      <c r="D32" s="4">
        <v>10000</v>
      </c>
      <c r="E32" s="4">
        <f t="shared" si="0"/>
        <v>376000</v>
      </c>
      <c r="F32" s="4">
        <f t="shared" si="1"/>
        <v>10000</v>
      </c>
      <c r="G32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F9BF-CEE4-448C-A76D-763278518E93}">
  <dimension ref="A1:F40"/>
  <sheetViews>
    <sheetView topLeftCell="A25" workbookViewId="0">
      <selection activeCell="F41" sqref="F41"/>
    </sheetView>
  </sheetViews>
  <sheetFormatPr defaultRowHeight="14.5" x14ac:dyDescent="0.35"/>
  <cols>
    <col min="1" max="1" width="10.453125" bestFit="1" customWidth="1"/>
    <col min="3" max="3" width="15.26953125" customWidth="1"/>
    <col min="4" max="4" width="12" customWidth="1"/>
    <col min="6" max="6" width="11.453125" bestFit="1" customWidth="1"/>
  </cols>
  <sheetData>
    <row r="1" spans="1:6" ht="18.5" x14ac:dyDescent="0.45">
      <c r="A1" s="1" t="s">
        <v>67</v>
      </c>
      <c r="B1" s="1"/>
      <c r="C1" s="1"/>
      <c r="D1" s="1"/>
      <c r="E1" s="1"/>
      <c r="F1" s="1"/>
    </row>
    <row r="2" spans="1:6" ht="18.5" x14ac:dyDescent="0.45">
      <c r="A2" s="1" t="s">
        <v>68</v>
      </c>
      <c r="C2" s="1"/>
      <c r="D2" s="1"/>
      <c r="E2" s="1"/>
      <c r="F2" s="1"/>
    </row>
    <row r="3" spans="1:6" ht="18.5" x14ac:dyDescent="0.45">
      <c r="A3" s="1" t="s">
        <v>69</v>
      </c>
      <c r="B3" s="1"/>
      <c r="C3" s="1"/>
      <c r="D3" s="1"/>
      <c r="E3" s="1"/>
      <c r="F3" s="1"/>
    </row>
    <row r="4" spans="1:6" ht="18.5" x14ac:dyDescent="0.45">
      <c r="A4" s="1" t="s">
        <v>70</v>
      </c>
      <c r="B4" s="1"/>
      <c r="C4" s="1"/>
      <c r="D4" s="1"/>
      <c r="E4" s="1"/>
      <c r="F4" s="1"/>
    </row>
    <row r="5" spans="1:6" ht="18.5" x14ac:dyDescent="0.45">
      <c r="A5" s="1" t="s">
        <v>71</v>
      </c>
      <c r="B5" s="1"/>
      <c r="C5" s="1"/>
      <c r="D5" s="1" t="s">
        <v>72</v>
      </c>
      <c r="F5" s="1"/>
    </row>
    <row r="6" spans="1:6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 spans="1:6" x14ac:dyDescent="0.35">
      <c r="A7" s="5">
        <v>44929</v>
      </c>
      <c r="B7" s="3">
        <v>2856</v>
      </c>
      <c r="C7" s="3" t="s">
        <v>37</v>
      </c>
      <c r="D7" s="4">
        <v>140000</v>
      </c>
      <c r="E7" s="4">
        <v>140000</v>
      </c>
      <c r="F7" s="4">
        <v>510000</v>
      </c>
    </row>
    <row r="8" spans="1:6" x14ac:dyDescent="0.35">
      <c r="A8" s="3" t="s">
        <v>73</v>
      </c>
      <c r="B8" s="3">
        <v>229</v>
      </c>
      <c r="C8" s="3" t="s">
        <v>74</v>
      </c>
      <c r="D8" s="4">
        <v>10000</v>
      </c>
      <c r="E8" s="4">
        <f>SUM(E7+D8)</f>
        <v>150000</v>
      </c>
      <c r="F8" s="4">
        <f>F7-D8</f>
        <v>500000</v>
      </c>
    </row>
    <row r="9" spans="1:6" x14ac:dyDescent="0.35">
      <c r="A9" s="5">
        <v>45050</v>
      </c>
      <c r="B9" s="3">
        <v>1846</v>
      </c>
      <c r="C9" s="3" t="s">
        <v>75</v>
      </c>
      <c r="D9" s="4">
        <v>10000</v>
      </c>
      <c r="E9" s="4">
        <f t="shared" ref="E9:E37" si="0">SUM(E8+D9)</f>
        <v>160000</v>
      </c>
      <c r="F9" s="4">
        <f t="shared" ref="F9:F37" si="1">F8-D9</f>
        <v>490000</v>
      </c>
    </row>
    <row r="10" spans="1:6" x14ac:dyDescent="0.35">
      <c r="A10" s="5">
        <v>45051</v>
      </c>
      <c r="B10" s="3">
        <v>1446</v>
      </c>
      <c r="C10" s="3" t="s">
        <v>75</v>
      </c>
      <c r="D10" s="4">
        <v>10000</v>
      </c>
      <c r="E10" s="4">
        <f t="shared" si="0"/>
        <v>170000</v>
      </c>
      <c r="F10" s="4">
        <f t="shared" si="1"/>
        <v>480000</v>
      </c>
    </row>
    <row r="11" spans="1:6" x14ac:dyDescent="0.35">
      <c r="A11" s="5">
        <v>45052</v>
      </c>
      <c r="B11" s="3">
        <v>310</v>
      </c>
      <c r="C11" s="3" t="s">
        <v>75</v>
      </c>
      <c r="D11" s="4">
        <v>10000</v>
      </c>
      <c r="E11" s="4">
        <f t="shared" si="0"/>
        <v>180000</v>
      </c>
      <c r="F11" s="4">
        <f t="shared" si="1"/>
        <v>470000</v>
      </c>
    </row>
    <row r="12" spans="1:6" x14ac:dyDescent="0.35">
      <c r="A12" s="5">
        <v>45084</v>
      </c>
      <c r="B12" s="3">
        <v>2144</v>
      </c>
      <c r="C12" s="3" t="s">
        <v>75</v>
      </c>
      <c r="D12" s="4">
        <v>10000</v>
      </c>
      <c r="E12" s="4">
        <f t="shared" si="0"/>
        <v>190000</v>
      </c>
      <c r="F12" s="4">
        <f t="shared" si="1"/>
        <v>460000</v>
      </c>
    </row>
    <row r="13" spans="1:6" x14ac:dyDescent="0.35">
      <c r="A13" s="5">
        <v>45178</v>
      </c>
      <c r="B13" s="3">
        <v>3455</v>
      </c>
      <c r="C13" s="3" t="s">
        <v>75</v>
      </c>
      <c r="D13" s="4">
        <v>20000</v>
      </c>
      <c r="E13" s="4">
        <f t="shared" si="0"/>
        <v>210000</v>
      </c>
      <c r="F13" s="4">
        <f t="shared" si="1"/>
        <v>440000</v>
      </c>
    </row>
    <row r="14" spans="1:6" x14ac:dyDescent="0.35">
      <c r="A14" s="5">
        <v>45087</v>
      </c>
      <c r="B14" s="3">
        <v>4015</v>
      </c>
      <c r="C14" s="3" t="s">
        <v>75</v>
      </c>
      <c r="D14" s="4">
        <v>10000</v>
      </c>
      <c r="E14" s="4">
        <f t="shared" si="0"/>
        <v>220000</v>
      </c>
      <c r="F14" s="4">
        <f t="shared" si="1"/>
        <v>430000</v>
      </c>
    </row>
    <row r="15" spans="1:6" x14ac:dyDescent="0.35">
      <c r="A15" s="5">
        <v>45180</v>
      </c>
      <c r="B15" s="3">
        <v>4730</v>
      </c>
      <c r="C15" s="3" t="s">
        <v>75</v>
      </c>
      <c r="D15" s="4">
        <v>10000</v>
      </c>
      <c r="E15" s="4">
        <f t="shared" si="0"/>
        <v>230000</v>
      </c>
      <c r="F15" s="4">
        <f t="shared" si="1"/>
        <v>420000</v>
      </c>
    </row>
    <row r="16" spans="1:6" x14ac:dyDescent="0.35">
      <c r="A16" s="5">
        <v>45150</v>
      </c>
      <c r="B16" s="3">
        <v>5361</v>
      </c>
      <c r="C16" s="3" t="s">
        <v>75</v>
      </c>
      <c r="D16" s="4">
        <v>10000</v>
      </c>
      <c r="E16" s="4">
        <f t="shared" si="0"/>
        <v>240000</v>
      </c>
      <c r="F16" s="4">
        <f t="shared" si="1"/>
        <v>410000</v>
      </c>
    </row>
    <row r="17" spans="1:6" x14ac:dyDescent="0.35">
      <c r="A17" s="5">
        <v>45474</v>
      </c>
      <c r="B17" s="3">
        <v>5958</v>
      </c>
      <c r="C17" s="3" t="s">
        <v>75</v>
      </c>
      <c r="D17" s="4">
        <v>10000</v>
      </c>
      <c r="E17" s="4">
        <f t="shared" si="0"/>
        <v>250000</v>
      </c>
      <c r="F17" s="4">
        <f t="shared" si="1"/>
        <v>400000</v>
      </c>
    </row>
    <row r="18" spans="1:6" x14ac:dyDescent="0.35">
      <c r="A18" s="5">
        <v>45538</v>
      </c>
      <c r="B18" s="3">
        <v>6964</v>
      </c>
      <c r="C18" s="3" t="s">
        <v>75</v>
      </c>
      <c r="D18" s="4">
        <v>10000</v>
      </c>
      <c r="E18" s="4">
        <f t="shared" si="0"/>
        <v>260000</v>
      </c>
      <c r="F18" s="4">
        <f t="shared" si="1"/>
        <v>390000</v>
      </c>
    </row>
    <row r="19" spans="1:6" x14ac:dyDescent="0.35">
      <c r="A19" s="5">
        <v>45539</v>
      </c>
      <c r="B19" s="3">
        <v>7775</v>
      </c>
      <c r="C19" s="3" t="s">
        <v>75</v>
      </c>
      <c r="D19" s="4">
        <v>20000</v>
      </c>
      <c r="E19" s="4">
        <f t="shared" si="0"/>
        <v>280000</v>
      </c>
      <c r="F19" s="4">
        <f t="shared" si="1"/>
        <v>370000</v>
      </c>
    </row>
    <row r="20" spans="1:6" x14ac:dyDescent="0.35">
      <c r="A20" s="5">
        <v>45540</v>
      </c>
      <c r="B20" s="3">
        <v>8354</v>
      </c>
      <c r="C20" s="3" t="s">
        <v>75</v>
      </c>
      <c r="D20" s="4">
        <v>10000</v>
      </c>
      <c r="E20" s="4">
        <f t="shared" si="0"/>
        <v>290000</v>
      </c>
      <c r="F20" s="4">
        <f t="shared" si="1"/>
        <v>360000</v>
      </c>
    </row>
    <row r="21" spans="1:6" x14ac:dyDescent="0.35">
      <c r="A21" s="5">
        <v>45541</v>
      </c>
      <c r="B21" s="3">
        <v>8916</v>
      </c>
      <c r="C21" s="3" t="s">
        <v>75</v>
      </c>
      <c r="D21" s="4">
        <v>5000</v>
      </c>
      <c r="E21" s="4">
        <f t="shared" si="0"/>
        <v>295000</v>
      </c>
      <c r="F21" s="4">
        <f t="shared" si="1"/>
        <v>355000</v>
      </c>
    </row>
    <row r="22" spans="1:6" x14ac:dyDescent="0.35">
      <c r="A22" s="5">
        <v>45605</v>
      </c>
      <c r="B22" s="3">
        <v>350</v>
      </c>
      <c r="C22" s="3" t="s">
        <v>75</v>
      </c>
      <c r="D22" s="4">
        <v>25000</v>
      </c>
      <c r="E22" s="4">
        <f t="shared" si="0"/>
        <v>320000</v>
      </c>
      <c r="F22" s="4">
        <f t="shared" si="1"/>
        <v>330000</v>
      </c>
    </row>
    <row r="23" spans="1:6" x14ac:dyDescent="0.35">
      <c r="A23" s="5">
        <v>45576</v>
      </c>
      <c r="B23" s="3">
        <v>11960</v>
      </c>
      <c r="C23" s="3" t="s">
        <v>75</v>
      </c>
      <c r="D23" s="4">
        <v>20000</v>
      </c>
      <c r="E23" s="4">
        <f t="shared" si="0"/>
        <v>340000</v>
      </c>
      <c r="F23" s="4">
        <f t="shared" si="1"/>
        <v>310000</v>
      </c>
    </row>
    <row r="24" spans="1:6" x14ac:dyDescent="0.35">
      <c r="A24" s="5">
        <v>45577</v>
      </c>
      <c r="B24" s="3">
        <v>12296</v>
      </c>
      <c r="C24" s="3" t="s">
        <v>75</v>
      </c>
      <c r="D24" s="4">
        <v>10000</v>
      </c>
      <c r="E24" s="4">
        <f t="shared" si="0"/>
        <v>350000</v>
      </c>
      <c r="F24" s="4">
        <f t="shared" si="1"/>
        <v>300000</v>
      </c>
    </row>
    <row r="25" spans="1:6" x14ac:dyDescent="0.35">
      <c r="A25" s="5">
        <v>45901</v>
      </c>
      <c r="B25" s="3">
        <v>12991</v>
      </c>
      <c r="C25" s="3" t="s">
        <v>75</v>
      </c>
      <c r="D25" s="4">
        <v>10000</v>
      </c>
      <c r="E25" s="4">
        <f t="shared" si="0"/>
        <v>360000</v>
      </c>
      <c r="F25" s="4">
        <f t="shared" si="1"/>
        <v>290000</v>
      </c>
    </row>
    <row r="26" spans="1:6" x14ac:dyDescent="0.35">
      <c r="A26" s="5">
        <v>45903</v>
      </c>
      <c r="B26" s="3">
        <v>9648</v>
      </c>
      <c r="C26" s="3" t="s">
        <v>75</v>
      </c>
      <c r="D26" s="4">
        <v>20000</v>
      </c>
      <c r="E26" s="4">
        <f t="shared" si="0"/>
        <v>380000</v>
      </c>
      <c r="F26" s="4">
        <f t="shared" si="1"/>
        <v>270000</v>
      </c>
    </row>
    <row r="27" spans="1:6" x14ac:dyDescent="0.35">
      <c r="A27" s="3" t="s">
        <v>76</v>
      </c>
      <c r="B27" s="3">
        <v>10036</v>
      </c>
      <c r="C27" s="3" t="s">
        <v>75</v>
      </c>
      <c r="D27" s="4">
        <v>10000</v>
      </c>
      <c r="E27" s="4">
        <f t="shared" si="0"/>
        <v>390000</v>
      </c>
      <c r="F27" s="4">
        <f t="shared" si="1"/>
        <v>260000</v>
      </c>
    </row>
    <row r="28" spans="1:6" x14ac:dyDescent="0.35">
      <c r="A28" s="3" t="s">
        <v>77</v>
      </c>
      <c r="B28" s="3">
        <v>10857</v>
      </c>
      <c r="C28" s="3" t="s">
        <v>75</v>
      </c>
      <c r="D28" s="4">
        <v>10000</v>
      </c>
      <c r="E28" s="4">
        <f t="shared" si="0"/>
        <v>400000</v>
      </c>
      <c r="F28" s="4">
        <f t="shared" si="1"/>
        <v>250000</v>
      </c>
    </row>
    <row r="29" spans="1:6" x14ac:dyDescent="0.35">
      <c r="A29" s="3" t="s">
        <v>78</v>
      </c>
      <c r="B29" s="3">
        <v>11847</v>
      </c>
      <c r="C29" s="3" t="s">
        <v>75</v>
      </c>
      <c r="D29" s="4">
        <v>10000</v>
      </c>
      <c r="E29" s="4">
        <f t="shared" si="0"/>
        <v>410000</v>
      </c>
      <c r="F29" s="4">
        <f t="shared" si="1"/>
        <v>240000</v>
      </c>
    </row>
    <row r="30" spans="1:6" x14ac:dyDescent="0.35">
      <c r="A30" s="3" t="s">
        <v>59</v>
      </c>
      <c r="B30" s="3">
        <v>273</v>
      </c>
      <c r="C30" s="3" t="s">
        <v>75</v>
      </c>
      <c r="D30" s="4">
        <v>10000</v>
      </c>
      <c r="E30" s="4">
        <f t="shared" si="0"/>
        <v>420000</v>
      </c>
      <c r="F30" s="4">
        <f t="shared" si="1"/>
        <v>230000</v>
      </c>
    </row>
    <row r="31" spans="1:6" x14ac:dyDescent="0.35">
      <c r="A31" s="3" t="s">
        <v>79</v>
      </c>
      <c r="B31" s="3">
        <v>13944</v>
      </c>
      <c r="C31" s="3" t="s">
        <v>75</v>
      </c>
      <c r="D31" s="4">
        <v>10000</v>
      </c>
      <c r="E31" s="4">
        <f t="shared" si="0"/>
        <v>430000</v>
      </c>
      <c r="F31" s="4">
        <f t="shared" si="1"/>
        <v>220000</v>
      </c>
    </row>
    <row r="32" spans="1:6" x14ac:dyDescent="0.35">
      <c r="A32" s="3" t="s">
        <v>62</v>
      </c>
      <c r="B32" s="3">
        <v>13572</v>
      </c>
      <c r="C32" s="3" t="s">
        <v>75</v>
      </c>
      <c r="D32" s="4">
        <v>10000</v>
      </c>
      <c r="E32" s="4">
        <f t="shared" si="0"/>
        <v>440000</v>
      </c>
      <c r="F32" s="4">
        <f t="shared" si="1"/>
        <v>210000</v>
      </c>
    </row>
    <row r="33" spans="1:6" x14ac:dyDescent="0.35">
      <c r="A33" s="3" t="s">
        <v>80</v>
      </c>
      <c r="B33" s="3">
        <v>13082</v>
      </c>
      <c r="C33" s="3" t="s">
        <v>75</v>
      </c>
      <c r="D33" s="4">
        <v>10000</v>
      </c>
      <c r="E33" s="4">
        <f t="shared" si="0"/>
        <v>450000</v>
      </c>
      <c r="F33" s="4">
        <f t="shared" si="1"/>
        <v>200000</v>
      </c>
    </row>
    <row r="34" spans="1:6" x14ac:dyDescent="0.35">
      <c r="A34" s="3" t="s">
        <v>81</v>
      </c>
      <c r="B34" s="3">
        <v>12694</v>
      </c>
      <c r="C34" s="3" t="s">
        <v>75</v>
      </c>
      <c r="D34" s="4">
        <v>10000</v>
      </c>
      <c r="E34" s="4">
        <f t="shared" si="0"/>
        <v>460000</v>
      </c>
      <c r="F34" s="4">
        <f t="shared" si="1"/>
        <v>190000</v>
      </c>
    </row>
    <row r="35" spans="1:6" x14ac:dyDescent="0.35">
      <c r="A35" s="3" t="s">
        <v>82</v>
      </c>
      <c r="B35" s="3">
        <v>12274</v>
      </c>
      <c r="C35" s="3" t="s">
        <v>75</v>
      </c>
      <c r="D35" s="4">
        <v>10000</v>
      </c>
      <c r="E35" s="4">
        <f t="shared" si="0"/>
        <v>470000</v>
      </c>
      <c r="F35" s="4">
        <f t="shared" si="1"/>
        <v>180000</v>
      </c>
    </row>
    <row r="36" spans="1:6" x14ac:dyDescent="0.35">
      <c r="A36" s="3" t="s">
        <v>83</v>
      </c>
      <c r="B36" s="3">
        <v>12559</v>
      </c>
      <c r="C36" s="3" t="s">
        <v>75</v>
      </c>
      <c r="D36" s="4">
        <v>10000</v>
      </c>
      <c r="E36" s="4">
        <f t="shared" si="0"/>
        <v>480000</v>
      </c>
      <c r="F36" s="4">
        <f t="shared" si="1"/>
        <v>170000</v>
      </c>
    </row>
    <row r="37" spans="1:6" x14ac:dyDescent="0.35">
      <c r="A37" s="13" t="s">
        <v>164</v>
      </c>
      <c r="B37" s="13">
        <v>13949</v>
      </c>
      <c r="C37" s="25" t="s">
        <v>75</v>
      </c>
      <c r="D37" s="26">
        <v>10000</v>
      </c>
      <c r="E37" s="26">
        <f t="shared" si="0"/>
        <v>490000</v>
      </c>
      <c r="F37" s="26">
        <f t="shared" si="1"/>
        <v>160000</v>
      </c>
    </row>
    <row r="38" spans="1:6" x14ac:dyDescent="0.35">
      <c r="A38" s="3" t="s">
        <v>288</v>
      </c>
      <c r="B38" s="3">
        <v>13403</v>
      </c>
      <c r="C38" s="3" t="s">
        <v>75</v>
      </c>
      <c r="D38" s="4">
        <v>20000</v>
      </c>
      <c r="E38" s="4">
        <f>E37+D38</f>
        <v>510000</v>
      </c>
      <c r="F38" s="4">
        <f>F37-D38</f>
        <v>140000</v>
      </c>
    </row>
    <row r="39" spans="1:6" x14ac:dyDescent="0.35">
      <c r="A39" s="9">
        <v>46061</v>
      </c>
      <c r="B39" s="3">
        <v>1623</v>
      </c>
      <c r="C39" s="3" t="s">
        <v>75</v>
      </c>
      <c r="D39" s="8">
        <v>20000</v>
      </c>
      <c r="E39" s="8">
        <f>E38+D39</f>
        <v>530000</v>
      </c>
      <c r="F39" s="8">
        <f>F38-D39</f>
        <v>120000</v>
      </c>
    </row>
    <row r="40" spans="1:6" x14ac:dyDescent="0.35">
      <c r="A40" s="13" t="s">
        <v>446</v>
      </c>
      <c r="B40" s="13">
        <v>1827</v>
      </c>
      <c r="C40" s="3" t="s">
        <v>75</v>
      </c>
      <c r="D40" s="15">
        <v>10000</v>
      </c>
      <c r="E40" s="15">
        <f>E39+D40</f>
        <v>540000</v>
      </c>
      <c r="F40" s="15">
        <f>F39-D40</f>
        <v>110000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9967-1B50-4EEA-AEC6-043EF8192CD9}">
  <dimension ref="A1:H17"/>
  <sheetViews>
    <sheetView workbookViewId="0">
      <selection activeCell="E16" sqref="E16"/>
    </sheetView>
  </sheetViews>
  <sheetFormatPr defaultRowHeight="14.5" x14ac:dyDescent="0.35"/>
  <cols>
    <col min="1" max="1" width="10.36328125" customWidth="1"/>
    <col min="3" max="3" width="11.6328125" customWidth="1"/>
  </cols>
  <sheetData>
    <row r="1" spans="1:8" ht="18.5" x14ac:dyDescent="0.45">
      <c r="A1" s="1" t="s">
        <v>257</v>
      </c>
      <c r="B1" s="1"/>
      <c r="C1" s="1"/>
      <c r="D1" s="1"/>
      <c r="E1" s="1"/>
      <c r="F1" s="1"/>
    </row>
    <row r="2" spans="1:8" ht="18.5" x14ac:dyDescent="0.45">
      <c r="A2" s="1" t="s">
        <v>258</v>
      </c>
      <c r="C2" s="1"/>
      <c r="D2" s="1"/>
      <c r="E2" s="1"/>
      <c r="F2" s="1"/>
    </row>
    <row r="3" spans="1:8" ht="18.5" x14ac:dyDescent="0.45">
      <c r="A3" s="1" t="s">
        <v>259</v>
      </c>
      <c r="B3" s="1"/>
      <c r="C3" s="1"/>
      <c r="D3" s="1"/>
      <c r="E3" s="1"/>
      <c r="F3" s="1"/>
    </row>
    <row r="4" spans="1:8" ht="18.5" x14ac:dyDescent="0.45">
      <c r="A4" s="1" t="s">
        <v>30</v>
      </c>
      <c r="B4" s="1"/>
      <c r="C4" s="1"/>
      <c r="D4" s="1"/>
      <c r="E4" s="1"/>
      <c r="F4" s="1"/>
    </row>
    <row r="5" spans="1:8" ht="18.5" x14ac:dyDescent="0.45">
      <c r="A5" s="1" t="s">
        <v>260</v>
      </c>
      <c r="B5" s="1"/>
      <c r="C5" s="1"/>
      <c r="D5" s="1" t="s">
        <v>112</v>
      </c>
      <c r="F5" s="1"/>
    </row>
    <row r="6" spans="1:8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H6" s="21" t="s">
        <v>265</v>
      </c>
    </row>
    <row r="7" spans="1:8" x14ac:dyDescent="0.35">
      <c r="A7" t="s">
        <v>199</v>
      </c>
      <c r="B7">
        <v>10868</v>
      </c>
      <c r="C7" t="s">
        <v>261</v>
      </c>
      <c r="D7" s="15">
        <v>500000</v>
      </c>
      <c r="E7" s="15">
        <v>500000</v>
      </c>
      <c r="F7" t="s">
        <v>262</v>
      </c>
    </row>
    <row r="9" spans="1:8" x14ac:dyDescent="0.35">
      <c r="A9" s="14">
        <v>46058</v>
      </c>
      <c r="B9">
        <v>1349</v>
      </c>
      <c r="C9" t="s">
        <v>263</v>
      </c>
      <c r="D9" s="15">
        <v>180000</v>
      </c>
      <c r="E9" s="15">
        <v>20000</v>
      </c>
    </row>
    <row r="10" spans="1:8" x14ac:dyDescent="0.35">
      <c r="A10" s="14">
        <v>46331</v>
      </c>
      <c r="B10">
        <v>1447</v>
      </c>
      <c r="C10" t="s">
        <v>263</v>
      </c>
      <c r="D10" s="15">
        <v>200000</v>
      </c>
      <c r="E10" t="s">
        <v>262</v>
      </c>
    </row>
    <row r="11" spans="1:8" ht="18.5" x14ac:dyDescent="0.45">
      <c r="A11" s="16" t="s">
        <v>264</v>
      </c>
      <c r="B11" s="16"/>
      <c r="C11" s="16"/>
      <c r="D11" s="16"/>
      <c r="E11" s="16"/>
      <c r="F11" s="16"/>
    </row>
    <row r="13" spans="1:8" x14ac:dyDescent="0.35">
      <c r="D13" t="s">
        <v>325</v>
      </c>
    </row>
    <row r="14" spans="1:8" ht="21" x14ac:dyDescent="0.5">
      <c r="B14" s="22" t="s">
        <v>326</v>
      </c>
    </row>
    <row r="15" spans="1:8" ht="21" x14ac:dyDescent="0.5">
      <c r="B15" s="22" t="s">
        <v>327</v>
      </c>
    </row>
    <row r="16" spans="1:8" ht="21" x14ac:dyDescent="0.5">
      <c r="B16" s="22" t="s">
        <v>328</v>
      </c>
    </row>
    <row r="17" spans="2:2" ht="21" x14ac:dyDescent="0.5">
      <c r="B17" s="22" t="s">
        <v>329</v>
      </c>
    </row>
  </sheetData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4A6A-3F91-4C0C-91EC-63F8EAB78279}">
  <dimension ref="A1:F27"/>
  <sheetViews>
    <sheetView topLeftCell="A5" workbookViewId="0">
      <selection activeCell="A8" sqref="A8:F8"/>
    </sheetView>
  </sheetViews>
  <sheetFormatPr defaultRowHeight="14.5" x14ac:dyDescent="0.35"/>
  <sheetData>
    <row r="1" spans="1:6" x14ac:dyDescent="0.35">
      <c r="A1" t="s">
        <v>295</v>
      </c>
      <c r="B1" t="s">
        <v>301</v>
      </c>
    </row>
    <row r="2" spans="1:6" x14ac:dyDescent="0.35">
      <c r="A2" t="s">
        <v>296</v>
      </c>
      <c r="B2" t="s">
        <v>302</v>
      </c>
    </row>
    <row r="3" spans="1:6" x14ac:dyDescent="0.35">
      <c r="A3" t="s">
        <v>297</v>
      </c>
      <c r="B3" t="s">
        <v>303</v>
      </c>
    </row>
    <row r="4" spans="1:6" x14ac:dyDescent="0.35">
      <c r="A4" t="s">
        <v>298</v>
      </c>
      <c r="B4" t="s">
        <v>304</v>
      </c>
    </row>
    <row r="5" spans="1:6" x14ac:dyDescent="0.35">
      <c r="A5" t="s">
        <v>299</v>
      </c>
      <c r="B5" t="s">
        <v>305</v>
      </c>
    </row>
    <row r="6" spans="1:6" x14ac:dyDescent="0.35">
      <c r="A6" t="s">
        <v>300</v>
      </c>
      <c r="B6">
        <v>6317</v>
      </c>
    </row>
    <row r="8" spans="1:6" x14ac:dyDescent="0.3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35">
      <c r="A9" t="s">
        <v>306</v>
      </c>
      <c r="B9">
        <v>155</v>
      </c>
      <c r="C9" t="s">
        <v>322</v>
      </c>
      <c r="D9" s="15">
        <v>10000</v>
      </c>
      <c r="E9" s="15">
        <v>10000</v>
      </c>
      <c r="F9" s="15">
        <v>380000</v>
      </c>
    </row>
    <row r="10" spans="1:6" x14ac:dyDescent="0.35">
      <c r="A10" t="s">
        <v>307</v>
      </c>
      <c r="B10">
        <v>2</v>
      </c>
      <c r="C10" t="s">
        <v>323</v>
      </c>
      <c r="D10" s="15">
        <v>30000</v>
      </c>
      <c r="E10" s="15">
        <f t="shared" ref="E10:E24" si="0">E9+D10</f>
        <v>40000</v>
      </c>
      <c r="F10" s="15">
        <f t="shared" ref="F10:F24" si="1">F9-D10</f>
        <v>350000</v>
      </c>
    </row>
    <row r="11" spans="1:6" x14ac:dyDescent="0.35">
      <c r="A11" t="s">
        <v>308</v>
      </c>
      <c r="B11">
        <v>3</v>
      </c>
      <c r="C11" t="s">
        <v>322</v>
      </c>
      <c r="D11" s="15">
        <v>10000</v>
      </c>
      <c r="E11" s="15">
        <f t="shared" si="0"/>
        <v>50000</v>
      </c>
      <c r="F11" s="15">
        <f t="shared" si="1"/>
        <v>340000</v>
      </c>
    </row>
    <row r="12" spans="1:6" x14ac:dyDescent="0.35">
      <c r="A12" t="s">
        <v>309</v>
      </c>
      <c r="B12">
        <v>7</v>
      </c>
      <c r="C12" t="s">
        <v>322</v>
      </c>
      <c r="D12" s="15">
        <v>20000</v>
      </c>
      <c r="E12" s="15">
        <f t="shared" si="0"/>
        <v>70000</v>
      </c>
      <c r="F12" s="15">
        <f t="shared" si="1"/>
        <v>320000</v>
      </c>
    </row>
    <row r="13" spans="1:6" x14ac:dyDescent="0.35">
      <c r="A13" t="s">
        <v>310</v>
      </c>
      <c r="B13">
        <v>480</v>
      </c>
      <c r="C13" t="s">
        <v>322</v>
      </c>
      <c r="D13" s="15">
        <v>10000</v>
      </c>
      <c r="E13" s="15">
        <f t="shared" si="0"/>
        <v>80000</v>
      </c>
      <c r="F13" s="15">
        <f t="shared" si="1"/>
        <v>310000</v>
      </c>
    </row>
    <row r="14" spans="1:6" x14ac:dyDescent="0.35">
      <c r="A14" t="s">
        <v>311</v>
      </c>
      <c r="B14">
        <v>2806</v>
      </c>
      <c r="C14" t="s">
        <v>322</v>
      </c>
      <c r="D14" s="15">
        <v>10000</v>
      </c>
      <c r="E14" s="15">
        <f t="shared" si="0"/>
        <v>90000</v>
      </c>
      <c r="F14" s="15">
        <f t="shared" si="1"/>
        <v>300000</v>
      </c>
    </row>
    <row r="15" spans="1:6" x14ac:dyDescent="0.35">
      <c r="A15" t="s">
        <v>312</v>
      </c>
      <c r="B15">
        <v>3424</v>
      </c>
      <c r="C15" t="s">
        <v>322</v>
      </c>
      <c r="D15" s="15">
        <v>20000</v>
      </c>
      <c r="E15" s="15">
        <f t="shared" si="0"/>
        <v>110000</v>
      </c>
      <c r="F15" s="15">
        <f t="shared" si="1"/>
        <v>280000</v>
      </c>
    </row>
    <row r="16" spans="1:6" x14ac:dyDescent="0.35">
      <c r="A16" t="s">
        <v>313</v>
      </c>
      <c r="B16">
        <v>4214</v>
      </c>
      <c r="C16" t="s">
        <v>322</v>
      </c>
      <c r="D16" s="15">
        <v>10000</v>
      </c>
      <c r="E16" s="15">
        <f t="shared" si="0"/>
        <v>120000</v>
      </c>
      <c r="F16" s="15">
        <f t="shared" si="1"/>
        <v>270000</v>
      </c>
    </row>
    <row r="17" spans="1:6" x14ac:dyDescent="0.35">
      <c r="A17" t="s">
        <v>314</v>
      </c>
      <c r="B17">
        <v>5128</v>
      </c>
      <c r="C17" t="s">
        <v>322</v>
      </c>
      <c r="D17" s="15">
        <v>10000</v>
      </c>
      <c r="E17" s="15">
        <f t="shared" si="0"/>
        <v>130000</v>
      </c>
      <c r="F17" s="15">
        <f t="shared" si="1"/>
        <v>260000</v>
      </c>
    </row>
    <row r="18" spans="1:6" x14ac:dyDescent="0.35">
      <c r="A18" t="s">
        <v>315</v>
      </c>
      <c r="B18">
        <v>5812</v>
      </c>
      <c r="C18" t="s">
        <v>322</v>
      </c>
      <c r="D18" s="15">
        <v>10000</v>
      </c>
      <c r="E18" s="15">
        <f t="shared" si="0"/>
        <v>140000</v>
      </c>
      <c r="F18" s="15">
        <f t="shared" si="1"/>
        <v>250000</v>
      </c>
    </row>
    <row r="19" spans="1:6" x14ac:dyDescent="0.35">
      <c r="A19" t="s">
        <v>316</v>
      </c>
      <c r="B19">
        <v>6462</v>
      </c>
      <c r="C19" t="s">
        <v>322</v>
      </c>
      <c r="D19" s="15">
        <v>10000</v>
      </c>
      <c r="E19" s="15">
        <f t="shared" si="0"/>
        <v>150000</v>
      </c>
      <c r="F19" s="15">
        <f t="shared" si="1"/>
        <v>240000</v>
      </c>
    </row>
    <row r="20" spans="1:6" x14ac:dyDescent="0.35">
      <c r="A20" t="s">
        <v>317</v>
      </c>
      <c r="B20">
        <v>7509</v>
      </c>
      <c r="C20" t="s">
        <v>322</v>
      </c>
      <c r="D20" s="15">
        <v>20000</v>
      </c>
      <c r="E20" s="15">
        <f t="shared" si="0"/>
        <v>170000</v>
      </c>
      <c r="F20" s="15">
        <f t="shared" si="1"/>
        <v>220000</v>
      </c>
    </row>
    <row r="21" spans="1:6" x14ac:dyDescent="0.35">
      <c r="A21" t="s">
        <v>318</v>
      </c>
      <c r="B21">
        <v>8682</v>
      </c>
      <c r="C21" t="s">
        <v>322</v>
      </c>
      <c r="D21" s="15">
        <v>10000</v>
      </c>
      <c r="E21" s="15">
        <f t="shared" si="0"/>
        <v>180000</v>
      </c>
      <c r="F21" s="15">
        <f t="shared" si="1"/>
        <v>210000</v>
      </c>
    </row>
    <row r="22" spans="1:6" x14ac:dyDescent="0.35">
      <c r="A22" t="s">
        <v>319</v>
      </c>
      <c r="B22">
        <v>11950</v>
      </c>
      <c r="C22" t="s">
        <v>322</v>
      </c>
      <c r="D22" s="15">
        <v>40000</v>
      </c>
      <c r="E22" s="15">
        <f t="shared" si="0"/>
        <v>220000</v>
      </c>
      <c r="F22" s="15">
        <f t="shared" si="1"/>
        <v>170000</v>
      </c>
    </row>
    <row r="23" spans="1:6" x14ac:dyDescent="0.35">
      <c r="A23" t="s">
        <v>320</v>
      </c>
      <c r="B23">
        <v>12587</v>
      </c>
      <c r="C23" t="s">
        <v>322</v>
      </c>
      <c r="D23" s="15">
        <v>50000</v>
      </c>
      <c r="E23" s="15">
        <f t="shared" si="0"/>
        <v>270000</v>
      </c>
      <c r="F23" s="15">
        <f t="shared" si="1"/>
        <v>120000</v>
      </c>
    </row>
    <row r="24" spans="1:6" x14ac:dyDescent="0.35">
      <c r="A24" t="s">
        <v>321</v>
      </c>
      <c r="B24">
        <v>1384</v>
      </c>
      <c r="C24" t="s">
        <v>322</v>
      </c>
      <c r="D24" s="15">
        <v>120000</v>
      </c>
      <c r="E24" s="15">
        <f t="shared" si="0"/>
        <v>390000</v>
      </c>
      <c r="F24" s="15">
        <f t="shared" si="1"/>
        <v>0</v>
      </c>
    </row>
    <row r="27" spans="1:6" x14ac:dyDescent="0.35">
      <c r="A27" t="s">
        <v>321</v>
      </c>
      <c r="B27">
        <v>5217</v>
      </c>
      <c r="D27" s="15">
        <v>200000</v>
      </c>
      <c r="E27" s="15">
        <v>200000</v>
      </c>
      <c r="F27" t="s">
        <v>324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6858-BC72-4A7C-819A-FA501E0E67E9}">
  <dimension ref="A1:G37"/>
  <sheetViews>
    <sheetView workbookViewId="0">
      <selection activeCell="A8" sqref="A8:F8"/>
    </sheetView>
  </sheetViews>
  <sheetFormatPr defaultRowHeight="14.5" x14ac:dyDescent="0.35"/>
  <sheetData>
    <row r="1" spans="1:7" x14ac:dyDescent="0.35">
      <c r="A1" t="s">
        <v>295</v>
      </c>
      <c r="B1" t="s">
        <v>362</v>
      </c>
    </row>
    <row r="2" spans="1:7" x14ac:dyDescent="0.35">
      <c r="A2" t="s">
        <v>296</v>
      </c>
      <c r="B2" t="s">
        <v>363</v>
      </c>
    </row>
    <row r="3" spans="1:7" x14ac:dyDescent="0.35">
      <c r="A3" t="s">
        <v>297</v>
      </c>
      <c r="B3" t="s">
        <v>364</v>
      </c>
    </row>
    <row r="4" spans="1:7" x14ac:dyDescent="0.35">
      <c r="A4" t="s">
        <v>333</v>
      </c>
      <c r="B4" t="s">
        <v>366</v>
      </c>
    </row>
    <row r="5" spans="1:7" x14ac:dyDescent="0.35">
      <c r="A5" t="s">
        <v>299</v>
      </c>
      <c r="B5" t="s">
        <v>365</v>
      </c>
    </row>
    <row r="6" spans="1:7" x14ac:dyDescent="0.35">
      <c r="A6" t="s">
        <v>300</v>
      </c>
      <c r="B6">
        <v>6327</v>
      </c>
    </row>
    <row r="7" spans="1:7" x14ac:dyDescent="0.35">
      <c r="E7" s="15">
        <v>390000</v>
      </c>
    </row>
    <row r="8" spans="1:7" x14ac:dyDescent="0.3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7" x14ac:dyDescent="0.35">
      <c r="A9" t="s">
        <v>334</v>
      </c>
      <c r="C9" t="s">
        <v>345</v>
      </c>
      <c r="D9" s="15">
        <v>100000</v>
      </c>
      <c r="E9" s="15">
        <v>100000</v>
      </c>
      <c r="F9" s="15">
        <v>290000</v>
      </c>
      <c r="G9" s="15"/>
    </row>
    <row r="10" spans="1:7" x14ac:dyDescent="0.35">
      <c r="A10" t="s">
        <v>335</v>
      </c>
      <c r="C10" t="s">
        <v>346</v>
      </c>
      <c r="D10" s="15">
        <v>10000</v>
      </c>
      <c r="E10" s="15">
        <f t="shared" ref="E10:E37" si="0">E9+D10</f>
        <v>110000</v>
      </c>
      <c r="F10" s="15">
        <f t="shared" ref="F10:F37" si="1">F9-D10</f>
        <v>280000</v>
      </c>
    </row>
    <row r="11" spans="1:7" x14ac:dyDescent="0.35">
      <c r="A11" t="s">
        <v>336</v>
      </c>
      <c r="C11" t="s">
        <v>346</v>
      </c>
      <c r="D11" s="15">
        <v>10000</v>
      </c>
      <c r="E11" s="15">
        <f t="shared" si="0"/>
        <v>120000</v>
      </c>
      <c r="F11" s="15">
        <f t="shared" si="1"/>
        <v>270000</v>
      </c>
      <c r="G11" s="15"/>
    </row>
    <row r="12" spans="1:7" x14ac:dyDescent="0.35">
      <c r="A12" t="s">
        <v>337</v>
      </c>
      <c r="C12" t="s">
        <v>346</v>
      </c>
      <c r="D12" s="15">
        <v>10000</v>
      </c>
      <c r="E12" s="15">
        <f t="shared" si="0"/>
        <v>130000</v>
      </c>
      <c r="F12" s="15">
        <f t="shared" si="1"/>
        <v>260000</v>
      </c>
    </row>
    <row r="13" spans="1:7" x14ac:dyDescent="0.35">
      <c r="A13" t="s">
        <v>338</v>
      </c>
      <c r="C13" t="s">
        <v>346</v>
      </c>
      <c r="D13" s="15">
        <v>10000</v>
      </c>
      <c r="E13" s="15">
        <f t="shared" si="0"/>
        <v>140000</v>
      </c>
      <c r="F13" s="15">
        <f t="shared" si="1"/>
        <v>250000</v>
      </c>
      <c r="G13" s="15"/>
    </row>
    <row r="14" spans="1:7" x14ac:dyDescent="0.35">
      <c r="A14" t="s">
        <v>339</v>
      </c>
      <c r="C14" t="s">
        <v>346</v>
      </c>
      <c r="D14" s="15">
        <v>10000</v>
      </c>
      <c r="E14" s="15">
        <f t="shared" si="0"/>
        <v>150000</v>
      </c>
      <c r="F14" s="15">
        <f t="shared" si="1"/>
        <v>240000</v>
      </c>
    </row>
    <row r="15" spans="1:7" x14ac:dyDescent="0.35">
      <c r="A15" t="s">
        <v>340</v>
      </c>
      <c r="C15" t="s">
        <v>346</v>
      </c>
      <c r="D15" s="15">
        <v>10000</v>
      </c>
      <c r="E15" s="15">
        <f t="shared" si="0"/>
        <v>160000</v>
      </c>
      <c r="F15" s="15">
        <f t="shared" si="1"/>
        <v>230000</v>
      </c>
      <c r="G15" s="15"/>
    </row>
    <row r="16" spans="1:7" x14ac:dyDescent="0.35">
      <c r="A16" t="s">
        <v>341</v>
      </c>
      <c r="C16" t="s">
        <v>346</v>
      </c>
      <c r="D16" s="15">
        <v>10000</v>
      </c>
      <c r="E16" s="15">
        <f t="shared" si="0"/>
        <v>170000</v>
      </c>
      <c r="F16" s="15">
        <f t="shared" si="1"/>
        <v>220000</v>
      </c>
    </row>
    <row r="17" spans="1:7" x14ac:dyDescent="0.35">
      <c r="A17" t="s">
        <v>342</v>
      </c>
      <c r="C17" t="s">
        <v>346</v>
      </c>
      <c r="D17" s="15">
        <v>10000</v>
      </c>
      <c r="E17" s="15">
        <f t="shared" si="0"/>
        <v>180000</v>
      </c>
      <c r="F17" s="15">
        <f t="shared" si="1"/>
        <v>210000</v>
      </c>
      <c r="G17" s="15"/>
    </row>
    <row r="18" spans="1:7" x14ac:dyDescent="0.35">
      <c r="A18" t="s">
        <v>343</v>
      </c>
      <c r="C18" t="s">
        <v>346</v>
      </c>
      <c r="D18" s="15">
        <v>10000</v>
      </c>
      <c r="E18" s="15">
        <f t="shared" si="0"/>
        <v>190000</v>
      </c>
      <c r="F18" s="15">
        <f t="shared" si="1"/>
        <v>200000</v>
      </c>
    </row>
    <row r="19" spans="1:7" x14ac:dyDescent="0.35">
      <c r="A19" t="s">
        <v>344</v>
      </c>
      <c r="C19" t="s">
        <v>346</v>
      </c>
      <c r="D19" s="15">
        <v>10000</v>
      </c>
      <c r="E19" s="15">
        <f t="shared" si="0"/>
        <v>200000</v>
      </c>
      <c r="F19" s="15">
        <f t="shared" si="1"/>
        <v>190000</v>
      </c>
      <c r="G19" s="15"/>
    </row>
    <row r="20" spans="1:7" x14ac:dyDescent="0.35">
      <c r="A20" t="s">
        <v>347</v>
      </c>
      <c r="C20" t="s">
        <v>346</v>
      </c>
      <c r="D20" s="15">
        <v>10000</v>
      </c>
      <c r="E20" s="15">
        <f t="shared" si="0"/>
        <v>210000</v>
      </c>
      <c r="F20" s="15">
        <f t="shared" si="1"/>
        <v>180000</v>
      </c>
      <c r="G20" s="15"/>
    </row>
    <row r="21" spans="1:7" x14ac:dyDescent="0.35">
      <c r="A21" t="s">
        <v>347</v>
      </c>
      <c r="C21" t="s">
        <v>346</v>
      </c>
      <c r="D21" s="15">
        <v>10000</v>
      </c>
      <c r="E21" s="15">
        <f t="shared" si="0"/>
        <v>220000</v>
      </c>
      <c r="F21" s="15">
        <f t="shared" si="1"/>
        <v>170000</v>
      </c>
    </row>
    <row r="22" spans="1:7" x14ac:dyDescent="0.35">
      <c r="A22" t="s">
        <v>348</v>
      </c>
      <c r="C22" t="s">
        <v>346</v>
      </c>
      <c r="D22" s="15">
        <v>20000</v>
      </c>
      <c r="E22" s="15">
        <f t="shared" si="0"/>
        <v>240000</v>
      </c>
      <c r="F22" s="15">
        <f t="shared" si="1"/>
        <v>150000</v>
      </c>
      <c r="G22" s="15"/>
    </row>
    <row r="23" spans="1:7" x14ac:dyDescent="0.35">
      <c r="A23" t="s">
        <v>348</v>
      </c>
      <c r="C23" t="s">
        <v>346</v>
      </c>
      <c r="D23" s="15">
        <v>10000</v>
      </c>
      <c r="E23" s="15">
        <f t="shared" si="0"/>
        <v>250000</v>
      </c>
      <c r="F23" s="15">
        <f t="shared" si="1"/>
        <v>140000</v>
      </c>
    </row>
    <row r="24" spans="1:7" x14ac:dyDescent="0.35">
      <c r="A24" t="s">
        <v>349</v>
      </c>
      <c r="B24">
        <v>124</v>
      </c>
      <c r="C24" t="s">
        <v>346</v>
      </c>
      <c r="D24" s="15">
        <v>10000</v>
      </c>
      <c r="E24" s="15">
        <f t="shared" si="0"/>
        <v>260000</v>
      </c>
      <c r="F24" s="15">
        <f t="shared" si="1"/>
        <v>130000</v>
      </c>
      <c r="G24" s="15"/>
    </row>
    <row r="25" spans="1:7" x14ac:dyDescent="0.35">
      <c r="A25" t="s">
        <v>350</v>
      </c>
      <c r="B25">
        <v>1235</v>
      </c>
      <c r="C25" t="s">
        <v>346</v>
      </c>
      <c r="D25" s="15">
        <v>10000</v>
      </c>
      <c r="E25" s="15">
        <f t="shared" si="0"/>
        <v>270000</v>
      </c>
      <c r="F25" s="15">
        <f t="shared" si="1"/>
        <v>120000</v>
      </c>
    </row>
    <row r="26" spans="1:7" x14ac:dyDescent="0.35">
      <c r="A26" t="s">
        <v>351</v>
      </c>
      <c r="B26">
        <v>2324</v>
      </c>
      <c r="C26" t="s">
        <v>346</v>
      </c>
      <c r="D26" s="15">
        <v>10000</v>
      </c>
      <c r="E26" s="15">
        <f t="shared" si="0"/>
        <v>280000</v>
      </c>
      <c r="F26" s="15">
        <f t="shared" si="1"/>
        <v>110000</v>
      </c>
      <c r="G26" s="15"/>
    </row>
    <row r="27" spans="1:7" x14ac:dyDescent="0.35">
      <c r="A27" t="s">
        <v>352</v>
      </c>
      <c r="B27">
        <v>2424</v>
      </c>
      <c r="C27" t="s">
        <v>346</v>
      </c>
      <c r="D27" s="15">
        <v>10000</v>
      </c>
      <c r="E27" s="15">
        <f t="shared" si="0"/>
        <v>290000</v>
      </c>
      <c r="F27" s="15">
        <f t="shared" si="1"/>
        <v>100000</v>
      </c>
    </row>
    <row r="28" spans="1:7" x14ac:dyDescent="0.35">
      <c r="A28" t="s">
        <v>353</v>
      </c>
      <c r="B28">
        <v>2425</v>
      </c>
      <c r="C28" t="s">
        <v>346</v>
      </c>
      <c r="D28" s="15">
        <v>10000</v>
      </c>
      <c r="E28" s="15">
        <f t="shared" si="0"/>
        <v>300000</v>
      </c>
      <c r="F28" s="15">
        <f t="shared" si="1"/>
        <v>90000</v>
      </c>
      <c r="G28" s="15"/>
    </row>
    <row r="29" spans="1:7" x14ac:dyDescent="0.35">
      <c r="A29" t="s">
        <v>308</v>
      </c>
      <c r="B29">
        <v>2594</v>
      </c>
      <c r="C29" t="s">
        <v>346</v>
      </c>
      <c r="D29" s="15">
        <v>10000</v>
      </c>
      <c r="E29" s="15">
        <f t="shared" si="0"/>
        <v>310000</v>
      </c>
      <c r="F29" s="15">
        <f t="shared" si="1"/>
        <v>80000</v>
      </c>
    </row>
    <row r="30" spans="1:7" x14ac:dyDescent="0.35">
      <c r="A30" t="s">
        <v>354</v>
      </c>
      <c r="B30">
        <v>159</v>
      </c>
      <c r="C30" t="s">
        <v>346</v>
      </c>
      <c r="D30" s="15">
        <v>10000</v>
      </c>
      <c r="E30" s="15">
        <f t="shared" si="0"/>
        <v>320000</v>
      </c>
      <c r="F30" s="15">
        <f t="shared" si="1"/>
        <v>70000</v>
      </c>
      <c r="G30" s="15"/>
    </row>
    <row r="31" spans="1:7" x14ac:dyDescent="0.35">
      <c r="A31" t="s">
        <v>355</v>
      </c>
      <c r="B31">
        <v>2992</v>
      </c>
      <c r="C31" t="s">
        <v>346</v>
      </c>
      <c r="D31" s="15">
        <v>10000</v>
      </c>
      <c r="E31" s="15">
        <f t="shared" si="0"/>
        <v>330000</v>
      </c>
      <c r="F31" s="15">
        <f t="shared" si="1"/>
        <v>60000</v>
      </c>
    </row>
    <row r="32" spans="1:7" x14ac:dyDescent="0.35">
      <c r="A32" t="s">
        <v>356</v>
      </c>
      <c r="B32">
        <v>3234</v>
      </c>
      <c r="C32" t="s">
        <v>346</v>
      </c>
      <c r="D32" s="15">
        <v>10000</v>
      </c>
      <c r="E32" s="15">
        <f t="shared" si="0"/>
        <v>340000</v>
      </c>
      <c r="F32" s="15">
        <f t="shared" si="1"/>
        <v>50000</v>
      </c>
      <c r="G32" s="15"/>
    </row>
    <row r="33" spans="1:7" x14ac:dyDescent="0.35">
      <c r="A33" t="s">
        <v>357</v>
      </c>
      <c r="B33">
        <v>3851</v>
      </c>
      <c r="C33" t="s">
        <v>346</v>
      </c>
      <c r="D33" s="15">
        <v>10000</v>
      </c>
      <c r="E33" s="15">
        <f t="shared" si="0"/>
        <v>350000</v>
      </c>
      <c r="F33" s="15">
        <f t="shared" si="1"/>
        <v>40000</v>
      </c>
    </row>
    <row r="34" spans="1:7" x14ac:dyDescent="0.35">
      <c r="A34" t="s">
        <v>358</v>
      </c>
      <c r="B34">
        <v>4275</v>
      </c>
      <c r="C34" t="s">
        <v>346</v>
      </c>
      <c r="D34" s="15">
        <v>10000</v>
      </c>
      <c r="E34" s="15">
        <f t="shared" si="0"/>
        <v>360000</v>
      </c>
      <c r="F34" s="15">
        <f t="shared" si="1"/>
        <v>30000</v>
      </c>
      <c r="G34" s="15"/>
    </row>
    <row r="35" spans="1:7" x14ac:dyDescent="0.35">
      <c r="A35" t="s">
        <v>359</v>
      </c>
      <c r="B35">
        <v>4989</v>
      </c>
      <c r="C35" t="s">
        <v>346</v>
      </c>
      <c r="D35" s="15">
        <v>10000</v>
      </c>
      <c r="E35" s="15">
        <f t="shared" si="0"/>
        <v>370000</v>
      </c>
      <c r="F35" s="15">
        <f t="shared" si="1"/>
        <v>20000</v>
      </c>
    </row>
    <row r="36" spans="1:7" x14ac:dyDescent="0.35">
      <c r="A36" t="s">
        <v>360</v>
      </c>
      <c r="B36">
        <v>5642</v>
      </c>
      <c r="C36" t="s">
        <v>346</v>
      </c>
      <c r="D36" s="15">
        <v>10000</v>
      </c>
      <c r="E36" s="15">
        <f t="shared" si="0"/>
        <v>380000</v>
      </c>
      <c r="F36" s="15">
        <f t="shared" si="1"/>
        <v>10000</v>
      </c>
      <c r="G36" s="15"/>
    </row>
    <row r="37" spans="1:7" x14ac:dyDescent="0.35">
      <c r="A37" t="s">
        <v>361</v>
      </c>
      <c r="B37">
        <v>6317</v>
      </c>
      <c r="C37" t="s">
        <v>346</v>
      </c>
      <c r="D37" s="15">
        <v>10000</v>
      </c>
      <c r="E37" s="15">
        <f t="shared" si="0"/>
        <v>390000</v>
      </c>
      <c r="F37" s="15">
        <f t="shared" si="1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39CF-3ED5-4285-8AC5-692DB7F6F0D4}">
  <dimension ref="A1:F29"/>
  <sheetViews>
    <sheetView workbookViewId="0">
      <selection sqref="A1:G8"/>
    </sheetView>
  </sheetViews>
  <sheetFormatPr defaultRowHeight="14.5" x14ac:dyDescent="0.35"/>
  <sheetData>
    <row r="1" spans="1:6" x14ac:dyDescent="0.35">
      <c r="A1" t="s">
        <v>295</v>
      </c>
      <c r="B1" t="s">
        <v>388</v>
      </c>
    </row>
    <row r="2" spans="1:6" x14ac:dyDescent="0.35">
      <c r="A2" t="s">
        <v>296</v>
      </c>
      <c r="B2" t="s">
        <v>389</v>
      </c>
    </row>
    <row r="3" spans="1:6" x14ac:dyDescent="0.35">
      <c r="A3" t="s">
        <v>297</v>
      </c>
    </row>
    <row r="4" spans="1:6" x14ac:dyDescent="0.35">
      <c r="A4" t="s">
        <v>298</v>
      </c>
      <c r="B4" t="s">
        <v>390</v>
      </c>
    </row>
    <row r="5" spans="1:6" x14ac:dyDescent="0.35">
      <c r="A5" t="s">
        <v>299</v>
      </c>
      <c r="B5" t="s">
        <v>367</v>
      </c>
    </row>
    <row r="6" spans="1:6" x14ac:dyDescent="0.35">
      <c r="A6" t="s">
        <v>300</v>
      </c>
      <c r="B6">
        <v>6398</v>
      </c>
      <c r="E6" s="15">
        <v>360000</v>
      </c>
    </row>
    <row r="8" spans="1:6" x14ac:dyDescent="0.3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35">
      <c r="A9" t="s">
        <v>368</v>
      </c>
      <c r="B9">
        <v>1146</v>
      </c>
      <c r="C9" t="s">
        <v>322</v>
      </c>
      <c r="D9" s="15">
        <v>10000</v>
      </c>
      <c r="E9" s="15">
        <v>10000</v>
      </c>
      <c r="F9" s="15">
        <v>190000</v>
      </c>
    </row>
    <row r="10" spans="1:6" x14ac:dyDescent="0.35">
      <c r="A10" t="s">
        <v>369</v>
      </c>
      <c r="B10">
        <v>1406</v>
      </c>
      <c r="C10" t="s">
        <v>377</v>
      </c>
      <c r="D10" s="15">
        <v>10000</v>
      </c>
      <c r="E10" s="15">
        <f>D10+E9</f>
        <v>20000</v>
      </c>
      <c r="F10" s="15">
        <f t="shared" ref="F10:F26" si="0">F9-D10</f>
        <v>180000</v>
      </c>
    </row>
    <row r="11" spans="1:6" x14ac:dyDescent="0.35">
      <c r="A11" t="s">
        <v>370</v>
      </c>
      <c r="B11">
        <v>1413</v>
      </c>
      <c r="C11" t="s">
        <v>322</v>
      </c>
      <c r="D11" s="15">
        <v>10000</v>
      </c>
      <c r="E11" s="15">
        <f t="shared" ref="E11:E26" si="1">E10+D11</f>
        <v>30000</v>
      </c>
      <c r="F11" s="15">
        <f t="shared" si="0"/>
        <v>170000</v>
      </c>
    </row>
    <row r="12" spans="1:6" x14ac:dyDescent="0.35">
      <c r="A12" t="s">
        <v>371</v>
      </c>
      <c r="B12">
        <v>1614</v>
      </c>
      <c r="C12" t="s">
        <v>322</v>
      </c>
      <c r="D12" s="15">
        <v>10000</v>
      </c>
      <c r="E12" s="15">
        <f t="shared" si="1"/>
        <v>40000</v>
      </c>
      <c r="F12" s="15">
        <f t="shared" si="0"/>
        <v>160000</v>
      </c>
    </row>
    <row r="13" spans="1:6" x14ac:dyDescent="0.35">
      <c r="A13" t="s">
        <v>372</v>
      </c>
      <c r="B13">
        <v>1265</v>
      </c>
      <c r="C13" t="s">
        <v>322</v>
      </c>
      <c r="D13" s="15">
        <v>10000</v>
      </c>
      <c r="E13" s="15">
        <f t="shared" si="1"/>
        <v>50000</v>
      </c>
      <c r="F13" s="15">
        <f t="shared" si="0"/>
        <v>150000</v>
      </c>
    </row>
    <row r="14" spans="1:6" x14ac:dyDescent="0.35">
      <c r="A14" t="s">
        <v>373</v>
      </c>
      <c r="B14">
        <v>980</v>
      </c>
      <c r="C14" t="s">
        <v>322</v>
      </c>
      <c r="D14" s="15">
        <v>20000</v>
      </c>
      <c r="E14" s="15">
        <f t="shared" si="1"/>
        <v>70000</v>
      </c>
      <c r="F14" s="15">
        <f t="shared" si="0"/>
        <v>130000</v>
      </c>
    </row>
    <row r="15" spans="1:6" x14ac:dyDescent="0.35">
      <c r="A15" t="s">
        <v>355</v>
      </c>
      <c r="B15">
        <v>2987</v>
      </c>
      <c r="C15" t="s">
        <v>322</v>
      </c>
      <c r="D15" s="15">
        <v>10000</v>
      </c>
      <c r="E15" s="15">
        <f t="shared" si="1"/>
        <v>80000</v>
      </c>
      <c r="F15" s="15">
        <f t="shared" si="0"/>
        <v>120000</v>
      </c>
    </row>
    <row r="16" spans="1:6" x14ac:dyDescent="0.35">
      <c r="A16" t="s">
        <v>374</v>
      </c>
      <c r="B16">
        <v>4046</v>
      </c>
      <c r="C16" t="s">
        <v>322</v>
      </c>
      <c r="D16" s="15">
        <v>20000</v>
      </c>
      <c r="E16" s="15">
        <f t="shared" si="1"/>
        <v>100000</v>
      </c>
      <c r="F16" s="15">
        <f t="shared" si="0"/>
        <v>100000</v>
      </c>
    </row>
    <row r="17" spans="1:6" x14ac:dyDescent="0.35">
      <c r="A17" t="s">
        <v>375</v>
      </c>
      <c r="B17">
        <v>4776</v>
      </c>
      <c r="C17" t="s">
        <v>322</v>
      </c>
      <c r="D17" s="15">
        <v>10000</v>
      </c>
      <c r="E17" s="15">
        <f t="shared" si="1"/>
        <v>110000</v>
      </c>
      <c r="F17" s="15">
        <f t="shared" si="0"/>
        <v>90000</v>
      </c>
    </row>
    <row r="18" spans="1:6" x14ac:dyDescent="0.35">
      <c r="A18" t="s">
        <v>376</v>
      </c>
      <c r="B18">
        <v>5827</v>
      </c>
      <c r="C18" t="s">
        <v>322</v>
      </c>
      <c r="D18" s="15">
        <v>10000</v>
      </c>
      <c r="E18" s="15">
        <f t="shared" si="1"/>
        <v>120000</v>
      </c>
      <c r="F18" s="15">
        <f t="shared" si="0"/>
        <v>80000</v>
      </c>
    </row>
    <row r="19" spans="1:6" x14ac:dyDescent="0.35">
      <c r="A19" t="s">
        <v>361</v>
      </c>
      <c r="B19">
        <v>6336</v>
      </c>
      <c r="C19" t="s">
        <v>322</v>
      </c>
      <c r="D19" s="15">
        <v>10000</v>
      </c>
      <c r="E19" s="15">
        <f t="shared" si="1"/>
        <v>130000</v>
      </c>
      <c r="F19" s="15">
        <f t="shared" si="0"/>
        <v>70000</v>
      </c>
    </row>
    <row r="20" spans="1:6" x14ac:dyDescent="0.35">
      <c r="A20" t="s">
        <v>378</v>
      </c>
      <c r="B20">
        <v>6745</v>
      </c>
      <c r="C20" t="s">
        <v>322</v>
      </c>
      <c r="D20" s="15">
        <v>10000</v>
      </c>
      <c r="E20" s="15">
        <f t="shared" si="1"/>
        <v>140000</v>
      </c>
      <c r="F20" s="15">
        <f t="shared" si="0"/>
        <v>60000</v>
      </c>
    </row>
    <row r="21" spans="1:6" x14ac:dyDescent="0.35">
      <c r="A21" t="s">
        <v>379</v>
      </c>
      <c r="B21">
        <v>7525</v>
      </c>
      <c r="C21" t="s">
        <v>322</v>
      </c>
      <c r="D21" s="15">
        <v>10000</v>
      </c>
      <c r="E21" s="15">
        <f t="shared" si="1"/>
        <v>150000</v>
      </c>
      <c r="F21" s="15">
        <f t="shared" si="0"/>
        <v>50000</v>
      </c>
    </row>
    <row r="22" spans="1:6" x14ac:dyDescent="0.35">
      <c r="A22" t="s">
        <v>380</v>
      </c>
      <c r="B22">
        <v>7980</v>
      </c>
      <c r="C22" t="s">
        <v>322</v>
      </c>
      <c r="D22" s="15">
        <v>10000</v>
      </c>
      <c r="E22" s="15">
        <f t="shared" si="1"/>
        <v>160000</v>
      </c>
      <c r="F22" s="15">
        <f t="shared" si="0"/>
        <v>40000</v>
      </c>
    </row>
    <row r="23" spans="1:6" x14ac:dyDescent="0.35">
      <c r="A23" t="s">
        <v>381</v>
      </c>
      <c r="B23">
        <v>8582</v>
      </c>
      <c r="C23" t="s">
        <v>322</v>
      </c>
      <c r="D23" s="15">
        <v>10000</v>
      </c>
      <c r="E23" s="15">
        <f t="shared" si="1"/>
        <v>170000</v>
      </c>
      <c r="F23" s="15">
        <f t="shared" si="0"/>
        <v>30000</v>
      </c>
    </row>
    <row r="24" spans="1:6" x14ac:dyDescent="0.35">
      <c r="A24" t="s">
        <v>382</v>
      </c>
      <c r="B24">
        <v>9231</v>
      </c>
      <c r="C24" t="s">
        <v>322</v>
      </c>
      <c r="D24" s="15">
        <v>10000</v>
      </c>
      <c r="E24" s="15">
        <f t="shared" si="1"/>
        <v>180000</v>
      </c>
      <c r="F24" s="15">
        <f t="shared" si="0"/>
        <v>20000</v>
      </c>
    </row>
    <row r="25" spans="1:6" x14ac:dyDescent="0.35">
      <c r="A25" t="s">
        <v>383</v>
      </c>
      <c r="B25">
        <v>9752</v>
      </c>
      <c r="C25" t="s">
        <v>322</v>
      </c>
      <c r="D25" s="15">
        <v>10000</v>
      </c>
      <c r="E25" s="15">
        <f t="shared" si="1"/>
        <v>190000</v>
      </c>
      <c r="F25" s="15">
        <f t="shared" si="0"/>
        <v>10000</v>
      </c>
    </row>
    <row r="26" spans="1:6" x14ac:dyDescent="0.35">
      <c r="A26" t="s">
        <v>384</v>
      </c>
      <c r="B26">
        <v>10628</v>
      </c>
      <c r="C26" t="s">
        <v>322</v>
      </c>
      <c r="D26" s="15">
        <v>10000</v>
      </c>
      <c r="E26" s="15">
        <f t="shared" si="1"/>
        <v>200000</v>
      </c>
      <c r="F26" s="15">
        <f t="shared" si="0"/>
        <v>0</v>
      </c>
    </row>
    <row r="29" spans="1:6" x14ac:dyDescent="0.35">
      <c r="A29" t="s">
        <v>385</v>
      </c>
      <c r="B29">
        <v>1743</v>
      </c>
      <c r="C29" t="s">
        <v>386</v>
      </c>
      <c r="D29" s="15">
        <v>150000</v>
      </c>
      <c r="E29" s="15">
        <v>150000</v>
      </c>
      <c r="F29" t="s">
        <v>387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2F5B-2A31-48AD-9813-37882F9D60FF}">
  <dimension ref="A4:G19"/>
  <sheetViews>
    <sheetView topLeftCell="A4" workbookViewId="0">
      <selection activeCell="D7" sqref="D7"/>
    </sheetView>
  </sheetViews>
  <sheetFormatPr defaultRowHeight="14.5" x14ac:dyDescent="0.35"/>
  <cols>
    <col min="1" max="1" width="9.453125" bestFit="1" customWidth="1"/>
  </cols>
  <sheetData>
    <row r="4" spans="1:7" x14ac:dyDescent="0.35">
      <c r="A4" s="23" t="s">
        <v>295</v>
      </c>
      <c r="B4" s="23" t="s">
        <v>411</v>
      </c>
      <c r="C4" s="23"/>
      <c r="D4" s="23"/>
      <c r="E4" s="23"/>
      <c r="F4" s="23"/>
      <c r="G4" s="23"/>
    </row>
    <row r="5" spans="1:7" x14ac:dyDescent="0.35">
      <c r="A5" s="23" t="s">
        <v>296</v>
      </c>
      <c r="B5" s="23" t="s">
        <v>412</v>
      </c>
      <c r="C5" s="23"/>
      <c r="D5" s="23"/>
      <c r="E5" s="23"/>
      <c r="F5" s="23"/>
      <c r="G5" s="23"/>
    </row>
    <row r="6" spans="1:7" x14ac:dyDescent="0.35">
      <c r="A6" s="23" t="s">
        <v>297</v>
      </c>
      <c r="B6" s="23" t="s">
        <v>413</v>
      </c>
      <c r="C6" s="23"/>
      <c r="D6" s="23"/>
      <c r="E6" s="23"/>
      <c r="F6" s="23"/>
      <c r="G6" s="23"/>
    </row>
    <row r="7" spans="1:7" x14ac:dyDescent="0.35">
      <c r="A7" s="23" t="s">
        <v>298</v>
      </c>
      <c r="B7" s="23" t="s">
        <v>414</v>
      </c>
      <c r="C7" s="23"/>
      <c r="D7" s="23"/>
      <c r="E7" s="23"/>
      <c r="F7" s="23"/>
      <c r="G7" s="23"/>
    </row>
    <row r="8" spans="1:7" x14ac:dyDescent="0.35">
      <c r="A8" s="23" t="s">
        <v>299</v>
      </c>
      <c r="B8" s="23" t="s">
        <v>416</v>
      </c>
      <c r="C8" s="23"/>
      <c r="D8" s="23"/>
      <c r="E8" s="23"/>
      <c r="F8" s="23"/>
      <c r="G8" s="23"/>
    </row>
    <row r="9" spans="1:7" x14ac:dyDescent="0.35">
      <c r="A9" s="23" t="s">
        <v>300</v>
      </c>
      <c r="B9" s="23" t="s">
        <v>415</v>
      </c>
      <c r="C9" s="23"/>
      <c r="D9" s="23"/>
      <c r="E9" s="24" t="s">
        <v>423</v>
      </c>
      <c r="F9" s="23"/>
      <c r="G9" s="23"/>
    </row>
    <row r="11" spans="1:7" x14ac:dyDescent="0.3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 spans="1:7" x14ac:dyDescent="0.35">
      <c r="A12" s="7" t="s">
        <v>417</v>
      </c>
      <c r="B12" s="7">
        <v>9272</v>
      </c>
      <c r="C12" s="7" t="s">
        <v>421</v>
      </c>
      <c r="D12" s="8">
        <v>10000</v>
      </c>
      <c r="E12" s="8">
        <v>10000</v>
      </c>
      <c r="F12" s="8">
        <v>690000</v>
      </c>
    </row>
    <row r="13" spans="1:7" x14ac:dyDescent="0.35">
      <c r="A13" s="7" t="s">
        <v>418</v>
      </c>
      <c r="B13" s="7">
        <v>11255</v>
      </c>
      <c r="C13" s="7" t="s">
        <v>22</v>
      </c>
      <c r="D13" s="8">
        <v>10000</v>
      </c>
      <c r="E13" s="8">
        <f t="shared" ref="E13:E19" si="0">E12+D13</f>
        <v>20000</v>
      </c>
      <c r="F13" s="8">
        <f t="shared" ref="F13:F19" si="1">F12-D13</f>
        <v>680000</v>
      </c>
    </row>
    <row r="14" spans="1:7" x14ac:dyDescent="0.35">
      <c r="A14" s="7" t="s">
        <v>419</v>
      </c>
      <c r="B14" s="7">
        <v>10812</v>
      </c>
      <c r="C14" s="7" t="s">
        <v>22</v>
      </c>
      <c r="D14" s="8">
        <v>10000</v>
      </c>
      <c r="E14" s="8">
        <f t="shared" si="0"/>
        <v>30000</v>
      </c>
      <c r="F14" s="8">
        <f t="shared" si="1"/>
        <v>670000</v>
      </c>
    </row>
    <row r="15" spans="1:7" x14ac:dyDescent="0.35">
      <c r="A15" s="7" t="s">
        <v>420</v>
      </c>
      <c r="B15" s="7">
        <v>11504</v>
      </c>
      <c r="C15" s="7" t="s">
        <v>22</v>
      </c>
      <c r="D15" s="8">
        <v>20000</v>
      </c>
      <c r="E15" s="8">
        <f t="shared" si="0"/>
        <v>50000</v>
      </c>
      <c r="F15" s="8">
        <f t="shared" si="1"/>
        <v>650000</v>
      </c>
    </row>
    <row r="16" spans="1:7" x14ac:dyDescent="0.35">
      <c r="A16" s="9">
        <v>45753</v>
      </c>
      <c r="B16" s="7">
        <v>13868</v>
      </c>
      <c r="C16" s="7" t="s">
        <v>22</v>
      </c>
      <c r="D16" s="8">
        <v>30000</v>
      </c>
      <c r="E16" s="8">
        <f t="shared" si="0"/>
        <v>80000</v>
      </c>
      <c r="F16" s="8">
        <f t="shared" si="1"/>
        <v>620000</v>
      </c>
    </row>
    <row r="17" spans="1:6" x14ac:dyDescent="0.35">
      <c r="A17" s="9">
        <v>46357</v>
      </c>
      <c r="B17" s="7">
        <v>12104</v>
      </c>
      <c r="C17" s="7" t="s">
        <v>22</v>
      </c>
      <c r="D17" s="8">
        <v>30000</v>
      </c>
      <c r="E17" s="8">
        <f t="shared" si="0"/>
        <v>110000</v>
      </c>
      <c r="F17" s="8">
        <f t="shared" si="1"/>
        <v>590000</v>
      </c>
    </row>
    <row r="18" spans="1:6" x14ac:dyDescent="0.35">
      <c r="A18" s="9">
        <v>46240</v>
      </c>
      <c r="B18" s="7">
        <v>13552</v>
      </c>
      <c r="C18" s="7" t="s">
        <v>22</v>
      </c>
      <c r="D18" s="8">
        <v>20000</v>
      </c>
      <c r="E18" s="8">
        <f t="shared" si="0"/>
        <v>130000</v>
      </c>
      <c r="F18" s="8">
        <f t="shared" si="1"/>
        <v>570000</v>
      </c>
    </row>
    <row r="19" spans="1:6" x14ac:dyDescent="0.35">
      <c r="A19" s="9">
        <v>46272</v>
      </c>
      <c r="B19" s="7">
        <v>1439</v>
      </c>
      <c r="C19" s="7" t="s">
        <v>22</v>
      </c>
      <c r="D19" s="8">
        <v>30000</v>
      </c>
      <c r="E19" s="8">
        <f t="shared" si="0"/>
        <v>160000</v>
      </c>
      <c r="F19" s="8">
        <f t="shared" si="1"/>
        <v>540000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L-6310</vt:lpstr>
      <vt:lpstr>L-6328</vt:lpstr>
      <vt:lpstr>L-6315</vt:lpstr>
      <vt:lpstr>L-6312</vt:lpstr>
      <vt:lpstr>L-6316</vt:lpstr>
      <vt:lpstr>L-6318</vt:lpstr>
      <vt:lpstr>L-6319</vt:lpstr>
      <vt:lpstr>L-6321</vt:lpstr>
      <vt:lpstr>L-6324</vt:lpstr>
      <vt:lpstr>L-6323</vt:lpstr>
      <vt:lpstr>L-6322</vt:lpstr>
      <vt:lpstr>L-6333</vt:lpstr>
      <vt:lpstr>L-6336</vt:lpstr>
      <vt:lpstr>L-6338</vt:lpstr>
      <vt:lpstr>L-6343</vt:lpstr>
      <vt:lpstr>L-6359</vt:lpstr>
      <vt:lpstr>L-6368</vt:lpstr>
      <vt:lpstr>L-6369</vt:lpstr>
      <vt:lpstr>L-6377</vt:lpstr>
      <vt:lpstr>L-6387</vt:lpstr>
      <vt:lpstr>L-6384</vt:lpstr>
      <vt:lpstr>L-6317</vt:lpstr>
      <vt:lpstr>L-6327</vt:lpstr>
      <vt:lpstr>L-6398</vt:lpstr>
      <vt:lpstr>L-6311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cp:lastPrinted>2026-08-01T03:33:39Z</cp:lastPrinted>
  <dcterms:created xsi:type="dcterms:W3CDTF">2026-02-25T22:37:05Z</dcterms:created>
  <dcterms:modified xsi:type="dcterms:W3CDTF">2026-08-21T04:19:02Z</dcterms:modified>
</cp:coreProperties>
</file>