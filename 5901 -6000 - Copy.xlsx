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412fc5c5001d8f/Desktop/PLOT-5001-6000/"/>
    </mc:Choice>
  </mc:AlternateContent>
  <xr:revisionPtr revIDLastSave="13" documentId="11_5071AE50DBBDDDB071C40FA233546D8F1A1ABA8D" xr6:coauthVersionLast="47" xr6:coauthVersionMax="47" xr10:uidLastSave="{8EDC5D95-D7EA-4D50-8FDC-F31D0C548F40}"/>
  <bookViews>
    <workbookView xWindow="0" yWindow="600" windowWidth="19200" windowHeight="10200" firstSheet="7" activeTab="15" xr2:uid="{00000000-000D-0000-FFFF-FFFF00000000}"/>
  </bookViews>
  <sheets>
    <sheet name="L-5904" sheetId="27" r:id="rId1"/>
    <sheet name="L-5920" sheetId="22" r:id="rId2"/>
    <sheet name="L-5921" sheetId="12" r:id="rId3"/>
    <sheet name="L-5922" sheetId="13" r:id="rId4"/>
    <sheet name="L-5925" sheetId="6" r:id="rId5"/>
    <sheet name="L-5929" sheetId="20" r:id="rId6"/>
    <sheet name="L-5928" sheetId="1" r:id="rId7"/>
    <sheet name="L-5932" sheetId="14" r:id="rId8"/>
    <sheet name="L-5931" sheetId="31" r:id="rId9"/>
    <sheet name="L-5946" sheetId="30" r:id="rId10"/>
    <sheet name="L-5945" sheetId="35" r:id="rId11"/>
    <sheet name="L-5933" sheetId="3" r:id="rId12"/>
    <sheet name="L-5940" sheetId="24" r:id="rId13"/>
    <sheet name="L-5941" sheetId="2" r:id="rId14"/>
    <sheet name="L-5943" sheetId="26" r:id="rId15"/>
    <sheet name="L-5951" sheetId="10" r:id="rId16"/>
    <sheet name="L-5953" sheetId="25" r:id="rId17"/>
    <sheet name="L-5954" sheetId="21" r:id="rId18"/>
    <sheet name="L-5955" sheetId="23" r:id="rId19"/>
    <sheet name="L-5958" sheetId="29" r:id="rId20"/>
    <sheet name="L-5959" sheetId="11" r:id="rId21"/>
    <sheet name="L-5969" sheetId="8" r:id="rId22"/>
    <sheet name="Haq Nawaz " sheetId="28" r:id="rId23"/>
    <sheet name="L-5990" sheetId="7" r:id="rId24"/>
    <sheet name="L-5992" sheetId="4" r:id="rId25"/>
    <sheet name="L-5994" sheetId="15" r:id="rId26"/>
    <sheet name="L-5995" sheetId="33" r:id="rId27"/>
    <sheet name="L-5996" sheetId="34" r:id="rId28"/>
    <sheet name="L-5993" sheetId="19" r:id="rId29"/>
    <sheet name="L-5997" sheetId="16" r:id="rId30"/>
    <sheet name="L-5998" sheetId="5" r:id="rId31"/>
    <sheet name="L-5999" sheetId="18" r:id="rId32"/>
    <sheet name="L-6000" sheetId="17" r:id="rId33"/>
    <sheet name="L-5957" sheetId="32" r:id="rId3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10" l="1"/>
  <c r="F31" i="10"/>
  <c r="E32" i="10"/>
  <c r="E31" i="10"/>
  <c r="E13" i="22" l="1"/>
  <c r="E14" i="22" s="1"/>
  <c r="E15" i="22" s="1"/>
  <c r="E16" i="22" s="1"/>
  <c r="E17" i="22" s="1"/>
  <c r="E18" i="22" s="1"/>
  <c r="E19" i="22" s="1"/>
  <c r="E20" i="22" s="1"/>
  <c r="E21" i="22" s="1"/>
  <c r="E22" i="22" s="1"/>
  <c r="F43" i="15"/>
  <c r="E9" i="15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F11" i="35"/>
  <c r="F12" i="35" s="1"/>
  <c r="F13" i="35" s="1"/>
  <c r="F14" i="35" s="1"/>
  <c r="F15" i="35" s="1"/>
  <c r="F16" i="35" s="1"/>
  <c r="F17" i="35" s="1"/>
  <c r="F18" i="35" s="1"/>
  <c r="F19" i="35" s="1"/>
  <c r="F20" i="35" s="1"/>
  <c r="F21" i="35" s="1"/>
  <c r="F22" i="35" s="1"/>
  <c r="F23" i="35" s="1"/>
  <c r="F24" i="35" s="1"/>
  <c r="F25" i="35" s="1"/>
  <c r="F26" i="35" s="1"/>
  <c r="F27" i="35" s="1"/>
  <c r="F28" i="35" s="1"/>
  <c r="F29" i="35" s="1"/>
  <c r="F30" i="35" s="1"/>
  <c r="F31" i="35" s="1"/>
  <c r="F32" i="35" s="1"/>
  <c r="F33" i="35" s="1"/>
  <c r="F34" i="35" s="1"/>
  <c r="F35" i="35" s="1"/>
  <c r="F36" i="35" s="1"/>
  <c r="F37" i="35" s="1"/>
  <c r="F38" i="35" s="1"/>
  <c r="F39" i="35" s="1"/>
  <c r="F40" i="35" s="1"/>
  <c r="F41" i="35" s="1"/>
  <c r="F42" i="35" s="1"/>
  <c r="F43" i="35" s="1"/>
  <c r="F44" i="35" s="1"/>
  <c r="F45" i="35" s="1"/>
  <c r="F46" i="35" s="1"/>
  <c r="F47" i="35" s="1"/>
  <c r="F10" i="35"/>
  <c r="E13" i="35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E46" i="35" s="1"/>
  <c r="E47" i="35" s="1"/>
  <c r="E10" i="35"/>
  <c r="E11" i="35" s="1"/>
  <c r="E12" i="35" s="1"/>
  <c r="F42" i="29"/>
  <c r="F43" i="29" s="1"/>
  <c r="F44" i="29" s="1"/>
  <c r="F45" i="29" s="1"/>
  <c r="F46" i="29" s="1"/>
  <c r="F47" i="29" s="1"/>
  <c r="F48" i="29" s="1"/>
  <c r="F49" i="29" s="1"/>
  <c r="F50" i="29" s="1"/>
  <c r="F51" i="29" s="1"/>
  <c r="E44" i="29"/>
  <c r="E45" i="29" s="1"/>
  <c r="E46" i="29" s="1"/>
  <c r="E47" i="29" s="1"/>
  <c r="E48" i="29" s="1"/>
  <c r="E49" i="29" s="1"/>
  <c r="E50" i="29" s="1"/>
  <c r="E51" i="29" s="1"/>
  <c r="E52" i="29" s="1"/>
  <c r="E42" i="29"/>
  <c r="E43" i="29" s="1"/>
  <c r="E40" i="20"/>
  <c r="F40" i="20"/>
  <c r="E23" i="27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19" i="27"/>
  <c r="E20" i="27" s="1"/>
  <c r="E21" i="27" s="1"/>
  <c r="E22" i="27" s="1"/>
  <c r="F17" i="27"/>
  <c r="F18" i="27" s="1"/>
  <c r="F19" i="27" s="1"/>
  <c r="F20" i="27" s="1"/>
  <c r="F21" i="27" s="1"/>
  <c r="F22" i="27" s="1"/>
  <c r="F23" i="27" s="1"/>
  <c r="F24" i="27" s="1"/>
  <c r="F25" i="27" s="1"/>
  <c r="F26" i="27" s="1"/>
  <c r="F27" i="27" s="1"/>
  <c r="F28" i="27" s="1"/>
  <c r="F29" i="27" s="1"/>
  <c r="F30" i="27" s="1"/>
  <c r="F31" i="27" s="1"/>
  <c r="F32" i="27" s="1"/>
  <c r="F33" i="27" s="1"/>
  <c r="F34" i="27" s="1"/>
  <c r="F35" i="27" s="1"/>
  <c r="F36" i="27" s="1"/>
  <c r="F37" i="27" s="1"/>
  <c r="F38" i="27" s="1"/>
  <c r="F39" i="27" s="1"/>
  <c r="F40" i="27" s="1"/>
  <c r="F41" i="27" s="1"/>
  <c r="F42" i="27" s="1"/>
  <c r="F43" i="27" s="1"/>
  <c r="F15" i="27"/>
  <c r="F16" i="27" s="1"/>
  <c r="E15" i="27"/>
  <c r="E16" i="27" s="1"/>
  <c r="E17" i="27" s="1"/>
  <c r="E18" i="27" s="1"/>
  <c r="F15" i="34"/>
  <c r="F16" i="34" s="1"/>
  <c r="F17" i="34" s="1"/>
  <c r="F18" i="34" s="1"/>
  <c r="F19" i="34" s="1"/>
  <c r="F20" i="34" s="1"/>
  <c r="F21" i="34" s="1"/>
  <c r="F22" i="34" s="1"/>
  <c r="F23" i="34" s="1"/>
  <c r="F24" i="34" s="1"/>
  <c r="F25" i="34" s="1"/>
  <c r="F26" i="34" s="1"/>
  <c r="F27" i="34" s="1"/>
  <c r="F28" i="34" s="1"/>
  <c r="F29" i="34" s="1"/>
  <c r="F30" i="34" s="1"/>
  <c r="F31" i="34" s="1"/>
  <c r="F32" i="34" s="1"/>
  <c r="F33" i="34" s="1"/>
  <c r="F34" i="34" s="1"/>
  <c r="F35" i="34" s="1"/>
  <c r="F36" i="34" s="1"/>
  <c r="F37" i="34" s="1"/>
  <c r="F38" i="34" s="1"/>
  <c r="F39" i="34" s="1"/>
  <c r="F40" i="34" s="1"/>
  <c r="F41" i="34" s="1"/>
  <c r="F42" i="34" s="1"/>
  <c r="F43" i="34" s="1"/>
  <c r="F44" i="34" s="1"/>
  <c r="F45" i="34" s="1"/>
  <c r="F46" i="34" s="1"/>
  <c r="F10" i="34"/>
  <c r="F11" i="34" s="1"/>
  <c r="F12" i="34" s="1"/>
  <c r="F13" i="34" s="1"/>
  <c r="F14" i="34" s="1"/>
  <c r="E10" i="34"/>
  <c r="E11" i="34" s="1"/>
  <c r="E12" i="34" s="1"/>
  <c r="E13" i="34" s="1"/>
  <c r="E14" i="34" s="1"/>
  <c r="E15" i="34" s="1"/>
  <c r="E16" i="34" s="1"/>
  <c r="E17" i="34" s="1"/>
  <c r="E18" i="34" s="1"/>
  <c r="E19" i="34" s="1"/>
  <c r="E20" i="34" s="1"/>
  <c r="E21" i="34" s="1"/>
  <c r="E22" i="34" s="1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E46" i="34" s="1"/>
  <c r="F10" i="33"/>
  <c r="F11" i="33" s="1"/>
  <c r="F12" i="33" s="1"/>
  <c r="F13" i="33" s="1"/>
  <c r="F14" i="33" s="1"/>
  <c r="F15" i="33" s="1"/>
  <c r="F16" i="33" s="1"/>
  <c r="F17" i="33" s="1"/>
  <c r="F18" i="33" s="1"/>
  <c r="F19" i="33" s="1"/>
  <c r="F20" i="33" s="1"/>
  <c r="F21" i="33" s="1"/>
  <c r="F22" i="33" s="1"/>
  <c r="F23" i="33" s="1"/>
  <c r="F24" i="33" s="1"/>
  <c r="F25" i="33" s="1"/>
  <c r="F26" i="33" s="1"/>
  <c r="F27" i="33" s="1"/>
  <c r="F28" i="33" s="1"/>
  <c r="F29" i="33" s="1"/>
  <c r="F30" i="33" s="1"/>
  <c r="F31" i="33" s="1"/>
  <c r="F32" i="33" s="1"/>
  <c r="F33" i="33" s="1"/>
  <c r="F34" i="33" s="1"/>
  <c r="F35" i="33" s="1"/>
  <c r="F36" i="33" s="1"/>
  <c r="F37" i="33" s="1"/>
  <c r="F38" i="33" s="1"/>
  <c r="F39" i="33" s="1"/>
  <c r="F40" i="33" s="1"/>
  <c r="F41" i="33" s="1"/>
  <c r="F42" i="33" s="1"/>
  <c r="F43" i="33" s="1"/>
  <c r="F44" i="33" s="1"/>
  <c r="F45" i="33" s="1"/>
  <c r="F46" i="33" s="1"/>
  <c r="F47" i="33" s="1"/>
  <c r="E11" i="33"/>
  <c r="E12" i="33" s="1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36" i="33" s="1"/>
  <c r="E37" i="33" s="1"/>
  <c r="E38" i="33" s="1"/>
  <c r="E39" i="33" s="1"/>
  <c r="E40" i="33" s="1"/>
  <c r="E41" i="33" s="1"/>
  <c r="E42" i="33" s="1"/>
  <c r="E43" i="33" s="1"/>
  <c r="E44" i="33" s="1"/>
  <c r="E45" i="33" s="1"/>
  <c r="E46" i="33" s="1"/>
  <c r="E47" i="33" s="1"/>
  <c r="E10" i="33"/>
  <c r="F14" i="30"/>
  <c r="F15" i="30" s="1"/>
  <c r="F16" i="30" s="1"/>
  <c r="F17" i="30" s="1"/>
  <c r="F18" i="30" s="1"/>
  <c r="F19" i="30" s="1"/>
  <c r="F20" i="30" s="1"/>
  <c r="F21" i="30" s="1"/>
  <c r="F22" i="30" s="1"/>
  <c r="F23" i="30" s="1"/>
  <c r="F24" i="30" s="1"/>
  <c r="F25" i="30" s="1"/>
  <c r="F26" i="30" s="1"/>
  <c r="F27" i="30" s="1"/>
  <c r="F28" i="30" s="1"/>
  <c r="F29" i="30" s="1"/>
  <c r="F30" i="30" s="1"/>
  <c r="F31" i="30" s="1"/>
  <c r="F32" i="30" s="1"/>
  <c r="F33" i="30" s="1"/>
  <c r="F34" i="30" s="1"/>
  <c r="F35" i="30" s="1"/>
  <c r="F36" i="30" s="1"/>
  <c r="F37" i="30" s="1"/>
  <c r="F38" i="30" s="1"/>
  <c r="F39" i="30" s="1"/>
  <c r="F40" i="30" s="1"/>
  <c r="F41" i="30" s="1"/>
  <c r="F42" i="30" s="1"/>
  <c r="F43" i="30" s="1"/>
  <c r="F44" i="30" s="1"/>
  <c r="F13" i="30"/>
  <c r="F10" i="30"/>
  <c r="F11" i="30" s="1"/>
  <c r="F12" i="30" s="1"/>
  <c r="E12" i="30"/>
  <c r="E13" i="30" s="1"/>
  <c r="E14" i="30" s="1"/>
  <c r="E15" i="30" s="1"/>
  <c r="E16" i="30" s="1"/>
  <c r="E17" i="30" s="1"/>
  <c r="E18" i="30" s="1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E44" i="30" s="1"/>
  <c r="E11" i="30"/>
  <c r="E10" i="30"/>
  <c r="F41" i="20" l="1"/>
  <c r="F42" i="20" s="1"/>
  <c r="F43" i="20" s="1"/>
  <c r="F44" i="20" s="1"/>
  <c r="F45" i="20" s="1"/>
  <c r="F46" i="20" s="1"/>
  <c r="F47" i="20" s="1"/>
  <c r="F48" i="20" s="1"/>
  <c r="F49" i="20" s="1"/>
  <c r="F50" i="20" s="1"/>
  <c r="F51" i="20" s="1"/>
  <c r="F52" i="20" s="1"/>
  <c r="E41" i="20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F10" i="31"/>
  <c r="F11" i="31"/>
  <c r="F12" i="31" s="1"/>
  <c r="F13" i="31" s="1"/>
  <c r="F14" i="31" s="1"/>
  <c r="F15" i="31" s="1"/>
  <c r="F16" i="31" s="1"/>
  <c r="F17" i="31" s="1"/>
  <c r="F18" i="31" s="1"/>
  <c r="F19" i="31" s="1"/>
  <c r="F20" i="31" s="1"/>
  <c r="F21" i="31" s="1"/>
  <c r="F22" i="31" s="1"/>
  <c r="F23" i="31" s="1"/>
  <c r="F24" i="31" s="1"/>
  <c r="E10" i="31"/>
  <c r="E11" i="31"/>
  <c r="E12" i="31" s="1"/>
  <c r="E13" i="31" s="1"/>
  <c r="E14" i="31" s="1"/>
  <c r="E15" i="31" s="1"/>
  <c r="E16" i="31" s="1"/>
  <c r="E17" i="31" s="1"/>
  <c r="E18" i="31" s="1"/>
  <c r="E19" i="31" s="1"/>
  <c r="E20" i="31" s="1"/>
  <c r="E21" i="31" s="1"/>
  <c r="E22" i="31" s="1"/>
  <c r="E23" i="31" s="1"/>
  <c r="E24" i="31" s="1"/>
  <c r="F9" i="31"/>
  <c r="E9" i="31"/>
  <c r="F9" i="29" l="1"/>
  <c r="F10" i="29" s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F23" i="29" s="1"/>
  <c r="F24" i="29" s="1"/>
  <c r="F25" i="29" s="1"/>
  <c r="F26" i="29" s="1"/>
  <c r="F27" i="29" s="1"/>
  <c r="F28" i="29" s="1"/>
  <c r="F29" i="29" s="1"/>
  <c r="F30" i="29" s="1"/>
  <c r="F31" i="29" s="1"/>
  <c r="F32" i="29" s="1"/>
  <c r="F33" i="29" s="1"/>
  <c r="F34" i="29" s="1"/>
  <c r="F35" i="29" s="1"/>
  <c r="F36" i="29" s="1"/>
  <c r="F37" i="29" s="1"/>
  <c r="E9" i="29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F10" i="28"/>
  <c r="F11" i="28" s="1"/>
  <c r="F12" i="28" s="1"/>
  <c r="F13" i="28" s="1"/>
  <c r="F14" i="28" s="1"/>
  <c r="F15" i="28" s="1"/>
  <c r="F16" i="28" s="1"/>
  <c r="F17" i="28" s="1"/>
  <c r="F18" i="28" s="1"/>
  <c r="F19" i="28" s="1"/>
  <c r="F20" i="28" s="1"/>
  <c r="F21" i="28" s="1"/>
  <c r="F22" i="28" s="1"/>
  <c r="F23" i="28" s="1"/>
  <c r="F24" i="28" s="1"/>
  <c r="F25" i="28" s="1"/>
  <c r="F26" i="28" s="1"/>
  <c r="F27" i="28" s="1"/>
  <c r="F28" i="28" s="1"/>
  <c r="F29" i="28" s="1"/>
  <c r="F30" i="28" s="1"/>
  <c r="F31" i="28" s="1"/>
  <c r="F32" i="28" s="1"/>
  <c r="F33" i="28" s="1"/>
  <c r="F34" i="28" s="1"/>
  <c r="F35" i="28" s="1"/>
  <c r="F36" i="28" s="1"/>
  <c r="E10" i="28"/>
  <c r="E11" i="28" s="1"/>
  <c r="E12" i="28" s="1"/>
  <c r="E13" i="28" s="1"/>
  <c r="E14" i="28" s="1"/>
  <c r="E15" i="28" s="1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F9" i="28"/>
  <c r="E9" i="28"/>
  <c r="F10" i="27"/>
  <c r="F11" i="27" s="1"/>
  <c r="F12" i="27" s="1"/>
  <c r="F9" i="27"/>
  <c r="E9" i="27"/>
  <c r="E10" i="27" s="1"/>
  <c r="E11" i="27" s="1"/>
  <c r="E12" i="27" s="1"/>
  <c r="E34" i="29" l="1"/>
  <c r="E35" i="29" s="1"/>
  <c r="E36" i="29" s="1"/>
  <c r="E37" i="29" s="1"/>
  <c r="E33" i="29"/>
  <c r="E19" i="26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10" i="26"/>
  <c r="E11" i="26"/>
  <c r="E12" i="26" s="1"/>
  <c r="E13" i="26" s="1"/>
  <c r="E14" i="26" s="1"/>
  <c r="E15" i="26" s="1"/>
  <c r="E16" i="26" s="1"/>
  <c r="E17" i="26" s="1"/>
  <c r="E18" i="26" s="1"/>
  <c r="F9" i="26"/>
  <c r="F10" i="26" s="1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F34" i="26" s="1"/>
  <c r="F35" i="26" s="1"/>
  <c r="F36" i="26" s="1"/>
  <c r="E9" i="26"/>
  <c r="E13" i="1"/>
  <c r="E14" i="1" s="1"/>
  <c r="E15" i="1" s="1"/>
  <c r="E16" i="1" s="1"/>
  <c r="F10" i="25"/>
  <c r="F11" i="25" s="1"/>
  <c r="F12" i="25" s="1"/>
  <c r="F13" i="25" s="1"/>
  <c r="F14" i="25" s="1"/>
  <c r="F15" i="25" s="1"/>
  <c r="F16" i="25" s="1"/>
  <c r="F17" i="25" s="1"/>
  <c r="F18" i="25" s="1"/>
  <c r="F19" i="25" s="1"/>
  <c r="F20" i="25" s="1"/>
  <c r="F21" i="25" s="1"/>
  <c r="F22" i="25" s="1"/>
  <c r="F23" i="25" s="1"/>
  <c r="F24" i="25" s="1"/>
  <c r="F25" i="25" s="1"/>
  <c r="F26" i="25" s="1"/>
  <c r="F27" i="25" s="1"/>
  <c r="F28" i="25" s="1"/>
  <c r="F29" i="25" s="1"/>
  <c r="F30" i="25" s="1"/>
  <c r="F31" i="25" s="1"/>
  <c r="F32" i="25" s="1"/>
  <c r="F33" i="25" s="1"/>
  <c r="F34" i="25" s="1"/>
  <c r="F35" i="25" s="1"/>
  <c r="F36" i="25" s="1"/>
  <c r="F37" i="25" s="1"/>
  <c r="F38" i="25" s="1"/>
  <c r="E10" i="25"/>
  <c r="E11" i="25" s="1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F9" i="25"/>
  <c r="E9" i="25"/>
  <c r="E11" i="23"/>
  <c r="E10" i="23"/>
  <c r="F9" i="23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F36" i="23" s="1"/>
  <c r="F37" i="23" s="1"/>
  <c r="F38" i="23" s="1"/>
  <c r="F39" i="23" s="1"/>
  <c r="F40" i="23" s="1"/>
  <c r="F41" i="23" s="1"/>
  <c r="F42" i="23" s="1"/>
  <c r="F43" i="23" s="1"/>
  <c r="E9" i="23"/>
  <c r="F40" i="3"/>
  <c r="F41" i="3" s="1"/>
  <c r="F42" i="3" s="1"/>
  <c r="F43" i="3" s="1"/>
  <c r="F44" i="3" s="1"/>
  <c r="E40" i="3"/>
  <c r="E41" i="3" s="1"/>
  <c r="E42" i="3" s="1"/>
  <c r="E43" i="3" s="1"/>
  <c r="E44" i="3" s="1"/>
  <c r="E12" i="1"/>
  <c r="F9" i="20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F35" i="20" s="1"/>
  <c r="E9" i="20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10" i="19"/>
  <c r="E11" i="19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F9" i="19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E9" i="19"/>
  <c r="F9" i="16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41" i="16" s="1"/>
  <c r="F42" i="16" s="1"/>
  <c r="F43" i="16" s="1"/>
  <c r="E9" i="16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F10" i="15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F9" i="15"/>
  <c r="E14" i="14"/>
  <c r="E15" i="14" s="1"/>
  <c r="E16" i="14" s="1"/>
  <c r="E17" i="14" s="1"/>
  <c r="E18" i="14" s="1"/>
  <c r="E19" i="14" s="1"/>
  <c r="E20" i="14" s="1"/>
  <c r="E21" i="14" s="1"/>
  <c r="E22" i="14" s="1"/>
  <c r="E23" i="14" s="1"/>
  <c r="E10" i="14"/>
  <c r="E11" i="14"/>
  <c r="E12" i="14" s="1"/>
  <c r="E13" i="14" s="1"/>
  <c r="F9" i="14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E9" i="14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E9" i="13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F9" i="12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E9" i="12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E43" i="12" s="1"/>
  <c r="F11" i="1"/>
  <c r="F12" i="1" s="1"/>
  <c r="F13" i="1" s="1"/>
  <c r="F14" i="1" s="1"/>
  <c r="F15" i="1" s="1"/>
  <c r="E11" i="1"/>
  <c r="F39" i="3"/>
  <c r="E39" i="3"/>
  <c r="F10" i="11"/>
  <c r="F11" i="11" s="1"/>
  <c r="F12" i="11" s="1"/>
  <c r="F13" i="11" s="1"/>
  <c r="F14" i="11" s="1"/>
  <c r="F15" i="11" s="1"/>
  <c r="F16" i="11" s="1"/>
  <c r="F17" i="11" s="1"/>
  <c r="F9" i="11"/>
  <c r="E9" i="11"/>
  <c r="E10" i="11" s="1"/>
  <c r="E11" i="11" s="1"/>
  <c r="E12" i="11" s="1"/>
  <c r="E13" i="11" s="1"/>
  <c r="E14" i="11" s="1"/>
  <c r="E15" i="11" s="1"/>
  <c r="E16" i="11" s="1"/>
  <c r="E17" i="11" s="1"/>
  <c r="F9" i="10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E9" i="10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18" i="8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10" i="8"/>
  <c r="E11" i="8"/>
  <c r="E12" i="8" s="1"/>
  <c r="E13" i="8" s="1"/>
  <c r="E14" i="8" s="1"/>
  <c r="E15" i="8" s="1"/>
  <c r="E16" i="8" s="1"/>
  <c r="E17" i="8" s="1"/>
  <c r="F9" i="8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E9" i="8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F9" i="6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E9" i="6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F8" i="5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E8" i="5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F8" i="4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F10" i="2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E10" i="2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12" i="23" l="1"/>
  <c r="E13" i="23" s="1"/>
  <c r="E14" i="23" s="1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F44" i="12"/>
  <c r="F45" i="12" s="1"/>
  <c r="F46" i="12" s="1"/>
  <c r="F47" i="12" s="1"/>
  <c r="F48" i="12" s="1"/>
  <c r="F49" i="12" s="1"/>
  <c r="F50" i="12" s="1"/>
  <c r="E44" i="12"/>
  <c r="E45" i="12" s="1"/>
  <c r="E46" i="12" s="1"/>
  <c r="E47" i="12" s="1"/>
  <c r="E48" i="12" s="1"/>
  <c r="E49" i="12" s="1"/>
  <c r="E50" i="12" s="1"/>
</calcChain>
</file>

<file path=xl/sharedStrings.xml><?xml version="1.0" encoding="utf-8"?>
<sst xmlns="http://schemas.openxmlformats.org/spreadsheetml/2006/main" count="2135" uniqueCount="753">
  <si>
    <t>Name : Qamar Abbas</t>
  </si>
  <si>
    <t>Father Name : Hussain Abbas</t>
  </si>
  <si>
    <t>CNIC # 21303-3191919-9</t>
  </si>
  <si>
    <t xml:space="preserve">Contact # </t>
  </si>
  <si>
    <t>Plot No : L-5928</t>
  </si>
  <si>
    <t>Cost :450,000</t>
  </si>
  <si>
    <t>Date</t>
  </si>
  <si>
    <t>R.NO</t>
  </si>
  <si>
    <t>Description</t>
  </si>
  <si>
    <t>Amount Rec</t>
  </si>
  <si>
    <t>Total Rec</t>
  </si>
  <si>
    <t>Amount Due</t>
  </si>
  <si>
    <t>26/11/2025</t>
  </si>
  <si>
    <t>Booking</t>
  </si>
  <si>
    <t>instalment</t>
  </si>
  <si>
    <t>Name : Munawar Hussain</t>
  </si>
  <si>
    <t>Father Name : Abdul Shakoor</t>
  </si>
  <si>
    <t>CNIC # 42401-8204067-7</t>
  </si>
  <si>
    <t>Contact # 03332222905</t>
  </si>
  <si>
    <t>Plot No : L-5941</t>
  </si>
  <si>
    <t>Cost : 600,000</t>
  </si>
  <si>
    <t>17/9/2022</t>
  </si>
  <si>
    <t>Token</t>
  </si>
  <si>
    <t>18/9/2022</t>
  </si>
  <si>
    <t>Residential</t>
  </si>
  <si>
    <t>22/10/2022</t>
  </si>
  <si>
    <t>Adj Rehman</t>
  </si>
  <si>
    <t>Instalment</t>
  </si>
  <si>
    <t>22/9/2023</t>
  </si>
  <si>
    <t>25/10/2023</t>
  </si>
  <si>
    <t>23/11/2023</t>
  </si>
  <si>
    <t>17/12/2023</t>
  </si>
  <si>
    <t>adj Rehman</t>
  </si>
  <si>
    <t>17/`12/2023</t>
  </si>
  <si>
    <t>16/1/2024</t>
  </si>
  <si>
    <t>16/2/2024</t>
  </si>
  <si>
    <t>17/3/2024</t>
  </si>
  <si>
    <t>30/10/2024</t>
  </si>
  <si>
    <t>17/9/2025</t>
  </si>
  <si>
    <t>16/10/2025</t>
  </si>
  <si>
    <t>30/11/2025</t>
  </si>
  <si>
    <t>18/1/2026</t>
  </si>
  <si>
    <t>Name : Muhammad Faisal</t>
  </si>
  <si>
    <t>Father Name : Jamil Ahmed</t>
  </si>
  <si>
    <t>Contact # 03428110924</t>
  </si>
  <si>
    <t>Plot No : L-5933</t>
  </si>
  <si>
    <t>Cost :600,000</t>
  </si>
  <si>
    <t>21/8/2022</t>
  </si>
  <si>
    <t>19/8/2023</t>
  </si>
  <si>
    <t>16/9/2023</t>
  </si>
  <si>
    <t>18/11/2023</t>
  </si>
  <si>
    <t>16/12/2023</t>
  </si>
  <si>
    <t>20/1/2024</t>
  </si>
  <si>
    <t>25/2/2024</t>
  </si>
  <si>
    <t>20/3/2024</t>
  </si>
  <si>
    <t>17/4/2024</t>
  </si>
  <si>
    <t>Adj Reh</t>
  </si>
  <si>
    <t>21/9/2024</t>
  </si>
  <si>
    <t>13/11/2024</t>
  </si>
  <si>
    <t>14/3/2025</t>
  </si>
  <si>
    <t>22/5/2024</t>
  </si>
  <si>
    <t>16/6/2024</t>
  </si>
  <si>
    <t>CNIC # 42101-7570870-9</t>
  </si>
  <si>
    <t>Name :Haq Nawaz Sheraz</t>
  </si>
  <si>
    <t>Father Name : Ghulam Sarwar</t>
  </si>
  <si>
    <t>CNIC # 31303-9902384-9</t>
  </si>
  <si>
    <t>Contact # 03007074762</t>
  </si>
  <si>
    <t>28/8/2022</t>
  </si>
  <si>
    <t>24/1/2023</t>
  </si>
  <si>
    <t>18/4/2023</t>
  </si>
  <si>
    <t>24/5/2023</t>
  </si>
  <si>
    <t>13/7/2023</t>
  </si>
  <si>
    <t>13/12/2023</t>
  </si>
  <si>
    <t>20/2/2024</t>
  </si>
  <si>
    <t>23/3/2024</t>
  </si>
  <si>
    <t>Sobho</t>
  </si>
  <si>
    <t>instalment 50,000 pen</t>
  </si>
  <si>
    <t>24/4/2023</t>
  </si>
  <si>
    <t>22/6/2024</t>
  </si>
  <si>
    <t>23/9/2024</t>
  </si>
  <si>
    <t>23/10/2024</t>
  </si>
  <si>
    <t>24/11/2024</t>
  </si>
  <si>
    <t>23/12/2024</t>
  </si>
  <si>
    <t>27/1/2025</t>
  </si>
  <si>
    <t>27/2/2025</t>
  </si>
  <si>
    <t>25/3/2025</t>
  </si>
  <si>
    <t>15/5/2025</t>
  </si>
  <si>
    <t>22/9/2025</t>
  </si>
  <si>
    <t>15/12/2025</t>
  </si>
  <si>
    <t>30/1/2026</t>
  </si>
  <si>
    <t>25/2/2026</t>
  </si>
  <si>
    <t>0CT 2026 Adj</t>
  </si>
  <si>
    <t>Plot No : L-5998</t>
  </si>
  <si>
    <t>Cost :430,000</t>
  </si>
  <si>
    <t>30/8/2022</t>
  </si>
  <si>
    <t>25/5/2023</t>
  </si>
  <si>
    <t>21/10/2023</t>
  </si>
  <si>
    <t>20/11/2023</t>
  </si>
  <si>
    <t>sobho</t>
  </si>
  <si>
    <t>Instalment 2 pend</t>
  </si>
  <si>
    <t>25/4/2024</t>
  </si>
  <si>
    <t>instalment 1 pend</t>
  </si>
  <si>
    <t>oct 2025 Adj</t>
  </si>
  <si>
    <t>Name : M.Muhtasham Qureshi</t>
  </si>
  <si>
    <t>Father Name : M.Ashiq</t>
  </si>
  <si>
    <t>CNIC # 42101-199908-7</t>
  </si>
  <si>
    <t>Contact # 03352211914</t>
  </si>
  <si>
    <t>Cost :500,000</t>
  </si>
  <si>
    <t>Plot No : L-5925</t>
  </si>
  <si>
    <t>26/3/2022</t>
  </si>
  <si>
    <t>31/3/2023</t>
  </si>
  <si>
    <t>29/5/2023</t>
  </si>
  <si>
    <t>25/7/2023</t>
  </si>
  <si>
    <t>1/11/22-31/2/22</t>
  </si>
  <si>
    <t>26/8/2023</t>
  </si>
  <si>
    <t>17/10/2023</t>
  </si>
  <si>
    <t>27/11/2023</t>
  </si>
  <si>
    <t>29/12/2023</t>
  </si>
  <si>
    <t>28/3/2024</t>
  </si>
  <si>
    <t>29/7/2025</t>
  </si>
  <si>
    <t>27/8/2025</t>
  </si>
  <si>
    <t>29/9/2025</t>
  </si>
  <si>
    <t>17/11/2025</t>
  </si>
  <si>
    <t>24/12/2025</t>
  </si>
  <si>
    <t>21/1/2026</t>
  </si>
  <si>
    <t>22/2/2026</t>
  </si>
  <si>
    <t>13/3/2026</t>
  </si>
  <si>
    <t>ADJ Apr,may,july,aug,oct,decc2024-mar,may,2025</t>
  </si>
  <si>
    <t>Name : Muhammad Waseem</t>
  </si>
  <si>
    <t>Father Name : Muhammad Jaseem</t>
  </si>
  <si>
    <t>CNIC # 42000-0446227-1</t>
  </si>
  <si>
    <t>Contact #03152877219</t>
  </si>
  <si>
    <t>Plot No : L-5990</t>
  </si>
  <si>
    <t>16/12/2022</t>
  </si>
  <si>
    <t>14/2/2023</t>
  </si>
  <si>
    <t>21/3/2023</t>
  </si>
  <si>
    <t>26/4/2023</t>
  </si>
  <si>
    <t>27/5/2023</t>
  </si>
  <si>
    <t>26/7/2023</t>
  </si>
  <si>
    <t>21/8/2023</t>
  </si>
  <si>
    <t>26/9/2023</t>
  </si>
  <si>
    <t xml:space="preserve">Adv ADJ </t>
  </si>
  <si>
    <t>19/2/2024</t>
  </si>
  <si>
    <t>19/3/2024</t>
  </si>
  <si>
    <t>18/5/2024</t>
  </si>
  <si>
    <t>22/7/2024</t>
  </si>
  <si>
    <t>27/8/2024</t>
  </si>
  <si>
    <t>19/10/2024</t>
  </si>
  <si>
    <t>20/11/2024</t>
  </si>
  <si>
    <t>14/12/2024</t>
  </si>
  <si>
    <t>16/1/2025</t>
  </si>
  <si>
    <t>18/2/2025</t>
  </si>
  <si>
    <t>18/3/2025</t>
  </si>
  <si>
    <t>17/4/2025</t>
  </si>
  <si>
    <t>17/5/2025</t>
  </si>
  <si>
    <t>20/6/2025</t>
  </si>
  <si>
    <t>19/7/2025</t>
  </si>
  <si>
    <t>20/8/2025</t>
  </si>
  <si>
    <t>19/9/2025</t>
  </si>
  <si>
    <t>20/1/2026</t>
  </si>
  <si>
    <t>20/2/2026</t>
  </si>
  <si>
    <t>16/3/2026</t>
  </si>
  <si>
    <t>18/10/2025</t>
  </si>
  <si>
    <t>19/11/2025</t>
  </si>
  <si>
    <t>17/12/2025</t>
  </si>
  <si>
    <t>Name :Kashif Saleem</t>
  </si>
  <si>
    <t>Father Name : M.Saleem Khan</t>
  </si>
  <si>
    <t>CNIC # 42501-4990593-9</t>
  </si>
  <si>
    <t>Contact # 03343793488</t>
  </si>
  <si>
    <t>Plot No : L-5969</t>
  </si>
  <si>
    <t>Cost :620,000</t>
  </si>
  <si>
    <t>Adv Adj</t>
  </si>
  <si>
    <t>16/1/20225</t>
  </si>
  <si>
    <t>Name :Hasnain Ali</t>
  </si>
  <si>
    <t>Father Name : Muhammad Ali</t>
  </si>
  <si>
    <t>CNIC # 42604-0383216-3</t>
  </si>
  <si>
    <t>Contact # 0303559729</t>
  </si>
  <si>
    <t>Plot No : L-5951</t>
  </si>
  <si>
    <t>Cost :700,000</t>
  </si>
  <si>
    <t>7/12//2024</t>
  </si>
  <si>
    <t>23/3/2025</t>
  </si>
  <si>
    <t>13/4/2025</t>
  </si>
  <si>
    <t>14/6/2025</t>
  </si>
  <si>
    <t>Token site</t>
  </si>
  <si>
    <t>Res Booking</t>
  </si>
  <si>
    <t>13/9/2025</t>
  </si>
  <si>
    <t>13/12/2025</t>
  </si>
  <si>
    <t>15/2/2026</t>
  </si>
  <si>
    <t>15/3/2026</t>
  </si>
  <si>
    <t>Name :Muhammad Nafees</t>
  </si>
  <si>
    <t>Father Name : Muhammad Shoukat Ali</t>
  </si>
  <si>
    <t>CNIC # 42401-5915022-9</t>
  </si>
  <si>
    <t>Contact # 03470217094</t>
  </si>
  <si>
    <t>Plot No : L-5959</t>
  </si>
  <si>
    <t>Cost :650,000</t>
  </si>
  <si>
    <t>17/3/2026</t>
  </si>
  <si>
    <t>Code Num;BAC7235877</t>
  </si>
  <si>
    <t>Name : Owaise Iqbal</t>
  </si>
  <si>
    <t>Father Name : Muhammad Iqbal</t>
  </si>
  <si>
    <t>CNIC # 42401-2976027-5</t>
  </si>
  <si>
    <t>Contact # 0313247137</t>
  </si>
  <si>
    <t>Plot No : L-5921</t>
  </si>
  <si>
    <t>16/3/2023</t>
  </si>
  <si>
    <t>15/3/2023</t>
  </si>
  <si>
    <t>25/4/2023</t>
  </si>
  <si>
    <t>16/5/2023</t>
  </si>
  <si>
    <t>23/8/2023</t>
  </si>
  <si>
    <t>30/10/2023</t>
  </si>
  <si>
    <t>25/11/2023</t>
  </si>
  <si>
    <t>22/12/2023</t>
  </si>
  <si>
    <t>22/1/2024</t>
  </si>
  <si>
    <t>24/3/2024</t>
  </si>
  <si>
    <t>20/5/2024</t>
  </si>
  <si>
    <t>20/6/2024</t>
  </si>
  <si>
    <t>23/7/2024</t>
  </si>
  <si>
    <t>20/8/2024</t>
  </si>
  <si>
    <t>28/9/2024</t>
  </si>
  <si>
    <t>22/10/2024</t>
  </si>
  <si>
    <t>26/11/2024</t>
  </si>
  <si>
    <t>22/12/2024</t>
  </si>
  <si>
    <t>23/1/2025</t>
  </si>
  <si>
    <t>21/2/2025</t>
  </si>
  <si>
    <t>20/3/2025</t>
  </si>
  <si>
    <t>20/4/2025</t>
  </si>
  <si>
    <t>20/5/2025</t>
  </si>
  <si>
    <t>22/7/2025</t>
  </si>
  <si>
    <t>21/6/2025</t>
  </si>
  <si>
    <t>18/8/2025</t>
  </si>
  <si>
    <t>22/10/2025</t>
  </si>
  <si>
    <t>22/11/2025</t>
  </si>
  <si>
    <t>21/12/2025</t>
  </si>
  <si>
    <t>19/3/2026</t>
  </si>
  <si>
    <t>Father Name : Muhammad Aslam</t>
  </si>
  <si>
    <t>CNIC # 42401-7613337-3</t>
  </si>
  <si>
    <t>Contact # 03182753421</t>
  </si>
  <si>
    <t>Code Num;CJT2839617</t>
  </si>
  <si>
    <t>Plot No : L-5922</t>
  </si>
  <si>
    <t>20/3/2023</t>
  </si>
  <si>
    <t>22/3/2023</t>
  </si>
  <si>
    <t>23/7/2023</t>
  </si>
  <si>
    <t>13/9/2023</t>
  </si>
  <si>
    <t>26/11/2023</t>
  </si>
  <si>
    <t>30/12/2023</t>
  </si>
  <si>
    <t>1//3/2024</t>
  </si>
  <si>
    <t>29/3/2024</t>
  </si>
  <si>
    <t>RES Booking</t>
  </si>
  <si>
    <t>Name : M.Arsalan</t>
  </si>
  <si>
    <t>25/5/2024</t>
  </si>
  <si>
    <t>21/10/2024</t>
  </si>
  <si>
    <t>25/11/2022</t>
  </si>
  <si>
    <t>25/12/2024</t>
  </si>
  <si>
    <t>26/1/2025</t>
  </si>
  <si>
    <t>25/2/2025</t>
  </si>
  <si>
    <t>27/3/2025</t>
  </si>
  <si>
    <t>28/7/2025</t>
  </si>
  <si>
    <t>26/8/2025</t>
  </si>
  <si>
    <t>27/9/2025</t>
  </si>
  <si>
    <t>28/10/2025</t>
  </si>
  <si>
    <t>23/11/2025</t>
  </si>
  <si>
    <t>27/12/2025</t>
  </si>
  <si>
    <t>27/1/2026</t>
  </si>
  <si>
    <t>24/3/2026</t>
  </si>
  <si>
    <t>26/2/2026</t>
  </si>
  <si>
    <t>instal apr,may,june 2025 adj</t>
  </si>
  <si>
    <t>Name : Irfana Ahmed</t>
  </si>
  <si>
    <t>Father Name : Ahmed Hussain</t>
  </si>
  <si>
    <t>CNIC # 42401-7465294-8</t>
  </si>
  <si>
    <t>Contact # 03171218107</t>
  </si>
  <si>
    <t>Plot No : L-5932</t>
  </si>
  <si>
    <t>28/7/2022</t>
  </si>
  <si>
    <t>16/9/2022</t>
  </si>
  <si>
    <t>15/4/2023</t>
  </si>
  <si>
    <t>16/8/2023</t>
  </si>
  <si>
    <t>14/10/2023</t>
  </si>
  <si>
    <t>29/11/2023</t>
  </si>
  <si>
    <t>17/2/2024</t>
  </si>
  <si>
    <t>22/4/2024</t>
  </si>
  <si>
    <t>24/8/2024</t>
  </si>
  <si>
    <t>28/4/2025</t>
  </si>
  <si>
    <t>21/9/2025</t>
  </si>
  <si>
    <t>13/1/2026</t>
  </si>
  <si>
    <t>26/3/2026</t>
  </si>
  <si>
    <t>Name : Waseem Ahmed</t>
  </si>
  <si>
    <t>Father Name : Muhammad Yousuf</t>
  </si>
  <si>
    <t>CNIC # 3503-8904826-3</t>
  </si>
  <si>
    <t>Contact # 03479455631</t>
  </si>
  <si>
    <t>Plot No : L-5994</t>
  </si>
  <si>
    <t>Cost :525,000</t>
  </si>
  <si>
    <t>24/12/2022</t>
  </si>
  <si>
    <t>15/2/2023</t>
  </si>
  <si>
    <t>21/5/2023</t>
  </si>
  <si>
    <t>21/7/2023</t>
  </si>
  <si>
    <t>25/9/2023</t>
  </si>
  <si>
    <t>19/10/2023</t>
  </si>
  <si>
    <t>21/11/2023</t>
  </si>
  <si>
    <t>21/12/2023</t>
  </si>
  <si>
    <t>26/2/2024</t>
  </si>
  <si>
    <t>26/4/2024</t>
  </si>
  <si>
    <t>25/6/2024</t>
  </si>
  <si>
    <t>21/8/2024</t>
  </si>
  <si>
    <t>29/9/2024</t>
  </si>
  <si>
    <t>28/10/2024</t>
  </si>
  <si>
    <t>30/1/2025</t>
  </si>
  <si>
    <t>25/7/2025</t>
  </si>
  <si>
    <t>28/8/2025</t>
  </si>
  <si>
    <t>23/9/2025</t>
  </si>
  <si>
    <t>27/10/2025</t>
  </si>
  <si>
    <t>29/12/2025</t>
  </si>
  <si>
    <t>Name : Muhammad Sajid</t>
  </si>
  <si>
    <t>Father Name : Raj Wali</t>
  </si>
  <si>
    <t>CNIC # 13503-4831227-7</t>
  </si>
  <si>
    <t>Contact # 03413156882</t>
  </si>
  <si>
    <t>Plot No : L-5997</t>
  </si>
  <si>
    <t>24/10/2023</t>
  </si>
  <si>
    <t>17/11/2023</t>
  </si>
  <si>
    <t>17/1/2024</t>
  </si>
  <si>
    <t>31/7/2025</t>
  </si>
  <si>
    <t>26/10/2025</t>
  </si>
  <si>
    <t>29/11/2025</t>
  </si>
  <si>
    <t>Name :Badar Alam</t>
  </si>
  <si>
    <t>Father Name :Imdad Hussaian</t>
  </si>
  <si>
    <t>CNIC # 42401-6773769-3</t>
  </si>
  <si>
    <t>Contact #</t>
  </si>
  <si>
    <t>Plot No ;6000</t>
  </si>
  <si>
    <t>22/6/2025</t>
  </si>
  <si>
    <t>Nill</t>
  </si>
  <si>
    <t>29/3/2026</t>
  </si>
  <si>
    <t>Development</t>
  </si>
  <si>
    <t>DEVELOPMENT ALL PAID</t>
  </si>
  <si>
    <t>FULL PAID</t>
  </si>
  <si>
    <t>Plot No : L-5992</t>
  </si>
  <si>
    <t>Plot No : L-5999</t>
  </si>
  <si>
    <t>Code Num;CKK3666617</t>
  </si>
  <si>
    <t>Father Name : Imdad Hussain</t>
  </si>
  <si>
    <t>Cost :400,000</t>
  </si>
  <si>
    <t>Res booking</t>
  </si>
  <si>
    <t>Name :Muhammad Aijaz</t>
  </si>
  <si>
    <t>Father Name : M,Yaqooqb Khan</t>
  </si>
  <si>
    <t>CNIC # 13503-5485568-1</t>
  </si>
  <si>
    <t>Plot No : L-5993</t>
  </si>
  <si>
    <t>22/5/2023</t>
  </si>
  <si>
    <t>26/10/2023</t>
  </si>
  <si>
    <t>21/7/2024</t>
  </si>
  <si>
    <t>Name :ALI Aijaz</t>
  </si>
  <si>
    <t>Father Name : M.Ameen</t>
  </si>
  <si>
    <t xml:space="preserve">CNIC # </t>
  </si>
  <si>
    <t>Contact # 03060270301</t>
  </si>
  <si>
    <t>Plot No : L-5929</t>
  </si>
  <si>
    <t>14/11/2020</t>
  </si>
  <si>
    <t>29/8/2022</t>
  </si>
  <si>
    <t>17/6/2023</t>
  </si>
  <si>
    <t>16/7/2023</t>
  </si>
  <si>
    <t>22/8/2023</t>
  </si>
  <si>
    <t>15/12/2024</t>
  </si>
  <si>
    <t>DEVELOPMENT CONTINUE</t>
  </si>
  <si>
    <t>Name : Fazal Muhammad</t>
  </si>
  <si>
    <t>Father Name : Amir Khan</t>
  </si>
  <si>
    <t>CNIC # 42401-4683432-9</t>
  </si>
  <si>
    <t>Contact # 03212588647</t>
  </si>
  <si>
    <t>Plot No : L-5954</t>
  </si>
  <si>
    <t>20/5/2020</t>
  </si>
  <si>
    <t>Al reh Adj</t>
  </si>
  <si>
    <t>Code Num;CJY4117974</t>
  </si>
  <si>
    <t>19/4/2026</t>
  </si>
  <si>
    <t>Code Num;CPX4173561</t>
  </si>
  <si>
    <t>20/4/2026</t>
  </si>
  <si>
    <t>Code Num;CKD6583961</t>
  </si>
  <si>
    <t>Name : Nusrat Jahan</t>
  </si>
  <si>
    <t>Father Name : Muhammad Shafeeq</t>
  </si>
  <si>
    <t>CNIC # 42401-2476146-0</t>
  </si>
  <si>
    <t>Contact # 03442302009</t>
  </si>
  <si>
    <t>Plot No : L-5920</t>
  </si>
  <si>
    <t>Code Num;BLT3675440</t>
  </si>
  <si>
    <t>19/12/2022</t>
  </si>
  <si>
    <t>Adj Rehm</t>
  </si>
  <si>
    <t xml:space="preserve"> </t>
  </si>
  <si>
    <t>Name : Muhammad Sajjad</t>
  </si>
  <si>
    <t>Father Name : Mushtaq Ahmed</t>
  </si>
  <si>
    <t>CNIC # 31301-0589689-5</t>
  </si>
  <si>
    <t>Contact # 03122742697</t>
  </si>
  <si>
    <t>Plot No : L-5955</t>
  </si>
  <si>
    <t>Code Num;CPJ4765060</t>
  </si>
  <si>
    <t>23/8/2024</t>
  </si>
  <si>
    <t>29/10/2024</t>
  </si>
  <si>
    <t>21/11/2024</t>
  </si>
  <si>
    <t>26/12/2024</t>
  </si>
  <si>
    <t>15/11/2025</t>
  </si>
  <si>
    <t>31/12/2025</t>
  </si>
  <si>
    <t>27/4/2026</t>
  </si>
  <si>
    <t>Code Num;bkk0439679</t>
  </si>
  <si>
    <t>30/4/2026</t>
  </si>
  <si>
    <t>Code Num;</t>
  </si>
  <si>
    <t>Name : Muhammad Yousuf</t>
  </si>
  <si>
    <t>Father Name : Abu Al Hassan</t>
  </si>
  <si>
    <t>CNIC # 42000-0536039-3</t>
  </si>
  <si>
    <t>Cost : 470,000</t>
  </si>
  <si>
    <t>THIS FILE IS TRANSFERRED TO</t>
  </si>
  <si>
    <t>DETAIL OF TRANSFERRED</t>
  </si>
  <si>
    <t>Name : Enson Stephen</t>
  </si>
  <si>
    <t>Father Name : George Stephon</t>
  </si>
  <si>
    <t>CNIC;42401-9704107-5</t>
  </si>
  <si>
    <t>Cost :470,000</t>
  </si>
  <si>
    <t>ALL AMOUNT GIVEN TO AL REHMAN BUILDER</t>
  </si>
  <si>
    <t>ADJUSTMENT</t>
  </si>
  <si>
    <t>23/2/2026</t>
  </si>
  <si>
    <t>Devlpmt</t>
  </si>
  <si>
    <t>INSTALLMENT AND DEVELOPMENT BOTH CLEAR</t>
  </si>
  <si>
    <t>Plot No : L-5940</t>
  </si>
  <si>
    <t>CODE Num;AYN5683921</t>
  </si>
  <si>
    <t>Name :Shabnum</t>
  </si>
  <si>
    <t>Father Name : Shahid Ali</t>
  </si>
  <si>
    <t>CNIC # 42101-5370949-0</t>
  </si>
  <si>
    <t>Contact # 03102581776</t>
  </si>
  <si>
    <t>Plot No : L-5953</t>
  </si>
  <si>
    <t>14/3/2023</t>
  </si>
  <si>
    <t>15/8/2023</t>
  </si>
  <si>
    <t>13/12/2024</t>
  </si>
  <si>
    <t>13/2/2024</t>
  </si>
  <si>
    <t>16/4/2024</t>
  </si>
  <si>
    <t>Installment</t>
  </si>
  <si>
    <t>15/4/2025</t>
  </si>
  <si>
    <t>Code Num;BPW776732</t>
  </si>
  <si>
    <t>Code Num;CCQ1735509</t>
  </si>
  <si>
    <t>Code Num;CHA646496</t>
  </si>
  <si>
    <t>Code Num;CLJ5331826</t>
  </si>
  <si>
    <t>DEVELOPMNT CONTINUE</t>
  </si>
  <si>
    <t>Code Num;CKX1953265</t>
  </si>
  <si>
    <t>Name : Amir Shoib</t>
  </si>
  <si>
    <t>Father Name : Raiz Ahmed</t>
  </si>
  <si>
    <t>CNIC # 42401-4305767-7</t>
  </si>
  <si>
    <t>Contact # 03022685806</t>
  </si>
  <si>
    <t>Plot No : L-5943</t>
  </si>
  <si>
    <t>Cost : 450,000</t>
  </si>
  <si>
    <t>17/12/2022</t>
  </si>
  <si>
    <t>13/8/2023</t>
  </si>
  <si>
    <t>13/11/2023</t>
  </si>
  <si>
    <t>13/5/2024</t>
  </si>
  <si>
    <t>31/7/2024</t>
  </si>
  <si>
    <t>22/11/2024</t>
  </si>
  <si>
    <t>21/1/2025</t>
  </si>
  <si>
    <t>23/4/2025</t>
  </si>
  <si>
    <t>19/5/2025</t>
  </si>
  <si>
    <t>Code Num;CNW7653080</t>
  </si>
  <si>
    <t>Name : Rana Saddam Ejaz</t>
  </si>
  <si>
    <t>Father Name : Ejaz Ahmed</t>
  </si>
  <si>
    <t>CNIC # 42201-1239534-3</t>
  </si>
  <si>
    <t>Contact #03092959233</t>
  </si>
  <si>
    <t>Plot No : L-5904</t>
  </si>
  <si>
    <t>Cost;435,000</t>
  </si>
  <si>
    <t>13/11/2020</t>
  </si>
  <si>
    <t>15/6/2023</t>
  </si>
  <si>
    <t>Code Num;CDV8017520</t>
  </si>
  <si>
    <t>Name : Haq Nawaz Sheraz</t>
  </si>
  <si>
    <t>Father Name :Ghylam Sarwar</t>
  </si>
  <si>
    <t>TOKEN</t>
  </si>
  <si>
    <t>23/9./2024</t>
  </si>
  <si>
    <t>13/5/2026</t>
  </si>
  <si>
    <t>Name : Muhammad Rafiq</t>
  </si>
  <si>
    <t>Father Name : M. Khalil. Rehman</t>
  </si>
  <si>
    <t>CNIC # 42201-0402488-9</t>
  </si>
  <si>
    <t>Plot No : L-5958</t>
  </si>
  <si>
    <t>Cost ;450,000</t>
  </si>
  <si>
    <t>Code Num;BXR1978133</t>
  </si>
  <si>
    <t>26/8/2022</t>
  </si>
  <si>
    <t>14/4/2023</t>
  </si>
  <si>
    <t>19/3/2023</t>
  </si>
  <si>
    <t>28/6/2023</t>
  </si>
  <si>
    <t>31/7/2023</t>
  </si>
  <si>
    <t>27/8/2023</t>
  </si>
  <si>
    <t>Adjustment</t>
  </si>
  <si>
    <t>21/1/2024</t>
  </si>
  <si>
    <t>21/2/2024</t>
  </si>
  <si>
    <t>21/4/2024</t>
  </si>
  <si>
    <t>21/5/2024</t>
  </si>
  <si>
    <t>21/6/2024</t>
  </si>
  <si>
    <t>20/12/2024</t>
  </si>
  <si>
    <t>21/2/2026</t>
  </si>
  <si>
    <t>22/3/2026</t>
  </si>
  <si>
    <t>21/4/2026</t>
  </si>
  <si>
    <t>21/5/2026</t>
  </si>
  <si>
    <t>Code num;BXW4712743</t>
  </si>
  <si>
    <t>14/4/2026</t>
  </si>
  <si>
    <t>16/5/2026</t>
  </si>
  <si>
    <t>Code Num;BTV7928844</t>
  </si>
  <si>
    <t>Code Num;CWA5939932</t>
  </si>
  <si>
    <t xml:space="preserve">Name : Farzana </t>
  </si>
  <si>
    <t>CNIC # 42401-0670875-4</t>
  </si>
  <si>
    <t>Contact # 03158247596</t>
  </si>
  <si>
    <t>Plot No : L-5931</t>
  </si>
  <si>
    <t>24/4/2024</t>
  </si>
  <si>
    <t>24/5/2025</t>
  </si>
  <si>
    <t>17/5/2026</t>
  </si>
  <si>
    <t>Code Num;CPL5202404</t>
  </si>
  <si>
    <t>24/5/2022</t>
  </si>
  <si>
    <t>AL REHMAN ADJUSTMENT SLIP</t>
  </si>
  <si>
    <t>Code Num;CMV1730601</t>
  </si>
  <si>
    <t>NAME:</t>
  </si>
  <si>
    <t>F\NAME:</t>
  </si>
  <si>
    <t>CODE NO:</t>
  </si>
  <si>
    <t>CONTACT NO:</t>
  </si>
  <si>
    <t>CNIC:</t>
  </si>
  <si>
    <t>PLOT NO:</t>
  </si>
  <si>
    <t>TAJ BIBI</t>
  </si>
  <si>
    <t>NAZIR</t>
  </si>
  <si>
    <t>0324-2370386</t>
  </si>
  <si>
    <t>42401-2947910-6</t>
  </si>
  <si>
    <t>20\4\23</t>
  </si>
  <si>
    <t>10\4\23</t>
  </si>
  <si>
    <t>16\5\23</t>
  </si>
  <si>
    <t>20\06\23</t>
  </si>
  <si>
    <t>21\7\23</t>
  </si>
  <si>
    <t>19\8\23</t>
  </si>
  <si>
    <t>11\9\23</t>
  </si>
  <si>
    <t>16\10\23</t>
  </si>
  <si>
    <t>20\11\23</t>
  </si>
  <si>
    <t>22\12\23</t>
  </si>
  <si>
    <t>20\1\24</t>
  </si>
  <si>
    <t>RESEDENTIOL BOOKING</t>
  </si>
  <si>
    <t>TOKEN SITE</t>
  </si>
  <si>
    <t>INSTALLMENT</t>
  </si>
  <si>
    <t>18\2\24</t>
  </si>
  <si>
    <t>18\3\24</t>
  </si>
  <si>
    <t>17\4\24</t>
  </si>
  <si>
    <t>16\5\24</t>
  </si>
  <si>
    <t>24\6\24</t>
  </si>
  <si>
    <t>24\7\24</t>
  </si>
  <si>
    <t>19\9\24</t>
  </si>
  <si>
    <t>21\10\24</t>
  </si>
  <si>
    <t>19\11\24</t>
  </si>
  <si>
    <t>21\12\24</t>
  </si>
  <si>
    <t>20\1\25</t>
  </si>
  <si>
    <t>19\2\25</t>
  </si>
  <si>
    <t>18\3\25</t>
  </si>
  <si>
    <t>20\5\25</t>
  </si>
  <si>
    <t>21\6\25</t>
  </si>
  <si>
    <t>24\7\25</t>
  </si>
  <si>
    <t>26\8\25</t>
  </si>
  <si>
    <t>17\10\25</t>
  </si>
  <si>
    <t>24\11\25</t>
  </si>
  <si>
    <t>20\12\25</t>
  </si>
  <si>
    <t>22\1\26</t>
  </si>
  <si>
    <t>22\2\26</t>
  </si>
  <si>
    <t>25\3\26</t>
  </si>
  <si>
    <t>24\4\26</t>
  </si>
  <si>
    <t>22\4\25</t>
  </si>
  <si>
    <t>COST</t>
  </si>
  <si>
    <t>7\6\26</t>
  </si>
  <si>
    <t>USMAN ULLAH</t>
  </si>
  <si>
    <t>SHAFI ULLAH KHAN</t>
  </si>
  <si>
    <t>0343-5291642</t>
  </si>
  <si>
    <t>42301-3756785-3</t>
  </si>
  <si>
    <t>BNG8069925</t>
  </si>
  <si>
    <t>DELOPMENT</t>
  </si>
  <si>
    <t>NIL</t>
  </si>
  <si>
    <t>6\6\26</t>
  </si>
  <si>
    <t>11\6\26</t>
  </si>
  <si>
    <t>16\6\26</t>
  </si>
  <si>
    <t>26\5\26</t>
  </si>
  <si>
    <t>20\4\26</t>
  </si>
  <si>
    <t>282\26</t>
  </si>
  <si>
    <t>19\6\26</t>
  </si>
  <si>
    <t>CNIC NO</t>
  </si>
  <si>
    <t>CTU6130255</t>
  </si>
  <si>
    <t>24\12\22</t>
  </si>
  <si>
    <t>11\1\23</t>
  </si>
  <si>
    <t>15\2\23</t>
  </si>
  <si>
    <t>22\5\23</t>
  </si>
  <si>
    <t>20\7\23</t>
  </si>
  <si>
    <t>21\8\23</t>
  </si>
  <si>
    <t>25\9\23</t>
  </si>
  <si>
    <t>24\10\23</t>
  </si>
  <si>
    <t>17\11\23</t>
  </si>
  <si>
    <t>8\12\23</t>
  </si>
  <si>
    <t>BOOKING RESEDENTIAL</t>
  </si>
  <si>
    <t>17\1\24</t>
  </si>
  <si>
    <t>19\2\24</t>
  </si>
  <si>
    <t>23\3\24</t>
  </si>
  <si>
    <t>22\4\24</t>
  </si>
  <si>
    <t>22\5\24</t>
  </si>
  <si>
    <t>22\6\24</t>
  </si>
  <si>
    <t>15\8\54</t>
  </si>
  <si>
    <t>24\9\24</t>
  </si>
  <si>
    <t>23\10\24</t>
  </si>
  <si>
    <t>23\12\24</t>
  </si>
  <si>
    <t>23\1\25</t>
  </si>
  <si>
    <t>24\3\25</t>
  </si>
  <si>
    <t>21\4\25</t>
  </si>
  <si>
    <t>24\5\25</t>
  </si>
  <si>
    <t>23\6\25</t>
  </si>
  <si>
    <t>21\7\25</t>
  </si>
  <si>
    <t>18\8\25</t>
  </si>
  <si>
    <t>24\9\25</t>
  </si>
  <si>
    <t>23\11\25</t>
  </si>
  <si>
    <t>16\12\25</t>
  </si>
  <si>
    <t>24\1\26</t>
  </si>
  <si>
    <t>26\3\26</t>
  </si>
  <si>
    <t>22\5\26</t>
  </si>
  <si>
    <t>23\6\26</t>
  </si>
  <si>
    <t>MUHAMMAD MUKHTAR</t>
  </si>
  <si>
    <t>MUHAMMAD YAQOOB</t>
  </si>
  <si>
    <t>0347-2865809</t>
  </si>
  <si>
    <t>13503-1325414-5</t>
  </si>
  <si>
    <t>NAME</t>
  </si>
  <si>
    <t>CUA8812465</t>
  </si>
  <si>
    <t>22\3\23</t>
  </si>
  <si>
    <t>21\12\23</t>
  </si>
  <si>
    <t>RESEDENTIAL BOOKING</t>
  </si>
  <si>
    <t>15\8\24</t>
  </si>
  <si>
    <t>23\1\24</t>
  </si>
  <si>
    <t>24\2\25</t>
  </si>
  <si>
    <t>MUHAMMAD MUKHTIYAR</t>
  </si>
  <si>
    <t>MUHAMMAD HAMMAD YAQOOB</t>
  </si>
  <si>
    <t>CODE</t>
  </si>
  <si>
    <t>CFL3535408</t>
  </si>
  <si>
    <t>CNP6869531</t>
  </si>
  <si>
    <t>30\6\26</t>
  </si>
  <si>
    <t>DEVELOPMENT</t>
  </si>
  <si>
    <t>NILL</t>
  </si>
  <si>
    <t>5\7\26</t>
  </si>
  <si>
    <t>12\7\26</t>
  </si>
  <si>
    <t>13\5\26</t>
  </si>
  <si>
    <t>13\6\26</t>
  </si>
  <si>
    <t>14\7\26</t>
  </si>
  <si>
    <t>23\7\2026</t>
  </si>
  <si>
    <t>27/7/26</t>
  </si>
  <si>
    <t>Code Nu</t>
  </si>
  <si>
    <t>17/4/24</t>
  </si>
  <si>
    <t>13/5/24</t>
  </si>
  <si>
    <t>19/10/24</t>
  </si>
  <si>
    <t>28/11/24</t>
  </si>
  <si>
    <t>16/12/24</t>
  </si>
  <si>
    <t>16/2/25</t>
  </si>
  <si>
    <t>13/3/25</t>
  </si>
  <si>
    <t>28/4/25</t>
  </si>
  <si>
    <t>19/5/25</t>
  </si>
  <si>
    <t>16/6/25</t>
  </si>
  <si>
    <t>24/7/25</t>
  </si>
  <si>
    <t>20/8/25</t>
  </si>
  <si>
    <t>15/9/25</t>
  </si>
  <si>
    <t>19/10/25</t>
  </si>
  <si>
    <t>20/11/25</t>
  </si>
  <si>
    <t>17/12/25</t>
  </si>
  <si>
    <t>17/1/26</t>
  </si>
  <si>
    <t>29/3/26</t>
  </si>
  <si>
    <t>24/4/26</t>
  </si>
  <si>
    <t>22/6/26</t>
  </si>
  <si>
    <t>16/7/26</t>
  </si>
  <si>
    <t>23/7/26</t>
  </si>
  <si>
    <t>14/3/25</t>
  </si>
  <si>
    <t>develoment</t>
  </si>
  <si>
    <t>13/5/26</t>
  </si>
  <si>
    <t>13/6/26</t>
  </si>
  <si>
    <t>15/8/26</t>
  </si>
  <si>
    <t>17/7/26</t>
  </si>
  <si>
    <t>22/6/25</t>
  </si>
  <si>
    <t>22/7/25</t>
  </si>
  <si>
    <t>23/8/25</t>
  </si>
  <si>
    <t>22/9/25</t>
  </si>
  <si>
    <t>21/10/25</t>
  </si>
  <si>
    <t>22/11/25</t>
  </si>
  <si>
    <t>22/12/25</t>
  </si>
  <si>
    <t>21/2/26</t>
  </si>
  <si>
    <t>24/3/26</t>
  </si>
  <si>
    <t>27/4/26</t>
  </si>
  <si>
    <t>21/5/26</t>
  </si>
  <si>
    <t>DEVELOPMENT NILL</t>
  </si>
  <si>
    <t xml:space="preserve">NILL </t>
  </si>
  <si>
    <t xml:space="preserve"> 170,000 PAID</t>
  </si>
  <si>
    <t>20/7/26</t>
  </si>
  <si>
    <t>13/7/26</t>
  </si>
  <si>
    <t>22/8/26</t>
  </si>
  <si>
    <t xml:space="preserve">WASEEM KHAN </t>
  </si>
  <si>
    <t>MUHAMMAD AFZAL</t>
  </si>
  <si>
    <t>0345-4652421</t>
  </si>
  <si>
    <t>42401-8370289-9</t>
  </si>
  <si>
    <t>CKJ1224444</t>
  </si>
  <si>
    <t>COST# 600,000</t>
  </si>
  <si>
    <t>CONT NO:</t>
  </si>
  <si>
    <t>20/4/23</t>
  </si>
  <si>
    <t>16/5/23</t>
  </si>
  <si>
    <t>20/6/23</t>
  </si>
  <si>
    <t>21/7/23</t>
  </si>
  <si>
    <t>17/8/23</t>
  </si>
  <si>
    <t>14/10/23</t>
  </si>
  <si>
    <t>20/11/23</t>
  </si>
  <si>
    <t>22/12/23</t>
  </si>
  <si>
    <t>20/1/24</t>
  </si>
  <si>
    <t>TOKEN OFFICE</t>
  </si>
  <si>
    <t>RES BOOKING</t>
  </si>
  <si>
    <t xml:space="preserve">INSTALLMENT </t>
  </si>
  <si>
    <t>18/2/24</t>
  </si>
  <si>
    <t>18/3/24</t>
  </si>
  <si>
    <t>16/5/24</t>
  </si>
  <si>
    <t>24/6/24</t>
  </si>
  <si>
    <t>24/824</t>
  </si>
  <si>
    <t>19/9/24</t>
  </si>
  <si>
    <t>21/10/24</t>
  </si>
  <si>
    <t>19/11/24</t>
  </si>
  <si>
    <t>21/12/24</t>
  </si>
  <si>
    <t>20/1/25</t>
  </si>
  <si>
    <t>19/2/25</t>
  </si>
  <si>
    <t>18/3/25</t>
  </si>
  <si>
    <t>20/5/25</t>
  </si>
  <si>
    <t>21/6/25</t>
  </si>
  <si>
    <t>26/8/25</t>
  </si>
  <si>
    <t>17/10/25</t>
  </si>
  <si>
    <t>24/11/25</t>
  </si>
  <si>
    <t>20/12/25</t>
  </si>
  <si>
    <t>22/1/26</t>
  </si>
  <si>
    <t>22/2/26</t>
  </si>
  <si>
    <t>23/3/26</t>
  </si>
  <si>
    <t>22/4/26</t>
  </si>
  <si>
    <t>22/4/25</t>
  </si>
  <si>
    <t>18/7/26</t>
  </si>
  <si>
    <t>24/8/26</t>
  </si>
  <si>
    <t>31/8/26</t>
  </si>
  <si>
    <t>18/6/26</t>
  </si>
  <si>
    <t>21/7/26</t>
  </si>
  <si>
    <t>18/5/26</t>
  </si>
  <si>
    <t>26/4/26</t>
  </si>
  <si>
    <t>25/5/26</t>
  </si>
  <si>
    <t>27/6/26</t>
  </si>
  <si>
    <t>24/7/26</t>
  </si>
  <si>
    <t>25/8/26</t>
  </si>
  <si>
    <t>14/9/26</t>
  </si>
  <si>
    <t>16/8/26</t>
  </si>
  <si>
    <t>15/9/26</t>
  </si>
  <si>
    <t>19/9/26</t>
  </si>
  <si>
    <t xml:space="preserve">DEVELOPMENT CONTINUE </t>
  </si>
  <si>
    <t>Nusrat Jahan</t>
  </si>
  <si>
    <t>22/12/2025</t>
  </si>
  <si>
    <t>Rno: 5135</t>
  </si>
  <si>
    <t>31/01/2026</t>
  </si>
  <si>
    <t>Rno: 5295</t>
  </si>
  <si>
    <t>16/02/2026</t>
  </si>
  <si>
    <t>Rno: 5544</t>
  </si>
  <si>
    <t>18/03/2026</t>
  </si>
  <si>
    <t>Rno: 5760</t>
  </si>
  <si>
    <t>22/04/2026</t>
  </si>
  <si>
    <t>Rno: 1301</t>
  </si>
  <si>
    <t>17/05/2026</t>
  </si>
  <si>
    <t>Rno: 1494</t>
  </si>
  <si>
    <t>26/06/2026</t>
  </si>
  <si>
    <t>Rno: 1723</t>
  </si>
  <si>
    <t>15/07/2026</t>
  </si>
  <si>
    <t>Rno: 1857</t>
  </si>
  <si>
    <t>15/08/2026</t>
  </si>
  <si>
    <t>Rno: 1989</t>
  </si>
  <si>
    <t>14/09/2026</t>
  </si>
  <si>
    <t>Rno: 2075</t>
  </si>
  <si>
    <t xml:space="preserve">DEVELOPMENT </t>
  </si>
  <si>
    <t>25/9/26</t>
  </si>
  <si>
    <t>28/9/26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</si>
</sst>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3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0" xfId="0" applyNumberFormat="1"/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horizontal="left" wrapText="1"/>
    </xf>
    <xf numFmtId="14" fontId="0" fillId="0" borderId="0" xfId="0" applyNumberFormat="1"/>
    <xf numFmtId="17" fontId="0" fillId="0" borderId="1" xfId="0" applyNumberFormat="1" applyBorder="1"/>
    <xf numFmtId="0" fontId="0" fillId="0" borderId="2" xfId="0" applyBorder="1"/>
    <xf numFmtId="0" fontId="0" fillId="0" borderId="3" xfId="0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2" xfId="0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0" fontId="4" fillId="0" borderId="0" xfId="0" applyFont="1"/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2" xfId="0" applyNumberFormat="1" applyBorder="1"/>
    <xf numFmtId="0" fontId="5" fillId="0" borderId="0" xfId="0" applyFont="1"/>
    <xf numFmtId="3" fontId="5" fillId="0" borderId="0" xfId="0" applyNumberFormat="1" applyFont="1"/>
    <xf numFmtId="3" fontId="0" fillId="0" borderId="0" xfId="0" applyNumberFormat="1" applyAlignment="1">
      <alignment horizontal="left"/>
    </xf>
    <xf numFmtId="0" fontId="0" fillId="0" borderId="4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4" xfId="0" applyBorder="1"/>
    <xf numFmtId="3" fontId="0" fillId="0" borderId="4" xfId="0" applyNumberFormat="1" applyBorder="1"/>
    <xf numFmtId="0" fontId="1" fillId="3" borderId="0" xfId="0" applyFont="1" applyFill="1"/>
    <xf numFmtId="0" fontId="0" fillId="3" borderId="0" xfId="0" applyFill="1"/>
    <xf numFmtId="3" fontId="0" fillId="3" borderId="0" xfId="0" applyNumberFormat="1" applyFill="1"/>
    <xf numFmtId="0" fontId="1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0" borderId="3" xfId="0" applyBorder="1"/>
    <xf numFmtId="3" fontId="0" fillId="0" borderId="3" xfId="0" applyNumberFormat="1" applyBorder="1"/>
    <xf numFmtId="0" fontId="6" fillId="5" borderId="1" xfId="0" applyFont="1" applyFill="1" applyBorder="1"/>
    <xf numFmtId="0" fontId="1" fillId="6" borderId="0" xfId="0" applyFont="1" applyFill="1"/>
    <xf numFmtId="0" fontId="7" fillId="7" borderId="1" xfId="0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9"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7:F37" totalsRowShown="0" headerRowDxfId="8" dataDxfId="6" headerRowBorderDxfId="7" tableBorderDxfId="5">
  <autoFilter ref="A7:F37" xr:uid="{00000000-0009-0000-0100-000001000000}"/>
  <tableColumns count="6">
    <tableColumn id="1" xr3:uid="{00000000-0010-0000-0000-000001000000}" name="Date"/>
    <tableColumn id="2" xr3:uid="{00000000-0010-0000-0000-000002000000}" name="R.NO" dataDxfId="4"/>
    <tableColumn id="3" xr3:uid="{00000000-0010-0000-0000-000003000000}" name="Description" dataDxfId="3"/>
    <tableColumn id="4" xr3:uid="{00000000-0010-0000-0000-000004000000}" name="Amount Rec" dataDxfId="2"/>
    <tableColumn id="5" xr3:uid="{00000000-0010-0000-0000-000005000000}" name="Total Rec" dataDxfId="1"/>
    <tableColumn id="6" xr3:uid="{00000000-0010-0000-0000-000006000000}" name="Amount D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opLeftCell="A29" workbookViewId="0">
      <selection activeCell="D39" sqref="D39"/>
    </sheetView>
  </sheetViews>
  <sheetFormatPr defaultRowHeight="14.5" x14ac:dyDescent="0.35"/>
  <cols>
    <col min="1" max="1" width="11.54296875" customWidth="1"/>
    <col min="3" max="3" width="14" customWidth="1"/>
    <col min="6" max="6" width="11.453125" customWidth="1"/>
  </cols>
  <sheetData>
    <row r="1" spans="1:6" ht="18.5" x14ac:dyDescent="0.45">
      <c r="A1" s="1" t="s">
        <v>443</v>
      </c>
      <c r="B1" s="1"/>
      <c r="C1" s="1"/>
      <c r="D1" s="1"/>
      <c r="E1" s="1"/>
      <c r="F1" s="1"/>
    </row>
    <row r="2" spans="1:6" ht="18.5" x14ac:dyDescent="0.45">
      <c r="A2" s="1" t="s">
        <v>444</v>
      </c>
      <c r="C2" s="1"/>
      <c r="D2" s="1"/>
      <c r="E2" s="1"/>
      <c r="F2" s="1"/>
    </row>
    <row r="3" spans="1:6" ht="18.5" x14ac:dyDescent="0.45">
      <c r="A3" s="1" t="s">
        <v>445</v>
      </c>
      <c r="B3" s="1"/>
      <c r="C3" s="1"/>
      <c r="D3" s="1"/>
      <c r="E3" s="1"/>
      <c r="F3" s="1"/>
    </row>
    <row r="4" spans="1:6" ht="18.5" x14ac:dyDescent="0.45">
      <c r="A4" s="1" t="s">
        <v>451</v>
      </c>
      <c r="B4" s="1"/>
      <c r="C4" s="1"/>
      <c r="D4" s="1"/>
      <c r="E4" s="1"/>
      <c r="F4" s="1"/>
    </row>
    <row r="5" spans="1:6" ht="18.5" x14ac:dyDescent="0.45">
      <c r="A5" s="1" t="s">
        <v>446</v>
      </c>
      <c r="B5" s="1"/>
      <c r="C5" s="1"/>
      <c r="D5" s="1"/>
      <c r="E5" s="1"/>
      <c r="F5" s="1"/>
    </row>
    <row r="6" spans="1:6" ht="18.5" x14ac:dyDescent="0.45">
      <c r="A6" s="1" t="s">
        <v>447</v>
      </c>
      <c r="B6" s="1"/>
      <c r="C6" s="1"/>
      <c r="D6" s="1"/>
      <c r="E6" s="1" t="s">
        <v>448</v>
      </c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2" t="s">
        <v>449</v>
      </c>
      <c r="B8" s="2">
        <v>2946</v>
      </c>
      <c r="C8" s="2" t="s">
        <v>26</v>
      </c>
      <c r="D8" s="5">
        <v>310000</v>
      </c>
      <c r="E8" s="5">
        <v>310000</v>
      </c>
      <c r="F8" s="5">
        <v>125000</v>
      </c>
    </row>
    <row r="9" spans="1:6" x14ac:dyDescent="0.35">
      <c r="A9" s="2" t="s">
        <v>414</v>
      </c>
      <c r="B9" s="2">
        <v>2382</v>
      </c>
      <c r="C9" s="2" t="s">
        <v>27</v>
      </c>
      <c r="D9" s="5">
        <v>28000</v>
      </c>
      <c r="E9" s="5">
        <f>E8+D9</f>
        <v>338000</v>
      </c>
      <c r="F9" s="5">
        <f>F8-D9</f>
        <v>97000</v>
      </c>
    </row>
    <row r="10" spans="1:6" x14ac:dyDescent="0.35">
      <c r="A10" s="2" t="s">
        <v>450</v>
      </c>
      <c r="B10" s="2">
        <v>549</v>
      </c>
      <c r="C10" s="2" t="s">
        <v>27</v>
      </c>
      <c r="D10" s="5">
        <v>28000</v>
      </c>
      <c r="E10" s="5">
        <f t="shared" ref="E10:E12" si="0">E9+D10</f>
        <v>366000</v>
      </c>
      <c r="F10" s="5">
        <f t="shared" ref="F10:F12" si="1">F9-D10</f>
        <v>69000</v>
      </c>
    </row>
    <row r="11" spans="1:6" x14ac:dyDescent="0.35">
      <c r="A11" s="6">
        <v>45025</v>
      </c>
      <c r="B11" s="2">
        <v>3386</v>
      </c>
      <c r="C11" s="2" t="s">
        <v>27</v>
      </c>
      <c r="D11" s="5">
        <v>42000</v>
      </c>
      <c r="E11" s="5">
        <f t="shared" si="0"/>
        <v>408000</v>
      </c>
      <c r="F11" s="5">
        <f t="shared" si="1"/>
        <v>27000</v>
      </c>
    </row>
    <row r="12" spans="1:6" x14ac:dyDescent="0.35">
      <c r="A12" s="6">
        <v>45210</v>
      </c>
      <c r="B12" s="2">
        <v>4768</v>
      </c>
      <c r="C12" s="2" t="s">
        <v>27</v>
      </c>
      <c r="D12" s="5">
        <v>27000</v>
      </c>
      <c r="E12" s="5">
        <f t="shared" si="0"/>
        <v>435000</v>
      </c>
      <c r="F12" s="5">
        <f t="shared" si="1"/>
        <v>0</v>
      </c>
    </row>
    <row r="13" spans="1:6" ht="18.5" x14ac:dyDescent="0.45">
      <c r="A13" s="1" t="s">
        <v>354</v>
      </c>
      <c r="B13" s="1"/>
      <c r="C13" s="1"/>
      <c r="D13" s="26"/>
      <c r="E13" s="26"/>
      <c r="F13" s="26"/>
    </row>
    <row r="14" spans="1:6" x14ac:dyDescent="0.35">
      <c r="A14" s="6">
        <v>45414</v>
      </c>
      <c r="B14" s="2">
        <v>111</v>
      </c>
      <c r="C14" s="2" t="s">
        <v>616</v>
      </c>
      <c r="D14" s="5">
        <v>20000</v>
      </c>
      <c r="E14" s="5">
        <v>20000</v>
      </c>
      <c r="F14" s="5">
        <v>430000</v>
      </c>
    </row>
    <row r="15" spans="1:6" x14ac:dyDescent="0.35">
      <c r="A15" s="6">
        <v>45538</v>
      </c>
      <c r="B15" s="2">
        <v>169</v>
      </c>
      <c r="C15" s="2" t="s">
        <v>616</v>
      </c>
      <c r="D15" s="5">
        <v>10000</v>
      </c>
      <c r="E15" s="5">
        <f t="shared" ref="E15:E36" si="2">E14+D15</f>
        <v>30000</v>
      </c>
      <c r="F15" s="5">
        <f t="shared" ref="F15:F36" si="3">F14-D15</f>
        <v>420000</v>
      </c>
    </row>
    <row r="16" spans="1:6" x14ac:dyDescent="0.35">
      <c r="A16" s="2" t="s">
        <v>626</v>
      </c>
      <c r="B16" s="2">
        <v>232</v>
      </c>
      <c r="C16" s="2" t="s">
        <v>616</v>
      </c>
      <c r="D16" s="5">
        <v>10000</v>
      </c>
      <c r="E16" s="5">
        <f t="shared" si="2"/>
        <v>40000</v>
      </c>
      <c r="F16" s="5">
        <f t="shared" si="3"/>
        <v>410000</v>
      </c>
    </row>
    <row r="17" spans="1:6" x14ac:dyDescent="0.35">
      <c r="A17" s="2" t="s">
        <v>627</v>
      </c>
      <c r="B17" s="2">
        <v>289</v>
      </c>
      <c r="C17" s="2" t="s">
        <v>616</v>
      </c>
      <c r="D17" s="5">
        <v>10000</v>
      </c>
      <c r="E17" s="5">
        <f t="shared" si="2"/>
        <v>50000</v>
      </c>
      <c r="F17" s="5">
        <f t="shared" si="3"/>
        <v>400000</v>
      </c>
    </row>
    <row r="18" spans="1:6" x14ac:dyDescent="0.35">
      <c r="A18" s="6">
        <v>45449</v>
      </c>
      <c r="B18" s="2">
        <v>34</v>
      </c>
      <c r="C18" s="2" t="s">
        <v>616</v>
      </c>
      <c r="D18" s="5">
        <v>10000</v>
      </c>
      <c r="E18" s="5">
        <f t="shared" si="2"/>
        <v>60000</v>
      </c>
      <c r="F18" s="5">
        <f t="shared" si="3"/>
        <v>390000</v>
      </c>
    </row>
    <row r="19" spans="1:6" x14ac:dyDescent="0.35">
      <c r="A19" s="6">
        <v>45603</v>
      </c>
      <c r="B19" s="2">
        <v>104</v>
      </c>
      <c r="C19" s="2" t="s">
        <v>616</v>
      </c>
      <c r="D19" s="5">
        <v>25000</v>
      </c>
      <c r="E19" s="5">
        <f t="shared" si="2"/>
        <v>85000</v>
      </c>
      <c r="F19" s="5">
        <f t="shared" si="3"/>
        <v>365000</v>
      </c>
    </row>
    <row r="20" spans="1:6" x14ac:dyDescent="0.35">
      <c r="A20" s="6">
        <v>45512</v>
      </c>
      <c r="B20" s="2">
        <v>146</v>
      </c>
      <c r="C20" s="2" t="s">
        <v>616</v>
      </c>
      <c r="D20" s="5">
        <v>10000</v>
      </c>
      <c r="E20" s="5">
        <f t="shared" si="2"/>
        <v>95000</v>
      </c>
      <c r="F20" s="5">
        <f t="shared" si="3"/>
        <v>355000</v>
      </c>
    </row>
    <row r="21" spans="1:6" x14ac:dyDescent="0.35">
      <c r="A21" s="2" t="s">
        <v>628</v>
      </c>
      <c r="B21" s="2">
        <v>389</v>
      </c>
      <c r="C21" s="2" t="s">
        <v>616</v>
      </c>
      <c r="D21" s="5">
        <v>10000</v>
      </c>
      <c r="E21" s="5">
        <f t="shared" si="2"/>
        <v>105000</v>
      </c>
      <c r="F21" s="5">
        <f t="shared" si="3"/>
        <v>345000</v>
      </c>
    </row>
    <row r="22" spans="1:6" x14ac:dyDescent="0.35">
      <c r="A22" s="2" t="s">
        <v>629</v>
      </c>
      <c r="B22" s="2">
        <v>266</v>
      </c>
      <c r="C22" s="2" t="s">
        <v>616</v>
      </c>
      <c r="D22" s="5">
        <v>10000</v>
      </c>
      <c r="E22" s="5">
        <f t="shared" si="2"/>
        <v>115000</v>
      </c>
      <c r="F22" s="5">
        <f t="shared" si="3"/>
        <v>335000</v>
      </c>
    </row>
    <row r="23" spans="1:6" x14ac:dyDescent="0.35">
      <c r="A23" s="2" t="s">
        <v>630</v>
      </c>
      <c r="B23" s="2">
        <v>516</v>
      </c>
      <c r="C23" s="2" t="s">
        <v>616</v>
      </c>
      <c r="D23" s="5">
        <v>10000</v>
      </c>
      <c r="E23" s="5">
        <f t="shared" si="2"/>
        <v>125000</v>
      </c>
      <c r="F23" s="5">
        <f t="shared" si="3"/>
        <v>325000</v>
      </c>
    </row>
    <row r="24" spans="1:6" x14ac:dyDescent="0.35">
      <c r="A24" s="6">
        <v>45962</v>
      </c>
      <c r="B24" s="2">
        <v>572</v>
      </c>
      <c r="C24" s="2" t="s">
        <v>616</v>
      </c>
      <c r="D24" s="5">
        <v>10000</v>
      </c>
      <c r="E24" s="5">
        <f t="shared" si="2"/>
        <v>135000</v>
      </c>
      <c r="F24" s="5">
        <f t="shared" si="3"/>
        <v>315000</v>
      </c>
    </row>
    <row r="25" spans="1:6" x14ac:dyDescent="0.35">
      <c r="A25" s="2" t="s">
        <v>631</v>
      </c>
      <c r="B25" s="2">
        <v>954</v>
      </c>
      <c r="C25" s="2" t="s">
        <v>616</v>
      </c>
      <c r="D25" s="5">
        <v>10000</v>
      </c>
      <c r="E25" s="5">
        <f t="shared" si="2"/>
        <v>145000</v>
      </c>
      <c r="F25" s="5">
        <f t="shared" si="3"/>
        <v>305000</v>
      </c>
    </row>
    <row r="26" spans="1:6" x14ac:dyDescent="0.35">
      <c r="A26" s="2" t="s">
        <v>632</v>
      </c>
      <c r="B26" s="2">
        <v>9755</v>
      </c>
      <c r="C26" s="2" t="s">
        <v>616</v>
      </c>
      <c r="D26" s="5">
        <v>10000</v>
      </c>
      <c r="E26" s="5">
        <f t="shared" si="2"/>
        <v>155000</v>
      </c>
      <c r="F26" s="5">
        <f t="shared" si="3"/>
        <v>295000</v>
      </c>
    </row>
    <row r="27" spans="1:6" x14ac:dyDescent="0.35">
      <c r="A27" s="2" t="s">
        <v>633</v>
      </c>
      <c r="B27" s="2">
        <v>746</v>
      </c>
      <c r="C27" s="2" t="s">
        <v>616</v>
      </c>
      <c r="D27" s="5">
        <v>10000</v>
      </c>
      <c r="E27" s="5">
        <f t="shared" si="2"/>
        <v>165000</v>
      </c>
      <c r="F27" s="5">
        <f t="shared" si="3"/>
        <v>285000</v>
      </c>
    </row>
    <row r="28" spans="1:6" x14ac:dyDescent="0.35">
      <c r="A28" s="2" t="s">
        <v>634</v>
      </c>
      <c r="B28" s="2">
        <v>10809</v>
      </c>
      <c r="C28" s="2" t="s">
        <v>616</v>
      </c>
      <c r="D28" s="5">
        <v>10000</v>
      </c>
      <c r="E28" s="5">
        <f t="shared" si="2"/>
        <v>175000</v>
      </c>
      <c r="F28" s="5">
        <f t="shared" si="3"/>
        <v>275000</v>
      </c>
    </row>
    <row r="29" spans="1:6" x14ac:dyDescent="0.35">
      <c r="A29" s="2" t="s">
        <v>635</v>
      </c>
      <c r="B29" s="2">
        <v>699</v>
      </c>
      <c r="C29" s="2" t="s">
        <v>616</v>
      </c>
      <c r="D29" s="5">
        <v>10000</v>
      </c>
      <c r="E29" s="5">
        <f t="shared" si="2"/>
        <v>185000</v>
      </c>
      <c r="F29" s="5">
        <f t="shared" si="3"/>
        <v>265000</v>
      </c>
    </row>
    <row r="30" spans="1:6" x14ac:dyDescent="0.35">
      <c r="A30" s="2" t="s">
        <v>636</v>
      </c>
      <c r="B30" s="2">
        <v>315</v>
      </c>
      <c r="C30" s="2" t="s">
        <v>616</v>
      </c>
      <c r="D30" s="5">
        <v>10000</v>
      </c>
      <c r="E30" s="5">
        <f t="shared" si="2"/>
        <v>195000</v>
      </c>
      <c r="F30" s="5">
        <f t="shared" si="3"/>
        <v>255000</v>
      </c>
    </row>
    <row r="31" spans="1:6" x14ac:dyDescent="0.35">
      <c r="A31" s="2" t="s">
        <v>637</v>
      </c>
      <c r="B31" s="2">
        <v>3995</v>
      </c>
      <c r="C31" s="2" t="s">
        <v>616</v>
      </c>
      <c r="D31" s="5">
        <v>10000</v>
      </c>
      <c r="E31" s="5">
        <f t="shared" si="2"/>
        <v>205000</v>
      </c>
      <c r="F31" s="5">
        <f t="shared" si="3"/>
        <v>245000</v>
      </c>
    </row>
    <row r="32" spans="1:6" x14ac:dyDescent="0.35">
      <c r="A32" s="2" t="s">
        <v>638</v>
      </c>
      <c r="B32" s="2">
        <v>3548</v>
      </c>
      <c r="C32" s="2" t="s">
        <v>616</v>
      </c>
      <c r="D32" s="5">
        <v>10000</v>
      </c>
      <c r="E32" s="5">
        <f t="shared" si="2"/>
        <v>215000</v>
      </c>
      <c r="F32" s="5">
        <f t="shared" si="3"/>
        <v>235000</v>
      </c>
    </row>
    <row r="33" spans="1:6" x14ac:dyDescent="0.35">
      <c r="A33" s="2" t="s">
        <v>639</v>
      </c>
      <c r="B33" s="2">
        <v>3342</v>
      </c>
      <c r="C33" s="2" t="s">
        <v>616</v>
      </c>
      <c r="D33" s="5">
        <v>10000</v>
      </c>
      <c r="E33" s="5">
        <f t="shared" si="2"/>
        <v>225000</v>
      </c>
      <c r="F33" s="5">
        <f t="shared" si="3"/>
        <v>225000</v>
      </c>
    </row>
    <row r="34" spans="1:6" x14ac:dyDescent="0.35">
      <c r="A34" s="2" t="s">
        <v>640</v>
      </c>
      <c r="B34" s="2">
        <v>3835</v>
      </c>
      <c r="C34" s="2" t="s">
        <v>616</v>
      </c>
      <c r="D34" s="5">
        <v>10000</v>
      </c>
      <c r="E34" s="5">
        <f t="shared" si="2"/>
        <v>235000</v>
      </c>
      <c r="F34" s="5">
        <f t="shared" si="3"/>
        <v>215000</v>
      </c>
    </row>
    <row r="35" spans="1:6" x14ac:dyDescent="0.35">
      <c r="A35" s="2" t="s">
        <v>641</v>
      </c>
      <c r="B35" s="2">
        <v>5107</v>
      </c>
      <c r="C35" s="2" t="s">
        <v>616</v>
      </c>
      <c r="D35" s="5">
        <v>10000</v>
      </c>
      <c r="E35" s="5">
        <f t="shared" si="2"/>
        <v>245000</v>
      </c>
      <c r="F35" s="5">
        <f t="shared" si="3"/>
        <v>205000</v>
      </c>
    </row>
    <row r="36" spans="1:6" x14ac:dyDescent="0.35">
      <c r="A36" s="2" t="s">
        <v>642</v>
      </c>
      <c r="B36" s="2">
        <v>5317</v>
      </c>
      <c r="C36" s="2" t="s">
        <v>616</v>
      </c>
      <c r="D36" s="5">
        <v>10000</v>
      </c>
      <c r="E36" s="5">
        <f t="shared" si="2"/>
        <v>255000</v>
      </c>
      <c r="F36" s="5">
        <f t="shared" si="3"/>
        <v>195000</v>
      </c>
    </row>
    <row r="37" spans="1:6" x14ac:dyDescent="0.35">
      <c r="A37" s="2" t="s">
        <v>643</v>
      </c>
      <c r="B37" s="2">
        <v>5807</v>
      </c>
      <c r="C37" s="2" t="s">
        <v>616</v>
      </c>
      <c r="D37" s="5">
        <v>20000</v>
      </c>
      <c r="E37" s="5">
        <f t="shared" ref="E37:E43" si="4">E36+D37</f>
        <v>275000</v>
      </c>
      <c r="F37" s="5">
        <f t="shared" ref="F37:F43" si="5">F36-D37</f>
        <v>175000</v>
      </c>
    </row>
    <row r="38" spans="1:6" x14ac:dyDescent="0.35">
      <c r="A38" s="2" t="s">
        <v>644</v>
      </c>
      <c r="B38" s="2">
        <v>1309</v>
      </c>
      <c r="C38" s="2" t="s">
        <v>616</v>
      </c>
      <c r="D38" s="5">
        <v>10000</v>
      </c>
      <c r="E38" s="5">
        <f t="shared" si="4"/>
        <v>285000</v>
      </c>
      <c r="F38" s="5">
        <f t="shared" si="5"/>
        <v>165000</v>
      </c>
    </row>
    <row r="39" spans="1:6" x14ac:dyDescent="0.35">
      <c r="A39" s="6">
        <v>46331</v>
      </c>
      <c r="B39" s="2">
        <v>1442</v>
      </c>
      <c r="C39" s="2" t="s">
        <v>616</v>
      </c>
      <c r="D39" s="5">
        <v>10000</v>
      </c>
      <c r="E39" s="5">
        <f t="shared" si="4"/>
        <v>295000</v>
      </c>
      <c r="F39" s="5">
        <f t="shared" si="5"/>
        <v>155000</v>
      </c>
    </row>
    <row r="40" spans="1:6" x14ac:dyDescent="0.35">
      <c r="A40" s="2" t="s">
        <v>645</v>
      </c>
      <c r="B40" s="2">
        <v>1707</v>
      </c>
      <c r="C40" s="2" t="s">
        <v>616</v>
      </c>
      <c r="D40" s="5">
        <v>10000</v>
      </c>
      <c r="E40" s="5">
        <f t="shared" si="4"/>
        <v>305000</v>
      </c>
      <c r="F40" s="5">
        <f t="shared" si="5"/>
        <v>145000</v>
      </c>
    </row>
    <row r="41" spans="1:6" x14ac:dyDescent="0.35">
      <c r="A41" s="2" t="s">
        <v>646</v>
      </c>
      <c r="B41" s="2">
        <v>1863</v>
      </c>
      <c r="C41" s="2" t="s">
        <v>616</v>
      </c>
      <c r="D41" s="5">
        <v>10000</v>
      </c>
      <c r="E41" s="5">
        <f t="shared" si="4"/>
        <v>315000</v>
      </c>
      <c r="F41" s="5">
        <f t="shared" si="5"/>
        <v>135000</v>
      </c>
    </row>
    <row r="42" spans="1:6" x14ac:dyDescent="0.35">
      <c r="A42" s="20" t="s">
        <v>725</v>
      </c>
      <c r="B42" s="20">
        <v>1942</v>
      </c>
      <c r="C42" s="2" t="s">
        <v>616</v>
      </c>
      <c r="D42" s="15">
        <v>10000</v>
      </c>
      <c r="E42" s="15">
        <f t="shared" si="4"/>
        <v>325000</v>
      </c>
      <c r="F42" s="15">
        <f t="shared" si="5"/>
        <v>125000</v>
      </c>
    </row>
    <row r="43" spans="1:6" x14ac:dyDescent="0.35">
      <c r="A43" s="20" t="s">
        <v>726</v>
      </c>
      <c r="B43" s="20">
        <v>2085</v>
      </c>
      <c r="C43" s="2" t="s">
        <v>616</v>
      </c>
      <c r="D43" s="15">
        <v>10000</v>
      </c>
      <c r="E43" s="15">
        <f t="shared" si="4"/>
        <v>335000</v>
      </c>
      <c r="F43" s="15">
        <f t="shared" si="5"/>
        <v>115000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opLeftCell="A5" zoomScaleNormal="100" workbookViewId="0">
      <selection activeCell="D17" sqref="D17"/>
    </sheetView>
  </sheetViews>
  <sheetFormatPr defaultRowHeight="14.5" x14ac:dyDescent="0.35"/>
  <cols>
    <col min="1" max="1" width="12.6328125" customWidth="1"/>
    <col min="2" max="2" width="12.26953125" customWidth="1"/>
    <col min="3" max="3" width="13.81640625" customWidth="1"/>
    <col min="4" max="4" width="13" customWidth="1"/>
    <col min="5" max="5" width="12.81640625" customWidth="1"/>
    <col min="6" max="6" width="13.54296875" customWidth="1"/>
  </cols>
  <sheetData>
    <row r="1" spans="1:12" ht="18.5" x14ac:dyDescent="0.45">
      <c r="A1" s="1" t="s">
        <v>367</v>
      </c>
      <c r="B1" s="1"/>
      <c r="C1" s="1"/>
      <c r="D1" s="1"/>
      <c r="E1" s="1"/>
      <c r="F1" s="1"/>
    </row>
    <row r="2" spans="1:12" ht="18.5" x14ac:dyDescent="0.45">
      <c r="A2" s="1" t="s">
        <v>368</v>
      </c>
      <c r="C2" s="1"/>
      <c r="D2" s="1"/>
      <c r="E2" s="1"/>
      <c r="F2" s="1"/>
      <c r="L2" t="s">
        <v>375</v>
      </c>
    </row>
    <row r="3" spans="1:12" ht="18.5" x14ac:dyDescent="0.45">
      <c r="A3" s="1" t="s">
        <v>369</v>
      </c>
      <c r="B3" s="1"/>
      <c r="C3" s="1"/>
      <c r="D3" s="1"/>
      <c r="E3" s="1"/>
      <c r="F3" s="1"/>
    </row>
    <row r="4" spans="1:12" ht="18.5" x14ac:dyDescent="0.45">
      <c r="A4" s="1" t="s">
        <v>372</v>
      </c>
      <c r="B4" s="1"/>
      <c r="C4" s="1"/>
      <c r="D4" s="1"/>
      <c r="E4" s="1"/>
      <c r="F4" s="1"/>
    </row>
    <row r="5" spans="1:12" ht="18.5" x14ac:dyDescent="0.45">
      <c r="A5" s="1" t="s">
        <v>370</v>
      </c>
      <c r="B5" s="1"/>
      <c r="C5" s="1"/>
      <c r="D5" s="1"/>
      <c r="E5" s="1"/>
      <c r="F5" s="1"/>
    </row>
    <row r="6" spans="1:12" ht="18.5" x14ac:dyDescent="0.45">
      <c r="A6" s="1" t="s">
        <v>371</v>
      </c>
      <c r="B6" s="1"/>
      <c r="C6" s="1"/>
      <c r="D6" s="1"/>
      <c r="E6" s="1" t="s">
        <v>107</v>
      </c>
      <c r="F6" s="1"/>
    </row>
    <row r="7" spans="1:12" x14ac:dyDescent="0.35">
      <c r="A7" s="45" t="s">
        <v>6</v>
      </c>
      <c r="B7" s="45" t="s">
        <v>7</v>
      </c>
      <c r="C7" s="45" t="s">
        <v>8</v>
      </c>
      <c r="D7" s="45" t="s">
        <v>9</v>
      </c>
      <c r="E7" s="45" t="s">
        <v>10</v>
      </c>
      <c r="F7" s="45" t="s">
        <v>11</v>
      </c>
    </row>
    <row r="8" spans="1:12" x14ac:dyDescent="0.35">
      <c r="A8" t="s">
        <v>373</v>
      </c>
      <c r="C8" t="s">
        <v>374</v>
      </c>
      <c r="D8" s="15">
        <v>500000</v>
      </c>
      <c r="E8" s="15">
        <v>500000</v>
      </c>
      <c r="F8" t="s">
        <v>325</v>
      </c>
    </row>
    <row r="10" spans="1:12" ht="18.5" x14ac:dyDescent="0.45">
      <c r="A10" s="46" t="s">
        <v>728</v>
      </c>
      <c r="B10" s="46"/>
      <c r="C10" s="46"/>
    </row>
    <row r="11" spans="1:12" x14ac:dyDescent="0.35">
      <c r="A11" s="45" t="s">
        <v>6</v>
      </c>
      <c r="B11" s="45" t="s">
        <v>7</v>
      </c>
      <c r="C11" s="45" t="s">
        <v>8</v>
      </c>
      <c r="D11" s="45" t="s">
        <v>9</v>
      </c>
      <c r="E11" s="45" t="s">
        <v>10</v>
      </c>
      <c r="F11" s="45" t="s">
        <v>11</v>
      </c>
    </row>
    <row r="12" spans="1:12" x14ac:dyDescent="0.35">
      <c r="A12" s="47" t="s">
        <v>373</v>
      </c>
      <c r="B12" s="47" t="s">
        <v>729</v>
      </c>
      <c r="C12" s="47" t="s">
        <v>750</v>
      </c>
      <c r="D12" s="47"/>
      <c r="E12" s="9"/>
      <c r="F12" s="48">
        <v>445000</v>
      </c>
    </row>
    <row r="13" spans="1:12" x14ac:dyDescent="0.35">
      <c r="A13" s="49" t="s">
        <v>730</v>
      </c>
      <c r="B13" s="49" t="s">
        <v>731</v>
      </c>
      <c r="C13" s="47" t="s">
        <v>750</v>
      </c>
      <c r="D13" s="50">
        <v>5000</v>
      </c>
      <c r="E13" s="11">
        <f t="shared" ref="E13:E22" si="0">E12+D13</f>
        <v>5000</v>
      </c>
      <c r="F13" s="50">
        <v>440000</v>
      </c>
    </row>
    <row r="14" spans="1:12" x14ac:dyDescent="0.35">
      <c r="A14" s="47" t="s">
        <v>732</v>
      </c>
      <c r="B14" s="47" t="s">
        <v>733</v>
      </c>
      <c r="C14" s="47" t="s">
        <v>750</v>
      </c>
      <c r="D14" s="48">
        <v>5000</v>
      </c>
      <c r="E14" s="11">
        <f t="shared" si="0"/>
        <v>10000</v>
      </c>
      <c r="F14" s="48">
        <v>435000</v>
      </c>
    </row>
    <row r="15" spans="1:12" x14ac:dyDescent="0.35">
      <c r="A15" s="49" t="s">
        <v>734</v>
      </c>
      <c r="B15" s="49" t="s">
        <v>735</v>
      </c>
      <c r="C15" s="47" t="s">
        <v>750</v>
      </c>
      <c r="D15" s="50">
        <v>5000</v>
      </c>
      <c r="E15" s="11">
        <f t="shared" si="0"/>
        <v>15000</v>
      </c>
      <c r="F15" s="50">
        <v>430000</v>
      </c>
    </row>
    <row r="16" spans="1:12" x14ac:dyDescent="0.35">
      <c r="A16" s="47" t="s">
        <v>736</v>
      </c>
      <c r="B16" s="47" t="s">
        <v>737</v>
      </c>
      <c r="C16" s="47" t="s">
        <v>750</v>
      </c>
      <c r="D16" s="48">
        <v>5000</v>
      </c>
      <c r="E16" s="11">
        <f t="shared" si="0"/>
        <v>20000</v>
      </c>
      <c r="F16" s="48">
        <v>425000</v>
      </c>
    </row>
    <row r="17" spans="1:6" x14ac:dyDescent="0.35">
      <c r="A17" s="49" t="s">
        <v>738</v>
      </c>
      <c r="B17" s="49" t="s">
        <v>739</v>
      </c>
      <c r="C17" s="47" t="s">
        <v>750</v>
      </c>
      <c r="D17" s="50">
        <v>5000</v>
      </c>
      <c r="E17" s="11">
        <f t="shared" si="0"/>
        <v>25000</v>
      </c>
      <c r="F17" s="50">
        <v>420000</v>
      </c>
    </row>
    <row r="18" spans="1:6" x14ac:dyDescent="0.35">
      <c r="A18" s="47" t="s">
        <v>740</v>
      </c>
      <c r="B18" s="47" t="s">
        <v>741</v>
      </c>
      <c r="C18" s="47" t="s">
        <v>750</v>
      </c>
      <c r="D18" s="48">
        <v>5000</v>
      </c>
      <c r="E18" s="11">
        <f t="shared" si="0"/>
        <v>30000</v>
      </c>
      <c r="F18" s="48">
        <v>415000</v>
      </c>
    </row>
    <row r="19" spans="1:6" x14ac:dyDescent="0.35">
      <c r="A19" s="49" t="s">
        <v>742</v>
      </c>
      <c r="B19" s="49" t="s">
        <v>743</v>
      </c>
      <c r="C19" s="47" t="s">
        <v>750</v>
      </c>
      <c r="D19" s="50">
        <v>5000</v>
      </c>
      <c r="E19" s="11">
        <f t="shared" si="0"/>
        <v>35000</v>
      </c>
      <c r="F19" s="50">
        <v>415000</v>
      </c>
    </row>
    <row r="20" spans="1:6" x14ac:dyDescent="0.35">
      <c r="A20" s="47" t="s">
        <v>744</v>
      </c>
      <c r="B20" s="47" t="s">
        <v>745</v>
      </c>
      <c r="C20" s="47" t="s">
        <v>750</v>
      </c>
      <c r="D20" s="48">
        <v>5000</v>
      </c>
      <c r="E20" s="11">
        <f t="shared" si="0"/>
        <v>40000</v>
      </c>
      <c r="F20" s="48">
        <v>410000</v>
      </c>
    </row>
    <row r="21" spans="1:6" x14ac:dyDescent="0.35">
      <c r="A21" s="49" t="s">
        <v>746</v>
      </c>
      <c r="B21" s="49" t="s">
        <v>747</v>
      </c>
      <c r="C21" s="47" t="s">
        <v>750</v>
      </c>
      <c r="D21" s="50">
        <v>5000</v>
      </c>
      <c r="E21" s="11">
        <f t="shared" si="0"/>
        <v>45000</v>
      </c>
      <c r="F21" s="50">
        <v>405000</v>
      </c>
    </row>
    <row r="22" spans="1:6" x14ac:dyDescent="0.35">
      <c r="A22" s="47" t="s">
        <v>748</v>
      </c>
      <c r="B22" s="47" t="s">
        <v>749</v>
      </c>
      <c r="C22" s="47" t="s">
        <v>750</v>
      </c>
      <c r="D22" s="48">
        <v>5000</v>
      </c>
      <c r="E22" s="11">
        <f t="shared" si="0"/>
        <v>50000</v>
      </c>
      <c r="F22" s="48">
        <v>400000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"/>
  <sheetViews>
    <sheetView topLeftCell="A34" workbookViewId="0">
      <selection activeCell="F51" sqref="F51"/>
    </sheetView>
  </sheetViews>
  <sheetFormatPr defaultRowHeight="14.5" x14ac:dyDescent="0.35"/>
  <cols>
    <col min="1" max="1" width="9.453125" bestFit="1" customWidth="1"/>
    <col min="3" max="3" width="11.7265625" customWidth="1"/>
    <col min="4" max="4" width="11.81640625" customWidth="1"/>
    <col min="6" max="6" width="10.90625" customWidth="1"/>
  </cols>
  <sheetData>
    <row r="1" spans="1:6" ht="18.5" x14ac:dyDescent="0.45">
      <c r="A1" s="1" t="s">
        <v>197</v>
      </c>
      <c r="B1" s="1"/>
      <c r="C1" s="1"/>
      <c r="D1" s="1"/>
      <c r="E1" s="1"/>
      <c r="F1" s="1"/>
    </row>
    <row r="2" spans="1:6" ht="18.5" x14ac:dyDescent="0.45">
      <c r="A2" s="1" t="s">
        <v>198</v>
      </c>
      <c r="C2" s="1"/>
      <c r="D2" s="1"/>
      <c r="E2" s="1"/>
      <c r="F2" s="1"/>
    </row>
    <row r="3" spans="1:6" ht="18.5" x14ac:dyDescent="0.45">
      <c r="A3" s="1" t="s">
        <v>199</v>
      </c>
      <c r="B3" s="1"/>
      <c r="C3" s="1"/>
      <c r="D3" s="1"/>
      <c r="E3" s="1"/>
      <c r="F3" s="1"/>
    </row>
    <row r="4" spans="1:6" ht="18.5" x14ac:dyDescent="0.45">
      <c r="A4" s="1" t="s">
        <v>366</v>
      </c>
      <c r="B4" s="1"/>
      <c r="C4" s="1"/>
      <c r="D4" s="1"/>
      <c r="E4" s="1"/>
      <c r="F4" s="1"/>
    </row>
    <row r="5" spans="1:6" ht="18.5" x14ac:dyDescent="0.45">
      <c r="A5" s="1" t="s">
        <v>200</v>
      </c>
      <c r="B5" s="1"/>
      <c r="C5" s="1"/>
      <c r="D5" s="1"/>
      <c r="E5" s="1"/>
      <c r="F5" s="1"/>
    </row>
    <row r="6" spans="1:6" ht="18.5" x14ac:dyDescent="0.45">
      <c r="A6" s="1" t="s">
        <v>201</v>
      </c>
      <c r="B6" s="1"/>
      <c r="C6" s="1"/>
      <c r="D6" s="1"/>
      <c r="E6" s="1" t="s">
        <v>178</v>
      </c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2" t="s">
        <v>202</v>
      </c>
      <c r="B8" s="2">
        <v>2289</v>
      </c>
      <c r="C8" s="2" t="s">
        <v>184</v>
      </c>
      <c r="D8" s="5">
        <v>140000</v>
      </c>
      <c r="E8" s="5">
        <v>140000</v>
      </c>
      <c r="F8" s="5">
        <v>560000</v>
      </c>
    </row>
    <row r="9" spans="1:6" x14ac:dyDescent="0.35">
      <c r="A9" s="2" t="s">
        <v>203</v>
      </c>
      <c r="B9" s="2">
        <v>250</v>
      </c>
      <c r="C9" s="2" t="s">
        <v>183</v>
      </c>
      <c r="D9" s="5">
        <v>10000</v>
      </c>
      <c r="E9" s="5">
        <f>SUM(E8+D9)</f>
        <v>150000</v>
      </c>
      <c r="F9" s="5">
        <f>F8-D9</f>
        <v>550000</v>
      </c>
    </row>
    <row r="10" spans="1:6" x14ac:dyDescent="0.35">
      <c r="A10" s="2" t="s">
        <v>204</v>
      </c>
      <c r="B10" s="2">
        <v>1283</v>
      </c>
      <c r="C10" s="2" t="s">
        <v>14</v>
      </c>
      <c r="D10" s="5">
        <v>10000</v>
      </c>
      <c r="E10" s="5">
        <f t="shared" ref="E10:E45" si="0">SUM(E9+D10)</f>
        <v>160000</v>
      </c>
      <c r="F10" s="5">
        <f t="shared" ref="F10:F45" si="1">F9-D10</f>
        <v>540000</v>
      </c>
    </row>
    <row r="11" spans="1:6" x14ac:dyDescent="0.35">
      <c r="A11" s="2" t="s">
        <v>205</v>
      </c>
      <c r="B11" s="2">
        <v>6851</v>
      </c>
      <c r="C11" s="2" t="s">
        <v>14</v>
      </c>
      <c r="D11" s="5">
        <v>10000</v>
      </c>
      <c r="E11" s="5">
        <f t="shared" si="0"/>
        <v>170000</v>
      </c>
      <c r="F11" s="5">
        <f t="shared" si="1"/>
        <v>530000</v>
      </c>
    </row>
    <row r="12" spans="1:6" x14ac:dyDescent="0.35">
      <c r="A12" s="6">
        <v>44992</v>
      </c>
      <c r="B12" s="2">
        <v>2104</v>
      </c>
      <c r="C12" s="2" t="s">
        <v>14</v>
      </c>
      <c r="D12" s="5">
        <v>10000</v>
      </c>
      <c r="E12" s="5">
        <f t="shared" si="0"/>
        <v>180000</v>
      </c>
      <c r="F12" s="5">
        <f t="shared" si="1"/>
        <v>520000</v>
      </c>
    </row>
    <row r="13" spans="1:6" x14ac:dyDescent="0.35">
      <c r="A13" s="2" t="s">
        <v>112</v>
      </c>
      <c r="B13" s="2">
        <v>2963</v>
      </c>
      <c r="C13" s="2" t="s">
        <v>14</v>
      </c>
      <c r="D13" s="5">
        <v>10000</v>
      </c>
      <c r="E13" s="5">
        <f t="shared" si="0"/>
        <v>190000</v>
      </c>
      <c r="F13" s="5">
        <f t="shared" si="1"/>
        <v>510000</v>
      </c>
    </row>
    <row r="14" spans="1:6" x14ac:dyDescent="0.35">
      <c r="A14" s="2" t="s">
        <v>206</v>
      </c>
      <c r="B14" s="2">
        <v>3164</v>
      </c>
      <c r="C14" s="2" t="s">
        <v>14</v>
      </c>
      <c r="D14" s="5">
        <v>10000</v>
      </c>
      <c r="E14" s="5">
        <f t="shared" si="0"/>
        <v>200000</v>
      </c>
      <c r="F14" s="5">
        <f t="shared" si="1"/>
        <v>500000</v>
      </c>
    </row>
    <row r="15" spans="1:6" x14ac:dyDescent="0.35">
      <c r="A15" s="6">
        <v>44995</v>
      </c>
      <c r="B15" s="2">
        <v>260</v>
      </c>
      <c r="C15" s="2" t="s">
        <v>14</v>
      </c>
      <c r="D15" s="5">
        <v>10000</v>
      </c>
      <c r="E15" s="5">
        <f t="shared" si="0"/>
        <v>210000</v>
      </c>
      <c r="F15" s="5">
        <f t="shared" si="1"/>
        <v>490000</v>
      </c>
    </row>
    <row r="16" spans="1:6" x14ac:dyDescent="0.35">
      <c r="A16" s="2" t="s">
        <v>207</v>
      </c>
      <c r="B16" s="2">
        <v>4584</v>
      </c>
      <c r="C16" s="2" t="s">
        <v>14</v>
      </c>
      <c r="D16" s="5">
        <v>10000</v>
      </c>
      <c r="E16" s="5">
        <f t="shared" si="0"/>
        <v>220000</v>
      </c>
      <c r="F16" s="5">
        <f t="shared" si="1"/>
        <v>480000</v>
      </c>
    </row>
    <row r="17" spans="1:6" x14ac:dyDescent="0.35">
      <c r="A17" s="2" t="s">
        <v>208</v>
      </c>
      <c r="B17" s="2">
        <v>5124</v>
      </c>
      <c r="C17" s="2" t="s">
        <v>14</v>
      </c>
      <c r="D17" s="5">
        <v>10000</v>
      </c>
      <c r="E17" s="5">
        <f t="shared" si="0"/>
        <v>230000</v>
      </c>
      <c r="F17" s="5">
        <f t="shared" si="1"/>
        <v>470000</v>
      </c>
    </row>
    <row r="18" spans="1:6" x14ac:dyDescent="0.35">
      <c r="A18" s="2" t="s">
        <v>209</v>
      </c>
      <c r="B18" s="2">
        <v>5753</v>
      </c>
      <c r="C18" s="2" t="s">
        <v>14</v>
      </c>
      <c r="D18" s="5">
        <v>10000</v>
      </c>
      <c r="E18" s="5">
        <f t="shared" si="0"/>
        <v>240000</v>
      </c>
      <c r="F18" s="5">
        <f t="shared" si="1"/>
        <v>460000</v>
      </c>
    </row>
    <row r="19" spans="1:6" x14ac:dyDescent="0.35">
      <c r="A19" s="2" t="s">
        <v>210</v>
      </c>
      <c r="B19" s="2">
        <v>6880</v>
      </c>
      <c r="C19" s="2" t="s">
        <v>14</v>
      </c>
      <c r="D19" s="5">
        <v>10000</v>
      </c>
      <c r="E19" s="5">
        <f t="shared" si="0"/>
        <v>250000</v>
      </c>
      <c r="F19" s="5">
        <f t="shared" si="1"/>
        <v>450000</v>
      </c>
    </row>
    <row r="20" spans="1:6" x14ac:dyDescent="0.35">
      <c r="A20" s="2" t="s">
        <v>53</v>
      </c>
      <c r="B20" s="2">
        <v>6768</v>
      </c>
      <c r="C20" s="2" t="s">
        <v>14</v>
      </c>
      <c r="D20" s="5">
        <v>10000</v>
      </c>
      <c r="E20" s="5">
        <f t="shared" si="0"/>
        <v>260000</v>
      </c>
      <c r="F20" s="5">
        <f t="shared" si="1"/>
        <v>440000</v>
      </c>
    </row>
    <row r="21" spans="1:6" x14ac:dyDescent="0.35">
      <c r="A21" s="2" t="s">
        <v>211</v>
      </c>
      <c r="B21" s="2">
        <v>7533</v>
      </c>
      <c r="C21" s="2" t="s">
        <v>14</v>
      </c>
      <c r="D21" s="5">
        <v>10000</v>
      </c>
      <c r="E21" s="5">
        <f t="shared" si="0"/>
        <v>270000</v>
      </c>
      <c r="F21" s="5">
        <f t="shared" si="1"/>
        <v>430000</v>
      </c>
    </row>
    <row r="22" spans="1:6" x14ac:dyDescent="0.35">
      <c r="A22" s="2" t="s">
        <v>55</v>
      </c>
      <c r="B22" s="2">
        <v>7904</v>
      </c>
      <c r="C22" s="2" t="s">
        <v>14</v>
      </c>
      <c r="D22" s="5">
        <v>10000</v>
      </c>
      <c r="E22" s="5">
        <f t="shared" si="0"/>
        <v>280000</v>
      </c>
      <c r="F22" s="5">
        <f t="shared" si="1"/>
        <v>420000</v>
      </c>
    </row>
    <row r="23" spans="1:6" x14ac:dyDescent="0.35">
      <c r="A23" s="2" t="s">
        <v>212</v>
      </c>
      <c r="B23" s="2">
        <v>9760</v>
      </c>
      <c r="C23" s="2" t="s">
        <v>14</v>
      </c>
      <c r="D23" s="5">
        <v>10000</v>
      </c>
      <c r="E23" s="5">
        <f t="shared" si="0"/>
        <v>290000</v>
      </c>
      <c r="F23" s="5">
        <f t="shared" si="1"/>
        <v>410000</v>
      </c>
    </row>
    <row r="24" spans="1:6" x14ac:dyDescent="0.35">
      <c r="A24" s="2" t="s">
        <v>213</v>
      </c>
      <c r="B24" s="2">
        <v>9759</v>
      </c>
      <c r="C24" s="2" t="s">
        <v>14</v>
      </c>
      <c r="D24" s="5">
        <v>10000</v>
      </c>
      <c r="E24" s="5">
        <f t="shared" si="0"/>
        <v>300000</v>
      </c>
      <c r="F24" s="5">
        <f t="shared" si="1"/>
        <v>400000</v>
      </c>
    </row>
    <row r="25" spans="1:6" x14ac:dyDescent="0.35">
      <c r="A25" s="2" t="s">
        <v>214</v>
      </c>
      <c r="B25" s="2">
        <v>9761</v>
      </c>
      <c r="C25" s="2" t="s">
        <v>14</v>
      </c>
      <c r="D25" s="5">
        <v>10000</v>
      </c>
      <c r="E25" s="5">
        <f t="shared" si="0"/>
        <v>310000</v>
      </c>
      <c r="F25" s="5">
        <f t="shared" si="1"/>
        <v>390000</v>
      </c>
    </row>
    <row r="26" spans="1:6" x14ac:dyDescent="0.35">
      <c r="A26" s="2" t="s">
        <v>215</v>
      </c>
      <c r="B26" s="2">
        <v>45</v>
      </c>
      <c r="C26" s="2" t="s">
        <v>14</v>
      </c>
      <c r="D26" s="5">
        <v>10000</v>
      </c>
      <c r="E26" s="5">
        <f t="shared" si="0"/>
        <v>320000</v>
      </c>
      <c r="F26" s="5">
        <f t="shared" si="1"/>
        <v>380000</v>
      </c>
    </row>
    <row r="27" spans="1:6" x14ac:dyDescent="0.35">
      <c r="A27" s="2" t="s">
        <v>216</v>
      </c>
      <c r="B27" s="2">
        <v>46</v>
      </c>
      <c r="C27" s="2" t="s">
        <v>14</v>
      </c>
      <c r="D27" s="5">
        <v>10000</v>
      </c>
      <c r="E27" s="5">
        <f t="shared" si="0"/>
        <v>330000</v>
      </c>
      <c r="F27" s="5">
        <f t="shared" si="1"/>
        <v>370000</v>
      </c>
    </row>
    <row r="28" spans="1:6" x14ac:dyDescent="0.35">
      <c r="A28" s="2" t="s">
        <v>217</v>
      </c>
      <c r="B28" s="2">
        <v>10330</v>
      </c>
      <c r="C28" s="2" t="s">
        <v>14</v>
      </c>
      <c r="D28" s="5">
        <v>10000</v>
      </c>
      <c r="E28" s="5">
        <f t="shared" si="0"/>
        <v>340000</v>
      </c>
      <c r="F28" s="5">
        <f t="shared" si="1"/>
        <v>360000</v>
      </c>
    </row>
    <row r="29" spans="1:6" x14ac:dyDescent="0.35">
      <c r="A29" s="2" t="s">
        <v>218</v>
      </c>
      <c r="B29" s="2">
        <v>12486</v>
      </c>
      <c r="C29" s="2" t="s">
        <v>14</v>
      </c>
      <c r="D29" s="5">
        <v>10000</v>
      </c>
      <c r="E29" s="5">
        <f t="shared" si="0"/>
        <v>350000</v>
      </c>
      <c r="F29" s="5">
        <f t="shared" si="1"/>
        <v>350000</v>
      </c>
    </row>
    <row r="30" spans="1:6" x14ac:dyDescent="0.35">
      <c r="A30" s="2" t="s">
        <v>219</v>
      </c>
      <c r="B30" s="2">
        <v>12728</v>
      </c>
      <c r="C30" s="2" t="s">
        <v>14</v>
      </c>
      <c r="D30" s="5">
        <v>10000</v>
      </c>
      <c r="E30" s="5">
        <f t="shared" si="0"/>
        <v>360000</v>
      </c>
      <c r="F30" s="5">
        <f t="shared" si="1"/>
        <v>340000</v>
      </c>
    </row>
    <row r="31" spans="1:6" x14ac:dyDescent="0.35">
      <c r="A31" s="2" t="s">
        <v>220</v>
      </c>
      <c r="B31" s="2">
        <v>9097</v>
      </c>
      <c r="C31" s="2" t="s">
        <v>14</v>
      </c>
      <c r="D31" s="5">
        <v>10000</v>
      </c>
      <c r="E31" s="5">
        <f t="shared" si="0"/>
        <v>370000</v>
      </c>
      <c r="F31" s="5">
        <f t="shared" si="1"/>
        <v>330000</v>
      </c>
    </row>
    <row r="32" spans="1:6" x14ac:dyDescent="0.35">
      <c r="A32" s="2" t="s">
        <v>221</v>
      </c>
      <c r="B32" s="2">
        <v>9969</v>
      </c>
      <c r="C32" s="2" t="s">
        <v>14</v>
      </c>
      <c r="D32" s="5">
        <v>10000</v>
      </c>
      <c r="E32" s="5">
        <f t="shared" si="0"/>
        <v>380000</v>
      </c>
      <c r="F32" s="5">
        <f t="shared" si="1"/>
        <v>320000</v>
      </c>
    </row>
    <row r="33" spans="1:6" x14ac:dyDescent="0.35">
      <c r="A33" s="2" t="s">
        <v>222</v>
      </c>
      <c r="B33" s="2">
        <v>9850</v>
      </c>
      <c r="C33" s="2" t="s">
        <v>14</v>
      </c>
      <c r="D33" s="5">
        <v>10000</v>
      </c>
      <c r="E33" s="5">
        <f t="shared" si="0"/>
        <v>390000</v>
      </c>
      <c r="F33" s="5">
        <f t="shared" si="1"/>
        <v>310000</v>
      </c>
    </row>
    <row r="34" spans="1:6" x14ac:dyDescent="0.35">
      <c r="A34" s="2" t="s">
        <v>223</v>
      </c>
      <c r="B34" s="2">
        <v>10229</v>
      </c>
      <c r="C34" s="2" t="s">
        <v>14</v>
      </c>
      <c r="D34" s="5">
        <v>10000</v>
      </c>
      <c r="E34" s="5">
        <f t="shared" si="0"/>
        <v>400000</v>
      </c>
      <c r="F34" s="5">
        <f t="shared" si="1"/>
        <v>300000</v>
      </c>
    </row>
    <row r="35" spans="1:6" x14ac:dyDescent="0.35">
      <c r="A35" s="2" t="s">
        <v>224</v>
      </c>
      <c r="B35" s="2">
        <v>10826</v>
      </c>
      <c r="C35" s="2" t="s">
        <v>14</v>
      </c>
      <c r="D35" s="5">
        <v>10000</v>
      </c>
      <c r="E35" s="5">
        <f t="shared" si="0"/>
        <v>410000</v>
      </c>
      <c r="F35" s="5">
        <f t="shared" si="1"/>
        <v>290000</v>
      </c>
    </row>
    <row r="36" spans="1:6" x14ac:dyDescent="0.35">
      <c r="A36" s="2" t="s">
        <v>225</v>
      </c>
      <c r="B36" s="2">
        <v>12238</v>
      </c>
      <c r="C36" s="2" t="s">
        <v>14</v>
      </c>
      <c r="D36" s="5">
        <v>10000</v>
      </c>
      <c r="E36" s="5">
        <f t="shared" si="0"/>
        <v>420000</v>
      </c>
      <c r="F36" s="5">
        <f t="shared" si="1"/>
        <v>280000</v>
      </c>
    </row>
    <row r="37" spans="1:6" x14ac:dyDescent="0.35">
      <c r="A37" s="2" t="s">
        <v>226</v>
      </c>
      <c r="B37" s="2">
        <v>12239</v>
      </c>
      <c r="C37" s="2" t="s">
        <v>14</v>
      </c>
      <c r="D37" s="5">
        <v>10000</v>
      </c>
      <c r="E37" s="5">
        <f t="shared" si="0"/>
        <v>430000</v>
      </c>
      <c r="F37" s="5">
        <f t="shared" si="1"/>
        <v>270000</v>
      </c>
    </row>
    <row r="38" spans="1:6" x14ac:dyDescent="0.35">
      <c r="A38" s="2" t="s">
        <v>227</v>
      </c>
      <c r="B38" s="2">
        <v>12979</v>
      </c>
      <c r="C38" s="2" t="s">
        <v>14</v>
      </c>
      <c r="D38" s="5">
        <v>10000</v>
      </c>
      <c r="E38" s="5">
        <f t="shared" si="0"/>
        <v>440000</v>
      </c>
      <c r="F38" s="5">
        <f t="shared" si="1"/>
        <v>260000</v>
      </c>
    </row>
    <row r="39" spans="1:6" x14ac:dyDescent="0.35">
      <c r="A39" s="2" t="s">
        <v>87</v>
      </c>
      <c r="B39" s="2">
        <v>13962</v>
      </c>
      <c r="C39" s="2" t="s">
        <v>14</v>
      </c>
      <c r="D39" s="5">
        <v>10000</v>
      </c>
      <c r="E39" s="5">
        <f t="shared" si="0"/>
        <v>450000</v>
      </c>
      <c r="F39" s="5">
        <f t="shared" si="1"/>
        <v>250000</v>
      </c>
    </row>
    <row r="40" spans="1:6" x14ac:dyDescent="0.35">
      <c r="A40" s="2" t="s">
        <v>228</v>
      </c>
      <c r="B40" s="2">
        <v>13543</v>
      </c>
      <c r="C40" s="2" t="s">
        <v>14</v>
      </c>
      <c r="D40" s="5">
        <v>10000</v>
      </c>
      <c r="E40" s="5">
        <f t="shared" si="0"/>
        <v>460000</v>
      </c>
      <c r="F40" s="5">
        <f t="shared" si="1"/>
        <v>240000</v>
      </c>
    </row>
    <row r="41" spans="1:6" x14ac:dyDescent="0.35">
      <c r="A41" s="2" t="s">
        <v>229</v>
      </c>
      <c r="B41" s="2">
        <v>13066</v>
      </c>
      <c r="C41" s="2" t="s">
        <v>14</v>
      </c>
      <c r="D41" s="5">
        <v>10000</v>
      </c>
      <c r="E41" s="5">
        <f t="shared" si="0"/>
        <v>470000</v>
      </c>
      <c r="F41" s="5">
        <f t="shared" si="1"/>
        <v>230000</v>
      </c>
    </row>
    <row r="42" spans="1:6" x14ac:dyDescent="0.35">
      <c r="A42" s="2" t="s">
        <v>230</v>
      </c>
      <c r="B42" s="2">
        <v>12688</v>
      </c>
      <c r="C42" s="2" t="s">
        <v>14</v>
      </c>
      <c r="D42" s="5">
        <v>10000</v>
      </c>
      <c r="E42" s="5">
        <f t="shared" si="0"/>
        <v>480000</v>
      </c>
      <c r="F42" s="5">
        <f t="shared" si="1"/>
        <v>220000</v>
      </c>
    </row>
    <row r="43" spans="1:6" x14ac:dyDescent="0.35">
      <c r="A43" s="6">
        <v>46266</v>
      </c>
      <c r="B43" s="2">
        <v>12045</v>
      </c>
      <c r="C43" s="2" t="s">
        <v>14</v>
      </c>
      <c r="D43" s="5">
        <v>10000</v>
      </c>
      <c r="E43" s="5">
        <f t="shared" si="0"/>
        <v>490000</v>
      </c>
      <c r="F43" s="5">
        <f t="shared" si="1"/>
        <v>210000</v>
      </c>
    </row>
    <row r="44" spans="1:6" x14ac:dyDescent="0.35">
      <c r="A44" s="2" t="s">
        <v>125</v>
      </c>
      <c r="B44" s="2">
        <v>12575</v>
      </c>
      <c r="C44" s="2" t="s">
        <v>14</v>
      </c>
      <c r="D44" s="5">
        <v>10000</v>
      </c>
      <c r="E44" s="5">
        <f t="shared" si="0"/>
        <v>500000</v>
      </c>
      <c r="F44" s="5">
        <f t="shared" si="1"/>
        <v>200000</v>
      </c>
    </row>
    <row r="45" spans="1:6" x14ac:dyDescent="0.35">
      <c r="A45" s="36" t="s">
        <v>231</v>
      </c>
      <c r="B45" s="36">
        <v>13921</v>
      </c>
      <c r="C45" s="36" t="s">
        <v>14</v>
      </c>
      <c r="D45" s="37">
        <v>10000</v>
      </c>
      <c r="E45" s="37">
        <f t="shared" si="0"/>
        <v>510000</v>
      </c>
      <c r="F45" s="37">
        <f t="shared" si="1"/>
        <v>190000</v>
      </c>
    </row>
    <row r="46" spans="1:6" x14ac:dyDescent="0.35">
      <c r="A46" s="20" t="s">
        <v>365</v>
      </c>
      <c r="B46" s="20">
        <v>13041</v>
      </c>
      <c r="C46" s="43" t="s">
        <v>14</v>
      </c>
      <c r="D46" s="44">
        <v>10000</v>
      </c>
      <c r="E46" s="44">
        <f>E45+D46</f>
        <v>520000</v>
      </c>
      <c r="F46" s="44">
        <f>F45-D46</f>
        <v>180000</v>
      </c>
    </row>
    <row r="47" spans="1:6" x14ac:dyDescent="0.35">
      <c r="A47" s="20" t="s">
        <v>718</v>
      </c>
      <c r="B47" s="20">
        <v>13411</v>
      </c>
      <c r="C47" s="43" t="s">
        <v>14</v>
      </c>
      <c r="D47" s="44">
        <v>10000</v>
      </c>
      <c r="E47" s="15">
        <f>E46+D47</f>
        <v>530000</v>
      </c>
      <c r="F47" s="15">
        <f>F46-D47</f>
        <v>170000</v>
      </c>
    </row>
    <row r="48" spans="1:6" x14ac:dyDescent="0.35">
      <c r="A48" s="20" t="s">
        <v>716</v>
      </c>
      <c r="B48" s="20">
        <v>13680</v>
      </c>
      <c r="C48" s="2" t="s">
        <v>14</v>
      </c>
      <c r="D48" s="5">
        <v>10000</v>
      </c>
      <c r="E48" s="15">
        <f>E47+D48</f>
        <v>540000</v>
      </c>
      <c r="F48" s="15">
        <f>F47-D48</f>
        <v>160000</v>
      </c>
    </row>
    <row r="49" spans="1:6" x14ac:dyDescent="0.35">
      <c r="A49" s="20" t="s">
        <v>717</v>
      </c>
      <c r="B49" s="20">
        <v>1554</v>
      </c>
      <c r="C49" s="2" t="s">
        <v>14</v>
      </c>
      <c r="D49" s="5">
        <v>10000</v>
      </c>
      <c r="E49" s="15">
        <f>E48+D49</f>
        <v>550000</v>
      </c>
      <c r="F49" s="15">
        <f>F48-D49</f>
        <v>150000</v>
      </c>
    </row>
    <row r="50" spans="1:6" x14ac:dyDescent="0.35">
      <c r="A50" s="20" t="s">
        <v>652</v>
      </c>
      <c r="B50" s="20">
        <v>1810</v>
      </c>
      <c r="C50" s="2" t="s">
        <v>14</v>
      </c>
      <c r="D50" s="5">
        <v>10000</v>
      </c>
      <c r="E50" s="15">
        <f>E49+D50</f>
        <v>560000</v>
      </c>
      <c r="F50" s="15">
        <f>F49-D50</f>
        <v>140000</v>
      </c>
    </row>
    <row r="51" spans="1:6" x14ac:dyDescent="0.35">
      <c r="A51" s="20"/>
      <c r="B51" s="20"/>
      <c r="C51" s="2"/>
      <c r="D51" s="5"/>
      <c r="E51" s="15"/>
      <c r="F51" s="15"/>
    </row>
    <row r="52" spans="1:6" x14ac:dyDescent="0.35">
      <c r="A52" s="20"/>
      <c r="B52" s="20"/>
      <c r="C52" s="2"/>
      <c r="D52" s="5"/>
      <c r="E52" s="15"/>
      <c r="F52" s="15"/>
    </row>
    <row r="55" spans="1:6" x14ac:dyDescent="0.35">
      <c r="C5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"/>
  <sheetViews>
    <sheetView topLeftCell="A29" workbookViewId="0">
      <selection activeCell="C39" sqref="C39"/>
    </sheetView>
  </sheetViews>
  <sheetFormatPr defaultRowHeight="14.5" x14ac:dyDescent="0.35"/>
  <cols>
    <col min="3" max="3" width="25.36328125" customWidth="1"/>
    <col min="6" max="6" width="11.36328125" customWidth="1"/>
  </cols>
  <sheetData>
    <row r="1" spans="1:6" ht="18.5" x14ac:dyDescent="0.45">
      <c r="A1" s="1" t="s">
        <v>246</v>
      </c>
      <c r="B1" s="1"/>
      <c r="C1" s="1"/>
      <c r="D1" s="1"/>
      <c r="E1" s="1"/>
      <c r="F1" s="1"/>
    </row>
    <row r="2" spans="1:6" ht="18.5" x14ac:dyDescent="0.45">
      <c r="A2" s="1" t="s">
        <v>232</v>
      </c>
      <c r="C2" s="1"/>
      <c r="D2" s="1"/>
      <c r="E2" s="1"/>
      <c r="F2" s="1"/>
    </row>
    <row r="3" spans="1:6" ht="18.5" x14ac:dyDescent="0.45">
      <c r="A3" s="1" t="s">
        <v>233</v>
      </c>
      <c r="B3" s="1"/>
      <c r="C3" s="1"/>
      <c r="D3" s="1"/>
      <c r="E3" s="1"/>
      <c r="F3" s="1"/>
    </row>
    <row r="4" spans="1:6" ht="18.5" x14ac:dyDescent="0.45">
      <c r="A4" s="1" t="s">
        <v>235</v>
      </c>
      <c r="B4" s="1"/>
      <c r="C4" s="1"/>
      <c r="D4" s="1"/>
      <c r="E4" s="1"/>
      <c r="F4" s="1"/>
    </row>
    <row r="5" spans="1:6" ht="18.5" x14ac:dyDescent="0.45">
      <c r="A5" s="1" t="s">
        <v>234</v>
      </c>
      <c r="B5" s="1"/>
      <c r="C5" s="1"/>
      <c r="D5" s="1"/>
      <c r="E5" s="1"/>
      <c r="F5" s="1"/>
    </row>
    <row r="6" spans="1:6" ht="18.5" x14ac:dyDescent="0.45">
      <c r="A6" s="1" t="s">
        <v>236</v>
      </c>
      <c r="B6" s="1"/>
      <c r="C6" s="1"/>
      <c r="D6" s="1"/>
      <c r="E6" s="1" t="s">
        <v>178</v>
      </c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2" t="s">
        <v>237</v>
      </c>
      <c r="B8" s="2">
        <v>254</v>
      </c>
      <c r="C8" s="2" t="s">
        <v>22</v>
      </c>
      <c r="D8" s="5">
        <v>10000</v>
      </c>
      <c r="E8" s="5">
        <v>10000</v>
      </c>
      <c r="F8" s="5">
        <v>690000</v>
      </c>
    </row>
    <row r="9" spans="1:6" x14ac:dyDescent="0.35">
      <c r="A9" s="2" t="s">
        <v>238</v>
      </c>
      <c r="B9" s="2">
        <v>45</v>
      </c>
      <c r="C9" s="2" t="s">
        <v>245</v>
      </c>
      <c r="D9" s="5">
        <v>140000</v>
      </c>
      <c r="E9" s="5">
        <f>SUM(E8+D9)</f>
        <v>150000</v>
      </c>
      <c r="F9" s="5">
        <f>F8-D9</f>
        <v>550000</v>
      </c>
    </row>
    <row r="10" spans="1:6" x14ac:dyDescent="0.35">
      <c r="A10" s="2" t="s">
        <v>205</v>
      </c>
      <c r="B10" s="2">
        <v>830</v>
      </c>
      <c r="C10" s="2" t="s">
        <v>14</v>
      </c>
      <c r="D10" s="5">
        <v>10000</v>
      </c>
      <c r="E10" s="5">
        <f t="shared" ref="E10:E40" si="0">SUM(E9+D10)</f>
        <v>160000</v>
      </c>
      <c r="F10" s="5">
        <f t="shared" ref="F10:F40" si="1">F9-D10</f>
        <v>540000</v>
      </c>
    </row>
    <row r="11" spans="1:6" x14ac:dyDescent="0.35">
      <c r="A11" s="2" t="s">
        <v>239</v>
      </c>
      <c r="B11" s="2">
        <v>2103</v>
      </c>
      <c r="C11" s="2" t="s">
        <v>14</v>
      </c>
      <c r="D11" s="5">
        <v>20000</v>
      </c>
      <c r="E11" s="5">
        <f t="shared" si="0"/>
        <v>180000</v>
      </c>
      <c r="F11" s="5">
        <f t="shared" si="1"/>
        <v>520000</v>
      </c>
    </row>
    <row r="12" spans="1:6" x14ac:dyDescent="0.35">
      <c r="A12" s="2" t="s">
        <v>240</v>
      </c>
      <c r="B12" s="2">
        <v>3592</v>
      </c>
      <c r="C12" s="2" t="s">
        <v>14</v>
      </c>
      <c r="D12" s="5">
        <v>15000</v>
      </c>
      <c r="E12" s="5">
        <f t="shared" si="0"/>
        <v>195000</v>
      </c>
      <c r="F12" s="5">
        <f t="shared" si="1"/>
        <v>505000</v>
      </c>
    </row>
    <row r="13" spans="1:6" x14ac:dyDescent="0.35">
      <c r="A13" s="2" t="s">
        <v>207</v>
      </c>
      <c r="B13" s="2">
        <v>4585</v>
      </c>
      <c r="C13" s="2" t="s">
        <v>14</v>
      </c>
      <c r="D13" s="5">
        <v>25000</v>
      </c>
      <c r="E13" s="5">
        <f t="shared" si="0"/>
        <v>220000</v>
      </c>
      <c r="F13" s="5">
        <f t="shared" si="1"/>
        <v>480000</v>
      </c>
    </row>
    <row r="14" spans="1:6" x14ac:dyDescent="0.35">
      <c r="A14" s="2" t="s">
        <v>241</v>
      </c>
      <c r="B14" s="2">
        <v>6378</v>
      </c>
      <c r="C14" s="2" t="s">
        <v>14</v>
      </c>
      <c r="D14" s="5">
        <v>10000</v>
      </c>
      <c r="E14" s="5">
        <f t="shared" si="0"/>
        <v>230000</v>
      </c>
      <c r="F14" s="5">
        <f t="shared" si="1"/>
        <v>470000</v>
      </c>
    </row>
    <row r="15" spans="1:6" x14ac:dyDescent="0.35">
      <c r="A15" s="2" t="s">
        <v>242</v>
      </c>
      <c r="B15" s="2">
        <v>5855</v>
      </c>
      <c r="C15" s="2" t="s">
        <v>14</v>
      </c>
      <c r="D15" s="5">
        <v>10000</v>
      </c>
      <c r="E15" s="5">
        <f t="shared" si="0"/>
        <v>240000</v>
      </c>
      <c r="F15" s="5">
        <f t="shared" si="1"/>
        <v>460000</v>
      </c>
    </row>
    <row r="16" spans="1:6" x14ac:dyDescent="0.35">
      <c r="A16" s="2" t="s">
        <v>210</v>
      </c>
      <c r="B16" s="2">
        <v>6379</v>
      </c>
      <c r="C16" s="2" t="s">
        <v>14</v>
      </c>
      <c r="D16" s="5">
        <v>10000</v>
      </c>
      <c r="E16" s="5">
        <f t="shared" si="0"/>
        <v>250000</v>
      </c>
      <c r="F16" s="5">
        <f t="shared" si="1"/>
        <v>450000</v>
      </c>
    </row>
    <row r="17" spans="1:6" x14ac:dyDescent="0.35">
      <c r="A17" s="2" t="s">
        <v>243</v>
      </c>
      <c r="B17" s="2">
        <v>6855</v>
      </c>
      <c r="C17" s="2" t="s">
        <v>14</v>
      </c>
      <c r="D17" s="5">
        <v>10000</v>
      </c>
      <c r="E17" s="5">
        <f t="shared" si="0"/>
        <v>260000</v>
      </c>
      <c r="F17" s="5">
        <f t="shared" si="1"/>
        <v>440000</v>
      </c>
    </row>
    <row r="18" spans="1:6" x14ac:dyDescent="0.35">
      <c r="A18" s="2" t="s">
        <v>244</v>
      </c>
      <c r="B18" s="2">
        <v>7603</v>
      </c>
      <c r="C18" s="2" t="s">
        <v>14</v>
      </c>
      <c r="D18" s="5">
        <v>10000</v>
      </c>
      <c r="E18" s="5">
        <f t="shared" si="0"/>
        <v>270000</v>
      </c>
      <c r="F18" s="5">
        <f t="shared" si="1"/>
        <v>430000</v>
      </c>
    </row>
    <row r="19" spans="1:6" x14ac:dyDescent="0.35">
      <c r="A19" s="2" t="s">
        <v>55</v>
      </c>
      <c r="B19" s="2">
        <v>7903</v>
      </c>
      <c r="C19" s="2" t="s">
        <v>14</v>
      </c>
      <c r="D19" s="5">
        <v>10000</v>
      </c>
      <c r="E19" s="5">
        <f t="shared" si="0"/>
        <v>280000</v>
      </c>
      <c r="F19" s="5">
        <f t="shared" si="1"/>
        <v>420000</v>
      </c>
    </row>
    <row r="20" spans="1:6" x14ac:dyDescent="0.35">
      <c r="A20" s="2" t="s">
        <v>247</v>
      </c>
      <c r="B20" s="2">
        <v>9762</v>
      </c>
      <c r="C20" s="2" t="s">
        <v>14</v>
      </c>
      <c r="D20" s="5">
        <v>9000</v>
      </c>
      <c r="E20" s="5">
        <f t="shared" si="0"/>
        <v>289000</v>
      </c>
      <c r="F20" s="5">
        <f t="shared" si="1"/>
        <v>411000</v>
      </c>
    </row>
    <row r="21" spans="1:6" x14ac:dyDescent="0.35">
      <c r="A21" s="2" t="s">
        <v>213</v>
      </c>
      <c r="B21" s="2">
        <v>9763</v>
      </c>
      <c r="C21" s="2" t="s">
        <v>14</v>
      </c>
      <c r="D21" s="5">
        <v>10000</v>
      </c>
      <c r="E21" s="5">
        <f t="shared" si="0"/>
        <v>299000</v>
      </c>
      <c r="F21" s="5">
        <f t="shared" si="1"/>
        <v>401000</v>
      </c>
    </row>
    <row r="22" spans="1:6" x14ac:dyDescent="0.35">
      <c r="A22" s="2" t="s">
        <v>214</v>
      </c>
      <c r="B22" s="2">
        <v>9764</v>
      </c>
      <c r="C22" s="2" t="s">
        <v>14</v>
      </c>
      <c r="D22" s="5">
        <v>10000</v>
      </c>
      <c r="E22" s="5">
        <f t="shared" si="0"/>
        <v>309000</v>
      </c>
      <c r="F22" s="5">
        <f t="shared" si="1"/>
        <v>391000</v>
      </c>
    </row>
    <row r="23" spans="1:6" x14ac:dyDescent="0.35">
      <c r="A23" s="2" t="s">
        <v>215</v>
      </c>
      <c r="B23" s="2">
        <v>10143</v>
      </c>
      <c r="C23" s="2" t="s">
        <v>14</v>
      </c>
      <c r="D23" s="5">
        <v>10000</v>
      </c>
      <c r="E23" s="5">
        <f t="shared" si="0"/>
        <v>319000</v>
      </c>
      <c r="F23" s="5">
        <f t="shared" si="1"/>
        <v>381000</v>
      </c>
    </row>
    <row r="24" spans="1:6" x14ac:dyDescent="0.35">
      <c r="A24" s="2" t="s">
        <v>216</v>
      </c>
      <c r="B24" s="2">
        <v>10144</v>
      </c>
      <c r="C24" s="2" t="s">
        <v>14</v>
      </c>
      <c r="D24" s="5">
        <v>10000</v>
      </c>
      <c r="E24" s="5">
        <f t="shared" si="0"/>
        <v>329000</v>
      </c>
      <c r="F24" s="5">
        <f t="shared" si="1"/>
        <v>371000</v>
      </c>
    </row>
    <row r="25" spans="1:6" x14ac:dyDescent="0.35">
      <c r="A25" s="2" t="s">
        <v>248</v>
      </c>
      <c r="B25" s="2">
        <v>9902</v>
      </c>
      <c r="C25" s="2" t="s">
        <v>14</v>
      </c>
      <c r="D25" s="5">
        <v>10000</v>
      </c>
      <c r="E25" s="5">
        <f t="shared" si="0"/>
        <v>339000</v>
      </c>
      <c r="F25" s="5">
        <f t="shared" si="1"/>
        <v>361000</v>
      </c>
    </row>
    <row r="26" spans="1:6" x14ac:dyDescent="0.35">
      <c r="A26" s="2" t="s">
        <v>249</v>
      </c>
      <c r="B26" s="2">
        <v>12472</v>
      </c>
      <c r="C26" s="2" t="s">
        <v>14</v>
      </c>
      <c r="D26" s="5">
        <v>10000</v>
      </c>
      <c r="E26" s="5">
        <f t="shared" si="0"/>
        <v>349000</v>
      </c>
      <c r="F26" s="5">
        <f t="shared" si="1"/>
        <v>351000</v>
      </c>
    </row>
    <row r="27" spans="1:6" x14ac:dyDescent="0.35">
      <c r="A27" s="2" t="s">
        <v>250</v>
      </c>
      <c r="B27" s="2">
        <v>12779</v>
      </c>
      <c r="C27" s="2" t="s">
        <v>14</v>
      </c>
      <c r="D27" s="5">
        <v>10000</v>
      </c>
      <c r="E27" s="5">
        <f t="shared" si="0"/>
        <v>359000</v>
      </c>
      <c r="F27" s="5">
        <f t="shared" si="1"/>
        <v>341000</v>
      </c>
    </row>
    <row r="28" spans="1:6" x14ac:dyDescent="0.35">
      <c r="A28" s="2" t="s">
        <v>251</v>
      </c>
      <c r="B28" s="2">
        <v>9133</v>
      </c>
      <c r="C28" s="2" t="s">
        <v>14</v>
      </c>
      <c r="D28" s="5">
        <v>10000</v>
      </c>
      <c r="E28" s="5">
        <f t="shared" si="0"/>
        <v>369000</v>
      </c>
      <c r="F28" s="5">
        <f t="shared" si="1"/>
        <v>331000</v>
      </c>
    </row>
    <row r="29" spans="1:6" x14ac:dyDescent="0.35">
      <c r="A29" s="2" t="s">
        <v>252</v>
      </c>
      <c r="B29" s="2">
        <v>9536</v>
      </c>
      <c r="C29" s="2" t="s">
        <v>14</v>
      </c>
      <c r="D29" s="5">
        <v>10000</v>
      </c>
      <c r="E29" s="5">
        <f t="shared" si="0"/>
        <v>379000</v>
      </c>
      <c r="F29" s="5">
        <f t="shared" si="1"/>
        <v>321000</v>
      </c>
    </row>
    <row r="30" spans="1:6" x14ac:dyDescent="0.35">
      <c r="A30" s="2" t="s">
        <v>253</v>
      </c>
      <c r="B30" s="2">
        <v>9903</v>
      </c>
      <c r="C30" s="2" t="s">
        <v>14</v>
      </c>
      <c r="D30" s="5">
        <v>10000</v>
      </c>
      <c r="E30" s="5">
        <f t="shared" si="0"/>
        <v>389000</v>
      </c>
      <c r="F30" s="5">
        <f t="shared" si="1"/>
        <v>311000</v>
      </c>
    </row>
    <row r="31" spans="1:6" x14ac:dyDescent="0.35">
      <c r="A31" s="2" t="s">
        <v>254</v>
      </c>
      <c r="B31" s="2">
        <v>12309</v>
      </c>
      <c r="C31" s="2" t="s">
        <v>14</v>
      </c>
      <c r="D31" s="5">
        <v>10000</v>
      </c>
      <c r="E31" s="5">
        <f t="shared" si="0"/>
        <v>399000</v>
      </c>
      <c r="F31" s="5">
        <f t="shared" si="1"/>
        <v>301000</v>
      </c>
    </row>
    <row r="32" spans="1:6" x14ac:dyDescent="0.35">
      <c r="A32" s="2" t="s">
        <v>255</v>
      </c>
      <c r="B32" s="2">
        <v>12545</v>
      </c>
      <c r="C32" s="2" t="s">
        <v>14</v>
      </c>
      <c r="D32" s="5">
        <v>10000</v>
      </c>
      <c r="E32" s="5">
        <f t="shared" si="0"/>
        <v>409000</v>
      </c>
      <c r="F32" s="5">
        <f t="shared" si="1"/>
        <v>291000</v>
      </c>
    </row>
    <row r="33" spans="1:6" x14ac:dyDescent="0.35">
      <c r="A33" s="2" t="s">
        <v>256</v>
      </c>
      <c r="B33" s="2">
        <v>13813</v>
      </c>
      <c r="C33" s="2" t="s">
        <v>14</v>
      </c>
      <c r="D33" s="5">
        <v>10000</v>
      </c>
      <c r="E33" s="5">
        <f t="shared" si="0"/>
        <v>419000</v>
      </c>
      <c r="F33" s="5">
        <f t="shared" si="1"/>
        <v>281000</v>
      </c>
    </row>
    <row r="34" spans="1:6" x14ac:dyDescent="0.35">
      <c r="A34" s="2" t="s">
        <v>257</v>
      </c>
      <c r="B34" s="2">
        <v>13595</v>
      </c>
      <c r="C34" s="2" t="s">
        <v>14</v>
      </c>
      <c r="D34" s="5">
        <v>10000</v>
      </c>
      <c r="E34" s="5">
        <f t="shared" si="0"/>
        <v>429000</v>
      </c>
      <c r="F34" s="5">
        <f t="shared" si="1"/>
        <v>271000</v>
      </c>
    </row>
    <row r="35" spans="1:6" x14ac:dyDescent="0.35">
      <c r="A35" s="2" t="s">
        <v>258</v>
      </c>
      <c r="B35" s="2">
        <v>13069</v>
      </c>
      <c r="C35" s="2" t="s">
        <v>14</v>
      </c>
      <c r="D35" s="5">
        <v>10000</v>
      </c>
      <c r="E35" s="5">
        <f t="shared" si="0"/>
        <v>439000</v>
      </c>
      <c r="F35" s="5">
        <f t="shared" si="1"/>
        <v>261000</v>
      </c>
    </row>
    <row r="36" spans="1:6" x14ac:dyDescent="0.35">
      <c r="A36" s="2" t="s">
        <v>259</v>
      </c>
      <c r="B36" s="2">
        <v>13837</v>
      </c>
      <c r="C36" s="2" t="s">
        <v>14</v>
      </c>
      <c r="D36" s="5">
        <v>10000</v>
      </c>
      <c r="E36" s="5">
        <f t="shared" si="0"/>
        <v>449000</v>
      </c>
      <c r="F36" s="5">
        <f t="shared" si="1"/>
        <v>251000</v>
      </c>
    </row>
    <row r="37" spans="1:6" x14ac:dyDescent="0.35">
      <c r="A37" s="2" t="s">
        <v>260</v>
      </c>
      <c r="B37" s="2">
        <v>12284</v>
      </c>
      <c r="C37" s="2" t="s">
        <v>263</v>
      </c>
      <c r="D37" s="5">
        <v>30000</v>
      </c>
      <c r="E37" s="5">
        <f t="shared" si="0"/>
        <v>479000</v>
      </c>
      <c r="F37" s="5">
        <f t="shared" si="1"/>
        <v>221000</v>
      </c>
    </row>
    <row r="38" spans="1:6" x14ac:dyDescent="0.35">
      <c r="A38" s="2" t="s">
        <v>260</v>
      </c>
      <c r="B38" s="2">
        <v>12285</v>
      </c>
      <c r="C38" s="2" t="s">
        <v>14</v>
      </c>
      <c r="D38" s="5">
        <v>10000</v>
      </c>
      <c r="E38" s="5">
        <f t="shared" si="0"/>
        <v>489000</v>
      </c>
      <c r="F38" s="5">
        <f t="shared" si="1"/>
        <v>211000</v>
      </c>
    </row>
    <row r="39" spans="1:6" x14ac:dyDescent="0.35">
      <c r="A39" s="2" t="s">
        <v>261</v>
      </c>
      <c r="B39" s="2">
        <v>13940</v>
      </c>
      <c r="C39" s="2" t="s">
        <v>14</v>
      </c>
      <c r="D39" s="5">
        <v>10000</v>
      </c>
      <c r="E39" s="5">
        <f t="shared" si="0"/>
        <v>499000</v>
      </c>
      <c r="F39" s="5">
        <f t="shared" si="1"/>
        <v>201000</v>
      </c>
    </row>
    <row r="40" spans="1:6" x14ac:dyDescent="0.35">
      <c r="A40" s="2" t="s">
        <v>262</v>
      </c>
      <c r="B40" s="2">
        <v>12590</v>
      </c>
      <c r="C40" s="2" t="s">
        <v>14</v>
      </c>
      <c r="D40" s="5">
        <v>10000</v>
      </c>
      <c r="E40" s="5">
        <f t="shared" si="0"/>
        <v>509000</v>
      </c>
      <c r="F40" s="5">
        <f t="shared" si="1"/>
        <v>191000</v>
      </c>
    </row>
    <row r="41" spans="1:6" x14ac:dyDescent="0.35">
      <c r="A41" s="20" t="s">
        <v>719</v>
      </c>
      <c r="B41" s="20">
        <v>13066</v>
      </c>
      <c r="C41" s="2" t="s">
        <v>14</v>
      </c>
      <c r="D41" s="15">
        <v>10000</v>
      </c>
      <c r="E41" s="15">
        <f>E40+D41</f>
        <v>519000</v>
      </c>
      <c r="F41" s="15">
        <f>F40-D41</f>
        <v>181000</v>
      </c>
    </row>
    <row r="42" spans="1:6" x14ac:dyDescent="0.35">
      <c r="A42" s="20" t="s">
        <v>720</v>
      </c>
      <c r="B42" s="20">
        <v>13467</v>
      </c>
      <c r="C42" s="2" t="s">
        <v>14</v>
      </c>
      <c r="D42" s="15">
        <v>10000</v>
      </c>
      <c r="E42" s="15">
        <f>E41+D42</f>
        <v>529000</v>
      </c>
      <c r="F42" s="15">
        <f>F41-D42</f>
        <v>171000</v>
      </c>
    </row>
    <row r="43" spans="1:6" x14ac:dyDescent="0.35">
      <c r="A43" s="20" t="s">
        <v>721</v>
      </c>
      <c r="B43" s="20">
        <v>1324</v>
      </c>
      <c r="C43" s="2" t="s">
        <v>14</v>
      </c>
      <c r="D43" s="15">
        <v>10000</v>
      </c>
      <c r="E43" s="15">
        <f>E42+D43</f>
        <v>539000</v>
      </c>
      <c r="F43" s="15">
        <f>F42-D43</f>
        <v>161000</v>
      </c>
    </row>
    <row r="44" spans="1:6" x14ac:dyDescent="0.35">
      <c r="A44" s="20" t="s">
        <v>722</v>
      </c>
      <c r="B44" s="20">
        <v>1579</v>
      </c>
      <c r="C44" s="2" t="s">
        <v>14</v>
      </c>
      <c r="D44" s="15">
        <v>10000</v>
      </c>
      <c r="E44" s="15">
        <f>E43+D44</f>
        <v>549000</v>
      </c>
      <c r="F44" s="15">
        <f>F43-D44</f>
        <v>151000</v>
      </c>
    </row>
    <row r="45" spans="1:6" x14ac:dyDescent="0.35">
      <c r="A45" s="20" t="s">
        <v>723</v>
      </c>
      <c r="B45" s="20">
        <v>1864</v>
      </c>
      <c r="C45" s="2" t="s">
        <v>14</v>
      </c>
      <c r="D45" s="15">
        <v>10000</v>
      </c>
      <c r="E45" s="15">
        <f>E44+D45</f>
        <v>559000</v>
      </c>
      <c r="F45" s="15">
        <f>F44-D45</f>
        <v>141000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topLeftCell="A22" workbookViewId="0">
      <selection activeCell="I3" sqref="I3"/>
    </sheetView>
  </sheetViews>
  <sheetFormatPr defaultRowHeight="14.5" x14ac:dyDescent="0.35"/>
  <cols>
    <col min="1" max="1" width="14.26953125" customWidth="1"/>
    <col min="3" max="3" width="23.54296875" customWidth="1"/>
    <col min="4" max="4" width="10.1796875" customWidth="1"/>
    <col min="6" max="6" width="11.36328125" bestFit="1" customWidth="1"/>
  </cols>
  <sheetData>
    <row r="1" spans="1:6" ht="18.5" x14ac:dyDescent="0.45">
      <c r="A1" s="1" t="s">
        <v>103</v>
      </c>
      <c r="B1" s="1"/>
      <c r="C1" s="1"/>
      <c r="D1" s="1"/>
      <c r="E1" s="1"/>
      <c r="F1" s="1"/>
    </row>
    <row r="2" spans="1:6" ht="18.5" x14ac:dyDescent="0.45">
      <c r="A2" s="1" t="s">
        <v>104</v>
      </c>
      <c r="C2" s="1"/>
      <c r="D2" s="1"/>
      <c r="E2" s="1"/>
      <c r="F2" s="1"/>
    </row>
    <row r="3" spans="1:6" ht="18.5" x14ac:dyDescent="0.45">
      <c r="A3" s="1" t="s">
        <v>105</v>
      </c>
      <c r="B3" s="1"/>
      <c r="C3" s="1"/>
      <c r="D3" s="1"/>
      <c r="E3" s="1"/>
      <c r="F3" s="1"/>
    </row>
    <row r="4" spans="1:6" ht="18.5" x14ac:dyDescent="0.45">
      <c r="A4" s="1" t="s">
        <v>196</v>
      </c>
      <c r="B4" s="1"/>
      <c r="C4" s="1"/>
      <c r="D4" s="1"/>
      <c r="E4" s="1"/>
      <c r="F4" s="1"/>
    </row>
    <row r="5" spans="1:6" ht="18.5" x14ac:dyDescent="0.45">
      <c r="A5" s="1" t="s">
        <v>106</v>
      </c>
      <c r="B5" s="1"/>
      <c r="C5" s="1"/>
      <c r="D5" s="1"/>
      <c r="E5" s="1"/>
      <c r="F5" s="1"/>
    </row>
    <row r="6" spans="1:6" ht="18.5" x14ac:dyDescent="0.45">
      <c r="A6" s="1" t="s">
        <v>108</v>
      </c>
      <c r="B6" s="1"/>
      <c r="C6" s="1"/>
      <c r="D6" s="1"/>
      <c r="E6" s="1" t="s">
        <v>107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7" t="s">
        <v>109</v>
      </c>
      <c r="B8" s="7"/>
      <c r="C8" s="7" t="s">
        <v>24</v>
      </c>
      <c r="D8" s="13">
        <v>120000</v>
      </c>
      <c r="E8" s="13">
        <v>120000</v>
      </c>
      <c r="F8" s="13">
        <v>380000</v>
      </c>
    </row>
    <row r="9" spans="1:6" x14ac:dyDescent="0.35">
      <c r="A9" s="7" t="s">
        <v>94</v>
      </c>
      <c r="B9" s="7">
        <v>700</v>
      </c>
      <c r="C9" s="7" t="s">
        <v>14</v>
      </c>
      <c r="D9" s="13">
        <v>10000</v>
      </c>
      <c r="E9" s="13">
        <f>SUM(E8+D9)</f>
        <v>130000</v>
      </c>
      <c r="F9" s="13">
        <f>F8-D9</f>
        <v>370000</v>
      </c>
    </row>
    <row r="10" spans="1:6" x14ac:dyDescent="0.35">
      <c r="A10" s="7" t="s">
        <v>21</v>
      </c>
      <c r="B10" s="7">
        <v>1679</v>
      </c>
      <c r="C10" s="7" t="s">
        <v>14</v>
      </c>
      <c r="D10" s="13">
        <v>10000</v>
      </c>
      <c r="E10" s="13">
        <f t="shared" ref="E10:E30" si="0">SUM(E9+D10)</f>
        <v>140000</v>
      </c>
      <c r="F10" s="13">
        <f t="shared" ref="F10:F30" si="1">F9-D10</f>
        <v>360000</v>
      </c>
    </row>
    <row r="11" spans="1:6" x14ac:dyDescent="0.35">
      <c r="A11" s="7" t="s">
        <v>110</v>
      </c>
      <c r="B11" s="7">
        <v>1734</v>
      </c>
      <c r="C11" s="7" t="s">
        <v>14</v>
      </c>
      <c r="D11" s="13">
        <v>10000</v>
      </c>
      <c r="E11" s="13">
        <f t="shared" si="0"/>
        <v>150000</v>
      </c>
      <c r="F11" s="13">
        <f t="shared" si="1"/>
        <v>350000</v>
      </c>
    </row>
    <row r="12" spans="1:6" x14ac:dyDescent="0.35">
      <c r="A12" s="7" t="s">
        <v>111</v>
      </c>
      <c r="B12" s="7">
        <v>220</v>
      </c>
      <c r="C12" s="7" t="s">
        <v>14</v>
      </c>
      <c r="D12" s="13">
        <v>20000</v>
      </c>
      <c r="E12" s="13">
        <f t="shared" si="0"/>
        <v>170000</v>
      </c>
      <c r="F12" s="13">
        <f t="shared" si="1"/>
        <v>330000</v>
      </c>
    </row>
    <row r="13" spans="1:6" x14ac:dyDescent="0.35">
      <c r="A13" s="7" t="s">
        <v>112</v>
      </c>
      <c r="B13" s="7">
        <v>2970</v>
      </c>
      <c r="C13" s="7" t="s">
        <v>14</v>
      </c>
      <c r="D13" s="13">
        <v>20000</v>
      </c>
      <c r="E13" s="13">
        <f t="shared" si="0"/>
        <v>190000</v>
      </c>
      <c r="F13" s="13">
        <f t="shared" si="1"/>
        <v>310000</v>
      </c>
    </row>
    <row r="14" spans="1:6" ht="29" x14ac:dyDescent="0.35">
      <c r="A14" s="17" t="s">
        <v>113</v>
      </c>
      <c r="B14" s="7">
        <v>2971</v>
      </c>
      <c r="C14" s="7" t="s">
        <v>26</v>
      </c>
      <c r="D14" s="13">
        <v>20000</v>
      </c>
      <c r="E14" s="13">
        <f t="shared" si="0"/>
        <v>210000</v>
      </c>
      <c r="F14" s="13">
        <f t="shared" si="1"/>
        <v>290000</v>
      </c>
    </row>
    <row r="15" spans="1:6" x14ac:dyDescent="0.35">
      <c r="A15" s="7" t="s">
        <v>114</v>
      </c>
      <c r="B15" s="7">
        <v>3239</v>
      </c>
      <c r="C15" s="7" t="s">
        <v>14</v>
      </c>
      <c r="D15" s="13">
        <v>10000</v>
      </c>
      <c r="E15" s="13">
        <f t="shared" si="0"/>
        <v>220000</v>
      </c>
      <c r="F15" s="13">
        <f t="shared" si="1"/>
        <v>280000</v>
      </c>
    </row>
    <row r="16" spans="1:6" x14ac:dyDescent="0.35">
      <c r="A16" s="7" t="s">
        <v>115</v>
      </c>
      <c r="B16" s="7">
        <v>4389</v>
      </c>
      <c r="C16" s="7" t="s">
        <v>14</v>
      </c>
      <c r="D16" s="13">
        <v>7000</v>
      </c>
      <c r="E16" s="13">
        <f t="shared" si="0"/>
        <v>227000</v>
      </c>
      <c r="F16" s="13">
        <f t="shared" si="1"/>
        <v>273000</v>
      </c>
    </row>
    <row r="17" spans="1:6" x14ac:dyDescent="0.35">
      <c r="A17" s="7" t="s">
        <v>115</v>
      </c>
      <c r="B17" s="7">
        <v>4388</v>
      </c>
      <c r="C17" s="7" t="s">
        <v>14</v>
      </c>
      <c r="D17" s="13">
        <v>13000</v>
      </c>
      <c r="E17" s="13">
        <f t="shared" si="0"/>
        <v>240000</v>
      </c>
      <c r="F17" s="13">
        <f t="shared" si="1"/>
        <v>260000</v>
      </c>
    </row>
    <row r="18" spans="1:6" x14ac:dyDescent="0.35">
      <c r="A18" s="7" t="s">
        <v>116</v>
      </c>
      <c r="B18" s="7">
        <v>5174</v>
      </c>
      <c r="C18" s="7" t="s">
        <v>14</v>
      </c>
      <c r="D18" s="13">
        <v>10000</v>
      </c>
      <c r="E18" s="13">
        <f t="shared" si="0"/>
        <v>250000</v>
      </c>
      <c r="F18" s="13">
        <f t="shared" si="1"/>
        <v>250000</v>
      </c>
    </row>
    <row r="19" spans="1:6" x14ac:dyDescent="0.35">
      <c r="A19" s="7" t="s">
        <v>117</v>
      </c>
      <c r="B19" s="7">
        <v>5854</v>
      </c>
      <c r="C19" s="7" t="s">
        <v>14</v>
      </c>
      <c r="D19" s="13">
        <v>10000</v>
      </c>
      <c r="E19" s="13">
        <f t="shared" si="0"/>
        <v>260000</v>
      </c>
      <c r="F19" s="13">
        <f t="shared" si="1"/>
        <v>240000</v>
      </c>
    </row>
    <row r="20" spans="1:6" x14ac:dyDescent="0.35">
      <c r="A20" s="7" t="s">
        <v>53</v>
      </c>
      <c r="B20" s="7">
        <v>6785</v>
      </c>
      <c r="C20" s="7" t="s">
        <v>14</v>
      </c>
      <c r="D20" s="13">
        <v>20000</v>
      </c>
      <c r="E20" s="13">
        <f t="shared" si="0"/>
        <v>280000</v>
      </c>
      <c r="F20" s="13">
        <f t="shared" si="1"/>
        <v>220000</v>
      </c>
    </row>
    <row r="21" spans="1:6" x14ac:dyDescent="0.35">
      <c r="A21" s="7" t="s">
        <v>118</v>
      </c>
      <c r="B21" s="7">
        <v>7598</v>
      </c>
      <c r="C21" s="7" t="s">
        <v>14</v>
      </c>
      <c r="D21" s="13">
        <v>10000</v>
      </c>
      <c r="E21" s="13">
        <f t="shared" si="0"/>
        <v>290000</v>
      </c>
      <c r="F21" s="13">
        <f t="shared" si="1"/>
        <v>210000</v>
      </c>
    </row>
    <row r="22" spans="1:6" x14ac:dyDescent="0.35">
      <c r="A22" s="7" t="s">
        <v>119</v>
      </c>
      <c r="B22" s="7">
        <v>12325</v>
      </c>
      <c r="C22" s="7" t="s">
        <v>14</v>
      </c>
      <c r="D22" s="13">
        <v>10000</v>
      </c>
      <c r="E22" s="13">
        <f t="shared" si="0"/>
        <v>300000</v>
      </c>
      <c r="F22" s="13">
        <f t="shared" si="1"/>
        <v>200000</v>
      </c>
    </row>
    <row r="23" spans="1:6" x14ac:dyDescent="0.35">
      <c r="A23" s="7" t="s">
        <v>120</v>
      </c>
      <c r="B23" s="7">
        <v>12557</v>
      </c>
      <c r="C23" s="7" t="s">
        <v>14</v>
      </c>
      <c r="D23" s="13">
        <v>10000</v>
      </c>
      <c r="E23" s="13">
        <f t="shared" si="0"/>
        <v>310000</v>
      </c>
      <c r="F23" s="13">
        <f t="shared" si="1"/>
        <v>190000</v>
      </c>
    </row>
    <row r="24" spans="1:6" x14ac:dyDescent="0.35">
      <c r="A24" s="7" t="s">
        <v>121</v>
      </c>
      <c r="B24" s="7">
        <v>13341</v>
      </c>
      <c r="C24" s="7" t="s">
        <v>14</v>
      </c>
      <c r="D24" s="13">
        <v>10000</v>
      </c>
      <c r="E24" s="13">
        <f t="shared" si="0"/>
        <v>320000</v>
      </c>
      <c r="F24" s="13">
        <f t="shared" si="1"/>
        <v>180000</v>
      </c>
    </row>
    <row r="25" spans="1:6" x14ac:dyDescent="0.35">
      <c r="A25" s="7" t="s">
        <v>39</v>
      </c>
      <c r="B25" s="7">
        <v>13647</v>
      </c>
      <c r="C25" s="7" t="s">
        <v>14</v>
      </c>
      <c r="D25" s="13">
        <v>10000</v>
      </c>
      <c r="E25" s="13">
        <f t="shared" si="0"/>
        <v>330000</v>
      </c>
      <c r="F25" s="13">
        <f t="shared" si="1"/>
        <v>170000</v>
      </c>
    </row>
    <row r="26" spans="1:6" x14ac:dyDescent="0.35">
      <c r="A26" s="7" t="s">
        <v>122</v>
      </c>
      <c r="B26" s="7">
        <v>13009</v>
      </c>
      <c r="C26" s="7" t="s">
        <v>14</v>
      </c>
      <c r="D26" s="13">
        <v>10000</v>
      </c>
      <c r="E26" s="13">
        <f t="shared" si="0"/>
        <v>340000</v>
      </c>
      <c r="F26" s="13">
        <f t="shared" si="1"/>
        <v>160000</v>
      </c>
    </row>
    <row r="27" spans="1:6" x14ac:dyDescent="0.35">
      <c r="A27" s="7" t="s">
        <v>123</v>
      </c>
      <c r="B27" s="7">
        <v>13825</v>
      </c>
      <c r="C27" s="7" t="s">
        <v>14</v>
      </c>
      <c r="D27" s="13">
        <v>10000</v>
      </c>
      <c r="E27" s="13">
        <f t="shared" si="0"/>
        <v>350000</v>
      </c>
      <c r="F27" s="13">
        <f t="shared" si="1"/>
        <v>150000</v>
      </c>
    </row>
    <row r="28" spans="1:6" x14ac:dyDescent="0.35">
      <c r="A28" s="7" t="s">
        <v>124</v>
      </c>
      <c r="B28" s="7">
        <v>12231</v>
      </c>
      <c r="C28" s="7" t="s">
        <v>14</v>
      </c>
      <c r="D28" s="13">
        <v>10000</v>
      </c>
      <c r="E28" s="13">
        <f t="shared" si="0"/>
        <v>360000</v>
      </c>
      <c r="F28" s="13">
        <f t="shared" si="1"/>
        <v>140000</v>
      </c>
    </row>
    <row r="29" spans="1:6" x14ac:dyDescent="0.35">
      <c r="A29" s="7" t="s">
        <v>125</v>
      </c>
      <c r="B29" s="7">
        <v>12561</v>
      </c>
      <c r="C29" s="7" t="s">
        <v>14</v>
      </c>
      <c r="D29" s="13">
        <v>10000</v>
      </c>
      <c r="E29" s="13">
        <f t="shared" si="0"/>
        <v>370000</v>
      </c>
      <c r="F29" s="13">
        <f t="shared" si="1"/>
        <v>130000</v>
      </c>
    </row>
    <row r="30" spans="1:6" ht="43.5" x14ac:dyDescent="0.35">
      <c r="A30" s="7" t="s">
        <v>126</v>
      </c>
      <c r="B30" s="7">
        <v>12847</v>
      </c>
      <c r="C30" s="16" t="s">
        <v>127</v>
      </c>
      <c r="D30" s="13">
        <v>130000</v>
      </c>
      <c r="E30" s="13">
        <f t="shared" si="0"/>
        <v>500000</v>
      </c>
      <c r="F30" s="13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2"/>
  <sheetViews>
    <sheetView topLeftCell="A49" workbookViewId="0">
      <selection activeCell="B52" sqref="B52"/>
    </sheetView>
  </sheetViews>
  <sheetFormatPr defaultRowHeight="14.5" x14ac:dyDescent="0.35"/>
  <cols>
    <col min="1" max="1" width="10.1796875" customWidth="1"/>
    <col min="3" max="3" width="12.906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343</v>
      </c>
      <c r="B1" s="1"/>
      <c r="C1" s="1"/>
      <c r="D1" s="1"/>
      <c r="E1" s="1"/>
      <c r="F1" s="1"/>
    </row>
    <row r="2" spans="1:6" ht="18.5" x14ac:dyDescent="0.45">
      <c r="A2" s="1" t="s">
        <v>344</v>
      </c>
      <c r="C2" s="1"/>
      <c r="D2" s="1"/>
      <c r="E2" s="1"/>
      <c r="F2" s="1"/>
    </row>
    <row r="3" spans="1:6" ht="18.5" x14ac:dyDescent="0.45">
      <c r="A3" s="1" t="s">
        <v>345</v>
      </c>
      <c r="B3" s="1"/>
      <c r="C3" s="1"/>
      <c r="D3" s="1"/>
      <c r="E3" s="1"/>
      <c r="F3" s="1"/>
    </row>
    <row r="4" spans="1:6" ht="18.5" x14ac:dyDescent="0.45">
      <c r="A4" s="1" t="s">
        <v>422</v>
      </c>
      <c r="B4" s="1"/>
      <c r="C4" s="1"/>
      <c r="D4" s="1"/>
      <c r="E4" s="1"/>
      <c r="F4" s="1"/>
    </row>
    <row r="5" spans="1:6" ht="18.5" x14ac:dyDescent="0.45">
      <c r="A5" s="1" t="s">
        <v>346</v>
      </c>
      <c r="B5" s="1"/>
      <c r="C5" s="1"/>
      <c r="D5" s="1"/>
      <c r="E5" s="1"/>
      <c r="F5" s="1"/>
    </row>
    <row r="6" spans="1:6" ht="18.5" x14ac:dyDescent="0.45">
      <c r="A6" s="1" t="s">
        <v>347</v>
      </c>
      <c r="B6" s="1"/>
      <c r="C6" s="1"/>
      <c r="D6" s="1"/>
      <c r="E6" s="1" t="s">
        <v>334</v>
      </c>
      <c r="F6" s="1"/>
    </row>
    <row r="7" spans="1:6" x14ac:dyDescent="0.35">
      <c r="A7" s="22" t="s">
        <v>6</v>
      </c>
      <c r="B7" s="23" t="s">
        <v>7</v>
      </c>
      <c r="C7" s="23" t="s">
        <v>8</v>
      </c>
      <c r="D7" s="21" t="s">
        <v>9</v>
      </c>
      <c r="E7" s="21" t="s">
        <v>10</v>
      </c>
      <c r="F7" s="21" t="s">
        <v>11</v>
      </c>
    </row>
    <row r="8" spans="1:6" x14ac:dyDescent="0.35">
      <c r="A8" s="7" t="s">
        <v>348</v>
      </c>
      <c r="B8" s="7">
        <v>2703</v>
      </c>
      <c r="C8" s="7" t="s">
        <v>26</v>
      </c>
      <c r="D8" s="13">
        <v>100000</v>
      </c>
      <c r="E8" s="13">
        <v>100000</v>
      </c>
      <c r="F8" s="13">
        <v>300000</v>
      </c>
    </row>
    <row r="9" spans="1:6" x14ac:dyDescent="0.35">
      <c r="A9" s="14">
        <v>45080</v>
      </c>
      <c r="B9" s="7">
        <v>2704</v>
      </c>
      <c r="C9" s="7" t="s">
        <v>14</v>
      </c>
      <c r="D9" s="13">
        <v>40000</v>
      </c>
      <c r="E9" s="13">
        <f>SUM(E8+D9)</f>
        <v>140000</v>
      </c>
      <c r="F9" s="13">
        <f>F8-D9</f>
        <v>260000</v>
      </c>
    </row>
    <row r="10" spans="1:6" x14ac:dyDescent="0.35">
      <c r="A10" s="7" t="s">
        <v>349</v>
      </c>
      <c r="B10" s="7">
        <v>629</v>
      </c>
      <c r="C10" s="7" t="s">
        <v>14</v>
      </c>
      <c r="D10" s="13">
        <v>10000</v>
      </c>
      <c r="E10" s="13">
        <f t="shared" ref="E10:E35" si="0">SUM(E9+D10)</f>
        <v>150000</v>
      </c>
      <c r="F10" s="13">
        <f t="shared" ref="F10:F35" si="1">F9-D10</f>
        <v>250000</v>
      </c>
    </row>
    <row r="11" spans="1:6" x14ac:dyDescent="0.35">
      <c r="A11" s="14">
        <v>44929</v>
      </c>
      <c r="B11" s="7">
        <v>1451</v>
      </c>
      <c r="C11" s="7" t="s">
        <v>14</v>
      </c>
      <c r="D11" s="13">
        <v>10000</v>
      </c>
      <c r="E11" s="13">
        <f t="shared" si="0"/>
        <v>160000</v>
      </c>
      <c r="F11" s="13">
        <f t="shared" si="1"/>
        <v>240000</v>
      </c>
    </row>
    <row r="12" spans="1:6" x14ac:dyDescent="0.35">
      <c r="A12" s="14">
        <v>45173</v>
      </c>
      <c r="B12" s="7">
        <v>1034</v>
      </c>
      <c r="C12" s="7" t="s">
        <v>14</v>
      </c>
      <c r="D12" s="13">
        <v>10000</v>
      </c>
      <c r="E12" s="13">
        <f t="shared" si="0"/>
        <v>170000</v>
      </c>
      <c r="F12" s="13">
        <f t="shared" si="1"/>
        <v>230000</v>
      </c>
    </row>
    <row r="13" spans="1:6" x14ac:dyDescent="0.35">
      <c r="A13" s="14">
        <v>45174</v>
      </c>
      <c r="B13" s="7">
        <v>749</v>
      </c>
      <c r="C13" s="7" t="s">
        <v>14</v>
      </c>
      <c r="D13" s="13">
        <v>10000</v>
      </c>
      <c r="E13" s="13">
        <f t="shared" si="0"/>
        <v>180000</v>
      </c>
      <c r="F13" s="13">
        <f t="shared" si="1"/>
        <v>220000</v>
      </c>
    </row>
    <row r="14" spans="1:6" x14ac:dyDescent="0.35">
      <c r="A14" s="7" t="s">
        <v>350</v>
      </c>
      <c r="B14" s="7">
        <v>600</v>
      </c>
      <c r="C14" s="7" t="s">
        <v>14</v>
      </c>
      <c r="D14" s="13">
        <v>10000</v>
      </c>
      <c r="E14" s="13">
        <f t="shared" si="0"/>
        <v>190000</v>
      </c>
      <c r="F14" s="13">
        <f t="shared" si="1"/>
        <v>210000</v>
      </c>
    </row>
    <row r="15" spans="1:6" x14ac:dyDescent="0.35">
      <c r="A15" s="7" t="s">
        <v>351</v>
      </c>
      <c r="B15" s="7">
        <v>2811</v>
      </c>
      <c r="C15" s="7" t="s">
        <v>14</v>
      </c>
      <c r="D15" s="13">
        <v>10000</v>
      </c>
      <c r="E15" s="13">
        <f t="shared" si="0"/>
        <v>200000</v>
      </c>
      <c r="F15" s="13">
        <f t="shared" si="1"/>
        <v>200000</v>
      </c>
    </row>
    <row r="16" spans="1:6" x14ac:dyDescent="0.35">
      <c r="A16" s="7" t="s">
        <v>352</v>
      </c>
      <c r="B16" s="7">
        <v>3159</v>
      </c>
      <c r="C16" s="7" t="s">
        <v>14</v>
      </c>
      <c r="D16" s="13">
        <v>10000</v>
      </c>
      <c r="E16" s="13">
        <f t="shared" si="0"/>
        <v>210000</v>
      </c>
      <c r="F16" s="13">
        <f t="shared" si="1"/>
        <v>190000</v>
      </c>
    </row>
    <row r="17" spans="1:6" x14ac:dyDescent="0.35">
      <c r="A17" s="14">
        <v>45025</v>
      </c>
      <c r="B17" s="7">
        <v>3400</v>
      </c>
      <c r="C17" s="7" t="s">
        <v>14</v>
      </c>
      <c r="D17" s="13">
        <v>10000</v>
      </c>
      <c r="E17" s="13">
        <f t="shared" si="0"/>
        <v>220000</v>
      </c>
      <c r="F17" s="13">
        <f t="shared" si="1"/>
        <v>180000</v>
      </c>
    </row>
    <row r="18" spans="1:6" x14ac:dyDescent="0.35">
      <c r="A18" s="14">
        <v>45087</v>
      </c>
      <c r="B18" s="7">
        <v>4027</v>
      </c>
      <c r="C18" s="7" t="s">
        <v>14</v>
      </c>
      <c r="D18" s="13">
        <v>10000</v>
      </c>
      <c r="E18" s="13">
        <f t="shared" si="0"/>
        <v>230000</v>
      </c>
      <c r="F18" s="13">
        <f t="shared" si="1"/>
        <v>170000</v>
      </c>
    </row>
    <row r="19" spans="1:6" x14ac:dyDescent="0.35">
      <c r="A19" s="14">
        <v>45180</v>
      </c>
      <c r="B19" s="7">
        <v>4728</v>
      </c>
      <c r="C19" s="7" t="s">
        <v>14</v>
      </c>
      <c r="D19" s="13">
        <v>10000</v>
      </c>
      <c r="E19" s="13">
        <f t="shared" si="0"/>
        <v>240000</v>
      </c>
      <c r="F19" s="13">
        <f t="shared" si="1"/>
        <v>160000</v>
      </c>
    </row>
    <row r="20" spans="1:6" x14ac:dyDescent="0.35">
      <c r="A20" s="14">
        <v>45119</v>
      </c>
      <c r="B20" s="7">
        <v>5347</v>
      </c>
      <c r="C20" s="7" t="s">
        <v>14</v>
      </c>
      <c r="D20" s="13">
        <v>10000</v>
      </c>
      <c r="E20" s="13">
        <f t="shared" si="0"/>
        <v>250000</v>
      </c>
      <c r="F20" s="13">
        <f t="shared" si="1"/>
        <v>150000</v>
      </c>
    </row>
    <row r="21" spans="1:6" x14ac:dyDescent="0.35">
      <c r="A21" s="14">
        <v>45297</v>
      </c>
      <c r="B21" s="7">
        <v>5923</v>
      </c>
      <c r="C21" s="7" t="s">
        <v>14</v>
      </c>
      <c r="D21" s="13">
        <v>10000</v>
      </c>
      <c r="E21" s="13">
        <f t="shared" si="0"/>
        <v>260000</v>
      </c>
      <c r="F21" s="13">
        <f t="shared" si="1"/>
        <v>140000</v>
      </c>
    </row>
    <row r="22" spans="1:6" x14ac:dyDescent="0.35">
      <c r="A22" s="14">
        <v>45537</v>
      </c>
      <c r="B22" s="7">
        <v>6585</v>
      </c>
      <c r="C22" s="7" t="s">
        <v>14</v>
      </c>
      <c r="D22" s="13">
        <v>10000</v>
      </c>
      <c r="E22" s="13">
        <f t="shared" si="0"/>
        <v>270000</v>
      </c>
      <c r="F22" s="13">
        <f t="shared" si="1"/>
        <v>130000</v>
      </c>
    </row>
    <row r="23" spans="1:6" x14ac:dyDescent="0.35">
      <c r="A23" s="14">
        <v>45415</v>
      </c>
      <c r="B23" s="7">
        <v>6888</v>
      </c>
      <c r="C23" s="7" t="s">
        <v>14</v>
      </c>
      <c r="D23" s="13">
        <v>10000</v>
      </c>
      <c r="E23" s="13">
        <f t="shared" si="0"/>
        <v>280000</v>
      </c>
      <c r="F23" s="13">
        <f t="shared" si="1"/>
        <v>120000</v>
      </c>
    </row>
    <row r="24" spans="1:6" x14ac:dyDescent="0.35">
      <c r="A24" s="14">
        <v>45416</v>
      </c>
      <c r="B24" s="7">
        <v>7681</v>
      </c>
      <c r="C24" s="7" t="s">
        <v>14</v>
      </c>
      <c r="D24" s="13">
        <v>10000</v>
      </c>
      <c r="E24" s="13">
        <f t="shared" si="0"/>
        <v>290000</v>
      </c>
      <c r="F24" s="13">
        <f t="shared" si="1"/>
        <v>110000</v>
      </c>
    </row>
    <row r="25" spans="1:6" x14ac:dyDescent="0.35">
      <c r="A25" s="14">
        <v>45478</v>
      </c>
      <c r="B25" s="7">
        <v>8283</v>
      </c>
      <c r="C25" s="7" t="s">
        <v>14</v>
      </c>
      <c r="D25" s="13">
        <v>10000</v>
      </c>
      <c r="E25" s="13">
        <f t="shared" si="0"/>
        <v>300000</v>
      </c>
      <c r="F25" s="13">
        <f t="shared" si="1"/>
        <v>100000</v>
      </c>
    </row>
    <row r="26" spans="1:6" x14ac:dyDescent="0.35">
      <c r="A26" s="14">
        <v>45418</v>
      </c>
      <c r="B26" s="7">
        <v>8850</v>
      </c>
      <c r="C26" s="7" t="s">
        <v>14</v>
      </c>
      <c r="D26" s="13">
        <v>10000</v>
      </c>
      <c r="E26" s="13">
        <f t="shared" si="0"/>
        <v>310000</v>
      </c>
      <c r="F26" s="13">
        <f t="shared" si="1"/>
        <v>90000</v>
      </c>
    </row>
    <row r="27" spans="1:6" x14ac:dyDescent="0.35">
      <c r="A27" s="14">
        <v>45633</v>
      </c>
      <c r="B27" s="7">
        <v>9536</v>
      </c>
      <c r="C27" s="7" t="s">
        <v>14</v>
      </c>
      <c r="D27" s="13">
        <v>10000</v>
      </c>
      <c r="E27" s="13">
        <f t="shared" si="0"/>
        <v>320000</v>
      </c>
      <c r="F27" s="13">
        <f t="shared" si="1"/>
        <v>80000</v>
      </c>
    </row>
    <row r="28" spans="1:6" x14ac:dyDescent="0.35">
      <c r="A28" s="14">
        <v>45390</v>
      </c>
      <c r="B28" s="7">
        <v>10024</v>
      </c>
      <c r="C28" s="7" t="s">
        <v>14</v>
      </c>
      <c r="D28" s="13">
        <v>10000</v>
      </c>
      <c r="E28" s="13">
        <f t="shared" si="0"/>
        <v>330000</v>
      </c>
      <c r="F28" s="13">
        <f t="shared" si="1"/>
        <v>70000</v>
      </c>
    </row>
    <row r="29" spans="1:6" x14ac:dyDescent="0.35">
      <c r="A29" s="14">
        <v>45513</v>
      </c>
      <c r="B29" s="7">
        <v>10607</v>
      </c>
      <c r="C29" s="7" t="s">
        <v>14</v>
      </c>
      <c r="D29" s="13">
        <v>10000</v>
      </c>
      <c r="E29" s="13">
        <f t="shared" si="0"/>
        <v>340000</v>
      </c>
      <c r="F29" s="13">
        <f t="shared" si="1"/>
        <v>60000</v>
      </c>
    </row>
    <row r="30" spans="1:6" x14ac:dyDescent="0.35">
      <c r="A30" s="14">
        <v>45453</v>
      </c>
      <c r="B30" s="7">
        <v>11405</v>
      </c>
      <c r="C30" s="7" t="s">
        <v>14</v>
      </c>
      <c r="D30" s="13">
        <v>10000</v>
      </c>
      <c r="E30" s="13">
        <f t="shared" si="0"/>
        <v>350000</v>
      </c>
      <c r="F30" s="13">
        <f t="shared" si="1"/>
        <v>50000</v>
      </c>
    </row>
    <row r="31" spans="1:6" x14ac:dyDescent="0.35">
      <c r="A31" s="14">
        <v>45637</v>
      </c>
      <c r="B31" s="7">
        <v>10931</v>
      </c>
      <c r="C31" s="7" t="s">
        <v>14</v>
      </c>
      <c r="D31" s="13">
        <v>10000</v>
      </c>
      <c r="E31" s="13">
        <f t="shared" si="0"/>
        <v>360000</v>
      </c>
      <c r="F31" s="13">
        <f t="shared" si="1"/>
        <v>40000</v>
      </c>
    </row>
    <row r="32" spans="1:6" x14ac:dyDescent="0.35">
      <c r="A32" s="7" t="s">
        <v>353</v>
      </c>
      <c r="B32" s="7">
        <v>12610</v>
      </c>
      <c r="C32" s="7" t="s">
        <v>14</v>
      </c>
      <c r="D32" s="13">
        <v>10000</v>
      </c>
      <c r="E32" s="13">
        <f t="shared" si="0"/>
        <v>370000</v>
      </c>
      <c r="F32" s="13">
        <f t="shared" si="1"/>
        <v>30000</v>
      </c>
    </row>
    <row r="33" spans="1:6" x14ac:dyDescent="0.35">
      <c r="A33" s="14">
        <v>45962</v>
      </c>
      <c r="B33" s="7">
        <v>12999</v>
      </c>
      <c r="C33" s="7" t="s">
        <v>14</v>
      </c>
      <c r="D33" s="13">
        <v>10000</v>
      </c>
      <c r="E33" s="13">
        <f t="shared" si="0"/>
        <v>380000</v>
      </c>
      <c r="F33" s="13">
        <f t="shared" si="1"/>
        <v>20000</v>
      </c>
    </row>
    <row r="34" spans="1:6" x14ac:dyDescent="0.35">
      <c r="A34" s="14">
        <v>45963</v>
      </c>
      <c r="B34" s="7">
        <v>9355</v>
      </c>
      <c r="C34" s="7" t="s">
        <v>14</v>
      </c>
      <c r="D34" s="13">
        <v>10000</v>
      </c>
      <c r="E34" s="13">
        <f t="shared" si="0"/>
        <v>390000</v>
      </c>
      <c r="F34" s="13">
        <f t="shared" si="1"/>
        <v>10000</v>
      </c>
    </row>
    <row r="35" spans="1:6" x14ac:dyDescent="0.35">
      <c r="A35" s="7" t="s">
        <v>59</v>
      </c>
      <c r="B35" s="7">
        <v>13279</v>
      </c>
      <c r="C35" s="7" t="s">
        <v>14</v>
      </c>
      <c r="D35" s="13">
        <v>10000</v>
      </c>
      <c r="E35" s="13">
        <f t="shared" si="0"/>
        <v>400000</v>
      </c>
      <c r="F35" s="13">
        <f t="shared" si="1"/>
        <v>0</v>
      </c>
    </row>
    <row r="37" spans="1:6" x14ac:dyDescent="0.35">
      <c r="B37" t="s">
        <v>354</v>
      </c>
    </row>
    <row r="38" spans="1:6" x14ac:dyDescent="0.35">
      <c r="A38" t="s">
        <v>648</v>
      </c>
      <c r="C38" s="15">
        <v>450000</v>
      </c>
    </row>
    <row r="39" spans="1:6" x14ac:dyDescent="0.35">
      <c r="A39" s="6">
        <v>45878</v>
      </c>
      <c r="B39" s="2">
        <v>3496</v>
      </c>
      <c r="C39" s="5" t="s">
        <v>649</v>
      </c>
      <c r="D39" s="5">
        <v>10000</v>
      </c>
      <c r="E39" s="5">
        <v>10000</v>
      </c>
      <c r="F39" s="5">
        <v>440000</v>
      </c>
    </row>
    <row r="40" spans="1:6" x14ac:dyDescent="0.35">
      <c r="A40" s="6">
        <v>45940</v>
      </c>
      <c r="B40" s="2">
        <v>3282</v>
      </c>
      <c r="C40" s="5" t="s">
        <v>649</v>
      </c>
      <c r="D40" s="5">
        <v>10000</v>
      </c>
      <c r="E40" s="5">
        <f>E39+D39</f>
        <v>20000</v>
      </c>
      <c r="F40" s="5">
        <f>F39-D39</f>
        <v>430000</v>
      </c>
    </row>
    <row r="41" spans="1:6" x14ac:dyDescent="0.35">
      <c r="A41" s="6">
        <v>45849</v>
      </c>
      <c r="B41" s="2">
        <v>3638</v>
      </c>
      <c r="C41" s="5" t="s">
        <v>649</v>
      </c>
      <c r="D41" s="5">
        <v>10000</v>
      </c>
      <c r="E41" s="5">
        <f>E40+D40</f>
        <v>30000</v>
      </c>
      <c r="F41" s="5">
        <f>F40-D40</f>
        <v>420000</v>
      </c>
    </row>
    <row r="42" spans="1:6" x14ac:dyDescent="0.35">
      <c r="A42" s="6">
        <v>45759</v>
      </c>
      <c r="B42" s="2">
        <v>5013</v>
      </c>
      <c r="C42" s="5" t="s">
        <v>649</v>
      </c>
      <c r="D42" s="5">
        <v>10000</v>
      </c>
      <c r="E42" s="5">
        <f t="shared" ref="E42:E50" si="2">E41+D42</f>
        <v>40000</v>
      </c>
      <c r="F42" s="5">
        <f t="shared" ref="F42:F50" si="3">F41-D42</f>
        <v>410000</v>
      </c>
    </row>
    <row r="43" spans="1:6" x14ac:dyDescent="0.35">
      <c r="A43" s="6">
        <v>45901</v>
      </c>
      <c r="B43" s="2">
        <v>5235</v>
      </c>
      <c r="C43" s="5" t="s">
        <v>649</v>
      </c>
      <c r="D43" s="5">
        <v>10000</v>
      </c>
      <c r="E43" s="5">
        <f t="shared" si="2"/>
        <v>50000</v>
      </c>
      <c r="F43" s="5">
        <f t="shared" si="3"/>
        <v>400000</v>
      </c>
    </row>
    <row r="44" spans="1:6" x14ac:dyDescent="0.35">
      <c r="A44" s="6">
        <v>46175</v>
      </c>
      <c r="B44" s="2">
        <v>5438</v>
      </c>
      <c r="C44" s="5" t="s">
        <v>649</v>
      </c>
      <c r="D44" s="5">
        <v>10000</v>
      </c>
      <c r="E44" s="5">
        <f t="shared" si="2"/>
        <v>60000</v>
      </c>
      <c r="F44" s="5">
        <f t="shared" si="3"/>
        <v>390000</v>
      </c>
    </row>
    <row r="45" spans="1:6" x14ac:dyDescent="0.35">
      <c r="A45" s="6">
        <v>46176</v>
      </c>
      <c r="B45" s="2">
        <v>5653</v>
      </c>
      <c r="C45" s="5" t="s">
        <v>649</v>
      </c>
      <c r="D45" s="5">
        <v>10000</v>
      </c>
      <c r="E45" s="5">
        <f t="shared" si="2"/>
        <v>70000</v>
      </c>
      <c r="F45" s="5">
        <f t="shared" si="3"/>
        <v>380000</v>
      </c>
    </row>
    <row r="46" spans="1:6" x14ac:dyDescent="0.35">
      <c r="A46" s="6">
        <v>46146</v>
      </c>
      <c r="B46" s="2">
        <v>5849</v>
      </c>
      <c r="C46" s="5" t="s">
        <v>649</v>
      </c>
      <c r="D46" s="5">
        <v>10000</v>
      </c>
      <c r="E46" s="5">
        <f t="shared" si="2"/>
        <v>80000</v>
      </c>
      <c r="F46" s="5">
        <f t="shared" si="3"/>
        <v>370000</v>
      </c>
    </row>
    <row r="47" spans="1:6" x14ac:dyDescent="0.35">
      <c r="A47" s="6">
        <v>46239</v>
      </c>
      <c r="B47" s="2">
        <v>1403</v>
      </c>
      <c r="C47" s="5" t="s">
        <v>649</v>
      </c>
      <c r="D47" s="5">
        <v>10000</v>
      </c>
      <c r="E47" s="5">
        <f t="shared" si="2"/>
        <v>90000</v>
      </c>
      <c r="F47" s="5">
        <f t="shared" si="3"/>
        <v>360000</v>
      </c>
    </row>
    <row r="48" spans="1:6" x14ac:dyDescent="0.35">
      <c r="A48" s="6">
        <v>46179</v>
      </c>
      <c r="B48" s="2">
        <v>1779</v>
      </c>
      <c r="C48" s="5" t="s">
        <v>649</v>
      </c>
      <c r="D48" s="5">
        <v>10000</v>
      </c>
      <c r="E48" s="5">
        <f t="shared" si="2"/>
        <v>100000</v>
      </c>
      <c r="F48" s="5">
        <f t="shared" si="3"/>
        <v>350000</v>
      </c>
    </row>
    <row r="49" spans="1:6" x14ac:dyDescent="0.35">
      <c r="A49" s="6">
        <v>46302</v>
      </c>
      <c r="B49" s="2">
        <v>1800</v>
      </c>
      <c r="C49" s="5" t="s">
        <v>649</v>
      </c>
      <c r="D49" s="5">
        <v>10000</v>
      </c>
      <c r="E49" s="5">
        <f t="shared" si="2"/>
        <v>110000</v>
      </c>
      <c r="F49" s="5">
        <f t="shared" si="3"/>
        <v>340000</v>
      </c>
    </row>
    <row r="50" spans="1:6" x14ac:dyDescent="0.35">
      <c r="A50" s="6">
        <v>46150</v>
      </c>
      <c r="B50" s="2">
        <v>3731</v>
      </c>
      <c r="C50" s="2" t="s">
        <v>649</v>
      </c>
      <c r="D50" s="5">
        <v>10000</v>
      </c>
      <c r="E50" s="5">
        <f t="shared" si="2"/>
        <v>120000</v>
      </c>
      <c r="F50" s="5">
        <f t="shared" si="3"/>
        <v>330000</v>
      </c>
    </row>
    <row r="51" spans="1:6" x14ac:dyDescent="0.35">
      <c r="A51" s="6">
        <v>46121</v>
      </c>
      <c r="B51" s="2">
        <v>1998</v>
      </c>
      <c r="C51" s="2" t="s">
        <v>649</v>
      </c>
      <c r="D51" s="5">
        <v>10000</v>
      </c>
      <c r="E51" s="5">
        <f>E50+D51</f>
        <v>130000</v>
      </c>
      <c r="F51" s="5">
        <f>F50-D51</f>
        <v>320000</v>
      </c>
    </row>
    <row r="52" spans="1:6" x14ac:dyDescent="0.35">
      <c r="A52" s="6">
        <v>46275</v>
      </c>
      <c r="B52" s="2">
        <v>2173</v>
      </c>
      <c r="C52" s="2" t="s">
        <v>649</v>
      </c>
      <c r="D52" s="5">
        <v>10000</v>
      </c>
      <c r="E52" s="5">
        <f>E51+D52</f>
        <v>140000</v>
      </c>
      <c r="F52" s="5">
        <f>F51-D52</f>
        <v>310000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>
      <selection activeCell="A15" sqref="A15:F16"/>
    </sheetView>
  </sheetViews>
  <sheetFormatPr defaultRowHeight="14.5" x14ac:dyDescent="0.35"/>
  <cols>
    <col min="1" max="1" width="9.453125" bestFit="1" customWidth="1"/>
    <col min="6" max="6" width="11.36328125" bestFit="1" customWidth="1"/>
  </cols>
  <sheetData>
    <row r="1" spans="1:6" ht="18.5" x14ac:dyDescent="0.45">
      <c r="A1" s="1" t="s">
        <v>0</v>
      </c>
      <c r="B1" s="1"/>
      <c r="C1" s="1"/>
      <c r="D1" s="1"/>
      <c r="E1" s="1"/>
      <c r="F1" s="1"/>
    </row>
    <row r="2" spans="1:6" ht="18.5" x14ac:dyDescent="0.45">
      <c r="A2" s="1" t="s">
        <v>1</v>
      </c>
      <c r="C2" s="1"/>
      <c r="D2" s="1"/>
      <c r="E2" s="1"/>
      <c r="F2" s="1"/>
    </row>
    <row r="3" spans="1:6" ht="18.5" x14ac:dyDescent="0.45">
      <c r="A3" s="1" t="s">
        <v>2</v>
      </c>
      <c r="B3" s="1"/>
      <c r="C3" s="1"/>
      <c r="D3" s="1"/>
      <c r="E3" s="1"/>
      <c r="F3" s="1"/>
    </row>
    <row r="4" spans="1:6" ht="18.5" x14ac:dyDescent="0.45">
      <c r="A4" s="1" t="s">
        <v>426</v>
      </c>
      <c r="B4" s="1"/>
      <c r="C4" s="1"/>
      <c r="D4" s="1"/>
      <c r="E4" s="1"/>
      <c r="F4" s="1"/>
    </row>
    <row r="5" spans="1:6" ht="18.5" x14ac:dyDescent="0.45">
      <c r="A5" s="1" t="s">
        <v>3</v>
      </c>
      <c r="B5" s="1"/>
      <c r="C5" s="1"/>
      <c r="D5" s="1"/>
      <c r="E5" s="1"/>
      <c r="F5" s="1"/>
    </row>
    <row r="6" spans="1:6" ht="18.5" x14ac:dyDescent="0.45">
      <c r="A6" s="1" t="s">
        <v>4</v>
      </c>
      <c r="B6" s="1"/>
      <c r="C6" s="1"/>
      <c r="D6" s="1"/>
      <c r="E6" s="1" t="s">
        <v>5</v>
      </c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4" t="s">
        <v>12</v>
      </c>
      <c r="B8" s="2">
        <v>13214</v>
      </c>
      <c r="C8" s="2" t="s">
        <v>13</v>
      </c>
      <c r="D8" s="5">
        <v>65000</v>
      </c>
      <c r="E8" s="5">
        <v>65000</v>
      </c>
      <c r="F8" s="5">
        <v>385000</v>
      </c>
    </row>
    <row r="9" spans="1:6" x14ac:dyDescent="0.35">
      <c r="A9" s="6">
        <v>46174</v>
      </c>
      <c r="B9" s="2">
        <v>13863</v>
      </c>
      <c r="C9" s="2" t="s">
        <v>14</v>
      </c>
      <c r="D9" s="5">
        <v>35000</v>
      </c>
      <c r="E9" s="5">
        <v>100000</v>
      </c>
      <c r="F9" s="5">
        <v>350000</v>
      </c>
    </row>
    <row r="10" spans="1:6" x14ac:dyDescent="0.35">
      <c r="A10" s="6">
        <v>46144</v>
      </c>
      <c r="B10" s="2">
        <v>12347</v>
      </c>
      <c r="C10" s="2" t="s">
        <v>14</v>
      </c>
      <c r="D10" s="5">
        <v>50000</v>
      </c>
      <c r="E10" s="5">
        <v>150000</v>
      </c>
      <c r="F10" s="5">
        <v>300000</v>
      </c>
    </row>
    <row r="11" spans="1:6" x14ac:dyDescent="0.35">
      <c r="A11" s="6">
        <v>46237</v>
      </c>
      <c r="B11" s="2">
        <v>12788</v>
      </c>
      <c r="C11" s="2" t="s">
        <v>14</v>
      </c>
      <c r="D11" s="5">
        <v>50000</v>
      </c>
      <c r="E11" s="5">
        <f>SUM(E10+D11)</f>
        <v>200000</v>
      </c>
      <c r="F11" s="5">
        <f>F10-D11</f>
        <v>250000</v>
      </c>
    </row>
    <row r="12" spans="1:6" x14ac:dyDescent="0.35">
      <c r="A12" s="6">
        <v>46146</v>
      </c>
      <c r="B12" s="2">
        <v>13140</v>
      </c>
      <c r="C12" s="2" t="s">
        <v>14</v>
      </c>
      <c r="D12" s="5">
        <v>50000</v>
      </c>
      <c r="E12" s="5">
        <f>SUM(E11+D12)</f>
        <v>250000</v>
      </c>
      <c r="F12" s="5">
        <f>F11-D12</f>
        <v>200000</v>
      </c>
    </row>
    <row r="13" spans="1:6" x14ac:dyDescent="0.35">
      <c r="A13" s="6">
        <v>46300</v>
      </c>
      <c r="B13" s="2">
        <v>13301</v>
      </c>
      <c r="C13" s="2" t="s">
        <v>14</v>
      </c>
      <c r="D13" s="5">
        <v>50000</v>
      </c>
      <c r="E13" s="5">
        <f>SUM(E12+D13)</f>
        <v>300000</v>
      </c>
      <c r="F13" s="5">
        <f>F12-D13</f>
        <v>150000</v>
      </c>
    </row>
    <row r="14" spans="1:6" x14ac:dyDescent="0.35">
      <c r="A14" s="2" t="s">
        <v>546</v>
      </c>
      <c r="B14" s="2">
        <v>13530</v>
      </c>
      <c r="C14" s="2" t="s">
        <v>14</v>
      </c>
      <c r="D14" s="5">
        <v>50000</v>
      </c>
      <c r="E14" s="5">
        <f>E13+D14</f>
        <v>350000</v>
      </c>
      <c r="F14" s="5">
        <f>F13-D14</f>
        <v>100000</v>
      </c>
    </row>
    <row r="15" spans="1:6" x14ac:dyDescent="0.35">
      <c r="A15" s="9" t="s">
        <v>618</v>
      </c>
      <c r="B15" s="9">
        <v>1392</v>
      </c>
      <c r="C15" s="9" t="s">
        <v>14</v>
      </c>
      <c r="D15" s="11">
        <v>50000</v>
      </c>
      <c r="E15" s="11">
        <f>E14+D15</f>
        <v>400000</v>
      </c>
      <c r="F15" s="11">
        <f>F14-D15</f>
        <v>50000</v>
      </c>
    </row>
    <row r="16" spans="1:6" x14ac:dyDescent="0.35">
      <c r="A16" s="12">
        <v>46273</v>
      </c>
      <c r="B16" s="9">
        <v>1696</v>
      </c>
      <c r="C16" s="9" t="s">
        <v>14</v>
      </c>
      <c r="D16" s="11">
        <v>50000</v>
      </c>
      <c r="E16" s="11">
        <f>E15+D16</f>
        <v>450000</v>
      </c>
      <c r="F16" s="9" t="s">
        <v>617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"/>
  <sheetViews>
    <sheetView topLeftCell="A17" workbookViewId="0">
      <selection sqref="A1:F7"/>
    </sheetView>
  </sheetViews>
  <sheetFormatPr defaultRowHeight="14.5" x14ac:dyDescent="0.35"/>
  <cols>
    <col min="1" max="1" width="9.453125" bestFit="1" customWidth="1"/>
    <col min="3" max="3" width="11.36328125" customWidth="1"/>
    <col min="6" max="6" width="11" customWidth="1"/>
  </cols>
  <sheetData>
    <row r="1" spans="1:6" ht="18.5" x14ac:dyDescent="0.45">
      <c r="A1" s="1" t="s">
        <v>264</v>
      </c>
      <c r="B1" s="1"/>
      <c r="C1" s="1"/>
      <c r="D1" s="1"/>
      <c r="E1" s="1"/>
      <c r="F1" s="1"/>
    </row>
    <row r="2" spans="1:6" ht="18.5" x14ac:dyDescent="0.45">
      <c r="A2" s="1" t="s">
        <v>265</v>
      </c>
      <c r="C2" s="1"/>
      <c r="D2" s="1"/>
      <c r="E2" s="1"/>
      <c r="F2" s="1"/>
    </row>
    <row r="3" spans="1:6" ht="18.5" x14ac:dyDescent="0.45">
      <c r="A3" s="1" t="s">
        <v>266</v>
      </c>
      <c r="B3" s="1"/>
      <c r="C3" s="1"/>
      <c r="D3" s="1"/>
      <c r="E3" s="1"/>
      <c r="F3" s="1"/>
    </row>
    <row r="4" spans="1:6" ht="18.5" x14ac:dyDescent="0.45">
      <c r="A4" s="1" t="s">
        <v>484</v>
      </c>
      <c r="B4" s="1"/>
      <c r="C4" s="1"/>
      <c r="D4" s="1"/>
      <c r="E4" s="1"/>
      <c r="F4" s="1"/>
    </row>
    <row r="5" spans="1:6" ht="18.5" x14ac:dyDescent="0.45">
      <c r="A5" s="1" t="s">
        <v>267</v>
      </c>
      <c r="B5" s="1"/>
      <c r="C5" s="1"/>
      <c r="D5" s="1"/>
      <c r="E5" s="1"/>
      <c r="F5" s="1"/>
    </row>
    <row r="6" spans="1:6" ht="18.5" x14ac:dyDescent="0.45">
      <c r="A6" s="1" t="s">
        <v>268</v>
      </c>
      <c r="B6" s="1"/>
      <c r="C6" s="1"/>
      <c r="D6" s="1"/>
      <c r="E6" s="1" t="s">
        <v>5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7" t="s">
        <v>269</v>
      </c>
      <c r="B8" s="7">
        <v>1</v>
      </c>
      <c r="C8" s="7" t="s">
        <v>14</v>
      </c>
      <c r="D8" s="13">
        <v>10000</v>
      </c>
      <c r="E8" s="13">
        <v>10000</v>
      </c>
      <c r="F8" s="13">
        <v>340000</v>
      </c>
    </row>
    <row r="9" spans="1:6" x14ac:dyDescent="0.35">
      <c r="A9" s="7" t="s">
        <v>270</v>
      </c>
      <c r="B9" s="7">
        <v>1618</v>
      </c>
      <c r="C9" s="7" t="s">
        <v>14</v>
      </c>
      <c r="D9" s="13">
        <v>10000</v>
      </c>
      <c r="E9" s="13">
        <f>SUM(E8+D9)</f>
        <v>20000</v>
      </c>
      <c r="F9" s="13">
        <f>F8-D9</f>
        <v>330000</v>
      </c>
    </row>
    <row r="10" spans="1:6" x14ac:dyDescent="0.35">
      <c r="A10" s="14">
        <v>45118</v>
      </c>
      <c r="B10" s="7">
        <v>1184</v>
      </c>
      <c r="C10" s="7" t="s">
        <v>26</v>
      </c>
      <c r="D10" s="13">
        <v>40000</v>
      </c>
      <c r="E10" s="13">
        <f t="shared" ref="E10:E13" si="0">SUM(E9+D10)</f>
        <v>60000</v>
      </c>
      <c r="F10" s="13">
        <f t="shared" ref="F10:F13" si="1">F9-D10</f>
        <v>290000</v>
      </c>
    </row>
    <row r="11" spans="1:6" x14ac:dyDescent="0.35">
      <c r="A11" s="7" t="s">
        <v>271</v>
      </c>
      <c r="B11" s="7">
        <v>1169</v>
      </c>
      <c r="C11" s="7" t="s">
        <v>14</v>
      </c>
      <c r="D11" s="13">
        <v>10000</v>
      </c>
      <c r="E11" s="13">
        <f t="shared" si="0"/>
        <v>70000</v>
      </c>
      <c r="F11" s="13">
        <f t="shared" si="1"/>
        <v>280000</v>
      </c>
    </row>
    <row r="12" spans="1:6" x14ac:dyDescent="0.35">
      <c r="A12" s="14">
        <v>45236</v>
      </c>
      <c r="B12" s="7">
        <v>430</v>
      </c>
      <c r="C12" s="7" t="s">
        <v>14</v>
      </c>
      <c r="D12" s="13">
        <v>20000</v>
      </c>
      <c r="E12" s="13">
        <f t="shared" si="0"/>
        <v>90000</v>
      </c>
      <c r="F12" s="13">
        <f t="shared" si="1"/>
        <v>260000</v>
      </c>
    </row>
    <row r="13" spans="1:6" x14ac:dyDescent="0.35">
      <c r="A13" s="7" t="s">
        <v>272</v>
      </c>
      <c r="B13" s="7">
        <v>2493</v>
      </c>
      <c r="C13" s="7" t="s">
        <v>14</v>
      </c>
      <c r="D13" s="13">
        <v>20000</v>
      </c>
      <c r="E13" s="13">
        <f t="shared" si="0"/>
        <v>110000</v>
      </c>
      <c r="F13" s="13">
        <f t="shared" si="1"/>
        <v>240000</v>
      </c>
    </row>
    <row r="14" spans="1:6" x14ac:dyDescent="0.35">
      <c r="A14" s="7" t="s">
        <v>273</v>
      </c>
      <c r="B14" s="7">
        <v>4253</v>
      </c>
      <c r="C14" s="7" t="s">
        <v>14</v>
      </c>
      <c r="D14" s="13">
        <v>20000</v>
      </c>
      <c r="E14" s="13">
        <f t="shared" ref="E14:E23" si="2">SUM(E13+D14)</f>
        <v>130000</v>
      </c>
      <c r="F14" s="13">
        <f t="shared" ref="F14:F23" si="3">F13-D14</f>
        <v>220000</v>
      </c>
    </row>
    <row r="15" spans="1:6" x14ac:dyDescent="0.35">
      <c r="A15" s="14" t="s">
        <v>274</v>
      </c>
      <c r="B15" s="7">
        <v>5200</v>
      </c>
      <c r="C15" s="7" t="s">
        <v>14</v>
      </c>
      <c r="D15" s="13">
        <v>10000</v>
      </c>
      <c r="E15" s="13">
        <f t="shared" si="2"/>
        <v>140000</v>
      </c>
      <c r="F15" s="13">
        <f t="shared" si="3"/>
        <v>210000</v>
      </c>
    </row>
    <row r="16" spans="1:6" x14ac:dyDescent="0.35">
      <c r="A16" s="7" t="s">
        <v>275</v>
      </c>
      <c r="B16" s="7">
        <v>6629</v>
      </c>
      <c r="C16" s="7" t="s">
        <v>14</v>
      </c>
      <c r="D16" s="13">
        <v>30000</v>
      </c>
      <c r="E16" s="13">
        <f t="shared" si="2"/>
        <v>170000</v>
      </c>
      <c r="F16" s="13">
        <f t="shared" si="3"/>
        <v>180000</v>
      </c>
    </row>
    <row r="17" spans="1:6" x14ac:dyDescent="0.35">
      <c r="A17" s="14" t="s">
        <v>276</v>
      </c>
      <c r="B17" s="7">
        <v>8065</v>
      </c>
      <c r="C17" s="7" t="s">
        <v>14</v>
      </c>
      <c r="D17" s="13">
        <v>20000</v>
      </c>
      <c r="E17" s="13">
        <f t="shared" si="2"/>
        <v>190000</v>
      </c>
      <c r="F17" s="13">
        <f t="shared" si="3"/>
        <v>160000</v>
      </c>
    </row>
    <row r="18" spans="1:6" x14ac:dyDescent="0.35">
      <c r="A18" s="14" t="s">
        <v>277</v>
      </c>
      <c r="B18" s="7">
        <v>11298</v>
      </c>
      <c r="C18" s="7" t="s">
        <v>14</v>
      </c>
      <c r="D18" s="13">
        <v>40000</v>
      </c>
      <c r="E18" s="13">
        <f t="shared" si="2"/>
        <v>230000</v>
      </c>
      <c r="F18" s="13">
        <f t="shared" si="3"/>
        <v>120000</v>
      </c>
    </row>
    <row r="19" spans="1:6" x14ac:dyDescent="0.35">
      <c r="A19" s="14" t="s">
        <v>278</v>
      </c>
      <c r="B19" s="7">
        <v>10069</v>
      </c>
      <c r="C19" s="7" t="s">
        <v>14</v>
      </c>
      <c r="D19" s="13">
        <v>50000</v>
      </c>
      <c r="E19" s="13">
        <f t="shared" si="2"/>
        <v>280000</v>
      </c>
      <c r="F19" s="13">
        <f t="shared" si="3"/>
        <v>70000</v>
      </c>
    </row>
    <row r="20" spans="1:6" x14ac:dyDescent="0.35">
      <c r="A20" s="14" t="s">
        <v>279</v>
      </c>
      <c r="B20" s="7">
        <v>13941</v>
      </c>
      <c r="C20" s="7" t="s">
        <v>14</v>
      </c>
      <c r="D20" s="13">
        <v>30000</v>
      </c>
      <c r="E20" s="13">
        <f t="shared" si="2"/>
        <v>310000</v>
      </c>
      <c r="F20" s="13">
        <f t="shared" si="3"/>
        <v>40000</v>
      </c>
    </row>
    <row r="21" spans="1:6" x14ac:dyDescent="0.35">
      <c r="A21" s="14" t="s">
        <v>162</v>
      </c>
      <c r="B21" s="7">
        <v>13660</v>
      </c>
      <c r="C21" s="7" t="s">
        <v>14</v>
      </c>
      <c r="D21" s="13">
        <v>10000</v>
      </c>
      <c r="E21" s="13">
        <f t="shared" si="2"/>
        <v>320000</v>
      </c>
      <c r="F21" s="13">
        <f t="shared" si="3"/>
        <v>30000</v>
      </c>
    </row>
    <row r="22" spans="1:6" x14ac:dyDescent="0.35">
      <c r="A22" s="14" t="s">
        <v>229</v>
      </c>
      <c r="B22" s="7">
        <v>13062</v>
      </c>
      <c r="C22" s="7" t="s">
        <v>14</v>
      </c>
      <c r="D22" s="13">
        <v>10000</v>
      </c>
      <c r="E22" s="13">
        <f t="shared" si="2"/>
        <v>330000</v>
      </c>
      <c r="F22" s="13">
        <f t="shared" si="3"/>
        <v>20000</v>
      </c>
    </row>
    <row r="23" spans="1:6" x14ac:dyDescent="0.35">
      <c r="A23" s="14" t="s">
        <v>280</v>
      </c>
      <c r="B23" s="7">
        <v>12123</v>
      </c>
      <c r="C23" s="7" t="s">
        <v>14</v>
      </c>
      <c r="D23" s="13">
        <v>20000</v>
      </c>
      <c r="E23" s="13">
        <f t="shared" si="2"/>
        <v>350000</v>
      </c>
      <c r="F23" s="13">
        <f t="shared" si="3"/>
        <v>0</v>
      </c>
    </row>
    <row r="24" spans="1:6" ht="18.5" x14ac:dyDescent="0.45">
      <c r="A24" s="25" t="s">
        <v>354</v>
      </c>
      <c r="B24" s="26"/>
      <c r="C24" s="26"/>
      <c r="D24" s="26"/>
      <c r="E24" s="26"/>
      <c r="F24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4"/>
  <sheetViews>
    <sheetView topLeftCell="A9" workbookViewId="0">
      <selection activeCell="E32" sqref="E32"/>
    </sheetView>
  </sheetViews>
  <sheetFormatPr defaultRowHeight="14.5" x14ac:dyDescent="0.35"/>
  <cols>
    <col min="1" max="1" width="10.26953125" customWidth="1"/>
    <col min="3" max="3" width="12.6328125" customWidth="1"/>
    <col min="6" max="6" width="11.1796875" customWidth="1"/>
    <col min="7" max="7" width="11.54296875" customWidth="1"/>
    <col min="10" max="10" width="11.90625" customWidth="1"/>
  </cols>
  <sheetData>
    <row r="1" spans="1:11" ht="18.5" x14ac:dyDescent="0.45">
      <c r="A1" s="1" t="s">
        <v>485</v>
      </c>
      <c r="B1" s="1"/>
      <c r="C1" s="1"/>
      <c r="D1" s="1"/>
      <c r="E1" s="1"/>
      <c r="F1" s="1"/>
    </row>
    <row r="2" spans="1:11" ht="18.5" x14ac:dyDescent="0.45">
      <c r="A2" s="1" t="s">
        <v>265</v>
      </c>
      <c r="C2" s="1"/>
      <c r="D2" s="1"/>
      <c r="E2" s="1"/>
      <c r="F2" s="1"/>
    </row>
    <row r="3" spans="1:11" ht="18.5" x14ac:dyDescent="0.45">
      <c r="A3" s="1" t="s">
        <v>486</v>
      </c>
      <c r="B3" s="1"/>
      <c r="C3" s="1"/>
      <c r="D3" s="1"/>
      <c r="E3" s="1"/>
      <c r="F3" s="1"/>
    </row>
    <row r="4" spans="1:11" ht="18.5" x14ac:dyDescent="0.45">
      <c r="A4" s="1" t="s">
        <v>492</v>
      </c>
      <c r="B4" s="1"/>
      <c r="C4" s="1"/>
      <c r="D4" s="1"/>
      <c r="E4" s="1"/>
      <c r="F4" s="1"/>
      <c r="G4" s="31" t="s">
        <v>493</v>
      </c>
      <c r="H4" s="31" t="s">
        <v>494</v>
      </c>
      <c r="I4" s="31"/>
      <c r="J4" s="31"/>
      <c r="K4" s="32">
        <v>100000</v>
      </c>
    </row>
    <row r="5" spans="1:11" ht="18.5" x14ac:dyDescent="0.45">
      <c r="A5" s="1" t="s">
        <v>487</v>
      </c>
      <c r="B5" s="1"/>
      <c r="C5" s="1"/>
      <c r="D5" s="1"/>
      <c r="E5" s="1"/>
      <c r="F5" s="1"/>
    </row>
    <row r="6" spans="1:11" ht="18.5" x14ac:dyDescent="0.45">
      <c r="A6" s="1" t="s">
        <v>488</v>
      </c>
      <c r="B6" s="1"/>
      <c r="C6" s="1"/>
      <c r="D6" s="1"/>
      <c r="E6" s="1" t="s">
        <v>5</v>
      </c>
      <c r="F6" s="1"/>
    </row>
    <row r="7" spans="1:11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11" x14ac:dyDescent="0.35">
      <c r="A8" t="s">
        <v>269</v>
      </c>
      <c r="B8">
        <v>2</v>
      </c>
      <c r="C8" t="s">
        <v>27</v>
      </c>
      <c r="D8" s="15">
        <v>10000</v>
      </c>
      <c r="E8" s="15">
        <v>10000</v>
      </c>
      <c r="F8" s="15">
        <v>340000</v>
      </c>
    </row>
    <row r="9" spans="1:11" x14ac:dyDescent="0.35">
      <c r="A9" t="s">
        <v>270</v>
      </c>
      <c r="B9">
        <v>1617</v>
      </c>
      <c r="C9" t="s">
        <v>27</v>
      </c>
      <c r="D9" s="15">
        <v>10000</v>
      </c>
      <c r="E9" s="15">
        <f>E8+D9</f>
        <v>20000</v>
      </c>
      <c r="F9" s="15">
        <f>F8-D9</f>
        <v>330000</v>
      </c>
    </row>
    <row r="10" spans="1:11" x14ac:dyDescent="0.35">
      <c r="A10" s="18">
        <v>44753</v>
      </c>
      <c r="B10">
        <v>1185</v>
      </c>
      <c r="C10" t="s">
        <v>26</v>
      </c>
      <c r="D10" s="15">
        <v>20000</v>
      </c>
      <c r="E10" s="15">
        <f t="shared" ref="E10:E24" si="0">E9+D10</f>
        <v>40000</v>
      </c>
      <c r="F10" s="15">
        <f t="shared" ref="F10:F24" si="1">F9-D10</f>
        <v>310000</v>
      </c>
    </row>
    <row r="11" spans="1:11" x14ac:dyDescent="0.35">
      <c r="A11" t="s">
        <v>271</v>
      </c>
      <c r="B11">
        <v>1168</v>
      </c>
      <c r="C11" t="s">
        <v>27</v>
      </c>
      <c r="D11" s="15">
        <v>10000</v>
      </c>
      <c r="E11" s="15">
        <f t="shared" si="0"/>
        <v>50000</v>
      </c>
      <c r="F11" s="15">
        <f t="shared" si="1"/>
        <v>300000</v>
      </c>
    </row>
    <row r="12" spans="1:11" x14ac:dyDescent="0.35">
      <c r="A12" s="18">
        <v>45238</v>
      </c>
      <c r="B12">
        <v>431</v>
      </c>
      <c r="C12" t="s">
        <v>27</v>
      </c>
      <c r="D12" s="15">
        <v>20000</v>
      </c>
      <c r="E12" s="15">
        <f t="shared" si="0"/>
        <v>70000</v>
      </c>
      <c r="F12" s="15">
        <f t="shared" si="1"/>
        <v>280000</v>
      </c>
    </row>
    <row r="13" spans="1:11" x14ac:dyDescent="0.35">
      <c r="A13" t="s">
        <v>272</v>
      </c>
      <c r="B13">
        <v>2479</v>
      </c>
      <c r="C13" t="s">
        <v>27</v>
      </c>
      <c r="D13" s="15">
        <v>20000</v>
      </c>
      <c r="E13" s="15">
        <f t="shared" si="0"/>
        <v>90000</v>
      </c>
      <c r="F13" s="15">
        <f t="shared" si="1"/>
        <v>260000</v>
      </c>
    </row>
    <row r="14" spans="1:11" x14ac:dyDescent="0.35">
      <c r="A14" s="18" t="s">
        <v>293</v>
      </c>
      <c r="B14">
        <v>4406</v>
      </c>
      <c r="C14" t="s">
        <v>27</v>
      </c>
      <c r="D14" s="15">
        <v>20000</v>
      </c>
      <c r="E14" s="15">
        <f t="shared" si="0"/>
        <v>110000</v>
      </c>
      <c r="F14" s="15">
        <f t="shared" si="1"/>
        <v>240000</v>
      </c>
    </row>
    <row r="15" spans="1:11" x14ac:dyDescent="0.35">
      <c r="A15" t="s">
        <v>274</v>
      </c>
      <c r="B15">
        <v>5199</v>
      </c>
      <c r="C15" t="s">
        <v>27</v>
      </c>
      <c r="D15" s="15">
        <v>10000</v>
      </c>
      <c r="E15" s="15">
        <f t="shared" si="0"/>
        <v>120000</v>
      </c>
      <c r="F15" s="15">
        <f t="shared" si="1"/>
        <v>230000</v>
      </c>
    </row>
    <row r="16" spans="1:11" x14ac:dyDescent="0.35">
      <c r="A16" s="18" t="s">
        <v>489</v>
      </c>
      <c r="B16">
        <v>8066</v>
      </c>
      <c r="C16" t="s">
        <v>27</v>
      </c>
      <c r="D16" s="15">
        <v>20000</v>
      </c>
      <c r="E16" s="15">
        <f t="shared" si="0"/>
        <v>140000</v>
      </c>
      <c r="F16" s="15">
        <f t="shared" si="1"/>
        <v>210000</v>
      </c>
    </row>
    <row r="17" spans="1:6" x14ac:dyDescent="0.35">
      <c r="A17" t="s">
        <v>490</v>
      </c>
      <c r="B17">
        <v>11297</v>
      </c>
      <c r="C17" t="s">
        <v>27</v>
      </c>
      <c r="D17" s="15">
        <v>40000</v>
      </c>
      <c r="E17" s="15">
        <f t="shared" si="0"/>
        <v>180000</v>
      </c>
      <c r="F17" s="15">
        <f t="shared" si="1"/>
        <v>170000</v>
      </c>
    </row>
    <row r="18" spans="1:6" x14ac:dyDescent="0.35">
      <c r="A18" s="18" t="s">
        <v>278</v>
      </c>
      <c r="B18">
        <v>10070</v>
      </c>
      <c r="C18" t="s">
        <v>27</v>
      </c>
      <c r="D18" s="15">
        <v>40000</v>
      </c>
      <c r="E18" s="15">
        <f t="shared" si="0"/>
        <v>220000</v>
      </c>
      <c r="F18" s="15">
        <f t="shared" si="1"/>
        <v>130000</v>
      </c>
    </row>
    <row r="19" spans="1:6" x14ac:dyDescent="0.35">
      <c r="A19" t="s">
        <v>279</v>
      </c>
      <c r="B19">
        <v>13940</v>
      </c>
      <c r="C19" t="s">
        <v>27</v>
      </c>
      <c r="D19" s="15">
        <v>30000</v>
      </c>
      <c r="E19" s="15">
        <f t="shared" si="0"/>
        <v>250000</v>
      </c>
      <c r="F19" s="15">
        <f t="shared" si="1"/>
        <v>100000</v>
      </c>
    </row>
    <row r="20" spans="1:6" x14ac:dyDescent="0.35">
      <c r="A20" s="18" t="s">
        <v>162</v>
      </c>
      <c r="B20">
        <v>13659</v>
      </c>
      <c r="C20" t="s">
        <v>27</v>
      </c>
      <c r="D20" s="15">
        <v>10000</v>
      </c>
      <c r="E20" s="15">
        <f t="shared" si="0"/>
        <v>260000</v>
      </c>
      <c r="F20" s="15">
        <f t="shared" si="1"/>
        <v>90000</v>
      </c>
    </row>
    <row r="21" spans="1:6" x14ac:dyDescent="0.35">
      <c r="A21" t="s">
        <v>229</v>
      </c>
      <c r="B21">
        <v>13061</v>
      </c>
      <c r="C21" t="s">
        <v>27</v>
      </c>
      <c r="D21" s="15">
        <v>10000</v>
      </c>
      <c r="E21" s="15">
        <f t="shared" si="0"/>
        <v>270000</v>
      </c>
      <c r="F21" s="15">
        <f t="shared" si="1"/>
        <v>80000</v>
      </c>
    </row>
    <row r="22" spans="1:6" x14ac:dyDescent="0.35">
      <c r="A22" s="18" t="s">
        <v>280</v>
      </c>
      <c r="B22">
        <v>12122</v>
      </c>
      <c r="C22" t="s">
        <v>27</v>
      </c>
      <c r="D22" s="15">
        <v>20000</v>
      </c>
      <c r="E22" s="15">
        <f t="shared" si="0"/>
        <v>290000</v>
      </c>
      <c r="F22" s="15">
        <f t="shared" si="1"/>
        <v>60000</v>
      </c>
    </row>
    <row r="23" spans="1:6" x14ac:dyDescent="0.35">
      <c r="A23" s="18">
        <v>46237</v>
      </c>
      <c r="B23">
        <v>12780</v>
      </c>
      <c r="C23" t="s">
        <v>27</v>
      </c>
      <c r="D23" s="15">
        <v>20000</v>
      </c>
      <c r="E23" s="15">
        <f t="shared" si="0"/>
        <v>310000</v>
      </c>
      <c r="F23" s="15">
        <f t="shared" si="1"/>
        <v>40000</v>
      </c>
    </row>
    <row r="24" spans="1:6" x14ac:dyDescent="0.35">
      <c r="A24" s="18" t="s">
        <v>491</v>
      </c>
      <c r="B24">
        <v>13389</v>
      </c>
      <c r="C24" t="s">
        <v>27</v>
      </c>
      <c r="D24" s="15">
        <v>10000</v>
      </c>
      <c r="E24" s="15">
        <f t="shared" si="0"/>
        <v>320000</v>
      </c>
      <c r="F24" s="15">
        <f t="shared" si="1"/>
        <v>30000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4"/>
  <sheetViews>
    <sheetView topLeftCell="A33" workbookViewId="0">
      <selection activeCell="F45" sqref="F45"/>
    </sheetView>
  </sheetViews>
  <sheetFormatPr defaultRowHeight="14.5" x14ac:dyDescent="0.35"/>
  <sheetData>
    <row r="1" spans="1:6" x14ac:dyDescent="0.35">
      <c r="A1" t="s">
        <v>496</v>
      </c>
      <c r="B1" t="s">
        <v>502</v>
      </c>
    </row>
    <row r="2" spans="1:6" x14ac:dyDescent="0.35">
      <c r="A2" t="s">
        <v>497</v>
      </c>
      <c r="B2" t="s">
        <v>503</v>
      </c>
    </row>
    <row r="3" spans="1:6" x14ac:dyDescent="0.35">
      <c r="A3" t="s">
        <v>498</v>
      </c>
    </row>
    <row r="4" spans="1:6" x14ac:dyDescent="0.35">
      <c r="A4" t="s">
        <v>499</v>
      </c>
      <c r="B4" t="s">
        <v>504</v>
      </c>
    </row>
    <row r="5" spans="1:6" x14ac:dyDescent="0.35">
      <c r="A5" t="s">
        <v>500</v>
      </c>
      <c r="B5" t="s">
        <v>505</v>
      </c>
    </row>
    <row r="6" spans="1:6" x14ac:dyDescent="0.35">
      <c r="A6" t="s">
        <v>501</v>
      </c>
      <c r="B6">
        <v>5946</v>
      </c>
      <c r="E6" t="s">
        <v>545</v>
      </c>
      <c r="F6" s="15">
        <v>600000</v>
      </c>
    </row>
    <row r="8" spans="1:6" x14ac:dyDescent="0.35">
      <c r="A8" s="8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spans="1:6" x14ac:dyDescent="0.35">
      <c r="A9" t="s">
        <v>506</v>
      </c>
      <c r="B9">
        <v>1256</v>
      </c>
      <c r="C9" t="s">
        <v>517</v>
      </c>
      <c r="D9" s="15">
        <v>110000</v>
      </c>
      <c r="E9" s="15">
        <v>110000</v>
      </c>
      <c r="F9" s="15">
        <v>490000</v>
      </c>
    </row>
    <row r="10" spans="1:6" x14ac:dyDescent="0.35">
      <c r="A10" t="s">
        <v>507</v>
      </c>
      <c r="C10" t="s">
        <v>518</v>
      </c>
      <c r="D10" s="15">
        <v>10000</v>
      </c>
      <c r="E10" s="15">
        <f t="shared" ref="E10:E44" si="0">E9+D10</f>
        <v>120000</v>
      </c>
      <c r="F10" s="15">
        <f t="shared" ref="F10:F44" si="1">F9-D10</f>
        <v>480000</v>
      </c>
    </row>
    <row r="11" spans="1:6" x14ac:dyDescent="0.35">
      <c r="A11" t="s">
        <v>508</v>
      </c>
      <c r="B11">
        <v>383</v>
      </c>
      <c r="C11" t="s">
        <v>519</v>
      </c>
      <c r="D11" s="15">
        <v>10000</v>
      </c>
      <c r="E11" s="15">
        <f t="shared" si="0"/>
        <v>130000</v>
      </c>
      <c r="F11" s="15">
        <f t="shared" si="1"/>
        <v>470000</v>
      </c>
    </row>
    <row r="12" spans="1:6" x14ac:dyDescent="0.35">
      <c r="A12" t="s">
        <v>509</v>
      </c>
      <c r="B12">
        <v>951</v>
      </c>
      <c r="C12" t="s">
        <v>519</v>
      </c>
      <c r="D12" s="15">
        <v>10000</v>
      </c>
      <c r="E12" s="15">
        <f t="shared" si="0"/>
        <v>140000</v>
      </c>
      <c r="F12" s="15">
        <f t="shared" si="1"/>
        <v>460000</v>
      </c>
    </row>
    <row r="13" spans="1:6" x14ac:dyDescent="0.35">
      <c r="A13" t="s">
        <v>510</v>
      </c>
      <c r="B13">
        <v>2911</v>
      </c>
      <c r="C13" t="s">
        <v>519</v>
      </c>
      <c r="D13" s="15">
        <v>10000</v>
      </c>
      <c r="E13" s="15">
        <f t="shared" si="0"/>
        <v>150000</v>
      </c>
      <c r="F13" s="15">
        <f t="shared" si="1"/>
        <v>450000</v>
      </c>
    </row>
    <row r="14" spans="1:6" x14ac:dyDescent="0.35">
      <c r="A14" t="s">
        <v>511</v>
      </c>
      <c r="B14">
        <v>3059</v>
      </c>
      <c r="C14" t="s">
        <v>519</v>
      </c>
      <c r="D14" s="15">
        <v>10000</v>
      </c>
      <c r="E14" s="15">
        <f t="shared" si="0"/>
        <v>160000</v>
      </c>
      <c r="F14" s="15">
        <f t="shared" si="1"/>
        <v>440000</v>
      </c>
    </row>
    <row r="15" spans="1:6" x14ac:dyDescent="0.35">
      <c r="A15" t="s">
        <v>512</v>
      </c>
      <c r="B15">
        <v>3518</v>
      </c>
      <c r="C15" t="s">
        <v>519</v>
      </c>
      <c r="D15" s="15">
        <v>10000</v>
      </c>
      <c r="E15" s="15">
        <f t="shared" si="0"/>
        <v>170000</v>
      </c>
      <c r="F15" s="15">
        <f t="shared" si="1"/>
        <v>430000</v>
      </c>
    </row>
    <row r="16" spans="1:6" x14ac:dyDescent="0.35">
      <c r="A16" t="s">
        <v>513</v>
      </c>
      <c r="B16">
        <v>4257</v>
      </c>
      <c r="C16" t="s">
        <v>519</v>
      </c>
      <c r="D16" s="15">
        <v>10000</v>
      </c>
      <c r="E16" s="15">
        <f t="shared" si="0"/>
        <v>180000</v>
      </c>
      <c r="F16" s="15">
        <f t="shared" si="1"/>
        <v>420000</v>
      </c>
    </row>
    <row r="17" spans="1:6" x14ac:dyDescent="0.35">
      <c r="A17" t="s">
        <v>514</v>
      </c>
      <c r="B17">
        <v>5036</v>
      </c>
      <c r="C17" t="s">
        <v>519</v>
      </c>
      <c r="D17" s="15">
        <v>10000</v>
      </c>
      <c r="E17" s="15">
        <f t="shared" si="0"/>
        <v>190000</v>
      </c>
      <c r="F17" s="15">
        <f t="shared" si="1"/>
        <v>410000</v>
      </c>
    </row>
    <row r="18" spans="1:6" x14ac:dyDescent="0.35">
      <c r="A18" t="s">
        <v>515</v>
      </c>
      <c r="B18">
        <v>5752</v>
      </c>
      <c r="C18" t="s">
        <v>519</v>
      </c>
      <c r="D18" s="15">
        <v>10000</v>
      </c>
      <c r="E18" s="15">
        <f t="shared" si="0"/>
        <v>200000</v>
      </c>
      <c r="F18" s="15">
        <f t="shared" si="1"/>
        <v>400000</v>
      </c>
    </row>
    <row r="19" spans="1:6" x14ac:dyDescent="0.35">
      <c r="A19" t="s">
        <v>516</v>
      </c>
      <c r="B19">
        <v>6325</v>
      </c>
      <c r="C19" t="s">
        <v>519</v>
      </c>
      <c r="D19" s="15">
        <v>10000</v>
      </c>
      <c r="E19" s="15">
        <f t="shared" si="0"/>
        <v>210000</v>
      </c>
      <c r="F19" s="15">
        <f t="shared" si="1"/>
        <v>390000</v>
      </c>
    </row>
    <row r="20" spans="1:6" x14ac:dyDescent="0.35">
      <c r="A20" t="s">
        <v>520</v>
      </c>
      <c r="B20">
        <v>6664</v>
      </c>
      <c r="C20" t="s">
        <v>519</v>
      </c>
      <c r="D20" s="15">
        <v>10000</v>
      </c>
      <c r="E20" s="15">
        <f t="shared" si="0"/>
        <v>220000</v>
      </c>
      <c r="F20" s="15">
        <f t="shared" si="1"/>
        <v>380000</v>
      </c>
    </row>
    <row r="21" spans="1:6" x14ac:dyDescent="0.35">
      <c r="A21" t="s">
        <v>521</v>
      </c>
      <c r="B21">
        <v>7448</v>
      </c>
      <c r="C21" t="s">
        <v>519</v>
      </c>
      <c r="D21" s="15">
        <v>10000</v>
      </c>
      <c r="E21" s="15">
        <f t="shared" si="0"/>
        <v>230000</v>
      </c>
      <c r="F21" s="15">
        <f t="shared" si="1"/>
        <v>370000</v>
      </c>
    </row>
    <row r="22" spans="1:6" x14ac:dyDescent="0.35">
      <c r="A22" t="s">
        <v>522</v>
      </c>
      <c r="B22">
        <v>7407</v>
      </c>
      <c r="C22" t="s">
        <v>519</v>
      </c>
      <c r="D22" s="15">
        <v>10000</v>
      </c>
      <c r="E22" s="15">
        <f t="shared" si="0"/>
        <v>240000</v>
      </c>
      <c r="F22" s="15">
        <f t="shared" si="1"/>
        <v>360000</v>
      </c>
    </row>
    <row r="23" spans="1:6" x14ac:dyDescent="0.35">
      <c r="A23" t="s">
        <v>523</v>
      </c>
      <c r="B23">
        <v>8544</v>
      </c>
      <c r="C23" t="s">
        <v>519</v>
      </c>
      <c r="D23" s="15">
        <v>10000</v>
      </c>
      <c r="E23" s="15">
        <f t="shared" si="0"/>
        <v>250000</v>
      </c>
      <c r="F23" s="15">
        <f t="shared" si="1"/>
        <v>350000</v>
      </c>
    </row>
    <row r="24" spans="1:6" x14ac:dyDescent="0.35">
      <c r="A24" t="s">
        <v>524</v>
      </c>
      <c r="B24">
        <v>9230</v>
      </c>
      <c r="C24" t="s">
        <v>519</v>
      </c>
      <c r="D24" s="15">
        <v>10000</v>
      </c>
      <c r="E24" s="15">
        <f t="shared" si="0"/>
        <v>260000</v>
      </c>
      <c r="F24" s="15">
        <f t="shared" si="1"/>
        <v>340000</v>
      </c>
    </row>
    <row r="25" spans="1:6" x14ac:dyDescent="0.35">
      <c r="A25" t="s">
        <v>525</v>
      </c>
      <c r="B25">
        <v>11293</v>
      </c>
      <c r="C25" t="s">
        <v>519</v>
      </c>
      <c r="D25" s="15">
        <v>10000</v>
      </c>
      <c r="E25" s="15">
        <f t="shared" si="0"/>
        <v>270000</v>
      </c>
      <c r="F25" s="15">
        <f t="shared" si="1"/>
        <v>330000</v>
      </c>
    </row>
    <row r="26" spans="1:6" x14ac:dyDescent="0.35">
      <c r="A26" t="s">
        <v>526</v>
      </c>
      <c r="B26">
        <v>10344</v>
      </c>
      <c r="C26" t="s">
        <v>519</v>
      </c>
      <c r="D26" s="15">
        <v>10000</v>
      </c>
      <c r="E26" s="15">
        <f t="shared" si="0"/>
        <v>280000</v>
      </c>
      <c r="F26" s="15">
        <f t="shared" si="1"/>
        <v>320000</v>
      </c>
    </row>
    <row r="27" spans="1:6" x14ac:dyDescent="0.35">
      <c r="A27" t="s">
        <v>527</v>
      </c>
      <c r="B27">
        <v>10319</v>
      </c>
      <c r="C27" t="s">
        <v>519</v>
      </c>
      <c r="D27" s="15">
        <v>10000</v>
      </c>
      <c r="E27" s="15">
        <f t="shared" si="0"/>
        <v>290000</v>
      </c>
      <c r="F27" s="15">
        <f t="shared" si="1"/>
        <v>310000</v>
      </c>
    </row>
    <row r="28" spans="1:6" x14ac:dyDescent="0.35">
      <c r="A28" t="s">
        <v>528</v>
      </c>
      <c r="B28">
        <v>12161</v>
      </c>
      <c r="C28" t="s">
        <v>519</v>
      </c>
      <c r="D28" s="15">
        <v>10000</v>
      </c>
      <c r="E28" s="15">
        <f t="shared" si="0"/>
        <v>300000</v>
      </c>
      <c r="F28" s="15">
        <f t="shared" si="1"/>
        <v>300000</v>
      </c>
    </row>
    <row r="29" spans="1:6" x14ac:dyDescent="0.35">
      <c r="A29" t="s">
        <v>529</v>
      </c>
      <c r="B29">
        <v>12702</v>
      </c>
      <c r="C29" t="s">
        <v>519</v>
      </c>
      <c r="D29" s="15">
        <v>10000</v>
      </c>
      <c r="E29" s="15">
        <f t="shared" si="0"/>
        <v>310000</v>
      </c>
      <c r="F29" s="15">
        <f t="shared" si="1"/>
        <v>290000</v>
      </c>
    </row>
    <row r="30" spans="1:6" x14ac:dyDescent="0.35">
      <c r="A30" t="s">
        <v>530</v>
      </c>
      <c r="B30">
        <v>9070</v>
      </c>
      <c r="C30" t="s">
        <v>519</v>
      </c>
      <c r="D30" s="15">
        <v>10000</v>
      </c>
      <c r="E30" s="15">
        <f t="shared" si="0"/>
        <v>320000</v>
      </c>
      <c r="F30" s="15">
        <f t="shared" si="1"/>
        <v>280000</v>
      </c>
    </row>
    <row r="31" spans="1:6" x14ac:dyDescent="0.35">
      <c r="A31" t="s">
        <v>531</v>
      </c>
      <c r="B31">
        <v>9446</v>
      </c>
      <c r="C31" t="s">
        <v>519</v>
      </c>
      <c r="D31" s="15">
        <v>10000</v>
      </c>
      <c r="E31" s="15">
        <f t="shared" si="0"/>
        <v>330000</v>
      </c>
      <c r="F31" s="15">
        <f t="shared" si="1"/>
        <v>270000</v>
      </c>
    </row>
    <row r="32" spans="1:6" x14ac:dyDescent="0.35">
      <c r="A32" t="s">
        <v>532</v>
      </c>
      <c r="B32">
        <v>9830</v>
      </c>
      <c r="C32" t="s">
        <v>519</v>
      </c>
      <c r="D32" s="15">
        <v>10000</v>
      </c>
      <c r="E32" s="15">
        <f t="shared" si="0"/>
        <v>340000</v>
      </c>
      <c r="F32" s="15">
        <f t="shared" si="1"/>
        <v>260000</v>
      </c>
    </row>
    <row r="33" spans="1:6" x14ac:dyDescent="0.35">
      <c r="A33" t="s">
        <v>533</v>
      </c>
      <c r="B33">
        <v>10829</v>
      </c>
      <c r="C33" t="s">
        <v>519</v>
      </c>
      <c r="D33" s="15">
        <v>10000</v>
      </c>
      <c r="E33" s="15">
        <f t="shared" si="0"/>
        <v>350000</v>
      </c>
      <c r="F33" s="15">
        <f t="shared" si="1"/>
        <v>250000</v>
      </c>
    </row>
    <row r="34" spans="1:6" x14ac:dyDescent="0.35">
      <c r="A34" t="s">
        <v>534</v>
      </c>
      <c r="B34">
        <v>11846</v>
      </c>
      <c r="C34" t="s">
        <v>519</v>
      </c>
      <c r="D34" s="15">
        <v>10000</v>
      </c>
      <c r="E34" s="15">
        <f t="shared" si="0"/>
        <v>360000</v>
      </c>
      <c r="F34" s="15">
        <f t="shared" si="1"/>
        <v>240000</v>
      </c>
    </row>
    <row r="35" spans="1:6" x14ac:dyDescent="0.35">
      <c r="A35" t="s">
        <v>535</v>
      </c>
      <c r="B35">
        <v>12284</v>
      </c>
      <c r="C35" t="s">
        <v>519</v>
      </c>
      <c r="D35" s="15">
        <v>10000</v>
      </c>
      <c r="E35" s="15">
        <f t="shared" si="0"/>
        <v>370000</v>
      </c>
      <c r="F35" s="15">
        <f t="shared" si="1"/>
        <v>230000</v>
      </c>
    </row>
    <row r="36" spans="1:6" x14ac:dyDescent="0.35">
      <c r="A36" t="s">
        <v>536</v>
      </c>
      <c r="B36">
        <v>12547</v>
      </c>
      <c r="C36" t="s">
        <v>519</v>
      </c>
      <c r="D36" s="15">
        <v>10000</v>
      </c>
      <c r="E36" s="15">
        <f t="shared" si="0"/>
        <v>380000</v>
      </c>
      <c r="F36" s="15">
        <f t="shared" si="1"/>
        <v>220000</v>
      </c>
    </row>
    <row r="37" spans="1:6" x14ac:dyDescent="0.35">
      <c r="A37" t="s">
        <v>537</v>
      </c>
      <c r="B37">
        <v>13653</v>
      </c>
      <c r="C37" t="s">
        <v>519</v>
      </c>
      <c r="D37" s="15">
        <v>10000</v>
      </c>
      <c r="E37" s="15">
        <f t="shared" si="0"/>
        <v>390000</v>
      </c>
      <c r="F37" s="15">
        <f t="shared" si="1"/>
        <v>210000</v>
      </c>
    </row>
    <row r="38" spans="1:6" x14ac:dyDescent="0.35">
      <c r="A38" t="s">
        <v>538</v>
      </c>
      <c r="B38">
        <v>13091</v>
      </c>
      <c r="C38" t="s">
        <v>519</v>
      </c>
      <c r="D38" s="15">
        <v>10000</v>
      </c>
      <c r="E38" s="15">
        <f t="shared" si="0"/>
        <v>400000</v>
      </c>
      <c r="F38" s="15">
        <f t="shared" si="1"/>
        <v>200000</v>
      </c>
    </row>
    <row r="39" spans="1:6" x14ac:dyDescent="0.35">
      <c r="A39" t="s">
        <v>539</v>
      </c>
      <c r="B39">
        <v>12671</v>
      </c>
      <c r="C39" t="s">
        <v>519</v>
      </c>
      <c r="D39" s="15">
        <v>10000</v>
      </c>
      <c r="E39" s="15">
        <f t="shared" si="0"/>
        <v>410000</v>
      </c>
      <c r="F39" s="15">
        <f t="shared" si="1"/>
        <v>190000</v>
      </c>
    </row>
    <row r="40" spans="1:6" x14ac:dyDescent="0.35">
      <c r="A40" t="s">
        <v>540</v>
      </c>
      <c r="B40">
        <v>12237</v>
      </c>
      <c r="C40" t="s">
        <v>519</v>
      </c>
      <c r="D40" s="15">
        <v>10000</v>
      </c>
      <c r="E40" s="15">
        <f t="shared" si="0"/>
        <v>420000</v>
      </c>
      <c r="F40" s="15">
        <f t="shared" si="1"/>
        <v>180000</v>
      </c>
    </row>
    <row r="41" spans="1:6" x14ac:dyDescent="0.35">
      <c r="A41" t="s">
        <v>541</v>
      </c>
      <c r="B41">
        <v>12564</v>
      </c>
      <c r="C41" t="s">
        <v>519</v>
      </c>
      <c r="D41" s="15">
        <v>10000</v>
      </c>
      <c r="E41" s="15">
        <f t="shared" si="0"/>
        <v>430000</v>
      </c>
      <c r="F41" s="15">
        <f t="shared" si="1"/>
        <v>170000</v>
      </c>
    </row>
    <row r="42" spans="1:6" x14ac:dyDescent="0.35">
      <c r="A42" t="s">
        <v>542</v>
      </c>
      <c r="B42">
        <v>13956</v>
      </c>
      <c r="C42" t="s">
        <v>519</v>
      </c>
      <c r="D42" s="15">
        <v>10000</v>
      </c>
      <c r="E42" s="15">
        <f t="shared" si="0"/>
        <v>440000</v>
      </c>
      <c r="F42" s="15">
        <f t="shared" si="1"/>
        <v>160000</v>
      </c>
    </row>
    <row r="43" spans="1:6" x14ac:dyDescent="0.35">
      <c r="A43" t="s">
        <v>543</v>
      </c>
      <c r="B43">
        <v>13050</v>
      </c>
      <c r="C43" t="s">
        <v>519</v>
      </c>
      <c r="D43" s="15">
        <v>10000</v>
      </c>
      <c r="E43" s="15">
        <f t="shared" si="0"/>
        <v>450000</v>
      </c>
      <c r="F43" s="15">
        <f t="shared" si="1"/>
        <v>150000</v>
      </c>
    </row>
    <row r="44" spans="1:6" x14ac:dyDescent="0.35">
      <c r="A44" t="s">
        <v>544</v>
      </c>
      <c r="B44">
        <v>10026</v>
      </c>
      <c r="C44" t="s">
        <v>519</v>
      </c>
      <c r="D44" s="15">
        <v>10000</v>
      </c>
      <c r="E44" s="15">
        <f t="shared" si="0"/>
        <v>460000</v>
      </c>
      <c r="F44" s="15">
        <f t="shared" si="1"/>
        <v>140000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7"/>
  <sheetViews>
    <sheetView topLeftCell="A37" workbookViewId="0">
      <selection activeCell="C43" sqref="C43"/>
    </sheetView>
  </sheetViews>
  <sheetFormatPr defaultRowHeight="14.5" x14ac:dyDescent="0.35"/>
  <cols>
    <col min="1" max="1" width="11.6328125" customWidth="1"/>
    <col min="3" max="3" width="14.453125" customWidth="1"/>
    <col min="4" max="4" width="14.90625" customWidth="1"/>
    <col min="5" max="5" width="13.36328125" customWidth="1"/>
    <col min="6" max="6" width="15.7265625" customWidth="1"/>
  </cols>
  <sheetData>
    <row r="1" spans="1:7" ht="18.5" x14ac:dyDescent="0.45">
      <c r="A1" s="28" t="s">
        <v>602</v>
      </c>
      <c r="B1" s="1" t="s">
        <v>671</v>
      </c>
      <c r="C1" s="1"/>
      <c r="D1" s="1"/>
      <c r="E1" s="1"/>
      <c r="F1" s="1"/>
      <c r="G1" s="1"/>
    </row>
    <row r="2" spans="1:7" ht="18.5" x14ac:dyDescent="0.45">
      <c r="A2" s="28" t="s">
        <v>497</v>
      </c>
      <c r="B2" s="1" t="s">
        <v>672</v>
      </c>
      <c r="C2" s="1"/>
      <c r="D2" s="1"/>
      <c r="E2" s="1"/>
      <c r="F2" s="1"/>
      <c r="G2" s="1"/>
    </row>
    <row r="3" spans="1:7" ht="18.5" x14ac:dyDescent="0.45">
      <c r="A3" s="28" t="s">
        <v>677</v>
      </c>
      <c r="B3" s="1" t="s">
        <v>673</v>
      </c>
      <c r="C3" s="1"/>
      <c r="D3" s="1"/>
      <c r="E3" s="1"/>
      <c r="F3" s="1"/>
      <c r="G3" s="1"/>
    </row>
    <row r="4" spans="1:7" ht="18.5" x14ac:dyDescent="0.45">
      <c r="A4" s="28" t="s">
        <v>500</v>
      </c>
      <c r="B4" s="1" t="s">
        <v>674</v>
      </c>
      <c r="C4" s="1"/>
      <c r="D4" s="1"/>
      <c r="E4" s="1"/>
      <c r="F4" s="1"/>
      <c r="G4" s="1"/>
    </row>
    <row r="5" spans="1:7" ht="18.5" x14ac:dyDescent="0.45">
      <c r="A5" s="28" t="s">
        <v>498</v>
      </c>
      <c r="B5" s="1" t="s">
        <v>675</v>
      </c>
      <c r="C5" s="1"/>
      <c r="D5" s="1"/>
      <c r="E5" s="1"/>
      <c r="F5" s="1"/>
      <c r="G5" s="1"/>
    </row>
    <row r="6" spans="1:7" ht="18.5" x14ac:dyDescent="0.45">
      <c r="A6" s="28" t="s">
        <v>501</v>
      </c>
      <c r="B6" s="1">
        <v>5945</v>
      </c>
      <c r="C6" s="1"/>
      <c r="D6" s="1" t="s">
        <v>676</v>
      </c>
      <c r="E6" s="1"/>
      <c r="F6" s="1"/>
      <c r="G6" s="1"/>
    </row>
    <row r="7" spans="1:7" ht="18.5" x14ac:dyDescent="0.45">
      <c r="A7" s="1"/>
      <c r="B7" s="1"/>
      <c r="C7" s="1"/>
      <c r="D7" s="1"/>
      <c r="E7" s="1"/>
      <c r="F7" s="1"/>
      <c r="G7" s="1"/>
    </row>
    <row r="8" spans="1:7" ht="18.5" x14ac:dyDescent="0.45">
      <c r="A8" s="42" t="s">
        <v>6</v>
      </c>
      <c r="B8" s="42" t="s">
        <v>7</v>
      </c>
      <c r="C8" s="42" t="s">
        <v>8</v>
      </c>
      <c r="D8" s="42" t="s">
        <v>9</v>
      </c>
      <c r="E8" s="42" t="s">
        <v>10</v>
      </c>
      <c r="F8" s="42" t="s">
        <v>11</v>
      </c>
      <c r="G8" s="1"/>
    </row>
    <row r="9" spans="1:7" x14ac:dyDescent="0.35">
      <c r="A9" s="12">
        <v>45203</v>
      </c>
      <c r="B9" s="9">
        <v>902</v>
      </c>
      <c r="C9" s="9" t="s">
        <v>687</v>
      </c>
      <c r="D9" s="11">
        <v>10000</v>
      </c>
      <c r="E9" s="11">
        <v>10000</v>
      </c>
      <c r="F9" s="11">
        <v>590000</v>
      </c>
    </row>
    <row r="10" spans="1:7" x14ac:dyDescent="0.35">
      <c r="A10" s="9" t="s">
        <v>678</v>
      </c>
      <c r="B10" s="9">
        <v>1255</v>
      </c>
      <c r="C10" s="9" t="s">
        <v>688</v>
      </c>
      <c r="D10" s="11">
        <v>110000</v>
      </c>
      <c r="E10" s="11">
        <f t="shared" ref="E10:E47" si="0">E9+D10</f>
        <v>120000</v>
      </c>
      <c r="F10" s="11">
        <f t="shared" ref="F10:F47" si="1">F9-D10</f>
        <v>480000</v>
      </c>
    </row>
    <row r="11" spans="1:7" x14ac:dyDescent="0.35">
      <c r="A11" s="9" t="s">
        <v>679</v>
      </c>
      <c r="B11" s="9">
        <v>837</v>
      </c>
      <c r="C11" s="9" t="s">
        <v>689</v>
      </c>
      <c r="D11" s="11">
        <v>10000</v>
      </c>
      <c r="E11" s="11">
        <f t="shared" si="0"/>
        <v>130000</v>
      </c>
      <c r="F11" s="11">
        <f t="shared" si="1"/>
        <v>470000</v>
      </c>
    </row>
    <row r="12" spans="1:7" x14ac:dyDescent="0.35">
      <c r="A12" s="9" t="s">
        <v>680</v>
      </c>
      <c r="B12" s="9">
        <v>951</v>
      </c>
      <c r="C12" s="9" t="s">
        <v>689</v>
      </c>
      <c r="D12" s="11">
        <v>10000</v>
      </c>
      <c r="E12" s="11">
        <f t="shared" si="0"/>
        <v>140000</v>
      </c>
      <c r="F12" s="11">
        <f t="shared" si="1"/>
        <v>460000</v>
      </c>
    </row>
    <row r="13" spans="1:7" x14ac:dyDescent="0.35">
      <c r="A13" s="9" t="s">
        <v>681</v>
      </c>
      <c r="B13" s="9">
        <v>2910</v>
      </c>
      <c r="C13" s="9" t="s">
        <v>689</v>
      </c>
      <c r="D13" s="11">
        <v>10000</v>
      </c>
      <c r="E13" s="11">
        <f t="shared" si="0"/>
        <v>150000</v>
      </c>
      <c r="F13" s="11">
        <f t="shared" si="1"/>
        <v>450000</v>
      </c>
    </row>
    <row r="14" spans="1:7" x14ac:dyDescent="0.35">
      <c r="A14" s="9" t="s">
        <v>682</v>
      </c>
      <c r="B14" s="9">
        <v>3058</v>
      </c>
      <c r="C14" s="9" t="s">
        <v>689</v>
      </c>
      <c r="D14" s="11">
        <v>10000</v>
      </c>
      <c r="E14" s="11">
        <f t="shared" si="0"/>
        <v>160000</v>
      </c>
      <c r="F14" s="11">
        <f t="shared" si="1"/>
        <v>440000</v>
      </c>
    </row>
    <row r="15" spans="1:7" x14ac:dyDescent="0.35">
      <c r="A15" s="12">
        <v>45239</v>
      </c>
      <c r="B15" s="9">
        <v>3519</v>
      </c>
      <c r="C15" s="9" t="s">
        <v>689</v>
      </c>
      <c r="D15" s="11">
        <v>10000</v>
      </c>
      <c r="E15" s="11">
        <f t="shared" si="0"/>
        <v>170000</v>
      </c>
      <c r="F15" s="11">
        <f t="shared" si="1"/>
        <v>430000</v>
      </c>
    </row>
    <row r="16" spans="1:7" x14ac:dyDescent="0.35">
      <c r="A16" s="9" t="s">
        <v>683</v>
      </c>
      <c r="B16" s="9">
        <v>4258</v>
      </c>
      <c r="C16" s="9" t="s">
        <v>689</v>
      </c>
      <c r="D16" s="11">
        <v>10000</v>
      </c>
      <c r="E16" s="11">
        <f t="shared" si="0"/>
        <v>180000</v>
      </c>
      <c r="F16" s="11">
        <f t="shared" si="1"/>
        <v>420000</v>
      </c>
    </row>
    <row r="17" spans="1:6" x14ac:dyDescent="0.35">
      <c r="A17" s="9" t="s">
        <v>684</v>
      </c>
      <c r="B17" s="9">
        <v>5038</v>
      </c>
      <c r="C17" s="9" t="s">
        <v>689</v>
      </c>
      <c r="D17" s="11">
        <v>10000</v>
      </c>
      <c r="E17" s="11">
        <f t="shared" si="0"/>
        <v>190000</v>
      </c>
      <c r="F17" s="11">
        <f t="shared" si="1"/>
        <v>410000</v>
      </c>
    </row>
    <row r="18" spans="1:6" x14ac:dyDescent="0.35">
      <c r="A18" s="9" t="s">
        <v>685</v>
      </c>
      <c r="B18" s="9">
        <v>5751</v>
      </c>
      <c r="C18" s="9" t="s">
        <v>689</v>
      </c>
      <c r="D18" s="11">
        <v>10000</v>
      </c>
      <c r="E18" s="11">
        <f t="shared" si="0"/>
        <v>200000</v>
      </c>
      <c r="F18" s="11">
        <f t="shared" si="1"/>
        <v>400000</v>
      </c>
    </row>
    <row r="19" spans="1:6" x14ac:dyDescent="0.35">
      <c r="A19" s="9" t="s">
        <v>686</v>
      </c>
      <c r="B19" s="9">
        <v>6327</v>
      </c>
      <c r="C19" s="9" t="s">
        <v>689</v>
      </c>
      <c r="D19" s="11">
        <v>10000</v>
      </c>
      <c r="E19" s="11">
        <f t="shared" si="0"/>
        <v>210000</v>
      </c>
      <c r="F19" s="11">
        <f t="shared" si="1"/>
        <v>390000</v>
      </c>
    </row>
    <row r="20" spans="1:6" x14ac:dyDescent="0.35">
      <c r="A20" s="9" t="s">
        <v>690</v>
      </c>
      <c r="B20" s="9">
        <v>6663</v>
      </c>
      <c r="C20" s="9" t="s">
        <v>689</v>
      </c>
      <c r="D20" s="11">
        <v>10000</v>
      </c>
      <c r="E20" s="11">
        <f t="shared" si="0"/>
        <v>220000</v>
      </c>
      <c r="F20" s="11">
        <f t="shared" si="1"/>
        <v>380000</v>
      </c>
    </row>
    <row r="21" spans="1:6" x14ac:dyDescent="0.35">
      <c r="A21" s="9" t="s">
        <v>691</v>
      </c>
      <c r="B21" s="9">
        <v>7450</v>
      </c>
      <c r="C21" s="9" t="s">
        <v>689</v>
      </c>
      <c r="D21" s="11">
        <v>10000</v>
      </c>
      <c r="E21" s="11">
        <f t="shared" si="0"/>
        <v>230000</v>
      </c>
      <c r="F21" s="11">
        <f t="shared" si="1"/>
        <v>370000</v>
      </c>
    </row>
    <row r="22" spans="1:6" x14ac:dyDescent="0.35">
      <c r="A22" s="9" t="s">
        <v>626</v>
      </c>
      <c r="B22" s="9">
        <v>7906</v>
      </c>
      <c r="C22" s="9" t="s">
        <v>689</v>
      </c>
      <c r="D22" s="11">
        <v>10000</v>
      </c>
      <c r="E22" s="11">
        <f t="shared" si="0"/>
        <v>240000</v>
      </c>
      <c r="F22" s="11">
        <f t="shared" si="1"/>
        <v>360000</v>
      </c>
    </row>
    <row r="23" spans="1:6" x14ac:dyDescent="0.35">
      <c r="A23" s="9" t="s">
        <v>692</v>
      </c>
      <c r="B23" s="9">
        <v>8943</v>
      </c>
      <c r="C23" s="9" t="s">
        <v>689</v>
      </c>
      <c r="D23" s="11">
        <v>10000</v>
      </c>
      <c r="E23" s="11">
        <f t="shared" si="0"/>
        <v>250000</v>
      </c>
      <c r="F23" s="11">
        <f t="shared" si="1"/>
        <v>350000</v>
      </c>
    </row>
    <row r="24" spans="1:6" x14ac:dyDescent="0.35">
      <c r="A24" s="9" t="s">
        <v>693</v>
      </c>
      <c r="B24" s="9">
        <v>9269</v>
      </c>
      <c r="C24" s="9" t="s">
        <v>689</v>
      </c>
      <c r="D24" s="11">
        <v>10000</v>
      </c>
      <c r="E24" s="11">
        <f t="shared" si="0"/>
        <v>260000</v>
      </c>
      <c r="F24" s="11">
        <f t="shared" si="1"/>
        <v>340000</v>
      </c>
    </row>
    <row r="25" spans="1:6" x14ac:dyDescent="0.35">
      <c r="A25" s="9" t="s">
        <v>694</v>
      </c>
      <c r="B25" s="9">
        <v>11292</v>
      </c>
      <c r="C25" s="9" t="s">
        <v>689</v>
      </c>
      <c r="D25" s="11">
        <v>10000</v>
      </c>
      <c r="E25" s="11">
        <f t="shared" si="0"/>
        <v>270000</v>
      </c>
      <c r="F25" s="11">
        <f t="shared" si="1"/>
        <v>330000</v>
      </c>
    </row>
    <row r="26" spans="1:6" x14ac:dyDescent="0.35">
      <c r="A26" s="9" t="s">
        <v>695</v>
      </c>
      <c r="B26" s="9">
        <v>10641</v>
      </c>
      <c r="C26" s="9" t="s">
        <v>689</v>
      </c>
      <c r="D26" s="11">
        <v>10000</v>
      </c>
      <c r="E26" s="11">
        <f t="shared" si="0"/>
        <v>280000</v>
      </c>
      <c r="F26" s="11">
        <f t="shared" si="1"/>
        <v>320000</v>
      </c>
    </row>
    <row r="27" spans="1:6" x14ac:dyDescent="0.35">
      <c r="A27" s="9" t="s">
        <v>696</v>
      </c>
      <c r="B27" s="9">
        <v>10312</v>
      </c>
      <c r="C27" s="9" t="s">
        <v>689</v>
      </c>
      <c r="D27" s="11">
        <v>10000</v>
      </c>
      <c r="E27" s="11">
        <f t="shared" si="0"/>
        <v>290000</v>
      </c>
      <c r="F27" s="11">
        <f t="shared" si="1"/>
        <v>310000</v>
      </c>
    </row>
    <row r="28" spans="1:6" x14ac:dyDescent="0.35">
      <c r="A28" s="9" t="s">
        <v>697</v>
      </c>
      <c r="B28" s="9">
        <v>12160</v>
      </c>
      <c r="C28" s="9" t="s">
        <v>689</v>
      </c>
      <c r="D28" s="11">
        <v>10000</v>
      </c>
      <c r="E28" s="11">
        <f t="shared" si="0"/>
        <v>300000</v>
      </c>
      <c r="F28" s="11">
        <f t="shared" si="1"/>
        <v>300000</v>
      </c>
    </row>
    <row r="29" spans="1:6" x14ac:dyDescent="0.35">
      <c r="A29" s="9" t="s">
        <v>698</v>
      </c>
      <c r="B29" s="9">
        <v>12701</v>
      </c>
      <c r="C29" s="9" t="s">
        <v>689</v>
      </c>
      <c r="D29" s="11">
        <v>10000</v>
      </c>
      <c r="E29" s="11">
        <f t="shared" si="0"/>
        <v>310000</v>
      </c>
      <c r="F29" s="11">
        <f t="shared" si="1"/>
        <v>290000</v>
      </c>
    </row>
    <row r="30" spans="1:6" x14ac:dyDescent="0.35">
      <c r="A30" s="9" t="s">
        <v>699</v>
      </c>
      <c r="B30" s="9">
        <v>9069</v>
      </c>
      <c r="C30" s="9" t="s">
        <v>689</v>
      </c>
      <c r="D30" s="11">
        <v>10000</v>
      </c>
      <c r="E30" s="11">
        <f t="shared" si="0"/>
        <v>320000</v>
      </c>
      <c r="F30" s="11">
        <f t="shared" si="1"/>
        <v>280000</v>
      </c>
    </row>
    <row r="31" spans="1:6" x14ac:dyDescent="0.35">
      <c r="A31" s="9" t="s">
        <v>700</v>
      </c>
      <c r="B31" s="9">
        <v>9444</v>
      </c>
      <c r="C31" s="9" t="s">
        <v>689</v>
      </c>
      <c r="D31" s="11">
        <v>10000</v>
      </c>
      <c r="E31" s="11">
        <f t="shared" si="0"/>
        <v>330000</v>
      </c>
      <c r="F31" s="11">
        <f t="shared" si="1"/>
        <v>270000</v>
      </c>
    </row>
    <row r="32" spans="1:6" x14ac:dyDescent="0.35">
      <c r="A32" s="9" t="s">
        <v>701</v>
      </c>
      <c r="B32" s="9">
        <v>9831</v>
      </c>
      <c r="C32" s="9" t="s">
        <v>689</v>
      </c>
      <c r="D32" s="11">
        <v>10000</v>
      </c>
      <c r="E32" s="11">
        <f t="shared" si="0"/>
        <v>340000</v>
      </c>
      <c r="F32" s="11">
        <f t="shared" si="1"/>
        <v>260000</v>
      </c>
    </row>
    <row r="33" spans="1:6" x14ac:dyDescent="0.35">
      <c r="A33" s="9" t="s">
        <v>702</v>
      </c>
      <c r="B33" s="9">
        <v>10828</v>
      </c>
      <c r="C33" s="9" t="s">
        <v>689</v>
      </c>
      <c r="D33" s="11">
        <v>10000</v>
      </c>
      <c r="E33" s="11">
        <f t="shared" si="0"/>
        <v>350000</v>
      </c>
      <c r="F33" s="11">
        <f t="shared" si="1"/>
        <v>250000</v>
      </c>
    </row>
    <row r="34" spans="1:6" x14ac:dyDescent="0.35">
      <c r="A34" s="9" t="s">
        <v>703</v>
      </c>
      <c r="B34" s="9">
        <v>11845</v>
      </c>
      <c r="C34" s="9" t="s">
        <v>689</v>
      </c>
      <c r="D34" s="11">
        <v>10000</v>
      </c>
      <c r="E34" s="11">
        <f t="shared" si="0"/>
        <v>360000</v>
      </c>
      <c r="F34" s="11">
        <f t="shared" si="1"/>
        <v>240000</v>
      </c>
    </row>
    <row r="35" spans="1:6" x14ac:dyDescent="0.35">
      <c r="A35" s="9" t="s">
        <v>636</v>
      </c>
      <c r="B35" s="9">
        <v>12283</v>
      </c>
      <c r="C35" s="9" t="s">
        <v>689</v>
      </c>
      <c r="D35" s="11">
        <v>10000</v>
      </c>
      <c r="E35" s="11">
        <f t="shared" si="0"/>
        <v>370000</v>
      </c>
      <c r="F35" s="11">
        <f t="shared" si="1"/>
        <v>230000</v>
      </c>
    </row>
    <row r="36" spans="1:6" x14ac:dyDescent="0.35">
      <c r="A36" s="9" t="s">
        <v>704</v>
      </c>
      <c r="B36" s="9">
        <v>12548</v>
      </c>
      <c r="C36" s="9" t="s">
        <v>689</v>
      </c>
      <c r="D36" s="11">
        <v>10000</v>
      </c>
      <c r="E36" s="11">
        <f t="shared" si="0"/>
        <v>380000</v>
      </c>
      <c r="F36" s="11">
        <f t="shared" si="1"/>
        <v>220000</v>
      </c>
    </row>
    <row r="37" spans="1:6" x14ac:dyDescent="0.35">
      <c r="A37" s="9" t="s">
        <v>705</v>
      </c>
      <c r="B37" s="9">
        <v>13652</v>
      </c>
      <c r="C37" s="9" t="s">
        <v>689</v>
      </c>
      <c r="D37" s="11">
        <v>10000</v>
      </c>
      <c r="E37" s="11">
        <f t="shared" si="0"/>
        <v>390000</v>
      </c>
      <c r="F37" s="11">
        <f t="shared" si="1"/>
        <v>210000</v>
      </c>
    </row>
    <row r="38" spans="1:6" x14ac:dyDescent="0.35">
      <c r="A38" s="9" t="s">
        <v>706</v>
      </c>
      <c r="B38" s="9">
        <v>13092</v>
      </c>
      <c r="C38" s="9" t="s">
        <v>689</v>
      </c>
      <c r="D38" s="11">
        <v>10000</v>
      </c>
      <c r="E38" s="11">
        <f t="shared" si="0"/>
        <v>400000</v>
      </c>
      <c r="F38" s="11">
        <f t="shared" si="1"/>
        <v>200000</v>
      </c>
    </row>
    <row r="39" spans="1:6" x14ac:dyDescent="0.35">
      <c r="A39" s="9" t="s">
        <v>707</v>
      </c>
      <c r="B39" s="9">
        <v>12672</v>
      </c>
      <c r="C39" s="9" t="s">
        <v>689</v>
      </c>
      <c r="D39" s="11">
        <v>10000</v>
      </c>
      <c r="E39" s="11">
        <f t="shared" si="0"/>
        <v>410000</v>
      </c>
      <c r="F39" s="11">
        <f t="shared" si="1"/>
        <v>190000</v>
      </c>
    </row>
    <row r="40" spans="1:6" x14ac:dyDescent="0.35">
      <c r="A40" s="9" t="s">
        <v>708</v>
      </c>
      <c r="B40" s="9">
        <v>12238</v>
      </c>
      <c r="C40" s="9" t="s">
        <v>689</v>
      </c>
      <c r="D40" s="11">
        <v>10000</v>
      </c>
      <c r="E40" s="11">
        <f t="shared" si="0"/>
        <v>420000</v>
      </c>
      <c r="F40" s="11">
        <f t="shared" si="1"/>
        <v>180000</v>
      </c>
    </row>
    <row r="41" spans="1:6" x14ac:dyDescent="0.35">
      <c r="A41" s="9" t="s">
        <v>709</v>
      </c>
      <c r="B41" s="9">
        <v>12565</v>
      </c>
      <c r="C41" s="9" t="s">
        <v>689</v>
      </c>
      <c r="D41" s="11">
        <v>10000</v>
      </c>
      <c r="E41" s="11">
        <f t="shared" si="0"/>
        <v>430000</v>
      </c>
      <c r="F41" s="11">
        <f t="shared" si="1"/>
        <v>170000</v>
      </c>
    </row>
    <row r="42" spans="1:6" x14ac:dyDescent="0.35">
      <c r="A42" s="9" t="s">
        <v>710</v>
      </c>
      <c r="B42" s="9">
        <v>13957</v>
      </c>
      <c r="C42" s="9" t="s">
        <v>689</v>
      </c>
      <c r="D42" s="11">
        <v>10000</v>
      </c>
      <c r="E42" s="11">
        <f t="shared" si="0"/>
        <v>440000</v>
      </c>
      <c r="F42" s="11">
        <f t="shared" si="1"/>
        <v>160000</v>
      </c>
    </row>
    <row r="43" spans="1:6" x14ac:dyDescent="0.35">
      <c r="A43" s="9" t="s">
        <v>711</v>
      </c>
      <c r="B43" s="9">
        <v>13051</v>
      </c>
      <c r="C43" s="9" t="s">
        <v>689</v>
      </c>
      <c r="D43" s="11">
        <v>10000</v>
      </c>
      <c r="E43" s="11">
        <f t="shared" si="0"/>
        <v>450000</v>
      </c>
      <c r="F43" s="11">
        <f t="shared" si="1"/>
        <v>150000</v>
      </c>
    </row>
    <row r="44" spans="1:6" x14ac:dyDescent="0.35">
      <c r="A44" s="9" t="s">
        <v>712</v>
      </c>
      <c r="B44" s="9">
        <v>10025</v>
      </c>
      <c r="C44" s="9" t="s">
        <v>689</v>
      </c>
      <c r="D44" s="11">
        <v>10000</v>
      </c>
      <c r="E44" s="11">
        <f t="shared" si="0"/>
        <v>460000</v>
      </c>
      <c r="F44" s="11">
        <f t="shared" si="1"/>
        <v>140000</v>
      </c>
    </row>
    <row r="45" spans="1:6" x14ac:dyDescent="0.35">
      <c r="A45" s="12">
        <v>46240</v>
      </c>
      <c r="B45" s="9">
        <v>13560</v>
      </c>
      <c r="C45" s="9" t="s">
        <v>689</v>
      </c>
      <c r="D45" s="11">
        <v>10000</v>
      </c>
      <c r="E45" s="11">
        <f t="shared" si="0"/>
        <v>470000</v>
      </c>
      <c r="F45" s="11">
        <f t="shared" si="1"/>
        <v>130000</v>
      </c>
    </row>
    <row r="46" spans="1:6" x14ac:dyDescent="0.35">
      <c r="A46" s="9" t="s">
        <v>713</v>
      </c>
      <c r="B46" s="9">
        <v>1528</v>
      </c>
      <c r="C46" s="9" t="s">
        <v>689</v>
      </c>
      <c r="D46" s="11">
        <v>10000</v>
      </c>
      <c r="E46" s="11">
        <f t="shared" si="0"/>
        <v>480000</v>
      </c>
      <c r="F46" s="11">
        <f t="shared" si="1"/>
        <v>120000</v>
      </c>
    </row>
    <row r="47" spans="1:6" x14ac:dyDescent="0.35">
      <c r="A47" s="9" t="s">
        <v>714</v>
      </c>
      <c r="B47" s="9">
        <v>1867</v>
      </c>
      <c r="C47" s="9" t="s">
        <v>689</v>
      </c>
      <c r="D47" s="11">
        <v>10000</v>
      </c>
      <c r="E47" s="11">
        <f t="shared" si="0"/>
        <v>490000</v>
      </c>
      <c r="F47" s="11">
        <f t="shared" si="1"/>
        <v>110000</v>
      </c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4"/>
  <sheetViews>
    <sheetView topLeftCell="A32" workbookViewId="0">
      <selection activeCell="F45" sqref="F45"/>
    </sheetView>
  </sheetViews>
  <sheetFormatPr defaultRowHeight="14.5" x14ac:dyDescent="0.35"/>
  <cols>
    <col min="1" max="1" width="10.453125" bestFit="1" customWidth="1"/>
    <col min="2" max="2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42</v>
      </c>
      <c r="B1" s="1"/>
      <c r="C1" s="1"/>
      <c r="D1" s="1"/>
      <c r="E1" s="1"/>
      <c r="F1" s="1"/>
    </row>
    <row r="2" spans="1:6" ht="18.5" x14ac:dyDescent="0.45">
      <c r="A2" s="1" t="s">
        <v>43</v>
      </c>
      <c r="C2" s="1"/>
      <c r="D2" s="1"/>
      <c r="E2" s="1"/>
      <c r="F2" s="1"/>
    </row>
    <row r="3" spans="1:6" ht="18.5" x14ac:dyDescent="0.45">
      <c r="A3" s="1" t="s">
        <v>62</v>
      </c>
      <c r="B3" s="1"/>
      <c r="C3" s="1"/>
      <c r="D3" s="1"/>
      <c r="E3" s="1"/>
      <c r="F3" s="1"/>
    </row>
    <row r="4" spans="1:6" ht="18.5" x14ac:dyDescent="0.45">
      <c r="A4" s="1" t="s">
        <v>391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45</v>
      </c>
      <c r="B6" s="1"/>
      <c r="C6" s="1"/>
      <c r="D6" s="1" t="s">
        <v>46</v>
      </c>
      <c r="E6" s="1"/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8" t="s">
        <v>47</v>
      </c>
      <c r="B8" s="7">
        <v>1323</v>
      </c>
      <c r="C8" s="7" t="s">
        <v>14</v>
      </c>
      <c r="D8" s="13">
        <v>10000</v>
      </c>
      <c r="E8" s="13">
        <v>10000</v>
      </c>
      <c r="F8" s="13">
        <v>480000</v>
      </c>
    </row>
    <row r="9" spans="1:6" x14ac:dyDescent="0.35">
      <c r="A9" s="14">
        <v>44906</v>
      </c>
      <c r="B9" s="7">
        <v>3063</v>
      </c>
      <c r="C9" s="7" t="s">
        <v>56</v>
      </c>
      <c r="D9" s="13">
        <v>20000</v>
      </c>
      <c r="E9" s="13">
        <f>SUM(E8+D9)</f>
        <v>30000</v>
      </c>
      <c r="F9" s="13">
        <f>F8-D9</f>
        <v>460000</v>
      </c>
    </row>
    <row r="10" spans="1:6" x14ac:dyDescent="0.35">
      <c r="A10" s="7" t="s">
        <v>48</v>
      </c>
      <c r="B10" s="7">
        <v>3064</v>
      </c>
      <c r="C10" s="7" t="s">
        <v>14</v>
      </c>
      <c r="D10" s="13">
        <v>30000</v>
      </c>
      <c r="E10" s="13">
        <f t="shared" ref="E10:E41" si="0">SUM(E9+D10)</f>
        <v>60000</v>
      </c>
      <c r="F10" s="13">
        <f t="shared" ref="F10:F41" si="1">F9-D10</f>
        <v>430000</v>
      </c>
    </row>
    <row r="11" spans="1:6" x14ac:dyDescent="0.35">
      <c r="A11" s="7" t="s">
        <v>49</v>
      </c>
      <c r="B11" s="7">
        <v>3644</v>
      </c>
      <c r="C11" s="7" t="s">
        <v>14</v>
      </c>
      <c r="D11" s="13">
        <v>20000</v>
      </c>
      <c r="E11" s="13">
        <f t="shared" si="0"/>
        <v>80000</v>
      </c>
      <c r="F11" s="13">
        <f t="shared" si="1"/>
        <v>410000</v>
      </c>
    </row>
    <row r="12" spans="1:6" x14ac:dyDescent="0.35">
      <c r="A12" s="14">
        <v>45148</v>
      </c>
      <c r="B12" s="7">
        <v>4113</v>
      </c>
      <c r="C12" s="7" t="s">
        <v>14</v>
      </c>
      <c r="D12" s="13">
        <v>10000</v>
      </c>
      <c r="E12" s="13">
        <f t="shared" si="0"/>
        <v>90000</v>
      </c>
      <c r="F12" s="13">
        <f t="shared" si="1"/>
        <v>400000</v>
      </c>
    </row>
    <row r="13" spans="1:6" x14ac:dyDescent="0.35">
      <c r="A13" s="7" t="s">
        <v>50</v>
      </c>
      <c r="B13" s="7">
        <v>5008</v>
      </c>
      <c r="C13" s="7" t="s">
        <v>14</v>
      </c>
      <c r="D13" s="13">
        <v>10000</v>
      </c>
      <c r="E13" s="13">
        <f t="shared" si="0"/>
        <v>100000</v>
      </c>
      <c r="F13" s="13">
        <f t="shared" si="1"/>
        <v>390000</v>
      </c>
    </row>
    <row r="14" spans="1:6" x14ac:dyDescent="0.35">
      <c r="A14" s="7" t="s">
        <v>51</v>
      </c>
      <c r="B14" s="7">
        <v>5619</v>
      </c>
      <c r="C14" s="7" t="s">
        <v>14</v>
      </c>
      <c r="D14" s="13">
        <v>10000</v>
      </c>
      <c r="E14" s="13">
        <f t="shared" si="0"/>
        <v>110000</v>
      </c>
      <c r="F14" s="13">
        <f t="shared" si="1"/>
        <v>380000</v>
      </c>
    </row>
    <row r="15" spans="1:6" x14ac:dyDescent="0.35">
      <c r="A15" s="7" t="s">
        <v>52</v>
      </c>
      <c r="B15" s="7">
        <v>6320</v>
      </c>
      <c r="C15" s="7" t="s">
        <v>14</v>
      </c>
      <c r="D15" s="13">
        <v>10000</v>
      </c>
      <c r="E15" s="13">
        <f t="shared" si="0"/>
        <v>120000</v>
      </c>
      <c r="F15" s="13">
        <f t="shared" si="1"/>
        <v>370000</v>
      </c>
    </row>
    <row r="16" spans="1:6" x14ac:dyDescent="0.35">
      <c r="A16" s="7" t="s">
        <v>53</v>
      </c>
      <c r="B16" s="7">
        <v>6788</v>
      </c>
      <c r="C16" s="7" t="s">
        <v>14</v>
      </c>
      <c r="D16" s="13">
        <v>10000</v>
      </c>
      <c r="E16" s="13">
        <f t="shared" si="0"/>
        <v>130000</v>
      </c>
      <c r="F16" s="13">
        <f t="shared" si="1"/>
        <v>360000</v>
      </c>
    </row>
    <row r="17" spans="1:6" x14ac:dyDescent="0.35">
      <c r="A17" s="7" t="s">
        <v>54</v>
      </c>
      <c r="B17" s="7">
        <v>7486</v>
      </c>
      <c r="C17" s="7" t="s">
        <v>14</v>
      </c>
      <c r="D17" s="13">
        <v>10000</v>
      </c>
      <c r="E17" s="13">
        <f t="shared" si="0"/>
        <v>140000</v>
      </c>
      <c r="F17" s="13">
        <f t="shared" si="1"/>
        <v>350000</v>
      </c>
    </row>
    <row r="18" spans="1:6" x14ac:dyDescent="0.35">
      <c r="A18" s="7" t="s">
        <v>55</v>
      </c>
      <c r="B18" s="7">
        <v>7942</v>
      </c>
      <c r="C18" s="7" t="s">
        <v>14</v>
      </c>
      <c r="D18" s="13">
        <v>10000</v>
      </c>
      <c r="E18" s="13">
        <f t="shared" si="0"/>
        <v>150000</v>
      </c>
      <c r="F18" s="13">
        <f t="shared" si="1"/>
        <v>340000</v>
      </c>
    </row>
    <row r="19" spans="1:6" x14ac:dyDescent="0.35">
      <c r="A19" s="7" t="s">
        <v>60</v>
      </c>
      <c r="B19" s="7">
        <v>8683</v>
      </c>
      <c r="C19" s="7" t="s">
        <v>14</v>
      </c>
      <c r="D19" s="13">
        <v>10000</v>
      </c>
      <c r="E19" s="13">
        <f t="shared" si="0"/>
        <v>160000</v>
      </c>
      <c r="F19" s="13">
        <f t="shared" si="1"/>
        <v>330000</v>
      </c>
    </row>
    <row r="20" spans="1:6" x14ac:dyDescent="0.35">
      <c r="A20" s="7" t="s">
        <v>61</v>
      </c>
      <c r="B20" s="7">
        <v>9150</v>
      </c>
      <c r="C20" s="7" t="s">
        <v>14</v>
      </c>
      <c r="D20" s="13">
        <v>10000</v>
      </c>
      <c r="E20" s="13">
        <f t="shared" si="0"/>
        <v>170000</v>
      </c>
      <c r="F20" s="13">
        <f t="shared" si="1"/>
        <v>320000</v>
      </c>
    </row>
    <row r="21" spans="1:6" x14ac:dyDescent="0.35">
      <c r="A21" s="14">
        <v>45481</v>
      </c>
      <c r="B21" s="7">
        <v>10081</v>
      </c>
      <c r="C21" s="7" t="s">
        <v>14</v>
      </c>
      <c r="D21" s="13">
        <v>15000</v>
      </c>
      <c r="E21" s="13">
        <f t="shared" si="0"/>
        <v>185000</v>
      </c>
      <c r="F21" s="13">
        <f t="shared" si="1"/>
        <v>305000</v>
      </c>
    </row>
    <row r="22" spans="1:6" x14ac:dyDescent="0.35">
      <c r="A22" s="7" t="s">
        <v>57</v>
      </c>
      <c r="B22" s="7">
        <v>10362</v>
      </c>
      <c r="C22" s="7" t="s">
        <v>14</v>
      </c>
      <c r="D22" s="13">
        <v>10000</v>
      </c>
      <c r="E22" s="13">
        <f t="shared" si="0"/>
        <v>195000</v>
      </c>
      <c r="F22" s="13">
        <f t="shared" si="1"/>
        <v>295000</v>
      </c>
    </row>
    <row r="23" spans="1:6" x14ac:dyDescent="0.35">
      <c r="A23" s="7" t="s">
        <v>58</v>
      </c>
      <c r="B23" s="7">
        <v>10951</v>
      </c>
      <c r="C23" s="7" t="s">
        <v>14</v>
      </c>
      <c r="D23" s="13">
        <v>20000</v>
      </c>
      <c r="E23" s="13">
        <f t="shared" si="0"/>
        <v>215000</v>
      </c>
      <c r="F23" s="13">
        <f t="shared" si="1"/>
        <v>275000</v>
      </c>
    </row>
    <row r="24" spans="1:6" x14ac:dyDescent="0.35">
      <c r="A24" s="14">
        <v>45547</v>
      </c>
      <c r="B24" s="7">
        <v>12009</v>
      </c>
      <c r="C24" s="7" t="s">
        <v>14</v>
      </c>
      <c r="D24" s="13">
        <v>10000</v>
      </c>
      <c r="E24" s="13">
        <f t="shared" si="0"/>
        <v>225000</v>
      </c>
      <c r="F24" s="13">
        <f t="shared" si="1"/>
        <v>265000</v>
      </c>
    </row>
    <row r="25" spans="1:6" x14ac:dyDescent="0.35">
      <c r="A25" s="14">
        <v>45962</v>
      </c>
      <c r="B25" s="7">
        <v>12008</v>
      </c>
      <c r="C25" s="7" t="s">
        <v>14</v>
      </c>
      <c r="D25" s="13">
        <v>10000</v>
      </c>
      <c r="E25" s="13">
        <f t="shared" si="0"/>
        <v>235000</v>
      </c>
      <c r="F25" s="13">
        <f t="shared" si="1"/>
        <v>255000</v>
      </c>
    </row>
    <row r="26" spans="1:6" x14ac:dyDescent="0.35">
      <c r="A26" s="14">
        <v>45963</v>
      </c>
      <c r="B26" s="7">
        <v>9361</v>
      </c>
      <c r="C26" s="7" t="s">
        <v>14</v>
      </c>
      <c r="D26" s="13">
        <v>10000</v>
      </c>
      <c r="E26" s="13">
        <f t="shared" si="0"/>
        <v>245000</v>
      </c>
      <c r="F26" s="13">
        <f t="shared" si="1"/>
        <v>245000</v>
      </c>
    </row>
    <row r="27" spans="1:6" x14ac:dyDescent="0.35">
      <c r="A27" s="7" t="s">
        <v>59</v>
      </c>
      <c r="B27" s="7">
        <v>9781</v>
      </c>
      <c r="C27" s="7" t="s">
        <v>14</v>
      </c>
      <c r="D27" s="13">
        <v>10000</v>
      </c>
      <c r="E27" s="13">
        <f t="shared" si="0"/>
        <v>255000</v>
      </c>
      <c r="F27" s="13">
        <f t="shared" si="1"/>
        <v>235000</v>
      </c>
    </row>
    <row r="28" spans="1:6" x14ac:dyDescent="0.35">
      <c r="A28" s="14">
        <v>45812</v>
      </c>
      <c r="B28" s="7">
        <v>9921</v>
      </c>
      <c r="C28" s="7" t="s">
        <v>14</v>
      </c>
      <c r="D28" s="13">
        <v>10000</v>
      </c>
      <c r="E28" s="13">
        <f t="shared" si="0"/>
        <v>265000</v>
      </c>
      <c r="F28" s="13">
        <f t="shared" si="1"/>
        <v>225000</v>
      </c>
    </row>
    <row r="29" spans="1:6" x14ac:dyDescent="0.35">
      <c r="A29" s="14">
        <v>45843</v>
      </c>
      <c r="B29" s="7">
        <v>12826</v>
      </c>
      <c r="C29" s="7" t="s">
        <v>14</v>
      </c>
      <c r="D29" s="13">
        <v>10000</v>
      </c>
      <c r="E29" s="13">
        <f t="shared" si="0"/>
        <v>275000</v>
      </c>
      <c r="F29" s="13">
        <f t="shared" si="1"/>
        <v>215000</v>
      </c>
    </row>
    <row r="30" spans="1:6" x14ac:dyDescent="0.35">
      <c r="A30" s="14">
        <v>45936</v>
      </c>
      <c r="B30" s="7">
        <v>12827</v>
      </c>
      <c r="C30" s="7" t="s">
        <v>14</v>
      </c>
      <c r="D30" s="13">
        <v>10000</v>
      </c>
      <c r="E30" s="13">
        <f t="shared" si="0"/>
        <v>285000</v>
      </c>
      <c r="F30" s="13">
        <f t="shared" si="1"/>
        <v>205000</v>
      </c>
    </row>
    <row r="31" spans="1:6" x14ac:dyDescent="0.35">
      <c r="A31" s="14">
        <v>45876</v>
      </c>
      <c r="B31" s="7">
        <v>12828</v>
      </c>
      <c r="C31" s="7" t="s">
        <v>14</v>
      </c>
      <c r="D31" s="13">
        <v>10000</v>
      </c>
      <c r="E31" s="13">
        <f t="shared" si="0"/>
        <v>295000</v>
      </c>
      <c r="F31" s="13">
        <f t="shared" si="1"/>
        <v>195000</v>
      </c>
    </row>
    <row r="32" spans="1:6" x14ac:dyDescent="0.35">
      <c r="A32" s="14">
        <v>45969</v>
      </c>
      <c r="B32" s="7">
        <v>12488</v>
      </c>
      <c r="C32" s="7" t="s">
        <v>14</v>
      </c>
      <c r="D32" s="13">
        <v>10000</v>
      </c>
      <c r="E32" s="13">
        <f t="shared" si="0"/>
        <v>305000</v>
      </c>
      <c r="F32" s="13">
        <f t="shared" si="1"/>
        <v>185000</v>
      </c>
    </row>
    <row r="33" spans="1:6" x14ac:dyDescent="0.35">
      <c r="A33" s="14">
        <v>45847</v>
      </c>
      <c r="B33" s="7">
        <v>13732</v>
      </c>
      <c r="C33" s="7" t="s">
        <v>14</v>
      </c>
      <c r="D33" s="13">
        <v>10000</v>
      </c>
      <c r="E33" s="13">
        <f t="shared" si="0"/>
        <v>315000</v>
      </c>
      <c r="F33" s="13">
        <f t="shared" si="1"/>
        <v>175000</v>
      </c>
    </row>
    <row r="34" spans="1:6" x14ac:dyDescent="0.35">
      <c r="A34" s="14">
        <v>45910</v>
      </c>
      <c r="B34" s="7">
        <v>13773</v>
      </c>
      <c r="C34" s="7" t="s">
        <v>14</v>
      </c>
      <c r="D34" s="13">
        <v>10000</v>
      </c>
      <c r="E34" s="13">
        <f t="shared" si="0"/>
        <v>325000</v>
      </c>
      <c r="F34" s="13">
        <f t="shared" si="1"/>
        <v>165000</v>
      </c>
    </row>
    <row r="35" spans="1:6" x14ac:dyDescent="0.35">
      <c r="A35" s="14">
        <v>45911</v>
      </c>
      <c r="B35" s="7">
        <v>13485</v>
      </c>
      <c r="C35" s="7" t="s">
        <v>14</v>
      </c>
      <c r="D35" s="13">
        <v>10000</v>
      </c>
      <c r="E35" s="13">
        <f t="shared" si="0"/>
        <v>335000</v>
      </c>
      <c r="F35" s="13">
        <f t="shared" si="1"/>
        <v>155000</v>
      </c>
    </row>
    <row r="36" spans="1:6" x14ac:dyDescent="0.35">
      <c r="A36" s="14">
        <v>45942</v>
      </c>
      <c r="B36" s="7">
        <v>13144</v>
      </c>
      <c r="C36" s="7" t="s">
        <v>14</v>
      </c>
      <c r="D36" s="13">
        <v>10000</v>
      </c>
      <c r="E36" s="13">
        <f t="shared" si="0"/>
        <v>345000</v>
      </c>
      <c r="F36" s="13">
        <f t="shared" si="1"/>
        <v>145000</v>
      </c>
    </row>
    <row r="37" spans="1:6" x14ac:dyDescent="0.35">
      <c r="A37" s="14">
        <v>46266</v>
      </c>
      <c r="B37" s="7">
        <v>12046</v>
      </c>
      <c r="C37" s="7" t="s">
        <v>14</v>
      </c>
      <c r="D37" s="13">
        <v>10000</v>
      </c>
      <c r="E37" s="13">
        <f t="shared" si="0"/>
        <v>355000</v>
      </c>
      <c r="F37" s="13">
        <f t="shared" si="1"/>
        <v>135000</v>
      </c>
    </row>
    <row r="38" spans="1:6" x14ac:dyDescent="0.35">
      <c r="A38" s="14">
        <v>46358</v>
      </c>
      <c r="B38" s="7">
        <v>12440</v>
      </c>
      <c r="C38" s="7" t="s">
        <v>14</v>
      </c>
      <c r="D38" s="13">
        <v>10000</v>
      </c>
      <c r="E38" s="13">
        <f t="shared" si="0"/>
        <v>365000</v>
      </c>
      <c r="F38" s="13">
        <f t="shared" si="1"/>
        <v>125000</v>
      </c>
    </row>
    <row r="39" spans="1:6" x14ac:dyDescent="0.35">
      <c r="A39" s="6">
        <v>46298</v>
      </c>
      <c r="B39" s="7">
        <v>12796</v>
      </c>
      <c r="C39" s="7" t="s">
        <v>14</v>
      </c>
      <c r="D39" s="13">
        <v>10000</v>
      </c>
      <c r="E39" s="13">
        <f t="shared" si="0"/>
        <v>375000</v>
      </c>
      <c r="F39" s="13">
        <f t="shared" si="1"/>
        <v>115000</v>
      </c>
    </row>
    <row r="40" spans="1:6" x14ac:dyDescent="0.35">
      <c r="A40" s="6">
        <v>46299</v>
      </c>
      <c r="B40" s="7">
        <v>13217</v>
      </c>
      <c r="C40" s="7" t="s">
        <v>14</v>
      </c>
      <c r="D40" s="13">
        <v>10000</v>
      </c>
      <c r="E40" s="13">
        <f t="shared" si="0"/>
        <v>385000</v>
      </c>
      <c r="F40" s="13">
        <f t="shared" si="1"/>
        <v>105000</v>
      </c>
    </row>
    <row r="41" spans="1:6" x14ac:dyDescent="0.35">
      <c r="A41" s="6">
        <v>46178</v>
      </c>
      <c r="B41" s="7">
        <v>12947</v>
      </c>
      <c r="C41" s="7" t="s">
        <v>14</v>
      </c>
      <c r="D41" s="13">
        <v>10000</v>
      </c>
      <c r="E41" s="13">
        <f t="shared" si="0"/>
        <v>395000</v>
      </c>
      <c r="F41" s="13">
        <f t="shared" si="1"/>
        <v>95000</v>
      </c>
    </row>
    <row r="42" spans="1:6" x14ac:dyDescent="0.35">
      <c r="A42" t="s">
        <v>546</v>
      </c>
      <c r="B42" s="24">
        <v>13538</v>
      </c>
      <c r="C42" s="24" t="s">
        <v>14</v>
      </c>
      <c r="D42" s="33">
        <v>10000</v>
      </c>
      <c r="E42" s="33">
        <f>E41+D42</f>
        <v>405000</v>
      </c>
      <c r="F42" s="33">
        <f>F41-D42</f>
        <v>85000</v>
      </c>
    </row>
    <row r="43" spans="1:6" x14ac:dyDescent="0.35">
      <c r="A43" t="s">
        <v>669</v>
      </c>
      <c r="B43" s="24">
        <v>1474</v>
      </c>
      <c r="C43" s="24" t="s">
        <v>14</v>
      </c>
      <c r="D43" s="15">
        <v>10000</v>
      </c>
      <c r="E43" s="15">
        <f>E42+D43</f>
        <v>415000</v>
      </c>
      <c r="F43" s="15">
        <f>F42-D43</f>
        <v>75000</v>
      </c>
    </row>
    <row r="44" spans="1:6" x14ac:dyDescent="0.35">
      <c r="A44" s="18">
        <v>46303</v>
      </c>
      <c r="B44" s="24">
        <v>1728</v>
      </c>
      <c r="C44" s="24" t="s">
        <v>14</v>
      </c>
      <c r="D44" s="15">
        <v>10000</v>
      </c>
      <c r="E44" s="15">
        <f>E43+D44</f>
        <v>425000</v>
      </c>
      <c r="F44" s="15">
        <f>F43-D44</f>
        <v>65000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"/>
  <sheetViews>
    <sheetView workbookViewId="0">
      <selection activeCell="I17" sqref="I17"/>
    </sheetView>
  </sheetViews>
  <sheetFormatPr defaultRowHeight="14.5" x14ac:dyDescent="0.35"/>
  <sheetData>
    <row r="1" spans="1:6" ht="18.5" x14ac:dyDescent="0.45">
      <c r="A1" s="1" t="s">
        <v>392</v>
      </c>
      <c r="B1" s="1"/>
      <c r="C1" s="1"/>
      <c r="D1" s="1"/>
      <c r="E1" s="1"/>
      <c r="F1" s="1"/>
    </row>
    <row r="2" spans="1:6" ht="18.5" x14ac:dyDescent="0.45">
      <c r="A2" s="1" t="s">
        <v>393</v>
      </c>
      <c r="C2" s="1"/>
      <c r="D2" s="1"/>
      <c r="E2" s="1"/>
      <c r="F2" s="1"/>
    </row>
    <row r="3" spans="1:6" ht="18.5" x14ac:dyDescent="0.45">
      <c r="A3" s="1" t="s">
        <v>394</v>
      </c>
      <c r="B3" s="1"/>
      <c r="C3" s="1"/>
      <c r="D3" s="1"/>
      <c r="E3" s="1"/>
      <c r="F3" s="1"/>
    </row>
    <row r="4" spans="1:6" ht="18.5" x14ac:dyDescent="0.45">
      <c r="A4" s="1" t="s">
        <v>18</v>
      </c>
      <c r="B4" s="1"/>
      <c r="C4" s="1"/>
      <c r="D4" s="1"/>
      <c r="E4" s="1"/>
      <c r="F4" s="1"/>
    </row>
    <row r="5" spans="1:6" ht="18.5" x14ac:dyDescent="0.45">
      <c r="A5" s="1" t="s">
        <v>407</v>
      </c>
      <c r="B5" s="1"/>
      <c r="C5" s="1"/>
      <c r="D5" s="1"/>
      <c r="E5" s="1" t="s">
        <v>395</v>
      </c>
      <c r="F5" s="1"/>
    </row>
    <row r="6" spans="1:6" ht="18.5" x14ac:dyDescent="0.45">
      <c r="A6" s="1" t="s">
        <v>396</v>
      </c>
      <c r="B6" s="1"/>
      <c r="C6" s="1"/>
      <c r="D6" s="1"/>
      <c r="E6" s="1"/>
      <c r="F6" s="1"/>
    </row>
    <row r="7" spans="1:6" ht="18.5" x14ac:dyDescent="0.45">
      <c r="A7" s="28" t="s">
        <v>397</v>
      </c>
      <c r="B7" s="28"/>
      <c r="C7" s="28"/>
      <c r="D7" s="28"/>
      <c r="E7" s="28"/>
      <c r="F7" s="29"/>
    </row>
    <row r="8" spans="1:6" ht="18.5" x14ac:dyDescent="0.45">
      <c r="A8" s="1" t="s">
        <v>398</v>
      </c>
      <c r="B8" s="1"/>
      <c r="C8" s="1"/>
      <c r="D8" s="1"/>
      <c r="E8" s="1"/>
      <c r="F8" s="1"/>
    </row>
    <row r="9" spans="1:6" ht="18.5" x14ac:dyDescent="0.45">
      <c r="A9" s="1" t="s">
        <v>399</v>
      </c>
      <c r="C9" s="1"/>
      <c r="D9" s="1"/>
      <c r="E9" s="1"/>
      <c r="F9" s="1"/>
    </row>
    <row r="10" spans="1:6" ht="18.5" x14ac:dyDescent="0.45">
      <c r="A10" s="1" t="s">
        <v>408</v>
      </c>
      <c r="C10" s="1"/>
      <c r="D10" s="1"/>
      <c r="E10" s="1"/>
      <c r="F10" s="1"/>
    </row>
    <row r="11" spans="1:6" ht="18.5" x14ac:dyDescent="0.45">
      <c r="A11" s="1" t="s">
        <v>400</v>
      </c>
      <c r="B11" s="1"/>
      <c r="C11" s="1"/>
      <c r="D11" s="1"/>
      <c r="E11" s="1"/>
      <c r="F11" s="1"/>
    </row>
    <row r="12" spans="1:6" ht="18.5" x14ac:dyDescent="0.45">
      <c r="A12" s="1" t="s">
        <v>3</v>
      </c>
      <c r="B12" s="1"/>
      <c r="C12" s="1"/>
      <c r="D12" s="1"/>
      <c r="E12" s="1"/>
      <c r="F12" s="1"/>
    </row>
    <row r="13" spans="1:6" ht="18.5" x14ac:dyDescent="0.45">
      <c r="A13" s="1" t="s">
        <v>407</v>
      </c>
      <c r="B13" s="1"/>
      <c r="C13" s="1"/>
      <c r="D13" s="1"/>
      <c r="E13" s="1" t="s">
        <v>401</v>
      </c>
      <c r="F13" s="1"/>
    </row>
    <row r="14" spans="1:6" x14ac:dyDescent="0.35">
      <c r="A14" s="8" t="s">
        <v>6</v>
      </c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</row>
    <row r="15" spans="1:6" x14ac:dyDescent="0.35">
      <c r="B15" t="s">
        <v>402</v>
      </c>
    </row>
    <row r="16" spans="1:6" x14ac:dyDescent="0.35">
      <c r="B16" t="s">
        <v>403</v>
      </c>
    </row>
    <row r="18" spans="1:6" x14ac:dyDescent="0.35">
      <c r="A18" t="s">
        <v>404</v>
      </c>
      <c r="B18">
        <v>5585</v>
      </c>
      <c r="C18" t="s">
        <v>405</v>
      </c>
      <c r="D18" s="15">
        <v>150000</v>
      </c>
      <c r="E18" s="15">
        <v>150000</v>
      </c>
      <c r="F18" t="s">
        <v>325</v>
      </c>
    </row>
    <row r="20" spans="1:6" ht="18.5" x14ac:dyDescent="0.45">
      <c r="A20" s="26" t="s">
        <v>406</v>
      </c>
      <c r="B20" s="26"/>
      <c r="C20" s="26"/>
      <c r="D20" s="26"/>
      <c r="E20" s="26"/>
      <c r="F20" s="2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2"/>
  <sheetViews>
    <sheetView topLeftCell="A29" workbookViewId="0">
      <selection activeCell="F43" sqref="F43"/>
    </sheetView>
  </sheetViews>
  <sheetFormatPr defaultRowHeight="14.5" x14ac:dyDescent="0.35"/>
  <cols>
    <col min="1" max="1" width="11.08984375" customWidth="1"/>
    <col min="3" max="3" width="11.453125" customWidth="1"/>
    <col min="4" max="4" width="11.1796875" customWidth="1"/>
    <col min="6" max="6" width="10.7265625" customWidth="1"/>
  </cols>
  <sheetData>
    <row r="1" spans="1:6" ht="18.5" x14ac:dyDescent="0.45">
      <c r="A1" s="1" t="s">
        <v>15</v>
      </c>
      <c r="B1" s="1"/>
      <c r="C1" s="1"/>
      <c r="D1" s="1"/>
      <c r="E1" s="1"/>
      <c r="F1" s="1"/>
    </row>
    <row r="2" spans="1:6" ht="18.5" x14ac:dyDescent="0.45">
      <c r="A2" s="1" t="s">
        <v>16</v>
      </c>
      <c r="C2" s="1"/>
      <c r="D2" s="1"/>
      <c r="E2" s="1"/>
      <c r="F2" s="1"/>
    </row>
    <row r="3" spans="1:6" ht="18.5" x14ac:dyDescent="0.45">
      <c r="A3" s="1" t="s">
        <v>17</v>
      </c>
      <c r="B3" s="1"/>
      <c r="C3" s="1"/>
      <c r="D3" s="1"/>
      <c r="E3" s="1"/>
      <c r="F3" s="1"/>
    </row>
    <row r="4" spans="1:6" ht="18.5" x14ac:dyDescent="0.45">
      <c r="A4" s="1" t="s">
        <v>362</v>
      </c>
      <c r="B4" s="1"/>
      <c r="C4" s="1"/>
      <c r="D4" s="1"/>
      <c r="E4" s="1"/>
      <c r="F4" s="1"/>
    </row>
    <row r="5" spans="1:6" ht="18.5" x14ac:dyDescent="0.45">
      <c r="A5" s="1" t="s">
        <v>18</v>
      </c>
      <c r="B5" s="1"/>
      <c r="C5" s="1"/>
      <c r="D5" s="1"/>
      <c r="E5" s="1"/>
      <c r="F5" s="1"/>
    </row>
    <row r="6" spans="1:6" ht="18.5" x14ac:dyDescent="0.45">
      <c r="A6" s="1" t="s">
        <v>19</v>
      </c>
      <c r="B6" s="1"/>
      <c r="C6" s="1"/>
      <c r="D6" s="1"/>
      <c r="E6" s="1" t="s">
        <v>20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10" t="s">
        <v>21</v>
      </c>
      <c r="B8" s="9">
        <v>20</v>
      </c>
      <c r="C8" s="9" t="s">
        <v>22</v>
      </c>
      <c r="D8" s="9">
        <v>10000</v>
      </c>
      <c r="E8" s="9">
        <v>10000</v>
      </c>
      <c r="F8" s="11">
        <v>590000</v>
      </c>
    </row>
    <row r="9" spans="1:6" x14ac:dyDescent="0.35">
      <c r="A9" s="10" t="s">
        <v>23</v>
      </c>
      <c r="B9" s="9">
        <v>1115</v>
      </c>
      <c r="C9" s="9" t="s">
        <v>24</v>
      </c>
      <c r="D9" s="11">
        <v>140000</v>
      </c>
      <c r="E9" s="11">
        <v>150000</v>
      </c>
      <c r="F9" s="11">
        <v>450000</v>
      </c>
    </row>
    <row r="10" spans="1:6" x14ac:dyDescent="0.35">
      <c r="A10" s="10" t="s">
        <v>25</v>
      </c>
      <c r="B10" s="9">
        <v>1933</v>
      </c>
      <c r="C10" s="9" t="s">
        <v>26</v>
      </c>
      <c r="D10" s="9">
        <v>20000</v>
      </c>
      <c r="E10" s="11">
        <f t="shared" ref="E10:E37" si="0">SUM(E9+D10)</f>
        <v>170000</v>
      </c>
      <c r="F10" s="11">
        <f t="shared" ref="F10:F37" si="1">F9-D10</f>
        <v>430000</v>
      </c>
    </row>
    <row r="11" spans="1:6" x14ac:dyDescent="0.35">
      <c r="A11" s="12">
        <v>45234</v>
      </c>
      <c r="B11" s="9">
        <v>1934</v>
      </c>
      <c r="C11" s="9" t="s">
        <v>27</v>
      </c>
      <c r="D11" s="9">
        <v>20000</v>
      </c>
      <c r="E11" s="11">
        <f t="shared" si="0"/>
        <v>190000</v>
      </c>
      <c r="F11" s="11">
        <f t="shared" si="1"/>
        <v>410000</v>
      </c>
    </row>
    <row r="12" spans="1:6" x14ac:dyDescent="0.35">
      <c r="A12" s="9" t="s">
        <v>28</v>
      </c>
      <c r="B12" s="9">
        <v>3772</v>
      </c>
      <c r="C12" s="9" t="s">
        <v>27</v>
      </c>
      <c r="D12" s="9">
        <v>30000</v>
      </c>
      <c r="E12" s="11">
        <f t="shared" si="0"/>
        <v>220000</v>
      </c>
      <c r="F12" s="11">
        <f t="shared" si="1"/>
        <v>380000</v>
      </c>
    </row>
    <row r="13" spans="1:6" x14ac:dyDescent="0.35">
      <c r="A13" s="9" t="s">
        <v>29</v>
      </c>
      <c r="B13" s="9">
        <v>4516</v>
      </c>
      <c r="C13" s="9" t="s">
        <v>27</v>
      </c>
      <c r="D13" s="9">
        <v>10000</v>
      </c>
      <c r="E13" s="11">
        <f t="shared" si="0"/>
        <v>230000</v>
      </c>
      <c r="F13" s="11">
        <f t="shared" si="1"/>
        <v>370000</v>
      </c>
    </row>
    <row r="14" spans="1:6" x14ac:dyDescent="0.35">
      <c r="A14" s="9" t="s">
        <v>30</v>
      </c>
      <c r="B14" s="9">
        <v>5102</v>
      </c>
      <c r="C14" s="9" t="s">
        <v>27</v>
      </c>
      <c r="D14" s="9">
        <v>10000</v>
      </c>
      <c r="E14" s="11">
        <f t="shared" si="0"/>
        <v>240000</v>
      </c>
      <c r="F14" s="11">
        <f t="shared" si="1"/>
        <v>360000</v>
      </c>
    </row>
    <row r="15" spans="1:6" x14ac:dyDescent="0.35">
      <c r="A15" s="9" t="s">
        <v>31</v>
      </c>
      <c r="B15" s="9">
        <v>5634</v>
      </c>
      <c r="C15" s="9" t="s">
        <v>32</v>
      </c>
      <c r="D15" s="11">
        <v>78000</v>
      </c>
      <c r="E15" s="11">
        <f t="shared" si="0"/>
        <v>318000</v>
      </c>
      <c r="F15" s="11">
        <f t="shared" si="1"/>
        <v>282000</v>
      </c>
    </row>
    <row r="16" spans="1:6" x14ac:dyDescent="0.35">
      <c r="A16" s="9" t="s">
        <v>33</v>
      </c>
      <c r="B16" s="9">
        <v>5637</v>
      </c>
      <c r="C16" s="9" t="s">
        <v>27</v>
      </c>
      <c r="D16" s="9">
        <v>10000</v>
      </c>
      <c r="E16" s="11">
        <f t="shared" si="0"/>
        <v>328000</v>
      </c>
      <c r="F16" s="11">
        <f t="shared" si="1"/>
        <v>272000</v>
      </c>
    </row>
    <row r="17" spans="1:6" x14ac:dyDescent="0.35">
      <c r="A17" s="9" t="s">
        <v>34</v>
      </c>
      <c r="B17" s="9">
        <v>6253</v>
      </c>
      <c r="C17" s="9" t="s">
        <v>27</v>
      </c>
      <c r="D17" s="9">
        <v>10000</v>
      </c>
      <c r="E17" s="11">
        <f t="shared" si="0"/>
        <v>338000</v>
      </c>
      <c r="F17" s="11">
        <f t="shared" si="1"/>
        <v>262000</v>
      </c>
    </row>
    <row r="18" spans="1:6" x14ac:dyDescent="0.35">
      <c r="A18" s="9" t="s">
        <v>35</v>
      </c>
      <c r="B18" s="9">
        <v>6613</v>
      </c>
      <c r="C18" s="9" t="s">
        <v>27</v>
      </c>
      <c r="D18" s="9">
        <v>10000</v>
      </c>
      <c r="E18" s="11">
        <f t="shared" si="0"/>
        <v>348000</v>
      </c>
      <c r="F18" s="11">
        <f t="shared" si="1"/>
        <v>252000</v>
      </c>
    </row>
    <row r="19" spans="1:6" x14ac:dyDescent="0.35">
      <c r="A19" s="9" t="s">
        <v>36</v>
      </c>
      <c r="B19" s="9">
        <v>7421</v>
      </c>
      <c r="C19" s="9" t="s">
        <v>27</v>
      </c>
      <c r="D19" s="9">
        <v>10000</v>
      </c>
      <c r="E19" s="11">
        <f t="shared" si="0"/>
        <v>358000</v>
      </c>
      <c r="F19" s="11">
        <f t="shared" si="1"/>
        <v>242000</v>
      </c>
    </row>
    <row r="20" spans="1:6" x14ac:dyDescent="0.35">
      <c r="A20" s="12">
        <v>45295</v>
      </c>
      <c r="B20" s="9">
        <v>7928</v>
      </c>
      <c r="C20" s="9" t="s">
        <v>14</v>
      </c>
      <c r="D20" s="9">
        <v>10000</v>
      </c>
      <c r="E20" s="11">
        <f t="shared" si="0"/>
        <v>368000</v>
      </c>
      <c r="F20" s="11">
        <f t="shared" si="1"/>
        <v>232000</v>
      </c>
    </row>
    <row r="21" spans="1:6" x14ac:dyDescent="0.35">
      <c r="A21" s="12">
        <v>45509</v>
      </c>
      <c r="B21" s="9">
        <v>8585</v>
      </c>
      <c r="C21" s="9" t="s">
        <v>27</v>
      </c>
      <c r="D21" s="9">
        <v>10000</v>
      </c>
      <c r="E21" s="11">
        <f t="shared" si="0"/>
        <v>378000</v>
      </c>
      <c r="F21" s="11">
        <f t="shared" si="1"/>
        <v>222000</v>
      </c>
    </row>
    <row r="22" spans="1:6" x14ac:dyDescent="0.35">
      <c r="A22" s="12">
        <v>45300</v>
      </c>
      <c r="B22" s="9">
        <v>10856</v>
      </c>
      <c r="C22" s="9" t="s">
        <v>27</v>
      </c>
      <c r="D22" s="9">
        <v>20000</v>
      </c>
      <c r="E22" s="11">
        <f t="shared" si="0"/>
        <v>398000</v>
      </c>
      <c r="F22" s="11">
        <f t="shared" si="1"/>
        <v>202000</v>
      </c>
    </row>
    <row r="23" spans="1:6" x14ac:dyDescent="0.35">
      <c r="A23" s="9" t="s">
        <v>37</v>
      </c>
      <c r="B23" s="9">
        <v>11531</v>
      </c>
      <c r="C23" s="9" t="s">
        <v>27</v>
      </c>
      <c r="D23" s="9">
        <v>10000</v>
      </c>
      <c r="E23" s="11">
        <f t="shared" si="0"/>
        <v>408000</v>
      </c>
      <c r="F23" s="11">
        <f t="shared" si="1"/>
        <v>192000</v>
      </c>
    </row>
    <row r="24" spans="1:6" x14ac:dyDescent="0.35">
      <c r="A24" s="12">
        <v>45484</v>
      </c>
      <c r="B24" s="9">
        <v>112496</v>
      </c>
      <c r="C24" s="9" t="s">
        <v>14</v>
      </c>
      <c r="D24" s="9">
        <v>10000</v>
      </c>
      <c r="E24" s="11">
        <f t="shared" si="0"/>
        <v>418000</v>
      </c>
      <c r="F24" s="11">
        <f t="shared" si="1"/>
        <v>182000</v>
      </c>
    </row>
    <row r="25" spans="1:6" x14ac:dyDescent="0.35">
      <c r="A25" s="12">
        <v>45303</v>
      </c>
      <c r="B25" s="9">
        <v>12846</v>
      </c>
      <c r="C25" s="9" t="s">
        <v>27</v>
      </c>
      <c r="D25" s="9">
        <v>10000</v>
      </c>
      <c r="E25" s="11">
        <f t="shared" si="0"/>
        <v>428000</v>
      </c>
      <c r="F25" s="11">
        <f t="shared" si="1"/>
        <v>172000</v>
      </c>
    </row>
    <row r="26" spans="1:6" x14ac:dyDescent="0.35">
      <c r="A26" s="12">
        <v>45720</v>
      </c>
      <c r="B26" s="9">
        <v>9211</v>
      </c>
      <c r="C26" s="9" t="s">
        <v>27</v>
      </c>
      <c r="D26" s="9">
        <v>10000</v>
      </c>
      <c r="E26" s="11">
        <f t="shared" si="0"/>
        <v>438000</v>
      </c>
      <c r="F26" s="11">
        <f t="shared" si="1"/>
        <v>162000</v>
      </c>
    </row>
    <row r="27" spans="1:6" x14ac:dyDescent="0.35">
      <c r="A27" s="12">
        <v>45843</v>
      </c>
      <c r="B27" s="9">
        <v>9819</v>
      </c>
      <c r="C27" s="9" t="s">
        <v>27</v>
      </c>
      <c r="D27" s="9">
        <v>10000</v>
      </c>
      <c r="E27" s="11">
        <f t="shared" si="0"/>
        <v>448000</v>
      </c>
      <c r="F27" s="11">
        <f t="shared" si="1"/>
        <v>152000</v>
      </c>
    </row>
    <row r="28" spans="1:6" x14ac:dyDescent="0.35">
      <c r="A28" s="12">
        <v>45753</v>
      </c>
      <c r="B28" s="9">
        <v>9927</v>
      </c>
      <c r="C28" s="9" t="s">
        <v>27</v>
      </c>
      <c r="D28" s="9">
        <v>10000</v>
      </c>
      <c r="E28" s="11">
        <f t="shared" si="0"/>
        <v>458000</v>
      </c>
      <c r="F28" s="11">
        <f t="shared" si="1"/>
        <v>142000</v>
      </c>
    </row>
    <row r="29" spans="1:6" x14ac:dyDescent="0.35">
      <c r="A29" s="12">
        <v>45815</v>
      </c>
      <c r="B29" s="9">
        <v>12897</v>
      </c>
      <c r="C29" s="9" t="s">
        <v>27</v>
      </c>
      <c r="D29" s="9">
        <v>10000</v>
      </c>
      <c r="E29" s="11">
        <f t="shared" si="0"/>
        <v>468000</v>
      </c>
      <c r="F29" s="11">
        <f t="shared" si="1"/>
        <v>132000</v>
      </c>
    </row>
    <row r="30" spans="1:6" x14ac:dyDescent="0.35">
      <c r="A30" s="12">
        <v>45816</v>
      </c>
      <c r="B30" s="9">
        <v>12936</v>
      </c>
      <c r="C30" s="9" t="s">
        <v>27</v>
      </c>
      <c r="D30" s="9">
        <v>10000</v>
      </c>
      <c r="E30" s="11">
        <f t="shared" si="0"/>
        <v>478000</v>
      </c>
      <c r="F30" s="11">
        <f t="shared" si="1"/>
        <v>122000</v>
      </c>
    </row>
    <row r="31" spans="1:6" x14ac:dyDescent="0.35">
      <c r="A31" s="9" t="s">
        <v>38</v>
      </c>
      <c r="B31" s="9">
        <v>12796</v>
      </c>
      <c r="C31" s="9" t="s">
        <v>27</v>
      </c>
      <c r="D31" s="9">
        <v>10000</v>
      </c>
      <c r="E31" s="11">
        <f t="shared" si="0"/>
        <v>488000</v>
      </c>
      <c r="F31" s="11">
        <f t="shared" si="1"/>
        <v>112000</v>
      </c>
    </row>
    <row r="32" spans="1:6" x14ac:dyDescent="0.35">
      <c r="A32" s="9" t="s">
        <v>39</v>
      </c>
      <c r="B32" s="9">
        <v>13644</v>
      </c>
      <c r="C32" s="9" t="s">
        <v>27</v>
      </c>
      <c r="D32" s="9">
        <v>10000</v>
      </c>
      <c r="E32" s="11">
        <f t="shared" si="0"/>
        <v>498000</v>
      </c>
      <c r="F32" s="11">
        <f t="shared" si="1"/>
        <v>102000</v>
      </c>
    </row>
    <row r="33" spans="1:6" x14ac:dyDescent="0.35">
      <c r="A33" s="9" t="s">
        <v>40</v>
      </c>
      <c r="B33" s="9">
        <v>13238</v>
      </c>
      <c r="C33" s="9" t="s">
        <v>27</v>
      </c>
      <c r="D33" s="9">
        <v>10000</v>
      </c>
      <c r="E33" s="11">
        <f t="shared" si="0"/>
        <v>508000</v>
      </c>
      <c r="F33" s="11">
        <f t="shared" si="1"/>
        <v>92000</v>
      </c>
    </row>
    <row r="34" spans="1:6" x14ac:dyDescent="0.35">
      <c r="A34" s="9" t="s">
        <v>41</v>
      </c>
      <c r="B34" s="9">
        <v>12181</v>
      </c>
      <c r="C34" s="9" t="s">
        <v>27</v>
      </c>
      <c r="D34" s="9">
        <v>10000</v>
      </c>
      <c r="E34" s="11">
        <f t="shared" si="0"/>
        <v>518000</v>
      </c>
      <c r="F34" s="11">
        <f t="shared" si="1"/>
        <v>82000</v>
      </c>
    </row>
    <row r="35" spans="1:6" x14ac:dyDescent="0.35">
      <c r="A35" s="12">
        <v>46083</v>
      </c>
      <c r="B35" s="9">
        <v>12320</v>
      </c>
      <c r="C35" s="9" t="s">
        <v>27</v>
      </c>
      <c r="D35" s="9">
        <v>10000</v>
      </c>
      <c r="E35" s="11">
        <f t="shared" si="0"/>
        <v>528000</v>
      </c>
      <c r="F35" s="11">
        <f t="shared" si="1"/>
        <v>72000</v>
      </c>
    </row>
    <row r="36" spans="1:6" x14ac:dyDescent="0.35">
      <c r="A36" s="27" t="s">
        <v>231</v>
      </c>
      <c r="B36" s="27">
        <v>13928</v>
      </c>
      <c r="C36" s="9" t="s">
        <v>27</v>
      </c>
      <c r="D36" s="9">
        <v>10000</v>
      </c>
      <c r="E36" s="11">
        <f t="shared" si="0"/>
        <v>538000</v>
      </c>
      <c r="F36" s="11">
        <f t="shared" si="1"/>
        <v>62000</v>
      </c>
    </row>
    <row r="37" spans="1:6" x14ac:dyDescent="0.35">
      <c r="A37" s="27" t="s">
        <v>363</v>
      </c>
      <c r="B37" s="27">
        <v>13018</v>
      </c>
      <c r="C37" s="34" t="s">
        <v>27</v>
      </c>
      <c r="D37" s="34">
        <v>10000</v>
      </c>
      <c r="E37" s="35">
        <f t="shared" si="0"/>
        <v>548000</v>
      </c>
      <c r="F37" s="35">
        <f t="shared" si="1"/>
        <v>52000</v>
      </c>
    </row>
    <row r="38" spans="1:6" x14ac:dyDescent="0.35">
      <c r="A38" s="9" t="s">
        <v>620</v>
      </c>
      <c r="B38" s="9">
        <v>13350</v>
      </c>
      <c r="C38" s="9" t="s">
        <v>27</v>
      </c>
      <c r="D38" s="9">
        <v>10000</v>
      </c>
      <c r="E38" s="5">
        <f>E37+D38</f>
        <v>558000</v>
      </c>
      <c r="F38" s="5">
        <f>F37-D38</f>
        <v>42000</v>
      </c>
    </row>
    <row r="39" spans="1:6" x14ac:dyDescent="0.35">
      <c r="A39" s="9" t="s">
        <v>621</v>
      </c>
      <c r="B39" s="9">
        <v>13620</v>
      </c>
      <c r="C39" s="9" t="s">
        <v>27</v>
      </c>
      <c r="D39" s="9">
        <v>10000</v>
      </c>
      <c r="E39" s="5">
        <f>E38+D39</f>
        <v>568000</v>
      </c>
      <c r="F39" s="5">
        <f>F38-D39</f>
        <v>32000</v>
      </c>
    </row>
    <row r="40" spans="1:6" x14ac:dyDescent="0.35">
      <c r="A40" s="9" t="s">
        <v>622</v>
      </c>
      <c r="B40" s="9">
        <v>1482</v>
      </c>
      <c r="C40" s="9" t="s">
        <v>27</v>
      </c>
      <c r="D40" s="9">
        <v>10000</v>
      </c>
      <c r="E40" s="5">
        <f>E39+D40</f>
        <v>578000</v>
      </c>
      <c r="F40" s="5">
        <f>F39-D40</f>
        <v>22000</v>
      </c>
    </row>
    <row r="41" spans="1:6" x14ac:dyDescent="0.35">
      <c r="A41" s="9" t="s">
        <v>652</v>
      </c>
      <c r="B41" s="9">
        <v>1794</v>
      </c>
      <c r="C41" s="9" t="s">
        <v>27</v>
      </c>
      <c r="D41" s="9">
        <v>10000</v>
      </c>
      <c r="E41" s="5">
        <f>E40+D41</f>
        <v>588000</v>
      </c>
      <c r="F41" s="5">
        <f>F40-D41</f>
        <v>12000</v>
      </c>
    </row>
    <row r="42" spans="1:6" x14ac:dyDescent="0.35">
      <c r="A42" s="27" t="s">
        <v>727</v>
      </c>
      <c r="B42" s="27">
        <v>2091</v>
      </c>
      <c r="C42" s="9" t="s">
        <v>27</v>
      </c>
      <c r="D42" s="15">
        <v>11000</v>
      </c>
      <c r="E42" s="15">
        <f>E41+D42</f>
        <v>599000</v>
      </c>
      <c r="F42" s="15">
        <f>F41-D42</f>
        <v>1000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8"/>
  <sheetViews>
    <sheetView workbookViewId="0">
      <selection activeCell="K4" sqref="K4"/>
    </sheetView>
  </sheetViews>
  <sheetFormatPr defaultRowHeight="14.5" x14ac:dyDescent="0.35"/>
  <cols>
    <col min="1" max="1" width="12.54296875" customWidth="1"/>
    <col min="3" max="3" width="15" customWidth="1"/>
  </cols>
  <sheetData>
    <row r="1" spans="1:6" ht="18.5" x14ac:dyDescent="0.45">
      <c r="A1" s="1" t="s">
        <v>427</v>
      </c>
      <c r="B1" s="1"/>
      <c r="C1" s="1"/>
      <c r="D1" s="1"/>
      <c r="E1" s="1"/>
      <c r="F1" s="1"/>
    </row>
    <row r="2" spans="1:6" ht="18.5" x14ac:dyDescent="0.45">
      <c r="A2" s="1" t="s">
        <v>428</v>
      </c>
      <c r="C2" s="1"/>
      <c r="D2" s="1"/>
      <c r="E2" s="1"/>
      <c r="F2" s="1"/>
    </row>
    <row r="3" spans="1:6" ht="18.5" x14ac:dyDescent="0.45">
      <c r="A3" s="1" t="s">
        <v>429</v>
      </c>
      <c r="B3" s="1"/>
      <c r="C3" s="1"/>
      <c r="D3" s="1"/>
      <c r="E3" s="1"/>
      <c r="F3" s="1"/>
    </row>
    <row r="4" spans="1:6" ht="18.5" x14ac:dyDescent="0.45">
      <c r="A4" s="1" t="s">
        <v>442</v>
      </c>
      <c r="B4" s="1"/>
      <c r="C4" s="1"/>
      <c r="D4" s="1"/>
      <c r="E4" s="1"/>
      <c r="F4" s="1"/>
    </row>
    <row r="5" spans="1:6" ht="18.5" x14ac:dyDescent="0.45">
      <c r="A5" s="1" t="s">
        <v>430</v>
      </c>
      <c r="B5" s="1"/>
      <c r="C5" s="1"/>
      <c r="D5" s="1"/>
      <c r="E5" s="1"/>
      <c r="F5" s="1"/>
    </row>
    <row r="6" spans="1:6" ht="18.5" x14ac:dyDescent="0.45">
      <c r="A6" s="1" t="s">
        <v>431</v>
      </c>
      <c r="B6" s="1"/>
      <c r="C6" s="1"/>
      <c r="D6" s="1"/>
      <c r="E6" s="1" t="s">
        <v>432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t="s">
        <v>48</v>
      </c>
      <c r="B8">
        <v>1109</v>
      </c>
      <c r="C8" t="s">
        <v>27</v>
      </c>
      <c r="D8" s="15">
        <v>10000</v>
      </c>
      <c r="E8" s="15">
        <v>10000</v>
      </c>
      <c r="F8" s="15">
        <v>340000</v>
      </c>
    </row>
    <row r="9" spans="1:6" x14ac:dyDescent="0.35">
      <c r="A9" t="s">
        <v>21</v>
      </c>
      <c r="B9">
        <v>1211</v>
      </c>
      <c r="C9" t="s">
        <v>27</v>
      </c>
      <c r="D9" s="15">
        <v>10000</v>
      </c>
      <c r="E9" s="15">
        <f>E8+D9</f>
        <v>20000</v>
      </c>
      <c r="F9" s="15">
        <f>F8-D9</f>
        <v>330000</v>
      </c>
    </row>
    <row r="10" spans="1:6" x14ac:dyDescent="0.35">
      <c r="A10" t="s">
        <v>433</v>
      </c>
      <c r="B10">
        <v>1810</v>
      </c>
      <c r="C10" t="s">
        <v>26</v>
      </c>
      <c r="D10" s="15">
        <v>20000</v>
      </c>
      <c r="E10" s="15">
        <f t="shared" ref="E10:E36" si="0">E9+D10</f>
        <v>40000</v>
      </c>
      <c r="F10" s="15">
        <f t="shared" ref="F10:F36" si="1">F9-D10</f>
        <v>310000</v>
      </c>
    </row>
    <row r="11" spans="1:6" x14ac:dyDescent="0.35">
      <c r="A11" s="18">
        <v>45020</v>
      </c>
      <c r="B11">
        <v>1811</v>
      </c>
      <c r="C11" t="s">
        <v>27</v>
      </c>
      <c r="D11" s="15">
        <v>20000</v>
      </c>
      <c r="E11" s="15">
        <f t="shared" si="0"/>
        <v>60000</v>
      </c>
      <c r="F11" s="15">
        <f t="shared" si="1"/>
        <v>290000</v>
      </c>
    </row>
    <row r="12" spans="1:6" x14ac:dyDescent="0.35">
      <c r="A12" s="18">
        <v>45265</v>
      </c>
      <c r="B12">
        <v>1525</v>
      </c>
      <c r="C12" t="s">
        <v>27</v>
      </c>
      <c r="D12" s="15">
        <v>10000</v>
      </c>
      <c r="E12" s="15">
        <f t="shared" si="0"/>
        <v>70000</v>
      </c>
      <c r="F12" s="15">
        <f t="shared" si="1"/>
        <v>280000</v>
      </c>
    </row>
    <row r="13" spans="1:6" x14ac:dyDescent="0.35">
      <c r="A13" s="18">
        <v>45267</v>
      </c>
      <c r="B13">
        <v>2733</v>
      </c>
      <c r="C13" t="s">
        <v>27</v>
      </c>
      <c r="D13" s="15">
        <v>20000</v>
      </c>
      <c r="E13" s="15">
        <f t="shared" si="0"/>
        <v>90000</v>
      </c>
      <c r="F13" s="15">
        <f t="shared" si="1"/>
        <v>260000</v>
      </c>
    </row>
    <row r="14" spans="1:6" x14ac:dyDescent="0.35">
      <c r="A14" t="s">
        <v>434</v>
      </c>
      <c r="B14">
        <v>2418</v>
      </c>
      <c r="C14" t="s">
        <v>27</v>
      </c>
      <c r="D14" s="15">
        <v>10000</v>
      </c>
      <c r="E14" s="15">
        <f t="shared" si="0"/>
        <v>100000</v>
      </c>
      <c r="F14" s="15">
        <f t="shared" si="1"/>
        <v>250000</v>
      </c>
    </row>
    <row r="15" spans="1:6" x14ac:dyDescent="0.35">
      <c r="A15" t="s">
        <v>49</v>
      </c>
      <c r="B15">
        <v>3657</v>
      </c>
      <c r="C15" t="s">
        <v>27</v>
      </c>
      <c r="D15" s="15">
        <v>10000</v>
      </c>
      <c r="E15" s="15">
        <f t="shared" si="0"/>
        <v>110000</v>
      </c>
      <c r="F15" s="15">
        <f t="shared" si="1"/>
        <v>240000</v>
      </c>
    </row>
    <row r="16" spans="1:6" x14ac:dyDescent="0.35">
      <c r="A16" s="18">
        <v>45240</v>
      </c>
      <c r="B16">
        <v>4220</v>
      </c>
      <c r="C16" t="s">
        <v>27</v>
      </c>
      <c r="D16" s="15">
        <v>10000</v>
      </c>
      <c r="E16" s="15">
        <f t="shared" si="0"/>
        <v>120000</v>
      </c>
      <c r="F16" s="15">
        <f t="shared" si="1"/>
        <v>230000</v>
      </c>
    </row>
    <row r="17" spans="1:6" x14ac:dyDescent="0.35">
      <c r="A17" t="s">
        <v>435</v>
      </c>
      <c r="B17">
        <v>4890</v>
      </c>
      <c r="C17" t="s">
        <v>27</v>
      </c>
      <c r="D17" s="15">
        <v>10000</v>
      </c>
      <c r="E17" s="15">
        <f t="shared" si="0"/>
        <v>130000</v>
      </c>
      <c r="F17" s="15">
        <f t="shared" si="1"/>
        <v>220000</v>
      </c>
    </row>
    <row r="18" spans="1:6" x14ac:dyDescent="0.35">
      <c r="A18" s="18">
        <v>45272</v>
      </c>
      <c r="B18">
        <v>5518</v>
      </c>
      <c r="C18" t="s">
        <v>27</v>
      </c>
      <c r="D18" s="15">
        <v>10000</v>
      </c>
      <c r="E18" s="15">
        <f t="shared" si="0"/>
        <v>140000</v>
      </c>
      <c r="F18" s="15">
        <f t="shared" si="1"/>
        <v>210000</v>
      </c>
    </row>
    <row r="19" spans="1:6" x14ac:dyDescent="0.35">
      <c r="A19" s="18">
        <v>45627</v>
      </c>
      <c r="B19">
        <v>6134</v>
      </c>
      <c r="C19" t="s">
        <v>27</v>
      </c>
      <c r="D19" s="15">
        <v>10000</v>
      </c>
      <c r="E19" s="15">
        <f t="shared" si="0"/>
        <v>150000</v>
      </c>
      <c r="F19" s="15">
        <f t="shared" si="1"/>
        <v>200000</v>
      </c>
    </row>
    <row r="20" spans="1:6" x14ac:dyDescent="0.35">
      <c r="A20" t="s">
        <v>417</v>
      </c>
      <c r="B20">
        <v>7151</v>
      </c>
      <c r="C20" t="s">
        <v>27</v>
      </c>
      <c r="D20" s="15">
        <v>10000</v>
      </c>
      <c r="E20" s="15">
        <f t="shared" si="0"/>
        <v>160000</v>
      </c>
      <c r="F20" s="15">
        <f t="shared" si="1"/>
        <v>190000</v>
      </c>
    </row>
    <row r="21" spans="1:6" x14ac:dyDescent="0.35">
      <c r="A21" s="18">
        <v>45629</v>
      </c>
      <c r="B21">
        <v>7317</v>
      </c>
      <c r="C21" t="s">
        <v>27</v>
      </c>
      <c r="D21" s="15">
        <v>10000</v>
      </c>
      <c r="E21" s="15">
        <f t="shared" si="0"/>
        <v>170000</v>
      </c>
      <c r="F21" s="15">
        <f t="shared" si="1"/>
        <v>180000</v>
      </c>
    </row>
    <row r="22" spans="1:6" x14ac:dyDescent="0.35">
      <c r="A22" s="18">
        <v>45539</v>
      </c>
      <c r="B22">
        <v>7800</v>
      </c>
      <c r="C22" t="s">
        <v>27</v>
      </c>
      <c r="D22" s="15">
        <v>10000</v>
      </c>
      <c r="E22" s="15">
        <f t="shared" si="0"/>
        <v>180000</v>
      </c>
      <c r="F22" s="15">
        <f t="shared" si="1"/>
        <v>170000</v>
      </c>
    </row>
    <row r="23" spans="1:6" x14ac:dyDescent="0.35">
      <c r="A23" t="s">
        <v>436</v>
      </c>
      <c r="B23">
        <v>8504</v>
      </c>
      <c r="C23" t="s">
        <v>27</v>
      </c>
      <c r="D23" s="15">
        <v>10000</v>
      </c>
      <c r="E23" s="15">
        <f t="shared" si="0"/>
        <v>190000</v>
      </c>
      <c r="F23" s="15">
        <f t="shared" si="1"/>
        <v>160000</v>
      </c>
    </row>
    <row r="24" spans="1:6" x14ac:dyDescent="0.35">
      <c r="A24" t="s">
        <v>61</v>
      </c>
      <c r="B24">
        <v>9134</v>
      </c>
      <c r="C24" t="s">
        <v>27</v>
      </c>
      <c r="D24" s="15">
        <v>10000</v>
      </c>
      <c r="E24" s="15">
        <f t="shared" si="0"/>
        <v>200000</v>
      </c>
      <c r="F24" s="15">
        <f t="shared" si="1"/>
        <v>150000</v>
      </c>
    </row>
    <row r="25" spans="1:6" x14ac:dyDescent="0.35">
      <c r="A25" t="s">
        <v>437</v>
      </c>
      <c r="B25">
        <v>12408</v>
      </c>
      <c r="C25" t="s">
        <v>27</v>
      </c>
      <c r="D25" s="15">
        <v>10000</v>
      </c>
      <c r="E25" s="15">
        <f t="shared" si="0"/>
        <v>210000</v>
      </c>
      <c r="F25" s="15">
        <f t="shared" si="1"/>
        <v>140000</v>
      </c>
    </row>
    <row r="26" spans="1:6" x14ac:dyDescent="0.35">
      <c r="A26" s="18">
        <v>45635</v>
      </c>
      <c r="B26">
        <v>10728</v>
      </c>
      <c r="C26" t="s">
        <v>27</v>
      </c>
      <c r="D26" s="15">
        <v>20000</v>
      </c>
      <c r="E26" s="15">
        <f t="shared" si="0"/>
        <v>230000</v>
      </c>
      <c r="F26" s="15">
        <f t="shared" si="1"/>
        <v>120000</v>
      </c>
    </row>
    <row r="27" spans="1:6" x14ac:dyDescent="0.35">
      <c r="A27" t="s">
        <v>248</v>
      </c>
      <c r="B27">
        <v>10367</v>
      </c>
      <c r="C27" t="s">
        <v>27</v>
      </c>
      <c r="D27" s="15">
        <v>10000</v>
      </c>
      <c r="E27" s="15">
        <f t="shared" si="0"/>
        <v>240000</v>
      </c>
      <c r="F27" s="15">
        <f t="shared" si="1"/>
        <v>110000</v>
      </c>
    </row>
    <row r="28" spans="1:6" x14ac:dyDescent="0.35">
      <c r="A28" t="s">
        <v>438</v>
      </c>
      <c r="B28">
        <v>12412</v>
      </c>
      <c r="C28" t="s">
        <v>27</v>
      </c>
      <c r="D28" s="15">
        <v>10000</v>
      </c>
      <c r="E28" s="15">
        <f t="shared" si="0"/>
        <v>250000</v>
      </c>
      <c r="F28" s="15">
        <f t="shared" si="1"/>
        <v>100000</v>
      </c>
    </row>
    <row r="29" spans="1:6" x14ac:dyDescent="0.35">
      <c r="A29" s="18">
        <v>45577</v>
      </c>
      <c r="B29">
        <v>12316</v>
      </c>
      <c r="C29" t="s">
        <v>27</v>
      </c>
      <c r="D29" s="15">
        <v>10000</v>
      </c>
      <c r="E29" s="15">
        <f t="shared" si="0"/>
        <v>260000</v>
      </c>
      <c r="F29" s="15">
        <f t="shared" si="1"/>
        <v>90000</v>
      </c>
    </row>
    <row r="30" spans="1:6" x14ac:dyDescent="0.35">
      <c r="A30" t="s">
        <v>439</v>
      </c>
      <c r="B30">
        <v>13819</v>
      </c>
      <c r="C30" t="s">
        <v>27</v>
      </c>
      <c r="D30" s="15">
        <v>10000</v>
      </c>
      <c r="E30" s="15">
        <f t="shared" si="0"/>
        <v>270000</v>
      </c>
      <c r="F30" s="15">
        <f t="shared" si="1"/>
        <v>80000</v>
      </c>
    </row>
    <row r="31" spans="1:6" x14ac:dyDescent="0.35">
      <c r="A31" s="18">
        <v>45840</v>
      </c>
      <c r="B31">
        <v>13819</v>
      </c>
      <c r="C31" t="s">
        <v>27</v>
      </c>
      <c r="D31" s="15">
        <v>10000</v>
      </c>
      <c r="E31" s="15">
        <f t="shared" si="0"/>
        <v>280000</v>
      </c>
      <c r="F31" s="15">
        <f t="shared" si="1"/>
        <v>70000</v>
      </c>
    </row>
    <row r="32" spans="1:6" x14ac:dyDescent="0.35">
      <c r="A32" t="s">
        <v>59</v>
      </c>
      <c r="B32">
        <v>13819</v>
      </c>
      <c r="C32" t="s">
        <v>27</v>
      </c>
      <c r="D32" s="15">
        <v>10000</v>
      </c>
      <c r="E32" s="15">
        <f t="shared" si="0"/>
        <v>290000</v>
      </c>
      <c r="F32" s="15">
        <f t="shared" si="1"/>
        <v>60000</v>
      </c>
    </row>
    <row r="33" spans="1:6" x14ac:dyDescent="0.35">
      <c r="A33" s="18" t="s">
        <v>440</v>
      </c>
      <c r="B33">
        <v>13819</v>
      </c>
      <c r="C33" t="s">
        <v>27</v>
      </c>
      <c r="D33" s="15">
        <v>10000</v>
      </c>
      <c r="E33" s="15">
        <f t="shared" si="0"/>
        <v>300000</v>
      </c>
      <c r="F33" s="15">
        <f t="shared" si="1"/>
        <v>50000</v>
      </c>
    </row>
    <row r="34" spans="1:6" x14ac:dyDescent="0.35">
      <c r="A34" t="s">
        <v>441</v>
      </c>
      <c r="B34">
        <v>13819</v>
      </c>
      <c r="C34" t="s">
        <v>27</v>
      </c>
      <c r="D34" s="15">
        <v>10000</v>
      </c>
      <c r="E34" s="15">
        <f t="shared" si="0"/>
        <v>310000</v>
      </c>
      <c r="F34" s="15">
        <f t="shared" si="1"/>
        <v>40000</v>
      </c>
    </row>
    <row r="35" spans="1:6" x14ac:dyDescent="0.35">
      <c r="A35" s="18">
        <v>45877</v>
      </c>
      <c r="B35">
        <v>13819</v>
      </c>
      <c r="C35" t="s">
        <v>27</v>
      </c>
      <c r="D35" s="15">
        <v>30000</v>
      </c>
      <c r="E35" s="15">
        <f t="shared" si="0"/>
        <v>340000</v>
      </c>
      <c r="F35" s="15">
        <f t="shared" si="1"/>
        <v>10000</v>
      </c>
    </row>
    <row r="36" spans="1:6" x14ac:dyDescent="0.35">
      <c r="A36" t="s">
        <v>279</v>
      </c>
      <c r="B36">
        <v>13819</v>
      </c>
      <c r="C36" t="s">
        <v>27</v>
      </c>
      <c r="D36" s="15">
        <v>10000</v>
      </c>
      <c r="E36" s="15">
        <f t="shared" si="0"/>
        <v>350000</v>
      </c>
      <c r="F36" s="15">
        <f t="shared" si="1"/>
        <v>0</v>
      </c>
    </row>
    <row r="38" spans="1:6" ht="18.5" x14ac:dyDescent="0.45">
      <c r="B38" s="26" t="s">
        <v>354</v>
      </c>
      <c r="C38" s="26"/>
      <c r="D38" s="2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4"/>
  <sheetViews>
    <sheetView tabSelected="1" topLeftCell="A25" workbookViewId="0">
      <selection activeCell="A31" sqref="A31:F32"/>
    </sheetView>
  </sheetViews>
  <sheetFormatPr defaultRowHeight="14.5" x14ac:dyDescent="0.35"/>
  <cols>
    <col min="1" max="1" width="10.453125" bestFit="1" customWidth="1"/>
    <col min="3" max="3" width="13.90625" customWidth="1"/>
    <col min="6" max="6" width="11.26953125" customWidth="1"/>
  </cols>
  <sheetData>
    <row r="1" spans="1:6" ht="18.5" x14ac:dyDescent="0.45">
      <c r="A1" s="1" t="s">
        <v>173</v>
      </c>
      <c r="B1" s="1"/>
      <c r="C1" s="1"/>
      <c r="D1" s="1"/>
      <c r="E1" s="1"/>
      <c r="F1" s="1"/>
    </row>
    <row r="2" spans="1:6" ht="18.5" x14ac:dyDescent="0.45">
      <c r="A2" s="1" t="s">
        <v>174</v>
      </c>
      <c r="C2" s="1"/>
      <c r="D2" s="1"/>
      <c r="E2" s="1"/>
      <c r="F2" s="1"/>
    </row>
    <row r="3" spans="1:6" ht="18.5" x14ac:dyDescent="0.45">
      <c r="A3" s="1" t="s">
        <v>175</v>
      </c>
      <c r="B3" s="1"/>
      <c r="C3" s="1"/>
      <c r="D3" s="1"/>
      <c r="E3" s="1"/>
      <c r="F3" s="1"/>
    </row>
    <row r="4" spans="1:6" ht="18.5" x14ac:dyDescent="0.45">
      <c r="A4" s="1" t="s">
        <v>423</v>
      </c>
      <c r="B4" s="1"/>
      <c r="C4" s="1"/>
      <c r="D4" s="1"/>
      <c r="E4" s="1"/>
      <c r="F4" s="1"/>
    </row>
    <row r="5" spans="1:6" ht="18.5" x14ac:dyDescent="0.45">
      <c r="A5" s="1" t="s">
        <v>176</v>
      </c>
      <c r="B5" s="1"/>
      <c r="C5" s="1"/>
      <c r="D5" s="1"/>
      <c r="E5" s="1"/>
      <c r="F5" s="1"/>
    </row>
    <row r="6" spans="1:6" ht="18.5" x14ac:dyDescent="0.45">
      <c r="A6" s="1" t="s">
        <v>177</v>
      </c>
      <c r="B6" s="1"/>
      <c r="C6" s="1"/>
      <c r="D6" s="1" t="s">
        <v>178</v>
      </c>
      <c r="E6" s="1"/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14">
        <v>45422</v>
      </c>
      <c r="B8" s="7">
        <v>507</v>
      </c>
      <c r="C8" s="7" t="s">
        <v>183</v>
      </c>
      <c r="D8" s="13">
        <v>10000</v>
      </c>
      <c r="E8" s="13">
        <v>10000</v>
      </c>
      <c r="F8" s="13">
        <v>690000</v>
      </c>
    </row>
    <row r="9" spans="1:6" x14ac:dyDescent="0.35">
      <c r="A9" s="14">
        <v>45636</v>
      </c>
      <c r="B9" s="7">
        <v>11606</v>
      </c>
      <c r="C9" s="7" t="s">
        <v>184</v>
      </c>
      <c r="D9" s="13">
        <v>90000</v>
      </c>
      <c r="E9" s="13">
        <f>SUM(E8+D9)</f>
        <v>100000</v>
      </c>
      <c r="F9" s="13">
        <f>F8-D9</f>
        <v>600000</v>
      </c>
    </row>
    <row r="10" spans="1:6" x14ac:dyDescent="0.35">
      <c r="A10" s="14">
        <v>45515</v>
      </c>
      <c r="B10" s="7">
        <v>11934</v>
      </c>
      <c r="C10" s="7" t="s">
        <v>14</v>
      </c>
      <c r="D10" s="13">
        <v>10000</v>
      </c>
      <c r="E10" s="13">
        <f t="shared" ref="E10:E27" si="0">SUM(E9+D10)</f>
        <v>110000</v>
      </c>
      <c r="F10" s="13">
        <f t="shared" ref="F10:F27" si="1">F9-D10</f>
        <v>590000</v>
      </c>
    </row>
    <row r="11" spans="1:6" x14ac:dyDescent="0.35">
      <c r="A11" s="7" t="s">
        <v>179</v>
      </c>
      <c r="B11" s="7">
        <v>12217</v>
      </c>
      <c r="C11" s="7" t="s">
        <v>14</v>
      </c>
      <c r="D11" s="13">
        <v>10000</v>
      </c>
      <c r="E11" s="13">
        <f t="shared" si="0"/>
        <v>120000</v>
      </c>
      <c r="F11" s="13">
        <f t="shared" si="1"/>
        <v>580000</v>
      </c>
    </row>
    <row r="12" spans="1:6" x14ac:dyDescent="0.35">
      <c r="A12" s="14">
        <v>45992</v>
      </c>
      <c r="B12" s="7">
        <v>12012</v>
      </c>
      <c r="C12" s="7" t="s">
        <v>14</v>
      </c>
      <c r="D12" s="13">
        <v>10000</v>
      </c>
      <c r="E12" s="13">
        <f t="shared" si="0"/>
        <v>130000</v>
      </c>
      <c r="F12" s="13">
        <f t="shared" si="1"/>
        <v>570000</v>
      </c>
    </row>
    <row r="13" spans="1:6" x14ac:dyDescent="0.35">
      <c r="A13" s="14">
        <v>45871</v>
      </c>
      <c r="B13" s="7">
        <v>9256</v>
      </c>
      <c r="C13" s="7" t="s">
        <v>14</v>
      </c>
      <c r="D13" s="13">
        <v>10000</v>
      </c>
      <c r="E13" s="13">
        <f t="shared" si="0"/>
        <v>140000</v>
      </c>
      <c r="F13" s="13">
        <f t="shared" si="1"/>
        <v>560000</v>
      </c>
    </row>
    <row r="14" spans="1:6" x14ac:dyDescent="0.35">
      <c r="A14" s="7" t="s">
        <v>180</v>
      </c>
      <c r="B14" s="7">
        <v>9868</v>
      </c>
      <c r="C14" s="7" t="s">
        <v>14</v>
      </c>
      <c r="D14" s="13">
        <v>10000</v>
      </c>
      <c r="E14" s="13">
        <f t="shared" si="0"/>
        <v>150000</v>
      </c>
      <c r="F14" s="13">
        <f t="shared" si="1"/>
        <v>550000</v>
      </c>
    </row>
    <row r="15" spans="1:6" x14ac:dyDescent="0.35">
      <c r="A15" s="7" t="s">
        <v>181</v>
      </c>
      <c r="B15" s="7">
        <v>10153</v>
      </c>
      <c r="C15" s="7" t="s">
        <v>14</v>
      </c>
      <c r="D15" s="13">
        <v>10000</v>
      </c>
      <c r="E15" s="13">
        <f t="shared" si="0"/>
        <v>160000</v>
      </c>
      <c r="F15" s="13">
        <f t="shared" si="1"/>
        <v>540000</v>
      </c>
    </row>
    <row r="16" spans="1:6" x14ac:dyDescent="0.35">
      <c r="A16" s="7" t="s">
        <v>154</v>
      </c>
      <c r="B16" s="7">
        <v>10559</v>
      </c>
      <c r="C16" s="7" t="s">
        <v>14</v>
      </c>
      <c r="D16" s="13">
        <v>10000</v>
      </c>
      <c r="E16" s="13">
        <f t="shared" si="0"/>
        <v>170000</v>
      </c>
      <c r="F16" s="13">
        <f t="shared" si="1"/>
        <v>530000</v>
      </c>
    </row>
    <row r="17" spans="1:6" x14ac:dyDescent="0.35">
      <c r="A17" s="7" t="s">
        <v>182</v>
      </c>
      <c r="B17" s="7">
        <v>9912</v>
      </c>
      <c r="C17" s="7" t="s">
        <v>14</v>
      </c>
      <c r="D17" s="13">
        <v>10000</v>
      </c>
      <c r="E17" s="13">
        <f t="shared" si="0"/>
        <v>180000</v>
      </c>
      <c r="F17" s="13">
        <f t="shared" si="1"/>
        <v>520000</v>
      </c>
    </row>
    <row r="18" spans="1:6" x14ac:dyDescent="0.35">
      <c r="A18" s="14">
        <v>45998</v>
      </c>
      <c r="B18" s="7">
        <v>2149</v>
      </c>
      <c r="C18" s="7" t="s">
        <v>14</v>
      </c>
      <c r="D18" s="13">
        <v>10000</v>
      </c>
      <c r="E18" s="13">
        <f t="shared" si="0"/>
        <v>190000</v>
      </c>
      <c r="F18" s="13">
        <f t="shared" si="1"/>
        <v>510000</v>
      </c>
    </row>
    <row r="19" spans="1:6" x14ac:dyDescent="0.35">
      <c r="A19" s="14">
        <v>45908</v>
      </c>
      <c r="B19" s="7">
        <v>12442</v>
      </c>
      <c r="C19" s="7" t="s">
        <v>14</v>
      </c>
      <c r="D19" s="13">
        <v>10000</v>
      </c>
      <c r="E19" s="13">
        <f t="shared" si="0"/>
        <v>200000</v>
      </c>
      <c r="F19" s="13">
        <f t="shared" si="1"/>
        <v>500000</v>
      </c>
    </row>
    <row r="20" spans="1:6" x14ac:dyDescent="0.35">
      <c r="A20" s="14">
        <v>45880</v>
      </c>
      <c r="B20" s="7">
        <v>13459</v>
      </c>
      <c r="C20" s="7" t="s">
        <v>14</v>
      </c>
      <c r="D20" s="13">
        <v>15000</v>
      </c>
      <c r="E20" s="13">
        <f t="shared" si="0"/>
        <v>215000</v>
      </c>
      <c r="F20" s="13">
        <f t="shared" si="1"/>
        <v>485000</v>
      </c>
    </row>
    <row r="21" spans="1:6" x14ac:dyDescent="0.35">
      <c r="A21" s="7" t="s">
        <v>185</v>
      </c>
      <c r="B21" s="7">
        <v>12727</v>
      </c>
      <c r="C21" s="7" t="s">
        <v>14</v>
      </c>
      <c r="D21" s="13">
        <v>10000</v>
      </c>
      <c r="E21" s="13">
        <f t="shared" si="0"/>
        <v>225000</v>
      </c>
      <c r="F21" s="13">
        <f t="shared" si="1"/>
        <v>475000</v>
      </c>
    </row>
    <row r="22" spans="1:6" x14ac:dyDescent="0.35">
      <c r="A22" s="7" t="s">
        <v>186</v>
      </c>
      <c r="B22" s="7">
        <v>13175</v>
      </c>
      <c r="C22" s="7" t="s">
        <v>14</v>
      </c>
      <c r="D22" s="13">
        <v>15000</v>
      </c>
      <c r="E22" s="13">
        <f t="shared" si="0"/>
        <v>240000</v>
      </c>
      <c r="F22" s="13">
        <f t="shared" si="1"/>
        <v>460000</v>
      </c>
    </row>
    <row r="23" spans="1:6" x14ac:dyDescent="0.35">
      <c r="A23" s="14">
        <v>46296</v>
      </c>
      <c r="B23" s="7">
        <v>12059</v>
      </c>
      <c r="C23" s="7" t="s">
        <v>14</v>
      </c>
      <c r="D23" s="13">
        <v>10000</v>
      </c>
      <c r="E23" s="13">
        <f t="shared" si="0"/>
        <v>250000</v>
      </c>
      <c r="F23" s="13">
        <f t="shared" si="1"/>
        <v>450000</v>
      </c>
    </row>
    <row r="24" spans="1:6" x14ac:dyDescent="0.35">
      <c r="A24" s="7" t="s">
        <v>187</v>
      </c>
      <c r="B24" s="7">
        <v>12473</v>
      </c>
      <c r="C24" s="7" t="s">
        <v>14</v>
      </c>
      <c r="D24" s="13">
        <v>10000</v>
      </c>
      <c r="E24" s="13">
        <f t="shared" si="0"/>
        <v>260000</v>
      </c>
      <c r="F24" s="13">
        <f t="shared" si="1"/>
        <v>440000</v>
      </c>
    </row>
    <row r="25" spans="1:6" x14ac:dyDescent="0.35">
      <c r="A25" s="7" t="s">
        <v>188</v>
      </c>
      <c r="B25" s="7">
        <v>12864</v>
      </c>
      <c r="C25" s="7" t="s">
        <v>14</v>
      </c>
      <c r="D25" s="13">
        <v>10000</v>
      </c>
      <c r="E25" s="13">
        <f t="shared" si="0"/>
        <v>270000</v>
      </c>
      <c r="F25" s="13">
        <f t="shared" si="1"/>
        <v>430000</v>
      </c>
    </row>
    <row r="26" spans="1:6" x14ac:dyDescent="0.35">
      <c r="A26" s="14">
        <v>46330</v>
      </c>
      <c r="B26" s="7">
        <v>13224</v>
      </c>
      <c r="C26" s="7" t="s">
        <v>14</v>
      </c>
      <c r="D26" s="13">
        <v>10000</v>
      </c>
      <c r="E26" s="13">
        <f t="shared" si="0"/>
        <v>280000</v>
      </c>
      <c r="F26" s="13">
        <f t="shared" si="1"/>
        <v>420000</v>
      </c>
    </row>
    <row r="27" spans="1:6" x14ac:dyDescent="0.35">
      <c r="A27" s="14">
        <v>45905</v>
      </c>
      <c r="B27" s="7">
        <v>12962</v>
      </c>
      <c r="C27" s="7" t="s">
        <v>14</v>
      </c>
      <c r="D27" s="13">
        <v>10000</v>
      </c>
      <c r="E27" s="13">
        <f t="shared" si="0"/>
        <v>290000</v>
      </c>
      <c r="F27" s="13">
        <f t="shared" si="1"/>
        <v>410000</v>
      </c>
    </row>
    <row r="28" spans="1:6" x14ac:dyDescent="0.35">
      <c r="A28" s="7" t="s">
        <v>554</v>
      </c>
      <c r="B28" s="7">
        <v>13521</v>
      </c>
      <c r="C28" s="7" t="s">
        <v>14</v>
      </c>
      <c r="D28" s="13">
        <v>10000</v>
      </c>
      <c r="E28" s="13">
        <f>E27+D28</f>
        <v>300000</v>
      </c>
      <c r="F28" s="13">
        <f>F27-D28</f>
        <v>400000</v>
      </c>
    </row>
    <row r="29" spans="1:6" x14ac:dyDescent="0.35">
      <c r="A29" s="7" t="s">
        <v>619</v>
      </c>
      <c r="B29" s="7">
        <v>1459</v>
      </c>
      <c r="C29" s="7" t="s">
        <v>14</v>
      </c>
      <c r="D29" s="13">
        <v>10000</v>
      </c>
      <c r="E29" s="13">
        <f>E28+D29</f>
        <v>310000</v>
      </c>
      <c r="F29" s="13">
        <f>F28-D29</f>
        <v>390000</v>
      </c>
    </row>
    <row r="30" spans="1:6" x14ac:dyDescent="0.35">
      <c r="A30" s="14">
        <v>46242</v>
      </c>
      <c r="B30" s="7">
        <v>1674</v>
      </c>
      <c r="C30" s="7" t="s">
        <v>14</v>
      </c>
      <c r="D30" s="13">
        <v>10000</v>
      </c>
      <c r="E30" s="13">
        <f>E29+D30</f>
        <v>320000</v>
      </c>
      <c r="F30" s="13">
        <f>F29-D30</f>
        <v>380000</v>
      </c>
    </row>
    <row r="31" spans="1:6" x14ac:dyDescent="0.35">
      <c r="A31" s="14">
        <v>46365</v>
      </c>
      <c r="B31" s="7">
        <v>1979</v>
      </c>
      <c r="C31" s="7" t="s">
        <v>14</v>
      </c>
      <c r="D31" s="13">
        <v>10000</v>
      </c>
      <c r="E31" s="13">
        <f>E30+D31</f>
        <v>330000</v>
      </c>
      <c r="F31" s="13">
        <f>F30-D31</f>
        <v>370000</v>
      </c>
    </row>
    <row r="32" spans="1:6" x14ac:dyDescent="0.35">
      <c r="A32" s="14">
        <v>46305</v>
      </c>
      <c r="B32" s="7">
        <v>5017</v>
      </c>
      <c r="C32" s="7" t="s">
        <v>14</v>
      </c>
      <c r="D32" s="13">
        <v>10000</v>
      </c>
      <c r="E32" s="13">
        <f>E31+D32</f>
        <v>340000</v>
      </c>
      <c r="F32" s="13">
        <f>F31-D32</f>
        <v>360000</v>
      </c>
    </row>
    <row r="33" spans="1:6" x14ac:dyDescent="0.35">
      <c r="A33" s="29"/>
      <c r="B33" s="29"/>
      <c r="C33" s="29"/>
      <c r="D33" s="29"/>
      <c r="E33" s="29"/>
      <c r="F33" s="29"/>
    </row>
    <row r="34" spans="1:6" x14ac:dyDescent="0.35">
      <c r="A34" s="29"/>
      <c r="B34" s="29"/>
      <c r="C34" s="29"/>
      <c r="D34" s="29"/>
      <c r="E34" s="29"/>
      <c r="F34" s="2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9"/>
  <sheetViews>
    <sheetView topLeftCell="A29" zoomScale="145" zoomScaleNormal="145" workbookViewId="0">
      <selection activeCell="C35" sqref="C35"/>
    </sheetView>
  </sheetViews>
  <sheetFormatPr defaultRowHeight="14.5" x14ac:dyDescent="0.35"/>
  <cols>
    <col min="1" max="1" width="10.6328125" customWidth="1"/>
    <col min="3" max="3" width="13.7265625" customWidth="1"/>
    <col min="6" max="6" width="10.7265625" customWidth="1"/>
  </cols>
  <sheetData>
    <row r="1" spans="1:6" ht="18.5" x14ac:dyDescent="0.45">
      <c r="A1" s="1" t="s">
        <v>409</v>
      </c>
      <c r="B1" s="1"/>
      <c r="C1" s="1"/>
      <c r="D1" s="1"/>
      <c r="E1" s="1"/>
      <c r="F1" s="1"/>
    </row>
    <row r="2" spans="1:6" ht="18.5" x14ac:dyDescent="0.45">
      <c r="A2" s="1" t="s">
        <v>410</v>
      </c>
      <c r="C2" s="1"/>
      <c r="D2" s="1"/>
      <c r="E2" s="1"/>
      <c r="F2" s="1"/>
    </row>
    <row r="3" spans="1:6" ht="18.5" x14ac:dyDescent="0.45">
      <c r="A3" s="1" t="s">
        <v>411</v>
      </c>
      <c r="B3" s="1"/>
      <c r="C3" s="1"/>
      <c r="D3" s="1"/>
      <c r="E3" s="1"/>
      <c r="F3" s="1"/>
    </row>
    <row r="4" spans="1:6" ht="18.5" x14ac:dyDescent="0.45">
      <c r="A4" s="1" t="s">
        <v>421</v>
      </c>
      <c r="B4" s="1"/>
      <c r="C4" s="1"/>
      <c r="D4" s="1"/>
      <c r="E4" s="1"/>
      <c r="F4" s="1"/>
    </row>
    <row r="5" spans="1:6" ht="18.5" x14ac:dyDescent="0.45">
      <c r="A5" s="1" t="s">
        <v>412</v>
      </c>
      <c r="B5" s="1"/>
      <c r="C5" s="1"/>
      <c r="D5" s="1"/>
      <c r="E5" s="1"/>
      <c r="F5" s="1"/>
    </row>
    <row r="6" spans="1:6" ht="18.5" x14ac:dyDescent="0.45">
      <c r="A6" s="1" t="s">
        <v>413</v>
      </c>
      <c r="B6" s="1"/>
      <c r="C6" s="1"/>
      <c r="D6" s="1" t="s">
        <v>46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7" t="s">
        <v>414</v>
      </c>
      <c r="B8" s="2">
        <v>2380</v>
      </c>
      <c r="C8" s="2" t="s">
        <v>184</v>
      </c>
      <c r="D8" s="5">
        <v>100000</v>
      </c>
      <c r="E8" s="5">
        <v>100000</v>
      </c>
      <c r="F8" s="5">
        <v>500000</v>
      </c>
    </row>
    <row r="9" spans="1:6" x14ac:dyDescent="0.35">
      <c r="A9" s="14">
        <v>45082</v>
      </c>
      <c r="B9" s="2">
        <v>1471</v>
      </c>
      <c r="C9" s="2" t="s">
        <v>419</v>
      </c>
      <c r="D9" s="5">
        <v>10000</v>
      </c>
      <c r="E9" s="5">
        <f>E8+D9</f>
        <v>110000</v>
      </c>
      <c r="F9" s="5">
        <f>F8-D9</f>
        <v>490000</v>
      </c>
    </row>
    <row r="10" spans="1:6" x14ac:dyDescent="0.35">
      <c r="A10" s="14">
        <v>44991</v>
      </c>
      <c r="B10" s="2">
        <v>244</v>
      </c>
      <c r="C10" s="2" t="s">
        <v>419</v>
      </c>
      <c r="D10" s="5">
        <v>10000</v>
      </c>
      <c r="E10" s="5">
        <f t="shared" ref="E10:E36" si="0">E9+D10</f>
        <v>120000</v>
      </c>
      <c r="F10" s="5">
        <f t="shared" ref="F10:F36" si="1">F9-D10</f>
        <v>480000</v>
      </c>
    </row>
    <row r="11" spans="1:6" x14ac:dyDescent="0.35">
      <c r="A11" s="7" t="s">
        <v>415</v>
      </c>
      <c r="B11" s="2">
        <v>2470</v>
      </c>
      <c r="C11" s="2" t="s">
        <v>419</v>
      </c>
      <c r="D11" s="5">
        <v>10000</v>
      </c>
      <c r="E11" s="5">
        <f t="shared" si="0"/>
        <v>130000</v>
      </c>
      <c r="F11" s="5">
        <f t="shared" si="1"/>
        <v>470000</v>
      </c>
    </row>
    <row r="12" spans="1:6" x14ac:dyDescent="0.35">
      <c r="A12" s="7" t="s">
        <v>49</v>
      </c>
      <c r="B12" s="2">
        <v>3639</v>
      </c>
      <c r="C12" s="2" t="s">
        <v>419</v>
      </c>
      <c r="D12" s="5">
        <v>15000</v>
      </c>
      <c r="E12" s="5">
        <f t="shared" si="0"/>
        <v>145000</v>
      </c>
      <c r="F12" s="5">
        <f t="shared" si="1"/>
        <v>455000</v>
      </c>
    </row>
    <row r="13" spans="1:6" x14ac:dyDescent="0.35">
      <c r="A13" s="14">
        <v>45240</v>
      </c>
      <c r="B13" s="2">
        <v>4194</v>
      </c>
      <c r="C13" s="2" t="s">
        <v>419</v>
      </c>
      <c r="D13" s="5">
        <v>15000</v>
      </c>
      <c r="E13" s="5">
        <f t="shared" si="0"/>
        <v>160000</v>
      </c>
      <c r="F13" s="5">
        <f t="shared" si="1"/>
        <v>440000</v>
      </c>
    </row>
    <row r="14" spans="1:6" x14ac:dyDescent="0.35">
      <c r="A14" s="14">
        <v>45241</v>
      </c>
      <c r="B14" s="2">
        <v>4795</v>
      </c>
      <c r="C14" s="2" t="s">
        <v>419</v>
      </c>
      <c r="D14" s="5">
        <v>10000</v>
      </c>
      <c r="E14" s="5">
        <f t="shared" si="0"/>
        <v>170000</v>
      </c>
      <c r="F14" s="5">
        <f t="shared" si="1"/>
        <v>430000</v>
      </c>
    </row>
    <row r="15" spans="1:6" x14ac:dyDescent="0.35">
      <c r="A15" s="7" t="s">
        <v>416</v>
      </c>
      <c r="B15" s="2">
        <v>5526</v>
      </c>
      <c r="C15" s="2" t="s">
        <v>419</v>
      </c>
      <c r="D15" s="5">
        <v>10000</v>
      </c>
      <c r="E15" s="5">
        <f t="shared" si="0"/>
        <v>180000</v>
      </c>
      <c r="F15" s="5">
        <f t="shared" si="1"/>
        <v>420000</v>
      </c>
    </row>
    <row r="16" spans="1:6" x14ac:dyDescent="0.35">
      <c r="A16" s="7" t="s">
        <v>417</v>
      </c>
      <c r="B16" s="2">
        <v>7130</v>
      </c>
      <c r="C16" s="2" t="s">
        <v>419</v>
      </c>
      <c r="D16" s="5">
        <v>15000</v>
      </c>
      <c r="E16" s="5">
        <f t="shared" si="0"/>
        <v>195000</v>
      </c>
      <c r="F16" s="5">
        <f t="shared" si="1"/>
        <v>405000</v>
      </c>
    </row>
    <row r="17" spans="1:6" x14ac:dyDescent="0.35">
      <c r="A17" s="7" t="s">
        <v>418</v>
      </c>
      <c r="B17" s="2">
        <v>7872</v>
      </c>
      <c r="C17" s="2" t="s">
        <v>419</v>
      </c>
      <c r="D17" s="5">
        <v>15000</v>
      </c>
      <c r="E17" s="5">
        <f t="shared" si="0"/>
        <v>210000</v>
      </c>
      <c r="F17" s="5">
        <f t="shared" si="1"/>
        <v>390000</v>
      </c>
    </row>
    <row r="18" spans="1:6" x14ac:dyDescent="0.35">
      <c r="A18" s="14">
        <v>45601</v>
      </c>
      <c r="B18" s="2">
        <v>8390</v>
      </c>
      <c r="C18" s="2" t="s">
        <v>419</v>
      </c>
      <c r="D18" s="5">
        <v>15000</v>
      </c>
      <c r="E18" s="5">
        <f t="shared" si="0"/>
        <v>225000</v>
      </c>
      <c r="F18" s="5">
        <f t="shared" si="1"/>
        <v>375000</v>
      </c>
    </row>
    <row r="19" spans="1:6" x14ac:dyDescent="0.35">
      <c r="A19" s="14">
        <v>45602</v>
      </c>
      <c r="B19" s="2">
        <v>8985</v>
      </c>
      <c r="C19" s="2" t="s">
        <v>419</v>
      </c>
      <c r="D19" s="5">
        <v>10000</v>
      </c>
      <c r="E19" s="5">
        <f t="shared" si="0"/>
        <v>235000</v>
      </c>
      <c r="F19" s="5">
        <f t="shared" si="1"/>
        <v>365000</v>
      </c>
    </row>
    <row r="20" spans="1:6" x14ac:dyDescent="0.35">
      <c r="A20" s="14">
        <v>45390</v>
      </c>
      <c r="B20" s="2">
        <v>10023</v>
      </c>
      <c r="C20" s="2" t="s">
        <v>419</v>
      </c>
      <c r="D20" s="5">
        <v>15000</v>
      </c>
      <c r="E20" s="5">
        <f t="shared" si="0"/>
        <v>250000</v>
      </c>
      <c r="F20" s="5">
        <f t="shared" si="1"/>
        <v>350000</v>
      </c>
    </row>
    <row r="21" spans="1:6" x14ac:dyDescent="0.35">
      <c r="A21" s="14">
        <v>45453</v>
      </c>
      <c r="B21" s="2">
        <v>11410</v>
      </c>
      <c r="C21" s="2" t="s">
        <v>419</v>
      </c>
      <c r="D21" s="5">
        <v>20000</v>
      </c>
      <c r="E21" s="5">
        <f t="shared" si="0"/>
        <v>270000</v>
      </c>
      <c r="F21" s="5">
        <f t="shared" si="1"/>
        <v>330000</v>
      </c>
    </row>
    <row r="22" spans="1:6" x14ac:dyDescent="0.35">
      <c r="A22" s="7" t="s">
        <v>81</v>
      </c>
      <c r="B22" s="2">
        <v>12433</v>
      </c>
      <c r="C22" s="2" t="s">
        <v>419</v>
      </c>
      <c r="D22" s="5">
        <v>10000</v>
      </c>
      <c r="E22" s="5">
        <f t="shared" si="0"/>
        <v>280000</v>
      </c>
      <c r="F22" s="5">
        <f t="shared" si="1"/>
        <v>320000</v>
      </c>
    </row>
    <row r="23" spans="1:6" x14ac:dyDescent="0.35">
      <c r="A23" s="14">
        <v>45638</v>
      </c>
      <c r="B23" s="2">
        <v>12353</v>
      </c>
      <c r="C23" s="2" t="s">
        <v>419</v>
      </c>
      <c r="D23" s="5">
        <v>15000</v>
      </c>
      <c r="E23" s="5">
        <f t="shared" si="0"/>
        <v>295000</v>
      </c>
      <c r="F23" s="5">
        <f t="shared" si="1"/>
        <v>305000</v>
      </c>
    </row>
    <row r="24" spans="1:6" x14ac:dyDescent="0.35">
      <c r="A24" s="14">
        <v>45901</v>
      </c>
      <c r="B24" s="2">
        <v>12980</v>
      </c>
      <c r="C24" s="2" t="s">
        <v>419</v>
      </c>
      <c r="D24" s="5">
        <v>10000</v>
      </c>
      <c r="E24" s="5">
        <f t="shared" si="0"/>
        <v>305000</v>
      </c>
      <c r="F24" s="5">
        <f t="shared" si="1"/>
        <v>295000</v>
      </c>
    </row>
    <row r="25" spans="1:6" x14ac:dyDescent="0.35">
      <c r="A25" s="7" t="s">
        <v>253</v>
      </c>
      <c r="B25" s="2">
        <v>9893</v>
      </c>
      <c r="C25" s="2" t="s">
        <v>419</v>
      </c>
      <c r="D25" s="5">
        <v>10000</v>
      </c>
      <c r="E25" s="5">
        <f t="shared" si="0"/>
        <v>315000</v>
      </c>
      <c r="F25" s="5">
        <f t="shared" si="1"/>
        <v>285000</v>
      </c>
    </row>
    <row r="26" spans="1:6" x14ac:dyDescent="0.35">
      <c r="A26" s="7" t="s">
        <v>420</v>
      </c>
      <c r="B26" s="2">
        <v>10180</v>
      </c>
      <c r="C26" s="2" t="s">
        <v>419</v>
      </c>
      <c r="D26" s="5">
        <v>10000</v>
      </c>
      <c r="E26" s="5">
        <f t="shared" si="0"/>
        <v>325000</v>
      </c>
      <c r="F26" s="5">
        <f t="shared" si="1"/>
        <v>275000</v>
      </c>
    </row>
    <row r="27" spans="1:6" x14ac:dyDescent="0.35">
      <c r="A27" s="7" t="s">
        <v>224</v>
      </c>
      <c r="B27" s="2">
        <v>12813</v>
      </c>
      <c r="C27" s="2" t="s">
        <v>419</v>
      </c>
      <c r="D27" s="5">
        <v>10000</v>
      </c>
      <c r="E27" s="5">
        <f t="shared" si="0"/>
        <v>335000</v>
      </c>
      <c r="F27" s="5">
        <f t="shared" si="1"/>
        <v>265000</v>
      </c>
    </row>
    <row r="28" spans="1:6" x14ac:dyDescent="0.35">
      <c r="A28" s="14">
        <v>45876</v>
      </c>
      <c r="B28" s="2">
        <v>12814</v>
      </c>
      <c r="C28" s="2" t="s">
        <v>419</v>
      </c>
      <c r="D28" s="5">
        <v>20000</v>
      </c>
      <c r="E28" s="5">
        <f t="shared" si="0"/>
        <v>355000</v>
      </c>
      <c r="F28" s="5">
        <f t="shared" si="1"/>
        <v>245000</v>
      </c>
    </row>
    <row r="29" spans="1:6" x14ac:dyDescent="0.35">
      <c r="A29" s="14">
        <v>45969</v>
      </c>
      <c r="B29" s="2">
        <v>12475</v>
      </c>
      <c r="C29" s="2" t="s">
        <v>419</v>
      </c>
      <c r="D29" s="5">
        <v>10000</v>
      </c>
      <c r="E29" s="5">
        <f t="shared" si="0"/>
        <v>365000</v>
      </c>
      <c r="F29" s="5">
        <f t="shared" si="1"/>
        <v>235000</v>
      </c>
    </row>
    <row r="30" spans="1:6" x14ac:dyDescent="0.35">
      <c r="A30" s="14">
        <v>45786</v>
      </c>
      <c r="B30" s="2">
        <v>12616</v>
      </c>
      <c r="C30" s="2" t="s">
        <v>419</v>
      </c>
      <c r="D30" s="5">
        <v>10000</v>
      </c>
      <c r="E30" s="5">
        <f t="shared" si="0"/>
        <v>375000</v>
      </c>
      <c r="F30" s="5">
        <f t="shared" si="1"/>
        <v>225000</v>
      </c>
    </row>
    <row r="31" spans="1:6" x14ac:dyDescent="0.35">
      <c r="A31" s="14">
        <v>45911</v>
      </c>
      <c r="B31" s="2">
        <v>13482</v>
      </c>
      <c r="C31" s="2" t="s">
        <v>419</v>
      </c>
      <c r="D31" s="5">
        <v>15000</v>
      </c>
      <c r="E31" s="5">
        <f t="shared" si="0"/>
        <v>390000</v>
      </c>
      <c r="F31" s="5">
        <f t="shared" si="1"/>
        <v>210000</v>
      </c>
    </row>
    <row r="32" spans="1:6" x14ac:dyDescent="0.35">
      <c r="A32" s="7" t="s">
        <v>186</v>
      </c>
      <c r="B32" s="2">
        <v>13177</v>
      </c>
      <c r="C32" s="2" t="s">
        <v>419</v>
      </c>
      <c r="D32" s="5">
        <v>10000</v>
      </c>
      <c r="E32" s="5">
        <f t="shared" si="0"/>
        <v>400000</v>
      </c>
      <c r="F32" s="5">
        <f t="shared" si="1"/>
        <v>200000</v>
      </c>
    </row>
    <row r="33" spans="1:6" x14ac:dyDescent="0.35">
      <c r="A33" s="14">
        <v>46174</v>
      </c>
      <c r="B33" s="2">
        <v>12006</v>
      </c>
      <c r="C33" s="2" t="s">
        <v>419</v>
      </c>
      <c r="D33" s="5">
        <v>10000</v>
      </c>
      <c r="E33" s="5">
        <f t="shared" si="0"/>
        <v>410000</v>
      </c>
      <c r="F33" s="5">
        <f t="shared" si="1"/>
        <v>190000</v>
      </c>
    </row>
    <row r="34" spans="1:6" x14ac:dyDescent="0.35">
      <c r="A34" s="14">
        <v>46207</v>
      </c>
      <c r="B34" s="2">
        <v>13167</v>
      </c>
      <c r="C34" s="2" t="s">
        <v>419</v>
      </c>
      <c r="D34" s="5">
        <v>10000</v>
      </c>
      <c r="E34" s="5">
        <f t="shared" si="0"/>
        <v>420000</v>
      </c>
      <c r="F34" s="5">
        <f t="shared" si="1"/>
        <v>180000</v>
      </c>
    </row>
    <row r="35" spans="1:6" x14ac:dyDescent="0.35">
      <c r="A35" s="14">
        <v>46239</v>
      </c>
      <c r="B35" s="2">
        <v>12955</v>
      </c>
      <c r="C35" s="2" t="s">
        <v>419</v>
      </c>
      <c r="D35" s="5">
        <v>20000</v>
      </c>
      <c r="E35" s="5">
        <f t="shared" si="0"/>
        <v>440000</v>
      </c>
      <c r="F35" s="5">
        <f t="shared" si="1"/>
        <v>160000</v>
      </c>
    </row>
    <row r="36" spans="1:6" x14ac:dyDescent="0.35">
      <c r="A36" s="14">
        <v>46297</v>
      </c>
      <c r="B36" s="2">
        <v>12418</v>
      </c>
      <c r="C36" s="2" t="s">
        <v>419</v>
      </c>
      <c r="D36" s="5">
        <v>10000</v>
      </c>
      <c r="E36" s="5">
        <f t="shared" si="0"/>
        <v>450000</v>
      </c>
      <c r="F36" s="5">
        <f t="shared" si="1"/>
        <v>150000</v>
      </c>
    </row>
    <row r="37" spans="1:6" x14ac:dyDescent="0.35">
      <c r="A37" s="7" t="s">
        <v>560</v>
      </c>
      <c r="B37" s="2">
        <v>13683</v>
      </c>
      <c r="C37" s="2" t="s">
        <v>419</v>
      </c>
      <c r="D37" s="5">
        <v>10000</v>
      </c>
      <c r="E37" s="5">
        <f>E36+D37</f>
        <v>460000</v>
      </c>
      <c r="F37" s="5">
        <f>F36-D37</f>
        <v>140000</v>
      </c>
    </row>
    <row r="38" spans="1:6" x14ac:dyDescent="0.35">
      <c r="A38" s="2" t="s">
        <v>652</v>
      </c>
      <c r="B38" s="2">
        <v>1776</v>
      </c>
      <c r="C38" s="2" t="s">
        <v>419</v>
      </c>
      <c r="D38" s="5">
        <v>15000</v>
      </c>
      <c r="E38" s="5">
        <f>E37+D38</f>
        <v>475000</v>
      </c>
      <c r="F38" s="5">
        <f>F37-D38</f>
        <v>125000</v>
      </c>
    </row>
    <row r="39" spans="1:6" x14ac:dyDescent="0.35">
      <c r="D39" s="1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"/>
  <sheetViews>
    <sheetView workbookViewId="0">
      <selection activeCell="I7" sqref="I7"/>
    </sheetView>
  </sheetViews>
  <sheetFormatPr defaultRowHeight="14.5" x14ac:dyDescent="0.35"/>
  <cols>
    <col min="6" max="6" width="12.453125" customWidth="1"/>
  </cols>
  <sheetData>
    <row r="1" spans="1:6" ht="18.5" x14ac:dyDescent="0.45">
      <c r="A1" s="1" t="s">
        <v>355</v>
      </c>
      <c r="B1" s="1"/>
      <c r="C1" s="1"/>
      <c r="D1" s="1"/>
      <c r="E1" s="1"/>
      <c r="F1" s="1"/>
    </row>
    <row r="2" spans="1:6" ht="18.5" x14ac:dyDescent="0.45">
      <c r="A2" s="1" t="s">
        <v>356</v>
      </c>
      <c r="C2" s="1"/>
      <c r="D2" s="1"/>
      <c r="E2" s="1"/>
      <c r="F2" s="1"/>
    </row>
    <row r="3" spans="1:6" ht="18.5" x14ac:dyDescent="0.45">
      <c r="A3" s="1" t="s">
        <v>357</v>
      </c>
      <c r="B3" s="1"/>
      <c r="C3" s="1"/>
      <c r="D3" s="1"/>
      <c r="E3" s="1"/>
      <c r="F3" s="1"/>
    </row>
    <row r="4" spans="1:6" ht="18.5" x14ac:dyDescent="0.45">
      <c r="A4" s="1" t="s">
        <v>424</v>
      </c>
      <c r="B4" s="1"/>
      <c r="C4" s="1"/>
      <c r="D4" s="1"/>
      <c r="E4" s="1"/>
      <c r="F4" s="1"/>
    </row>
    <row r="5" spans="1:6" ht="18.5" x14ac:dyDescent="0.45">
      <c r="A5" s="1" t="s">
        <v>358</v>
      </c>
      <c r="B5" s="1"/>
      <c r="C5" s="1"/>
      <c r="D5" s="1"/>
      <c r="E5" s="1"/>
      <c r="F5" s="1"/>
    </row>
    <row r="6" spans="1:6" ht="18.5" x14ac:dyDescent="0.45">
      <c r="A6" s="1" t="s">
        <v>359</v>
      </c>
      <c r="B6" s="1"/>
      <c r="C6" s="1"/>
      <c r="D6" s="1"/>
      <c r="E6" s="1" t="s">
        <v>5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t="s">
        <v>360</v>
      </c>
      <c r="B8">
        <v>12298</v>
      </c>
      <c r="C8" t="s">
        <v>361</v>
      </c>
      <c r="D8" s="15">
        <v>450000</v>
      </c>
      <c r="E8" s="15">
        <v>450000</v>
      </c>
      <c r="F8" t="s">
        <v>325</v>
      </c>
    </row>
    <row r="10" spans="1:6" ht="18.5" x14ac:dyDescent="0.45">
      <c r="A10" s="26" t="s">
        <v>425</v>
      </c>
      <c r="B10" s="26"/>
      <c r="C10" s="26"/>
      <c r="D10" s="26"/>
      <c r="E10" s="26"/>
      <c r="F10" s="2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43"/>
  <sheetViews>
    <sheetView workbookViewId="0">
      <selection activeCell="A8" sqref="A8:F43"/>
    </sheetView>
  </sheetViews>
  <sheetFormatPr defaultRowHeight="14.5" x14ac:dyDescent="0.35"/>
  <cols>
    <col min="1" max="1" width="10.453125" bestFit="1" customWidth="1"/>
    <col min="3" max="3" width="11.08984375" customWidth="1"/>
    <col min="6" max="6" width="11.90625" customWidth="1"/>
  </cols>
  <sheetData>
    <row r="1" spans="1:6" ht="18.5" x14ac:dyDescent="0.45">
      <c r="A1" s="1" t="s">
        <v>376</v>
      </c>
      <c r="B1" s="1"/>
      <c r="C1" s="1"/>
      <c r="D1" s="1"/>
      <c r="E1" s="1"/>
      <c r="F1" s="1"/>
    </row>
    <row r="2" spans="1:6" ht="18.5" x14ac:dyDescent="0.45">
      <c r="A2" s="1" t="s">
        <v>377</v>
      </c>
      <c r="C2" s="1"/>
      <c r="D2" s="1"/>
      <c r="E2" s="1"/>
      <c r="F2" s="1"/>
    </row>
    <row r="3" spans="1:6" ht="18.5" x14ac:dyDescent="0.45">
      <c r="A3" s="1" t="s">
        <v>378</v>
      </c>
      <c r="B3" s="1"/>
      <c r="C3" s="1"/>
      <c r="D3" s="1"/>
      <c r="E3" s="1"/>
      <c r="F3" s="1"/>
    </row>
    <row r="4" spans="1:6" ht="18.5" x14ac:dyDescent="0.45">
      <c r="A4" s="1" t="s">
        <v>381</v>
      </c>
      <c r="B4" s="1"/>
      <c r="C4" s="1"/>
      <c r="D4" s="1"/>
      <c r="E4" s="1"/>
      <c r="F4" s="1"/>
    </row>
    <row r="5" spans="1:6" ht="18.5" x14ac:dyDescent="0.45">
      <c r="A5" s="1" t="s">
        <v>379</v>
      </c>
      <c r="B5" s="1"/>
      <c r="C5" s="1"/>
      <c r="D5" s="1"/>
      <c r="E5" s="1"/>
      <c r="F5" s="1"/>
    </row>
    <row r="6" spans="1:6" ht="18.5" x14ac:dyDescent="0.45">
      <c r="A6" s="1" t="s">
        <v>380</v>
      </c>
      <c r="B6" s="1"/>
      <c r="C6" s="1"/>
      <c r="D6" s="1"/>
      <c r="E6" s="1" t="s">
        <v>46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2" t="s">
        <v>204</v>
      </c>
      <c r="B8" s="2">
        <v>281</v>
      </c>
      <c r="C8" s="2" t="s">
        <v>22</v>
      </c>
      <c r="D8" s="5">
        <v>10000</v>
      </c>
      <c r="E8" s="5">
        <v>10000</v>
      </c>
      <c r="F8" s="5">
        <v>590000</v>
      </c>
    </row>
    <row r="9" spans="1:6" x14ac:dyDescent="0.35">
      <c r="A9" s="6">
        <v>44931</v>
      </c>
      <c r="B9" s="2">
        <v>1324</v>
      </c>
      <c r="C9" s="2" t="s">
        <v>184</v>
      </c>
      <c r="D9" s="5">
        <v>140000</v>
      </c>
      <c r="E9" s="5">
        <f>SUM(E8+D9)</f>
        <v>150000</v>
      </c>
      <c r="F9" s="5">
        <f>F8-D9</f>
        <v>450000</v>
      </c>
    </row>
    <row r="10" spans="1:6" x14ac:dyDescent="0.35">
      <c r="A10" s="6">
        <v>45175</v>
      </c>
      <c r="B10" s="2">
        <v>351</v>
      </c>
      <c r="C10" s="2" t="s">
        <v>14</v>
      </c>
      <c r="D10" s="5">
        <v>10000</v>
      </c>
      <c r="E10" s="5">
        <f>SUM(E8+D10)</f>
        <v>20000</v>
      </c>
      <c r="F10" s="5">
        <f t="shared" ref="F10:F39" si="0">F9-D10</f>
        <v>440000</v>
      </c>
    </row>
    <row r="11" spans="1:6" x14ac:dyDescent="0.35">
      <c r="A11" s="6">
        <v>45176</v>
      </c>
      <c r="B11" s="2">
        <v>2620</v>
      </c>
      <c r="C11" s="2" t="s">
        <v>14</v>
      </c>
      <c r="D11" s="5">
        <v>10000</v>
      </c>
      <c r="E11" s="5">
        <f>SUM(E9+D11)</f>
        <v>160000</v>
      </c>
      <c r="F11" s="5">
        <f t="shared" si="0"/>
        <v>430000</v>
      </c>
    </row>
    <row r="12" spans="1:6" x14ac:dyDescent="0.35">
      <c r="A12" s="6">
        <v>45207</v>
      </c>
      <c r="B12" s="2">
        <v>2322</v>
      </c>
      <c r="C12" s="2" t="s">
        <v>14</v>
      </c>
      <c r="D12" s="5">
        <v>10000</v>
      </c>
      <c r="E12" s="5">
        <f t="shared" ref="E12:E39" si="1">SUM(E11+D12)</f>
        <v>170000</v>
      </c>
      <c r="F12" s="5">
        <f t="shared" si="0"/>
        <v>420000</v>
      </c>
    </row>
    <row r="13" spans="1:6" x14ac:dyDescent="0.35">
      <c r="A13" s="6">
        <v>45208</v>
      </c>
      <c r="B13" s="2">
        <v>3500</v>
      </c>
      <c r="C13" s="2" t="s">
        <v>14</v>
      </c>
      <c r="D13" s="5">
        <v>10000</v>
      </c>
      <c r="E13" s="5">
        <f t="shared" si="1"/>
        <v>180000</v>
      </c>
      <c r="F13" s="5">
        <f t="shared" si="0"/>
        <v>410000</v>
      </c>
    </row>
    <row r="14" spans="1:6" x14ac:dyDescent="0.35">
      <c r="A14" s="2" t="s">
        <v>29</v>
      </c>
      <c r="B14" s="2">
        <v>4509</v>
      </c>
      <c r="C14" s="2" t="s">
        <v>14</v>
      </c>
      <c r="D14" s="5">
        <v>10000</v>
      </c>
      <c r="E14" s="5">
        <f t="shared" si="1"/>
        <v>190000</v>
      </c>
      <c r="F14" s="5">
        <f t="shared" si="0"/>
        <v>400000</v>
      </c>
    </row>
    <row r="15" spans="1:6" x14ac:dyDescent="0.35">
      <c r="A15" s="6">
        <v>45241</v>
      </c>
      <c r="B15" s="2">
        <v>4808</v>
      </c>
      <c r="C15" s="2" t="s">
        <v>14</v>
      </c>
      <c r="D15" s="5">
        <v>10000</v>
      </c>
      <c r="E15" s="5">
        <f t="shared" si="1"/>
        <v>200000</v>
      </c>
      <c r="F15" s="5">
        <f t="shared" si="0"/>
        <v>390000</v>
      </c>
    </row>
    <row r="16" spans="1:6" x14ac:dyDescent="0.35">
      <c r="A16" s="2" t="s">
        <v>72</v>
      </c>
      <c r="B16" s="2">
        <v>5533</v>
      </c>
      <c r="C16" s="2" t="s">
        <v>14</v>
      </c>
      <c r="D16" s="5">
        <v>10000</v>
      </c>
      <c r="E16" s="5">
        <f t="shared" si="1"/>
        <v>210000</v>
      </c>
      <c r="F16" s="5">
        <f t="shared" si="0"/>
        <v>380000</v>
      </c>
    </row>
    <row r="17" spans="1:6" x14ac:dyDescent="0.35">
      <c r="A17" s="6">
        <v>45597</v>
      </c>
      <c r="B17" s="2">
        <v>6091</v>
      </c>
      <c r="C17" s="2" t="s">
        <v>14</v>
      </c>
      <c r="D17" s="5">
        <v>10000</v>
      </c>
      <c r="E17" s="5">
        <f t="shared" si="1"/>
        <v>220000</v>
      </c>
      <c r="F17" s="5">
        <f t="shared" si="0"/>
        <v>370000</v>
      </c>
    </row>
    <row r="18" spans="1:6" x14ac:dyDescent="0.35">
      <c r="A18" s="6">
        <v>45598</v>
      </c>
      <c r="B18" s="2">
        <v>7089</v>
      </c>
      <c r="C18" s="2" t="s">
        <v>14</v>
      </c>
      <c r="D18" s="5">
        <v>10000</v>
      </c>
      <c r="E18" s="5">
        <f t="shared" si="1"/>
        <v>230000</v>
      </c>
      <c r="F18" s="5">
        <f t="shared" si="0"/>
        <v>360000</v>
      </c>
    </row>
    <row r="19" spans="1:6" x14ac:dyDescent="0.35">
      <c r="A19" s="6">
        <v>45629</v>
      </c>
      <c r="B19" s="2">
        <v>7308</v>
      </c>
      <c r="C19" s="2" t="s">
        <v>14</v>
      </c>
      <c r="D19" s="5">
        <v>10000</v>
      </c>
      <c r="E19" s="5">
        <f t="shared" si="1"/>
        <v>240000</v>
      </c>
      <c r="F19" s="5">
        <f t="shared" si="0"/>
        <v>350000</v>
      </c>
    </row>
    <row r="20" spans="1:6" x14ac:dyDescent="0.35">
      <c r="A20" s="6">
        <v>45477</v>
      </c>
      <c r="B20" s="2">
        <v>7745</v>
      </c>
      <c r="C20" s="2" t="s">
        <v>14</v>
      </c>
      <c r="D20" s="5">
        <v>10000</v>
      </c>
      <c r="E20" s="5">
        <f t="shared" si="1"/>
        <v>250000</v>
      </c>
      <c r="F20" s="5">
        <f t="shared" si="0"/>
        <v>340000</v>
      </c>
    </row>
    <row r="21" spans="1:6" x14ac:dyDescent="0.35">
      <c r="A21" s="6">
        <v>45570</v>
      </c>
      <c r="B21" s="2">
        <v>8379</v>
      </c>
      <c r="C21" s="2" t="s">
        <v>14</v>
      </c>
      <c r="D21" s="5">
        <v>10000</v>
      </c>
      <c r="E21" s="5">
        <f t="shared" si="1"/>
        <v>260000</v>
      </c>
      <c r="F21" s="5">
        <f t="shared" si="0"/>
        <v>330000</v>
      </c>
    </row>
    <row r="22" spans="1:6" x14ac:dyDescent="0.35">
      <c r="A22" s="6">
        <v>45571</v>
      </c>
      <c r="B22" s="2">
        <v>8969</v>
      </c>
      <c r="C22" s="2" t="s">
        <v>14</v>
      </c>
      <c r="D22" s="5">
        <v>10000</v>
      </c>
      <c r="E22" s="5">
        <f t="shared" si="1"/>
        <v>270000</v>
      </c>
      <c r="F22" s="5">
        <f t="shared" si="0"/>
        <v>320000</v>
      </c>
    </row>
    <row r="23" spans="1:6" x14ac:dyDescent="0.35">
      <c r="A23" s="6">
        <v>45633</v>
      </c>
      <c r="B23" s="2">
        <v>9541</v>
      </c>
      <c r="C23" s="2" t="s">
        <v>14</v>
      </c>
      <c r="D23" s="5">
        <v>10000</v>
      </c>
      <c r="E23" s="5">
        <f t="shared" si="1"/>
        <v>280000</v>
      </c>
      <c r="F23" s="5">
        <f t="shared" si="0"/>
        <v>310000</v>
      </c>
    </row>
    <row r="24" spans="1:6" x14ac:dyDescent="0.35">
      <c r="A24" s="2" t="s">
        <v>382</v>
      </c>
      <c r="B24" s="2">
        <v>11288</v>
      </c>
      <c r="C24" s="2" t="s">
        <v>14</v>
      </c>
      <c r="D24" s="5">
        <v>10000</v>
      </c>
      <c r="E24" s="5">
        <f t="shared" si="1"/>
        <v>290000</v>
      </c>
      <c r="F24" s="5">
        <f t="shared" si="0"/>
        <v>300000</v>
      </c>
    </row>
    <row r="25" spans="1:6" x14ac:dyDescent="0.35">
      <c r="A25" s="2" t="s">
        <v>383</v>
      </c>
      <c r="B25" s="2">
        <v>11524</v>
      </c>
      <c r="C25" s="2" t="s">
        <v>14</v>
      </c>
      <c r="D25" s="5">
        <v>10000</v>
      </c>
      <c r="E25" s="5">
        <f t="shared" si="1"/>
        <v>300000</v>
      </c>
      <c r="F25" s="5">
        <f t="shared" si="0"/>
        <v>290000</v>
      </c>
    </row>
    <row r="26" spans="1:6" x14ac:dyDescent="0.35">
      <c r="A26" s="2" t="s">
        <v>384</v>
      </c>
      <c r="B26" s="2">
        <v>12190</v>
      </c>
      <c r="C26" s="2" t="s">
        <v>14</v>
      </c>
      <c r="D26" s="5">
        <v>10000</v>
      </c>
      <c r="E26" s="5">
        <f t="shared" si="1"/>
        <v>310000</v>
      </c>
      <c r="F26" s="5">
        <f t="shared" si="0"/>
        <v>280000</v>
      </c>
    </row>
    <row r="27" spans="1:6" x14ac:dyDescent="0.35">
      <c r="A27" s="2" t="s">
        <v>385</v>
      </c>
      <c r="B27" s="2">
        <v>12789</v>
      </c>
      <c r="C27" s="2" t="s">
        <v>14</v>
      </c>
      <c r="D27" s="5">
        <v>10000</v>
      </c>
      <c r="E27" s="5">
        <f t="shared" si="1"/>
        <v>320000</v>
      </c>
      <c r="F27" s="5">
        <f t="shared" si="0"/>
        <v>270000</v>
      </c>
    </row>
    <row r="28" spans="1:6" x14ac:dyDescent="0.35">
      <c r="A28" s="2" t="s">
        <v>150</v>
      </c>
      <c r="B28" s="2">
        <v>9025</v>
      </c>
      <c r="C28" s="2" t="s">
        <v>14</v>
      </c>
      <c r="D28" s="5">
        <v>10000</v>
      </c>
      <c r="E28" s="5">
        <f t="shared" si="1"/>
        <v>330000</v>
      </c>
      <c r="F28" s="5">
        <f t="shared" si="0"/>
        <v>260000</v>
      </c>
    </row>
    <row r="29" spans="1:6" x14ac:dyDescent="0.35">
      <c r="A29" s="6">
        <v>45964</v>
      </c>
      <c r="B29" s="2">
        <v>9700</v>
      </c>
      <c r="C29" s="2" t="s">
        <v>14</v>
      </c>
      <c r="D29" s="5">
        <v>10000</v>
      </c>
      <c r="E29" s="5">
        <f t="shared" si="1"/>
        <v>340000</v>
      </c>
      <c r="F29" s="5">
        <f t="shared" si="0"/>
        <v>250000</v>
      </c>
    </row>
    <row r="30" spans="1:6" x14ac:dyDescent="0.35">
      <c r="A30" s="6">
        <v>45934</v>
      </c>
      <c r="B30" s="2">
        <v>9991</v>
      </c>
      <c r="C30" s="2" t="s">
        <v>14</v>
      </c>
      <c r="D30" s="5">
        <v>10000</v>
      </c>
      <c r="E30" s="5">
        <f t="shared" si="1"/>
        <v>350000</v>
      </c>
      <c r="F30" s="5">
        <f t="shared" si="0"/>
        <v>240000</v>
      </c>
    </row>
    <row r="31" spans="1:6" x14ac:dyDescent="0.35">
      <c r="A31" s="6">
        <v>45997</v>
      </c>
      <c r="B31" s="2">
        <v>12146</v>
      </c>
      <c r="C31" s="2" t="s">
        <v>14</v>
      </c>
      <c r="D31" s="5">
        <v>10000</v>
      </c>
      <c r="E31" s="5">
        <f t="shared" si="1"/>
        <v>360000</v>
      </c>
      <c r="F31" s="5">
        <f t="shared" si="0"/>
        <v>230000</v>
      </c>
    </row>
    <row r="32" spans="1:6" x14ac:dyDescent="0.35">
      <c r="A32" s="6">
        <v>45968</v>
      </c>
      <c r="B32" s="2">
        <v>12147</v>
      </c>
      <c r="C32" s="2" t="s">
        <v>14</v>
      </c>
      <c r="D32" s="5">
        <v>10000</v>
      </c>
      <c r="E32" s="5">
        <f t="shared" si="1"/>
        <v>370000</v>
      </c>
      <c r="F32" s="5">
        <f t="shared" si="0"/>
        <v>220000</v>
      </c>
    </row>
    <row r="33" spans="1:6" x14ac:dyDescent="0.35">
      <c r="A33" s="2" t="s">
        <v>157</v>
      </c>
      <c r="B33" s="2">
        <v>12984</v>
      </c>
      <c r="C33" s="2" t="s">
        <v>14</v>
      </c>
      <c r="D33" s="5">
        <v>10000</v>
      </c>
      <c r="E33" s="5">
        <f t="shared" si="1"/>
        <v>380000</v>
      </c>
      <c r="F33" s="5">
        <f t="shared" si="0"/>
        <v>210000</v>
      </c>
    </row>
    <row r="34" spans="1:6" x14ac:dyDescent="0.35">
      <c r="A34" s="6">
        <v>45940</v>
      </c>
      <c r="B34" s="2">
        <v>13744</v>
      </c>
      <c r="C34" s="2" t="s">
        <v>14</v>
      </c>
      <c r="D34" s="5">
        <v>10000</v>
      </c>
      <c r="E34" s="5">
        <f t="shared" si="1"/>
        <v>390000</v>
      </c>
      <c r="F34" s="5">
        <f t="shared" si="0"/>
        <v>200000</v>
      </c>
    </row>
    <row r="35" spans="1:6" x14ac:dyDescent="0.35">
      <c r="A35" s="2" t="s">
        <v>386</v>
      </c>
      <c r="B35" s="2">
        <v>13384</v>
      </c>
      <c r="C35" s="2" t="s">
        <v>14</v>
      </c>
      <c r="D35" s="5">
        <v>10000</v>
      </c>
      <c r="E35" s="5">
        <f t="shared" si="1"/>
        <v>400000</v>
      </c>
      <c r="F35" s="5">
        <f t="shared" si="0"/>
        <v>190000</v>
      </c>
    </row>
    <row r="36" spans="1:6" x14ac:dyDescent="0.35">
      <c r="A36" s="2" t="s">
        <v>387</v>
      </c>
      <c r="B36" s="2">
        <v>13858</v>
      </c>
      <c r="C36" s="2" t="s">
        <v>14</v>
      </c>
      <c r="D36" s="5">
        <v>10000</v>
      </c>
      <c r="E36" s="5">
        <f t="shared" si="1"/>
        <v>410000</v>
      </c>
      <c r="F36" s="5">
        <f t="shared" si="0"/>
        <v>180000</v>
      </c>
    </row>
    <row r="37" spans="1:6" x14ac:dyDescent="0.35">
      <c r="A37" s="2" t="s">
        <v>260</v>
      </c>
      <c r="B37" s="2">
        <v>12286</v>
      </c>
      <c r="C37" s="2" t="s">
        <v>14</v>
      </c>
      <c r="D37" s="5">
        <v>10000</v>
      </c>
      <c r="E37" s="5">
        <f t="shared" si="1"/>
        <v>420000</v>
      </c>
      <c r="F37" s="5">
        <f t="shared" si="0"/>
        <v>170000</v>
      </c>
    </row>
    <row r="38" spans="1:6" x14ac:dyDescent="0.35">
      <c r="A38" s="2" t="s">
        <v>161</v>
      </c>
      <c r="B38" s="2">
        <v>12891</v>
      </c>
      <c r="C38" s="2" t="s">
        <v>14</v>
      </c>
      <c r="D38" s="5">
        <v>20000</v>
      </c>
      <c r="E38" s="5">
        <f t="shared" si="1"/>
        <v>440000</v>
      </c>
      <c r="F38" s="5">
        <f t="shared" si="0"/>
        <v>150000</v>
      </c>
    </row>
    <row r="39" spans="1:6" x14ac:dyDescent="0.35">
      <c r="A39" s="2" t="s">
        <v>388</v>
      </c>
      <c r="B39" s="2">
        <v>13078</v>
      </c>
      <c r="C39" s="2" t="s">
        <v>14</v>
      </c>
      <c r="D39" s="5">
        <v>10000</v>
      </c>
      <c r="E39" s="5">
        <f t="shared" si="1"/>
        <v>450000</v>
      </c>
      <c r="F39" s="5">
        <f t="shared" si="0"/>
        <v>140000</v>
      </c>
    </row>
    <row r="40" spans="1:6" x14ac:dyDescent="0.35">
      <c r="A40" s="2" t="s">
        <v>650</v>
      </c>
      <c r="B40" s="2">
        <v>13354</v>
      </c>
      <c r="C40" s="2" t="s">
        <v>14</v>
      </c>
      <c r="D40" s="5">
        <v>10000</v>
      </c>
      <c r="E40" s="5">
        <f>E39+D40</f>
        <v>460000</v>
      </c>
      <c r="F40" s="5">
        <f>F39-D40</f>
        <v>130000</v>
      </c>
    </row>
    <row r="41" spans="1:6" x14ac:dyDescent="0.35">
      <c r="A41" s="2" t="s">
        <v>651</v>
      </c>
      <c r="B41" s="2">
        <v>13617</v>
      </c>
      <c r="C41" s="2" t="s">
        <v>14</v>
      </c>
      <c r="D41" s="5">
        <v>10000</v>
      </c>
      <c r="E41" s="5">
        <f>E40+D41</f>
        <v>470000</v>
      </c>
      <c r="F41" s="5">
        <f>F40-D41</f>
        <v>120000</v>
      </c>
    </row>
    <row r="42" spans="1:6" x14ac:dyDescent="0.35">
      <c r="A42" s="6">
        <v>46333</v>
      </c>
      <c r="B42" s="2">
        <v>1444</v>
      </c>
      <c r="C42" s="2" t="s">
        <v>14</v>
      </c>
      <c r="D42" s="5">
        <v>10000</v>
      </c>
      <c r="E42" s="5">
        <f>E41+D42</f>
        <v>480000</v>
      </c>
      <c r="F42" s="5">
        <f>F41-D42</f>
        <v>110000</v>
      </c>
    </row>
    <row r="43" spans="1:6" x14ac:dyDescent="0.35">
      <c r="A43" s="6">
        <v>46364</v>
      </c>
      <c r="B43" s="2">
        <v>1739</v>
      </c>
      <c r="C43" s="2" t="s">
        <v>14</v>
      </c>
      <c r="D43" s="5">
        <v>10000</v>
      </c>
      <c r="E43" s="5">
        <f>E42+D43</f>
        <v>490000</v>
      </c>
      <c r="F43" s="5">
        <f>F42-D43</f>
        <v>100000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39" workbookViewId="0">
      <selection activeCell="B54" sqref="B54:D55"/>
    </sheetView>
  </sheetViews>
  <sheetFormatPr defaultRowHeight="14.5" x14ac:dyDescent="0.35"/>
  <cols>
    <col min="1" max="1" width="10.26953125" customWidth="1"/>
    <col min="3" max="3" width="13.26953125" customWidth="1"/>
  </cols>
  <sheetData>
    <row r="1" spans="1:6" ht="18.5" x14ac:dyDescent="0.45">
      <c r="A1" s="1" t="s">
        <v>457</v>
      </c>
      <c r="B1" s="1"/>
      <c r="C1" s="1"/>
      <c r="D1" s="1"/>
      <c r="E1" s="1"/>
      <c r="F1" s="1"/>
    </row>
    <row r="2" spans="1:6" ht="18.5" x14ac:dyDescent="0.45">
      <c r="A2" s="1" t="s">
        <v>458</v>
      </c>
      <c r="C2" s="1"/>
      <c r="D2" s="1"/>
      <c r="E2" s="1"/>
      <c r="F2" s="1"/>
    </row>
    <row r="3" spans="1:6" ht="18.5" x14ac:dyDescent="0.45">
      <c r="A3" s="1" t="s">
        <v>459</v>
      </c>
      <c r="B3" s="1"/>
      <c r="C3" s="1"/>
      <c r="D3" s="1"/>
      <c r="E3" s="1"/>
      <c r="F3" s="1"/>
    </row>
    <row r="4" spans="1:6" ht="18.5" x14ac:dyDescent="0.45">
      <c r="A4" s="1" t="s">
        <v>462</v>
      </c>
      <c r="B4" s="1"/>
      <c r="C4" s="1"/>
      <c r="D4" s="1"/>
      <c r="E4" s="1"/>
      <c r="F4" s="1"/>
    </row>
    <row r="5" spans="1:6" ht="18.5" x14ac:dyDescent="0.45">
      <c r="A5" s="1" t="s">
        <v>3</v>
      </c>
      <c r="B5" s="1"/>
      <c r="C5" s="1"/>
      <c r="D5" s="1"/>
      <c r="E5" s="1"/>
      <c r="F5" s="1"/>
    </row>
    <row r="6" spans="1:6" ht="18.5" x14ac:dyDescent="0.45">
      <c r="A6" s="1" t="s">
        <v>460</v>
      </c>
      <c r="B6" s="1"/>
      <c r="C6" s="1"/>
      <c r="D6" s="1"/>
      <c r="E6" s="1" t="s">
        <v>461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t="s">
        <v>463</v>
      </c>
      <c r="B8">
        <v>1283</v>
      </c>
      <c r="C8" t="s">
        <v>27</v>
      </c>
      <c r="D8" s="15">
        <v>10000</v>
      </c>
      <c r="E8" s="15">
        <v>10000</v>
      </c>
      <c r="F8" s="15">
        <v>310000</v>
      </c>
    </row>
    <row r="9" spans="1:6" x14ac:dyDescent="0.35">
      <c r="A9" t="s">
        <v>464</v>
      </c>
      <c r="B9">
        <v>6</v>
      </c>
      <c r="C9" t="s">
        <v>469</v>
      </c>
      <c r="D9" s="15">
        <v>30000</v>
      </c>
      <c r="E9" s="15">
        <f>E8+D9</f>
        <v>40000</v>
      </c>
      <c r="F9" s="15">
        <f>F8-D9</f>
        <v>280000</v>
      </c>
    </row>
    <row r="10" spans="1:6" x14ac:dyDescent="0.35">
      <c r="A10" s="18">
        <v>45262</v>
      </c>
      <c r="B10">
        <v>1889</v>
      </c>
      <c r="C10" t="s">
        <v>27</v>
      </c>
      <c r="D10" s="15">
        <v>10000</v>
      </c>
      <c r="E10" s="15">
        <f t="shared" ref="E10:E37" si="0">E9+D10</f>
        <v>50000</v>
      </c>
      <c r="F10" s="15">
        <f t="shared" ref="F10:F37" si="1">F9-D10</f>
        <v>270000</v>
      </c>
    </row>
    <row r="11" spans="1:6" x14ac:dyDescent="0.35">
      <c r="A11" t="s">
        <v>465</v>
      </c>
      <c r="B11">
        <v>7</v>
      </c>
      <c r="C11" t="s">
        <v>27</v>
      </c>
      <c r="D11" s="15">
        <v>10000</v>
      </c>
      <c r="E11" s="15">
        <f t="shared" si="0"/>
        <v>60000</v>
      </c>
      <c r="F11" s="15">
        <f t="shared" si="1"/>
        <v>260000</v>
      </c>
    </row>
    <row r="12" spans="1:6" x14ac:dyDescent="0.35">
      <c r="A12" t="s">
        <v>204</v>
      </c>
      <c r="B12">
        <v>1281</v>
      </c>
      <c r="C12" t="s">
        <v>27</v>
      </c>
      <c r="D12" s="15">
        <v>10000</v>
      </c>
      <c r="E12" s="15">
        <f t="shared" si="0"/>
        <v>70000</v>
      </c>
      <c r="F12" s="15">
        <f t="shared" si="1"/>
        <v>250000</v>
      </c>
    </row>
    <row r="13" spans="1:6" x14ac:dyDescent="0.35">
      <c r="A13" t="s">
        <v>290</v>
      </c>
      <c r="B13">
        <v>633</v>
      </c>
      <c r="C13" t="s">
        <v>27</v>
      </c>
      <c r="D13" s="15">
        <v>10000</v>
      </c>
      <c r="E13" s="15">
        <f t="shared" si="0"/>
        <v>80000</v>
      </c>
      <c r="F13" s="15">
        <f t="shared" si="1"/>
        <v>240000</v>
      </c>
    </row>
    <row r="14" spans="1:6" x14ac:dyDescent="0.35">
      <c r="A14" t="s">
        <v>466</v>
      </c>
      <c r="B14">
        <v>2098</v>
      </c>
      <c r="C14" t="s">
        <v>27</v>
      </c>
      <c r="D14" s="15">
        <v>10000</v>
      </c>
      <c r="E14" s="15">
        <f t="shared" si="0"/>
        <v>90000</v>
      </c>
      <c r="F14" s="15">
        <f t="shared" si="1"/>
        <v>230000</v>
      </c>
    </row>
    <row r="15" spans="1:6" x14ac:dyDescent="0.35">
      <c r="A15" t="s">
        <v>467</v>
      </c>
      <c r="B15">
        <v>2575</v>
      </c>
      <c r="C15" t="s">
        <v>27</v>
      </c>
      <c r="D15" s="15">
        <v>10000</v>
      </c>
      <c r="E15" s="15">
        <f t="shared" si="0"/>
        <v>100000</v>
      </c>
      <c r="F15" s="15">
        <f t="shared" si="1"/>
        <v>220000</v>
      </c>
    </row>
    <row r="16" spans="1:6" x14ac:dyDescent="0.35">
      <c r="A16" t="s">
        <v>468</v>
      </c>
      <c r="B16">
        <v>3270</v>
      </c>
      <c r="C16" t="s">
        <v>27</v>
      </c>
      <c r="D16" s="15">
        <v>10000</v>
      </c>
      <c r="E16" s="15">
        <f t="shared" si="0"/>
        <v>110000</v>
      </c>
      <c r="F16" s="15">
        <f t="shared" si="1"/>
        <v>210000</v>
      </c>
    </row>
    <row r="17" spans="1:6" x14ac:dyDescent="0.35">
      <c r="A17" t="s">
        <v>140</v>
      </c>
      <c r="B17">
        <v>3948</v>
      </c>
      <c r="C17" t="s">
        <v>27</v>
      </c>
      <c r="D17" s="15">
        <v>10000</v>
      </c>
      <c r="E17" s="15">
        <f t="shared" si="0"/>
        <v>120000</v>
      </c>
      <c r="F17" s="15">
        <f t="shared" si="1"/>
        <v>200000</v>
      </c>
    </row>
    <row r="18" spans="1:6" x14ac:dyDescent="0.35">
      <c r="A18" t="s">
        <v>341</v>
      </c>
      <c r="B18">
        <v>4538</v>
      </c>
      <c r="C18" t="s">
        <v>27</v>
      </c>
      <c r="D18" s="15">
        <v>10000</v>
      </c>
      <c r="E18" s="15">
        <f t="shared" si="0"/>
        <v>130000</v>
      </c>
      <c r="F18" s="15">
        <f t="shared" si="1"/>
        <v>190000</v>
      </c>
    </row>
    <row r="19" spans="1:6" x14ac:dyDescent="0.35">
      <c r="A19" t="s">
        <v>208</v>
      </c>
      <c r="B19">
        <v>2126</v>
      </c>
      <c r="C19" t="s">
        <v>27</v>
      </c>
      <c r="D19" s="15">
        <v>10000</v>
      </c>
      <c r="E19" s="15">
        <f t="shared" si="0"/>
        <v>140000</v>
      </c>
      <c r="F19" s="15">
        <f t="shared" si="1"/>
        <v>180000</v>
      </c>
    </row>
    <row r="20" spans="1:6" x14ac:dyDescent="0.35">
      <c r="A20" t="s">
        <v>295</v>
      </c>
      <c r="B20">
        <v>5746</v>
      </c>
      <c r="C20" t="s">
        <v>27</v>
      </c>
      <c r="D20" s="15">
        <v>10000</v>
      </c>
      <c r="E20" s="15">
        <f t="shared" si="0"/>
        <v>150000</v>
      </c>
      <c r="F20" s="15">
        <f t="shared" si="1"/>
        <v>170000</v>
      </c>
    </row>
    <row r="21" spans="1:6" x14ac:dyDescent="0.35">
      <c r="A21" t="s">
        <v>470</v>
      </c>
      <c r="B21">
        <v>6361</v>
      </c>
      <c r="C21" t="s">
        <v>27</v>
      </c>
      <c r="D21" s="15">
        <v>10000</v>
      </c>
      <c r="E21" s="15">
        <f t="shared" si="0"/>
        <v>160000</v>
      </c>
      <c r="F21" s="15">
        <f t="shared" si="1"/>
        <v>160000</v>
      </c>
    </row>
    <row r="22" spans="1:6" x14ac:dyDescent="0.35">
      <c r="A22" t="s">
        <v>471</v>
      </c>
      <c r="B22">
        <v>6749</v>
      </c>
      <c r="C22" t="s">
        <v>27</v>
      </c>
      <c r="D22" s="15">
        <v>10000</v>
      </c>
      <c r="E22" s="15">
        <f t="shared" si="0"/>
        <v>170000</v>
      </c>
      <c r="F22" s="15">
        <f t="shared" si="1"/>
        <v>150000</v>
      </c>
    </row>
    <row r="23" spans="1:6" x14ac:dyDescent="0.35">
      <c r="A23" t="s">
        <v>74</v>
      </c>
      <c r="B23">
        <v>7560</v>
      </c>
      <c r="C23" t="s">
        <v>27</v>
      </c>
      <c r="D23" s="15">
        <v>10000</v>
      </c>
      <c r="E23" s="15">
        <f t="shared" si="0"/>
        <v>180000</v>
      </c>
      <c r="F23" s="15">
        <f t="shared" si="1"/>
        <v>140000</v>
      </c>
    </row>
    <row r="24" spans="1:6" x14ac:dyDescent="0.35">
      <c r="A24" t="s">
        <v>472</v>
      </c>
      <c r="B24">
        <v>8022</v>
      </c>
      <c r="C24" t="s">
        <v>27</v>
      </c>
      <c r="D24" s="15">
        <v>10000</v>
      </c>
      <c r="E24" s="15">
        <f t="shared" si="0"/>
        <v>190000</v>
      </c>
      <c r="F24" s="15">
        <f t="shared" si="1"/>
        <v>130000</v>
      </c>
    </row>
    <row r="25" spans="1:6" x14ac:dyDescent="0.35">
      <c r="A25" t="s">
        <v>473</v>
      </c>
      <c r="B25">
        <v>8668</v>
      </c>
      <c r="C25" t="s">
        <v>27</v>
      </c>
      <c r="D25" s="15">
        <v>10000</v>
      </c>
      <c r="E25" s="15">
        <f t="shared" si="0"/>
        <v>200000</v>
      </c>
      <c r="F25" s="15">
        <f t="shared" si="1"/>
        <v>120000</v>
      </c>
    </row>
    <row r="26" spans="1:6" x14ac:dyDescent="0.35">
      <c r="A26" t="s">
        <v>474</v>
      </c>
      <c r="B26">
        <v>9211</v>
      </c>
      <c r="C26" t="s">
        <v>27</v>
      </c>
      <c r="D26" s="15">
        <v>10000</v>
      </c>
      <c r="E26" s="15">
        <f t="shared" si="0"/>
        <v>210000</v>
      </c>
      <c r="F26" s="15">
        <f t="shared" si="1"/>
        <v>110000</v>
      </c>
    </row>
    <row r="27" spans="1:6" x14ac:dyDescent="0.35">
      <c r="A27" t="s">
        <v>145</v>
      </c>
      <c r="B27">
        <v>9744</v>
      </c>
      <c r="C27" t="s">
        <v>27</v>
      </c>
      <c r="D27" s="15">
        <v>10000</v>
      </c>
      <c r="E27" s="15">
        <f t="shared" si="0"/>
        <v>220000</v>
      </c>
      <c r="F27" s="15">
        <f t="shared" si="1"/>
        <v>100000</v>
      </c>
    </row>
    <row r="28" spans="1:6" x14ac:dyDescent="0.35">
      <c r="A28" t="s">
        <v>277</v>
      </c>
      <c r="B28">
        <v>11296</v>
      </c>
      <c r="C28" t="s">
        <v>27</v>
      </c>
      <c r="D28" s="15">
        <v>10000</v>
      </c>
      <c r="E28" s="15">
        <f t="shared" si="0"/>
        <v>230000</v>
      </c>
      <c r="F28" s="15">
        <f t="shared" si="1"/>
        <v>90000</v>
      </c>
    </row>
    <row r="29" spans="1:6" x14ac:dyDescent="0.35">
      <c r="A29" t="s">
        <v>79</v>
      </c>
      <c r="B29">
        <v>387</v>
      </c>
      <c r="C29" t="s">
        <v>27</v>
      </c>
      <c r="D29" s="15">
        <v>10000</v>
      </c>
      <c r="E29" s="15">
        <f t="shared" si="0"/>
        <v>240000</v>
      </c>
      <c r="F29" s="15">
        <f t="shared" si="1"/>
        <v>80000</v>
      </c>
    </row>
    <row r="30" spans="1:6" x14ac:dyDescent="0.35">
      <c r="A30" t="s">
        <v>248</v>
      </c>
      <c r="B30">
        <v>10317</v>
      </c>
      <c r="C30" t="s">
        <v>27</v>
      </c>
      <c r="D30" s="15">
        <v>10000</v>
      </c>
      <c r="E30" s="15">
        <f t="shared" si="0"/>
        <v>250000</v>
      </c>
      <c r="F30" s="15">
        <f t="shared" si="1"/>
        <v>70000</v>
      </c>
    </row>
    <row r="31" spans="1:6" x14ac:dyDescent="0.35">
      <c r="A31" t="s">
        <v>384</v>
      </c>
      <c r="B31">
        <v>12197</v>
      </c>
      <c r="C31" t="s">
        <v>27</v>
      </c>
      <c r="D31" s="15">
        <v>10000</v>
      </c>
      <c r="E31" s="15">
        <f t="shared" si="0"/>
        <v>260000</v>
      </c>
      <c r="F31" s="15">
        <f t="shared" si="1"/>
        <v>60000</v>
      </c>
    </row>
    <row r="32" spans="1:6" x14ac:dyDescent="0.35">
      <c r="A32" t="s">
        <v>475</v>
      </c>
      <c r="B32">
        <v>12687</v>
      </c>
      <c r="C32" t="s">
        <v>27</v>
      </c>
      <c r="D32" s="15">
        <v>10000</v>
      </c>
      <c r="E32" s="15">
        <f t="shared" si="0"/>
        <v>270000</v>
      </c>
      <c r="F32" s="15">
        <f t="shared" si="1"/>
        <v>50000</v>
      </c>
    </row>
    <row r="33" spans="1:8" x14ac:dyDescent="0.35">
      <c r="A33" t="s">
        <v>52</v>
      </c>
      <c r="B33">
        <v>9077</v>
      </c>
      <c r="C33" t="s">
        <v>27</v>
      </c>
      <c r="D33" s="15">
        <v>10000</v>
      </c>
      <c r="E33" s="15">
        <f t="shared" si="0"/>
        <v>280000</v>
      </c>
      <c r="F33" s="15">
        <f t="shared" si="1"/>
        <v>40000</v>
      </c>
    </row>
    <row r="34" spans="1:8" x14ac:dyDescent="0.35">
      <c r="A34" t="s">
        <v>476</v>
      </c>
      <c r="B34">
        <v>9471</v>
      </c>
      <c r="C34" t="s">
        <v>27</v>
      </c>
      <c r="D34" s="15">
        <v>10000</v>
      </c>
      <c r="E34" s="15">
        <f>E32+D34</f>
        <v>280000</v>
      </c>
      <c r="F34" s="15">
        <f t="shared" si="1"/>
        <v>30000</v>
      </c>
    </row>
    <row r="35" spans="1:8" x14ac:dyDescent="0.35">
      <c r="A35" t="s">
        <v>477</v>
      </c>
      <c r="B35">
        <v>9858</v>
      </c>
      <c r="C35" t="s">
        <v>27</v>
      </c>
      <c r="D35" s="15">
        <v>10000</v>
      </c>
      <c r="E35" s="15">
        <f t="shared" si="0"/>
        <v>290000</v>
      </c>
      <c r="F35" s="15">
        <f t="shared" si="1"/>
        <v>20000</v>
      </c>
    </row>
    <row r="36" spans="1:8" x14ac:dyDescent="0.35">
      <c r="A36" t="s">
        <v>478</v>
      </c>
      <c r="B36">
        <v>10012</v>
      </c>
      <c r="C36" t="s">
        <v>27</v>
      </c>
      <c r="D36" s="15">
        <v>10000</v>
      </c>
      <c r="E36" s="15">
        <f t="shared" si="0"/>
        <v>300000</v>
      </c>
      <c r="F36" s="15">
        <f t="shared" si="1"/>
        <v>10000</v>
      </c>
    </row>
    <row r="37" spans="1:8" x14ac:dyDescent="0.35">
      <c r="A37" t="s">
        <v>479</v>
      </c>
      <c r="B37">
        <v>10834</v>
      </c>
      <c r="C37" t="s">
        <v>27</v>
      </c>
      <c r="D37" s="15">
        <v>10000</v>
      </c>
      <c r="E37" s="15">
        <f t="shared" si="0"/>
        <v>310000</v>
      </c>
      <c r="F37" s="15">
        <f t="shared" si="1"/>
        <v>0</v>
      </c>
    </row>
    <row r="39" spans="1:8" ht="18.5" x14ac:dyDescent="0.45">
      <c r="A39" s="38" t="s">
        <v>354</v>
      </c>
      <c r="B39" s="38"/>
      <c r="C39" s="38"/>
      <c r="D39" s="26"/>
      <c r="E39" s="26"/>
      <c r="F39" s="26"/>
      <c r="G39" s="26"/>
      <c r="H39" s="26"/>
    </row>
    <row r="40" spans="1:8" x14ac:dyDescent="0.35">
      <c r="A40" s="8" t="s">
        <v>6</v>
      </c>
      <c r="B40" s="7" t="s">
        <v>7</v>
      </c>
      <c r="C40" s="7" t="s">
        <v>8</v>
      </c>
      <c r="D40" s="7" t="s">
        <v>9</v>
      </c>
      <c r="E40" s="7" t="s">
        <v>10</v>
      </c>
      <c r="F40" s="7" t="s">
        <v>11</v>
      </c>
    </row>
    <row r="41" spans="1:8" x14ac:dyDescent="0.35">
      <c r="A41" t="s">
        <v>654</v>
      </c>
      <c r="B41">
        <v>11875</v>
      </c>
      <c r="C41" t="s">
        <v>616</v>
      </c>
      <c r="D41" s="15">
        <v>10000</v>
      </c>
      <c r="E41" s="15">
        <v>10000</v>
      </c>
      <c r="F41" s="15">
        <v>440000</v>
      </c>
    </row>
    <row r="42" spans="1:8" x14ac:dyDescent="0.35">
      <c r="A42" t="s">
        <v>655</v>
      </c>
      <c r="B42">
        <v>3122</v>
      </c>
      <c r="D42" s="15">
        <v>10000</v>
      </c>
      <c r="E42" s="15">
        <f t="shared" ref="E42:E52" si="2">E41+D42</f>
        <v>20000</v>
      </c>
      <c r="F42" s="15">
        <f t="shared" ref="F42:F51" si="3">F41-D42</f>
        <v>430000</v>
      </c>
    </row>
    <row r="43" spans="1:8" x14ac:dyDescent="0.35">
      <c r="A43" t="s">
        <v>656</v>
      </c>
      <c r="B43">
        <v>3405</v>
      </c>
      <c r="D43" s="15">
        <v>10000</v>
      </c>
      <c r="E43" s="15">
        <f t="shared" si="2"/>
        <v>30000</v>
      </c>
      <c r="F43" s="15">
        <f t="shared" si="3"/>
        <v>420000</v>
      </c>
    </row>
    <row r="44" spans="1:8" x14ac:dyDescent="0.35">
      <c r="A44" t="s">
        <v>657</v>
      </c>
      <c r="B44">
        <v>3592</v>
      </c>
      <c r="D44" s="15">
        <v>10000</v>
      </c>
      <c r="E44" s="15">
        <f t="shared" si="2"/>
        <v>40000</v>
      </c>
      <c r="F44" s="15">
        <f t="shared" si="3"/>
        <v>410000</v>
      </c>
    </row>
    <row r="45" spans="1:8" x14ac:dyDescent="0.35">
      <c r="A45" t="s">
        <v>658</v>
      </c>
      <c r="B45">
        <v>3368</v>
      </c>
      <c r="D45" s="15">
        <v>10000</v>
      </c>
      <c r="E45" s="15">
        <f t="shared" si="2"/>
        <v>50000</v>
      </c>
      <c r="F45" s="15">
        <f t="shared" si="3"/>
        <v>400000</v>
      </c>
    </row>
    <row r="46" spans="1:8" x14ac:dyDescent="0.35">
      <c r="A46" t="s">
        <v>659</v>
      </c>
      <c r="B46">
        <v>3848</v>
      </c>
      <c r="D46" s="15">
        <v>10000</v>
      </c>
      <c r="E46" s="15">
        <f t="shared" si="2"/>
        <v>60000</v>
      </c>
      <c r="F46" s="15">
        <f t="shared" si="3"/>
        <v>390000</v>
      </c>
    </row>
    <row r="47" spans="1:8" x14ac:dyDescent="0.35">
      <c r="A47" t="s">
        <v>660</v>
      </c>
      <c r="B47">
        <v>5139</v>
      </c>
      <c r="D47" s="15">
        <v>10000</v>
      </c>
      <c r="E47" s="15">
        <f t="shared" si="2"/>
        <v>70000</v>
      </c>
      <c r="F47" s="15">
        <f t="shared" si="3"/>
        <v>380000</v>
      </c>
    </row>
    <row r="48" spans="1:8" x14ac:dyDescent="0.35">
      <c r="A48" t="s">
        <v>661</v>
      </c>
      <c r="B48">
        <v>5573</v>
      </c>
      <c r="D48" s="15">
        <v>10000</v>
      </c>
      <c r="E48" s="15">
        <f t="shared" si="2"/>
        <v>80000</v>
      </c>
      <c r="F48" s="15">
        <f t="shared" si="3"/>
        <v>370000</v>
      </c>
    </row>
    <row r="49" spans="1:6" x14ac:dyDescent="0.35">
      <c r="A49" t="s">
        <v>662</v>
      </c>
      <c r="B49">
        <v>5770</v>
      </c>
      <c r="D49" s="15">
        <v>10000</v>
      </c>
      <c r="E49" s="15">
        <f t="shared" si="2"/>
        <v>90000</v>
      </c>
      <c r="F49" s="15">
        <f t="shared" si="3"/>
        <v>360000</v>
      </c>
    </row>
    <row r="50" spans="1:6" x14ac:dyDescent="0.35">
      <c r="A50" t="s">
        <v>663</v>
      </c>
      <c r="B50">
        <v>1326</v>
      </c>
      <c r="D50" s="15">
        <v>10000</v>
      </c>
      <c r="E50" s="15">
        <f t="shared" si="2"/>
        <v>100000</v>
      </c>
      <c r="F50" s="15">
        <f t="shared" si="3"/>
        <v>350000</v>
      </c>
    </row>
    <row r="51" spans="1:6" x14ac:dyDescent="0.35">
      <c r="A51" t="s">
        <v>664</v>
      </c>
      <c r="B51">
        <v>1513</v>
      </c>
      <c r="D51" s="15">
        <v>10000</v>
      </c>
      <c r="E51" s="15">
        <f t="shared" si="2"/>
        <v>110000</v>
      </c>
      <c r="F51" s="15">
        <f t="shared" si="3"/>
        <v>340000</v>
      </c>
    </row>
    <row r="52" spans="1:6" x14ac:dyDescent="0.35">
      <c r="A52" s="18">
        <v>46211</v>
      </c>
      <c r="B52">
        <v>3738</v>
      </c>
      <c r="D52" s="15">
        <v>170000</v>
      </c>
      <c r="E52" s="15">
        <f t="shared" si="2"/>
        <v>280000</v>
      </c>
      <c r="F52" s="15" t="s">
        <v>666</v>
      </c>
    </row>
    <row r="54" spans="1:6" x14ac:dyDescent="0.35">
      <c r="B54" s="39"/>
      <c r="C54" s="39" t="s">
        <v>665</v>
      </c>
      <c r="D54" s="39"/>
    </row>
    <row r="55" spans="1:6" x14ac:dyDescent="0.35">
      <c r="B55" s="39"/>
      <c r="C55" s="40" t="s">
        <v>667</v>
      </c>
      <c r="D55" s="3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7"/>
  <sheetViews>
    <sheetView workbookViewId="0">
      <selection activeCell="I5" sqref="I5"/>
    </sheetView>
  </sheetViews>
  <sheetFormatPr defaultRowHeight="14.5" x14ac:dyDescent="0.35"/>
  <cols>
    <col min="1" max="1" width="10.453125" bestFit="1" customWidth="1"/>
    <col min="3" max="3" width="11.26953125" customWidth="1"/>
    <col min="4" max="4" width="11.453125" customWidth="1"/>
    <col min="6" max="6" width="12.453125" customWidth="1"/>
  </cols>
  <sheetData>
    <row r="1" spans="1:6" ht="18.5" x14ac:dyDescent="0.45">
      <c r="A1" s="1" t="s">
        <v>189</v>
      </c>
      <c r="B1" s="1"/>
      <c r="C1" s="1"/>
      <c r="D1" s="1"/>
      <c r="E1" s="1"/>
      <c r="F1" s="1"/>
    </row>
    <row r="2" spans="1:6" ht="18.5" x14ac:dyDescent="0.45">
      <c r="A2" s="1" t="s">
        <v>190</v>
      </c>
      <c r="C2" s="1"/>
      <c r="D2" s="1"/>
      <c r="E2" s="1"/>
      <c r="F2" s="1"/>
    </row>
    <row r="3" spans="1:6" ht="18.5" x14ac:dyDescent="0.45">
      <c r="A3" s="1" t="s">
        <v>191</v>
      </c>
      <c r="B3" s="1"/>
      <c r="C3" s="1"/>
      <c r="D3" s="1"/>
      <c r="E3" s="1"/>
      <c r="F3" s="1"/>
    </row>
    <row r="4" spans="1:6" ht="18.5" x14ac:dyDescent="0.45">
      <c r="A4" s="1" t="s">
        <v>495</v>
      </c>
      <c r="B4" s="1"/>
      <c r="C4" s="1"/>
      <c r="D4" s="1"/>
      <c r="E4" s="1"/>
      <c r="F4" s="1"/>
    </row>
    <row r="5" spans="1:6" ht="18.5" x14ac:dyDescent="0.45">
      <c r="A5" s="1" t="s">
        <v>192</v>
      </c>
      <c r="B5" s="1"/>
      <c r="C5" s="1"/>
      <c r="D5" s="1"/>
      <c r="E5" s="1"/>
      <c r="F5" s="1"/>
    </row>
    <row r="6" spans="1:6" ht="18.5" x14ac:dyDescent="0.45">
      <c r="A6" s="1" t="s">
        <v>193</v>
      </c>
      <c r="B6" s="1"/>
      <c r="C6" s="1"/>
      <c r="D6" s="1" t="s">
        <v>194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6">
        <v>45848</v>
      </c>
      <c r="B8" s="2">
        <v>13710</v>
      </c>
      <c r="C8" s="2" t="s">
        <v>13</v>
      </c>
      <c r="D8" s="5">
        <v>130000</v>
      </c>
      <c r="E8" s="5">
        <v>130000</v>
      </c>
      <c r="F8" s="5">
        <v>520000</v>
      </c>
    </row>
    <row r="9" spans="1:6" x14ac:dyDescent="0.35">
      <c r="A9" s="6">
        <v>45941</v>
      </c>
      <c r="B9" s="2">
        <v>13322</v>
      </c>
      <c r="C9" s="2" t="s">
        <v>14</v>
      </c>
      <c r="D9" s="5">
        <v>10000</v>
      </c>
      <c r="E9" s="5">
        <f>SUM(E8+D9)</f>
        <v>140000</v>
      </c>
      <c r="F9" s="5">
        <f>F8-D9</f>
        <v>510000</v>
      </c>
    </row>
    <row r="10" spans="1:6" x14ac:dyDescent="0.35">
      <c r="A10" s="6">
        <v>45973</v>
      </c>
      <c r="B10" s="2">
        <v>13164</v>
      </c>
      <c r="C10" s="2" t="s">
        <v>14</v>
      </c>
      <c r="D10" s="5">
        <v>10000</v>
      </c>
      <c r="E10" s="5">
        <f t="shared" ref="E10:E14" si="0">SUM(E9+D10)</f>
        <v>150000</v>
      </c>
      <c r="F10" s="5">
        <f t="shared" ref="F10:F11" si="1">F9-D10</f>
        <v>500000</v>
      </c>
    </row>
    <row r="11" spans="1:6" x14ac:dyDescent="0.35">
      <c r="A11" s="6">
        <v>46114</v>
      </c>
      <c r="B11" s="2">
        <v>12324</v>
      </c>
      <c r="C11" s="2" t="s">
        <v>14</v>
      </c>
      <c r="D11" s="5">
        <v>15000</v>
      </c>
      <c r="E11" s="5">
        <f t="shared" si="0"/>
        <v>165000</v>
      </c>
      <c r="F11" s="5">
        <f t="shared" si="1"/>
        <v>485000</v>
      </c>
    </row>
    <row r="12" spans="1:6" x14ac:dyDescent="0.35">
      <c r="A12" s="2" t="s">
        <v>195</v>
      </c>
      <c r="B12" s="2">
        <v>12895</v>
      </c>
      <c r="C12" s="2" t="s">
        <v>14</v>
      </c>
      <c r="D12" s="5">
        <v>10000</v>
      </c>
      <c r="E12" s="5">
        <f t="shared" si="0"/>
        <v>175000</v>
      </c>
      <c r="F12" s="5">
        <f t="shared" ref="F12:F17" si="2">F11-D12</f>
        <v>475000</v>
      </c>
    </row>
    <row r="13" spans="1:6" x14ac:dyDescent="0.35">
      <c r="A13" s="2" t="s">
        <v>281</v>
      </c>
      <c r="B13" s="2">
        <v>13961</v>
      </c>
      <c r="C13" s="2" t="s">
        <v>14</v>
      </c>
      <c r="D13" s="5">
        <v>10000</v>
      </c>
      <c r="E13" s="5">
        <f t="shared" si="0"/>
        <v>185000</v>
      </c>
      <c r="F13" s="5">
        <f t="shared" si="2"/>
        <v>465000</v>
      </c>
    </row>
    <row r="14" spans="1:6" x14ac:dyDescent="0.35">
      <c r="A14" s="2" t="s">
        <v>491</v>
      </c>
      <c r="B14" s="2">
        <v>13398</v>
      </c>
      <c r="C14" s="2" t="s">
        <v>14</v>
      </c>
      <c r="D14" s="5">
        <v>10000</v>
      </c>
      <c r="E14" s="5">
        <f t="shared" si="0"/>
        <v>195000</v>
      </c>
      <c r="F14" s="5">
        <f t="shared" si="2"/>
        <v>455000</v>
      </c>
    </row>
    <row r="15" spans="1:6" x14ac:dyDescent="0.35">
      <c r="A15" s="2" t="s">
        <v>555</v>
      </c>
      <c r="B15" s="2">
        <v>13586</v>
      </c>
      <c r="C15" s="2" t="s">
        <v>14</v>
      </c>
      <c r="D15" s="5">
        <v>10000</v>
      </c>
      <c r="E15" s="5">
        <f>E14+D15</f>
        <v>205000</v>
      </c>
      <c r="F15" s="5">
        <f t="shared" si="2"/>
        <v>445000</v>
      </c>
    </row>
    <row r="16" spans="1:6" x14ac:dyDescent="0.35">
      <c r="A16" s="20" t="s">
        <v>668</v>
      </c>
      <c r="B16" s="20">
        <v>1544</v>
      </c>
      <c r="C16" s="2" t="s">
        <v>14</v>
      </c>
      <c r="D16" s="5">
        <v>10000</v>
      </c>
      <c r="E16" s="15">
        <f>E15+D16</f>
        <v>215000</v>
      </c>
      <c r="F16" s="15">
        <f t="shared" si="2"/>
        <v>435000</v>
      </c>
    </row>
    <row r="17" spans="1:6" x14ac:dyDescent="0.35">
      <c r="A17" s="18">
        <v>46334</v>
      </c>
      <c r="B17" s="20">
        <v>1731</v>
      </c>
      <c r="C17" s="2" t="s">
        <v>14</v>
      </c>
      <c r="D17" s="5">
        <v>10000</v>
      </c>
      <c r="E17" s="15">
        <f>E16+D17</f>
        <v>225000</v>
      </c>
      <c r="F17" s="15">
        <f t="shared" si="2"/>
        <v>425000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51"/>
  <sheetViews>
    <sheetView topLeftCell="A45" workbookViewId="0">
      <selection activeCell="F52" sqref="F52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1.81640625" customWidth="1"/>
    <col min="6" max="6" width="11" customWidth="1"/>
  </cols>
  <sheetData>
    <row r="1" spans="1:6" ht="18.5" x14ac:dyDescent="0.45">
      <c r="A1" s="1" t="s">
        <v>165</v>
      </c>
      <c r="B1" s="1"/>
      <c r="C1" s="1"/>
      <c r="D1" s="1"/>
      <c r="E1" s="1"/>
      <c r="F1" s="1"/>
    </row>
    <row r="2" spans="1:6" ht="18.5" x14ac:dyDescent="0.45">
      <c r="A2" s="1" t="s">
        <v>166</v>
      </c>
      <c r="C2" s="1"/>
      <c r="D2" s="1"/>
      <c r="E2" s="1"/>
      <c r="F2" s="1"/>
    </row>
    <row r="3" spans="1:6" ht="18.5" x14ac:dyDescent="0.45">
      <c r="A3" s="1" t="s">
        <v>167</v>
      </c>
      <c r="B3" s="1"/>
      <c r="C3" s="1"/>
      <c r="D3" s="1"/>
      <c r="E3" s="1"/>
      <c r="F3" s="1"/>
    </row>
    <row r="4" spans="1:6" ht="18.5" x14ac:dyDescent="0.45">
      <c r="A4" s="1" t="s">
        <v>480</v>
      </c>
      <c r="B4" s="1"/>
      <c r="C4" s="1"/>
      <c r="D4" s="1"/>
      <c r="E4" s="1"/>
      <c r="F4" s="1"/>
    </row>
    <row r="5" spans="1:6" ht="18.5" x14ac:dyDescent="0.45">
      <c r="A5" s="1" t="s">
        <v>168</v>
      </c>
      <c r="B5" s="1"/>
      <c r="C5" s="1"/>
      <c r="D5" s="1"/>
      <c r="E5" s="1"/>
      <c r="F5" s="1"/>
    </row>
    <row r="6" spans="1:6" ht="18.5" x14ac:dyDescent="0.45">
      <c r="A6" s="1" t="s">
        <v>169</v>
      </c>
      <c r="B6" s="1"/>
      <c r="C6" s="1"/>
      <c r="D6" s="1"/>
      <c r="E6" s="1" t="s">
        <v>170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6">
        <v>44604</v>
      </c>
      <c r="B8" s="2">
        <v>1916</v>
      </c>
      <c r="C8" s="2" t="s">
        <v>171</v>
      </c>
      <c r="D8" s="5">
        <v>120000</v>
      </c>
      <c r="E8" s="5">
        <v>120000</v>
      </c>
      <c r="F8" s="5">
        <v>500000</v>
      </c>
    </row>
    <row r="9" spans="1:6" x14ac:dyDescent="0.35">
      <c r="A9" s="6">
        <v>45018</v>
      </c>
      <c r="B9" s="2">
        <v>1917</v>
      </c>
      <c r="C9" s="2" t="s">
        <v>14</v>
      </c>
      <c r="D9" s="5">
        <v>10000</v>
      </c>
      <c r="E9" s="5">
        <f>SUM(E8+D9)</f>
        <v>130000</v>
      </c>
      <c r="F9" s="5">
        <f>F8-D9</f>
        <v>490000</v>
      </c>
    </row>
    <row r="10" spans="1:6" x14ac:dyDescent="0.35">
      <c r="A10" s="19">
        <v>44986</v>
      </c>
      <c r="B10" s="2">
        <v>314</v>
      </c>
      <c r="C10" s="2" t="s">
        <v>14</v>
      </c>
      <c r="D10" s="5">
        <v>10000</v>
      </c>
      <c r="E10" s="5">
        <f t="shared" ref="E10:E47" si="0">SUM(E9+D10)</f>
        <v>140000</v>
      </c>
      <c r="F10" s="5">
        <f t="shared" ref="F10:F47" si="1">F9-D10</f>
        <v>480000</v>
      </c>
    </row>
    <row r="11" spans="1:6" x14ac:dyDescent="0.35">
      <c r="A11" s="19">
        <v>45017</v>
      </c>
      <c r="B11" s="2">
        <v>1290</v>
      </c>
      <c r="C11" s="2" t="s">
        <v>14</v>
      </c>
      <c r="D11" s="5">
        <v>10000</v>
      </c>
      <c r="E11" s="5">
        <f t="shared" si="0"/>
        <v>150000</v>
      </c>
      <c r="F11" s="5">
        <f t="shared" si="1"/>
        <v>470000</v>
      </c>
    </row>
    <row r="12" spans="1:6" x14ac:dyDescent="0.35">
      <c r="A12" s="19">
        <v>45047</v>
      </c>
      <c r="B12" s="2">
        <v>6145</v>
      </c>
      <c r="C12" s="2" t="s">
        <v>14</v>
      </c>
      <c r="D12" s="5">
        <v>10000</v>
      </c>
      <c r="E12" s="5">
        <f t="shared" si="0"/>
        <v>160000</v>
      </c>
      <c r="F12" s="5">
        <f t="shared" si="1"/>
        <v>460000</v>
      </c>
    </row>
    <row r="13" spans="1:6" x14ac:dyDescent="0.35">
      <c r="A13" s="19">
        <v>45108</v>
      </c>
      <c r="B13" s="2">
        <v>2976</v>
      </c>
      <c r="C13" s="2" t="s">
        <v>14</v>
      </c>
      <c r="D13" s="5">
        <v>10000</v>
      </c>
      <c r="E13" s="5">
        <f t="shared" si="0"/>
        <v>170000</v>
      </c>
      <c r="F13" s="5">
        <f t="shared" si="1"/>
        <v>450000</v>
      </c>
    </row>
    <row r="14" spans="1:6" x14ac:dyDescent="0.35">
      <c r="A14" s="19">
        <v>45139</v>
      </c>
      <c r="B14" s="2">
        <v>3121</v>
      </c>
      <c r="C14" s="2" t="s">
        <v>14</v>
      </c>
      <c r="D14" s="5">
        <v>20000</v>
      </c>
      <c r="E14" s="5">
        <f t="shared" si="0"/>
        <v>190000</v>
      </c>
      <c r="F14" s="5">
        <f t="shared" si="1"/>
        <v>430000</v>
      </c>
    </row>
    <row r="15" spans="1:6" x14ac:dyDescent="0.35">
      <c r="A15" s="19">
        <v>45170</v>
      </c>
      <c r="B15" s="2">
        <v>3940</v>
      </c>
      <c r="C15" s="2" t="s">
        <v>14</v>
      </c>
      <c r="D15" s="5">
        <v>10000</v>
      </c>
      <c r="E15" s="5">
        <f t="shared" si="0"/>
        <v>200000</v>
      </c>
      <c r="F15" s="5">
        <f t="shared" si="1"/>
        <v>420000</v>
      </c>
    </row>
    <row r="16" spans="1:6" x14ac:dyDescent="0.35">
      <c r="A16" s="19">
        <v>45200</v>
      </c>
      <c r="B16" s="2">
        <v>4377</v>
      </c>
      <c r="C16" s="2" t="s">
        <v>14</v>
      </c>
      <c r="D16" s="5">
        <v>10000</v>
      </c>
      <c r="E16" s="5">
        <f t="shared" si="0"/>
        <v>210000</v>
      </c>
      <c r="F16" s="5">
        <f t="shared" si="1"/>
        <v>410000</v>
      </c>
    </row>
    <row r="17" spans="1:6" x14ac:dyDescent="0.35">
      <c r="A17" s="19">
        <v>45231</v>
      </c>
      <c r="B17" s="2">
        <v>5034</v>
      </c>
      <c r="C17" s="2" t="s">
        <v>14</v>
      </c>
      <c r="D17" s="5">
        <v>10000</v>
      </c>
      <c r="E17" s="5">
        <f t="shared" si="0"/>
        <v>220000</v>
      </c>
      <c r="F17" s="5">
        <f t="shared" si="1"/>
        <v>400000</v>
      </c>
    </row>
    <row r="18" spans="1:6" x14ac:dyDescent="0.35">
      <c r="A18" s="19">
        <v>45261</v>
      </c>
      <c r="B18" s="2">
        <v>5600</v>
      </c>
      <c r="C18" s="2" t="s">
        <v>14</v>
      </c>
      <c r="D18" s="5">
        <v>10000</v>
      </c>
      <c r="E18" s="5">
        <f t="shared" si="0"/>
        <v>230000</v>
      </c>
      <c r="F18" s="5">
        <f t="shared" si="1"/>
        <v>390000</v>
      </c>
    </row>
    <row r="19" spans="1:6" x14ac:dyDescent="0.35">
      <c r="A19" s="2" t="s">
        <v>52</v>
      </c>
      <c r="B19" s="2">
        <v>6315</v>
      </c>
      <c r="C19" s="2" t="s">
        <v>14</v>
      </c>
      <c r="D19" s="5">
        <v>10000</v>
      </c>
      <c r="E19" s="5">
        <f t="shared" si="0"/>
        <v>240000</v>
      </c>
      <c r="F19" s="5">
        <f t="shared" si="1"/>
        <v>380000</v>
      </c>
    </row>
    <row r="20" spans="1:6" x14ac:dyDescent="0.35">
      <c r="A20" s="2" t="s">
        <v>142</v>
      </c>
      <c r="B20" s="2">
        <v>6677</v>
      </c>
      <c r="C20" s="2" t="s">
        <v>14</v>
      </c>
      <c r="D20" s="5">
        <v>10000</v>
      </c>
      <c r="E20" s="5">
        <f t="shared" si="0"/>
        <v>250000</v>
      </c>
      <c r="F20" s="5">
        <f t="shared" si="1"/>
        <v>370000</v>
      </c>
    </row>
    <row r="21" spans="1:6" x14ac:dyDescent="0.35">
      <c r="A21" s="2" t="s">
        <v>143</v>
      </c>
      <c r="B21" s="2">
        <v>7463</v>
      </c>
      <c r="C21" s="2" t="s">
        <v>14</v>
      </c>
      <c r="D21" s="5">
        <v>10000</v>
      </c>
      <c r="E21" s="5">
        <f t="shared" si="0"/>
        <v>260000</v>
      </c>
      <c r="F21" s="5">
        <f t="shared" si="1"/>
        <v>360000</v>
      </c>
    </row>
    <row r="22" spans="1:6" x14ac:dyDescent="0.35">
      <c r="A22" s="2" t="s">
        <v>55</v>
      </c>
      <c r="B22" s="2">
        <v>7916</v>
      </c>
      <c r="C22" s="2" t="s">
        <v>14</v>
      </c>
      <c r="D22" s="5">
        <v>10000</v>
      </c>
      <c r="E22" s="5">
        <f t="shared" si="0"/>
        <v>270000</v>
      </c>
      <c r="F22" s="5">
        <f t="shared" si="1"/>
        <v>350000</v>
      </c>
    </row>
    <row r="23" spans="1:6" x14ac:dyDescent="0.35">
      <c r="A23" s="2" t="s">
        <v>144</v>
      </c>
      <c r="B23" s="2">
        <v>8588</v>
      </c>
      <c r="C23" s="2" t="s">
        <v>14</v>
      </c>
      <c r="D23" s="5">
        <v>10000</v>
      </c>
      <c r="E23" s="5">
        <f t="shared" si="0"/>
        <v>280000</v>
      </c>
      <c r="F23" s="5">
        <f t="shared" si="1"/>
        <v>340000</v>
      </c>
    </row>
    <row r="24" spans="1:6" x14ac:dyDescent="0.35">
      <c r="A24" s="6">
        <v>45632</v>
      </c>
      <c r="B24" s="2">
        <v>9031</v>
      </c>
      <c r="C24" s="2" t="s">
        <v>14</v>
      </c>
      <c r="D24" s="5">
        <v>10000</v>
      </c>
      <c r="E24" s="5">
        <f t="shared" si="0"/>
        <v>290000</v>
      </c>
      <c r="F24" s="5">
        <f t="shared" si="1"/>
        <v>330000</v>
      </c>
    </row>
    <row r="25" spans="1:6" x14ac:dyDescent="0.35">
      <c r="A25" s="2" t="s">
        <v>145</v>
      </c>
      <c r="B25" s="2">
        <v>9733</v>
      </c>
      <c r="C25" s="2" t="s">
        <v>14</v>
      </c>
      <c r="D25" s="5">
        <v>10000</v>
      </c>
      <c r="E25" s="5">
        <f t="shared" si="0"/>
        <v>300000</v>
      </c>
      <c r="F25" s="5">
        <f t="shared" si="1"/>
        <v>320000</v>
      </c>
    </row>
    <row r="26" spans="1:6" x14ac:dyDescent="0.35">
      <c r="A26" s="6">
        <v>45481</v>
      </c>
      <c r="B26" s="2">
        <v>10416</v>
      </c>
      <c r="C26" s="2" t="s">
        <v>14</v>
      </c>
      <c r="D26" s="5">
        <v>10000</v>
      </c>
      <c r="E26" s="5">
        <f t="shared" si="0"/>
        <v>310000</v>
      </c>
      <c r="F26" s="5">
        <f t="shared" si="1"/>
        <v>310000</v>
      </c>
    </row>
    <row r="27" spans="1:6" x14ac:dyDescent="0.35">
      <c r="A27" s="2" t="s">
        <v>57</v>
      </c>
      <c r="B27" s="2">
        <v>10861</v>
      </c>
      <c r="C27" s="2" t="s">
        <v>14</v>
      </c>
      <c r="D27" s="5">
        <v>10000</v>
      </c>
      <c r="E27" s="5">
        <f t="shared" si="0"/>
        <v>320000</v>
      </c>
      <c r="F27" s="5">
        <f t="shared" si="1"/>
        <v>300000</v>
      </c>
    </row>
    <row r="28" spans="1:6" x14ac:dyDescent="0.35">
      <c r="A28" s="6" t="s">
        <v>147</v>
      </c>
      <c r="B28" s="2">
        <v>10260</v>
      </c>
      <c r="C28" s="2" t="s">
        <v>14</v>
      </c>
      <c r="D28" s="5">
        <v>10000</v>
      </c>
      <c r="E28" s="5">
        <f t="shared" si="0"/>
        <v>330000</v>
      </c>
      <c r="F28" s="5">
        <f t="shared" si="1"/>
        <v>290000</v>
      </c>
    </row>
    <row r="29" spans="1:6" x14ac:dyDescent="0.35">
      <c r="A29" s="2" t="s">
        <v>148</v>
      </c>
      <c r="B29" s="2">
        <v>12168</v>
      </c>
      <c r="C29" s="2" t="s">
        <v>14</v>
      </c>
      <c r="D29" s="5">
        <v>10000</v>
      </c>
      <c r="E29" s="5">
        <f t="shared" si="0"/>
        <v>340000</v>
      </c>
      <c r="F29" s="5">
        <f t="shared" si="1"/>
        <v>280000</v>
      </c>
    </row>
    <row r="30" spans="1:6" x14ac:dyDescent="0.35">
      <c r="A30" s="6" t="s">
        <v>149</v>
      </c>
      <c r="B30" s="2">
        <v>12388</v>
      </c>
      <c r="C30" s="2" t="s">
        <v>14</v>
      </c>
      <c r="D30" s="5">
        <v>10000</v>
      </c>
      <c r="E30" s="5">
        <f t="shared" si="0"/>
        <v>350000</v>
      </c>
      <c r="F30" s="5">
        <f t="shared" si="1"/>
        <v>270000</v>
      </c>
    </row>
    <row r="31" spans="1:6" x14ac:dyDescent="0.35">
      <c r="A31" s="2" t="s">
        <v>172</v>
      </c>
      <c r="B31" s="2">
        <v>9027</v>
      </c>
      <c r="C31" s="2" t="s">
        <v>14</v>
      </c>
      <c r="D31" s="5">
        <v>10000</v>
      </c>
      <c r="E31" s="5">
        <f t="shared" si="0"/>
        <v>360000</v>
      </c>
      <c r="F31" s="5">
        <f t="shared" si="1"/>
        <v>260000</v>
      </c>
    </row>
    <row r="32" spans="1:6" x14ac:dyDescent="0.35">
      <c r="A32" s="6" t="s">
        <v>151</v>
      </c>
      <c r="B32" s="2">
        <v>9432</v>
      </c>
      <c r="C32" s="2" t="s">
        <v>14</v>
      </c>
      <c r="D32" s="5">
        <v>10000</v>
      </c>
      <c r="E32" s="5">
        <f t="shared" si="0"/>
        <v>370000</v>
      </c>
      <c r="F32" s="5">
        <f t="shared" si="1"/>
        <v>250000</v>
      </c>
    </row>
    <row r="33" spans="1:6" x14ac:dyDescent="0.35">
      <c r="A33" s="2" t="s">
        <v>152</v>
      </c>
      <c r="B33" s="2">
        <v>9833</v>
      </c>
      <c r="C33" s="2" t="s">
        <v>14</v>
      </c>
      <c r="D33" s="5">
        <v>10000</v>
      </c>
      <c r="E33" s="5">
        <f t="shared" si="0"/>
        <v>380000</v>
      </c>
      <c r="F33" s="5">
        <f t="shared" si="1"/>
        <v>240000</v>
      </c>
    </row>
    <row r="34" spans="1:6" x14ac:dyDescent="0.35">
      <c r="A34" s="6" t="s">
        <v>153</v>
      </c>
      <c r="B34" s="2">
        <v>10201</v>
      </c>
      <c r="C34" s="2" t="s">
        <v>14</v>
      </c>
      <c r="D34" s="5">
        <v>10000</v>
      </c>
      <c r="E34" s="5">
        <f t="shared" si="0"/>
        <v>390000</v>
      </c>
      <c r="F34" s="5">
        <f t="shared" si="1"/>
        <v>230000</v>
      </c>
    </row>
    <row r="35" spans="1:6" x14ac:dyDescent="0.35">
      <c r="A35" s="2" t="s">
        <v>154</v>
      </c>
      <c r="B35" s="2">
        <v>10656</v>
      </c>
      <c r="C35" s="2" t="s">
        <v>14</v>
      </c>
      <c r="D35" s="5">
        <v>10000</v>
      </c>
      <c r="E35" s="5">
        <f t="shared" si="0"/>
        <v>400000</v>
      </c>
      <c r="F35" s="5">
        <f t="shared" si="1"/>
        <v>220000</v>
      </c>
    </row>
    <row r="36" spans="1:6" x14ac:dyDescent="0.35">
      <c r="A36" s="6" t="s">
        <v>155</v>
      </c>
      <c r="B36" s="2">
        <v>11824</v>
      </c>
      <c r="C36" s="2" t="s">
        <v>14</v>
      </c>
      <c r="D36" s="5">
        <v>10000</v>
      </c>
      <c r="E36" s="5">
        <f t="shared" si="0"/>
        <v>410000</v>
      </c>
      <c r="F36" s="5">
        <f t="shared" si="1"/>
        <v>210000</v>
      </c>
    </row>
    <row r="37" spans="1:6" x14ac:dyDescent="0.35">
      <c r="A37" s="2" t="s">
        <v>156</v>
      </c>
      <c r="B37" s="2">
        <v>3107</v>
      </c>
      <c r="C37" s="2" t="s">
        <v>14</v>
      </c>
      <c r="D37" s="5">
        <v>10000</v>
      </c>
      <c r="E37" s="5">
        <f t="shared" si="0"/>
        <v>420000</v>
      </c>
      <c r="F37" s="5">
        <f t="shared" si="1"/>
        <v>200000</v>
      </c>
    </row>
    <row r="38" spans="1:6" x14ac:dyDescent="0.35">
      <c r="A38" s="6" t="s">
        <v>157</v>
      </c>
      <c r="B38" s="2">
        <v>12996</v>
      </c>
      <c r="C38" s="2" t="s">
        <v>14</v>
      </c>
      <c r="D38" s="5">
        <v>10000</v>
      </c>
      <c r="E38" s="5">
        <f t="shared" si="0"/>
        <v>430000</v>
      </c>
      <c r="F38" s="5">
        <f t="shared" si="1"/>
        <v>190000</v>
      </c>
    </row>
    <row r="39" spans="1:6" x14ac:dyDescent="0.35">
      <c r="A39" s="2" t="s">
        <v>158</v>
      </c>
      <c r="B39" s="2">
        <v>13930</v>
      </c>
      <c r="C39" s="2" t="s">
        <v>14</v>
      </c>
      <c r="D39" s="5">
        <v>10000</v>
      </c>
      <c r="E39" s="5">
        <f t="shared" si="0"/>
        <v>440000</v>
      </c>
      <c r="F39" s="5">
        <f t="shared" si="1"/>
        <v>180000</v>
      </c>
    </row>
    <row r="40" spans="1:6" x14ac:dyDescent="0.35">
      <c r="A40" s="6" t="s">
        <v>162</v>
      </c>
      <c r="B40" s="2">
        <v>13662</v>
      </c>
      <c r="C40" s="2" t="s">
        <v>14</v>
      </c>
      <c r="D40" s="5">
        <v>10000</v>
      </c>
      <c r="E40" s="5">
        <f t="shared" si="0"/>
        <v>450000</v>
      </c>
      <c r="F40" s="5">
        <f t="shared" si="1"/>
        <v>170000</v>
      </c>
    </row>
    <row r="41" spans="1:6" x14ac:dyDescent="0.35">
      <c r="A41" s="2" t="s">
        <v>163</v>
      </c>
      <c r="B41" s="2">
        <v>13039</v>
      </c>
      <c r="C41" s="2" t="s">
        <v>14</v>
      </c>
      <c r="D41" s="5">
        <v>10000</v>
      </c>
      <c r="E41" s="5">
        <f t="shared" si="0"/>
        <v>460000</v>
      </c>
      <c r="F41" s="5">
        <f t="shared" si="1"/>
        <v>160000</v>
      </c>
    </row>
    <row r="42" spans="1:6" x14ac:dyDescent="0.35">
      <c r="A42" s="6" t="s">
        <v>164</v>
      </c>
      <c r="B42" s="2">
        <v>12643</v>
      </c>
      <c r="C42" s="2" t="s">
        <v>14</v>
      </c>
      <c r="D42" s="5">
        <v>10000</v>
      </c>
      <c r="E42" s="5">
        <f t="shared" si="0"/>
        <v>470000</v>
      </c>
      <c r="F42" s="5">
        <f t="shared" si="1"/>
        <v>150000</v>
      </c>
    </row>
    <row r="43" spans="1:6" x14ac:dyDescent="0.35">
      <c r="A43" s="2" t="s">
        <v>159</v>
      </c>
      <c r="B43" s="2">
        <v>12214</v>
      </c>
      <c r="C43" s="2" t="s">
        <v>14</v>
      </c>
      <c r="D43" s="5">
        <v>10000</v>
      </c>
      <c r="E43" s="5">
        <f t="shared" si="0"/>
        <v>480000</v>
      </c>
      <c r="F43" s="5">
        <f t="shared" si="1"/>
        <v>140000</v>
      </c>
    </row>
    <row r="44" spans="1:6" x14ac:dyDescent="0.35">
      <c r="A44" s="6" t="s">
        <v>160</v>
      </c>
      <c r="B44" s="2">
        <v>12533</v>
      </c>
      <c r="C44" s="2" t="s">
        <v>14</v>
      </c>
      <c r="D44" s="5">
        <v>10000</v>
      </c>
      <c r="E44" s="5">
        <f t="shared" si="0"/>
        <v>490000</v>
      </c>
      <c r="F44" s="5">
        <f t="shared" si="1"/>
        <v>130000</v>
      </c>
    </row>
    <row r="45" spans="1:6" x14ac:dyDescent="0.35">
      <c r="A45" s="2" t="s">
        <v>161</v>
      </c>
      <c r="B45" s="2">
        <v>12886</v>
      </c>
      <c r="C45" s="2" t="s">
        <v>14</v>
      </c>
      <c r="D45" s="5">
        <v>10000</v>
      </c>
      <c r="E45" s="5">
        <f t="shared" si="0"/>
        <v>500000</v>
      </c>
      <c r="F45" s="5">
        <f t="shared" si="1"/>
        <v>120000</v>
      </c>
    </row>
    <row r="46" spans="1:6" x14ac:dyDescent="0.35">
      <c r="A46" s="30" t="s">
        <v>481</v>
      </c>
      <c r="B46" s="20">
        <v>13286</v>
      </c>
      <c r="C46" s="2" t="s">
        <v>14</v>
      </c>
      <c r="D46" s="5">
        <v>10000</v>
      </c>
      <c r="E46" s="5">
        <f t="shared" si="0"/>
        <v>510000</v>
      </c>
      <c r="F46" s="5">
        <f t="shared" si="1"/>
        <v>110000</v>
      </c>
    </row>
    <row r="47" spans="1:6" x14ac:dyDescent="0.35">
      <c r="A47" s="20" t="s">
        <v>482</v>
      </c>
      <c r="B47" s="20">
        <v>13379</v>
      </c>
      <c r="C47" s="36" t="s">
        <v>14</v>
      </c>
      <c r="D47" s="37">
        <v>10000</v>
      </c>
      <c r="E47" s="37">
        <f t="shared" si="0"/>
        <v>520000</v>
      </c>
      <c r="F47" s="37">
        <f t="shared" si="1"/>
        <v>100000</v>
      </c>
    </row>
    <row r="48" spans="1:6" x14ac:dyDescent="0.35">
      <c r="A48" s="6" t="s">
        <v>556</v>
      </c>
      <c r="B48" s="2">
        <v>13656</v>
      </c>
      <c r="C48" s="2" t="s">
        <v>14</v>
      </c>
      <c r="D48" s="5">
        <v>10000</v>
      </c>
      <c r="E48" s="5">
        <f>E47+D48</f>
        <v>530000</v>
      </c>
      <c r="F48" s="5">
        <f>F47-D48</f>
        <v>90000</v>
      </c>
    </row>
    <row r="49" spans="1:6" x14ac:dyDescent="0.35">
      <c r="A49" s="2" t="s">
        <v>646</v>
      </c>
      <c r="B49" s="2">
        <v>1517</v>
      </c>
      <c r="C49" s="2" t="s">
        <v>14</v>
      </c>
      <c r="D49" s="5">
        <v>10000</v>
      </c>
      <c r="E49" s="5">
        <f>E48+D49</f>
        <v>540000</v>
      </c>
      <c r="F49" s="5">
        <f>F48-D49</f>
        <v>80000</v>
      </c>
    </row>
    <row r="50" spans="1:6" x14ac:dyDescent="0.35">
      <c r="A50" s="6" t="s">
        <v>652</v>
      </c>
      <c r="B50" s="2">
        <v>1788</v>
      </c>
      <c r="C50" s="2" t="s">
        <v>14</v>
      </c>
      <c r="D50" s="5">
        <v>10000</v>
      </c>
      <c r="E50" s="5">
        <f>E49+D50</f>
        <v>550000</v>
      </c>
      <c r="F50" s="5">
        <f>F49-D50</f>
        <v>70000</v>
      </c>
    </row>
    <row r="51" spans="1:6" x14ac:dyDescent="0.35">
      <c r="A51" s="20" t="s">
        <v>724</v>
      </c>
      <c r="B51" s="20">
        <v>2027</v>
      </c>
      <c r="C51" s="2" t="s">
        <v>14</v>
      </c>
      <c r="D51" s="15">
        <v>10000</v>
      </c>
      <c r="E51" s="15">
        <f>E50+D51</f>
        <v>560000</v>
      </c>
      <c r="F51" s="15">
        <f>F50-D51</f>
        <v>60000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36"/>
  <sheetViews>
    <sheetView workbookViewId="0">
      <selection activeCell="H6" sqref="H6"/>
    </sheetView>
  </sheetViews>
  <sheetFormatPr defaultRowHeight="14.5" x14ac:dyDescent="0.35"/>
  <cols>
    <col min="1" max="1" width="10.7265625" customWidth="1"/>
    <col min="3" max="3" width="13.453125" customWidth="1"/>
    <col min="6" max="6" width="11.36328125" customWidth="1"/>
  </cols>
  <sheetData>
    <row r="1" spans="1:6" ht="18.5" x14ac:dyDescent="0.45">
      <c r="A1" s="1" t="s">
        <v>452</v>
      </c>
      <c r="B1" s="1"/>
      <c r="C1" s="1"/>
      <c r="D1" s="1"/>
      <c r="E1" s="1"/>
      <c r="F1" s="1"/>
    </row>
    <row r="2" spans="1:6" ht="18.5" x14ac:dyDescent="0.45">
      <c r="A2" s="1" t="s">
        <v>453</v>
      </c>
      <c r="C2" s="1"/>
      <c r="D2" s="1"/>
      <c r="E2" s="1"/>
      <c r="F2" s="1"/>
    </row>
    <row r="3" spans="1:6" ht="18.5" x14ac:dyDescent="0.45">
      <c r="A3" s="1" t="s">
        <v>65</v>
      </c>
      <c r="B3" s="1"/>
      <c r="C3" s="1"/>
      <c r="D3" s="1"/>
      <c r="E3" s="1"/>
      <c r="F3" s="1"/>
    </row>
    <row r="4" spans="1:6" ht="18.5" x14ac:dyDescent="0.45">
      <c r="A4" s="1" t="s">
        <v>391</v>
      </c>
      <c r="B4" s="1"/>
      <c r="C4" s="1"/>
      <c r="D4" s="1"/>
      <c r="E4" s="1"/>
      <c r="F4" s="1"/>
    </row>
    <row r="5" spans="1:6" ht="18.5" x14ac:dyDescent="0.45">
      <c r="A5" s="1" t="s">
        <v>66</v>
      </c>
      <c r="B5" s="1"/>
      <c r="C5" s="1"/>
      <c r="D5" s="1"/>
      <c r="E5" s="1"/>
      <c r="F5" s="1"/>
    </row>
    <row r="6" spans="1:6" ht="18.5" x14ac:dyDescent="0.45">
      <c r="A6" s="1" t="s">
        <v>331</v>
      </c>
      <c r="B6" s="1"/>
      <c r="C6" s="1"/>
      <c r="D6" s="1"/>
      <c r="E6" s="1" t="s">
        <v>5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7" t="s">
        <v>67</v>
      </c>
      <c r="B8" s="7">
        <v>26</v>
      </c>
      <c r="C8" s="7" t="s">
        <v>454</v>
      </c>
      <c r="D8" s="13">
        <v>10000</v>
      </c>
      <c r="E8" s="13">
        <v>10000</v>
      </c>
      <c r="F8" s="13">
        <v>440000</v>
      </c>
    </row>
    <row r="9" spans="1:6" x14ac:dyDescent="0.35">
      <c r="A9" s="14">
        <v>44782</v>
      </c>
      <c r="B9" s="7">
        <v>135</v>
      </c>
      <c r="C9" s="7" t="s">
        <v>27</v>
      </c>
      <c r="D9" s="13">
        <v>100000</v>
      </c>
      <c r="E9" s="13">
        <f>E8+D9</f>
        <v>110000</v>
      </c>
      <c r="F9" s="13">
        <f>F8-D9</f>
        <v>340000</v>
      </c>
    </row>
    <row r="10" spans="1:6" x14ac:dyDescent="0.35">
      <c r="A10" s="7" t="s">
        <v>68</v>
      </c>
      <c r="B10" s="7">
        <v>1495</v>
      </c>
      <c r="C10" s="7" t="s">
        <v>26</v>
      </c>
      <c r="D10" s="13">
        <v>10000</v>
      </c>
      <c r="E10" s="13">
        <f t="shared" ref="E10:E36" si="0">E9+D10</f>
        <v>120000</v>
      </c>
      <c r="F10" s="13">
        <f t="shared" ref="F10:F36" si="1">F9-D10</f>
        <v>330000</v>
      </c>
    </row>
    <row r="11" spans="1:6" x14ac:dyDescent="0.35">
      <c r="A11" s="14">
        <v>45019</v>
      </c>
      <c r="B11" s="7">
        <v>1497</v>
      </c>
      <c r="C11" s="7" t="s">
        <v>75</v>
      </c>
      <c r="D11" s="13">
        <v>10000</v>
      </c>
      <c r="E11" s="13">
        <f t="shared" si="0"/>
        <v>130000</v>
      </c>
      <c r="F11" s="13">
        <f t="shared" si="1"/>
        <v>320000</v>
      </c>
    </row>
    <row r="12" spans="1:6" x14ac:dyDescent="0.35">
      <c r="A12" s="7" t="s">
        <v>69</v>
      </c>
      <c r="B12" s="7">
        <v>1211</v>
      </c>
      <c r="C12" s="7" t="s">
        <v>27</v>
      </c>
      <c r="D12" s="13">
        <v>10000</v>
      </c>
      <c r="E12" s="13">
        <f t="shared" si="0"/>
        <v>140000</v>
      </c>
      <c r="F12" s="13">
        <f t="shared" si="1"/>
        <v>310000</v>
      </c>
    </row>
    <row r="13" spans="1:6" x14ac:dyDescent="0.35">
      <c r="A13" s="14" t="s">
        <v>70</v>
      </c>
      <c r="B13" s="7">
        <v>115</v>
      </c>
      <c r="C13" s="7" t="s">
        <v>27</v>
      </c>
      <c r="D13" s="13">
        <v>10000</v>
      </c>
      <c r="E13" s="13">
        <f t="shared" si="0"/>
        <v>150000</v>
      </c>
      <c r="F13" s="13">
        <f t="shared" si="1"/>
        <v>300000</v>
      </c>
    </row>
    <row r="14" spans="1:6" x14ac:dyDescent="0.35">
      <c r="A14" s="7" t="s">
        <v>71</v>
      </c>
      <c r="B14" s="7">
        <v>2757</v>
      </c>
      <c r="C14" s="7" t="s">
        <v>27</v>
      </c>
      <c r="D14" s="13">
        <v>10000</v>
      </c>
      <c r="E14" s="13">
        <f t="shared" si="0"/>
        <v>160000</v>
      </c>
      <c r="F14" s="13">
        <f t="shared" si="1"/>
        <v>290000</v>
      </c>
    </row>
    <row r="15" spans="1:6" x14ac:dyDescent="0.35">
      <c r="A15" s="14" t="s">
        <v>72</v>
      </c>
      <c r="B15" s="7">
        <v>5538</v>
      </c>
      <c r="C15" s="7" t="s">
        <v>27</v>
      </c>
      <c r="D15" s="13">
        <v>10000</v>
      </c>
      <c r="E15" s="13">
        <f t="shared" si="0"/>
        <v>170000</v>
      </c>
      <c r="F15" s="13">
        <f t="shared" si="1"/>
        <v>280000</v>
      </c>
    </row>
    <row r="16" spans="1:6" x14ac:dyDescent="0.35">
      <c r="A16" s="14">
        <v>45505</v>
      </c>
      <c r="B16" s="7">
        <v>5998</v>
      </c>
      <c r="C16" s="7" t="s">
        <v>27</v>
      </c>
      <c r="D16" s="13">
        <v>20000</v>
      </c>
      <c r="E16" s="13">
        <f t="shared" si="0"/>
        <v>190000</v>
      </c>
      <c r="F16" s="13">
        <f t="shared" si="1"/>
        <v>260000</v>
      </c>
    </row>
    <row r="17" spans="1:6" x14ac:dyDescent="0.35">
      <c r="A17" s="14" t="s">
        <v>73</v>
      </c>
      <c r="B17" s="7">
        <v>6696</v>
      </c>
      <c r="C17" s="7" t="s">
        <v>27</v>
      </c>
      <c r="D17" s="13">
        <v>15000</v>
      </c>
      <c r="E17" s="13">
        <f t="shared" si="0"/>
        <v>205000</v>
      </c>
      <c r="F17" s="13">
        <f t="shared" si="1"/>
        <v>245000</v>
      </c>
    </row>
    <row r="18" spans="1:6" x14ac:dyDescent="0.35">
      <c r="A18" s="14" t="s">
        <v>74</v>
      </c>
      <c r="B18" s="7">
        <v>7517</v>
      </c>
      <c r="C18" s="7" t="s">
        <v>27</v>
      </c>
      <c r="D18" s="13">
        <v>15000</v>
      </c>
      <c r="E18" s="13">
        <f t="shared" si="0"/>
        <v>220000</v>
      </c>
      <c r="F18" s="13">
        <f t="shared" si="1"/>
        <v>230000</v>
      </c>
    </row>
    <row r="19" spans="1:6" x14ac:dyDescent="0.35">
      <c r="A19" s="14" t="s">
        <v>100</v>
      </c>
      <c r="B19" s="7">
        <v>8014</v>
      </c>
      <c r="C19" s="7" t="s">
        <v>27</v>
      </c>
      <c r="D19" s="13">
        <v>15000</v>
      </c>
      <c r="E19" s="13">
        <f t="shared" si="0"/>
        <v>235000</v>
      </c>
      <c r="F19" s="13">
        <f t="shared" si="1"/>
        <v>215000</v>
      </c>
    </row>
    <row r="20" spans="1:6" x14ac:dyDescent="0.35">
      <c r="A20" s="14" t="s">
        <v>78</v>
      </c>
      <c r="B20" s="7">
        <v>9221</v>
      </c>
      <c r="C20" s="7" t="s">
        <v>27</v>
      </c>
      <c r="D20" s="13">
        <v>10000</v>
      </c>
      <c r="E20" s="13">
        <f t="shared" si="0"/>
        <v>245000</v>
      </c>
      <c r="F20" s="13">
        <f t="shared" si="1"/>
        <v>205000</v>
      </c>
    </row>
    <row r="21" spans="1:6" x14ac:dyDescent="0.35">
      <c r="A21" s="14">
        <v>45604</v>
      </c>
      <c r="B21" s="7">
        <v>11050</v>
      </c>
      <c r="C21" s="7" t="s">
        <v>27</v>
      </c>
      <c r="D21" s="13">
        <v>35000</v>
      </c>
      <c r="E21" s="13">
        <f t="shared" si="0"/>
        <v>280000</v>
      </c>
      <c r="F21" s="13">
        <f t="shared" si="1"/>
        <v>170000</v>
      </c>
    </row>
    <row r="22" spans="1:6" x14ac:dyDescent="0.35">
      <c r="A22" s="14" t="s">
        <v>455</v>
      </c>
      <c r="B22" s="7">
        <v>10895</v>
      </c>
      <c r="C22" s="7" t="s">
        <v>27</v>
      </c>
      <c r="D22" s="13">
        <v>10000</v>
      </c>
      <c r="E22" s="13">
        <f t="shared" si="0"/>
        <v>290000</v>
      </c>
      <c r="F22" s="13">
        <f t="shared" si="1"/>
        <v>160000</v>
      </c>
    </row>
    <row r="23" spans="1:6" x14ac:dyDescent="0.35">
      <c r="A23" s="14" t="s">
        <v>80</v>
      </c>
      <c r="B23" s="7">
        <v>10335</v>
      </c>
      <c r="C23" s="7" t="s">
        <v>27</v>
      </c>
      <c r="D23" s="13">
        <v>10000</v>
      </c>
      <c r="E23" s="13">
        <f t="shared" si="0"/>
        <v>300000</v>
      </c>
      <c r="F23" s="13">
        <f t="shared" si="1"/>
        <v>150000</v>
      </c>
    </row>
    <row r="24" spans="1:6" x14ac:dyDescent="0.35">
      <c r="A24" s="14" t="s">
        <v>81</v>
      </c>
      <c r="B24" s="7">
        <v>12441</v>
      </c>
      <c r="C24" s="7" t="s">
        <v>27</v>
      </c>
      <c r="D24" s="13">
        <v>10000</v>
      </c>
      <c r="E24" s="13">
        <f t="shared" si="0"/>
        <v>310000</v>
      </c>
      <c r="F24" s="13">
        <f t="shared" si="1"/>
        <v>140000</v>
      </c>
    </row>
    <row r="25" spans="1:6" x14ac:dyDescent="0.35">
      <c r="A25" s="14" t="s">
        <v>82</v>
      </c>
      <c r="B25" s="7">
        <v>12734</v>
      </c>
      <c r="C25" s="7" t="s">
        <v>27</v>
      </c>
      <c r="D25" s="13">
        <v>10000</v>
      </c>
      <c r="E25" s="13">
        <f t="shared" si="0"/>
        <v>320000</v>
      </c>
      <c r="F25" s="13">
        <f t="shared" si="1"/>
        <v>130000</v>
      </c>
    </row>
    <row r="26" spans="1:6" x14ac:dyDescent="0.35">
      <c r="A26" s="14" t="s">
        <v>83</v>
      </c>
      <c r="B26" s="7">
        <v>9140</v>
      </c>
      <c r="C26" s="7" t="s">
        <v>27</v>
      </c>
      <c r="D26" s="13">
        <v>10000</v>
      </c>
      <c r="E26" s="13">
        <f t="shared" si="0"/>
        <v>330000</v>
      </c>
      <c r="F26" s="13">
        <f t="shared" si="1"/>
        <v>120000</v>
      </c>
    </row>
    <row r="27" spans="1:6" x14ac:dyDescent="0.35">
      <c r="A27" s="14" t="s">
        <v>84</v>
      </c>
      <c r="B27" s="7">
        <v>9551</v>
      </c>
      <c r="C27" s="7" t="s">
        <v>27</v>
      </c>
      <c r="D27" s="13">
        <v>10000</v>
      </c>
      <c r="E27" s="13">
        <f t="shared" si="0"/>
        <v>340000</v>
      </c>
      <c r="F27" s="13">
        <f t="shared" si="1"/>
        <v>110000</v>
      </c>
    </row>
    <row r="28" spans="1:6" x14ac:dyDescent="0.35">
      <c r="A28" s="14" t="s">
        <v>85</v>
      </c>
      <c r="B28" s="7">
        <v>9875</v>
      </c>
      <c r="C28" s="7" t="s">
        <v>27</v>
      </c>
      <c r="D28" s="13">
        <v>10000</v>
      </c>
      <c r="E28" s="13">
        <f t="shared" si="0"/>
        <v>350000</v>
      </c>
      <c r="F28" s="13">
        <f t="shared" si="1"/>
        <v>100000</v>
      </c>
    </row>
    <row r="29" spans="1:6" x14ac:dyDescent="0.35">
      <c r="A29" s="14" t="s">
        <v>86</v>
      </c>
      <c r="B29" s="7">
        <v>10606</v>
      </c>
      <c r="C29" s="7" t="s">
        <v>27</v>
      </c>
      <c r="D29" s="13">
        <v>10000</v>
      </c>
      <c r="E29" s="13">
        <f t="shared" si="0"/>
        <v>360000</v>
      </c>
      <c r="F29" s="13">
        <f t="shared" si="1"/>
        <v>90000</v>
      </c>
    </row>
    <row r="30" spans="1:6" x14ac:dyDescent="0.35">
      <c r="A30" s="14">
        <v>45666</v>
      </c>
      <c r="B30" s="7">
        <v>12592</v>
      </c>
      <c r="C30" s="7" t="s">
        <v>27</v>
      </c>
      <c r="D30" s="13">
        <v>15000</v>
      </c>
      <c r="E30" s="13">
        <f t="shared" si="0"/>
        <v>375000</v>
      </c>
      <c r="F30" s="13">
        <f t="shared" si="1"/>
        <v>75000</v>
      </c>
    </row>
    <row r="31" spans="1:6" x14ac:dyDescent="0.35">
      <c r="A31" s="14" t="s">
        <v>87</v>
      </c>
      <c r="B31" s="7">
        <v>13959</v>
      </c>
      <c r="C31" s="7" t="s">
        <v>27</v>
      </c>
      <c r="D31" s="13">
        <v>10000</v>
      </c>
      <c r="E31" s="13">
        <f t="shared" si="0"/>
        <v>385000</v>
      </c>
      <c r="F31" s="13">
        <f t="shared" si="1"/>
        <v>65000</v>
      </c>
    </row>
    <row r="32" spans="1:6" x14ac:dyDescent="0.35">
      <c r="A32" s="14" t="s">
        <v>88</v>
      </c>
      <c r="B32" s="7">
        <v>12611</v>
      </c>
      <c r="C32" s="7" t="s">
        <v>27</v>
      </c>
      <c r="D32" s="13">
        <v>10000</v>
      </c>
      <c r="E32" s="13">
        <f t="shared" si="0"/>
        <v>395000</v>
      </c>
      <c r="F32" s="13">
        <f t="shared" si="1"/>
        <v>55000</v>
      </c>
    </row>
    <row r="33" spans="1:6" x14ac:dyDescent="0.35">
      <c r="A33" s="14" t="s">
        <v>89</v>
      </c>
      <c r="B33" s="7">
        <v>12294</v>
      </c>
      <c r="C33" s="7" t="s">
        <v>27</v>
      </c>
      <c r="D33" s="13">
        <v>5000</v>
      </c>
      <c r="E33" s="13">
        <f t="shared" si="0"/>
        <v>400000</v>
      </c>
      <c r="F33" s="13">
        <f t="shared" si="1"/>
        <v>50000</v>
      </c>
    </row>
    <row r="34" spans="1:6" x14ac:dyDescent="0.35">
      <c r="A34" s="14" t="s">
        <v>90</v>
      </c>
      <c r="B34" s="7">
        <v>12585</v>
      </c>
      <c r="C34" s="7" t="s">
        <v>27</v>
      </c>
      <c r="D34" s="13">
        <v>5000</v>
      </c>
      <c r="E34" s="13">
        <f t="shared" si="0"/>
        <v>405000</v>
      </c>
      <c r="F34" s="13">
        <f t="shared" si="1"/>
        <v>45000</v>
      </c>
    </row>
    <row r="35" spans="1:6" x14ac:dyDescent="0.35">
      <c r="A35" s="14" t="s">
        <v>90</v>
      </c>
      <c r="B35" s="7">
        <v>12524</v>
      </c>
      <c r="C35" s="7" t="s">
        <v>27</v>
      </c>
      <c r="D35" s="13">
        <v>10000</v>
      </c>
      <c r="E35" s="13">
        <f t="shared" si="0"/>
        <v>415000</v>
      </c>
      <c r="F35" s="13">
        <f t="shared" si="1"/>
        <v>35000</v>
      </c>
    </row>
    <row r="36" spans="1:6" x14ac:dyDescent="0.35">
      <c r="A36" s="14" t="s">
        <v>456</v>
      </c>
      <c r="B36" s="7">
        <v>13355</v>
      </c>
      <c r="C36" s="7" t="s">
        <v>27</v>
      </c>
      <c r="D36" s="13">
        <v>20000</v>
      </c>
      <c r="E36" s="13">
        <f t="shared" si="0"/>
        <v>435000</v>
      </c>
      <c r="F36" s="13">
        <f t="shared" si="1"/>
        <v>15000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51"/>
  <sheetViews>
    <sheetView topLeftCell="A41" workbookViewId="0">
      <selection activeCell="C46" sqref="C46"/>
    </sheetView>
  </sheetViews>
  <sheetFormatPr defaultRowHeight="14.5" x14ac:dyDescent="0.35"/>
  <cols>
    <col min="1" max="1" width="9.90625" customWidth="1"/>
    <col min="3" max="3" width="15.26953125" customWidth="1"/>
    <col min="6" max="6" width="10.81640625" customWidth="1"/>
  </cols>
  <sheetData>
    <row r="1" spans="1:6" ht="18.5" x14ac:dyDescent="0.45">
      <c r="A1" s="1" t="s">
        <v>128</v>
      </c>
      <c r="B1" s="1"/>
      <c r="C1" s="1"/>
      <c r="D1" s="1"/>
      <c r="E1" s="1"/>
      <c r="F1" s="1"/>
    </row>
    <row r="2" spans="1:6" ht="18.5" x14ac:dyDescent="0.45">
      <c r="A2" s="1" t="s">
        <v>129</v>
      </c>
      <c r="C2" s="1"/>
      <c r="D2" s="1"/>
      <c r="E2" s="1"/>
      <c r="F2" s="1"/>
    </row>
    <row r="3" spans="1:6" ht="18.5" x14ac:dyDescent="0.45">
      <c r="A3" s="1" t="s">
        <v>130</v>
      </c>
      <c r="B3" s="1"/>
      <c r="C3" s="1"/>
      <c r="D3" s="1"/>
      <c r="E3" s="1"/>
      <c r="F3" s="1"/>
    </row>
    <row r="4" spans="1:6" ht="18.5" x14ac:dyDescent="0.45">
      <c r="A4" s="1" t="s">
        <v>483</v>
      </c>
      <c r="B4" s="1"/>
      <c r="C4" s="1"/>
      <c r="D4" s="1"/>
      <c r="E4" s="1"/>
      <c r="F4" s="1"/>
    </row>
    <row r="5" spans="1:6" ht="18.5" x14ac:dyDescent="0.45">
      <c r="A5" s="1" t="s">
        <v>131</v>
      </c>
      <c r="B5" s="1"/>
      <c r="C5" s="1"/>
      <c r="D5" s="1"/>
      <c r="E5" s="1"/>
      <c r="F5" s="1"/>
    </row>
    <row r="6" spans="1:6" ht="18.5" x14ac:dyDescent="0.45">
      <c r="A6" s="1" t="s">
        <v>132</v>
      </c>
      <c r="B6" s="1"/>
      <c r="C6" s="1"/>
      <c r="D6" s="1"/>
      <c r="E6" s="1" t="s">
        <v>46</v>
      </c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2" t="s">
        <v>133</v>
      </c>
      <c r="B8" s="2">
        <v>1914</v>
      </c>
      <c r="C8" s="2" t="s">
        <v>141</v>
      </c>
      <c r="D8" s="5">
        <v>120000</v>
      </c>
      <c r="E8" s="5">
        <v>120000</v>
      </c>
      <c r="F8" s="5">
        <v>480000</v>
      </c>
    </row>
    <row r="9" spans="1:6" x14ac:dyDescent="0.35">
      <c r="A9" s="2" t="s">
        <v>134</v>
      </c>
      <c r="B9" s="2">
        <v>1915</v>
      </c>
      <c r="C9" s="2" t="s">
        <v>27</v>
      </c>
      <c r="D9" s="5">
        <v>10000</v>
      </c>
      <c r="E9" s="5">
        <f>SUM(E8+D9)</f>
        <v>130000</v>
      </c>
      <c r="F9" s="5">
        <f>F8-D9</f>
        <v>470000</v>
      </c>
    </row>
    <row r="10" spans="1:6" x14ac:dyDescent="0.35">
      <c r="A10" s="2" t="s">
        <v>135</v>
      </c>
      <c r="B10" s="2">
        <v>315</v>
      </c>
      <c r="C10" s="2" t="s">
        <v>27</v>
      </c>
      <c r="D10" s="5">
        <v>10000</v>
      </c>
      <c r="E10" s="5">
        <f t="shared" ref="E10:E47" si="0">SUM(E9+D10)</f>
        <v>140000</v>
      </c>
      <c r="F10" s="5">
        <f t="shared" ref="F10:F47" si="1">F9-D10</f>
        <v>460000</v>
      </c>
    </row>
    <row r="11" spans="1:6" x14ac:dyDescent="0.35">
      <c r="A11" s="2" t="s">
        <v>136</v>
      </c>
      <c r="B11" s="2">
        <v>1289</v>
      </c>
      <c r="C11" s="2" t="s">
        <v>27</v>
      </c>
      <c r="D11" s="5">
        <v>10000</v>
      </c>
      <c r="E11" s="5">
        <f t="shared" si="0"/>
        <v>150000</v>
      </c>
      <c r="F11" s="5">
        <f t="shared" si="1"/>
        <v>450000</v>
      </c>
    </row>
    <row r="12" spans="1:6" x14ac:dyDescent="0.35">
      <c r="A12" s="2" t="s">
        <v>137</v>
      </c>
      <c r="B12" s="2">
        <v>146</v>
      </c>
      <c r="C12" s="2" t="s">
        <v>27</v>
      </c>
      <c r="D12" s="5">
        <v>10000</v>
      </c>
      <c r="E12" s="5">
        <f t="shared" si="0"/>
        <v>160000</v>
      </c>
      <c r="F12" s="5">
        <f t="shared" si="1"/>
        <v>440000</v>
      </c>
    </row>
    <row r="13" spans="1:6" x14ac:dyDescent="0.35">
      <c r="A13" s="2" t="s">
        <v>138</v>
      </c>
      <c r="B13" s="2">
        <v>2975</v>
      </c>
      <c r="C13" s="2" t="s">
        <v>27</v>
      </c>
      <c r="D13" s="5">
        <v>10000</v>
      </c>
      <c r="E13" s="5">
        <f t="shared" si="0"/>
        <v>170000</v>
      </c>
      <c r="F13" s="5">
        <f t="shared" si="1"/>
        <v>430000</v>
      </c>
    </row>
    <row r="14" spans="1:6" x14ac:dyDescent="0.35">
      <c r="A14" s="6" t="s">
        <v>139</v>
      </c>
      <c r="B14" s="2">
        <v>3120</v>
      </c>
      <c r="C14" s="2" t="s">
        <v>27</v>
      </c>
      <c r="D14" s="5">
        <v>20000</v>
      </c>
      <c r="E14" s="5">
        <f t="shared" si="0"/>
        <v>190000</v>
      </c>
      <c r="F14" s="5">
        <f t="shared" si="1"/>
        <v>410000</v>
      </c>
    </row>
    <row r="15" spans="1:6" x14ac:dyDescent="0.35">
      <c r="A15" s="2" t="s">
        <v>140</v>
      </c>
      <c r="B15" s="2">
        <v>3941</v>
      </c>
      <c r="C15" s="2" t="s">
        <v>27</v>
      </c>
      <c r="D15" s="5">
        <v>10000</v>
      </c>
      <c r="E15" s="5">
        <f t="shared" si="0"/>
        <v>200000</v>
      </c>
      <c r="F15" s="5">
        <f t="shared" si="1"/>
        <v>400000</v>
      </c>
    </row>
    <row r="16" spans="1:6" x14ac:dyDescent="0.35">
      <c r="A16" s="2" t="s">
        <v>115</v>
      </c>
      <c r="B16" s="2">
        <v>4378</v>
      </c>
      <c r="C16" s="2" t="s">
        <v>27</v>
      </c>
      <c r="D16" s="5">
        <v>10000</v>
      </c>
      <c r="E16" s="5">
        <f t="shared" si="0"/>
        <v>210000</v>
      </c>
      <c r="F16" s="5">
        <f t="shared" si="1"/>
        <v>390000</v>
      </c>
    </row>
    <row r="17" spans="1:6" x14ac:dyDescent="0.35">
      <c r="A17" s="2" t="s">
        <v>97</v>
      </c>
      <c r="B17" s="2">
        <v>5035</v>
      </c>
      <c r="C17" s="2" t="s">
        <v>27</v>
      </c>
      <c r="D17" s="5">
        <v>10000</v>
      </c>
      <c r="E17" s="5">
        <f t="shared" si="0"/>
        <v>220000</v>
      </c>
      <c r="F17" s="5">
        <f t="shared" si="1"/>
        <v>380000</v>
      </c>
    </row>
    <row r="18" spans="1:6" x14ac:dyDescent="0.35">
      <c r="A18" s="2" t="s">
        <v>51</v>
      </c>
      <c r="B18" s="2">
        <v>5599</v>
      </c>
      <c r="C18" s="2" t="s">
        <v>27</v>
      </c>
      <c r="D18" s="5">
        <v>10000</v>
      </c>
      <c r="E18" s="5">
        <f t="shared" si="0"/>
        <v>230000</v>
      </c>
      <c r="F18" s="5">
        <f t="shared" si="1"/>
        <v>370000</v>
      </c>
    </row>
    <row r="19" spans="1:6" x14ac:dyDescent="0.35">
      <c r="A19" s="2" t="s">
        <v>52</v>
      </c>
      <c r="B19" s="2">
        <v>6314</v>
      </c>
      <c r="C19" s="2" t="s">
        <v>27</v>
      </c>
      <c r="D19" s="5">
        <v>10000</v>
      </c>
      <c r="E19" s="5">
        <f t="shared" si="0"/>
        <v>240000</v>
      </c>
      <c r="F19" s="5">
        <f t="shared" si="1"/>
        <v>360000</v>
      </c>
    </row>
    <row r="20" spans="1:6" x14ac:dyDescent="0.35">
      <c r="A20" s="2" t="s">
        <v>142</v>
      </c>
      <c r="B20" s="2">
        <v>6678</v>
      </c>
      <c r="C20" s="2" t="s">
        <v>27</v>
      </c>
      <c r="D20" s="5">
        <v>10000</v>
      </c>
      <c r="E20" s="5">
        <f t="shared" si="0"/>
        <v>250000</v>
      </c>
      <c r="F20" s="5">
        <f t="shared" si="1"/>
        <v>350000</v>
      </c>
    </row>
    <row r="21" spans="1:6" x14ac:dyDescent="0.35">
      <c r="A21" s="2" t="s">
        <v>143</v>
      </c>
      <c r="B21" s="2">
        <v>7464</v>
      </c>
      <c r="C21" s="2" t="s">
        <v>27</v>
      </c>
      <c r="D21" s="5">
        <v>10000</v>
      </c>
      <c r="E21" s="5">
        <f t="shared" si="0"/>
        <v>260000</v>
      </c>
      <c r="F21" s="5">
        <f t="shared" si="1"/>
        <v>340000</v>
      </c>
    </row>
    <row r="22" spans="1:6" x14ac:dyDescent="0.35">
      <c r="A22" s="2" t="s">
        <v>55</v>
      </c>
      <c r="B22" s="2">
        <v>7915</v>
      </c>
      <c r="C22" s="2" t="s">
        <v>27</v>
      </c>
      <c r="D22" s="5">
        <v>10000</v>
      </c>
      <c r="E22" s="5">
        <f t="shared" si="0"/>
        <v>270000</v>
      </c>
      <c r="F22" s="5">
        <f t="shared" si="1"/>
        <v>330000</v>
      </c>
    </row>
    <row r="23" spans="1:6" x14ac:dyDescent="0.35">
      <c r="A23" s="2" t="s">
        <v>144</v>
      </c>
      <c r="B23" s="2">
        <v>8589</v>
      </c>
      <c r="C23" s="2" t="s">
        <v>27</v>
      </c>
      <c r="D23" s="5">
        <v>10000</v>
      </c>
      <c r="E23" s="5">
        <f t="shared" si="0"/>
        <v>280000</v>
      </c>
      <c r="F23" s="5">
        <f t="shared" si="1"/>
        <v>320000</v>
      </c>
    </row>
    <row r="24" spans="1:6" x14ac:dyDescent="0.35">
      <c r="A24" s="6">
        <v>45632</v>
      </c>
      <c r="B24" s="2">
        <v>9030</v>
      </c>
      <c r="C24" s="2" t="s">
        <v>27</v>
      </c>
      <c r="D24" s="5">
        <v>10000</v>
      </c>
      <c r="E24" s="5">
        <f t="shared" si="0"/>
        <v>290000</v>
      </c>
      <c r="F24" s="5">
        <f t="shared" si="1"/>
        <v>310000</v>
      </c>
    </row>
    <row r="25" spans="1:6" x14ac:dyDescent="0.35">
      <c r="A25" s="2" t="s">
        <v>145</v>
      </c>
      <c r="B25" s="2">
        <v>9734</v>
      </c>
      <c r="C25" s="2" t="s">
        <v>27</v>
      </c>
      <c r="D25" s="5">
        <v>10000</v>
      </c>
      <c r="E25" s="5">
        <f t="shared" si="0"/>
        <v>300000</v>
      </c>
      <c r="F25" s="5">
        <f t="shared" si="1"/>
        <v>300000</v>
      </c>
    </row>
    <row r="26" spans="1:6" x14ac:dyDescent="0.35">
      <c r="A26" s="6" t="s">
        <v>146</v>
      </c>
      <c r="B26" s="2">
        <v>10417</v>
      </c>
      <c r="C26" s="2" t="s">
        <v>27</v>
      </c>
      <c r="D26" s="5">
        <v>10000</v>
      </c>
      <c r="E26" s="5">
        <f t="shared" si="0"/>
        <v>310000</v>
      </c>
      <c r="F26" s="5">
        <f t="shared" si="1"/>
        <v>290000</v>
      </c>
    </row>
    <row r="27" spans="1:6" x14ac:dyDescent="0.35">
      <c r="A27" s="2" t="s">
        <v>57</v>
      </c>
      <c r="B27" s="2">
        <v>10860</v>
      </c>
      <c r="C27" s="2" t="s">
        <v>27</v>
      </c>
      <c r="D27" s="5">
        <v>10000</v>
      </c>
      <c r="E27" s="5">
        <f t="shared" si="0"/>
        <v>320000</v>
      </c>
      <c r="F27" s="5">
        <f t="shared" si="1"/>
        <v>280000</v>
      </c>
    </row>
    <row r="28" spans="1:6" x14ac:dyDescent="0.35">
      <c r="A28" s="6" t="s">
        <v>147</v>
      </c>
      <c r="B28" s="2">
        <v>10261</v>
      </c>
      <c r="C28" s="2" t="s">
        <v>27</v>
      </c>
      <c r="D28" s="5">
        <v>10000</v>
      </c>
      <c r="E28" s="5">
        <f t="shared" si="0"/>
        <v>330000</v>
      </c>
      <c r="F28" s="5">
        <f t="shared" si="1"/>
        <v>270000</v>
      </c>
    </row>
    <row r="29" spans="1:6" x14ac:dyDescent="0.35">
      <c r="A29" s="2" t="s">
        <v>148</v>
      </c>
      <c r="B29" s="2">
        <v>12169</v>
      </c>
      <c r="C29" s="2" t="s">
        <v>27</v>
      </c>
      <c r="D29" s="5">
        <v>10000</v>
      </c>
      <c r="E29" s="5">
        <f t="shared" si="0"/>
        <v>340000</v>
      </c>
      <c r="F29" s="5">
        <f t="shared" si="1"/>
        <v>260000</v>
      </c>
    </row>
    <row r="30" spans="1:6" x14ac:dyDescent="0.35">
      <c r="A30" s="6" t="s">
        <v>149</v>
      </c>
      <c r="B30" s="2">
        <v>12389</v>
      </c>
      <c r="C30" s="2" t="s">
        <v>27</v>
      </c>
      <c r="D30" s="5">
        <v>10000</v>
      </c>
      <c r="E30" s="5">
        <f t="shared" si="0"/>
        <v>350000</v>
      </c>
      <c r="F30" s="5">
        <f t="shared" si="1"/>
        <v>250000</v>
      </c>
    </row>
    <row r="31" spans="1:6" x14ac:dyDescent="0.35">
      <c r="A31" s="2" t="s">
        <v>150</v>
      </c>
      <c r="B31" s="2">
        <v>9026</v>
      </c>
      <c r="C31" s="2" t="s">
        <v>27</v>
      </c>
      <c r="D31" s="5">
        <v>10000</v>
      </c>
      <c r="E31" s="5">
        <f t="shared" si="0"/>
        <v>360000</v>
      </c>
      <c r="F31" s="5">
        <f t="shared" si="1"/>
        <v>240000</v>
      </c>
    </row>
    <row r="32" spans="1:6" x14ac:dyDescent="0.35">
      <c r="A32" s="6" t="s">
        <v>151</v>
      </c>
      <c r="B32" s="2">
        <v>9433</v>
      </c>
      <c r="C32" s="2" t="s">
        <v>27</v>
      </c>
      <c r="D32" s="5">
        <v>10000</v>
      </c>
      <c r="E32" s="5">
        <f t="shared" si="0"/>
        <v>370000</v>
      </c>
      <c r="F32" s="5">
        <f t="shared" si="1"/>
        <v>230000</v>
      </c>
    </row>
    <row r="33" spans="1:6" x14ac:dyDescent="0.35">
      <c r="A33" s="2" t="s">
        <v>152</v>
      </c>
      <c r="B33" s="2">
        <v>9832</v>
      </c>
      <c r="C33" s="2" t="s">
        <v>27</v>
      </c>
      <c r="D33" s="5">
        <v>10000</v>
      </c>
      <c r="E33" s="5">
        <f t="shared" si="0"/>
        <v>380000</v>
      </c>
      <c r="F33" s="5">
        <f t="shared" si="1"/>
        <v>220000</v>
      </c>
    </row>
    <row r="34" spans="1:6" x14ac:dyDescent="0.35">
      <c r="A34" s="6" t="s">
        <v>153</v>
      </c>
      <c r="B34" s="2">
        <v>10202</v>
      </c>
      <c r="C34" s="2" t="s">
        <v>27</v>
      </c>
      <c r="D34" s="5">
        <v>10000</v>
      </c>
      <c r="E34" s="5">
        <f t="shared" si="0"/>
        <v>390000</v>
      </c>
      <c r="F34" s="5">
        <f t="shared" si="1"/>
        <v>210000</v>
      </c>
    </row>
    <row r="35" spans="1:6" x14ac:dyDescent="0.35">
      <c r="A35" s="2" t="s">
        <v>154</v>
      </c>
      <c r="B35" s="2">
        <v>10655</v>
      </c>
      <c r="C35" s="2" t="s">
        <v>27</v>
      </c>
      <c r="D35" s="5">
        <v>10000</v>
      </c>
      <c r="E35" s="5">
        <f t="shared" si="0"/>
        <v>400000</v>
      </c>
      <c r="F35" s="5">
        <f t="shared" si="1"/>
        <v>200000</v>
      </c>
    </row>
    <row r="36" spans="1:6" x14ac:dyDescent="0.35">
      <c r="A36" s="6" t="s">
        <v>155</v>
      </c>
      <c r="B36" s="2">
        <v>11825</v>
      </c>
      <c r="C36" s="2" t="s">
        <v>27</v>
      </c>
      <c r="D36" s="5">
        <v>10000</v>
      </c>
      <c r="E36" s="5">
        <f t="shared" si="0"/>
        <v>410000</v>
      </c>
      <c r="F36" s="5">
        <f t="shared" si="1"/>
        <v>190000</v>
      </c>
    </row>
    <row r="37" spans="1:6" x14ac:dyDescent="0.35">
      <c r="A37" s="2" t="s">
        <v>156</v>
      </c>
      <c r="B37" s="2">
        <v>3106</v>
      </c>
      <c r="C37" s="2" t="s">
        <v>27</v>
      </c>
      <c r="D37" s="5">
        <v>10000</v>
      </c>
      <c r="E37" s="5">
        <f t="shared" si="0"/>
        <v>420000</v>
      </c>
      <c r="F37" s="5">
        <f t="shared" si="1"/>
        <v>180000</v>
      </c>
    </row>
    <row r="38" spans="1:6" x14ac:dyDescent="0.35">
      <c r="A38" s="6" t="s">
        <v>157</v>
      </c>
      <c r="B38" s="2">
        <v>12995</v>
      </c>
      <c r="C38" s="2" t="s">
        <v>27</v>
      </c>
      <c r="D38" s="5">
        <v>10000</v>
      </c>
      <c r="E38" s="5">
        <f t="shared" si="0"/>
        <v>430000</v>
      </c>
      <c r="F38" s="5">
        <f t="shared" si="1"/>
        <v>170000</v>
      </c>
    </row>
    <row r="39" spans="1:6" x14ac:dyDescent="0.35">
      <c r="A39" s="2" t="s">
        <v>158</v>
      </c>
      <c r="B39" s="2">
        <v>13931</v>
      </c>
      <c r="C39" s="2" t="s">
        <v>27</v>
      </c>
      <c r="D39" s="5">
        <v>10000</v>
      </c>
      <c r="E39" s="5">
        <f t="shared" si="0"/>
        <v>440000</v>
      </c>
      <c r="F39" s="5">
        <f t="shared" si="1"/>
        <v>160000</v>
      </c>
    </row>
    <row r="40" spans="1:6" x14ac:dyDescent="0.35">
      <c r="A40" s="6" t="s">
        <v>162</v>
      </c>
      <c r="B40" s="2">
        <v>13663</v>
      </c>
      <c r="C40" s="2" t="s">
        <v>27</v>
      </c>
      <c r="D40" s="5">
        <v>10000</v>
      </c>
      <c r="E40" s="5">
        <f t="shared" si="0"/>
        <v>450000</v>
      </c>
      <c r="F40" s="5">
        <f t="shared" si="1"/>
        <v>150000</v>
      </c>
    </row>
    <row r="41" spans="1:6" x14ac:dyDescent="0.35">
      <c r="A41" s="2" t="s">
        <v>163</v>
      </c>
      <c r="B41" s="2">
        <v>13038</v>
      </c>
      <c r="C41" s="2" t="s">
        <v>27</v>
      </c>
      <c r="D41" s="5">
        <v>10000</v>
      </c>
      <c r="E41" s="5">
        <f t="shared" si="0"/>
        <v>460000</v>
      </c>
      <c r="F41" s="5">
        <f t="shared" si="1"/>
        <v>140000</v>
      </c>
    </row>
    <row r="42" spans="1:6" x14ac:dyDescent="0.35">
      <c r="A42" s="6" t="s">
        <v>164</v>
      </c>
      <c r="B42" s="2">
        <v>12642</v>
      </c>
      <c r="C42" s="2" t="s">
        <v>27</v>
      </c>
      <c r="D42" s="5">
        <v>10000</v>
      </c>
      <c r="E42" s="5">
        <f t="shared" si="0"/>
        <v>470000</v>
      </c>
      <c r="F42" s="5">
        <f t="shared" si="1"/>
        <v>130000</v>
      </c>
    </row>
    <row r="43" spans="1:6" x14ac:dyDescent="0.35">
      <c r="A43" s="6" t="s">
        <v>159</v>
      </c>
      <c r="B43" s="2">
        <v>12215</v>
      </c>
      <c r="C43" s="2" t="s">
        <v>27</v>
      </c>
      <c r="D43" s="5">
        <v>10000</v>
      </c>
      <c r="E43" s="5">
        <f t="shared" si="0"/>
        <v>480000</v>
      </c>
      <c r="F43" s="5">
        <f t="shared" si="1"/>
        <v>120000</v>
      </c>
    </row>
    <row r="44" spans="1:6" x14ac:dyDescent="0.35">
      <c r="A44" s="2" t="s">
        <v>160</v>
      </c>
      <c r="B44" s="2">
        <v>12534</v>
      </c>
      <c r="C44" s="2" t="s">
        <v>27</v>
      </c>
      <c r="D44" s="5">
        <v>10000</v>
      </c>
      <c r="E44" s="5">
        <f t="shared" si="0"/>
        <v>490000</v>
      </c>
      <c r="F44" s="5">
        <f t="shared" si="1"/>
        <v>110000</v>
      </c>
    </row>
    <row r="45" spans="1:6" x14ac:dyDescent="0.35">
      <c r="A45" s="6" t="s">
        <v>161</v>
      </c>
      <c r="B45" s="2">
        <v>12885</v>
      </c>
      <c r="C45" s="2" t="s">
        <v>27</v>
      </c>
      <c r="D45" s="5">
        <v>10000</v>
      </c>
      <c r="E45" s="5">
        <f t="shared" si="0"/>
        <v>500000</v>
      </c>
      <c r="F45" s="5">
        <f t="shared" si="1"/>
        <v>100000</v>
      </c>
    </row>
    <row r="46" spans="1:6" x14ac:dyDescent="0.35">
      <c r="A46" s="6" t="s">
        <v>481</v>
      </c>
      <c r="B46" s="2">
        <v>13287</v>
      </c>
      <c r="C46" s="2" t="s">
        <v>27</v>
      </c>
      <c r="D46" s="5">
        <v>10000</v>
      </c>
      <c r="E46" s="5">
        <f t="shared" si="0"/>
        <v>510000</v>
      </c>
      <c r="F46" s="5">
        <f t="shared" si="1"/>
        <v>90000</v>
      </c>
    </row>
    <row r="47" spans="1:6" x14ac:dyDescent="0.35">
      <c r="A47" s="6" t="s">
        <v>482</v>
      </c>
      <c r="B47" s="2">
        <v>13380</v>
      </c>
      <c r="C47" s="2" t="s">
        <v>27</v>
      </c>
      <c r="D47" s="5">
        <v>10000</v>
      </c>
      <c r="E47" s="5">
        <f t="shared" si="0"/>
        <v>520000</v>
      </c>
      <c r="F47" s="5">
        <f t="shared" si="1"/>
        <v>80000</v>
      </c>
    </row>
    <row r="48" spans="1:6" x14ac:dyDescent="0.35">
      <c r="A48" s="6" t="s">
        <v>556</v>
      </c>
      <c r="B48" s="2">
        <v>13657</v>
      </c>
      <c r="C48" s="2" t="s">
        <v>27</v>
      </c>
      <c r="D48" s="5">
        <v>10000</v>
      </c>
      <c r="E48" s="5">
        <f>E47+D48</f>
        <v>530000</v>
      </c>
      <c r="F48" s="5">
        <f>F47-D48</f>
        <v>70000</v>
      </c>
    </row>
    <row r="49" spans="1:6" x14ac:dyDescent="0.35">
      <c r="A49" s="6" t="s">
        <v>653</v>
      </c>
      <c r="B49" s="2">
        <v>1516</v>
      </c>
      <c r="C49" s="2" t="s">
        <v>27</v>
      </c>
      <c r="D49" s="5">
        <v>10000</v>
      </c>
      <c r="E49" s="5">
        <f>E48+D49</f>
        <v>540000</v>
      </c>
      <c r="F49" s="5">
        <f>F48-D49</f>
        <v>60000</v>
      </c>
    </row>
    <row r="50" spans="1:6" x14ac:dyDescent="0.35">
      <c r="A50" s="6" t="s">
        <v>652</v>
      </c>
      <c r="B50" s="2">
        <v>1789</v>
      </c>
      <c r="C50" s="2" t="s">
        <v>27</v>
      </c>
      <c r="D50" s="5">
        <v>10000</v>
      </c>
      <c r="E50" s="5">
        <f>E49+D50</f>
        <v>550000</v>
      </c>
      <c r="F50" s="5">
        <f>F49-D50</f>
        <v>50000</v>
      </c>
    </row>
    <row r="51" spans="1:6" x14ac:dyDescent="0.35">
      <c r="A51" s="30" t="s">
        <v>724</v>
      </c>
      <c r="B51" s="20">
        <v>2028</v>
      </c>
      <c r="C51" s="2" t="s">
        <v>27</v>
      </c>
      <c r="D51" s="5">
        <v>10000</v>
      </c>
      <c r="E51" s="15">
        <f>E50+D51</f>
        <v>560000</v>
      </c>
      <c r="F51" s="15">
        <f>F50-D51</f>
        <v>40000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34"/>
  <sheetViews>
    <sheetView workbookViewId="0">
      <selection activeCell="H22" sqref="H22"/>
    </sheetView>
  </sheetViews>
  <sheetFormatPr defaultRowHeight="14.5" x14ac:dyDescent="0.35"/>
  <cols>
    <col min="1" max="1" width="9.453125" bestFit="1" customWidth="1"/>
    <col min="3" max="3" width="18.81640625" customWidth="1"/>
    <col min="4" max="4" width="10.90625" bestFit="1" customWidth="1"/>
    <col min="5" max="5" width="15.26953125" bestFit="1" customWidth="1"/>
    <col min="6" max="6" width="11.36328125" bestFit="1" customWidth="1"/>
  </cols>
  <sheetData>
    <row r="1" spans="1:6" ht="18.5" x14ac:dyDescent="0.45">
      <c r="A1" s="1" t="s">
        <v>63</v>
      </c>
      <c r="B1" s="1"/>
      <c r="C1" s="1"/>
      <c r="D1" s="1"/>
      <c r="E1" s="1"/>
      <c r="F1" s="1"/>
    </row>
    <row r="2" spans="1:6" ht="18.5" x14ac:dyDescent="0.45">
      <c r="A2" s="1" t="s">
        <v>64</v>
      </c>
      <c r="C2" s="1"/>
      <c r="D2" s="1"/>
      <c r="E2" s="1"/>
      <c r="F2" s="1"/>
    </row>
    <row r="3" spans="1:6" ht="18.5" x14ac:dyDescent="0.45">
      <c r="A3" s="1" t="s">
        <v>65</v>
      </c>
      <c r="B3" s="1"/>
      <c r="C3" s="1"/>
      <c r="D3" s="1"/>
      <c r="E3" s="1"/>
      <c r="F3" s="1"/>
    </row>
    <row r="4" spans="1:6" ht="18.5" x14ac:dyDescent="0.45">
      <c r="A4" s="1" t="s">
        <v>66</v>
      </c>
      <c r="B4" s="1"/>
      <c r="C4" s="1"/>
      <c r="D4" s="1"/>
      <c r="E4" s="1"/>
      <c r="F4" s="1"/>
    </row>
    <row r="5" spans="1:6" ht="18.5" x14ac:dyDescent="0.45">
      <c r="A5" s="1" t="s">
        <v>330</v>
      </c>
      <c r="B5" s="1"/>
      <c r="C5" s="1"/>
      <c r="D5" s="1"/>
      <c r="E5" s="1" t="s">
        <v>5</v>
      </c>
      <c r="F5" s="1"/>
    </row>
    <row r="6" spans="1:6" x14ac:dyDescent="0.35">
      <c r="A6" s="8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 x14ac:dyDescent="0.35">
      <c r="A7" s="7" t="s">
        <v>67</v>
      </c>
      <c r="B7" s="7">
        <v>26</v>
      </c>
      <c r="C7" s="7" t="s">
        <v>22</v>
      </c>
      <c r="D7" s="13">
        <v>10000</v>
      </c>
      <c r="E7" s="13">
        <v>10000</v>
      </c>
      <c r="F7" s="13">
        <v>440000</v>
      </c>
    </row>
    <row r="8" spans="1:6" x14ac:dyDescent="0.35">
      <c r="A8" s="14">
        <v>44782</v>
      </c>
      <c r="B8" s="7">
        <v>135</v>
      </c>
      <c r="C8" s="7" t="s">
        <v>14</v>
      </c>
      <c r="D8" s="13">
        <v>100000</v>
      </c>
      <c r="E8" s="13">
        <f>SUM(E7+D8)</f>
        <v>110000</v>
      </c>
      <c r="F8" s="13">
        <f>F7-D8</f>
        <v>340000</v>
      </c>
    </row>
    <row r="9" spans="1:6" x14ac:dyDescent="0.35">
      <c r="A9" s="7" t="s">
        <v>68</v>
      </c>
      <c r="B9" s="7">
        <v>1495</v>
      </c>
      <c r="C9" s="7" t="s">
        <v>26</v>
      </c>
      <c r="D9" s="13">
        <v>10000</v>
      </c>
      <c r="E9" s="13">
        <f t="shared" ref="E9:E34" si="0">SUM(E8+D9)</f>
        <v>120000</v>
      </c>
      <c r="F9" s="13">
        <f t="shared" ref="F9:F34" si="1">F8-D9</f>
        <v>330000</v>
      </c>
    </row>
    <row r="10" spans="1:6" x14ac:dyDescent="0.35">
      <c r="A10" s="14">
        <v>45019</v>
      </c>
      <c r="B10" s="7">
        <v>1497</v>
      </c>
      <c r="C10" s="7" t="s">
        <v>75</v>
      </c>
      <c r="D10" s="13">
        <v>10000</v>
      </c>
      <c r="E10" s="13">
        <f t="shared" si="0"/>
        <v>130000</v>
      </c>
      <c r="F10" s="13">
        <f t="shared" si="1"/>
        <v>320000</v>
      </c>
    </row>
    <row r="11" spans="1:6" x14ac:dyDescent="0.35">
      <c r="A11" s="7" t="s">
        <v>69</v>
      </c>
      <c r="B11" s="7">
        <v>1211</v>
      </c>
      <c r="C11" s="7" t="s">
        <v>14</v>
      </c>
      <c r="D11" s="13">
        <v>10000</v>
      </c>
      <c r="E11" s="13">
        <f t="shared" si="0"/>
        <v>140000</v>
      </c>
      <c r="F11" s="13">
        <f t="shared" si="1"/>
        <v>310000</v>
      </c>
    </row>
    <row r="12" spans="1:6" x14ac:dyDescent="0.35">
      <c r="A12" s="14" t="s">
        <v>70</v>
      </c>
      <c r="B12" s="7">
        <v>115</v>
      </c>
      <c r="C12" s="7" t="s">
        <v>14</v>
      </c>
      <c r="D12" s="13">
        <v>10000</v>
      </c>
      <c r="E12" s="13">
        <f t="shared" si="0"/>
        <v>150000</v>
      </c>
      <c r="F12" s="13">
        <f t="shared" si="1"/>
        <v>300000</v>
      </c>
    </row>
    <row r="13" spans="1:6" x14ac:dyDescent="0.35">
      <c r="A13" s="7" t="s">
        <v>71</v>
      </c>
      <c r="B13" s="7">
        <v>2757</v>
      </c>
      <c r="C13" s="7" t="s">
        <v>14</v>
      </c>
      <c r="D13" s="13">
        <v>10000</v>
      </c>
      <c r="E13" s="13">
        <f t="shared" si="0"/>
        <v>160000</v>
      </c>
      <c r="F13" s="13">
        <f t="shared" si="1"/>
        <v>290000</v>
      </c>
    </row>
    <row r="14" spans="1:6" x14ac:dyDescent="0.35">
      <c r="A14" s="14" t="s">
        <v>72</v>
      </c>
      <c r="B14" s="7">
        <v>5538</v>
      </c>
      <c r="C14" s="7" t="s">
        <v>14</v>
      </c>
      <c r="D14" s="13">
        <v>10000</v>
      </c>
      <c r="E14" s="13">
        <f t="shared" si="0"/>
        <v>170000</v>
      </c>
      <c r="F14" s="13">
        <f t="shared" si="1"/>
        <v>280000</v>
      </c>
    </row>
    <row r="15" spans="1:6" x14ac:dyDescent="0.35">
      <c r="A15" s="14">
        <v>45505</v>
      </c>
      <c r="B15" s="7">
        <v>5998</v>
      </c>
      <c r="C15" s="7" t="s">
        <v>76</v>
      </c>
      <c r="D15" s="13">
        <v>20000</v>
      </c>
      <c r="E15" s="13">
        <f t="shared" si="0"/>
        <v>190000</v>
      </c>
      <c r="F15" s="13">
        <f t="shared" si="1"/>
        <v>260000</v>
      </c>
    </row>
    <row r="16" spans="1:6" x14ac:dyDescent="0.35">
      <c r="A16" s="14" t="s">
        <v>73</v>
      </c>
      <c r="B16" s="7">
        <v>6696</v>
      </c>
      <c r="C16" s="7" t="s">
        <v>14</v>
      </c>
      <c r="D16" s="13">
        <v>15000</v>
      </c>
      <c r="E16" s="13">
        <f t="shared" si="0"/>
        <v>205000</v>
      </c>
      <c r="F16" s="13">
        <f t="shared" si="1"/>
        <v>245000</v>
      </c>
    </row>
    <row r="17" spans="1:6" x14ac:dyDescent="0.35">
      <c r="A17" s="14" t="s">
        <v>74</v>
      </c>
      <c r="B17" s="7">
        <v>7517</v>
      </c>
      <c r="C17" s="7" t="s">
        <v>14</v>
      </c>
      <c r="D17" s="13">
        <v>15000</v>
      </c>
      <c r="E17" s="13">
        <f t="shared" si="0"/>
        <v>220000</v>
      </c>
      <c r="F17" s="13">
        <f t="shared" si="1"/>
        <v>230000</v>
      </c>
    </row>
    <row r="18" spans="1:6" x14ac:dyDescent="0.35">
      <c r="A18" s="14" t="s">
        <v>77</v>
      </c>
      <c r="B18" s="7">
        <v>8014</v>
      </c>
      <c r="C18" s="7" t="s">
        <v>14</v>
      </c>
      <c r="D18" s="13">
        <v>15000</v>
      </c>
      <c r="E18" s="13">
        <f t="shared" si="0"/>
        <v>235000</v>
      </c>
      <c r="F18" s="13">
        <f t="shared" si="1"/>
        <v>215000</v>
      </c>
    </row>
    <row r="19" spans="1:6" x14ac:dyDescent="0.35">
      <c r="A19" s="14" t="s">
        <v>78</v>
      </c>
      <c r="B19" s="7">
        <v>9221</v>
      </c>
      <c r="C19" s="7" t="s">
        <v>14</v>
      </c>
      <c r="D19" s="13">
        <v>10000</v>
      </c>
      <c r="E19" s="13">
        <f t="shared" si="0"/>
        <v>245000</v>
      </c>
      <c r="F19" s="13">
        <f t="shared" si="1"/>
        <v>205000</v>
      </c>
    </row>
    <row r="20" spans="1:6" x14ac:dyDescent="0.35">
      <c r="A20" s="14">
        <v>45604</v>
      </c>
      <c r="B20" s="7">
        <v>11050</v>
      </c>
      <c r="C20" s="7" t="s">
        <v>14</v>
      </c>
      <c r="D20" s="13">
        <v>35000</v>
      </c>
      <c r="E20" s="13">
        <f t="shared" si="0"/>
        <v>280000</v>
      </c>
      <c r="F20" s="13">
        <f t="shared" si="1"/>
        <v>170000</v>
      </c>
    </row>
    <row r="21" spans="1:6" x14ac:dyDescent="0.35">
      <c r="A21" s="14" t="s">
        <v>79</v>
      </c>
      <c r="B21" s="7">
        <v>10895</v>
      </c>
      <c r="C21" s="7" t="s">
        <v>14</v>
      </c>
      <c r="D21" s="13">
        <v>10000</v>
      </c>
      <c r="E21" s="13">
        <f t="shared" si="0"/>
        <v>290000</v>
      </c>
      <c r="F21" s="13">
        <f t="shared" si="1"/>
        <v>160000</v>
      </c>
    </row>
    <row r="22" spans="1:6" x14ac:dyDescent="0.35">
      <c r="A22" s="14" t="s">
        <v>80</v>
      </c>
      <c r="B22" s="7">
        <v>10335</v>
      </c>
      <c r="C22" s="7" t="s">
        <v>14</v>
      </c>
      <c r="D22" s="13">
        <v>10000</v>
      </c>
      <c r="E22" s="13">
        <f t="shared" si="0"/>
        <v>300000</v>
      </c>
      <c r="F22" s="13">
        <f t="shared" si="1"/>
        <v>150000</v>
      </c>
    </row>
    <row r="23" spans="1:6" x14ac:dyDescent="0.35">
      <c r="A23" s="14" t="s">
        <v>81</v>
      </c>
      <c r="B23" s="7">
        <v>12441</v>
      </c>
      <c r="C23" s="7" t="s">
        <v>14</v>
      </c>
      <c r="D23" s="13">
        <v>10000</v>
      </c>
      <c r="E23" s="13">
        <f t="shared" si="0"/>
        <v>310000</v>
      </c>
      <c r="F23" s="13">
        <f t="shared" si="1"/>
        <v>140000</v>
      </c>
    </row>
    <row r="24" spans="1:6" x14ac:dyDescent="0.35">
      <c r="A24" s="14" t="s">
        <v>82</v>
      </c>
      <c r="B24" s="7">
        <v>12734</v>
      </c>
      <c r="C24" s="7" t="s">
        <v>14</v>
      </c>
      <c r="D24" s="13">
        <v>10000</v>
      </c>
      <c r="E24" s="13">
        <f t="shared" si="0"/>
        <v>320000</v>
      </c>
      <c r="F24" s="13">
        <f t="shared" si="1"/>
        <v>130000</v>
      </c>
    </row>
    <row r="25" spans="1:6" x14ac:dyDescent="0.35">
      <c r="A25" s="14" t="s">
        <v>83</v>
      </c>
      <c r="B25" s="7">
        <v>9140</v>
      </c>
      <c r="C25" s="7" t="s">
        <v>14</v>
      </c>
      <c r="D25" s="13">
        <v>10000</v>
      </c>
      <c r="E25" s="13">
        <f t="shared" si="0"/>
        <v>330000</v>
      </c>
      <c r="F25" s="13">
        <f t="shared" si="1"/>
        <v>120000</v>
      </c>
    </row>
    <row r="26" spans="1:6" x14ac:dyDescent="0.35">
      <c r="A26" s="14" t="s">
        <v>84</v>
      </c>
      <c r="B26" s="7">
        <v>9551</v>
      </c>
      <c r="C26" s="7" t="s">
        <v>14</v>
      </c>
      <c r="D26" s="13">
        <v>10000</v>
      </c>
      <c r="E26" s="13">
        <f t="shared" si="0"/>
        <v>340000</v>
      </c>
      <c r="F26" s="13">
        <f t="shared" si="1"/>
        <v>110000</v>
      </c>
    </row>
    <row r="27" spans="1:6" x14ac:dyDescent="0.35">
      <c r="A27" s="14" t="s">
        <v>85</v>
      </c>
      <c r="B27" s="7">
        <v>9876</v>
      </c>
      <c r="C27" s="7" t="s">
        <v>14</v>
      </c>
      <c r="D27" s="13">
        <v>10000</v>
      </c>
      <c r="E27" s="13">
        <f t="shared" si="0"/>
        <v>350000</v>
      </c>
      <c r="F27" s="13">
        <f t="shared" si="1"/>
        <v>100000</v>
      </c>
    </row>
    <row r="28" spans="1:6" x14ac:dyDescent="0.35">
      <c r="A28" s="14" t="s">
        <v>86</v>
      </c>
      <c r="B28" s="7">
        <v>10606</v>
      </c>
      <c r="C28" s="7" t="s">
        <v>14</v>
      </c>
      <c r="D28" s="13">
        <v>10000</v>
      </c>
      <c r="E28" s="13">
        <f t="shared" si="0"/>
        <v>360000</v>
      </c>
      <c r="F28" s="13">
        <f t="shared" si="1"/>
        <v>90000</v>
      </c>
    </row>
    <row r="29" spans="1:6" x14ac:dyDescent="0.35">
      <c r="A29" s="14">
        <v>45666</v>
      </c>
      <c r="B29" s="7">
        <v>12592</v>
      </c>
      <c r="C29" s="7" t="s">
        <v>14</v>
      </c>
      <c r="D29" s="13">
        <v>15000</v>
      </c>
      <c r="E29" s="13">
        <f t="shared" si="0"/>
        <v>375000</v>
      </c>
      <c r="F29" s="13">
        <f t="shared" si="1"/>
        <v>75000</v>
      </c>
    </row>
    <row r="30" spans="1:6" x14ac:dyDescent="0.35">
      <c r="A30" s="14" t="s">
        <v>87</v>
      </c>
      <c r="B30" s="7">
        <v>13959</v>
      </c>
      <c r="C30" s="7" t="s">
        <v>14</v>
      </c>
      <c r="D30" s="13">
        <v>10000</v>
      </c>
      <c r="E30" s="13">
        <f t="shared" si="0"/>
        <v>385000</v>
      </c>
      <c r="F30" s="13">
        <f t="shared" si="1"/>
        <v>65000</v>
      </c>
    </row>
    <row r="31" spans="1:6" x14ac:dyDescent="0.35">
      <c r="A31" s="14" t="s">
        <v>88</v>
      </c>
      <c r="B31" s="7">
        <v>12611</v>
      </c>
      <c r="C31" s="7" t="s">
        <v>14</v>
      </c>
      <c r="D31" s="13">
        <v>10000</v>
      </c>
      <c r="E31" s="13">
        <f t="shared" si="0"/>
        <v>395000</v>
      </c>
      <c r="F31" s="13">
        <f t="shared" si="1"/>
        <v>55000</v>
      </c>
    </row>
    <row r="32" spans="1:6" x14ac:dyDescent="0.35">
      <c r="A32" s="14" t="s">
        <v>89</v>
      </c>
      <c r="B32" s="7">
        <v>12294</v>
      </c>
      <c r="C32" s="7" t="s">
        <v>14</v>
      </c>
      <c r="D32" s="13">
        <v>5000</v>
      </c>
      <c r="E32" s="13">
        <f t="shared" si="0"/>
        <v>400000</v>
      </c>
      <c r="F32" s="13">
        <f t="shared" si="1"/>
        <v>50000</v>
      </c>
    </row>
    <row r="33" spans="1:6" x14ac:dyDescent="0.35">
      <c r="A33" s="14" t="s">
        <v>90</v>
      </c>
      <c r="B33" s="7">
        <v>12585</v>
      </c>
      <c r="C33" s="7" t="s">
        <v>91</v>
      </c>
      <c r="D33" s="13">
        <v>5000</v>
      </c>
      <c r="E33" s="13">
        <f t="shared" si="0"/>
        <v>405000</v>
      </c>
      <c r="F33" s="13">
        <f t="shared" si="1"/>
        <v>45000</v>
      </c>
    </row>
    <row r="34" spans="1:6" x14ac:dyDescent="0.35">
      <c r="A34" s="14" t="s">
        <v>90</v>
      </c>
      <c r="B34" s="7">
        <v>12584</v>
      </c>
      <c r="C34" s="7" t="s">
        <v>14</v>
      </c>
      <c r="D34" s="13">
        <v>10000</v>
      </c>
      <c r="E34" s="13">
        <f t="shared" si="0"/>
        <v>415000</v>
      </c>
      <c r="F34" s="13">
        <f t="shared" si="1"/>
        <v>35000</v>
      </c>
    </row>
  </sheetData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44"/>
  <sheetViews>
    <sheetView topLeftCell="A29" workbookViewId="0">
      <selection activeCell="A44" sqref="A44"/>
    </sheetView>
  </sheetViews>
  <sheetFormatPr defaultRowHeight="14.5" x14ac:dyDescent="0.35"/>
  <cols>
    <col min="1" max="1" width="9.81640625" customWidth="1"/>
    <col min="3" max="3" width="10.81640625" customWidth="1"/>
    <col min="6" max="6" width="11.81640625" customWidth="1"/>
  </cols>
  <sheetData>
    <row r="1" spans="1:6" ht="18.5" x14ac:dyDescent="0.45">
      <c r="A1" s="1" t="s">
        <v>282</v>
      </c>
      <c r="B1" s="1"/>
      <c r="C1" s="1"/>
      <c r="D1" s="1"/>
      <c r="E1" s="1"/>
      <c r="F1" s="1"/>
    </row>
    <row r="2" spans="1:6" ht="18.5" x14ac:dyDescent="0.45">
      <c r="A2" s="1" t="s">
        <v>283</v>
      </c>
      <c r="C2" s="1"/>
      <c r="D2" s="1"/>
      <c r="E2" s="1"/>
      <c r="F2" s="1"/>
    </row>
    <row r="3" spans="1:6" ht="18.5" x14ac:dyDescent="0.45">
      <c r="A3" s="1" t="s">
        <v>284</v>
      </c>
      <c r="B3" s="1"/>
      <c r="C3" s="1"/>
      <c r="D3" s="1"/>
      <c r="E3" s="1"/>
      <c r="F3" s="1"/>
    </row>
    <row r="4" spans="1:6" ht="18.5" x14ac:dyDescent="0.45">
      <c r="A4" s="1" t="s">
        <v>364</v>
      </c>
      <c r="B4" s="1"/>
      <c r="C4" s="1"/>
      <c r="D4" s="1"/>
      <c r="E4" s="1"/>
      <c r="F4" s="1"/>
    </row>
    <row r="5" spans="1:6" ht="18.5" x14ac:dyDescent="0.45">
      <c r="A5" s="1" t="s">
        <v>285</v>
      </c>
      <c r="B5" s="1"/>
      <c r="C5" s="1"/>
      <c r="D5" s="1"/>
      <c r="E5" s="1"/>
      <c r="F5" s="1"/>
    </row>
    <row r="6" spans="1:6" ht="18.5" x14ac:dyDescent="0.45">
      <c r="A6" s="1" t="s">
        <v>286</v>
      </c>
      <c r="B6" s="1"/>
      <c r="C6" s="1"/>
      <c r="D6" s="1"/>
      <c r="E6" s="1" t="s">
        <v>287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2" t="s">
        <v>288</v>
      </c>
      <c r="B8" s="2">
        <v>2494</v>
      </c>
      <c r="C8" s="2" t="s">
        <v>22</v>
      </c>
      <c r="D8" s="5">
        <v>5000</v>
      </c>
      <c r="E8" s="5">
        <v>5000</v>
      </c>
      <c r="F8" s="5">
        <v>520000</v>
      </c>
    </row>
    <row r="9" spans="1:6" x14ac:dyDescent="0.35">
      <c r="A9" s="6">
        <v>45231</v>
      </c>
      <c r="B9" s="2">
        <v>1945</v>
      </c>
      <c r="C9" s="2" t="s">
        <v>184</v>
      </c>
      <c r="D9" s="5">
        <v>110000</v>
      </c>
      <c r="E9" s="5">
        <f t="shared" ref="E9:E43" si="0">E8+D9</f>
        <v>115000</v>
      </c>
      <c r="F9" s="5">
        <f>F8-D9</f>
        <v>410000</v>
      </c>
    </row>
    <row r="10" spans="1:6" x14ac:dyDescent="0.35">
      <c r="A10" s="2" t="s">
        <v>289</v>
      </c>
      <c r="B10" s="2">
        <v>1946</v>
      </c>
      <c r="C10" s="2" t="s">
        <v>14</v>
      </c>
      <c r="D10" s="5">
        <v>10000</v>
      </c>
      <c r="E10" s="5">
        <f t="shared" si="0"/>
        <v>125000</v>
      </c>
      <c r="F10" s="5">
        <f t="shared" ref="F10:F38" si="1">F9-D10</f>
        <v>400000</v>
      </c>
    </row>
    <row r="11" spans="1:6" x14ac:dyDescent="0.35">
      <c r="A11" s="2" t="s">
        <v>290</v>
      </c>
      <c r="B11" s="2">
        <v>204</v>
      </c>
      <c r="C11" s="2" t="s">
        <v>14</v>
      </c>
      <c r="D11" s="5">
        <v>30000</v>
      </c>
      <c r="E11" s="5">
        <f t="shared" si="0"/>
        <v>155000</v>
      </c>
      <c r="F11" s="5">
        <f t="shared" si="1"/>
        <v>370000</v>
      </c>
    </row>
    <row r="12" spans="1:6" x14ac:dyDescent="0.35">
      <c r="A12" s="2" t="s">
        <v>291</v>
      </c>
      <c r="B12" s="2">
        <v>2906</v>
      </c>
      <c r="C12" s="2" t="s">
        <v>14</v>
      </c>
      <c r="D12" s="5">
        <v>10000</v>
      </c>
      <c r="E12" s="5">
        <f t="shared" si="0"/>
        <v>165000</v>
      </c>
      <c r="F12" s="5">
        <f t="shared" si="1"/>
        <v>360000</v>
      </c>
    </row>
    <row r="13" spans="1:6" x14ac:dyDescent="0.35">
      <c r="A13" s="2" t="s">
        <v>139</v>
      </c>
      <c r="B13" s="2">
        <v>3118</v>
      </c>
      <c r="C13" s="2" t="s">
        <v>14</v>
      </c>
      <c r="D13" s="5">
        <v>10000</v>
      </c>
      <c r="E13" s="5">
        <f t="shared" si="0"/>
        <v>175000</v>
      </c>
      <c r="F13" s="5">
        <f t="shared" si="1"/>
        <v>350000</v>
      </c>
    </row>
    <row r="14" spans="1:6" x14ac:dyDescent="0.35">
      <c r="A14" s="2" t="s">
        <v>292</v>
      </c>
      <c r="B14" s="2">
        <v>3903</v>
      </c>
      <c r="C14" s="2" t="s">
        <v>14</v>
      </c>
      <c r="D14" s="5">
        <v>10000</v>
      </c>
      <c r="E14" s="5">
        <f t="shared" si="0"/>
        <v>185000</v>
      </c>
      <c r="F14" s="5">
        <f t="shared" si="1"/>
        <v>340000</v>
      </c>
    </row>
    <row r="15" spans="1:6" x14ac:dyDescent="0.35">
      <c r="A15" s="2" t="s">
        <v>293</v>
      </c>
      <c r="B15" s="2">
        <v>4412</v>
      </c>
      <c r="C15" s="2" t="s">
        <v>14</v>
      </c>
      <c r="D15" s="5">
        <v>15000</v>
      </c>
      <c r="E15" s="5">
        <f t="shared" si="0"/>
        <v>200000</v>
      </c>
      <c r="F15" s="5">
        <f t="shared" si="1"/>
        <v>325000</v>
      </c>
    </row>
    <row r="16" spans="1:6" x14ac:dyDescent="0.35">
      <c r="A16" s="2" t="s">
        <v>294</v>
      </c>
      <c r="B16" s="2">
        <v>5061</v>
      </c>
      <c r="C16" s="2" t="s">
        <v>14</v>
      </c>
      <c r="D16" s="5">
        <v>15000</v>
      </c>
      <c r="E16" s="5">
        <f t="shared" si="0"/>
        <v>215000</v>
      </c>
      <c r="F16" s="5">
        <f t="shared" si="1"/>
        <v>310000</v>
      </c>
    </row>
    <row r="17" spans="1:6" x14ac:dyDescent="0.35">
      <c r="A17" s="2" t="s">
        <v>295</v>
      </c>
      <c r="B17" s="2">
        <v>5741</v>
      </c>
      <c r="C17" s="2" t="s">
        <v>14</v>
      </c>
      <c r="D17" s="5">
        <v>10000</v>
      </c>
      <c r="E17" s="5">
        <f t="shared" si="0"/>
        <v>225000</v>
      </c>
      <c r="F17" s="5">
        <f t="shared" si="1"/>
        <v>300000</v>
      </c>
    </row>
    <row r="18" spans="1:6" x14ac:dyDescent="0.35">
      <c r="A18" s="2" t="s">
        <v>296</v>
      </c>
      <c r="B18" s="2">
        <v>6798</v>
      </c>
      <c r="C18" s="2" t="s">
        <v>14</v>
      </c>
      <c r="D18" s="5">
        <v>15000</v>
      </c>
      <c r="E18" s="5">
        <f t="shared" si="0"/>
        <v>240000</v>
      </c>
      <c r="F18" s="5">
        <f t="shared" si="1"/>
        <v>285000</v>
      </c>
    </row>
    <row r="19" spans="1:6" x14ac:dyDescent="0.35">
      <c r="A19" s="2" t="s">
        <v>211</v>
      </c>
      <c r="B19" s="2">
        <v>7553</v>
      </c>
      <c r="C19" s="2" t="s">
        <v>14</v>
      </c>
      <c r="D19" s="5">
        <v>15000</v>
      </c>
      <c r="E19" s="5">
        <f t="shared" si="0"/>
        <v>255000</v>
      </c>
      <c r="F19" s="5">
        <f t="shared" si="1"/>
        <v>270000</v>
      </c>
    </row>
    <row r="20" spans="1:6" x14ac:dyDescent="0.35">
      <c r="A20" s="2" t="s">
        <v>297</v>
      </c>
      <c r="B20" s="2">
        <v>8114</v>
      </c>
      <c r="C20" s="2" t="s">
        <v>14</v>
      </c>
      <c r="D20" s="5">
        <v>10000</v>
      </c>
      <c r="E20" s="5">
        <f t="shared" si="0"/>
        <v>265000</v>
      </c>
      <c r="F20" s="5">
        <f t="shared" si="1"/>
        <v>260000</v>
      </c>
    </row>
    <row r="21" spans="1:6" x14ac:dyDescent="0.35">
      <c r="A21" s="2" t="s">
        <v>60</v>
      </c>
      <c r="B21" s="2">
        <v>8679</v>
      </c>
      <c r="C21" s="2" t="s">
        <v>14</v>
      </c>
      <c r="D21" s="5">
        <v>10000</v>
      </c>
      <c r="E21" s="5">
        <f t="shared" si="0"/>
        <v>275000</v>
      </c>
      <c r="F21" s="5">
        <f t="shared" si="1"/>
        <v>250000</v>
      </c>
    </row>
    <row r="22" spans="1:6" x14ac:dyDescent="0.35">
      <c r="A22" s="2" t="s">
        <v>298</v>
      </c>
      <c r="B22" s="2">
        <v>9284</v>
      </c>
      <c r="C22" s="2" t="s">
        <v>14</v>
      </c>
      <c r="D22" s="5">
        <v>10000</v>
      </c>
      <c r="E22" s="5">
        <f t="shared" si="0"/>
        <v>285000</v>
      </c>
      <c r="F22" s="5">
        <f t="shared" si="1"/>
        <v>240000</v>
      </c>
    </row>
    <row r="23" spans="1:6" x14ac:dyDescent="0.35">
      <c r="A23" s="2" t="s">
        <v>299</v>
      </c>
      <c r="B23" s="2">
        <v>11268</v>
      </c>
      <c r="C23" s="2" t="s">
        <v>14</v>
      </c>
      <c r="D23" s="5">
        <v>15000</v>
      </c>
      <c r="E23" s="5">
        <f t="shared" si="0"/>
        <v>300000</v>
      </c>
      <c r="F23" s="5">
        <f t="shared" si="1"/>
        <v>225000</v>
      </c>
    </row>
    <row r="24" spans="1:6" x14ac:dyDescent="0.35">
      <c r="A24" s="2" t="s">
        <v>300</v>
      </c>
      <c r="B24" s="2">
        <v>10155</v>
      </c>
      <c r="C24" s="2" t="s">
        <v>14</v>
      </c>
      <c r="D24" s="5">
        <v>10000</v>
      </c>
      <c r="E24" s="5">
        <f t="shared" si="0"/>
        <v>310000</v>
      </c>
      <c r="F24" s="5">
        <f t="shared" si="1"/>
        <v>215000</v>
      </c>
    </row>
    <row r="25" spans="1:6" x14ac:dyDescent="0.35">
      <c r="A25" s="2" t="s">
        <v>301</v>
      </c>
      <c r="B25" s="2">
        <v>11507</v>
      </c>
      <c r="C25" s="2" t="s">
        <v>14</v>
      </c>
      <c r="D25" s="5">
        <v>10000</v>
      </c>
      <c r="E25" s="5">
        <f t="shared" si="0"/>
        <v>320000</v>
      </c>
      <c r="F25" s="5">
        <f t="shared" si="1"/>
        <v>205000</v>
      </c>
    </row>
    <row r="26" spans="1:6" x14ac:dyDescent="0.35">
      <c r="A26" s="2" t="s">
        <v>250</v>
      </c>
      <c r="B26" s="2">
        <v>12770</v>
      </c>
      <c r="C26" s="2" t="s">
        <v>14</v>
      </c>
      <c r="D26" s="5">
        <v>15000</v>
      </c>
      <c r="E26" s="5">
        <f t="shared" si="0"/>
        <v>335000</v>
      </c>
      <c r="F26" s="5">
        <f t="shared" si="1"/>
        <v>190000</v>
      </c>
    </row>
    <row r="27" spans="1:6" x14ac:dyDescent="0.35">
      <c r="A27" s="2" t="s">
        <v>302</v>
      </c>
      <c r="B27" s="2">
        <v>9159</v>
      </c>
      <c r="C27" s="2" t="s">
        <v>14</v>
      </c>
      <c r="D27" s="5">
        <v>10000</v>
      </c>
      <c r="E27" s="5">
        <f t="shared" si="0"/>
        <v>345000</v>
      </c>
      <c r="F27" s="5">
        <f t="shared" si="1"/>
        <v>180000</v>
      </c>
    </row>
    <row r="28" spans="1:6" x14ac:dyDescent="0.35">
      <c r="A28" s="6">
        <v>45933</v>
      </c>
      <c r="B28" s="2">
        <v>9802</v>
      </c>
      <c r="C28" s="2" t="s">
        <v>14</v>
      </c>
      <c r="D28" s="5">
        <v>15000</v>
      </c>
      <c r="E28" s="5">
        <f t="shared" si="0"/>
        <v>360000</v>
      </c>
      <c r="F28" s="5">
        <f t="shared" si="1"/>
        <v>165000</v>
      </c>
    </row>
    <row r="29" spans="1:6" x14ac:dyDescent="0.35">
      <c r="A29" s="6">
        <v>45966</v>
      </c>
      <c r="B29" s="2">
        <v>10919</v>
      </c>
      <c r="C29" s="2" t="s">
        <v>14</v>
      </c>
      <c r="D29" s="5">
        <v>15000</v>
      </c>
      <c r="E29" s="5">
        <f t="shared" si="0"/>
        <v>375000</v>
      </c>
      <c r="F29" s="5">
        <f t="shared" si="1"/>
        <v>150000</v>
      </c>
    </row>
    <row r="30" spans="1:6" x14ac:dyDescent="0.35">
      <c r="A30" s="2" t="s">
        <v>303</v>
      </c>
      <c r="B30" s="2">
        <v>12288</v>
      </c>
      <c r="C30" s="2" t="s">
        <v>14</v>
      </c>
      <c r="D30" s="5">
        <v>15000</v>
      </c>
      <c r="E30" s="5">
        <f t="shared" si="0"/>
        <v>390000</v>
      </c>
      <c r="F30" s="5">
        <f t="shared" si="1"/>
        <v>135000</v>
      </c>
    </row>
    <row r="31" spans="1:6" x14ac:dyDescent="0.35">
      <c r="A31" s="2" t="s">
        <v>304</v>
      </c>
      <c r="B31" s="2">
        <v>12565</v>
      </c>
      <c r="C31" s="2" t="s">
        <v>14</v>
      </c>
      <c r="D31" s="5">
        <v>10000</v>
      </c>
      <c r="E31" s="5">
        <f t="shared" si="0"/>
        <v>400000</v>
      </c>
      <c r="F31" s="5">
        <f t="shared" si="1"/>
        <v>125000</v>
      </c>
    </row>
    <row r="32" spans="1:6" x14ac:dyDescent="0.35">
      <c r="A32" s="2" t="s">
        <v>305</v>
      </c>
      <c r="B32" s="2">
        <v>13974</v>
      </c>
      <c r="C32" s="2" t="s">
        <v>14</v>
      </c>
      <c r="D32" s="5">
        <v>10000</v>
      </c>
      <c r="E32" s="5">
        <f t="shared" si="0"/>
        <v>410000</v>
      </c>
      <c r="F32" s="5">
        <f t="shared" si="1"/>
        <v>115000</v>
      </c>
    </row>
    <row r="33" spans="1:6" x14ac:dyDescent="0.35">
      <c r="A33" s="2" t="s">
        <v>306</v>
      </c>
      <c r="B33" s="2">
        <v>13581</v>
      </c>
      <c r="C33" s="2" t="s">
        <v>14</v>
      </c>
      <c r="D33" s="5">
        <v>10000</v>
      </c>
      <c r="E33" s="5">
        <f t="shared" si="0"/>
        <v>420000</v>
      </c>
      <c r="F33" s="5">
        <f t="shared" si="1"/>
        <v>105000</v>
      </c>
    </row>
    <row r="34" spans="1:6" x14ac:dyDescent="0.35">
      <c r="A34" s="2" t="s">
        <v>12</v>
      </c>
      <c r="B34" s="2">
        <v>13201</v>
      </c>
      <c r="C34" s="2" t="s">
        <v>14</v>
      </c>
      <c r="D34" s="5">
        <v>10000</v>
      </c>
      <c r="E34" s="5">
        <f t="shared" si="0"/>
        <v>430000</v>
      </c>
      <c r="F34" s="5">
        <f t="shared" si="1"/>
        <v>95000</v>
      </c>
    </row>
    <row r="35" spans="1:6" x14ac:dyDescent="0.35">
      <c r="A35" s="2" t="s">
        <v>307</v>
      </c>
      <c r="B35" s="2">
        <v>13842</v>
      </c>
      <c r="C35" s="2" t="s">
        <v>14</v>
      </c>
      <c r="D35" s="5">
        <v>10000</v>
      </c>
      <c r="E35" s="5">
        <f t="shared" si="0"/>
        <v>440000</v>
      </c>
      <c r="F35" s="5">
        <f t="shared" si="1"/>
        <v>85000</v>
      </c>
    </row>
    <row r="36" spans="1:6" x14ac:dyDescent="0.35">
      <c r="A36" s="2" t="s">
        <v>260</v>
      </c>
      <c r="B36" s="2">
        <v>12281</v>
      </c>
      <c r="C36" s="2" t="s">
        <v>14</v>
      </c>
      <c r="D36" s="5">
        <v>10000</v>
      </c>
      <c r="E36" s="5">
        <f t="shared" si="0"/>
        <v>450000</v>
      </c>
      <c r="F36" s="5">
        <f t="shared" si="1"/>
        <v>75000</v>
      </c>
    </row>
    <row r="37" spans="1:6" x14ac:dyDescent="0.35">
      <c r="A37" s="2" t="s">
        <v>281</v>
      </c>
      <c r="B37" s="2">
        <v>13962</v>
      </c>
      <c r="C37" s="2" t="s">
        <v>14</v>
      </c>
      <c r="D37" s="5">
        <v>15000</v>
      </c>
      <c r="E37" s="5">
        <f t="shared" si="0"/>
        <v>465000</v>
      </c>
      <c r="F37" s="5">
        <f t="shared" si="1"/>
        <v>60000</v>
      </c>
    </row>
    <row r="38" spans="1:6" x14ac:dyDescent="0.35">
      <c r="A38" s="2" t="s">
        <v>365</v>
      </c>
      <c r="B38" s="2">
        <v>13036</v>
      </c>
      <c r="C38" s="2" t="s">
        <v>14</v>
      </c>
      <c r="D38" s="5">
        <v>10000</v>
      </c>
      <c r="E38" s="5">
        <f t="shared" si="0"/>
        <v>475000</v>
      </c>
      <c r="F38" s="5">
        <f t="shared" si="1"/>
        <v>50000</v>
      </c>
    </row>
    <row r="39" spans="1:6" x14ac:dyDescent="0.35">
      <c r="A39" s="2" t="s">
        <v>557</v>
      </c>
      <c r="B39" s="2">
        <v>13475</v>
      </c>
      <c r="C39" s="2" t="s">
        <v>14</v>
      </c>
      <c r="D39" s="5">
        <v>10000</v>
      </c>
      <c r="E39" s="5">
        <f t="shared" si="0"/>
        <v>485000</v>
      </c>
      <c r="F39" s="5">
        <f>F38-D39</f>
        <v>40000</v>
      </c>
    </row>
    <row r="40" spans="1:6" x14ac:dyDescent="0.35">
      <c r="A40" s="2" t="s">
        <v>556</v>
      </c>
      <c r="B40" s="2">
        <v>13654</v>
      </c>
      <c r="C40" s="2" t="s">
        <v>14</v>
      </c>
      <c r="D40" s="5">
        <v>10000</v>
      </c>
      <c r="E40" s="5">
        <f t="shared" si="0"/>
        <v>495000</v>
      </c>
      <c r="F40" s="5">
        <f>F39-D40</f>
        <v>30000</v>
      </c>
    </row>
    <row r="41" spans="1:6" x14ac:dyDescent="0.35">
      <c r="A41" s="2" t="s">
        <v>624</v>
      </c>
      <c r="B41" s="2">
        <v>1591</v>
      </c>
      <c r="C41" s="2" t="s">
        <v>14</v>
      </c>
      <c r="D41" s="5">
        <v>10000</v>
      </c>
      <c r="E41" s="5">
        <f t="shared" si="0"/>
        <v>505000</v>
      </c>
      <c r="F41" s="5">
        <f>F40-D41</f>
        <v>20000</v>
      </c>
    </row>
    <row r="42" spans="1:6" x14ac:dyDescent="0.35">
      <c r="A42" s="2" t="s">
        <v>652</v>
      </c>
      <c r="B42" s="2">
        <v>1798</v>
      </c>
      <c r="C42" s="2" t="s">
        <v>14</v>
      </c>
      <c r="D42" s="5">
        <v>10000</v>
      </c>
      <c r="E42" s="5">
        <f t="shared" si="0"/>
        <v>515000</v>
      </c>
      <c r="F42" s="5">
        <f>F41-D42</f>
        <v>10000</v>
      </c>
    </row>
    <row r="43" spans="1:6" x14ac:dyDescent="0.35">
      <c r="A43" s="20" t="s">
        <v>724</v>
      </c>
      <c r="B43" s="20">
        <v>2029</v>
      </c>
      <c r="C43" s="2" t="s">
        <v>14</v>
      </c>
      <c r="D43" s="15">
        <v>5000</v>
      </c>
      <c r="E43" s="15">
        <f t="shared" si="0"/>
        <v>520000</v>
      </c>
      <c r="F43" s="15">
        <f>-D43</f>
        <v>-5000</v>
      </c>
    </row>
    <row r="44" spans="1:6" x14ac:dyDescent="0.35">
      <c r="E44" s="1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47"/>
  <sheetViews>
    <sheetView topLeftCell="A41" workbookViewId="0">
      <selection activeCell="F48" sqref="F48"/>
    </sheetView>
  </sheetViews>
  <sheetFormatPr defaultRowHeight="14.5" x14ac:dyDescent="0.35"/>
  <cols>
    <col min="3" max="3" width="12.6328125" customWidth="1"/>
    <col min="4" max="4" width="11" customWidth="1"/>
    <col min="6" max="6" width="11.453125" customWidth="1"/>
  </cols>
  <sheetData>
    <row r="1" spans="1:6" ht="18.5" x14ac:dyDescent="0.45">
      <c r="A1" s="1" t="s">
        <v>496</v>
      </c>
      <c r="B1" s="1" t="s">
        <v>598</v>
      </c>
      <c r="C1" s="1"/>
      <c r="D1" s="1"/>
      <c r="E1" s="1"/>
    </row>
    <row r="2" spans="1:6" ht="18.5" x14ac:dyDescent="0.45">
      <c r="A2" s="1" t="s">
        <v>497</v>
      </c>
      <c r="B2" s="1" t="s">
        <v>599</v>
      </c>
      <c r="C2" s="1"/>
      <c r="D2" s="1"/>
      <c r="E2" s="1"/>
    </row>
    <row r="3" spans="1:6" ht="18.5" x14ac:dyDescent="0.45">
      <c r="A3" s="1" t="s">
        <v>499</v>
      </c>
      <c r="B3" s="1" t="s">
        <v>600</v>
      </c>
      <c r="C3" s="1"/>
      <c r="D3" s="1"/>
      <c r="E3" s="1"/>
    </row>
    <row r="4" spans="1:6" ht="18.5" x14ac:dyDescent="0.45">
      <c r="A4" s="1" t="s">
        <v>561</v>
      </c>
      <c r="B4" s="1" t="s">
        <v>601</v>
      </c>
      <c r="C4" s="1"/>
      <c r="D4" s="1"/>
      <c r="E4" s="1"/>
    </row>
    <row r="5" spans="1:6" ht="18.5" x14ac:dyDescent="0.45">
      <c r="A5" s="1" t="s">
        <v>498</v>
      </c>
      <c r="B5" s="1" t="s">
        <v>562</v>
      </c>
      <c r="C5" s="1"/>
      <c r="D5" s="1"/>
      <c r="E5" s="1"/>
    </row>
    <row r="6" spans="1:6" ht="18.5" x14ac:dyDescent="0.45">
      <c r="A6" s="1" t="s">
        <v>501</v>
      </c>
      <c r="B6" s="1">
        <v>5995</v>
      </c>
      <c r="C6" s="1"/>
      <c r="D6" s="1"/>
      <c r="E6" s="1"/>
    </row>
    <row r="8" spans="1:6" x14ac:dyDescent="0.35">
      <c r="A8" s="51" t="s">
        <v>6</v>
      </c>
      <c r="B8" s="51" t="s">
        <v>7</v>
      </c>
      <c r="C8" s="51" t="s">
        <v>8</v>
      </c>
      <c r="D8" s="51" t="s">
        <v>9</v>
      </c>
      <c r="E8" s="51" t="s">
        <v>10</v>
      </c>
      <c r="F8" s="51" t="s">
        <v>11</v>
      </c>
    </row>
    <row r="9" spans="1:6" x14ac:dyDescent="0.35">
      <c r="A9" s="2" t="s">
        <v>563</v>
      </c>
      <c r="B9" s="2">
        <v>2494</v>
      </c>
      <c r="C9" s="2" t="s">
        <v>518</v>
      </c>
      <c r="D9" s="5">
        <v>10000</v>
      </c>
      <c r="E9" s="5">
        <v>10000</v>
      </c>
      <c r="F9" s="5">
        <v>515000</v>
      </c>
    </row>
    <row r="10" spans="1:6" x14ac:dyDescent="0.35">
      <c r="A10" s="2" t="s">
        <v>564</v>
      </c>
      <c r="B10" s="2">
        <v>1937</v>
      </c>
      <c r="C10" s="2" t="s">
        <v>573</v>
      </c>
      <c r="D10" s="5">
        <v>110000</v>
      </c>
      <c r="E10" s="5">
        <f t="shared" ref="E10:E44" si="0">E9+D10</f>
        <v>120000</v>
      </c>
      <c r="F10" s="5">
        <f t="shared" ref="F10:F44" si="1">F9-D10</f>
        <v>405000</v>
      </c>
    </row>
    <row r="11" spans="1:6" x14ac:dyDescent="0.35">
      <c r="A11" s="2" t="s">
        <v>565</v>
      </c>
      <c r="B11" s="2">
        <v>1938</v>
      </c>
      <c r="C11" s="2" t="s">
        <v>519</v>
      </c>
      <c r="D11" s="5">
        <v>10000</v>
      </c>
      <c r="E11" s="5">
        <f t="shared" si="0"/>
        <v>130000</v>
      </c>
      <c r="F11" s="5">
        <f t="shared" si="1"/>
        <v>395000</v>
      </c>
    </row>
    <row r="12" spans="1:6" x14ac:dyDescent="0.35">
      <c r="A12" s="2" t="s">
        <v>566</v>
      </c>
      <c r="B12" s="2">
        <v>209</v>
      </c>
      <c r="C12" s="2" t="s">
        <v>519</v>
      </c>
      <c r="D12" s="5">
        <v>25000</v>
      </c>
      <c r="E12" s="5">
        <f t="shared" si="0"/>
        <v>155000</v>
      </c>
      <c r="F12" s="5">
        <f t="shared" si="1"/>
        <v>370000</v>
      </c>
    </row>
    <row r="13" spans="1:6" x14ac:dyDescent="0.35">
      <c r="A13" s="2" t="s">
        <v>567</v>
      </c>
      <c r="B13" s="2">
        <v>2890</v>
      </c>
      <c r="C13" s="2" t="s">
        <v>519</v>
      </c>
      <c r="D13" s="5">
        <v>10000</v>
      </c>
      <c r="E13" s="5">
        <f t="shared" si="0"/>
        <v>165000</v>
      </c>
      <c r="F13" s="5">
        <f t="shared" si="1"/>
        <v>360000</v>
      </c>
    </row>
    <row r="14" spans="1:6" x14ac:dyDescent="0.35">
      <c r="A14" s="2" t="s">
        <v>567</v>
      </c>
      <c r="B14" s="2">
        <v>2891</v>
      </c>
      <c r="C14" s="2" t="s">
        <v>519</v>
      </c>
      <c r="D14" s="5">
        <v>5000</v>
      </c>
      <c r="E14" s="5">
        <f t="shared" si="0"/>
        <v>170000</v>
      </c>
      <c r="F14" s="5">
        <f t="shared" si="1"/>
        <v>355000</v>
      </c>
    </row>
    <row r="15" spans="1:6" x14ac:dyDescent="0.35">
      <c r="A15" s="2" t="s">
        <v>568</v>
      </c>
      <c r="B15" s="2">
        <v>3115</v>
      </c>
      <c r="C15" s="2" t="s">
        <v>519</v>
      </c>
      <c r="D15" s="5">
        <v>10000</v>
      </c>
      <c r="E15" s="5">
        <f t="shared" si="0"/>
        <v>180000</v>
      </c>
      <c r="F15" s="5">
        <f t="shared" si="1"/>
        <v>345000</v>
      </c>
    </row>
    <row r="16" spans="1:6" x14ac:dyDescent="0.35">
      <c r="A16" s="2" t="s">
        <v>569</v>
      </c>
      <c r="B16" s="2">
        <v>3904</v>
      </c>
      <c r="C16" s="2" t="s">
        <v>519</v>
      </c>
      <c r="D16" s="5">
        <v>10000</v>
      </c>
      <c r="E16" s="5">
        <f t="shared" si="0"/>
        <v>190000</v>
      </c>
      <c r="F16" s="5">
        <f t="shared" si="1"/>
        <v>335000</v>
      </c>
    </row>
    <row r="17" spans="1:6" x14ac:dyDescent="0.35">
      <c r="A17" s="2" t="s">
        <v>570</v>
      </c>
      <c r="B17" s="2">
        <v>4495</v>
      </c>
      <c r="C17" s="2" t="s">
        <v>519</v>
      </c>
      <c r="D17" s="5">
        <v>10000</v>
      </c>
      <c r="E17" s="5">
        <f t="shared" si="0"/>
        <v>200000</v>
      </c>
      <c r="F17" s="5">
        <f t="shared" si="1"/>
        <v>325000</v>
      </c>
    </row>
    <row r="18" spans="1:6" x14ac:dyDescent="0.35">
      <c r="A18" s="2" t="s">
        <v>571</v>
      </c>
      <c r="B18" s="2">
        <v>4975</v>
      </c>
      <c r="C18" s="2" t="s">
        <v>519</v>
      </c>
      <c r="D18" s="5">
        <v>15000</v>
      </c>
      <c r="E18" s="5">
        <f t="shared" si="0"/>
        <v>215000</v>
      </c>
      <c r="F18" s="5">
        <f t="shared" si="1"/>
        <v>310000</v>
      </c>
    </row>
    <row r="19" spans="1:6" x14ac:dyDescent="0.35">
      <c r="A19" s="2" t="s">
        <v>572</v>
      </c>
      <c r="B19" s="2">
        <v>5740</v>
      </c>
      <c r="C19" s="2" t="s">
        <v>519</v>
      </c>
      <c r="D19" s="5">
        <v>10000</v>
      </c>
      <c r="E19" s="5">
        <f t="shared" si="0"/>
        <v>225000</v>
      </c>
      <c r="F19" s="5">
        <f t="shared" si="1"/>
        <v>300000</v>
      </c>
    </row>
    <row r="20" spans="1:6" x14ac:dyDescent="0.35">
      <c r="A20" s="2" t="s">
        <v>574</v>
      </c>
      <c r="B20" s="2">
        <v>6276</v>
      </c>
      <c r="C20" s="2" t="s">
        <v>519</v>
      </c>
      <c r="D20" s="5">
        <v>10000</v>
      </c>
      <c r="E20" s="5">
        <f t="shared" si="0"/>
        <v>235000</v>
      </c>
      <c r="F20" s="5">
        <f t="shared" si="1"/>
        <v>290000</v>
      </c>
    </row>
    <row r="21" spans="1:6" x14ac:dyDescent="0.35">
      <c r="A21" s="2" t="s">
        <v>575</v>
      </c>
      <c r="B21" s="2">
        <v>7525</v>
      </c>
      <c r="C21" s="2" t="s">
        <v>519</v>
      </c>
      <c r="D21" s="5">
        <v>10000</v>
      </c>
      <c r="E21" s="5">
        <f t="shared" si="0"/>
        <v>245000</v>
      </c>
      <c r="F21" s="5">
        <f t="shared" si="1"/>
        <v>280000</v>
      </c>
    </row>
    <row r="22" spans="1:6" x14ac:dyDescent="0.35">
      <c r="A22" s="2" t="s">
        <v>576</v>
      </c>
      <c r="B22" s="2">
        <v>8056</v>
      </c>
      <c r="C22" s="2" t="s">
        <v>519</v>
      </c>
      <c r="D22" s="5">
        <v>15000</v>
      </c>
      <c r="E22" s="5">
        <f t="shared" si="0"/>
        <v>260000</v>
      </c>
      <c r="F22" s="5">
        <f t="shared" si="1"/>
        <v>265000</v>
      </c>
    </row>
    <row r="23" spans="1:6" x14ac:dyDescent="0.35">
      <c r="A23" s="2" t="s">
        <v>577</v>
      </c>
      <c r="B23" s="2">
        <v>8675</v>
      </c>
      <c r="C23" s="2" t="s">
        <v>519</v>
      </c>
      <c r="D23" s="5">
        <v>10000</v>
      </c>
      <c r="E23" s="5">
        <f t="shared" si="0"/>
        <v>270000</v>
      </c>
      <c r="F23" s="5">
        <f t="shared" si="1"/>
        <v>255000</v>
      </c>
    </row>
    <row r="24" spans="1:6" x14ac:dyDescent="0.35">
      <c r="A24" s="2" t="s">
        <v>578</v>
      </c>
      <c r="B24" s="2">
        <v>9283</v>
      </c>
      <c r="C24" s="2" t="s">
        <v>519</v>
      </c>
      <c r="D24" s="5">
        <v>10000</v>
      </c>
      <c r="E24" s="5">
        <f t="shared" si="0"/>
        <v>280000</v>
      </c>
      <c r="F24" s="5">
        <f t="shared" si="1"/>
        <v>245000</v>
      </c>
    </row>
    <row r="25" spans="1:6" x14ac:dyDescent="0.35">
      <c r="A25" s="2" t="s">
        <v>579</v>
      </c>
      <c r="B25" s="2">
        <v>11145</v>
      </c>
      <c r="C25" s="2" t="s">
        <v>519</v>
      </c>
      <c r="D25" s="5">
        <v>10000</v>
      </c>
      <c r="E25" s="5">
        <f t="shared" si="0"/>
        <v>290000</v>
      </c>
      <c r="F25" s="5">
        <f t="shared" si="1"/>
        <v>235000</v>
      </c>
    </row>
    <row r="26" spans="1:6" x14ac:dyDescent="0.35">
      <c r="A26" s="2" t="s">
        <v>580</v>
      </c>
      <c r="B26" s="2">
        <v>10117</v>
      </c>
      <c r="C26" s="2" t="s">
        <v>519</v>
      </c>
      <c r="D26" s="5">
        <v>10000</v>
      </c>
      <c r="E26" s="5">
        <f t="shared" si="0"/>
        <v>300000</v>
      </c>
      <c r="F26" s="5">
        <f t="shared" si="1"/>
        <v>225000</v>
      </c>
    </row>
    <row r="27" spans="1:6" x14ac:dyDescent="0.35">
      <c r="A27" s="2" t="s">
        <v>581</v>
      </c>
      <c r="B27" s="2">
        <v>10342</v>
      </c>
      <c r="C27" s="2" t="s">
        <v>519</v>
      </c>
      <c r="D27" s="5">
        <v>15000</v>
      </c>
      <c r="E27" s="5">
        <f t="shared" si="0"/>
        <v>315000</v>
      </c>
      <c r="F27" s="5">
        <f t="shared" si="1"/>
        <v>210000</v>
      </c>
    </row>
    <row r="28" spans="1:6" x14ac:dyDescent="0.35">
      <c r="A28" s="2" t="s">
        <v>582</v>
      </c>
      <c r="B28" s="2">
        <v>12155</v>
      </c>
      <c r="C28" s="2" t="s">
        <v>519</v>
      </c>
      <c r="D28" s="5">
        <v>10000</v>
      </c>
      <c r="E28" s="5">
        <f t="shared" si="0"/>
        <v>325000</v>
      </c>
      <c r="F28" s="5">
        <f t="shared" si="1"/>
        <v>200000</v>
      </c>
    </row>
    <row r="29" spans="1:6" x14ac:dyDescent="0.35">
      <c r="A29" s="2" t="s">
        <v>528</v>
      </c>
      <c r="B29" s="2">
        <v>12748</v>
      </c>
      <c r="C29" s="2" t="s">
        <v>519</v>
      </c>
      <c r="D29" s="5">
        <v>10000</v>
      </c>
      <c r="E29" s="5">
        <f t="shared" si="0"/>
        <v>335000</v>
      </c>
      <c r="F29" s="5">
        <f t="shared" si="1"/>
        <v>190000</v>
      </c>
    </row>
    <row r="30" spans="1:6" x14ac:dyDescent="0.35">
      <c r="A30" s="2" t="s">
        <v>583</v>
      </c>
      <c r="B30" s="2">
        <v>9098</v>
      </c>
      <c r="C30" s="2" t="s">
        <v>519</v>
      </c>
      <c r="D30" s="5">
        <v>10000</v>
      </c>
      <c r="E30" s="5">
        <f t="shared" si="0"/>
        <v>345000</v>
      </c>
      <c r="F30" s="5">
        <f t="shared" si="1"/>
        <v>180000</v>
      </c>
    </row>
    <row r="31" spans="1:6" x14ac:dyDescent="0.35">
      <c r="A31" s="2" t="s">
        <v>584</v>
      </c>
      <c r="B31" s="2">
        <v>9525</v>
      </c>
      <c r="C31" s="2" t="s">
        <v>519</v>
      </c>
      <c r="D31" s="5">
        <v>10000</v>
      </c>
      <c r="E31" s="5">
        <f t="shared" si="0"/>
        <v>355000</v>
      </c>
      <c r="F31" s="5">
        <f t="shared" si="1"/>
        <v>170000</v>
      </c>
    </row>
    <row r="32" spans="1:6" x14ac:dyDescent="0.35">
      <c r="A32" s="2" t="s">
        <v>585</v>
      </c>
      <c r="B32" s="2">
        <v>10013</v>
      </c>
      <c r="C32" s="2" t="s">
        <v>519</v>
      </c>
      <c r="D32" s="5">
        <v>10000</v>
      </c>
      <c r="E32" s="5">
        <f t="shared" si="0"/>
        <v>365000</v>
      </c>
      <c r="F32" s="5">
        <f t="shared" si="1"/>
        <v>160000</v>
      </c>
    </row>
    <row r="33" spans="1:6" x14ac:dyDescent="0.35">
      <c r="A33" s="2" t="s">
        <v>586</v>
      </c>
      <c r="B33" s="2">
        <v>10852</v>
      </c>
      <c r="C33" s="2" t="s">
        <v>519</v>
      </c>
      <c r="D33" s="5">
        <v>15000</v>
      </c>
      <c r="E33" s="5">
        <f t="shared" si="0"/>
        <v>380000</v>
      </c>
      <c r="F33" s="5">
        <f t="shared" si="1"/>
        <v>145000</v>
      </c>
    </row>
    <row r="34" spans="1:6" x14ac:dyDescent="0.35">
      <c r="A34" s="2" t="s">
        <v>587</v>
      </c>
      <c r="B34" s="2">
        <v>10291</v>
      </c>
      <c r="C34" s="2" t="s">
        <v>519</v>
      </c>
      <c r="D34" s="5">
        <v>10000</v>
      </c>
      <c r="E34" s="5">
        <f t="shared" si="0"/>
        <v>390000</v>
      </c>
      <c r="F34" s="5">
        <f t="shared" si="1"/>
        <v>135000</v>
      </c>
    </row>
    <row r="35" spans="1:6" x14ac:dyDescent="0.35">
      <c r="A35" s="2" t="s">
        <v>588</v>
      </c>
      <c r="B35" s="2">
        <v>12233</v>
      </c>
      <c r="C35" s="2" t="s">
        <v>519</v>
      </c>
      <c r="D35" s="5">
        <v>10000</v>
      </c>
      <c r="E35" s="5">
        <f t="shared" si="0"/>
        <v>400000</v>
      </c>
      <c r="F35" s="5">
        <f t="shared" si="1"/>
        <v>125000</v>
      </c>
    </row>
    <row r="36" spans="1:6" x14ac:dyDescent="0.35">
      <c r="A36" s="2" t="s">
        <v>589</v>
      </c>
      <c r="B36" s="2">
        <v>12975</v>
      </c>
      <c r="C36" s="2" t="s">
        <v>519</v>
      </c>
      <c r="D36" s="5">
        <v>10000</v>
      </c>
      <c r="E36" s="5">
        <f t="shared" si="0"/>
        <v>410000</v>
      </c>
      <c r="F36" s="5">
        <f t="shared" si="1"/>
        <v>115000</v>
      </c>
    </row>
    <row r="37" spans="1:6" x14ac:dyDescent="0.35">
      <c r="A37" s="2" t="s">
        <v>590</v>
      </c>
      <c r="B37" s="2">
        <v>13987</v>
      </c>
      <c r="C37" s="2" t="s">
        <v>519</v>
      </c>
      <c r="D37" s="5">
        <v>10000</v>
      </c>
      <c r="E37" s="5">
        <f t="shared" si="0"/>
        <v>420000</v>
      </c>
      <c r="F37" s="5">
        <f t="shared" si="1"/>
        <v>105000</v>
      </c>
    </row>
    <row r="38" spans="1:6" x14ac:dyDescent="0.35">
      <c r="A38" s="2" t="s">
        <v>591</v>
      </c>
      <c r="B38" s="2">
        <v>13074</v>
      </c>
      <c r="C38" s="2" t="s">
        <v>519</v>
      </c>
      <c r="D38" s="5">
        <v>10000</v>
      </c>
      <c r="E38" s="5">
        <f t="shared" si="0"/>
        <v>430000</v>
      </c>
      <c r="F38" s="5">
        <f t="shared" si="1"/>
        <v>95000</v>
      </c>
    </row>
    <row r="39" spans="1:6" x14ac:dyDescent="0.35">
      <c r="A39" s="2" t="s">
        <v>592</v>
      </c>
      <c r="B39" s="2">
        <v>12632</v>
      </c>
      <c r="C39" s="2" t="s">
        <v>519</v>
      </c>
      <c r="D39" s="5">
        <v>10000</v>
      </c>
      <c r="E39" s="5">
        <f t="shared" si="0"/>
        <v>440000</v>
      </c>
      <c r="F39" s="5">
        <f t="shared" si="1"/>
        <v>85000</v>
      </c>
    </row>
    <row r="40" spans="1:6" x14ac:dyDescent="0.35">
      <c r="A40" s="2" t="s">
        <v>593</v>
      </c>
      <c r="B40" s="2">
        <v>12553</v>
      </c>
      <c r="C40" s="2" t="s">
        <v>519</v>
      </c>
      <c r="D40" s="5">
        <v>10000</v>
      </c>
      <c r="E40" s="5">
        <f t="shared" si="0"/>
        <v>450000</v>
      </c>
      <c r="F40" s="5">
        <f t="shared" si="1"/>
        <v>75000</v>
      </c>
    </row>
    <row r="41" spans="1:6" x14ac:dyDescent="0.35">
      <c r="A41" s="2" t="s">
        <v>594</v>
      </c>
      <c r="B41" s="2">
        <v>13966</v>
      </c>
      <c r="C41" s="2" t="s">
        <v>519</v>
      </c>
      <c r="D41" s="5">
        <v>10000</v>
      </c>
      <c r="E41" s="5">
        <f t="shared" si="0"/>
        <v>460000</v>
      </c>
      <c r="F41" s="5">
        <f t="shared" si="1"/>
        <v>65000</v>
      </c>
    </row>
    <row r="42" spans="1:6" x14ac:dyDescent="0.35">
      <c r="A42" s="2" t="s">
        <v>595</v>
      </c>
      <c r="B42" s="2">
        <v>13966</v>
      </c>
      <c r="C42" s="2" t="s">
        <v>519</v>
      </c>
      <c r="D42" s="5">
        <v>10000</v>
      </c>
      <c r="E42" s="5">
        <f t="shared" si="0"/>
        <v>470000</v>
      </c>
      <c r="F42" s="5">
        <f t="shared" si="1"/>
        <v>55000</v>
      </c>
    </row>
    <row r="43" spans="1:6" x14ac:dyDescent="0.35">
      <c r="A43" s="2" t="s">
        <v>596</v>
      </c>
      <c r="B43" s="2">
        <v>13450</v>
      </c>
      <c r="C43" s="2" t="s">
        <v>519</v>
      </c>
      <c r="D43" s="5">
        <v>10000</v>
      </c>
      <c r="E43" s="5">
        <f t="shared" si="0"/>
        <v>480000</v>
      </c>
      <c r="F43" s="5">
        <f t="shared" si="1"/>
        <v>45000</v>
      </c>
    </row>
    <row r="44" spans="1:6" x14ac:dyDescent="0.35">
      <c r="A44" s="2" t="s">
        <v>597</v>
      </c>
      <c r="B44" s="2">
        <v>1317</v>
      </c>
      <c r="C44" s="2" t="s">
        <v>519</v>
      </c>
      <c r="D44" s="5">
        <v>10000</v>
      </c>
      <c r="E44" s="5">
        <f t="shared" si="0"/>
        <v>490000</v>
      </c>
      <c r="F44" s="5">
        <f t="shared" si="1"/>
        <v>35000</v>
      </c>
    </row>
    <row r="45" spans="1:6" x14ac:dyDescent="0.35">
      <c r="A45" s="2" t="s">
        <v>647</v>
      </c>
      <c r="B45" s="2">
        <v>1575</v>
      </c>
      <c r="C45" s="2" t="s">
        <v>519</v>
      </c>
      <c r="D45" s="5">
        <v>10000</v>
      </c>
      <c r="E45" s="5">
        <f>E44+D45</f>
        <v>500000</v>
      </c>
      <c r="F45" s="5">
        <f>F44-D45</f>
        <v>25000</v>
      </c>
    </row>
    <row r="46" spans="1:6" x14ac:dyDescent="0.35">
      <c r="A46" s="20" t="s">
        <v>670</v>
      </c>
      <c r="B46" s="20">
        <v>1850</v>
      </c>
      <c r="C46" s="2" t="s">
        <v>519</v>
      </c>
      <c r="D46" s="5">
        <v>10000</v>
      </c>
      <c r="E46" s="15">
        <f>E45+D46</f>
        <v>510000</v>
      </c>
      <c r="F46" s="15">
        <f>F45-D46</f>
        <v>15000</v>
      </c>
    </row>
    <row r="47" spans="1:6" x14ac:dyDescent="0.35">
      <c r="A47" s="20" t="s">
        <v>751</v>
      </c>
      <c r="B47" s="20">
        <v>2132</v>
      </c>
      <c r="C47" s="2" t="s">
        <v>519</v>
      </c>
      <c r="D47" s="15">
        <v>10000</v>
      </c>
      <c r="E47" s="15">
        <f>E46+D47</f>
        <v>520000</v>
      </c>
      <c r="F47" s="15">
        <f>F46-D47</f>
        <v>5000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46"/>
  <sheetViews>
    <sheetView topLeftCell="A33" workbookViewId="0">
      <selection activeCell="F47" sqref="F47"/>
    </sheetView>
  </sheetViews>
  <sheetFormatPr defaultRowHeight="14.5" x14ac:dyDescent="0.35"/>
  <cols>
    <col min="1" max="1" width="10.7265625" customWidth="1"/>
    <col min="3" max="3" width="14.1796875" customWidth="1"/>
    <col min="4" max="4" width="14.08984375" customWidth="1"/>
    <col min="5" max="5" width="13.6328125" customWidth="1"/>
    <col min="6" max="6" width="17.6328125" customWidth="1"/>
  </cols>
  <sheetData>
    <row r="1" spans="1:7" ht="18.5" x14ac:dyDescent="0.45">
      <c r="A1" s="1" t="s">
        <v>602</v>
      </c>
      <c r="B1" s="1" t="s">
        <v>610</v>
      </c>
      <c r="C1" s="1"/>
      <c r="D1" s="1"/>
      <c r="E1" s="1"/>
      <c r="F1" s="1"/>
      <c r="G1" s="1"/>
    </row>
    <row r="2" spans="1:7" ht="18.5" x14ac:dyDescent="0.45">
      <c r="A2" s="1" t="s">
        <v>497</v>
      </c>
      <c r="B2" s="1" t="s">
        <v>611</v>
      </c>
      <c r="C2" s="1"/>
      <c r="D2" s="1"/>
      <c r="E2" s="1"/>
      <c r="F2" s="1"/>
      <c r="G2" s="1"/>
    </row>
    <row r="3" spans="1:7" ht="18.5" x14ac:dyDescent="0.45">
      <c r="A3" s="1" t="s">
        <v>499</v>
      </c>
      <c r="B3" s="1" t="s">
        <v>600</v>
      </c>
      <c r="C3" s="1"/>
      <c r="D3" s="1"/>
      <c r="E3" s="1"/>
      <c r="F3" s="1"/>
      <c r="G3" s="1"/>
    </row>
    <row r="4" spans="1:7" ht="18.5" x14ac:dyDescent="0.45">
      <c r="A4" s="1" t="s">
        <v>500</v>
      </c>
      <c r="B4" s="1" t="s">
        <v>601</v>
      </c>
      <c r="C4" s="1"/>
      <c r="D4" s="1"/>
      <c r="E4" s="1"/>
      <c r="F4" s="1"/>
      <c r="G4" s="1"/>
    </row>
    <row r="5" spans="1:7" ht="18.5" x14ac:dyDescent="0.45">
      <c r="A5" s="1" t="s">
        <v>498</v>
      </c>
      <c r="B5" s="1" t="s">
        <v>603</v>
      </c>
      <c r="C5" s="1"/>
      <c r="D5" s="1"/>
      <c r="E5" s="1"/>
      <c r="F5" s="1"/>
      <c r="G5" s="1"/>
    </row>
    <row r="6" spans="1:7" ht="18.5" x14ac:dyDescent="0.45">
      <c r="A6" s="1" t="s">
        <v>501</v>
      </c>
      <c r="B6" s="1">
        <v>5996</v>
      </c>
      <c r="C6" s="1"/>
      <c r="D6" s="1"/>
      <c r="E6" s="1"/>
      <c r="F6" s="1"/>
      <c r="G6" s="1"/>
    </row>
    <row r="7" spans="1:7" ht="18.5" x14ac:dyDescent="0.45">
      <c r="A7" s="1"/>
      <c r="B7" s="1"/>
      <c r="C7" s="1"/>
      <c r="D7" s="1"/>
      <c r="E7" s="1"/>
      <c r="F7" s="1"/>
      <c r="G7" s="1"/>
    </row>
    <row r="8" spans="1:7" ht="18.5" x14ac:dyDescent="0.45">
      <c r="A8" s="41" t="s">
        <v>6</v>
      </c>
      <c r="B8" s="41" t="s">
        <v>7</v>
      </c>
      <c r="C8" s="41" t="s">
        <v>8</v>
      </c>
      <c r="D8" s="41" t="s">
        <v>9</v>
      </c>
      <c r="E8" s="41" t="s">
        <v>10</v>
      </c>
      <c r="F8" s="41" t="s">
        <v>11</v>
      </c>
      <c r="G8" s="1"/>
    </row>
    <row r="9" spans="1:7" x14ac:dyDescent="0.35">
      <c r="A9" s="2" t="s">
        <v>563</v>
      </c>
      <c r="B9" s="2">
        <v>2494</v>
      </c>
      <c r="C9" s="2" t="s">
        <v>454</v>
      </c>
      <c r="D9" s="5">
        <v>10000</v>
      </c>
      <c r="E9" s="5">
        <v>10000</v>
      </c>
      <c r="F9" s="5">
        <v>515000</v>
      </c>
    </row>
    <row r="10" spans="1:7" x14ac:dyDescent="0.35">
      <c r="A10" s="2" t="s">
        <v>564</v>
      </c>
      <c r="B10" s="2">
        <v>1935</v>
      </c>
      <c r="C10" s="2" t="s">
        <v>606</v>
      </c>
      <c r="D10" s="5">
        <v>110000</v>
      </c>
      <c r="E10" s="5">
        <f t="shared" ref="E10:E43" si="0">E9+D10</f>
        <v>120000</v>
      </c>
      <c r="F10" s="5">
        <f t="shared" ref="F10:F43" si="1">F9-D10</f>
        <v>405000</v>
      </c>
    </row>
    <row r="11" spans="1:7" x14ac:dyDescent="0.35">
      <c r="A11" s="2" t="s">
        <v>565</v>
      </c>
      <c r="B11" s="2">
        <v>1936</v>
      </c>
      <c r="C11" s="2" t="s">
        <v>519</v>
      </c>
      <c r="D11" s="5">
        <v>10000</v>
      </c>
      <c r="E11" s="5">
        <f t="shared" si="0"/>
        <v>130000</v>
      </c>
      <c r="F11" s="5">
        <f t="shared" si="1"/>
        <v>395000</v>
      </c>
    </row>
    <row r="12" spans="1:7" x14ac:dyDescent="0.35">
      <c r="A12" s="2" t="s">
        <v>604</v>
      </c>
      <c r="B12" s="2">
        <v>202</v>
      </c>
      <c r="C12" s="2" t="s">
        <v>519</v>
      </c>
      <c r="D12" s="5">
        <v>25000</v>
      </c>
      <c r="E12" s="5">
        <f t="shared" si="0"/>
        <v>155000</v>
      </c>
      <c r="F12" s="5">
        <f t="shared" si="1"/>
        <v>370000</v>
      </c>
    </row>
    <row r="13" spans="1:7" x14ac:dyDescent="0.35">
      <c r="A13" s="2" t="s">
        <v>567</v>
      </c>
      <c r="B13" s="2">
        <v>2892</v>
      </c>
      <c r="C13" s="2" t="s">
        <v>519</v>
      </c>
      <c r="D13" s="5">
        <v>15000</v>
      </c>
      <c r="E13" s="5">
        <f t="shared" si="0"/>
        <v>170000</v>
      </c>
      <c r="F13" s="5">
        <f t="shared" si="1"/>
        <v>355000</v>
      </c>
    </row>
    <row r="14" spans="1:7" x14ac:dyDescent="0.35">
      <c r="A14" s="2" t="s">
        <v>568</v>
      </c>
      <c r="B14" s="2">
        <v>3113</v>
      </c>
      <c r="C14" s="2" t="s">
        <v>519</v>
      </c>
      <c r="D14" s="5">
        <v>10000</v>
      </c>
      <c r="E14" s="5">
        <f t="shared" si="0"/>
        <v>180000</v>
      </c>
      <c r="F14" s="5">
        <f t="shared" si="1"/>
        <v>345000</v>
      </c>
    </row>
    <row r="15" spans="1:7" x14ac:dyDescent="0.35">
      <c r="A15" s="2" t="s">
        <v>569</v>
      </c>
      <c r="B15" s="2">
        <v>3905</v>
      </c>
      <c r="C15" s="2" t="s">
        <v>519</v>
      </c>
      <c r="D15" s="5">
        <v>10000</v>
      </c>
      <c r="E15" s="5">
        <f t="shared" si="0"/>
        <v>190000</v>
      </c>
      <c r="F15" s="5">
        <f t="shared" si="1"/>
        <v>335000</v>
      </c>
    </row>
    <row r="16" spans="1:7" x14ac:dyDescent="0.35">
      <c r="A16" s="2" t="s">
        <v>570</v>
      </c>
      <c r="B16" s="2">
        <v>4496</v>
      </c>
      <c r="C16" s="2" t="s">
        <v>519</v>
      </c>
      <c r="D16" s="5">
        <v>15000</v>
      </c>
      <c r="E16" s="5">
        <f t="shared" si="0"/>
        <v>205000</v>
      </c>
      <c r="F16" s="5">
        <f t="shared" si="1"/>
        <v>320000</v>
      </c>
    </row>
    <row r="17" spans="1:6" x14ac:dyDescent="0.35">
      <c r="A17" s="2" t="s">
        <v>571</v>
      </c>
      <c r="B17" s="2">
        <v>4973</v>
      </c>
      <c r="C17" s="2" t="s">
        <v>519</v>
      </c>
      <c r="D17" s="5">
        <v>10000</v>
      </c>
      <c r="E17" s="5">
        <f t="shared" si="0"/>
        <v>215000</v>
      </c>
      <c r="F17" s="5">
        <f t="shared" si="1"/>
        <v>310000</v>
      </c>
    </row>
    <row r="18" spans="1:6" x14ac:dyDescent="0.35">
      <c r="A18" s="2" t="s">
        <v>605</v>
      </c>
      <c r="B18" s="2">
        <v>5789</v>
      </c>
      <c r="C18" s="2" t="s">
        <v>519</v>
      </c>
      <c r="D18" s="5">
        <v>10000</v>
      </c>
      <c r="E18" s="5">
        <f t="shared" si="0"/>
        <v>225000</v>
      </c>
      <c r="F18" s="5">
        <f t="shared" si="1"/>
        <v>300000</v>
      </c>
    </row>
    <row r="19" spans="1:6" x14ac:dyDescent="0.35">
      <c r="A19" s="2" t="s">
        <v>574</v>
      </c>
      <c r="B19" s="2">
        <v>6275</v>
      </c>
      <c r="C19" s="2" t="s">
        <v>519</v>
      </c>
      <c r="D19" s="5">
        <v>10000</v>
      </c>
      <c r="E19" s="5">
        <f t="shared" si="0"/>
        <v>235000</v>
      </c>
      <c r="F19" s="5">
        <f t="shared" si="1"/>
        <v>290000</v>
      </c>
    </row>
    <row r="20" spans="1:6" x14ac:dyDescent="0.35">
      <c r="A20" s="2" t="s">
        <v>575</v>
      </c>
      <c r="B20" s="2">
        <v>6687</v>
      </c>
      <c r="C20" s="2" t="s">
        <v>519</v>
      </c>
      <c r="D20" s="5">
        <v>15000</v>
      </c>
      <c r="E20" s="5">
        <f t="shared" si="0"/>
        <v>250000</v>
      </c>
      <c r="F20" s="5">
        <f t="shared" si="1"/>
        <v>275000</v>
      </c>
    </row>
    <row r="21" spans="1:6" x14ac:dyDescent="0.35">
      <c r="A21" s="2" t="s">
        <v>576</v>
      </c>
      <c r="B21" s="2">
        <v>7537</v>
      </c>
      <c r="C21" s="2" t="s">
        <v>519</v>
      </c>
      <c r="D21" s="5">
        <v>10000</v>
      </c>
      <c r="E21" s="5">
        <f t="shared" si="0"/>
        <v>260000</v>
      </c>
      <c r="F21" s="5">
        <f t="shared" si="1"/>
        <v>265000</v>
      </c>
    </row>
    <row r="22" spans="1:6" x14ac:dyDescent="0.35">
      <c r="A22" s="2" t="s">
        <v>577</v>
      </c>
      <c r="B22" s="2">
        <v>8055</v>
      </c>
      <c r="C22" s="2" t="s">
        <v>519</v>
      </c>
      <c r="D22" s="5">
        <v>10000</v>
      </c>
      <c r="E22" s="5">
        <f t="shared" si="0"/>
        <v>270000</v>
      </c>
      <c r="F22" s="5">
        <f t="shared" si="1"/>
        <v>255000</v>
      </c>
    </row>
    <row r="23" spans="1:6" x14ac:dyDescent="0.35">
      <c r="A23" s="2" t="s">
        <v>578</v>
      </c>
      <c r="B23" s="2">
        <v>8676</v>
      </c>
      <c r="C23" s="2" t="s">
        <v>519</v>
      </c>
      <c r="D23" s="5">
        <v>10000</v>
      </c>
      <c r="E23" s="5">
        <f t="shared" si="0"/>
        <v>280000</v>
      </c>
      <c r="F23" s="5">
        <f t="shared" si="1"/>
        <v>245000</v>
      </c>
    </row>
    <row r="24" spans="1:6" x14ac:dyDescent="0.35">
      <c r="A24" s="2" t="s">
        <v>579</v>
      </c>
      <c r="B24" s="2">
        <v>9234</v>
      </c>
      <c r="C24" s="2" t="s">
        <v>519</v>
      </c>
      <c r="D24" s="5">
        <v>10000</v>
      </c>
      <c r="E24" s="5">
        <f t="shared" si="0"/>
        <v>290000</v>
      </c>
      <c r="F24" s="5">
        <f t="shared" si="1"/>
        <v>235000</v>
      </c>
    </row>
    <row r="25" spans="1:6" x14ac:dyDescent="0.35">
      <c r="A25" s="2" t="s">
        <v>607</v>
      </c>
      <c r="B25" s="2">
        <v>1146</v>
      </c>
      <c r="C25" s="2" t="s">
        <v>519</v>
      </c>
      <c r="D25" s="5">
        <v>15000</v>
      </c>
      <c r="E25" s="5">
        <f t="shared" si="0"/>
        <v>305000</v>
      </c>
      <c r="F25" s="5">
        <f t="shared" si="1"/>
        <v>220000</v>
      </c>
    </row>
    <row r="26" spans="1:6" x14ac:dyDescent="0.35">
      <c r="A26" s="2" t="s">
        <v>581</v>
      </c>
      <c r="B26" s="2">
        <v>10116</v>
      </c>
      <c r="C26" s="2" t="s">
        <v>519</v>
      </c>
      <c r="D26" s="5">
        <v>10000</v>
      </c>
      <c r="E26" s="5">
        <f t="shared" si="0"/>
        <v>315000</v>
      </c>
      <c r="F26" s="5">
        <f t="shared" si="1"/>
        <v>210000</v>
      </c>
    </row>
    <row r="27" spans="1:6" x14ac:dyDescent="0.35">
      <c r="A27" s="2" t="s">
        <v>582</v>
      </c>
      <c r="B27" s="2">
        <v>10341</v>
      </c>
      <c r="C27" s="2" t="s">
        <v>519</v>
      </c>
      <c r="D27" s="5">
        <v>10000</v>
      </c>
      <c r="E27" s="5">
        <f t="shared" si="0"/>
        <v>325000</v>
      </c>
      <c r="F27" s="5">
        <f t="shared" si="1"/>
        <v>200000</v>
      </c>
    </row>
    <row r="28" spans="1:6" x14ac:dyDescent="0.35">
      <c r="A28" s="2" t="s">
        <v>528</v>
      </c>
      <c r="B28" s="2">
        <v>12156</v>
      </c>
      <c r="C28" s="2" t="s">
        <v>519</v>
      </c>
      <c r="D28" s="5">
        <v>10000</v>
      </c>
      <c r="E28" s="5">
        <f t="shared" si="0"/>
        <v>335000</v>
      </c>
      <c r="F28" s="5">
        <f t="shared" si="1"/>
        <v>190000</v>
      </c>
    </row>
    <row r="29" spans="1:6" x14ac:dyDescent="0.35">
      <c r="A29" s="2" t="s">
        <v>583</v>
      </c>
      <c r="B29" s="2">
        <v>12749</v>
      </c>
      <c r="C29" s="2" t="s">
        <v>519</v>
      </c>
      <c r="D29" s="5">
        <v>10000</v>
      </c>
      <c r="E29" s="5">
        <f t="shared" si="0"/>
        <v>345000</v>
      </c>
      <c r="F29" s="5">
        <f t="shared" si="1"/>
        <v>180000</v>
      </c>
    </row>
    <row r="30" spans="1:6" x14ac:dyDescent="0.35">
      <c r="A30" s="2" t="s">
        <v>608</v>
      </c>
      <c r="B30" s="2">
        <v>9100</v>
      </c>
      <c r="C30" s="2" t="s">
        <v>519</v>
      </c>
      <c r="D30" s="5">
        <v>10000</v>
      </c>
      <c r="E30" s="5">
        <f t="shared" si="0"/>
        <v>355000</v>
      </c>
      <c r="F30" s="5">
        <f t="shared" si="1"/>
        <v>170000</v>
      </c>
    </row>
    <row r="31" spans="1:6" x14ac:dyDescent="0.35">
      <c r="A31" s="2" t="s">
        <v>609</v>
      </c>
      <c r="B31" s="2">
        <v>9526</v>
      </c>
      <c r="C31" s="2" t="s">
        <v>519</v>
      </c>
      <c r="D31" s="5">
        <v>10000</v>
      </c>
      <c r="E31" s="5">
        <f t="shared" si="0"/>
        <v>365000</v>
      </c>
      <c r="F31" s="5">
        <f t="shared" si="1"/>
        <v>160000</v>
      </c>
    </row>
    <row r="32" spans="1:6" x14ac:dyDescent="0.35">
      <c r="A32" s="2" t="s">
        <v>586</v>
      </c>
      <c r="B32" s="2">
        <v>10014</v>
      </c>
      <c r="C32" s="2" t="s">
        <v>519</v>
      </c>
      <c r="D32" s="5">
        <v>15000</v>
      </c>
      <c r="E32" s="5">
        <f t="shared" si="0"/>
        <v>380000</v>
      </c>
      <c r="F32" s="5">
        <f t="shared" si="1"/>
        <v>145000</v>
      </c>
    </row>
    <row r="33" spans="1:6" x14ac:dyDescent="0.35">
      <c r="A33" s="2" t="s">
        <v>587</v>
      </c>
      <c r="B33" s="2">
        <v>10853</v>
      </c>
      <c r="C33" s="2" t="s">
        <v>519</v>
      </c>
      <c r="D33" s="5">
        <v>10000</v>
      </c>
      <c r="E33" s="5">
        <f t="shared" si="0"/>
        <v>390000</v>
      </c>
      <c r="F33" s="5">
        <f t="shared" si="1"/>
        <v>135000</v>
      </c>
    </row>
    <row r="34" spans="1:6" x14ac:dyDescent="0.35">
      <c r="A34" s="2" t="s">
        <v>588</v>
      </c>
      <c r="B34" s="2">
        <v>10292</v>
      </c>
      <c r="C34" s="2" t="s">
        <v>519</v>
      </c>
      <c r="D34" s="5">
        <v>10000</v>
      </c>
      <c r="E34" s="5">
        <f t="shared" si="0"/>
        <v>400000</v>
      </c>
      <c r="F34" s="5">
        <f t="shared" si="1"/>
        <v>125000</v>
      </c>
    </row>
    <row r="35" spans="1:6" x14ac:dyDescent="0.35">
      <c r="A35" s="2" t="s">
        <v>589</v>
      </c>
      <c r="B35" s="2">
        <v>12232</v>
      </c>
      <c r="C35" s="2" t="s">
        <v>519</v>
      </c>
      <c r="D35" s="5">
        <v>10000</v>
      </c>
      <c r="E35" s="5">
        <f t="shared" si="0"/>
        <v>410000</v>
      </c>
      <c r="F35" s="5">
        <f t="shared" si="1"/>
        <v>115000</v>
      </c>
    </row>
    <row r="36" spans="1:6" x14ac:dyDescent="0.35">
      <c r="A36" s="2" t="s">
        <v>590</v>
      </c>
      <c r="B36" s="2">
        <v>12976</v>
      </c>
      <c r="C36" s="2" t="s">
        <v>519</v>
      </c>
      <c r="D36" s="5">
        <v>10000</v>
      </c>
      <c r="E36" s="5">
        <f t="shared" si="0"/>
        <v>420000</v>
      </c>
      <c r="F36" s="5">
        <f t="shared" si="1"/>
        <v>105000</v>
      </c>
    </row>
    <row r="37" spans="1:6" x14ac:dyDescent="0.35">
      <c r="A37" s="2" t="s">
        <v>591</v>
      </c>
      <c r="B37" s="2">
        <v>13989</v>
      </c>
      <c r="C37" s="2" t="s">
        <v>519</v>
      </c>
      <c r="D37" s="5">
        <v>10000</v>
      </c>
      <c r="E37" s="5">
        <f t="shared" si="0"/>
        <v>430000</v>
      </c>
      <c r="F37" s="5">
        <f t="shared" si="1"/>
        <v>95000</v>
      </c>
    </row>
    <row r="38" spans="1:6" x14ac:dyDescent="0.35">
      <c r="A38" s="2" t="s">
        <v>592</v>
      </c>
      <c r="B38" s="2">
        <v>13076</v>
      </c>
      <c r="C38" s="2" t="s">
        <v>519</v>
      </c>
      <c r="D38" s="5">
        <v>10000</v>
      </c>
      <c r="E38" s="5">
        <f t="shared" si="0"/>
        <v>440000</v>
      </c>
      <c r="F38" s="5">
        <f t="shared" si="1"/>
        <v>85000</v>
      </c>
    </row>
    <row r="39" spans="1:6" x14ac:dyDescent="0.35">
      <c r="A39" s="2" t="s">
        <v>593</v>
      </c>
      <c r="B39" s="2">
        <v>12633</v>
      </c>
      <c r="C39" s="2" t="s">
        <v>519</v>
      </c>
      <c r="D39" s="5">
        <v>10000</v>
      </c>
      <c r="E39" s="5">
        <f t="shared" si="0"/>
        <v>450000</v>
      </c>
      <c r="F39" s="5">
        <f t="shared" si="1"/>
        <v>75000</v>
      </c>
    </row>
    <row r="40" spans="1:6" x14ac:dyDescent="0.35">
      <c r="A40" s="2" t="s">
        <v>594</v>
      </c>
      <c r="B40" s="2">
        <v>12254</v>
      </c>
      <c r="C40" s="2" t="s">
        <v>519</v>
      </c>
      <c r="D40" s="5">
        <v>10000</v>
      </c>
      <c r="E40" s="5">
        <f t="shared" si="0"/>
        <v>460000</v>
      </c>
      <c r="F40" s="5">
        <f t="shared" si="1"/>
        <v>65000</v>
      </c>
    </row>
    <row r="41" spans="1:6" x14ac:dyDescent="0.35">
      <c r="A41" s="2" t="s">
        <v>595</v>
      </c>
      <c r="B41" s="2">
        <v>13967</v>
      </c>
      <c r="C41" s="2" t="s">
        <v>519</v>
      </c>
      <c r="D41" s="5">
        <v>10000</v>
      </c>
      <c r="E41" s="5">
        <f t="shared" si="0"/>
        <v>470000</v>
      </c>
      <c r="F41" s="5">
        <f t="shared" si="1"/>
        <v>55000</v>
      </c>
    </row>
    <row r="42" spans="1:6" x14ac:dyDescent="0.35">
      <c r="A42" s="2" t="s">
        <v>596</v>
      </c>
      <c r="B42" s="2">
        <v>13448</v>
      </c>
      <c r="C42" s="2" t="s">
        <v>519</v>
      </c>
      <c r="D42" s="5">
        <v>10000</v>
      </c>
      <c r="E42" s="5">
        <f t="shared" si="0"/>
        <v>480000</v>
      </c>
      <c r="F42" s="5">
        <f t="shared" si="1"/>
        <v>45000</v>
      </c>
    </row>
    <row r="43" spans="1:6" x14ac:dyDescent="0.35">
      <c r="A43" s="2" t="s">
        <v>597</v>
      </c>
      <c r="B43" s="2">
        <v>1316</v>
      </c>
      <c r="C43" s="2" t="s">
        <v>519</v>
      </c>
      <c r="D43" s="5">
        <v>10000</v>
      </c>
      <c r="E43" s="5">
        <f t="shared" si="0"/>
        <v>490000</v>
      </c>
      <c r="F43" s="5">
        <f t="shared" si="1"/>
        <v>35000</v>
      </c>
    </row>
    <row r="44" spans="1:6" x14ac:dyDescent="0.35">
      <c r="A44" s="2" t="s">
        <v>623</v>
      </c>
      <c r="B44" s="2">
        <v>1576</v>
      </c>
      <c r="C44" s="2" t="s">
        <v>519</v>
      </c>
      <c r="D44" s="5">
        <v>10000</v>
      </c>
      <c r="E44" s="5">
        <f>E43+D44</f>
        <v>500000</v>
      </c>
      <c r="F44" s="5">
        <f>F43-D44</f>
        <v>25000</v>
      </c>
    </row>
    <row r="45" spans="1:6" x14ac:dyDescent="0.35">
      <c r="A45" s="2" t="s">
        <v>670</v>
      </c>
      <c r="B45" s="2">
        <v>1849</v>
      </c>
      <c r="C45" s="2" t="s">
        <v>519</v>
      </c>
      <c r="D45" s="5">
        <v>10000</v>
      </c>
      <c r="E45" s="5">
        <f>E44+D45</f>
        <v>510000</v>
      </c>
      <c r="F45" s="5">
        <f>F44-D45</f>
        <v>15000</v>
      </c>
    </row>
    <row r="46" spans="1:6" x14ac:dyDescent="0.35">
      <c r="A46" s="20" t="s">
        <v>751</v>
      </c>
      <c r="B46" s="20">
        <v>2131</v>
      </c>
      <c r="C46" s="2" t="s">
        <v>519</v>
      </c>
      <c r="D46" s="5">
        <v>10000</v>
      </c>
      <c r="E46" s="15">
        <f>E45+D46</f>
        <v>520000</v>
      </c>
      <c r="F46" s="15">
        <f>F45-D46</f>
        <v>5000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37"/>
  <sheetViews>
    <sheetView topLeftCell="A17" workbookViewId="0">
      <selection activeCell="D37" sqref="D37"/>
    </sheetView>
  </sheetViews>
  <sheetFormatPr defaultRowHeight="14.5" x14ac:dyDescent="0.35"/>
  <cols>
    <col min="1" max="1" width="10.1796875" customWidth="1"/>
    <col min="3" max="3" width="11" customWidth="1"/>
    <col min="6" max="6" width="11.54296875" customWidth="1"/>
  </cols>
  <sheetData>
    <row r="1" spans="1:6" ht="18.5" x14ac:dyDescent="0.45">
      <c r="A1" s="1" t="s">
        <v>336</v>
      </c>
      <c r="B1" s="1"/>
      <c r="C1" s="1"/>
      <c r="D1" s="1"/>
      <c r="E1" s="1"/>
      <c r="F1" s="1"/>
    </row>
    <row r="2" spans="1:6" ht="18.5" x14ac:dyDescent="0.45">
      <c r="A2" s="1" t="s">
        <v>337</v>
      </c>
      <c r="C2" s="1"/>
      <c r="D2" s="1"/>
      <c r="E2" s="1"/>
      <c r="F2" s="1"/>
    </row>
    <row r="3" spans="1:6" ht="18.5" x14ac:dyDescent="0.45">
      <c r="A3" s="1" t="s">
        <v>338</v>
      </c>
      <c r="B3" s="1"/>
      <c r="C3" s="1"/>
      <c r="D3" s="1"/>
      <c r="E3" s="1"/>
      <c r="F3" s="1"/>
    </row>
    <row r="4" spans="1:6" ht="18.5" x14ac:dyDescent="0.45">
      <c r="A4" s="1" t="s">
        <v>389</v>
      </c>
      <c r="B4" s="1"/>
      <c r="C4" s="1"/>
      <c r="D4" s="1"/>
      <c r="E4" s="1"/>
      <c r="F4" s="1"/>
    </row>
    <row r="5" spans="1:6" ht="18.5" x14ac:dyDescent="0.45">
      <c r="A5" s="1" t="s">
        <v>3</v>
      </c>
      <c r="B5" s="1"/>
      <c r="C5" s="1"/>
      <c r="D5" s="1"/>
      <c r="E5" s="1"/>
      <c r="F5" s="1"/>
    </row>
    <row r="6" spans="1:6" ht="18.5" x14ac:dyDescent="0.45">
      <c r="A6" s="1" t="s">
        <v>339</v>
      </c>
      <c r="B6" s="1"/>
      <c r="C6" s="1"/>
      <c r="D6" s="1"/>
      <c r="E6" s="1" t="s">
        <v>287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7" t="s">
        <v>288</v>
      </c>
      <c r="B8" s="7">
        <v>2494</v>
      </c>
      <c r="C8" s="7" t="s">
        <v>22</v>
      </c>
      <c r="D8" s="13">
        <v>10000</v>
      </c>
      <c r="E8" s="13">
        <v>10000</v>
      </c>
      <c r="F8" s="13">
        <v>515000</v>
      </c>
    </row>
    <row r="9" spans="1:6" x14ac:dyDescent="0.35">
      <c r="A9" s="14">
        <v>45231</v>
      </c>
      <c r="B9" s="7">
        <v>1933</v>
      </c>
      <c r="C9" s="7" t="s">
        <v>245</v>
      </c>
      <c r="D9" s="13">
        <v>110000</v>
      </c>
      <c r="E9" s="13">
        <f>SUM(E8+D9)</f>
        <v>120000</v>
      </c>
      <c r="F9" s="13">
        <f>F8-D9</f>
        <v>405000</v>
      </c>
    </row>
    <row r="10" spans="1:6" x14ac:dyDescent="0.35">
      <c r="A10" s="7" t="s">
        <v>289</v>
      </c>
      <c r="B10" s="7">
        <v>1934</v>
      </c>
      <c r="C10" s="7" t="s">
        <v>14</v>
      </c>
      <c r="D10" s="13">
        <v>10000</v>
      </c>
      <c r="E10" s="13">
        <f t="shared" ref="E10:E35" si="0">SUM(E9+D10)</f>
        <v>130000</v>
      </c>
      <c r="F10" s="13">
        <f t="shared" ref="F10:F35" si="1">F9-D10</f>
        <v>395000</v>
      </c>
    </row>
    <row r="11" spans="1:6" x14ac:dyDescent="0.35">
      <c r="A11" s="14">
        <v>45143</v>
      </c>
      <c r="B11" s="7">
        <v>721</v>
      </c>
      <c r="C11" s="7" t="s">
        <v>14</v>
      </c>
      <c r="D11" s="13">
        <v>20000</v>
      </c>
      <c r="E11" s="13">
        <f t="shared" si="0"/>
        <v>150000</v>
      </c>
      <c r="F11" s="13">
        <f t="shared" si="1"/>
        <v>375000</v>
      </c>
    </row>
    <row r="12" spans="1:6" x14ac:dyDescent="0.35">
      <c r="A12" s="7" t="s">
        <v>340</v>
      </c>
      <c r="B12" s="7">
        <v>205</v>
      </c>
      <c r="C12" s="7" t="s">
        <v>14</v>
      </c>
      <c r="D12" s="13">
        <v>5000</v>
      </c>
      <c r="E12" s="13">
        <f t="shared" si="0"/>
        <v>155000</v>
      </c>
      <c r="F12" s="13">
        <f t="shared" si="1"/>
        <v>370000</v>
      </c>
    </row>
    <row r="13" spans="1:6" x14ac:dyDescent="0.35">
      <c r="A13" s="14" t="s">
        <v>291</v>
      </c>
      <c r="B13" s="7">
        <v>2908</v>
      </c>
      <c r="C13" s="7" t="s">
        <v>14</v>
      </c>
      <c r="D13" s="13">
        <v>10000</v>
      </c>
      <c r="E13" s="13">
        <f t="shared" si="0"/>
        <v>165000</v>
      </c>
      <c r="F13" s="13">
        <f t="shared" si="1"/>
        <v>360000</v>
      </c>
    </row>
    <row r="14" spans="1:6" x14ac:dyDescent="0.35">
      <c r="A14" s="7" t="s">
        <v>139</v>
      </c>
      <c r="B14" s="7">
        <v>3114</v>
      </c>
      <c r="C14" s="7" t="s">
        <v>14</v>
      </c>
      <c r="D14" s="13">
        <v>10000</v>
      </c>
      <c r="E14" s="13">
        <f t="shared" si="0"/>
        <v>175000</v>
      </c>
      <c r="F14" s="13">
        <f t="shared" si="1"/>
        <v>350000</v>
      </c>
    </row>
    <row r="15" spans="1:6" x14ac:dyDescent="0.35">
      <c r="A15" s="14" t="s">
        <v>292</v>
      </c>
      <c r="B15" s="7">
        <v>3901</v>
      </c>
      <c r="C15" s="7" t="s">
        <v>14</v>
      </c>
      <c r="D15" s="13">
        <v>10000</v>
      </c>
      <c r="E15" s="13">
        <f t="shared" si="0"/>
        <v>185000</v>
      </c>
      <c r="F15" s="13">
        <f t="shared" si="1"/>
        <v>340000</v>
      </c>
    </row>
    <row r="16" spans="1:6" x14ac:dyDescent="0.35">
      <c r="A16" s="7" t="s">
        <v>341</v>
      </c>
      <c r="B16" s="7">
        <v>4528</v>
      </c>
      <c r="C16" s="7" t="s">
        <v>14</v>
      </c>
      <c r="D16" s="13">
        <v>15000</v>
      </c>
      <c r="E16" s="13">
        <f t="shared" si="0"/>
        <v>200000</v>
      </c>
      <c r="F16" s="13">
        <f t="shared" si="1"/>
        <v>325000</v>
      </c>
    </row>
    <row r="17" spans="1:6" x14ac:dyDescent="0.35">
      <c r="A17" s="14" t="s">
        <v>294</v>
      </c>
      <c r="B17" s="7">
        <v>5062</v>
      </c>
      <c r="C17" s="7" t="s">
        <v>14</v>
      </c>
      <c r="D17" s="13">
        <v>10000</v>
      </c>
      <c r="E17" s="13">
        <f t="shared" si="0"/>
        <v>210000</v>
      </c>
      <c r="F17" s="13">
        <f t="shared" si="1"/>
        <v>315000</v>
      </c>
    </row>
    <row r="18" spans="1:6" x14ac:dyDescent="0.35">
      <c r="A18" s="7" t="s">
        <v>295</v>
      </c>
      <c r="B18" s="7">
        <v>5740</v>
      </c>
      <c r="C18" s="7" t="s">
        <v>14</v>
      </c>
      <c r="D18" s="13">
        <v>10000</v>
      </c>
      <c r="E18" s="13">
        <f t="shared" si="0"/>
        <v>220000</v>
      </c>
      <c r="F18" s="13">
        <f t="shared" si="1"/>
        <v>305000</v>
      </c>
    </row>
    <row r="19" spans="1:6" x14ac:dyDescent="0.35">
      <c r="A19" s="14" t="s">
        <v>296</v>
      </c>
      <c r="B19" s="7">
        <v>6797</v>
      </c>
      <c r="C19" s="7" t="s">
        <v>14</v>
      </c>
      <c r="D19" s="13">
        <v>15000</v>
      </c>
      <c r="E19" s="13">
        <f t="shared" si="0"/>
        <v>235000</v>
      </c>
      <c r="F19" s="13">
        <f t="shared" si="1"/>
        <v>290000</v>
      </c>
    </row>
    <row r="20" spans="1:6" x14ac:dyDescent="0.35">
      <c r="A20" s="7" t="s">
        <v>211</v>
      </c>
      <c r="B20" s="7">
        <v>7554</v>
      </c>
      <c r="C20" s="7" t="s">
        <v>14</v>
      </c>
      <c r="D20" s="13">
        <v>10000</v>
      </c>
      <c r="E20" s="13">
        <f t="shared" si="0"/>
        <v>245000</v>
      </c>
      <c r="F20" s="13">
        <f t="shared" si="1"/>
        <v>280000</v>
      </c>
    </row>
    <row r="21" spans="1:6" x14ac:dyDescent="0.35">
      <c r="A21" s="14" t="s">
        <v>297</v>
      </c>
      <c r="B21" s="7">
        <v>8116</v>
      </c>
      <c r="C21" s="7" t="s">
        <v>14</v>
      </c>
      <c r="D21" s="13">
        <v>10000</v>
      </c>
      <c r="E21" s="13">
        <f t="shared" si="0"/>
        <v>255000</v>
      </c>
      <c r="F21" s="13">
        <f t="shared" si="1"/>
        <v>270000</v>
      </c>
    </row>
    <row r="22" spans="1:6" x14ac:dyDescent="0.35">
      <c r="A22" s="7" t="s">
        <v>60</v>
      </c>
      <c r="B22" s="7">
        <v>8677</v>
      </c>
      <c r="C22" s="7" t="s">
        <v>14</v>
      </c>
      <c r="D22" s="13">
        <v>10000</v>
      </c>
      <c r="E22" s="13">
        <f t="shared" si="0"/>
        <v>265000</v>
      </c>
      <c r="F22" s="13">
        <f t="shared" si="1"/>
        <v>260000</v>
      </c>
    </row>
    <row r="23" spans="1:6" x14ac:dyDescent="0.35">
      <c r="A23" s="14" t="s">
        <v>298</v>
      </c>
      <c r="B23" s="7">
        <v>9282</v>
      </c>
      <c r="C23" s="7" t="s">
        <v>14</v>
      </c>
      <c r="D23" s="13">
        <v>10000</v>
      </c>
      <c r="E23" s="13">
        <f t="shared" si="0"/>
        <v>275000</v>
      </c>
      <c r="F23" s="13">
        <f t="shared" si="1"/>
        <v>250000</v>
      </c>
    </row>
    <row r="24" spans="1:6" x14ac:dyDescent="0.35">
      <c r="A24" s="7" t="s">
        <v>342</v>
      </c>
      <c r="B24" s="7">
        <v>11266</v>
      </c>
      <c r="C24" s="7" t="s">
        <v>14</v>
      </c>
      <c r="D24" s="13">
        <v>15000</v>
      </c>
      <c r="E24" s="13">
        <f t="shared" si="0"/>
        <v>290000</v>
      </c>
      <c r="F24" s="13">
        <f t="shared" si="1"/>
        <v>235000</v>
      </c>
    </row>
    <row r="25" spans="1:6" x14ac:dyDescent="0.35">
      <c r="A25" s="14" t="s">
        <v>300</v>
      </c>
      <c r="B25" s="7">
        <v>10152</v>
      </c>
      <c r="C25" s="7" t="s">
        <v>14</v>
      </c>
      <c r="D25" s="13">
        <v>10000</v>
      </c>
      <c r="E25" s="13">
        <f t="shared" si="0"/>
        <v>300000</v>
      </c>
      <c r="F25" s="13">
        <f t="shared" si="1"/>
        <v>225000</v>
      </c>
    </row>
    <row r="26" spans="1:6" x14ac:dyDescent="0.35">
      <c r="A26" s="7" t="s">
        <v>301</v>
      </c>
      <c r="B26" s="7">
        <v>11509</v>
      </c>
      <c r="C26" s="7" t="s">
        <v>14</v>
      </c>
      <c r="D26" s="13">
        <v>10000</v>
      </c>
      <c r="E26" s="13">
        <f t="shared" si="0"/>
        <v>310000</v>
      </c>
      <c r="F26" s="13">
        <f t="shared" si="1"/>
        <v>215000</v>
      </c>
    </row>
    <row r="27" spans="1:6" x14ac:dyDescent="0.35">
      <c r="A27" s="14" t="s">
        <v>250</v>
      </c>
      <c r="B27" s="7">
        <v>12769</v>
      </c>
      <c r="C27" s="7" t="s">
        <v>14</v>
      </c>
      <c r="D27" s="13">
        <v>15000</v>
      </c>
      <c r="E27" s="13">
        <f t="shared" si="0"/>
        <v>325000</v>
      </c>
      <c r="F27" s="13">
        <f t="shared" si="1"/>
        <v>200000</v>
      </c>
    </row>
    <row r="28" spans="1:6" x14ac:dyDescent="0.35">
      <c r="A28" s="7" t="s">
        <v>302</v>
      </c>
      <c r="B28" s="7">
        <v>9161</v>
      </c>
      <c r="C28" s="7" t="s">
        <v>14</v>
      </c>
      <c r="D28" s="13">
        <v>10000</v>
      </c>
      <c r="E28" s="13">
        <f t="shared" si="0"/>
        <v>335000</v>
      </c>
      <c r="F28" s="13">
        <f t="shared" si="1"/>
        <v>190000</v>
      </c>
    </row>
    <row r="29" spans="1:6" x14ac:dyDescent="0.35">
      <c r="A29" s="14">
        <v>45782</v>
      </c>
      <c r="B29" s="7">
        <v>10336</v>
      </c>
      <c r="C29" s="7" t="s">
        <v>14</v>
      </c>
      <c r="D29" s="13">
        <v>20000</v>
      </c>
      <c r="E29" s="13">
        <f t="shared" si="0"/>
        <v>355000</v>
      </c>
      <c r="F29" s="13">
        <f t="shared" si="1"/>
        <v>170000</v>
      </c>
    </row>
    <row r="30" spans="1:6" x14ac:dyDescent="0.35">
      <c r="A30" s="7" t="s">
        <v>316</v>
      </c>
      <c r="B30" s="7">
        <v>12331</v>
      </c>
      <c r="C30" s="7" t="s">
        <v>14</v>
      </c>
      <c r="D30" s="13">
        <v>15000</v>
      </c>
      <c r="E30" s="13">
        <f t="shared" si="0"/>
        <v>370000</v>
      </c>
      <c r="F30" s="13">
        <f t="shared" si="1"/>
        <v>155000</v>
      </c>
    </row>
    <row r="31" spans="1:6" x14ac:dyDescent="0.35">
      <c r="A31" s="14" t="s">
        <v>121</v>
      </c>
      <c r="B31" s="7">
        <v>13842</v>
      </c>
      <c r="C31" s="7" t="s">
        <v>14</v>
      </c>
      <c r="D31" s="13">
        <v>20000</v>
      </c>
      <c r="E31" s="13">
        <f t="shared" si="0"/>
        <v>390000</v>
      </c>
      <c r="F31" s="13">
        <f t="shared" si="1"/>
        <v>135000</v>
      </c>
    </row>
    <row r="32" spans="1:6" x14ac:dyDescent="0.35">
      <c r="A32" s="7" t="s">
        <v>307</v>
      </c>
      <c r="B32" s="7">
        <v>13845</v>
      </c>
      <c r="C32" s="7" t="s">
        <v>14</v>
      </c>
      <c r="D32" s="13">
        <v>30000</v>
      </c>
      <c r="E32" s="13">
        <f t="shared" si="0"/>
        <v>420000</v>
      </c>
      <c r="F32" s="13">
        <f t="shared" si="1"/>
        <v>105000</v>
      </c>
    </row>
    <row r="33" spans="1:6" x14ac:dyDescent="0.35">
      <c r="A33" s="14" t="s">
        <v>260</v>
      </c>
      <c r="B33" s="7">
        <v>12283</v>
      </c>
      <c r="C33" s="7" t="s">
        <v>14</v>
      </c>
      <c r="D33" s="13">
        <v>10000</v>
      </c>
      <c r="E33" s="13">
        <f t="shared" si="0"/>
        <v>430000</v>
      </c>
      <c r="F33" s="13">
        <f t="shared" si="1"/>
        <v>95000</v>
      </c>
    </row>
    <row r="34" spans="1:6" x14ac:dyDescent="0.35">
      <c r="A34" s="14">
        <v>46026</v>
      </c>
      <c r="B34" s="7">
        <v>13993</v>
      </c>
      <c r="C34" s="7" t="s">
        <v>14</v>
      </c>
      <c r="D34" s="13">
        <v>10000</v>
      </c>
      <c r="E34" s="13">
        <f t="shared" si="0"/>
        <v>440000</v>
      </c>
      <c r="F34" s="13">
        <f t="shared" si="1"/>
        <v>85000</v>
      </c>
    </row>
    <row r="35" spans="1:6" x14ac:dyDescent="0.35">
      <c r="A35" s="14" t="s">
        <v>390</v>
      </c>
      <c r="B35" s="7">
        <v>13098</v>
      </c>
      <c r="C35" s="7" t="s">
        <v>14</v>
      </c>
      <c r="D35" s="13">
        <v>10000</v>
      </c>
      <c r="E35" s="13">
        <f t="shared" si="0"/>
        <v>450000</v>
      </c>
      <c r="F35" s="13">
        <f t="shared" si="1"/>
        <v>75000</v>
      </c>
    </row>
    <row r="36" spans="1:6" x14ac:dyDescent="0.35">
      <c r="A36" s="14" t="s">
        <v>715</v>
      </c>
      <c r="B36" s="7">
        <v>1875</v>
      </c>
      <c r="C36" s="7" t="s">
        <v>14</v>
      </c>
      <c r="D36" s="13">
        <v>60000</v>
      </c>
      <c r="E36" s="13">
        <f>E35+D36</f>
        <v>510000</v>
      </c>
      <c r="F36" s="13">
        <f>F35-D36</f>
        <v>15000</v>
      </c>
    </row>
    <row r="37" spans="1:6" x14ac:dyDescent="0.35">
      <c r="A37" s="14" t="s">
        <v>752</v>
      </c>
      <c r="B37" s="7">
        <v>2136</v>
      </c>
      <c r="C37" s="7" t="s">
        <v>14</v>
      </c>
      <c r="D37" s="13">
        <v>10000</v>
      </c>
      <c r="E37" s="13">
        <f>E36+D37</f>
        <v>520000</v>
      </c>
      <c r="F37" s="13">
        <f>F36-D37</f>
        <v>5000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43"/>
  <sheetViews>
    <sheetView topLeftCell="A37" workbookViewId="0">
      <selection activeCell="F44" sqref="F44"/>
    </sheetView>
  </sheetViews>
  <sheetFormatPr defaultRowHeight="14.5" x14ac:dyDescent="0.35"/>
  <cols>
    <col min="1" max="1" width="9.453125" bestFit="1" customWidth="1"/>
    <col min="3" max="3" width="11.453125" customWidth="1"/>
    <col min="6" max="6" width="11.54296875" customWidth="1"/>
  </cols>
  <sheetData>
    <row r="1" spans="1:6" ht="18.5" x14ac:dyDescent="0.45">
      <c r="A1" s="1" t="s">
        <v>308</v>
      </c>
      <c r="B1" s="1"/>
      <c r="C1" s="1"/>
      <c r="D1" s="1"/>
      <c r="E1" s="1"/>
      <c r="F1" s="1"/>
    </row>
    <row r="2" spans="1:6" ht="18.5" x14ac:dyDescent="0.45">
      <c r="A2" s="1" t="s">
        <v>309</v>
      </c>
      <c r="C2" s="1"/>
      <c r="D2" s="1"/>
      <c r="E2" s="1"/>
      <c r="F2" s="1"/>
    </row>
    <row r="3" spans="1:6" ht="18.5" x14ac:dyDescent="0.45">
      <c r="A3" s="1" t="s">
        <v>310</v>
      </c>
      <c r="B3" s="1"/>
      <c r="C3" s="1"/>
      <c r="D3" s="1"/>
      <c r="E3" s="1"/>
      <c r="F3" s="1"/>
    </row>
    <row r="4" spans="1:6" ht="18.5" x14ac:dyDescent="0.45">
      <c r="A4" s="1" t="s">
        <v>625</v>
      </c>
      <c r="B4" s="1"/>
      <c r="C4" s="1"/>
      <c r="D4" s="1"/>
      <c r="E4" s="1"/>
      <c r="F4" s="1"/>
    </row>
    <row r="5" spans="1:6" ht="18.5" x14ac:dyDescent="0.45">
      <c r="A5" s="1" t="s">
        <v>311</v>
      </c>
      <c r="B5" s="1"/>
      <c r="C5" s="1"/>
      <c r="D5" s="1"/>
      <c r="E5" s="1"/>
      <c r="F5" s="1"/>
    </row>
    <row r="6" spans="1:6" ht="18.5" x14ac:dyDescent="0.45">
      <c r="A6" s="1" t="s">
        <v>312</v>
      </c>
      <c r="B6" s="1"/>
      <c r="C6" s="1"/>
      <c r="D6" s="1"/>
      <c r="E6" s="1" t="s">
        <v>287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2" t="s">
        <v>288</v>
      </c>
      <c r="B8" s="2">
        <v>2494</v>
      </c>
      <c r="C8" s="2" t="s">
        <v>183</v>
      </c>
      <c r="D8" s="5">
        <v>10000</v>
      </c>
      <c r="E8" s="5">
        <v>10000</v>
      </c>
      <c r="F8" s="5">
        <v>515000</v>
      </c>
    </row>
    <row r="9" spans="1:6" x14ac:dyDescent="0.35">
      <c r="A9" s="6">
        <v>45231</v>
      </c>
      <c r="B9" s="2">
        <v>1943</v>
      </c>
      <c r="C9" s="2" t="s">
        <v>184</v>
      </c>
      <c r="D9" s="5">
        <v>110000</v>
      </c>
      <c r="E9" s="5">
        <f>SUM(E8+D9)</f>
        <v>120000</v>
      </c>
      <c r="F9" s="5">
        <f>F8-D9</f>
        <v>405000</v>
      </c>
    </row>
    <row r="10" spans="1:6" x14ac:dyDescent="0.35">
      <c r="A10" s="2" t="s">
        <v>289</v>
      </c>
      <c r="B10" s="2">
        <v>1944</v>
      </c>
      <c r="C10" s="2" t="s">
        <v>14</v>
      </c>
      <c r="D10" s="5">
        <v>10000</v>
      </c>
      <c r="E10" s="5">
        <f t="shared" ref="E10:E35" si="0">SUM(E9+D10)</f>
        <v>130000</v>
      </c>
      <c r="F10" s="5">
        <f t="shared" ref="F10:F35" si="1">F9-D10</f>
        <v>395000</v>
      </c>
    </row>
    <row r="11" spans="1:6" x14ac:dyDescent="0.35">
      <c r="A11" s="2" t="s">
        <v>237</v>
      </c>
      <c r="B11" s="2">
        <v>51</v>
      </c>
      <c r="C11" s="2" t="s">
        <v>14</v>
      </c>
      <c r="D11" s="5">
        <v>10000</v>
      </c>
      <c r="E11" s="5">
        <f t="shared" si="0"/>
        <v>140000</v>
      </c>
      <c r="F11" s="5">
        <f t="shared" si="1"/>
        <v>385000</v>
      </c>
    </row>
    <row r="12" spans="1:6" x14ac:dyDescent="0.35">
      <c r="A12" s="6">
        <v>45143</v>
      </c>
      <c r="B12" s="2">
        <v>720</v>
      </c>
      <c r="C12" s="2" t="s">
        <v>14</v>
      </c>
      <c r="D12" s="5">
        <v>20000</v>
      </c>
      <c r="E12" s="5">
        <f t="shared" si="0"/>
        <v>160000</v>
      </c>
      <c r="F12" s="5">
        <f t="shared" si="1"/>
        <v>365000</v>
      </c>
    </row>
    <row r="13" spans="1:6" x14ac:dyDescent="0.35">
      <c r="A13" s="2" t="s">
        <v>291</v>
      </c>
      <c r="B13" s="2">
        <v>2907</v>
      </c>
      <c r="C13" s="2" t="s">
        <v>14</v>
      </c>
      <c r="D13" s="5">
        <v>10000</v>
      </c>
      <c r="E13" s="5">
        <f t="shared" si="0"/>
        <v>170000</v>
      </c>
      <c r="F13" s="5">
        <f t="shared" si="1"/>
        <v>355000</v>
      </c>
    </row>
    <row r="14" spans="1:6" x14ac:dyDescent="0.35">
      <c r="A14" s="2" t="s">
        <v>139</v>
      </c>
      <c r="B14" s="2">
        <v>3177</v>
      </c>
      <c r="C14" s="2" t="s">
        <v>14</v>
      </c>
      <c r="D14" s="5">
        <v>10000</v>
      </c>
      <c r="E14" s="5">
        <f t="shared" si="0"/>
        <v>180000</v>
      </c>
      <c r="F14" s="5">
        <f t="shared" si="1"/>
        <v>345000</v>
      </c>
    </row>
    <row r="15" spans="1:6" x14ac:dyDescent="0.35">
      <c r="A15" s="2" t="s">
        <v>292</v>
      </c>
      <c r="B15" s="2">
        <v>3906</v>
      </c>
      <c r="C15" s="2" t="s">
        <v>14</v>
      </c>
      <c r="D15" s="5">
        <v>10000</v>
      </c>
      <c r="E15" s="5">
        <f t="shared" si="0"/>
        <v>190000</v>
      </c>
      <c r="F15" s="5">
        <f t="shared" si="1"/>
        <v>335000</v>
      </c>
    </row>
    <row r="16" spans="1:6" x14ac:dyDescent="0.35">
      <c r="A16" s="2" t="s">
        <v>313</v>
      </c>
      <c r="B16" s="2">
        <v>4498</v>
      </c>
      <c r="C16" s="2" t="s">
        <v>14</v>
      </c>
      <c r="D16" s="5">
        <v>20000</v>
      </c>
      <c r="E16" s="5">
        <f t="shared" si="0"/>
        <v>210000</v>
      </c>
      <c r="F16" s="5">
        <f t="shared" si="1"/>
        <v>315000</v>
      </c>
    </row>
    <row r="17" spans="1:6" x14ac:dyDescent="0.35">
      <c r="A17" s="2" t="s">
        <v>314</v>
      </c>
      <c r="B17" s="2">
        <v>4977</v>
      </c>
      <c r="C17" s="2" t="s">
        <v>14</v>
      </c>
      <c r="D17" s="5">
        <v>10000</v>
      </c>
      <c r="E17" s="5">
        <f t="shared" si="0"/>
        <v>220000</v>
      </c>
      <c r="F17" s="5">
        <f t="shared" si="1"/>
        <v>305000</v>
      </c>
    </row>
    <row r="18" spans="1:6" x14ac:dyDescent="0.35">
      <c r="A18" s="6">
        <v>45150</v>
      </c>
      <c r="B18" s="2">
        <v>5743</v>
      </c>
      <c r="C18" s="2" t="s">
        <v>14</v>
      </c>
      <c r="D18" s="5">
        <v>10000</v>
      </c>
      <c r="E18" s="5">
        <f t="shared" si="0"/>
        <v>230000</v>
      </c>
      <c r="F18" s="5">
        <f t="shared" si="1"/>
        <v>295000</v>
      </c>
    </row>
    <row r="19" spans="1:6" x14ac:dyDescent="0.35">
      <c r="A19" s="2" t="s">
        <v>315</v>
      </c>
      <c r="B19" s="2">
        <v>6277</v>
      </c>
      <c r="C19" s="2" t="s">
        <v>14</v>
      </c>
      <c r="D19" s="5">
        <v>10000</v>
      </c>
      <c r="E19" s="5">
        <f t="shared" si="0"/>
        <v>240000</v>
      </c>
      <c r="F19" s="5">
        <f t="shared" si="1"/>
        <v>285000</v>
      </c>
    </row>
    <row r="20" spans="1:6" x14ac:dyDescent="0.35">
      <c r="A20" s="2" t="s">
        <v>142</v>
      </c>
      <c r="B20" s="2">
        <v>6685</v>
      </c>
      <c r="C20" s="2" t="s">
        <v>14</v>
      </c>
      <c r="D20" s="5">
        <v>10000</v>
      </c>
      <c r="E20" s="5">
        <f t="shared" si="0"/>
        <v>250000</v>
      </c>
      <c r="F20" s="5">
        <f t="shared" si="1"/>
        <v>275000</v>
      </c>
    </row>
    <row r="21" spans="1:6" x14ac:dyDescent="0.35">
      <c r="A21" s="2" t="s">
        <v>74</v>
      </c>
      <c r="B21" s="2">
        <v>7536</v>
      </c>
      <c r="C21" s="2" t="s">
        <v>14</v>
      </c>
      <c r="D21" s="5">
        <v>10000</v>
      </c>
      <c r="E21" s="5">
        <f t="shared" si="0"/>
        <v>260000</v>
      </c>
      <c r="F21" s="5">
        <f t="shared" si="1"/>
        <v>265000</v>
      </c>
    </row>
    <row r="22" spans="1:6" x14ac:dyDescent="0.35">
      <c r="A22" s="2" t="s">
        <v>276</v>
      </c>
      <c r="B22" s="2">
        <v>8054</v>
      </c>
      <c r="C22" s="2" t="s">
        <v>14</v>
      </c>
      <c r="D22" s="5">
        <v>10000</v>
      </c>
      <c r="E22" s="5">
        <f t="shared" si="0"/>
        <v>270000</v>
      </c>
      <c r="F22" s="5">
        <f t="shared" si="1"/>
        <v>255000</v>
      </c>
    </row>
    <row r="23" spans="1:6" x14ac:dyDescent="0.35">
      <c r="A23" s="2" t="s">
        <v>298</v>
      </c>
      <c r="B23" s="2">
        <v>9281</v>
      </c>
      <c r="C23" s="2" t="s">
        <v>14</v>
      </c>
      <c r="D23" s="5">
        <v>15000</v>
      </c>
      <c r="E23" s="5">
        <f t="shared" si="0"/>
        <v>285000</v>
      </c>
      <c r="F23" s="5">
        <f t="shared" si="1"/>
        <v>240000</v>
      </c>
    </row>
    <row r="24" spans="1:6" x14ac:dyDescent="0.35">
      <c r="A24" s="2" t="s">
        <v>299</v>
      </c>
      <c r="B24" s="2">
        <v>11267</v>
      </c>
      <c r="C24" s="2" t="s">
        <v>14</v>
      </c>
      <c r="D24" s="5">
        <v>15000</v>
      </c>
      <c r="E24" s="5">
        <f t="shared" si="0"/>
        <v>300000</v>
      </c>
      <c r="F24" s="5">
        <f t="shared" si="1"/>
        <v>225000</v>
      </c>
    </row>
    <row r="25" spans="1:6" x14ac:dyDescent="0.35">
      <c r="A25" s="2" t="s">
        <v>300</v>
      </c>
      <c r="B25" s="2">
        <v>10154</v>
      </c>
      <c r="C25" s="2" t="s">
        <v>14</v>
      </c>
      <c r="D25" s="5">
        <v>15000</v>
      </c>
      <c r="E25" s="5">
        <f t="shared" si="0"/>
        <v>315000</v>
      </c>
      <c r="F25" s="5">
        <f t="shared" si="1"/>
        <v>210000</v>
      </c>
    </row>
    <row r="26" spans="1:6" x14ac:dyDescent="0.35">
      <c r="A26" s="2" t="s">
        <v>301</v>
      </c>
      <c r="B26" s="2">
        <v>11510</v>
      </c>
      <c r="C26" s="2" t="s">
        <v>14</v>
      </c>
      <c r="D26" s="5">
        <v>10000</v>
      </c>
      <c r="E26" s="5">
        <f t="shared" si="0"/>
        <v>325000</v>
      </c>
      <c r="F26" s="5">
        <f t="shared" si="1"/>
        <v>200000</v>
      </c>
    </row>
    <row r="27" spans="1:6" x14ac:dyDescent="0.35">
      <c r="A27" s="2" t="s">
        <v>250</v>
      </c>
      <c r="B27" s="2">
        <v>12763</v>
      </c>
      <c r="C27" s="2" t="s">
        <v>14</v>
      </c>
      <c r="D27" s="5">
        <v>15000</v>
      </c>
      <c r="E27" s="5">
        <f t="shared" si="0"/>
        <v>340000</v>
      </c>
      <c r="F27" s="5">
        <f t="shared" si="1"/>
        <v>185000</v>
      </c>
    </row>
    <row r="28" spans="1:6" x14ac:dyDescent="0.35">
      <c r="A28" s="2" t="s">
        <v>302</v>
      </c>
      <c r="B28" s="2">
        <v>9160</v>
      </c>
      <c r="C28" s="2" t="s">
        <v>14</v>
      </c>
      <c r="D28" s="5">
        <v>10000</v>
      </c>
      <c r="E28" s="5">
        <f t="shared" si="0"/>
        <v>350000</v>
      </c>
      <c r="F28" s="5">
        <f t="shared" si="1"/>
        <v>175000</v>
      </c>
    </row>
    <row r="29" spans="1:6" x14ac:dyDescent="0.35">
      <c r="A29" s="6">
        <v>45782</v>
      </c>
      <c r="B29" s="2">
        <v>10335</v>
      </c>
      <c r="C29" s="2" t="s">
        <v>14</v>
      </c>
      <c r="D29" s="5">
        <v>20000</v>
      </c>
      <c r="E29" s="5">
        <f t="shared" si="0"/>
        <v>370000</v>
      </c>
      <c r="F29" s="5">
        <f t="shared" si="1"/>
        <v>155000</v>
      </c>
    </row>
    <row r="30" spans="1:6" x14ac:dyDescent="0.35">
      <c r="A30" s="2" t="s">
        <v>316</v>
      </c>
      <c r="B30" s="2">
        <v>12330</v>
      </c>
      <c r="C30" s="2" t="s">
        <v>14</v>
      </c>
      <c r="D30" s="5">
        <v>15000</v>
      </c>
      <c r="E30" s="5">
        <f t="shared" si="0"/>
        <v>385000</v>
      </c>
      <c r="F30" s="5">
        <f t="shared" si="1"/>
        <v>140000</v>
      </c>
    </row>
    <row r="31" spans="1:6" x14ac:dyDescent="0.35">
      <c r="A31" s="6">
        <v>45847</v>
      </c>
      <c r="B31" s="2">
        <v>12666</v>
      </c>
      <c r="C31" s="2" t="s">
        <v>14</v>
      </c>
      <c r="D31" s="5">
        <v>10000</v>
      </c>
      <c r="E31" s="5">
        <f t="shared" si="0"/>
        <v>395000</v>
      </c>
      <c r="F31" s="5">
        <f t="shared" si="1"/>
        <v>130000</v>
      </c>
    </row>
    <row r="32" spans="1:6" x14ac:dyDescent="0.35">
      <c r="A32" s="2" t="s">
        <v>317</v>
      </c>
      <c r="B32" s="2">
        <v>13577</v>
      </c>
      <c r="C32" s="2" t="s">
        <v>14</v>
      </c>
      <c r="D32" s="5">
        <v>10000</v>
      </c>
      <c r="E32" s="5">
        <f t="shared" si="0"/>
        <v>405000</v>
      </c>
      <c r="F32" s="5">
        <f t="shared" si="1"/>
        <v>120000</v>
      </c>
    </row>
    <row r="33" spans="1:6" x14ac:dyDescent="0.35">
      <c r="A33" s="6" t="s">
        <v>318</v>
      </c>
      <c r="B33" s="2">
        <v>13235</v>
      </c>
      <c r="C33" s="2" t="s">
        <v>14</v>
      </c>
      <c r="D33" s="5">
        <v>10000</v>
      </c>
      <c r="E33" s="5">
        <f t="shared" si="0"/>
        <v>415000</v>
      </c>
      <c r="F33" s="5">
        <f t="shared" si="1"/>
        <v>110000</v>
      </c>
    </row>
    <row r="34" spans="1:6" x14ac:dyDescent="0.35">
      <c r="A34" s="2" t="s">
        <v>307</v>
      </c>
      <c r="B34" s="2">
        <v>13844</v>
      </c>
      <c r="C34" s="2" t="s">
        <v>14</v>
      </c>
      <c r="D34" s="5">
        <v>10000</v>
      </c>
      <c r="E34" s="5">
        <f t="shared" si="0"/>
        <v>425000</v>
      </c>
      <c r="F34" s="5">
        <f t="shared" si="1"/>
        <v>100000</v>
      </c>
    </row>
    <row r="35" spans="1:6" x14ac:dyDescent="0.35">
      <c r="A35" s="6" t="s">
        <v>260</v>
      </c>
      <c r="B35" s="2">
        <v>12280</v>
      </c>
      <c r="C35" s="2" t="s">
        <v>14</v>
      </c>
      <c r="D35" s="5">
        <v>10000</v>
      </c>
      <c r="E35" s="5">
        <f t="shared" si="0"/>
        <v>435000</v>
      </c>
      <c r="F35" s="5">
        <f t="shared" si="1"/>
        <v>90000</v>
      </c>
    </row>
    <row r="36" spans="1:6" x14ac:dyDescent="0.35">
      <c r="A36" s="2" t="s">
        <v>281</v>
      </c>
      <c r="B36" s="2">
        <v>13963</v>
      </c>
      <c r="C36" s="2" t="s">
        <v>14</v>
      </c>
      <c r="D36" s="5">
        <v>10000</v>
      </c>
      <c r="E36" s="5">
        <f t="shared" ref="E36:E41" si="2">E35+D36</f>
        <v>445000</v>
      </c>
      <c r="F36" s="5">
        <f t="shared" ref="F36:F41" si="3">F35-D36</f>
        <v>80000</v>
      </c>
    </row>
    <row r="37" spans="1:6" x14ac:dyDescent="0.35">
      <c r="A37" s="6" t="s">
        <v>558</v>
      </c>
      <c r="B37" s="2">
        <v>13037</v>
      </c>
      <c r="C37" s="2" t="s">
        <v>14</v>
      </c>
      <c r="D37" s="5">
        <v>10000</v>
      </c>
      <c r="E37" s="5">
        <f t="shared" si="2"/>
        <v>455000</v>
      </c>
      <c r="F37" s="5">
        <f t="shared" si="3"/>
        <v>70000</v>
      </c>
    </row>
    <row r="38" spans="1:6" x14ac:dyDescent="0.35">
      <c r="A38" s="6" t="s">
        <v>559</v>
      </c>
      <c r="B38" s="2">
        <v>12600</v>
      </c>
      <c r="C38" s="2" t="s">
        <v>14</v>
      </c>
      <c r="D38" s="5">
        <v>10000</v>
      </c>
      <c r="E38" s="5">
        <f t="shared" si="2"/>
        <v>465000</v>
      </c>
      <c r="F38" s="5">
        <f t="shared" si="3"/>
        <v>60000</v>
      </c>
    </row>
    <row r="39" spans="1:6" x14ac:dyDescent="0.35">
      <c r="A39" s="6" t="s">
        <v>557</v>
      </c>
      <c r="B39" s="2">
        <v>13476</v>
      </c>
      <c r="C39" s="2" t="s">
        <v>14</v>
      </c>
      <c r="D39" s="5">
        <v>10000</v>
      </c>
      <c r="E39" s="5">
        <f t="shared" si="2"/>
        <v>475000</v>
      </c>
      <c r="F39" s="5">
        <f t="shared" si="3"/>
        <v>50000</v>
      </c>
    </row>
    <row r="40" spans="1:6" x14ac:dyDescent="0.35">
      <c r="A40" s="6" t="s">
        <v>556</v>
      </c>
      <c r="B40" s="2">
        <v>13655</v>
      </c>
      <c r="C40" s="2" t="s">
        <v>14</v>
      </c>
      <c r="D40" s="5">
        <v>10000</v>
      </c>
      <c r="E40" s="5">
        <f t="shared" si="2"/>
        <v>485000</v>
      </c>
      <c r="F40" s="5">
        <f t="shared" si="3"/>
        <v>40000</v>
      </c>
    </row>
    <row r="41" spans="1:6" x14ac:dyDescent="0.35">
      <c r="A41" s="6" t="s">
        <v>624</v>
      </c>
      <c r="B41" s="2">
        <v>1593</v>
      </c>
      <c r="C41" s="2" t="s">
        <v>14</v>
      </c>
      <c r="D41" s="5">
        <v>10000</v>
      </c>
      <c r="E41" s="5">
        <f t="shared" si="2"/>
        <v>495000</v>
      </c>
      <c r="F41" s="5">
        <f t="shared" si="3"/>
        <v>30000</v>
      </c>
    </row>
    <row r="42" spans="1:6" x14ac:dyDescent="0.35">
      <c r="A42" s="6" t="s">
        <v>652</v>
      </c>
      <c r="B42" s="2">
        <v>1797</v>
      </c>
      <c r="C42" s="2" t="s">
        <v>14</v>
      </c>
      <c r="D42" s="5">
        <v>10000</v>
      </c>
      <c r="E42" s="5">
        <f>E41+D42</f>
        <v>505000</v>
      </c>
      <c r="F42" s="5">
        <f>F41-D42</f>
        <v>20000</v>
      </c>
    </row>
    <row r="43" spans="1:6" x14ac:dyDescent="0.35">
      <c r="A43" s="30" t="s">
        <v>724</v>
      </c>
      <c r="B43" s="20">
        <v>2031</v>
      </c>
      <c r="C43" s="2" t="s">
        <v>14</v>
      </c>
      <c r="D43" s="5">
        <v>10000</v>
      </c>
      <c r="E43" s="15">
        <f>E42+D43</f>
        <v>515000</v>
      </c>
      <c r="F43" s="15">
        <f>F42-D43</f>
        <v>10000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34"/>
  <sheetViews>
    <sheetView workbookViewId="0">
      <selection activeCell="B17" sqref="B17"/>
    </sheetView>
  </sheetViews>
  <sheetFormatPr defaultRowHeight="14.5" x14ac:dyDescent="0.35"/>
  <cols>
    <col min="1" max="1" width="9.453125" bestFit="1" customWidth="1"/>
    <col min="3" max="3" width="17.81640625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63</v>
      </c>
      <c r="B1" s="1"/>
      <c r="C1" s="1"/>
      <c r="D1" s="1"/>
      <c r="E1" s="1"/>
      <c r="F1" s="1"/>
    </row>
    <row r="2" spans="1:6" ht="18.5" x14ac:dyDescent="0.45">
      <c r="A2" s="1" t="s">
        <v>64</v>
      </c>
      <c r="C2" s="1"/>
      <c r="D2" s="1"/>
      <c r="E2" s="1"/>
      <c r="F2" s="1"/>
    </row>
    <row r="3" spans="1:6" ht="18.5" x14ac:dyDescent="0.45">
      <c r="A3" s="1" t="s">
        <v>65</v>
      </c>
      <c r="B3" s="1"/>
      <c r="C3" s="1"/>
      <c r="D3" s="1"/>
      <c r="E3" s="1"/>
      <c r="F3" s="1"/>
    </row>
    <row r="4" spans="1:6" ht="18.5" x14ac:dyDescent="0.45">
      <c r="A4" s="1" t="s">
        <v>66</v>
      </c>
      <c r="B4" s="1"/>
      <c r="C4" s="1"/>
      <c r="D4" s="1"/>
      <c r="E4" s="1"/>
      <c r="F4" s="1"/>
    </row>
    <row r="5" spans="1:6" ht="18.5" x14ac:dyDescent="0.45">
      <c r="A5" s="1" t="s">
        <v>92</v>
      </c>
      <c r="B5" s="1"/>
      <c r="C5" s="1"/>
      <c r="D5" s="1" t="s">
        <v>93</v>
      </c>
      <c r="E5" s="1"/>
      <c r="F5" s="1"/>
    </row>
    <row r="6" spans="1:6" x14ac:dyDescent="0.35">
      <c r="A6" s="8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 x14ac:dyDescent="0.35">
      <c r="A7" s="7" t="s">
        <v>94</v>
      </c>
      <c r="B7" s="7">
        <v>549</v>
      </c>
      <c r="C7" s="7" t="s">
        <v>27</v>
      </c>
      <c r="D7" s="13">
        <v>10000</v>
      </c>
      <c r="E7" s="13">
        <v>10000</v>
      </c>
      <c r="F7" s="13">
        <v>310000</v>
      </c>
    </row>
    <row r="8" spans="1:6" x14ac:dyDescent="0.35">
      <c r="A8" s="7" t="s">
        <v>68</v>
      </c>
      <c r="B8" s="7">
        <v>1494</v>
      </c>
      <c r="C8" s="7" t="s">
        <v>26</v>
      </c>
      <c r="D8" s="13">
        <v>10000</v>
      </c>
      <c r="E8" s="13">
        <f>SUM(E7+D8)</f>
        <v>20000</v>
      </c>
      <c r="F8" s="13">
        <f>F7-D8</f>
        <v>300000</v>
      </c>
    </row>
    <row r="9" spans="1:6" x14ac:dyDescent="0.35">
      <c r="A9" s="14">
        <v>45019</v>
      </c>
      <c r="B9" s="7">
        <v>1495</v>
      </c>
      <c r="C9" s="7" t="s">
        <v>98</v>
      </c>
      <c r="D9" s="13">
        <v>10000</v>
      </c>
      <c r="E9" s="13">
        <f t="shared" ref="E9:E34" si="0">SUM(E8+D9)</f>
        <v>30000</v>
      </c>
      <c r="F9" s="13">
        <f t="shared" ref="F9:F34" si="1">F8-D9</f>
        <v>290000</v>
      </c>
    </row>
    <row r="10" spans="1:6" x14ac:dyDescent="0.35">
      <c r="A10" s="7" t="s">
        <v>69</v>
      </c>
      <c r="B10" s="7">
        <v>1212</v>
      </c>
      <c r="C10" s="7" t="s">
        <v>27</v>
      </c>
      <c r="D10" s="13">
        <v>10000</v>
      </c>
      <c r="E10" s="13">
        <f t="shared" si="0"/>
        <v>40000</v>
      </c>
      <c r="F10" s="13">
        <f t="shared" si="1"/>
        <v>280000</v>
      </c>
    </row>
    <row r="11" spans="1:6" x14ac:dyDescent="0.35">
      <c r="A11" s="7" t="s">
        <v>95</v>
      </c>
      <c r="B11" s="7">
        <v>117</v>
      </c>
      <c r="C11" s="7" t="s">
        <v>27</v>
      </c>
      <c r="D11" s="13">
        <v>10000</v>
      </c>
      <c r="E11" s="13">
        <f t="shared" si="0"/>
        <v>50000</v>
      </c>
      <c r="F11" s="13">
        <f t="shared" si="1"/>
        <v>270000</v>
      </c>
    </row>
    <row r="12" spans="1:6" x14ac:dyDescent="0.35">
      <c r="A12" s="7" t="s">
        <v>71</v>
      </c>
      <c r="B12" s="7">
        <v>2756</v>
      </c>
      <c r="C12" s="7" t="s">
        <v>27</v>
      </c>
      <c r="D12" s="13">
        <v>10000</v>
      </c>
      <c r="E12" s="13">
        <f t="shared" si="0"/>
        <v>60000</v>
      </c>
      <c r="F12" s="13">
        <f t="shared" si="1"/>
        <v>260000</v>
      </c>
    </row>
    <row r="13" spans="1:6" x14ac:dyDescent="0.35">
      <c r="A13" s="14">
        <v>45147</v>
      </c>
      <c r="B13" s="7">
        <v>3448</v>
      </c>
      <c r="C13" s="7" t="s">
        <v>27</v>
      </c>
      <c r="D13" s="13">
        <v>10000</v>
      </c>
      <c r="E13" s="13">
        <f t="shared" si="0"/>
        <v>70000</v>
      </c>
      <c r="F13" s="13">
        <f t="shared" si="1"/>
        <v>250000</v>
      </c>
    </row>
    <row r="14" spans="1:6" x14ac:dyDescent="0.35">
      <c r="A14" s="7" t="s">
        <v>96</v>
      </c>
      <c r="B14" s="7">
        <v>4438</v>
      </c>
      <c r="C14" s="7" t="s">
        <v>27</v>
      </c>
      <c r="D14" s="13">
        <v>10000</v>
      </c>
      <c r="E14" s="13">
        <f t="shared" si="0"/>
        <v>80000</v>
      </c>
      <c r="F14" s="13">
        <f t="shared" si="1"/>
        <v>240000</v>
      </c>
    </row>
    <row r="15" spans="1:6" x14ac:dyDescent="0.35">
      <c r="A15" s="7" t="s">
        <v>97</v>
      </c>
      <c r="B15" s="7">
        <v>5048</v>
      </c>
      <c r="C15" s="7" t="s">
        <v>27</v>
      </c>
      <c r="D15" s="13">
        <v>10000</v>
      </c>
      <c r="E15" s="13">
        <f t="shared" si="0"/>
        <v>90000</v>
      </c>
      <c r="F15" s="13">
        <f t="shared" si="1"/>
        <v>230000</v>
      </c>
    </row>
    <row r="16" spans="1:6" x14ac:dyDescent="0.35">
      <c r="A16" s="7" t="s">
        <v>72</v>
      </c>
      <c r="B16" s="7">
        <v>5537</v>
      </c>
      <c r="C16" s="7" t="s">
        <v>99</v>
      </c>
      <c r="D16" s="13">
        <v>10000</v>
      </c>
      <c r="E16" s="13">
        <f t="shared" si="0"/>
        <v>100000</v>
      </c>
      <c r="F16" s="13">
        <f t="shared" si="1"/>
        <v>220000</v>
      </c>
    </row>
    <row r="17" spans="1:7" x14ac:dyDescent="0.35">
      <c r="A17" s="14">
        <v>45505</v>
      </c>
      <c r="B17" s="7">
        <v>5999</v>
      </c>
      <c r="C17" s="7" t="s">
        <v>99</v>
      </c>
      <c r="D17" s="13">
        <v>10000</v>
      </c>
      <c r="E17" s="13">
        <f t="shared" si="0"/>
        <v>110000</v>
      </c>
      <c r="F17" s="13">
        <f t="shared" si="1"/>
        <v>210000</v>
      </c>
    </row>
    <row r="18" spans="1:7" x14ac:dyDescent="0.35">
      <c r="A18" s="7" t="s">
        <v>73</v>
      </c>
      <c r="B18" s="7">
        <v>6697</v>
      </c>
      <c r="C18" s="7" t="s">
        <v>27</v>
      </c>
      <c r="D18" s="13">
        <v>15000</v>
      </c>
      <c r="E18" s="13">
        <f t="shared" si="0"/>
        <v>125000</v>
      </c>
      <c r="F18" s="13">
        <f t="shared" si="1"/>
        <v>195000</v>
      </c>
    </row>
    <row r="19" spans="1:7" x14ac:dyDescent="0.35">
      <c r="A19" s="7" t="s">
        <v>74</v>
      </c>
      <c r="B19" s="7">
        <v>7516</v>
      </c>
      <c r="C19" s="7" t="s">
        <v>14</v>
      </c>
      <c r="D19" s="13">
        <v>15000</v>
      </c>
      <c r="E19" s="13">
        <f t="shared" si="0"/>
        <v>140000</v>
      </c>
      <c r="F19" s="13">
        <f t="shared" si="1"/>
        <v>180000</v>
      </c>
    </row>
    <row r="20" spans="1:7" x14ac:dyDescent="0.35">
      <c r="A20" s="7" t="s">
        <v>100</v>
      </c>
      <c r="B20" s="7">
        <v>8105</v>
      </c>
      <c r="C20" s="7" t="s">
        <v>101</v>
      </c>
      <c r="D20" s="13">
        <v>15000</v>
      </c>
      <c r="E20" s="13">
        <f t="shared" si="0"/>
        <v>155000</v>
      </c>
      <c r="F20" s="13">
        <f t="shared" si="1"/>
        <v>165000</v>
      </c>
    </row>
    <row r="21" spans="1:7" x14ac:dyDescent="0.35">
      <c r="A21" s="7" t="s">
        <v>78</v>
      </c>
      <c r="B21" s="7">
        <v>9220</v>
      </c>
      <c r="C21" s="7" t="s">
        <v>14</v>
      </c>
      <c r="D21" s="13">
        <v>10000</v>
      </c>
      <c r="E21" s="13">
        <f t="shared" si="0"/>
        <v>165000</v>
      </c>
      <c r="F21" s="13">
        <f t="shared" si="1"/>
        <v>155000</v>
      </c>
    </row>
    <row r="22" spans="1:7" x14ac:dyDescent="0.35">
      <c r="A22" s="14">
        <v>45604</v>
      </c>
      <c r="B22" s="7">
        <v>11047</v>
      </c>
      <c r="C22" s="7" t="s">
        <v>14</v>
      </c>
      <c r="D22" s="13">
        <v>35000</v>
      </c>
      <c r="E22" s="13">
        <f t="shared" si="0"/>
        <v>200000</v>
      </c>
      <c r="F22" s="13">
        <f t="shared" si="1"/>
        <v>120000</v>
      </c>
    </row>
    <row r="23" spans="1:7" x14ac:dyDescent="0.35">
      <c r="A23" s="7" t="s">
        <v>79</v>
      </c>
      <c r="B23" s="7">
        <v>10894</v>
      </c>
      <c r="C23" s="7" t="s">
        <v>14</v>
      </c>
      <c r="D23" s="13">
        <v>10000</v>
      </c>
      <c r="E23" s="13">
        <f t="shared" si="0"/>
        <v>210000</v>
      </c>
      <c r="F23" s="13">
        <f t="shared" si="1"/>
        <v>110000</v>
      </c>
    </row>
    <row r="24" spans="1:7" x14ac:dyDescent="0.35">
      <c r="A24" s="7" t="s">
        <v>80</v>
      </c>
      <c r="B24" s="7">
        <v>10334</v>
      </c>
      <c r="C24" s="7" t="s">
        <v>14</v>
      </c>
      <c r="D24" s="13">
        <v>10000</v>
      </c>
      <c r="E24" s="13">
        <f t="shared" si="0"/>
        <v>220000</v>
      </c>
      <c r="F24" s="13">
        <f t="shared" si="1"/>
        <v>100000</v>
      </c>
    </row>
    <row r="25" spans="1:7" x14ac:dyDescent="0.35">
      <c r="A25" s="7" t="s">
        <v>81</v>
      </c>
      <c r="B25" s="7">
        <v>12439</v>
      </c>
      <c r="C25" s="7" t="s">
        <v>14</v>
      </c>
      <c r="D25" s="13">
        <v>10000</v>
      </c>
      <c r="E25" s="13">
        <f t="shared" si="0"/>
        <v>230000</v>
      </c>
      <c r="F25" s="13">
        <f t="shared" si="1"/>
        <v>90000</v>
      </c>
    </row>
    <row r="26" spans="1:7" x14ac:dyDescent="0.35">
      <c r="A26" s="7" t="s">
        <v>82</v>
      </c>
      <c r="B26" s="7">
        <v>12733</v>
      </c>
      <c r="C26" s="7" t="s">
        <v>14</v>
      </c>
      <c r="D26" s="13">
        <v>10000</v>
      </c>
      <c r="E26" s="13">
        <f t="shared" si="0"/>
        <v>240000</v>
      </c>
      <c r="F26" s="13">
        <f t="shared" si="1"/>
        <v>80000</v>
      </c>
      <c r="G26" s="15"/>
    </row>
    <row r="27" spans="1:7" x14ac:dyDescent="0.35">
      <c r="A27" s="7" t="s">
        <v>83</v>
      </c>
      <c r="B27" s="7">
        <v>9139</v>
      </c>
      <c r="C27" s="7" t="s">
        <v>14</v>
      </c>
      <c r="D27" s="13">
        <v>10000</v>
      </c>
      <c r="E27" s="13">
        <f t="shared" si="0"/>
        <v>250000</v>
      </c>
      <c r="F27" s="13">
        <f t="shared" si="1"/>
        <v>70000</v>
      </c>
    </row>
    <row r="28" spans="1:7" x14ac:dyDescent="0.35">
      <c r="A28" s="7" t="s">
        <v>84</v>
      </c>
      <c r="B28" s="7">
        <v>9550</v>
      </c>
      <c r="C28" s="7" t="s">
        <v>14</v>
      </c>
      <c r="D28" s="13">
        <v>10000</v>
      </c>
      <c r="E28" s="13">
        <f t="shared" si="0"/>
        <v>260000</v>
      </c>
      <c r="F28" s="13">
        <f t="shared" si="1"/>
        <v>60000</v>
      </c>
    </row>
    <row r="29" spans="1:7" x14ac:dyDescent="0.35">
      <c r="A29" s="7" t="s">
        <v>85</v>
      </c>
      <c r="B29" s="7">
        <v>9878</v>
      </c>
      <c r="C29" s="7" t="s">
        <v>14</v>
      </c>
      <c r="D29" s="13">
        <v>10000</v>
      </c>
      <c r="E29" s="13">
        <f t="shared" si="0"/>
        <v>270000</v>
      </c>
      <c r="F29" s="13">
        <f t="shared" si="1"/>
        <v>50000</v>
      </c>
    </row>
    <row r="30" spans="1:7" x14ac:dyDescent="0.35">
      <c r="A30" s="7" t="s">
        <v>86</v>
      </c>
      <c r="B30" s="7">
        <v>10605</v>
      </c>
      <c r="C30" s="7" t="s">
        <v>14</v>
      </c>
      <c r="D30" s="13">
        <v>10000</v>
      </c>
      <c r="E30" s="13">
        <f t="shared" si="0"/>
        <v>280000</v>
      </c>
      <c r="F30" s="13">
        <f t="shared" si="1"/>
        <v>40000</v>
      </c>
    </row>
    <row r="31" spans="1:7" x14ac:dyDescent="0.35">
      <c r="A31" s="14">
        <v>45666</v>
      </c>
      <c r="B31" s="7">
        <v>12591</v>
      </c>
      <c r="C31" s="7" t="s">
        <v>14</v>
      </c>
      <c r="D31" s="13">
        <v>15000</v>
      </c>
      <c r="E31" s="13">
        <f t="shared" si="0"/>
        <v>295000</v>
      </c>
      <c r="F31" s="13">
        <f t="shared" si="1"/>
        <v>25000</v>
      </c>
    </row>
    <row r="32" spans="1:7" x14ac:dyDescent="0.35">
      <c r="A32" s="7" t="s">
        <v>87</v>
      </c>
      <c r="B32" s="7">
        <v>13957</v>
      </c>
      <c r="C32" s="7" t="s">
        <v>14</v>
      </c>
      <c r="D32" s="13">
        <v>10000</v>
      </c>
      <c r="E32" s="13">
        <f t="shared" si="0"/>
        <v>305000</v>
      </c>
      <c r="F32" s="13">
        <f t="shared" si="1"/>
        <v>15000</v>
      </c>
    </row>
    <row r="33" spans="1:6" x14ac:dyDescent="0.35">
      <c r="A33" s="7" t="s">
        <v>88</v>
      </c>
      <c r="B33" s="7">
        <v>12610</v>
      </c>
      <c r="C33" s="7" t="s">
        <v>14</v>
      </c>
      <c r="D33" s="13">
        <v>10000</v>
      </c>
      <c r="E33" s="13">
        <f t="shared" si="0"/>
        <v>315000</v>
      </c>
      <c r="F33" s="13">
        <f t="shared" si="1"/>
        <v>5000</v>
      </c>
    </row>
    <row r="34" spans="1:6" x14ac:dyDescent="0.35">
      <c r="A34" s="7" t="s">
        <v>90</v>
      </c>
      <c r="B34" s="7">
        <v>12584</v>
      </c>
      <c r="C34" s="7" t="s">
        <v>102</v>
      </c>
      <c r="D34" s="13">
        <v>5000</v>
      </c>
      <c r="E34" s="13">
        <f t="shared" si="0"/>
        <v>320000</v>
      </c>
      <c r="F34" s="13">
        <f t="shared" si="1"/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0"/>
  <sheetViews>
    <sheetView workbookViewId="0">
      <selection activeCell="F10" sqref="F10"/>
    </sheetView>
  </sheetViews>
  <sheetFormatPr defaultRowHeight="14.5" x14ac:dyDescent="0.35"/>
  <cols>
    <col min="3" max="3" width="10.90625" customWidth="1"/>
  </cols>
  <sheetData>
    <row r="1" spans="1:6" ht="18.5" x14ac:dyDescent="0.45">
      <c r="A1" s="1" t="s">
        <v>319</v>
      </c>
      <c r="B1" s="1"/>
      <c r="C1" s="1"/>
      <c r="D1" s="1"/>
      <c r="E1" s="1"/>
      <c r="F1" s="1"/>
    </row>
    <row r="2" spans="1:6" ht="18.5" x14ac:dyDescent="0.45">
      <c r="A2" s="1" t="s">
        <v>333</v>
      </c>
      <c r="C2" s="1"/>
      <c r="D2" s="1"/>
      <c r="E2" s="1"/>
      <c r="F2" s="1"/>
    </row>
    <row r="3" spans="1:6" ht="18.5" x14ac:dyDescent="0.45">
      <c r="A3" s="1" t="s">
        <v>321</v>
      </c>
      <c r="B3" s="1"/>
      <c r="C3" s="1"/>
      <c r="D3" s="1"/>
      <c r="E3" s="1"/>
      <c r="F3" s="1"/>
    </row>
    <row r="4" spans="1:6" ht="18.5" x14ac:dyDescent="0.45">
      <c r="A4" s="1" t="s">
        <v>332</v>
      </c>
      <c r="B4" s="1" t="s">
        <v>614</v>
      </c>
      <c r="C4" s="1"/>
      <c r="D4" s="1"/>
      <c r="E4" s="1"/>
      <c r="F4" s="1"/>
    </row>
    <row r="5" spans="1:6" ht="18.5" x14ac:dyDescent="0.45">
      <c r="A5" s="1" t="s">
        <v>3</v>
      </c>
      <c r="B5" s="1"/>
      <c r="C5" s="1"/>
      <c r="D5" s="1"/>
      <c r="E5" s="1"/>
      <c r="F5" s="1"/>
    </row>
    <row r="6" spans="1:6" ht="18.5" x14ac:dyDescent="0.45">
      <c r="A6" s="1" t="s">
        <v>331</v>
      </c>
      <c r="B6" s="1"/>
      <c r="C6" s="1"/>
      <c r="D6" s="1"/>
      <c r="E6" s="1" t="s">
        <v>334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t="s">
        <v>324</v>
      </c>
      <c r="B8">
        <v>11900</v>
      </c>
      <c r="C8" t="s">
        <v>335</v>
      </c>
      <c r="D8" s="15">
        <v>400000</v>
      </c>
      <c r="E8" s="15">
        <v>400000</v>
      </c>
      <c r="F8" t="s">
        <v>325</v>
      </c>
    </row>
    <row r="9" spans="1:6" x14ac:dyDescent="0.35">
      <c r="B9" t="s">
        <v>329</v>
      </c>
    </row>
    <row r="10" spans="1:6" x14ac:dyDescent="0.35">
      <c r="A10" t="s">
        <v>615</v>
      </c>
      <c r="B10">
        <v>1735</v>
      </c>
      <c r="C10" t="s">
        <v>616</v>
      </c>
      <c r="D10" s="15">
        <v>150000</v>
      </c>
      <c r="E10" s="15">
        <v>150000</v>
      </c>
      <c r="F10" t="s">
        <v>617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1"/>
  <sheetViews>
    <sheetView workbookViewId="0">
      <selection activeCell="C12" sqref="C12"/>
    </sheetView>
  </sheetViews>
  <sheetFormatPr defaultRowHeight="14.5" x14ac:dyDescent="0.35"/>
  <cols>
    <col min="3" max="3" width="13.1796875" customWidth="1"/>
    <col min="6" max="6" width="11.08984375" customWidth="1"/>
  </cols>
  <sheetData>
    <row r="1" spans="1:6" ht="18.5" x14ac:dyDescent="0.45">
      <c r="A1" s="1" t="s">
        <v>319</v>
      </c>
      <c r="B1" s="1"/>
      <c r="C1" s="1"/>
      <c r="D1" s="1"/>
      <c r="E1" s="1"/>
      <c r="F1" s="1"/>
    </row>
    <row r="2" spans="1:6" ht="18.5" x14ac:dyDescent="0.45">
      <c r="A2" s="1" t="s">
        <v>320</v>
      </c>
      <c r="C2" s="1"/>
      <c r="D2" s="1"/>
      <c r="E2" s="1"/>
      <c r="F2" s="1"/>
    </row>
    <row r="3" spans="1:6" ht="18.5" x14ac:dyDescent="0.45">
      <c r="A3" s="1" t="s">
        <v>321</v>
      </c>
      <c r="B3" s="1"/>
      <c r="C3" s="1"/>
      <c r="D3" s="1"/>
      <c r="E3" s="1"/>
      <c r="F3" s="1"/>
    </row>
    <row r="4" spans="1:6" ht="18.5" x14ac:dyDescent="0.45">
      <c r="A4" s="1" t="s">
        <v>322</v>
      </c>
      <c r="B4" s="1"/>
      <c r="C4" s="1"/>
      <c r="D4" s="1"/>
      <c r="E4" s="1"/>
      <c r="F4" s="1"/>
    </row>
    <row r="5" spans="1:6" ht="18.5" x14ac:dyDescent="0.45">
      <c r="A5" s="1" t="s">
        <v>612</v>
      </c>
      <c r="B5" s="1" t="s">
        <v>613</v>
      </c>
      <c r="C5" s="1"/>
      <c r="D5" s="1"/>
      <c r="E5" s="1"/>
      <c r="F5" s="1"/>
    </row>
    <row r="6" spans="1:6" ht="18.5" x14ac:dyDescent="0.45">
      <c r="A6" s="1" t="s">
        <v>323</v>
      </c>
      <c r="B6" s="1"/>
      <c r="C6" s="1"/>
      <c r="D6" s="1"/>
      <c r="E6" s="1" t="s">
        <v>107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t="s">
        <v>324</v>
      </c>
      <c r="B8">
        <v>706</v>
      </c>
      <c r="C8" t="s">
        <v>184</v>
      </c>
      <c r="D8" s="15">
        <v>500000</v>
      </c>
      <c r="E8" s="15">
        <v>500000</v>
      </c>
      <c r="F8" t="s">
        <v>325</v>
      </c>
    </row>
    <row r="9" spans="1:6" x14ac:dyDescent="0.35">
      <c r="A9" t="s">
        <v>326</v>
      </c>
      <c r="B9">
        <v>5814</v>
      </c>
      <c r="C9" t="s">
        <v>327</v>
      </c>
      <c r="D9" s="15">
        <v>150000</v>
      </c>
      <c r="E9" s="15">
        <v>150000</v>
      </c>
      <c r="F9" t="s">
        <v>325</v>
      </c>
    </row>
    <row r="10" spans="1:6" x14ac:dyDescent="0.35">
      <c r="A10" t="s">
        <v>328</v>
      </c>
    </row>
    <row r="11" spans="1:6" x14ac:dyDescent="0.35">
      <c r="B11" t="s">
        <v>329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2"/>
  <sheetViews>
    <sheetView workbookViewId="0">
      <selection activeCell="A13" sqref="A13"/>
    </sheetView>
  </sheetViews>
  <sheetFormatPr defaultRowHeight="14.5" x14ac:dyDescent="0.35"/>
  <sheetData>
    <row r="1" spans="1:6" x14ac:dyDescent="0.35">
      <c r="A1" t="s">
        <v>496</v>
      </c>
      <c r="B1" t="s">
        <v>547</v>
      </c>
    </row>
    <row r="2" spans="1:6" x14ac:dyDescent="0.35">
      <c r="A2" t="s">
        <v>497</v>
      </c>
      <c r="B2" t="s">
        <v>548</v>
      </c>
    </row>
    <row r="3" spans="1:6" x14ac:dyDescent="0.35">
      <c r="A3" t="s">
        <v>499</v>
      </c>
      <c r="B3" t="s">
        <v>549</v>
      </c>
    </row>
    <row r="4" spans="1:6" x14ac:dyDescent="0.35">
      <c r="A4" t="s">
        <v>500</v>
      </c>
      <c r="B4" t="s">
        <v>550</v>
      </c>
    </row>
    <row r="5" spans="1:6" x14ac:dyDescent="0.35">
      <c r="A5" t="s">
        <v>498</v>
      </c>
      <c r="B5" t="s">
        <v>551</v>
      </c>
    </row>
    <row r="6" spans="1:6" x14ac:dyDescent="0.35">
      <c r="A6" t="s">
        <v>501</v>
      </c>
      <c r="B6">
        <v>5957</v>
      </c>
    </row>
    <row r="8" spans="1:6" x14ac:dyDescent="0.35">
      <c r="A8" s="8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spans="1:6" x14ac:dyDescent="0.35">
      <c r="A9">
        <v>24</v>
      </c>
      <c r="B9">
        <v>10232</v>
      </c>
      <c r="C9" t="s">
        <v>403</v>
      </c>
      <c r="D9" s="15">
        <v>600000</v>
      </c>
      <c r="E9" s="15">
        <v>600000</v>
      </c>
    </row>
    <row r="11" spans="1:6" x14ac:dyDescent="0.35">
      <c r="A11">
        <v>26</v>
      </c>
      <c r="B11">
        <v>1334</v>
      </c>
      <c r="C11" t="s">
        <v>552</v>
      </c>
      <c r="D11" s="15">
        <v>20000</v>
      </c>
      <c r="E11" s="15">
        <v>90000</v>
      </c>
      <c r="F11" s="15">
        <v>180000</v>
      </c>
    </row>
    <row r="12" spans="1:6" x14ac:dyDescent="0.35">
      <c r="A12">
        <v>26</v>
      </c>
      <c r="B12">
        <v>1583</v>
      </c>
      <c r="C12" t="s">
        <v>552</v>
      </c>
      <c r="D12" s="15">
        <v>20000</v>
      </c>
      <c r="E12" s="15">
        <v>270000</v>
      </c>
      <c r="F12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L-5904</vt:lpstr>
      <vt:lpstr>L-5920</vt:lpstr>
      <vt:lpstr>L-5921</vt:lpstr>
      <vt:lpstr>L-5922</vt:lpstr>
      <vt:lpstr>L-5925</vt:lpstr>
      <vt:lpstr>L-5929</vt:lpstr>
      <vt:lpstr>L-5928</vt:lpstr>
      <vt:lpstr>L-5932</vt:lpstr>
      <vt:lpstr>L-5931</vt:lpstr>
      <vt:lpstr>L-5946</vt:lpstr>
      <vt:lpstr>L-5945</vt:lpstr>
      <vt:lpstr>L-5933</vt:lpstr>
      <vt:lpstr>L-5940</vt:lpstr>
      <vt:lpstr>L-5941</vt:lpstr>
      <vt:lpstr>L-5943</vt:lpstr>
      <vt:lpstr>L-5951</vt:lpstr>
      <vt:lpstr>L-5953</vt:lpstr>
      <vt:lpstr>L-5954</vt:lpstr>
      <vt:lpstr>L-5955</vt:lpstr>
      <vt:lpstr>L-5958</vt:lpstr>
      <vt:lpstr>L-5959</vt:lpstr>
      <vt:lpstr>L-5969</vt:lpstr>
      <vt:lpstr>Haq Nawaz </vt:lpstr>
      <vt:lpstr>L-5990</vt:lpstr>
      <vt:lpstr>L-5992</vt:lpstr>
      <vt:lpstr>L-5994</vt:lpstr>
      <vt:lpstr>L-5995</vt:lpstr>
      <vt:lpstr>L-5996</vt:lpstr>
      <vt:lpstr>L-5993</vt:lpstr>
      <vt:lpstr>L-5997</vt:lpstr>
      <vt:lpstr>L-5998</vt:lpstr>
      <vt:lpstr>L-5999</vt:lpstr>
      <vt:lpstr>L-6000</vt:lpstr>
      <vt:lpstr>L-5957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younas khan</cp:lastModifiedBy>
  <dcterms:created xsi:type="dcterms:W3CDTF">2026-02-22T01:00:19Z</dcterms:created>
  <dcterms:modified xsi:type="dcterms:W3CDTF">2026-10-11T01:24:40Z</dcterms:modified>
</cp:coreProperties>
</file>