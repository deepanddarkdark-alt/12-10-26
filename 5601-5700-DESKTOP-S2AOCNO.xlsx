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0" yWindow="600" windowWidth="19200" windowHeight="10200" firstSheet="1" activeTab="1"/>
  </bookViews>
  <sheets>
    <sheet name="L-5608" sheetId="13" r:id="rId1"/>
    <sheet name="L-5609" sheetId="17" r:id="rId2"/>
    <sheet name="L-5610" sheetId="16" r:id="rId3"/>
    <sheet name="L-5616" sheetId="1" r:id="rId4"/>
    <sheet name="L-5617" sheetId="35" r:id="rId5"/>
    <sheet name="L-5630" sheetId="10" r:id="rId6"/>
    <sheet name="L-5619" sheetId="5" r:id="rId7"/>
    <sheet name="L-5631" sheetId="8" r:id="rId8"/>
    <sheet name="L-5632" sheetId="6" r:id="rId9"/>
    <sheet name="L-5684" sheetId="50" r:id="rId10"/>
    <sheet name="L-5634" sheetId="12" r:id="rId11"/>
    <sheet name="L-5612" sheetId="45" r:id="rId12"/>
    <sheet name="L-5640" sheetId="3" r:id="rId13"/>
    <sheet name="L-5642" sheetId="11" r:id="rId14"/>
    <sheet name="L-5681" sheetId="9" r:id="rId15"/>
    <sheet name="L-5688" sheetId="2" r:id="rId16"/>
    <sheet name="L-5699" sheetId="39" r:id="rId17"/>
    <sheet name="L-5696" sheetId="7" r:id="rId18"/>
    <sheet name="L-5697" sheetId="32" r:id="rId19"/>
    <sheet name="L-5641" sheetId="14" r:id="rId20"/>
    <sheet name="L-5618" sheetId="15" r:id="rId21"/>
    <sheet name="L-5622" sheetId="31" r:id="rId22"/>
    <sheet name="L-5626" sheetId="21" r:id="rId23"/>
    <sheet name="L-5685" sheetId="22" r:id="rId24"/>
    <sheet name="L-5689" sheetId="18" r:id="rId25"/>
    <sheet name="L-5680" sheetId="29" r:id="rId26"/>
    <sheet name="L-5625" sheetId="30" r:id="rId27"/>
    <sheet name="L-5690" sheetId="19" r:id="rId28"/>
    <sheet name="L-5613" sheetId="20" r:id="rId29"/>
    <sheet name="L-5679" sheetId="23" r:id="rId30"/>
    <sheet name="L-5676" sheetId="55" r:id="rId31"/>
    <sheet name="L-5677" sheetId="33" r:id="rId32"/>
    <sheet name="L-5620" sheetId="24" r:id="rId33"/>
    <sheet name="L-5686" sheetId="25" r:id="rId34"/>
    <sheet name="L-5671" sheetId="26" r:id="rId35"/>
    <sheet name="L-5669" sheetId="27" r:id="rId36"/>
    <sheet name="L-5678" sheetId="28" r:id="rId37"/>
    <sheet name="L-5633" sheetId="34" r:id="rId38"/>
    <sheet name="L-5614" sheetId="37" r:id="rId39"/>
    <sheet name="L-5639" sheetId="38" r:id="rId40"/>
    <sheet name="L-5672" sheetId="40" r:id="rId41"/>
    <sheet name="L-5615" sheetId="41" r:id="rId42"/>
    <sheet name="L-5635" sheetId="42" r:id="rId43"/>
    <sheet name="L-5694" sheetId="51" r:id="rId44"/>
    <sheet name="L-5695" sheetId="52" r:id="rId45"/>
    <sheet name="L-5621" sheetId="43" r:id="rId46"/>
    <sheet name="L-5673" sheetId="44" r:id="rId47"/>
    <sheet name="L-5624" sheetId="49" r:id="rId48"/>
    <sheet name="L-5687" sheetId="54" r:id="rId4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2" l="1"/>
  <c r="E35" i="12"/>
  <c r="E53" i="17" l="1"/>
  <c r="F36" i="30"/>
  <c r="F37" i="30" s="1"/>
  <c r="F38" i="30" s="1"/>
  <c r="F39" i="30" s="1"/>
  <c r="F40" i="30" s="1"/>
  <c r="F41" i="30" s="1"/>
  <c r="F42" i="30" s="1"/>
  <c r="F43" i="30" s="1"/>
  <c r="F44" i="30" s="1"/>
  <c r="F45" i="30" s="1"/>
  <c r="F46" i="30" s="1"/>
  <c r="F47" i="30" s="1"/>
  <c r="E36" i="30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F15" i="42"/>
  <c r="F16" i="42" s="1"/>
  <c r="F17" i="42" s="1"/>
  <c r="F18" i="42" s="1"/>
  <c r="F19" i="42" s="1"/>
  <c r="F20" i="42" s="1"/>
  <c r="F21" i="42" s="1"/>
  <c r="F22" i="42" s="1"/>
  <c r="F23" i="42" s="1"/>
  <c r="F24" i="42" s="1"/>
  <c r="F25" i="42" s="1"/>
  <c r="F26" i="42" s="1"/>
  <c r="F27" i="42" s="1"/>
  <c r="E15" i="42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F16" i="45"/>
  <c r="F17" i="45" s="1"/>
  <c r="F18" i="45" s="1"/>
  <c r="F19" i="45" s="1"/>
  <c r="F20" i="45" s="1"/>
  <c r="F21" i="45" s="1"/>
  <c r="F22" i="45" s="1"/>
  <c r="F23" i="45" s="1"/>
  <c r="F24" i="45" s="1"/>
  <c r="F25" i="45" s="1"/>
  <c r="E16" i="45"/>
  <c r="E17" i="45" s="1"/>
  <c r="E18" i="45" s="1"/>
  <c r="E19" i="45" s="1"/>
  <c r="E20" i="45" s="1"/>
  <c r="E21" i="45" s="1"/>
  <c r="E22" i="45" s="1"/>
  <c r="E23" i="45" s="1"/>
  <c r="E24" i="45" s="1"/>
  <c r="E25" i="45" s="1"/>
  <c r="F9" i="45"/>
  <c r="E10" i="45"/>
  <c r="E9" i="45"/>
  <c r="F9" i="50"/>
  <c r="F10" i="50" s="1"/>
  <c r="F11" i="50" s="1"/>
  <c r="F12" i="50" s="1"/>
  <c r="F13" i="50" s="1"/>
  <c r="E9" i="50"/>
  <c r="E10" i="50" s="1"/>
  <c r="E11" i="50" s="1"/>
  <c r="E12" i="50" s="1"/>
  <c r="E13" i="50" s="1"/>
  <c r="F27" i="12"/>
  <c r="F28" i="12" s="1"/>
  <c r="F29" i="12" s="1"/>
  <c r="F30" i="12" s="1"/>
  <c r="F31" i="12" s="1"/>
  <c r="F32" i="12" s="1"/>
  <c r="F33" i="12" s="1"/>
  <c r="F34" i="12" s="1"/>
  <c r="E27" i="12"/>
  <c r="E28" i="12" s="1"/>
  <c r="E29" i="12" s="1"/>
  <c r="E30" i="12" s="1"/>
  <c r="E31" i="12" s="1"/>
  <c r="E32" i="12" s="1"/>
  <c r="E33" i="12" s="1"/>
  <c r="E34" i="12" s="1"/>
  <c r="F11" i="49"/>
  <c r="F12" i="49" s="1"/>
  <c r="F13" i="49" s="1"/>
  <c r="E11" i="49"/>
  <c r="E12" i="49" s="1"/>
  <c r="E13" i="49" s="1"/>
  <c r="F10" i="44"/>
  <c r="F11" i="44" s="1"/>
  <c r="F12" i="44" s="1"/>
  <c r="F13" i="44" s="1"/>
  <c r="F14" i="44" s="1"/>
  <c r="F15" i="44" s="1"/>
  <c r="F16" i="44" s="1"/>
  <c r="F17" i="44" s="1"/>
  <c r="F18" i="44" s="1"/>
  <c r="F19" i="44" s="1"/>
  <c r="F20" i="44" s="1"/>
  <c r="F21" i="44" s="1"/>
  <c r="F22" i="44" s="1"/>
  <c r="F23" i="44" s="1"/>
  <c r="F24" i="44" s="1"/>
  <c r="F25" i="44" s="1"/>
  <c r="F26" i="44" s="1"/>
  <c r="F27" i="44" s="1"/>
  <c r="F28" i="44" s="1"/>
  <c r="F29" i="44" s="1"/>
  <c r="F30" i="44" s="1"/>
  <c r="F31" i="44" s="1"/>
  <c r="F32" i="44" s="1"/>
  <c r="F33" i="44" s="1"/>
  <c r="F34" i="44" s="1"/>
  <c r="F35" i="44" s="1"/>
  <c r="F36" i="44" s="1"/>
  <c r="F37" i="44" s="1"/>
  <c r="F38" i="44" s="1"/>
  <c r="E10" i="44"/>
  <c r="E11" i="44" s="1"/>
  <c r="E12" i="44" s="1"/>
  <c r="E13" i="44" s="1"/>
  <c r="E14" i="44" s="1"/>
  <c r="E15" i="44" s="1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14" i="10"/>
  <c r="E15" i="10" s="1"/>
  <c r="E16" i="10" s="1"/>
  <c r="E17" i="10" s="1"/>
  <c r="F10" i="43"/>
  <c r="F11" i="43" s="1"/>
  <c r="F12" i="43" s="1"/>
  <c r="F13" i="43" s="1"/>
  <c r="F14" i="43" s="1"/>
  <c r="F15" i="43" s="1"/>
  <c r="F16" i="43" s="1"/>
  <c r="F17" i="43" s="1"/>
  <c r="F18" i="43" s="1"/>
  <c r="F19" i="43" s="1"/>
  <c r="F20" i="43" s="1"/>
  <c r="F21" i="43" s="1"/>
  <c r="F22" i="43" s="1"/>
  <c r="F23" i="43" s="1"/>
  <c r="F24" i="43" s="1"/>
  <c r="F25" i="43" s="1"/>
  <c r="E10" i="43"/>
  <c r="E11" i="43" s="1"/>
  <c r="E12" i="43" s="1"/>
  <c r="E13" i="43" s="1"/>
  <c r="E14" i="43" s="1"/>
  <c r="E15" i="43" s="1"/>
  <c r="E16" i="43" s="1"/>
  <c r="E17" i="43" s="1"/>
  <c r="E18" i="43" s="1"/>
  <c r="E19" i="43" s="1"/>
  <c r="E20" i="43" s="1"/>
  <c r="E21" i="43" s="1"/>
  <c r="E22" i="43" s="1"/>
  <c r="E23" i="43" s="1"/>
  <c r="E24" i="43" s="1"/>
  <c r="E25" i="43" s="1"/>
  <c r="F10" i="40"/>
  <c r="F11" i="40" s="1"/>
  <c r="F12" i="40" s="1"/>
  <c r="F13" i="40" s="1"/>
  <c r="F14" i="40" s="1"/>
  <c r="F15" i="40" s="1"/>
  <c r="F16" i="40" s="1"/>
  <c r="F17" i="40" s="1"/>
  <c r="F18" i="40" s="1"/>
  <c r="F19" i="40" s="1"/>
  <c r="F20" i="40" s="1"/>
  <c r="F21" i="40" s="1"/>
  <c r="F22" i="40" s="1"/>
  <c r="F23" i="40" s="1"/>
  <c r="F24" i="40" s="1"/>
  <c r="F25" i="40" s="1"/>
  <c r="F26" i="40" s="1"/>
  <c r="F27" i="40" s="1"/>
  <c r="F28" i="40" s="1"/>
  <c r="F29" i="40" s="1"/>
  <c r="F30" i="40" s="1"/>
  <c r="F31" i="40" s="1"/>
  <c r="F32" i="40" s="1"/>
  <c r="F33" i="40" s="1"/>
  <c r="F34" i="40" s="1"/>
  <c r="F35" i="40" s="1"/>
  <c r="F36" i="40" s="1"/>
  <c r="F37" i="40" s="1"/>
  <c r="E10" i="40"/>
  <c r="E11" i="40" s="1"/>
  <c r="E12" i="40" s="1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F10" i="37"/>
  <c r="F11" i="37" s="1"/>
  <c r="F12" i="37" s="1"/>
  <c r="F13" i="37" s="1"/>
  <c r="F14" i="37" s="1"/>
  <c r="F15" i="37" s="1"/>
  <c r="F16" i="37" s="1"/>
  <c r="F17" i="37" s="1"/>
  <c r="F18" i="37" s="1"/>
  <c r="F19" i="37" s="1"/>
  <c r="F20" i="37" s="1"/>
  <c r="F21" i="37" s="1"/>
  <c r="F22" i="37" s="1"/>
  <c r="F23" i="37" s="1"/>
  <c r="F24" i="37" s="1"/>
  <c r="F25" i="37" s="1"/>
  <c r="F26" i="37" s="1"/>
  <c r="E10" i="37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F9" i="24"/>
  <c r="F10" i="24" s="1"/>
  <c r="E9" i="24"/>
  <c r="E10" i="24" s="1"/>
  <c r="F9" i="35"/>
  <c r="F10" i="35" s="1"/>
  <c r="F11" i="35" s="1"/>
  <c r="F12" i="35" s="1"/>
  <c r="F13" i="35" s="1"/>
  <c r="F14" i="35" s="1"/>
  <c r="E9" i="35"/>
  <c r="E10" i="35" s="1"/>
  <c r="E11" i="35" s="1"/>
  <c r="E12" i="35" s="1"/>
  <c r="E13" i="35" s="1"/>
  <c r="E14" i="35" s="1"/>
  <c r="E10" i="34"/>
  <c r="E11" i="34" s="1"/>
  <c r="E12" i="34" s="1"/>
  <c r="E13" i="34" s="1"/>
  <c r="E14" i="34" s="1"/>
  <c r="E15" i="34" s="1"/>
  <c r="E16" i="34" s="1"/>
  <c r="E17" i="34" s="1"/>
  <c r="E18" i="34" s="1"/>
  <c r="E19" i="34" s="1"/>
  <c r="E20" i="34" s="1"/>
  <c r="F9" i="34"/>
  <c r="F10" i="34" s="1"/>
  <c r="F11" i="34" s="1"/>
  <c r="F12" i="34" s="1"/>
  <c r="F13" i="34" s="1"/>
  <c r="F14" i="34" s="1"/>
  <c r="F15" i="34" s="1"/>
  <c r="F16" i="34" s="1"/>
  <c r="F17" i="34" s="1"/>
  <c r="F18" i="34" s="1"/>
  <c r="F19" i="34" s="1"/>
  <c r="F20" i="34" s="1"/>
  <c r="E9" i="34"/>
  <c r="F9" i="33"/>
  <c r="F10" i="33" s="1"/>
  <c r="F11" i="33" s="1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F23" i="33" s="1"/>
  <c r="F24" i="33" s="1"/>
  <c r="E9" i="33"/>
  <c r="E10" i="33" s="1"/>
  <c r="E11" i="33" s="1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F17" i="32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F34" i="32" s="1"/>
  <c r="F35" i="32" s="1"/>
  <c r="F36" i="32" s="1"/>
  <c r="F37" i="32" s="1"/>
  <c r="F38" i="32" s="1"/>
  <c r="F39" i="32" s="1"/>
  <c r="F40" i="32" s="1"/>
  <c r="F41" i="32" s="1"/>
  <c r="F42" i="32" s="1"/>
  <c r="F43" i="32" s="1"/>
  <c r="F44" i="32" s="1"/>
  <c r="F45" i="32" s="1"/>
  <c r="F46" i="32" s="1"/>
  <c r="F47" i="32" s="1"/>
  <c r="F48" i="32" s="1"/>
  <c r="F49" i="32" s="1"/>
  <c r="F50" i="32" s="1"/>
  <c r="F51" i="32" s="1"/>
  <c r="F52" i="32" s="1"/>
  <c r="E17" i="32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F16" i="12"/>
  <c r="F17" i="12" s="1"/>
  <c r="F18" i="12" s="1"/>
  <c r="F19" i="12" s="1"/>
  <c r="F20" i="12" s="1"/>
  <c r="F21" i="12" s="1"/>
  <c r="F22" i="12" s="1"/>
  <c r="F23" i="12" s="1"/>
  <c r="E16" i="12"/>
  <c r="E17" i="12" s="1"/>
  <c r="E18" i="12" s="1"/>
  <c r="E19" i="12" s="1"/>
  <c r="E20" i="12" s="1"/>
  <c r="E21" i="12" s="1"/>
  <c r="E22" i="12" s="1"/>
  <c r="E23" i="12" s="1"/>
  <c r="F9" i="30"/>
  <c r="F10" i="30" s="1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F30" i="30" s="1"/>
  <c r="E9" i="30"/>
  <c r="E10" i="30" s="1"/>
  <c r="E11" i="30" s="1"/>
  <c r="E12" i="30" s="1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F9" i="31"/>
  <c r="F10" i="31" s="1"/>
  <c r="F11" i="31" s="1"/>
  <c r="F12" i="31" s="1"/>
  <c r="F13" i="31" s="1"/>
  <c r="F14" i="31" s="1"/>
  <c r="F15" i="31" s="1"/>
  <c r="F16" i="31" s="1"/>
  <c r="F17" i="31" s="1"/>
  <c r="F18" i="31" s="1"/>
  <c r="F19" i="31" s="1"/>
  <c r="F20" i="31" s="1"/>
  <c r="F21" i="31" s="1"/>
  <c r="F22" i="31" s="1"/>
  <c r="F23" i="31" s="1"/>
  <c r="F24" i="31" s="1"/>
  <c r="F25" i="31" s="1"/>
  <c r="F26" i="31" s="1"/>
  <c r="F27" i="31" s="1"/>
  <c r="F28" i="31" s="1"/>
  <c r="F29" i="31" s="1"/>
  <c r="F30" i="31" s="1"/>
  <c r="F31" i="31" s="1"/>
  <c r="F32" i="31" s="1"/>
  <c r="F33" i="31" s="1"/>
  <c r="F34" i="31" s="1"/>
  <c r="F35" i="31" s="1"/>
  <c r="F36" i="31" s="1"/>
  <c r="E9" i="31"/>
  <c r="E10" i="31" s="1"/>
  <c r="E11" i="31" s="1"/>
  <c r="E12" i="31" s="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F9" i="29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F9" i="28"/>
  <c r="F10" i="28" s="1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E9" i="28"/>
  <c r="E10" i="28" s="1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F9" i="27"/>
  <c r="F10" i="27" s="1"/>
  <c r="F11" i="27" s="1"/>
  <c r="F12" i="27" s="1"/>
  <c r="F13" i="27" s="1"/>
  <c r="F14" i="27" s="1"/>
  <c r="F15" i="27" s="1"/>
  <c r="F16" i="27" s="1"/>
  <c r="F17" i="27" s="1"/>
  <c r="F18" i="27" s="1"/>
  <c r="F19" i="27" s="1"/>
  <c r="F20" i="27" s="1"/>
  <c r="F21" i="27" s="1"/>
  <c r="F22" i="27" s="1"/>
  <c r="F23" i="27" s="1"/>
  <c r="F24" i="27" s="1"/>
  <c r="F25" i="27" s="1"/>
  <c r="F26" i="27" s="1"/>
  <c r="F27" i="27" s="1"/>
  <c r="F28" i="27" s="1"/>
  <c r="F29" i="27" s="1"/>
  <c r="F30" i="27" s="1"/>
  <c r="F31" i="27" s="1"/>
  <c r="F32" i="27" s="1"/>
  <c r="F33" i="27" s="1"/>
  <c r="F34" i="27" s="1"/>
  <c r="F35" i="27" s="1"/>
  <c r="F36" i="27" s="1"/>
  <c r="F37" i="27" s="1"/>
  <c r="F38" i="27" s="1"/>
  <c r="F39" i="27" s="1"/>
  <c r="F40" i="27" s="1"/>
  <c r="F41" i="27" s="1"/>
  <c r="E9" i="27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F9" i="26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F40" i="26" s="1"/>
  <c r="F41" i="26" s="1"/>
  <c r="F42" i="26" s="1"/>
  <c r="E9" i="26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F9" i="25"/>
  <c r="F10" i="25" s="1"/>
  <c r="F11" i="25" s="1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E9" i="25"/>
  <c r="E10" i="25" s="1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F9" i="23"/>
  <c r="F10" i="23" s="1"/>
  <c r="F11" i="23" s="1"/>
  <c r="E9" i="23"/>
  <c r="E10" i="23" s="1"/>
  <c r="E11" i="23" s="1"/>
  <c r="E12" i="23" s="1"/>
  <c r="F9" i="10"/>
  <c r="F10" i="10" s="1"/>
  <c r="F11" i="10" s="1"/>
  <c r="F12" i="10" s="1"/>
  <c r="F13" i="10" s="1"/>
  <c r="F14" i="10" s="1"/>
  <c r="F15" i="10" s="1"/>
  <c r="F16" i="10" s="1"/>
  <c r="F17" i="10" s="1"/>
  <c r="E9" i="10"/>
  <c r="E10" i="10" s="1"/>
  <c r="E11" i="10" s="1"/>
  <c r="E12" i="10" s="1"/>
  <c r="F9" i="22"/>
  <c r="F10" i="22" s="1"/>
  <c r="E9" i="22"/>
  <c r="E10" i="22" s="1"/>
  <c r="F10" i="21"/>
  <c r="F11" i="21" s="1"/>
  <c r="E10" i="21"/>
  <c r="E11" i="21" s="1"/>
  <c r="F9" i="19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E9" i="19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F9" i="18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E9" i="18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F9" i="17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F40" i="17" s="1"/>
  <c r="F41" i="17" s="1"/>
  <c r="F42" i="17" s="1"/>
  <c r="F43" i="17" s="1"/>
  <c r="F44" i="17" s="1"/>
  <c r="F45" i="17" s="1"/>
  <c r="F46" i="17" s="1"/>
  <c r="F47" i="17" s="1"/>
  <c r="F48" i="17" s="1"/>
  <c r="F49" i="17" s="1"/>
  <c r="F50" i="17" s="1"/>
  <c r="F51" i="17" s="1"/>
  <c r="F52" i="17" s="1"/>
  <c r="F53" i="17" s="1"/>
  <c r="E9" i="17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F9" i="16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F10" i="15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E10" i="15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F9" i="15"/>
  <c r="E9" i="15"/>
  <c r="E10" i="14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E9" i="14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E9" i="13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F9" i="11"/>
  <c r="F10" i="11" s="1"/>
  <c r="F11" i="11" s="1"/>
  <c r="F8" i="11"/>
  <c r="E8" i="11"/>
  <c r="E9" i="11" s="1"/>
  <c r="E10" i="11" s="1"/>
  <c r="E11" i="11" s="1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E9" i="8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27" i="37" l="1"/>
  <c r="E28" i="37" s="1"/>
  <c r="E29" i="37" s="1"/>
  <c r="F27" i="37"/>
  <c r="F28" i="37" s="1"/>
  <c r="F29" i="37" s="1"/>
</calcChain>
</file>

<file path=xl/sharedStrings.xml><?xml version="1.0" encoding="utf-8"?>
<sst xmlns="http://schemas.openxmlformats.org/spreadsheetml/2006/main" count="2370" uniqueCount="885">
  <si>
    <t>Father Name : Abdul Habib</t>
  </si>
  <si>
    <t xml:space="preserve">Contact # </t>
  </si>
  <si>
    <t>Plot No : L-5616</t>
  </si>
  <si>
    <t>Date</t>
  </si>
  <si>
    <t>R.NO</t>
  </si>
  <si>
    <t>Description</t>
  </si>
  <si>
    <t>Amount Rec</t>
  </si>
  <si>
    <t>Total Rec</t>
  </si>
  <si>
    <t>Amount Due</t>
  </si>
  <si>
    <t>25/6/2023</t>
  </si>
  <si>
    <t>Res Booking</t>
  </si>
  <si>
    <t>26/8/2023</t>
  </si>
  <si>
    <t>instalment</t>
  </si>
  <si>
    <t>29/10/2023</t>
  </si>
  <si>
    <t>28/2/2024</t>
  </si>
  <si>
    <t>27/7/2024</t>
  </si>
  <si>
    <t>27/11/2024</t>
  </si>
  <si>
    <t>23/2/2025</t>
  </si>
  <si>
    <t>23/4/2025</t>
  </si>
  <si>
    <t>26/6/2025</t>
  </si>
  <si>
    <t>29/8/2025</t>
  </si>
  <si>
    <t>16/10/2025</t>
  </si>
  <si>
    <t>26/11/2025</t>
  </si>
  <si>
    <t>Father Name : Muhammad Gulzar</t>
  </si>
  <si>
    <t>CNIC # 42401-7321633-2</t>
  </si>
  <si>
    <t>Contact # 03158232863</t>
  </si>
  <si>
    <t>Plot No : L-5688</t>
  </si>
  <si>
    <t>Cost : 630,000</t>
  </si>
  <si>
    <t>22/8/2023</t>
  </si>
  <si>
    <t>14/9/2023</t>
  </si>
  <si>
    <t>17/10/2023</t>
  </si>
  <si>
    <t>25/11/2023</t>
  </si>
  <si>
    <t>19/12/2023</t>
  </si>
  <si>
    <t>13/1/2024</t>
  </si>
  <si>
    <t>16/3/2024</t>
  </si>
  <si>
    <t>19/5/2024</t>
  </si>
  <si>
    <t>31/6/2024</t>
  </si>
  <si>
    <t>31/7/2024</t>
  </si>
  <si>
    <t>13/9/2024</t>
  </si>
  <si>
    <t>17/11/2024</t>
  </si>
  <si>
    <t>23/12/2024</t>
  </si>
  <si>
    <t>21/1/2025</t>
  </si>
  <si>
    <t>14/2/2025</t>
  </si>
  <si>
    <t>19/3/2025</t>
  </si>
  <si>
    <t>15/4/2025</t>
  </si>
  <si>
    <t>17/52025</t>
  </si>
  <si>
    <t>18/6/2025</t>
  </si>
  <si>
    <t>19/9/2025</t>
  </si>
  <si>
    <t>18/10/2025</t>
  </si>
  <si>
    <t>31/12/2025</t>
  </si>
  <si>
    <t>Name : Abdul Rehman</t>
  </si>
  <si>
    <t>Father Name : Muhammad Suleman</t>
  </si>
  <si>
    <t>CNIC # 42401-4960146-9</t>
  </si>
  <si>
    <t>Contact # 03358155158</t>
  </si>
  <si>
    <t>Plot No : L-5640</t>
  </si>
  <si>
    <t>Cost : 800,000</t>
  </si>
  <si>
    <t>Token</t>
  </si>
  <si>
    <t>Instalment</t>
  </si>
  <si>
    <t>13/10/2024</t>
  </si>
  <si>
    <t>13/3/2025</t>
  </si>
  <si>
    <t>Name : Mehwish</t>
  </si>
  <si>
    <t>Father Name : Muhammad Waseem</t>
  </si>
  <si>
    <t>Plot No : L-5620</t>
  </si>
  <si>
    <t>Name : Abdul Jabbar</t>
  </si>
  <si>
    <t>CNIC # 42401-2838539-5</t>
  </si>
  <si>
    <t>Cost : 600,000</t>
  </si>
  <si>
    <t xml:space="preserve">Name : Ahsan </t>
  </si>
  <si>
    <t>Father Name : Abdul majeed</t>
  </si>
  <si>
    <t>CNIC # 42401-1784428-1</t>
  </si>
  <si>
    <t>Contact # 03122902041</t>
  </si>
  <si>
    <t>Plot No : L-5619</t>
  </si>
  <si>
    <t>Cost :650,000</t>
  </si>
  <si>
    <t>19/4/2025</t>
  </si>
  <si>
    <t>17/5/2025</t>
  </si>
  <si>
    <t>19/12/2025</t>
  </si>
  <si>
    <t>14/1/2026</t>
  </si>
  <si>
    <t>Name : Syed Usman Ali</t>
  </si>
  <si>
    <t>Father Name : Syed Imran Ali</t>
  </si>
  <si>
    <t>CNIC # 42401-1872622-1</t>
  </si>
  <si>
    <t>Contact # 03302190307</t>
  </si>
  <si>
    <t>Plot No : L-5632</t>
  </si>
  <si>
    <t>Cost :600,000</t>
  </si>
  <si>
    <t>21/11/2023</t>
  </si>
  <si>
    <t>22/11/2023</t>
  </si>
  <si>
    <t>28/11/2023</t>
  </si>
  <si>
    <t>Payment</t>
  </si>
  <si>
    <t>Adj instal</t>
  </si>
  <si>
    <t>24/12/2024</t>
  </si>
  <si>
    <t>28/5/2025</t>
  </si>
  <si>
    <t>14/9/2025</t>
  </si>
  <si>
    <t>Name : Khaista Rehman</t>
  </si>
  <si>
    <t>Father Name : Saifur Rehman</t>
  </si>
  <si>
    <t>CNIC # 42401-3819409-1</t>
  </si>
  <si>
    <t>Plot No : L-5696</t>
  </si>
  <si>
    <t>19/7/2023</t>
  </si>
  <si>
    <t>18/9/2023</t>
  </si>
  <si>
    <t>14/10/2023</t>
  </si>
  <si>
    <t>19/11/2023</t>
  </si>
  <si>
    <t>17/12/2023</t>
  </si>
  <si>
    <t>17/1/2024</t>
  </si>
  <si>
    <t>17/3/2024</t>
  </si>
  <si>
    <t>18/2/2024</t>
  </si>
  <si>
    <t>19/8/2023</t>
  </si>
  <si>
    <t xml:space="preserve"> Token site</t>
  </si>
  <si>
    <t>Res booking</t>
  </si>
  <si>
    <t>15/4/2024</t>
  </si>
  <si>
    <t>18/5/2024</t>
  </si>
  <si>
    <t>16/6//2024</t>
  </si>
  <si>
    <t>19/7/2024</t>
  </si>
  <si>
    <t>20/8/2024</t>
  </si>
  <si>
    <t>20/9/2024</t>
  </si>
  <si>
    <t>19/10/2024</t>
  </si>
  <si>
    <t>23/11/2024</t>
  </si>
  <si>
    <t>26/12/2024</t>
  </si>
  <si>
    <t>22/1/2025</t>
  </si>
  <si>
    <t>20/3/2025</t>
  </si>
  <si>
    <t>22/4/2025</t>
  </si>
  <si>
    <t>22/5/2025</t>
  </si>
  <si>
    <t>22/7/2025</t>
  </si>
  <si>
    <t>25/8/2025</t>
  </si>
  <si>
    <t>21/9/2025</t>
  </si>
  <si>
    <t>23/10/2025</t>
  </si>
  <si>
    <t>25/11/2025</t>
  </si>
  <si>
    <t>20/12/2025</t>
  </si>
  <si>
    <t>24/1/2026</t>
  </si>
  <si>
    <t>23/2/2026</t>
  </si>
  <si>
    <t>Name : Muhammad Arif</t>
  </si>
  <si>
    <t>Father Name : Ali Muhammad</t>
  </si>
  <si>
    <t>CNIC # 42101-1773293</t>
  </si>
  <si>
    <t>Contact # 03232058681</t>
  </si>
  <si>
    <t>Plot No : L-5631</t>
  </si>
  <si>
    <t>Cost : 400,000</t>
  </si>
  <si>
    <t>26/8/2022</t>
  </si>
  <si>
    <t>24/2/2023</t>
  </si>
  <si>
    <t>Adj Reh</t>
  </si>
  <si>
    <t>Name : Waqas Masih</t>
  </si>
  <si>
    <t>Father Name : Arif Masih</t>
  </si>
  <si>
    <t>CNIC # 51507-1844551-9</t>
  </si>
  <si>
    <t>Plot No : L-5681</t>
  </si>
  <si>
    <t>Cost : 700,000</t>
  </si>
  <si>
    <t>Residential booking</t>
  </si>
  <si>
    <t>21/3/2025</t>
  </si>
  <si>
    <t>installment</t>
  </si>
  <si>
    <t>Contact # 03121253706</t>
  </si>
  <si>
    <t>CNIC # 42401-1123321-0</t>
  </si>
  <si>
    <t>Plot No : L-5630</t>
  </si>
  <si>
    <t>Cost :1400,000</t>
  </si>
  <si>
    <t>17/2/2026</t>
  </si>
  <si>
    <t>Adjustment</t>
  </si>
  <si>
    <t>Name : M.Asghar</t>
  </si>
  <si>
    <t>Father Name : M.Anwar</t>
  </si>
  <si>
    <t>Contact # 03710368230</t>
  </si>
  <si>
    <t>Plot No : L-5642</t>
  </si>
  <si>
    <t>CNIC # 61101-5904628-7</t>
  </si>
  <si>
    <t>28/9/2022</t>
  </si>
  <si>
    <t>25/2/2023</t>
  </si>
  <si>
    <t>ins Reh</t>
  </si>
  <si>
    <t>Sobho</t>
  </si>
  <si>
    <t>FULL PAYMENT FILE</t>
  </si>
  <si>
    <t>Name : Muzzamil Hameed</t>
  </si>
  <si>
    <t>Father Name : Abdul Hameed</t>
  </si>
  <si>
    <t>CNIC # 32302-6122645-7</t>
  </si>
  <si>
    <t>Contact # 03080469909</t>
  </si>
  <si>
    <t>Plot No : L-5634</t>
  </si>
  <si>
    <t>Cost : 350,000</t>
  </si>
  <si>
    <t>13/8/2022</t>
  </si>
  <si>
    <t>28/2/2022</t>
  </si>
  <si>
    <t>27/3/2023</t>
  </si>
  <si>
    <t>21/2/2024</t>
  </si>
  <si>
    <t>30/4/2024</t>
  </si>
  <si>
    <t>29/9/2024</t>
  </si>
  <si>
    <t>Adj Rehman</t>
  </si>
  <si>
    <t>Name :Abdul Mateen</t>
  </si>
  <si>
    <t>Father Name : Abdul Haqeeq</t>
  </si>
  <si>
    <t>CNIC # 42401-72035015</t>
  </si>
  <si>
    <t>Contact # 034023972</t>
  </si>
  <si>
    <t>Plot No : L-5608</t>
  </si>
  <si>
    <t>Cost : 590,000</t>
  </si>
  <si>
    <t>27/12/2022</t>
  </si>
  <si>
    <t>29/12/2022</t>
  </si>
  <si>
    <t>19/2/2023</t>
  </si>
  <si>
    <t>15/1/2024</t>
  </si>
  <si>
    <t>Booking Adj</t>
  </si>
  <si>
    <t>Token site Adj</t>
  </si>
  <si>
    <t>instalment april may</t>
  </si>
  <si>
    <t>instalment june-july</t>
  </si>
  <si>
    <t>instalment sep-oct</t>
  </si>
  <si>
    <t>instalment nov- dec</t>
  </si>
  <si>
    <t>instalment feb paid</t>
  </si>
  <si>
    <t>14/10/2024</t>
  </si>
  <si>
    <t>27/5/2025</t>
  </si>
  <si>
    <t>16/8/2025</t>
  </si>
  <si>
    <t>17/11/2025</t>
  </si>
  <si>
    <t>18/12/2025</t>
  </si>
  <si>
    <t>17/1/2026</t>
  </si>
  <si>
    <t>instalment april paid</t>
  </si>
  <si>
    <t>instalment june paid</t>
  </si>
  <si>
    <t>intalment july-agu</t>
  </si>
  <si>
    <t>instalment jann-dec paid</t>
  </si>
  <si>
    <t>instalmet</t>
  </si>
  <si>
    <t>Name : Nusrat Bibi</t>
  </si>
  <si>
    <t>Father Name : Sher ALI</t>
  </si>
  <si>
    <t>CNIC # 42401-9109286-0</t>
  </si>
  <si>
    <t>Contact # 03062516614</t>
  </si>
  <si>
    <t>Plot No : L-5641</t>
  </si>
  <si>
    <t>13/3/2024</t>
  </si>
  <si>
    <t>15/8/2024</t>
  </si>
  <si>
    <t>Token site</t>
  </si>
  <si>
    <t>17/12/2024</t>
  </si>
  <si>
    <t>26/3/2025</t>
  </si>
  <si>
    <t>31/5/2025</t>
  </si>
  <si>
    <t>18/7/2025</t>
  </si>
  <si>
    <t>14/12/2025</t>
  </si>
  <si>
    <t>14/2/2026</t>
  </si>
  <si>
    <t>15/3/2026</t>
  </si>
  <si>
    <t>Code Num;CBU6059995</t>
  </si>
  <si>
    <t>Name : Murad Ali</t>
  </si>
  <si>
    <t>Father Name : Dilawar</t>
  </si>
  <si>
    <t>CNIC # 42401-4507284-1</t>
  </si>
  <si>
    <t>Contact # 03152877175</t>
  </si>
  <si>
    <t>Plot No : L-5618</t>
  </si>
  <si>
    <t>Cost : 650,000</t>
  </si>
  <si>
    <t>23/5/2024</t>
  </si>
  <si>
    <t>24/5/2024</t>
  </si>
  <si>
    <t>15/6/2024</t>
  </si>
  <si>
    <t>18/7/2024</t>
  </si>
  <si>
    <t>22/8/2024</t>
  </si>
  <si>
    <t>22/10/2024</t>
  </si>
  <si>
    <t>16/12/2024</t>
  </si>
  <si>
    <t>14/1/2025</t>
  </si>
  <si>
    <t>22/2/2025</t>
  </si>
  <si>
    <t xml:space="preserve">Token </t>
  </si>
  <si>
    <t>21/4/2025</t>
  </si>
  <si>
    <t>24/5/2025</t>
  </si>
  <si>
    <t>21/6/2025</t>
  </si>
  <si>
    <t>20/7/2025</t>
  </si>
  <si>
    <t>22/8/2025</t>
  </si>
  <si>
    <t>20/10/2025</t>
  </si>
  <si>
    <t>14/11/2025</t>
  </si>
  <si>
    <t>22/12/2025</t>
  </si>
  <si>
    <t>21/1/2026</t>
  </si>
  <si>
    <t>20/2/2026</t>
  </si>
  <si>
    <t>18/3/2026</t>
  </si>
  <si>
    <t>Code num;BZV5785634</t>
  </si>
  <si>
    <t>Code Num;AUH4518962</t>
  </si>
  <si>
    <t>Name : Nasim khan</t>
  </si>
  <si>
    <t>Father Name : HK Abbas khan</t>
  </si>
  <si>
    <t>Contact # 03490134077</t>
  </si>
  <si>
    <t>Code Num;CAU7620192</t>
  </si>
  <si>
    <t>Plot No : L-5610</t>
  </si>
  <si>
    <t>Cost : 450,000</t>
  </si>
  <si>
    <t>15/6/2025</t>
  </si>
  <si>
    <t>15/10/2025</t>
  </si>
  <si>
    <t>RES Booking</t>
  </si>
  <si>
    <t>Name :Naseem khan</t>
  </si>
  <si>
    <t>Father Name : Abbas Khan</t>
  </si>
  <si>
    <t xml:space="preserve">CNIC # </t>
  </si>
  <si>
    <t>Contact # 0349034077</t>
  </si>
  <si>
    <t>Plot No : L-5609</t>
  </si>
  <si>
    <t>Code Num;BGC8371854</t>
  </si>
  <si>
    <t>28/12/2022</t>
  </si>
  <si>
    <t>ADJ Reh</t>
  </si>
  <si>
    <t>Name :Nosheen</t>
  </si>
  <si>
    <t>Father Name : M.Irfan</t>
  </si>
  <si>
    <t>CNIC # 42401-4786809-0</t>
  </si>
  <si>
    <t>Contact # 03343695711</t>
  </si>
  <si>
    <t>Plot No : L-5689</t>
  </si>
  <si>
    <t>Code Num;CKJ3089911</t>
  </si>
  <si>
    <t>15/5/2023</t>
  </si>
  <si>
    <t>15/6/2023</t>
  </si>
  <si>
    <t>18/7/2023</t>
  </si>
  <si>
    <t>15/10/2023</t>
  </si>
  <si>
    <t>16/6/2024</t>
  </si>
  <si>
    <t>14/7/2024</t>
  </si>
  <si>
    <t>15/12/2024</t>
  </si>
  <si>
    <t>27/4/2025</t>
  </si>
  <si>
    <t>14/7/2025</t>
  </si>
  <si>
    <t>13/10/2025</t>
  </si>
  <si>
    <t>16/11/2025</t>
  </si>
  <si>
    <t>15/2/2026</t>
  </si>
  <si>
    <t>2//3/2026</t>
  </si>
  <si>
    <t>Name :Muhammad Suhail Raza</t>
  </si>
  <si>
    <t>Father Name :</t>
  </si>
  <si>
    <t>CNIC # 42401-8712963-7</t>
  </si>
  <si>
    <t>Contact # 03122126243</t>
  </si>
  <si>
    <t>Plot No : L-5690</t>
  </si>
  <si>
    <t>Cost : 500,000</t>
  </si>
  <si>
    <t>14/1/2024</t>
  </si>
  <si>
    <t>24/7/2025</t>
  </si>
  <si>
    <t>19/10/2025</t>
  </si>
  <si>
    <t>Code Num;CQC4157970</t>
  </si>
  <si>
    <t>25/3/2026</t>
  </si>
  <si>
    <t>Code Num;UN2396458</t>
  </si>
  <si>
    <t>Father Name :Muhammad Younus Bhatti</t>
  </si>
  <si>
    <t>CNIC # 42201-0290359-5</t>
  </si>
  <si>
    <t>Contact # 03002826327</t>
  </si>
  <si>
    <t>Plot No : L-5613</t>
  </si>
  <si>
    <t>Code Num;CMV4273891</t>
  </si>
  <si>
    <t>28/9/2025</t>
  </si>
  <si>
    <t>Booking</t>
  </si>
  <si>
    <t>Nill</t>
  </si>
  <si>
    <t>13/12/2025</t>
  </si>
  <si>
    <t>Development</t>
  </si>
  <si>
    <t>FULL PAID</t>
  </si>
  <si>
    <t>Name :Muhammad Abid Bhatti</t>
  </si>
  <si>
    <t>Name :Najma Naz</t>
  </si>
  <si>
    <t>Father Name : Naeem Ullah</t>
  </si>
  <si>
    <t>CNIC # 42401-8609526-2</t>
  </si>
  <si>
    <t>Contact # 03452874583</t>
  </si>
  <si>
    <t>Plot No : L-5626</t>
  </si>
  <si>
    <t>Cost : 300,000</t>
  </si>
  <si>
    <t>28/11/2024</t>
  </si>
  <si>
    <t>Partial Pay</t>
  </si>
  <si>
    <t>DEVELOPMENT CONTINUE</t>
  </si>
  <si>
    <t>Column1</t>
  </si>
  <si>
    <t>Column2</t>
  </si>
  <si>
    <t>Column3</t>
  </si>
  <si>
    <t>Column4</t>
  </si>
  <si>
    <t>Column5</t>
  </si>
  <si>
    <t>Column6</t>
  </si>
  <si>
    <t>Column7</t>
  </si>
  <si>
    <t>Code Num;CQW8873845</t>
  </si>
  <si>
    <t>Code Num;CQW8873844</t>
  </si>
  <si>
    <t>Plot No : L-5685</t>
  </si>
  <si>
    <t>9/12/2024</t>
  </si>
  <si>
    <t>12263</t>
  </si>
  <si>
    <t>100,000</t>
  </si>
  <si>
    <t>100,0002</t>
  </si>
  <si>
    <t>200,000</t>
  </si>
  <si>
    <t>Code Num;CEQ4185207</t>
  </si>
  <si>
    <t>Name :Bushra Bibi</t>
  </si>
  <si>
    <t>Father Name :Faisal Zaman</t>
  </si>
  <si>
    <t>CNIC # 13503-3747214-2</t>
  </si>
  <si>
    <t>Contact # 03462985651</t>
  </si>
  <si>
    <t>Plot No : L-5679</t>
  </si>
  <si>
    <t>Cost : 750,000</t>
  </si>
  <si>
    <t>23/6/2025</t>
  </si>
  <si>
    <t>21/12/2025</t>
  </si>
  <si>
    <t>22/12/202513803</t>
  </si>
  <si>
    <t>NILL</t>
  </si>
  <si>
    <t>280,000 DISCOUNT AS PER SIR ARSHAD</t>
  </si>
  <si>
    <t>Name :Ghulam Nabi</t>
  </si>
  <si>
    <t>Father Name :Lal Muhammad</t>
  </si>
  <si>
    <t>CNIC # 42301-8578849-3</t>
  </si>
  <si>
    <t>Contact #03232885396</t>
  </si>
  <si>
    <t>Booking Instal</t>
  </si>
  <si>
    <t>Name :Nasreen Bano</t>
  </si>
  <si>
    <t>Father Name :Muhammad Sardar</t>
  </si>
  <si>
    <t>Contact #03003747532</t>
  </si>
  <si>
    <t>Plot No : L-5686</t>
  </si>
  <si>
    <t>Code Num;</t>
  </si>
  <si>
    <t>20/10/2022</t>
  </si>
  <si>
    <t>13/7/2024</t>
  </si>
  <si>
    <t xml:space="preserve">INSTALLMENT CLEAR </t>
  </si>
  <si>
    <t>Name;Rizwan</t>
  </si>
  <si>
    <t>Father Name :M.Ameer</t>
  </si>
  <si>
    <t>CNIC # 42401-6130378-1</t>
  </si>
  <si>
    <t>Contact #03152997487</t>
  </si>
  <si>
    <t>Plot No : L-5671</t>
  </si>
  <si>
    <t>21/8/2022</t>
  </si>
  <si>
    <t>24/9/2022</t>
  </si>
  <si>
    <t>15/11/2022</t>
  </si>
  <si>
    <t>16/1/2023</t>
  </si>
  <si>
    <t>14/3/2023</t>
  </si>
  <si>
    <t>30/4/2023</t>
  </si>
  <si>
    <t>21/5/2023</t>
  </si>
  <si>
    <t>23/7/2023</t>
  </si>
  <si>
    <t>20/8/2023</t>
  </si>
  <si>
    <t>ins Rehman</t>
  </si>
  <si>
    <t>22/9/2023</t>
  </si>
  <si>
    <t>23/10/2023</t>
  </si>
  <si>
    <t>20/11/2023</t>
  </si>
  <si>
    <t>20/2/2024</t>
  </si>
  <si>
    <t>19/3/2024</t>
  </si>
  <si>
    <t>17/4/2024</t>
  </si>
  <si>
    <t>28/7/2024</t>
  </si>
  <si>
    <t>31/12/2024</t>
  </si>
  <si>
    <t>19/1/2025</t>
  </si>
  <si>
    <t>28/4/2025</t>
  </si>
  <si>
    <t>20/5/2025</t>
  </si>
  <si>
    <t>29/6/2025</t>
  </si>
  <si>
    <t>27/7/2025</t>
  </si>
  <si>
    <t>24/8/2025</t>
  </si>
  <si>
    <r>
      <t>DE</t>
    </r>
    <r>
      <rPr>
        <sz val="14"/>
        <color theme="1"/>
        <rFont val="Calibri"/>
        <family val="2"/>
        <scheme val="minor"/>
      </rPr>
      <t>VELOPMENT CONTINUE</t>
    </r>
  </si>
  <si>
    <t>Name;Muhammad Ramzan</t>
  </si>
  <si>
    <t>Father Name :Iqbal Muhammad</t>
  </si>
  <si>
    <t>CNIC # 33100-1361980-7</t>
  </si>
  <si>
    <t>Contact #0307265049</t>
  </si>
  <si>
    <t>Plot No : L-5669</t>
  </si>
  <si>
    <t>Code Num;CCK5492177</t>
  </si>
  <si>
    <t>Cost : 655,000</t>
  </si>
  <si>
    <t>14/4/2023</t>
  </si>
  <si>
    <t>13/6/2023</t>
  </si>
  <si>
    <t>15/7/2024</t>
  </si>
  <si>
    <t>15/2/2025</t>
  </si>
  <si>
    <t>22/6/2025</t>
  </si>
  <si>
    <t>13/8/2025</t>
  </si>
  <si>
    <t>22/11/2025</t>
  </si>
  <si>
    <t>22/2/2026</t>
  </si>
  <si>
    <t>20/3/2026</t>
  </si>
  <si>
    <t>15/4/2026</t>
  </si>
  <si>
    <t>Code Num;CFJ0619573</t>
  </si>
  <si>
    <t>13/3/2026</t>
  </si>
  <si>
    <t>16/4/2026</t>
  </si>
  <si>
    <t>Code Num;CED0454436</t>
  </si>
  <si>
    <t>20/4/2026</t>
  </si>
  <si>
    <t>Name;Saeeda Umair</t>
  </si>
  <si>
    <t>Father Name :Mirza Umair Alam</t>
  </si>
  <si>
    <t>CNIC # 34502-1456790-2</t>
  </si>
  <si>
    <t>Plot No : L-5678</t>
  </si>
  <si>
    <t>Cost : 475,000</t>
  </si>
  <si>
    <t>Code Num;CEG5740299</t>
  </si>
  <si>
    <t>20/1/2024</t>
  </si>
  <si>
    <t>Advance</t>
  </si>
  <si>
    <t>Code Num;CLZ1787999</t>
  </si>
  <si>
    <t>Name :Salman</t>
  </si>
  <si>
    <t>Father Name : M.Jaffer</t>
  </si>
  <si>
    <t>CNIC # 42401-6135375-7</t>
  </si>
  <si>
    <t>Contact # 03138511375</t>
  </si>
  <si>
    <t>Plot No : L-5680</t>
  </si>
  <si>
    <t>Code Num;CMR5730624</t>
  </si>
  <si>
    <t>30/8/2022</t>
  </si>
  <si>
    <t>13/3/2023</t>
  </si>
  <si>
    <t>14/8/2023</t>
  </si>
  <si>
    <t>17/9/2023</t>
  </si>
  <si>
    <t>20/12/2023</t>
  </si>
  <si>
    <t>17/2/2024</t>
  </si>
  <si>
    <t>15/9/2024</t>
  </si>
  <si>
    <t>Name :Abdul Rehman</t>
  </si>
  <si>
    <t>Father Name : Abdul Aziz</t>
  </si>
  <si>
    <t>CNIC # 42201-8405045-9</t>
  </si>
  <si>
    <t>Contact # 03102932628</t>
  </si>
  <si>
    <t>Plot No : L-5622</t>
  </si>
  <si>
    <t>Code Num;CMT2771271</t>
  </si>
  <si>
    <t>23/1/2024</t>
  </si>
  <si>
    <t>18/4/2024</t>
  </si>
  <si>
    <t>21/5/2024</t>
  </si>
  <si>
    <t>26/6/2024</t>
  </si>
  <si>
    <t>Par Payment</t>
  </si>
  <si>
    <t>16/8/2024</t>
  </si>
  <si>
    <t>22/9/2024</t>
  </si>
  <si>
    <t>17/10/2024</t>
  </si>
  <si>
    <t>22/11/2024</t>
  </si>
  <si>
    <t>18/1/2025</t>
  </si>
  <si>
    <t>19/12/2024</t>
  </si>
  <si>
    <t>29/3/2026</t>
  </si>
  <si>
    <t>DEVELOPMENT CLEAR IN ADVANCE , AMOUNT 180,0000</t>
  </si>
  <si>
    <t>Name :Mohsin Khan</t>
  </si>
  <si>
    <t>Father Name : Abdul Wasi</t>
  </si>
  <si>
    <t>CNIC # 16101-6394964-9</t>
  </si>
  <si>
    <t>Plot No : L-5625</t>
  </si>
  <si>
    <t>14/8/2022</t>
  </si>
  <si>
    <t>30/11/2022</t>
  </si>
  <si>
    <t>17/4/2023</t>
  </si>
  <si>
    <t>28/5/2023</t>
  </si>
  <si>
    <t>24/6/2023</t>
  </si>
  <si>
    <t>14/4/2024</t>
  </si>
  <si>
    <t>27/8/2024</t>
  </si>
  <si>
    <t>27/10/2024</t>
  </si>
  <si>
    <t>24/11/2024</t>
  </si>
  <si>
    <t>Code Num;BJX360880</t>
  </si>
  <si>
    <t>THIS FILE IS TRANSFERRED TO</t>
  </si>
  <si>
    <t>DETAIL OF TRANSFERRED</t>
  </si>
  <si>
    <t>Name : Muhammad Asghar Mughal</t>
  </si>
  <si>
    <t>Father Name : Muhammad Sharif Mughal</t>
  </si>
  <si>
    <t>CNIC # 45402-6149845-7</t>
  </si>
  <si>
    <t>Code Num;CPL3516858</t>
  </si>
  <si>
    <t>Name : Muhammad Hamza</t>
  </si>
  <si>
    <t>Father Name : Shams-ud-din</t>
  </si>
  <si>
    <t>CNIC # 42301-8907402-3</t>
  </si>
  <si>
    <t>Contact # 03162795791</t>
  </si>
  <si>
    <t>Plot No : L-5697</t>
  </si>
  <si>
    <t>THIS FILE IS TRANSFERRED</t>
  </si>
  <si>
    <t>Name : Shakil</t>
  </si>
  <si>
    <t>Father Name : Babu Khan</t>
  </si>
  <si>
    <t>CNIC # 42101-5691433-1</t>
  </si>
  <si>
    <t>Contact # 03132181115</t>
  </si>
  <si>
    <t>23/10/2022</t>
  </si>
  <si>
    <t>15/4/2023</t>
  </si>
  <si>
    <t>22/5/2023</t>
  </si>
  <si>
    <t>15/7/2023</t>
  </si>
  <si>
    <t>17/11/2023</t>
  </si>
  <si>
    <t>Adjestment</t>
  </si>
  <si>
    <t>14/3/2024</t>
  </si>
  <si>
    <t>16/4/2024</t>
  </si>
  <si>
    <t>15/5/2024</t>
  </si>
  <si>
    <t>13/6/2024</t>
  </si>
  <si>
    <t>23/7/2024</t>
  </si>
  <si>
    <t>26/8/2024</t>
  </si>
  <si>
    <t>15/10/2024</t>
  </si>
  <si>
    <t>18/11/2024</t>
  </si>
  <si>
    <t>26/2/2025</t>
  </si>
  <si>
    <t>23/3/2025</t>
  </si>
  <si>
    <t>23/9/2025</t>
  </si>
  <si>
    <t>15/12/2025</t>
  </si>
  <si>
    <t>31/1/2026</t>
  </si>
  <si>
    <t>Code Num;CTU1683706</t>
  </si>
  <si>
    <t>Code Num;CGP4568429</t>
  </si>
  <si>
    <t>Name :Muhammad Farooq</t>
  </si>
  <si>
    <t>Father Name :Malik Mehmood</t>
  </si>
  <si>
    <t>CNIC # 32302-8838176-9</t>
  </si>
  <si>
    <t>Contact # 03036576751</t>
  </si>
  <si>
    <t>Plot No : L-5677</t>
  </si>
  <si>
    <t>13/8/22</t>
  </si>
  <si>
    <t>27/8/2023</t>
  </si>
  <si>
    <t xml:space="preserve">Instalment </t>
  </si>
  <si>
    <t>DEVELOPMNT CONTINUE</t>
  </si>
  <si>
    <t>Plot No : L-5633</t>
  </si>
  <si>
    <t xml:space="preserve">DEVELOPMENT  </t>
  </si>
  <si>
    <t>DEV</t>
  </si>
  <si>
    <t>Code Num;CQH0471766</t>
  </si>
  <si>
    <t>Name : Elahi Baksh</t>
  </si>
  <si>
    <t>Father Name : Karam Baksh</t>
  </si>
  <si>
    <t>CNIC # 312014312018-1</t>
  </si>
  <si>
    <t>Contact # 03048767461</t>
  </si>
  <si>
    <t>Plot No : L-5617</t>
  </si>
  <si>
    <t>30/10/2025</t>
  </si>
  <si>
    <t>Code Num;CQC0705259</t>
  </si>
  <si>
    <t>14/5/2026</t>
  </si>
  <si>
    <t>15/5/2026</t>
  </si>
  <si>
    <t>Code Num;CLM8054152</t>
  </si>
  <si>
    <t>16/5/2026</t>
  </si>
  <si>
    <t>17/5/2026</t>
  </si>
  <si>
    <t>DEVLOPMNT</t>
  </si>
  <si>
    <t>DEVELOPMENT</t>
  </si>
  <si>
    <t>CNIC # 42201-02781654-2</t>
  </si>
  <si>
    <t>12\12\026</t>
  </si>
  <si>
    <t>PARTIAL PAYMENT</t>
  </si>
  <si>
    <t>NIL</t>
  </si>
  <si>
    <t>03\05\026</t>
  </si>
  <si>
    <t>18\05\026</t>
  </si>
  <si>
    <t>NAME:</t>
  </si>
  <si>
    <t>SAMI AHMAD</t>
  </si>
  <si>
    <t>F\NAME:</t>
  </si>
  <si>
    <t>MUHAMMAD SHAFIQ</t>
  </si>
  <si>
    <t>CNIC</t>
  </si>
  <si>
    <t>42401-1290066-1</t>
  </si>
  <si>
    <t>CODE NUM:</t>
  </si>
  <si>
    <t>CONTACT NO:</t>
  </si>
  <si>
    <t>0341-9300847</t>
  </si>
  <si>
    <t>PLOT NO:</t>
  </si>
  <si>
    <t>CSU1308963</t>
  </si>
  <si>
    <t>23\12\024</t>
  </si>
  <si>
    <t>05\01\025</t>
  </si>
  <si>
    <t>03\03\025</t>
  </si>
  <si>
    <t>26\04\025</t>
  </si>
  <si>
    <t>06\05\025</t>
  </si>
  <si>
    <t>02\07\025</t>
  </si>
  <si>
    <t>07\08\025</t>
  </si>
  <si>
    <t>05\09\025</t>
  </si>
  <si>
    <t>07\10\025</t>
  </si>
  <si>
    <t>02\11\025</t>
  </si>
  <si>
    <t>03\12\025</t>
  </si>
  <si>
    <t>19\01\026</t>
  </si>
  <si>
    <t>14\01\024</t>
  </si>
  <si>
    <t>01\03\026</t>
  </si>
  <si>
    <t>01\04\026</t>
  </si>
  <si>
    <t>RESIDATIONAL BOOKING</t>
  </si>
  <si>
    <t>INSTALLMENT</t>
  </si>
  <si>
    <t>Name : Naseem</t>
  </si>
  <si>
    <t>20\05\026</t>
  </si>
  <si>
    <t>CONTACT NO</t>
  </si>
  <si>
    <t>CNIC:</t>
  </si>
  <si>
    <t>CODE:</t>
  </si>
  <si>
    <t>DILDAR HUSSIAN</t>
  </si>
  <si>
    <t>ABDUL JALIL</t>
  </si>
  <si>
    <t>0308-2675090</t>
  </si>
  <si>
    <t>42401-1975189-7</t>
  </si>
  <si>
    <t>CUU2547512</t>
  </si>
  <si>
    <t>01\11\020</t>
  </si>
  <si>
    <t>04\04\023</t>
  </si>
  <si>
    <t>21\05\023</t>
  </si>
  <si>
    <t>09\07\023</t>
  </si>
  <si>
    <t>25\12\024</t>
  </si>
  <si>
    <t>01\05\025</t>
  </si>
  <si>
    <t>02\06\025</t>
  </si>
  <si>
    <t>RUKHSANA MUSTAQ</t>
  </si>
  <si>
    <t>MUSHTAQ AHMAD AWAN</t>
  </si>
  <si>
    <t>0300-5351047</t>
  </si>
  <si>
    <t>42301-0843487-8</t>
  </si>
  <si>
    <t>CNX5680952</t>
  </si>
  <si>
    <t>22\8\22</t>
  </si>
  <si>
    <t>15\10\23</t>
  </si>
  <si>
    <t>15\3\23</t>
  </si>
  <si>
    <t>5\5\23</t>
  </si>
  <si>
    <t>01\08\23</t>
  </si>
  <si>
    <t>2\10\23</t>
  </si>
  <si>
    <t>14\10\23</t>
  </si>
  <si>
    <t>10\11\23</t>
  </si>
  <si>
    <t>9\12\23</t>
  </si>
  <si>
    <t>18\1\24</t>
  </si>
  <si>
    <t>27\4\24</t>
  </si>
  <si>
    <t>23\5\24</t>
  </si>
  <si>
    <t>7\6\24</t>
  </si>
  <si>
    <t>16\7\24</t>
  </si>
  <si>
    <t>5\9\24</t>
  </si>
  <si>
    <t>12\10\24</t>
  </si>
  <si>
    <t>12\11\24</t>
  </si>
  <si>
    <t>11\12\24</t>
  </si>
  <si>
    <t>11\1\25</t>
  </si>
  <si>
    <t>10\2\25</t>
  </si>
  <si>
    <t>10\3\25</t>
  </si>
  <si>
    <t>14\4\25</t>
  </si>
  <si>
    <t>15\5\25</t>
  </si>
  <si>
    <t>18\6\25</t>
  </si>
  <si>
    <t>17\7\25</t>
  </si>
  <si>
    <t>20\8\25</t>
  </si>
  <si>
    <t>14\9\25</t>
  </si>
  <si>
    <t>20\10\25</t>
  </si>
  <si>
    <t>18\11\25</t>
  </si>
  <si>
    <t>15\12\25</t>
  </si>
  <si>
    <t>16\12\25</t>
  </si>
  <si>
    <t>3\4\22</t>
  </si>
  <si>
    <t>REHMAN ADJUST</t>
  </si>
  <si>
    <t>10,000 HUM NA ZYADA LIYA HAI</t>
  </si>
  <si>
    <t>7\6\26</t>
  </si>
  <si>
    <t>CNIC NO:</t>
  </si>
  <si>
    <t>CODE NO:</t>
  </si>
  <si>
    <t>FAYAZ HUSSIAN</t>
  </si>
  <si>
    <t>NAWAZ HUSSIAN</t>
  </si>
  <si>
    <t>42401-4566229-5</t>
  </si>
  <si>
    <t>CQW2752733</t>
  </si>
  <si>
    <t>25\4\25</t>
  </si>
  <si>
    <t>RESDENTAIL BOOKING</t>
  </si>
  <si>
    <t>6\6\026</t>
  </si>
  <si>
    <t>DEVELOPMENT KA RAQAM NAHI MILA HAI SIR ARSHAD KA KEHNA PAR</t>
  </si>
  <si>
    <t>F\Name:</t>
  </si>
  <si>
    <t>IMRAN</t>
  </si>
  <si>
    <t>MUHAMMAD SULEMAN</t>
  </si>
  <si>
    <t>0334-6871275</t>
  </si>
  <si>
    <t>42301-8827136-7</t>
  </si>
  <si>
    <t>CNQ4107482</t>
  </si>
  <si>
    <t>7\5\24</t>
  </si>
  <si>
    <t>RESIDENTAIL BOOKING</t>
  </si>
  <si>
    <t>13\2\26</t>
  </si>
  <si>
    <t>DEVLOPMENT</t>
  </si>
  <si>
    <t>9\5\26</t>
  </si>
  <si>
    <t>5\6\26</t>
  </si>
  <si>
    <t>INSTALMENT</t>
  </si>
  <si>
    <t>CQT0988436</t>
  </si>
  <si>
    <t>FAYAZ FAHEEM</t>
  </si>
  <si>
    <t>SHUJA U DIN</t>
  </si>
  <si>
    <t>0345-2546685</t>
  </si>
  <si>
    <t>42401-19946850-3</t>
  </si>
  <si>
    <t>CED5044420</t>
  </si>
  <si>
    <t>COST:</t>
  </si>
  <si>
    <t>ALL AMOUNT GIVEN TO AL-REHMAN BUILDERS ADJUSTMENT AMOUNT</t>
  </si>
  <si>
    <t>10\6\26</t>
  </si>
  <si>
    <t>CUJ1188227</t>
  </si>
  <si>
    <t>11\6\26</t>
  </si>
  <si>
    <t>13\5\26</t>
  </si>
  <si>
    <t>12\6\026</t>
  </si>
  <si>
    <t>PLOT NO</t>
  </si>
  <si>
    <t>CEV1155557</t>
  </si>
  <si>
    <t>3\12\20</t>
  </si>
  <si>
    <t>20\7\23</t>
  </si>
  <si>
    <t>26\8\23</t>
  </si>
  <si>
    <t>9\10\23</t>
  </si>
  <si>
    <t>8\11\23</t>
  </si>
  <si>
    <t>8\12\23</t>
  </si>
  <si>
    <t>9\1\24</t>
  </si>
  <si>
    <t>9\2\24</t>
  </si>
  <si>
    <t>9\3\24</t>
  </si>
  <si>
    <t>9\4\24</t>
  </si>
  <si>
    <t>9\5\24</t>
  </si>
  <si>
    <t>8\6\24</t>
  </si>
  <si>
    <t>23\8\24</t>
  </si>
  <si>
    <t>24\10\24</t>
  </si>
  <si>
    <t>23\11\24</t>
  </si>
  <si>
    <t>8\1\25</t>
  </si>
  <si>
    <t>13\6\26</t>
  </si>
  <si>
    <t>REHMAN ADJUSTMENT</t>
  </si>
  <si>
    <t>MUHAMMAD FARROQ</t>
  </si>
  <si>
    <t>FAIZ BAKSH</t>
  </si>
  <si>
    <t>0307-8568902</t>
  </si>
  <si>
    <t>14\6\26</t>
  </si>
  <si>
    <t>CLT4335797</t>
  </si>
  <si>
    <t>15\6\26</t>
  </si>
  <si>
    <t>CLY7911269</t>
  </si>
  <si>
    <t>20\5\26</t>
  </si>
  <si>
    <t>19\6\26</t>
  </si>
  <si>
    <t>16\6\26</t>
  </si>
  <si>
    <t>31\5\26</t>
  </si>
  <si>
    <t>21\6\26</t>
  </si>
  <si>
    <t>cvj868771</t>
  </si>
  <si>
    <t>22\6\26</t>
  </si>
  <si>
    <t>development</t>
  </si>
  <si>
    <t xml:space="preserve">nil </t>
  </si>
  <si>
    <t>21\4\26</t>
  </si>
  <si>
    <t>23\5\26</t>
  </si>
  <si>
    <t>BFL7927158</t>
  </si>
  <si>
    <t>3\7\26</t>
  </si>
  <si>
    <t>CUK1500268</t>
  </si>
  <si>
    <t>7\5\26</t>
  </si>
  <si>
    <t>5\7\26</t>
  </si>
  <si>
    <t>9\7\26</t>
  </si>
  <si>
    <t>13\7\26</t>
  </si>
  <si>
    <t>18\7\26</t>
  </si>
  <si>
    <t>30\6\26</t>
  </si>
  <si>
    <t>21\7\26</t>
  </si>
  <si>
    <t>BPD0391567</t>
  </si>
  <si>
    <t>03\8\22</t>
  </si>
  <si>
    <t>11\10\24</t>
  </si>
  <si>
    <t>BOOKING</t>
  </si>
  <si>
    <t>Contact # 03481057882</t>
  </si>
  <si>
    <t>23\7\2026</t>
  </si>
  <si>
    <t>26\7\2026</t>
  </si>
  <si>
    <t>Name</t>
  </si>
  <si>
    <t>NOOR AFSHAN</t>
  </si>
  <si>
    <t>SYED ARSHAD ALI</t>
  </si>
  <si>
    <t>0345-2098049</t>
  </si>
  <si>
    <t>42101-1378127-2</t>
  </si>
  <si>
    <t>CQUO170697</t>
  </si>
  <si>
    <t>L-5624</t>
  </si>
  <si>
    <t>24/5/26</t>
  </si>
  <si>
    <t>TOKEN</t>
  </si>
  <si>
    <t>25/5/26</t>
  </si>
  <si>
    <t>20/6/26</t>
  </si>
  <si>
    <t>29/7/26</t>
  </si>
  <si>
    <t>DEVELOMENT NILL:</t>
  </si>
  <si>
    <t>Contact # 0345-2546685</t>
  </si>
  <si>
    <t>15/1/26</t>
  </si>
  <si>
    <t>24/2/26</t>
  </si>
  <si>
    <t>24/4/26</t>
  </si>
  <si>
    <t>17/6/26</t>
  </si>
  <si>
    <t>DEVE</t>
  </si>
  <si>
    <t>13/8/26</t>
  </si>
  <si>
    <t>17/9/25</t>
  </si>
  <si>
    <t>18/10/25</t>
  </si>
  <si>
    <t>17/11/25</t>
  </si>
  <si>
    <t>17/12/25</t>
  </si>
  <si>
    <t>18/1/26</t>
  </si>
  <si>
    <t>24/3/26</t>
  </si>
  <si>
    <t>RES BOOKING</t>
  </si>
  <si>
    <t>15/8/26</t>
  </si>
  <si>
    <t>15/7/26</t>
  </si>
  <si>
    <t>DEVELOPMENT NILL</t>
  </si>
  <si>
    <t>17/8/26</t>
  </si>
  <si>
    <t xml:space="preserve">DEVELOPMENT </t>
  </si>
  <si>
    <t>15/4/26</t>
  </si>
  <si>
    <t>18/6/26</t>
  </si>
  <si>
    <t>16/8/26</t>
  </si>
  <si>
    <t>Code Num;CRY8707415</t>
  </si>
  <si>
    <t>Plot No : L-5612</t>
  </si>
  <si>
    <t>Cost :550,000</t>
  </si>
  <si>
    <t xml:space="preserve">Name : MUHAMMAD RAZA </t>
  </si>
  <si>
    <t>Father Name : ABDUL FAROOQUE</t>
  </si>
  <si>
    <t>CNIC # 42401-1227804-9</t>
  </si>
  <si>
    <t>Contact # 0313-2126825</t>
  </si>
  <si>
    <t>22/6/24</t>
  </si>
  <si>
    <t>TOKEN SITE</t>
  </si>
  <si>
    <t>PARTIAL PYMT</t>
  </si>
  <si>
    <t>29/6/25</t>
  </si>
  <si>
    <t>29/7/25</t>
  </si>
  <si>
    <t>30/8/25</t>
  </si>
  <si>
    <t>25/9/25</t>
  </si>
  <si>
    <t>16/11/25</t>
  </si>
  <si>
    <t>15/3/26</t>
  </si>
  <si>
    <t>18/8/26</t>
  </si>
  <si>
    <t>19/8/26</t>
  </si>
  <si>
    <t>POSITION ORDER HAS BEEN  TAKEN</t>
  </si>
  <si>
    <t>21/7/26</t>
  </si>
  <si>
    <t>25/1/24</t>
  </si>
  <si>
    <t>23/3/24</t>
  </si>
  <si>
    <t>15/4/24</t>
  </si>
  <si>
    <t>13/6/24</t>
  </si>
  <si>
    <t>21/10/24</t>
  </si>
  <si>
    <t>20/11/24</t>
  </si>
  <si>
    <t>MUHAMMAD SADIQ</t>
  </si>
  <si>
    <t>AHMED BAKHSH</t>
  </si>
  <si>
    <t>0300-4150689</t>
  </si>
  <si>
    <t>31201-5119771-5</t>
  </si>
  <si>
    <t>CCC3690379</t>
  </si>
  <si>
    <t>COST:800,000</t>
  </si>
  <si>
    <t xml:space="preserve">NOMINEE # HASINA BIBI </t>
  </si>
  <si>
    <t>W/0 # MUHAMMAD SADIQ</t>
  </si>
  <si>
    <t>CNIC# 31201-2771959-5</t>
  </si>
  <si>
    <t>22/8/26</t>
  </si>
  <si>
    <t>CUX4553299</t>
  </si>
  <si>
    <t>24/8/26</t>
  </si>
  <si>
    <t xml:space="preserve">INSTALLMENT </t>
  </si>
  <si>
    <t>31/8/26</t>
  </si>
  <si>
    <t>PLOT NO:5687</t>
  </si>
  <si>
    <t>NAME:Naila</t>
  </si>
  <si>
    <t>F\NAME:Syed Shamshad Ali</t>
  </si>
  <si>
    <t>CONTACT NO:03198368326</t>
  </si>
  <si>
    <t>CNIC:42401-9383967-0</t>
  </si>
  <si>
    <t>28/8/26</t>
  </si>
  <si>
    <t xml:space="preserve">Booking </t>
  </si>
  <si>
    <t>Contact Num;0300-2695747</t>
  </si>
  <si>
    <t>31/8/25</t>
  </si>
  <si>
    <t>30/9/25</t>
  </si>
  <si>
    <t>29/10/25</t>
  </si>
  <si>
    <t>30/11/25</t>
  </si>
  <si>
    <t>30/12/25</t>
  </si>
  <si>
    <t>30/1/26</t>
  </si>
  <si>
    <t>28/3/26</t>
  </si>
  <si>
    <t>26/5/26</t>
  </si>
  <si>
    <t>26/6/26</t>
  </si>
  <si>
    <t>26/7/26</t>
  </si>
  <si>
    <t>30/8/26</t>
  </si>
  <si>
    <t>14/9/26</t>
  </si>
  <si>
    <t>Installment</t>
  </si>
  <si>
    <t>13/9/26</t>
  </si>
  <si>
    <t>15/9/26</t>
  </si>
  <si>
    <t>R.No</t>
  </si>
  <si>
    <t>Mode</t>
  </si>
  <si>
    <t>Balance</t>
  </si>
  <si>
    <t>15/02/2026</t>
  </si>
  <si>
    <t>5526</t>
  </si>
  <si>
    <t>Cash</t>
  </si>
  <si>
    <t>15/03/2026</t>
  </si>
  <si>
    <t>5728</t>
  </si>
  <si>
    <t>12/04/2026</t>
  </si>
  <si>
    <t>5920</t>
  </si>
  <si>
    <t>18/05/2026</t>
  </si>
  <si>
    <t>1504</t>
  </si>
  <si>
    <t>Online</t>
  </si>
  <si>
    <t>14/06/2026</t>
  </si>
  <si>
    <t>1643</t>
  </si>
  <si>
    <t>-</t>
  </si>
  <si>
    <t>15/07/2026</t>
  </si>
  <si>
    <t>1852</t>
  </si>
  <si>
    <t>16/08/2026</t>
  </si>
  <si>
    <t>1947</t>
  </si>
  <si>
    <t>15/09/2026</t>
  </si>
  <si>
    <t>2087</t>
  </si>
  <si>
    <t>21/2/26</t>
  </si>
  <si>
    <t>DATE</t>
  </si>
  <si>
    <t>R. NO.</t>
  </si>
  <si>
    <t>DESCRIPTION</t>
  </si>
  <si>
    <t>AMOUNT RECEIVED</t>
  </si>
  <si>
    <t>TOTAL RECEIVED</t>
  </si>
  <si>
    <t>AMOUNT DUE</t>
  </si>
  <si>
    <t>10,000/-</t>
  </si>
  <si>
    <t>1,10,000/-</t>
  </si>
  <si>
    <t>Rehman Adjustment</t>
  </si>
  <si>
    <t>20,000/-</t>
  </si>
  <si>
    <t>1,00,000/-</t>
  </si>
  <si>
    <t>30,000/-</t>
  </si>
  <si>
    <t>90,000/-</t>
  </si>
  <si>
    <t>40,000/-</t>
  </si>
  <si>
    <t>80,000/-</t>
  </si>
  <si>
    <t>27/04/2023</t>
  </si>
  <si>
    <t>50,000/-</t>
  </si>
  <si>
    <t>70,000/-</t>
  </si>
  <si>
    <t>60,000/-</t>
  </si>
  <si>
    <t>27/06/2023</t>
  </si>
  <si>
    <t>27/07/2023</t>
  </si>
  <si>
    <t>27/08/2023</t>
  </si>
  <si>
    <t>26/09/2023</t>
  </si>
  <si>
    <t>100,000/-</t>
  </si>
  <si>
    <t>24/10/2023</t>
  </si>
  <si>
    <t>110,000/-</t>
  </si>
  <si>
    <t>120,000/-</t>
  </si>
  <si>
    <t>27/09/2026</t>
  </si>
  <si>
    <t>200,000/-</t>
  </si>
  <si>
    <t xml:space="preserve">Name </t>
  </si>
  <si>
    <t>Plot numer</t>
  </si>
  <si>
    <t>Contact Number</t>
  </si>
  <si>
    <t>Code Num</t>
  </si>
  <si>
    <t>Asma Kanwal</t>
  </si>
  <si>
    <t>L-5676</t>
  </si>
  <si>
    <t>42101-3335693-8</t>
  </si>
  <si>
    <t>Cnic Num</t>
  </si>
  <si>
    <t>CVT8473028</t>
  </si>
  <si>
    <t xml:space="preserve">AL REHMAN ADJUSTMINT </t>
  </si>
  <si>
    <t>TOTAL PRICE</t>
  </si>
  <si>
    <t>22/03/2023</t>
  </si>
  <si>
    <t>22/05/2023</t>
  </si>
  <si>
    <t>DEVOLOPMENT</t>
  </si>
  <si>
    <t>RNo: 5059</t>
  </si>
  <si>
    <t>15/01/26</t>
  </si>
  <si>
    <t>RNo: 5308</t>
  </si>
  <si>
    <t>RNo: 5677</t>
  </si>
  <si>
    <t>5,000/-</t>
  </si>
  <si>
    <t>14/04/26</t>
  </si>
  <si>
    <t>R:NO 1741</t>
  </si>
  <si>
    <t>14/08/26</t>
  </si>
  <si>
    <t>Rno. 1915</t>
  </si>
  <si>
    <t>13/09/26</t>
  </si>
  <si>
    <t>Rno-2066</t>
  </si>
  <si>
    <t>Rno-2134</t>
  </si>
  <si>
    <t>L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</si>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</sst>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2"/>
      <color theme="1"/>
      <name val="Arial Black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2Calibri Light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404040"/>
        <bgColor rgb="FF404040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5" fillId="0" borderId="0" xfId="0" applyFont="1"/>
    <xf numFmtId="14" fontId="0" fillId="0" borderId="0" xfId="0" applyNumberFormat="1"/>
    <xf numFmtId="3" fontId="0" fillId="0" borderId="0" xfId="0" applyNumberFormat="1"/>
    <xf numFmtId="0" fontId="0" fillId="0" borderId="2" xfId="0" applyBorder="1" applyAlignment="1">
      <alignment horizontal="left"/>
    </xf>
    <xf numFmtId="0" fontId="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8" xfId="0" applyNumberFormat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3" borderId="9" xfId="0" applyFill="1" applyBorder="1"/>
    <xf numFmtId="0" fontId="4" fillId="2" borderId="1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7" fillId="0" borderId="0" xfId="0" applyFont="1"/>
    <xf numFmtId="14" fontId="0" fillId="0" borderId="2" xfId="0" applyNumberFormat="1" applyBorder="1" applyAlignment="1">
      <alignment horizontal="left"/>
    </xf>
    <xf numFmtId="0" fontId="0" fillId="0" borderId="0" xfId="0" applyAlignment="1">
      <alignment horizontal="right"/>
    </xf>
    <xf numFmtId="3" fontId="2" fillId="0" borderId="0" xfId="0" applyNumberFormat="1" applyFont="1"/>
    <xf numFmtId="14" fontId="1" fillId="0" borderId="0" xfId="0" applyNumberFormat="1" applyFont="1"/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0" fillId="0" borderId="8" xfId="0" applyBorder="1"/>
    <xf numFmtId="3" fontId="0" fillId="0" borderId="8" xfId="0" applyNumberFormat="1" applyBorder="1"/>
    <xf numFmtId="0" fontId="0" fillId="4" borderId="0" xfId="0" applyFill="1"/>
    <xf numFmtId="14" fontId="2" fillId="5" borderId="1" xfId="0" applyNumberFormat="1" applyFont="1" applyFill="1" applyBorder="1"/>
    <xf numFmtId="0" fontId="0" fillId="5" borderId="1" xfId="0" applyFill="1" applyBorder="1"/>
    <xf numFmtId="0" fontId="10" fillId="5" borderId="1" xfId="0" applyFont="1" applyFill="1" applyBorder="1"/>
    <xf numFmtId="0" fontId="1" fillId="5" borderId="1" xfId="0" applyFont="1" applyFill="1" applyBorder="1"/>
    <xf numFmtId="0" fontId="2" fillId="4" borderId="0" xfId="0" applyFont="1" applyFill="1"/>
    <xf numFmtId="0" fontId="2" fillId="5" borderId="1" xfId="0" applyFont="1" applyFill="1" applyBorder="1" applyAlignment="1">
      <alignment horizontal="left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0" xfId="0" applyFont="1"/>
    <xf numFmtId="0" fontId="4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4" fontId="0" fillId="7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3" fontId="0" fillId="7" borderId="1" xfId="0" applyNumberFormat="1" applyFill="1" applyBorder="1" applyAlignment="1">
      <alignment horizontal="left"/>
    </xf>
    <xf numFmtId="14" fontId="7" fillId="8" borderId="0" xfId="0" applyNumberFormat="1" applyFont="1" applyFill="1"/>
    <xf numFmtId="0" fontId="7" fillId="8" borderId="0" xfId="0" applyFont="1" applyFill="1"/>
    <xf numFmtId="0" fontId="4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3" fontId="0" fillId="10" borderId="1" xfId="0" applyNumberFormat="1" applyFill="1" applyBorder="1" applyAlignment="1">
      <alignment horizontal="center"/>
    </xf>
    <xf numFmtId="0" fontId="7" fillId="4" borderId="0" xfId="0" applyFont="1" applyFill="1"/>
    <xf numFmtId="0" fontId="4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15" fillId="12" borderId="13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3" fontId="14" fillId="0" borderId="13" xfId="0" applyNumberFormat="1" applyFont="1" applyBorder="1" applyAlignment="1">
      <alignment horizontal="center" vertical="center"/>
    </xf>
    <xf numFmtId="3" fontId="0" fillId="0" borderId="2" xfId="0" applyNumberFormat="1" applyBorder="1"/>
    <xf numFmtId="0" fontId="17" fillId="0" borderId="14" xfId="0" applyFont="1" applyBorder="1" applyAlignment="1">
      <alignment horizontal="center" vertical="center" wrapText="1"/>
    </xf>
    <xf numFmtId="14" fontId="17" fillId="0" borderId="14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4" fontId="18" fillId="0" borderId="15" xfId="0" applyNumberFormat="1" applyFont="1" applyBorder="1" applyAlignment="1">
      <alignment horizontal="left" vertical="center" wrapText="1" indent="1"/>
    </xf>
    <xf numFmtId="0" fontId="18" fillId="0" borderId="15" xfId="0" applyFont="1" applyBorder="1" applyAlignment="1">
      <alignment horizontal="left" vertical="center" wrapText="1" indent="1"/>
    </xf>
    <xf numFmtId="3" fontId="18" fillId="0" borderId="15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3" fontId="0" fillId="3" borderId="1" xfId="0" applyNumberFormat="1" applyFont="1" applyFill="1" applyBorder="1" applyAlignment="1">
      <alignment horizontal="left"/>
    </xf>
    <xf numFmtId="0" fontId="20" fillId="2" borderId="1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left"/>
    </xf>
    <xf numFmtId="0" fontId="19" fillId="13" borderId="1" xfId="0" applyFont="1" applyFill="1" applyBorder="1" applyAlignment="1">
      <alignment horizontal="left"/>
    </xf>
    <xf numFmtId="14" fontId="0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31"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indexed="64"/>
        </top>
      </border>
    </dxf>
    <dxf>
      <numFmt numFmtId="3" formatCode="#,##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7:F47" totalsRowShown="0" headerRowDxfId="30" headerRowBorderDxfId="29" tableBorderDxfId="28" totalsRowBorderDxfId="27">
  <autoFilter ref="A7:F47"/>
  <tableColumns count="6">
    <tableColumn id="1" name="Date" dataDxfId="26"/>
    <tableColumn id="2" name="R.NO" dataDxfId="25"/>
    <tableColumn id="3" name="Description" dataDxfId="24"/>
    <tableColumn id="4" name="Amount Rec" dataDxfId="23"/>
    <tableColumn id="5" name="Total Rec" dataDxfId="22">
      <calculatedColumnFormula>SUM(E7+D8)</calculatedColumnFormula>
    </tableColumn>
    <tableColumn id="6" name="Amount Due" dataDxfId="21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7:F18" totalsRowShown="0" headerRowDxfId="20" headerRowBorderDxfId="19" tableBorderDxfId="18" totalsRowBorderDxfId="17">
  <autoFilter ref="A7:F18"/>
  <tableColumns count="6">
    <tableColumn id="1" name="Date" dataDxfId="16"/>
    <tableColumn id="2" name="R.NO" dataDxfId="15"/>
    <tableColumn id="3" name="Description" dataDxfId="14"/>
    <tableColumn id="4" name="Amount Rec" dataDxfId="13"/>
    <tableColumn id="5" name="Total Rec" dataDxfId="12">
      <calculatedColumnFormula>SUM(E7+D8)</calculatedColumnFormula>
    </tableColumn>
    <tableColumn id="6" name="Amount Due" dataDxfId="11">
      <calculatedColumnFormula>F7-D8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7:G8" totalsRowShown="0">
  <autoFilter ref="A7:G8"/>
  <tableColumns count="7">
    <tableColumn id="1" name="Column1" dataDxfId="10"/>
    <tableColumn id="2" name="Column2" dataDxfId="9"/>
    <tableColumn id="3" name="Column3" dataDxfId="8"/>
    <tableColumn id="4" name="Column4" dataDxfId="7"/>
    <tableColumn id="5" name="Column5" dataDxfId="6"/>
    <tableColumn id="6" name="Column6" dataDxfId="5"/>
    <tableColumn id="7" name="Column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8:F10" totalsRowShown="0" headerRowDxfId="4" tableBorderDxfId="3">
  <autoFilter ref="A8:F10"/>
  <tableColumns count="6">
    <tableColumn id="1" name="9/12/2024"/>
    <tableColumn id="2" name="12263"/>
    <tableColumn id="3" name="Res Booking"/>
    <tableColumn id="4" name="100,000" dataDxfId="2"/>
    <tableColumn id="5" name="100,0002" dataDxfId="1">
      <calculatedColumnFormula>SUM(E8+D9)</calculatedColumnFormula>
    </tableColumn>
    <tableColumn id="6" name="200,000" dataDxfId="0">
      <calculatedColumnFormula>F8-D9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45"/>
  <sheetViews>
    <sheetView topLeftCell="A25" workbookViewId="0">
      <selection activeCell="F45" sqref="F45"/>
    </sheetView>
  </sheetViews>
  <sheetFormatPr defaultRowHeight="14.5"/>
  <cols>
    <col min="1" max="1" width="10" customWidth="1"/>
    <col min="3" max="3" width="18.54296875" customWidth="1"/>
    <col min="4" max="4" width="11.36328125" customWidth="1"/>
    <col min="6" max="6" width="10.81640625" customWidth="1"/>
  </cols>
  <sheetData>
    <row r="1" spans="1:6" ht="18.5">
      <c r="A1" s="1" t="s">
        <v>172</v>
      </c>
      <c r="B1" s="1"/>
      <c r="C1" s="1"/>
      <c r="D1" s="1"/>
      <c r="E1" s="1"/>
      <c r="F1" s="1"/>
    </row>
    <row r="2" spans="1:6" ht="18.5">
      <c r="A2" s="1" t="s">
        <v>173</v>
      </c>
      <c r="C2" s="1"/>
      <c r="D2" s="1"/>
      <c r="E2" s="1"/>
      <c r="F2" s="1"/>
    </row>
    <row r="3" spans="1:6" ht="18.5">
      <c r="A3" s="1" t="s">
        <v>174</v>
      </c>
      <c r="B3" s="1"/>
      <c r="C3" s="1"/>
      <c r="D3" s="1"/>
      <c r="E3" s="1"/>
      <c r="F3" s="19"/>
    </row>
    <row r="4" spans="1:6" ht="18.5">
      <c r="A4" s="1" t="s">
        <v>517</v>
      </c>
      <c r="B4" s="1"/>
      <c r="C4" s="1"/>
      <c r="D4" s="1"/>
      <c r="E4" s="1"/>
      <c r="F4" s="19"/>
    </row>
    <row r="5" spans="1:6" ht="18.5">
      <c r="A5" s="1" t="s">
        <v>175</v>
      </c>
      <c r="B5" s="1"/>
      <c r="C5" s="1"/>
      <c r="D5" s="1"/>
      <c r="E5" s="1"/>
      <c r="F5" s="1"/>
    </row>
    <row r="6" spans="1:6" ht="18.5">
      <c r="A6" s="1" t="s">
        <v>176</v>
      </c>
      <c r="B6" s="1"/>
      <c r="C6" s="1"/>
      <c r="D6" s="1" t="s">
        <v>177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7" t="s">
        <v>178</v>
      </c>
      <c r="B8" s="7">
        <v>2018</v>
      </c>
      <c r="C8" s="7" t="s">
        <v>182</v>
      </c>
      <c r="D8" s="10">
        <v>100000</v>
      </c>
      <c r="E8" s="10">
        <v>110000</v>
      </c>
      <c r="F8" s="10">
        <v>480000</v>
      </c>
    </row>
    <row r="9" spans="1:6">
      <c r="A9" s="7" t="s">
        <v>179</v>
      </c>
      <c r="B9" s="7">
        <v>2018</v>
      </c>
      <c r="C9" s="7" t="s">
        <v>183</v>
      </c>
      <c r="D9" s="10">
        <v>10000</v>
      </c>
      <c r="E9" s="10">
        <f>SUM(E8+D9)</f>
        <v>120000</v>
      </c>
      <c r="F9" s="10">
        <f>F8-D9</f>
        <v>470000</v>
      </c>
    </row>
    <row r="10" spans="1:6">
      <c r="A10" s="7" t="s">
        <v>180</v>
      </c>
      <c r="B10" s="7">
        <v>2019</v>
      </c>
      <c r="C10" s="7" t="s">
        <v>12</v>
      </c>
      <c r="D10" s="10">
        <v>10000</v>
      </c>
      <c r="E10" s="10">
        <f t="shared" ref="E10:E41" si="0">SUM(E9+D10)</f>
        <v>130000</v>
      </c>
      <c r="F10" s="10">
        <f t="shared" ref="F10:F41" si="1">F9-D10</f>
        <v>460000</v>
      </c>
    </row>
    <row r="11" spans="1:6">
      <c r="A11" s="9">
        <v>45049</v>
      </c>
      <c r="B11" s="7">
        <v>631</v>
      </c>
      <c r="C11" s="7" t="s">
        <v>12</v>
      </c>
      <c r="D11" s="10">
        <v>10000</v>
      </c>
      <c r="E11" s="10">
        <f t="shared" si="0"/>
        <v>140000</v>
      </c>
      <c r="F11" s="10">
        <f t="shared" si="1"/>
        <v>450000</v>
      </c>
    </row>
    <row r="12" spans="1:6">
      <c r="A12" s="9">
        <v>45173</v>
      </c>
      <c r="B12" s="7">
        <v>1041</v>
      </c>
      <c r="C12" s="7" t="s">
        <v>184</v>
      </c>
      <c r="D12" s="10">
        <v>19000</v>
      </c>
      <c r="E12" s="10">
        <f t="shared" si="0"/>
        <v>159000</v>
      </c>
      <c r="F12" s="10">
        <f t="shared" si="1"/>
        <v>431000</v>
      </c>
    </row>
    <row r="13" spans="1:6">
      <c r="A13" s="9">
        <v>44932</v>
      </c>
      <c r="B13" s="7">
        <v>226</v>
      </c>
      <c r="C13" s="7" t="s">
        <v>185</v>
      </c>
      <c r="D13" s="10">
        <v>21000</v>
      </c>
      <c r="E13" s="10">
        <f t="shared" si="0"/>
        <v>180000</v>
      </c>
      <c r="F13" s="10">
        <f t="shared" si="1"/>
        <v>410000</v>
      </c>
    </row>
    <row r="14" spans="1:6">
      <c r="A14" s="9">
        <v>45085</v>
      </c>
      <c r="B14" s="7">
        <v>2244</v>
      </c>
      <c r="C14" s="7" t="s">
        <v>12</v>
      </c>
      <c r="D14" s="10">
        <v>10000</v>
      </c>
      <c r="E14" s="10">
        <f t="shared" si="0"/>
        <v>190000</v>
      </c>
      <c r="F14" s="10">
        <f t="shared" si="1"/>
        <v>400000</v>
      </c>
    </row>
    <row r="15" spans="1:6">
      <c r="A15" s="9">
        <v>45116</v>
      </c>
      <c r="B15" s="7">
        <v>3423</v>
      </c>
      <c r="C15" s="7" t="s">
        <v>186</v>
      </c>
      <c r="D15" s="10">
        <v>20000</v>
      </c>
      <c r="E15" s="10">
        <f t="shared" si="0"/>
        <v>210000</v>
      </c>
      <c r="F15" s="10">
        <f t="shared" si="1"/>
        <v>380000</v>
      </c>
    </row>
    <row r="16" spans="1:6">
      <c r="A16" s="9">
        <v>45057</v>
      </c>
      <c r="B16" s="7">
        <v>4646</v>
      </c>
      <c r="C16" s="7" t="s">
        <v>187</v>
      </c>
      <c r="D16" s="10">
        <v>20000</v>
      </c>
      <c r="E16" s="10">
        <f t="shared" si="0"/>
        <v>230000</v>
      </c>
      <c r="F16" s="10">
        <f t="shared" si="1"/>
        <v>360000</v>
      </c>
    </row>
    <row r="17" spans="1:6">
      <c r="A17" s="9">
        <v>45444</v>
      </c>
      <c r="B17" s="7">
        <v>5918</v>
      </c>
      <c r="C17" s="7" t="s">
        <v>12</v>
      </c>
      <c r="D17" s="10">
        <v>10000</v>
      </c>
      <c r="E17" s="10">
        <f t="shared" si="0"/>
        <v>240000</v>
      </c>
      <c r="F17" s="10">
        <f t="shared" si="1"/>
        <v>350000</v>
      </c>
    </row>
    <row r="18" spans="1:6">
      <c r="A18" s="7" t="s">
        <v>181</v>
      </c>
      <c r="B18" s="7">
        <v>6203</v>
      </c>
      <c r="C18" s="7" t="s">
        <v>188</v>
      </c>
      <c r="D18" s="10">
        <v>10000</v>
      </c>
      <c r="E18" s="10">
        <f t="shared" si="0"/>
        <v>250000</v>
      </c>
      <c r="F18" s="10">
        <f t="shared" si="1"/>
        <v>340000</v>
      </c>
    </row>
    <row r="19" spans="1:6">
      <c r="A19" s="9">
        <v>45415</v>
      </c>
      <c r="B19" s="7">
        <v>6889</v>
      </c>
      <c r="C19" s="7" t="s">
        <v>57</v>
      </c>
      <c r="D19" s="10">
        <v>10000</v>
      </c>
      <c r="E19" s="10">
        <f t="shared" si="0"/>
        <v>260000</v>
      </c>
      <c r="F19" s="10">
        <f t="shared" si="1"/>
        <v>330000</v>
      </c>
    </row>
    <row r="20" spans="1:6">
      <c r="A20" s="9">
        <v>45355</v>
      </c>
      <c r="B20" s="7">
        <v>7660</v>
      </c>
      <c r="C20" s="7" t="s">
        <v>12</v>
      </c>
      <c r="D20" s="10">
        <v>10000</v>
      </c>
      <c r="E20" s="10">
        <f t="shared" si="0"/>
        <v>270000</v>
      </c>
      <c r="F20" s="10">
        <f t="shared" si="1"/>
        <v>320000</v>
      </c>
    </row>
    <row r="21" spans="1:6">
      <c r="A21" s="9">
        <v>45448</v>
      </c>
      <c r="B21" s="7">
        <v>8272</v>
      </c>
      <c r="C21" s="7" t="s">
        <v>195</v>
      </c>
      <c r="D21" s="10">
        <v>20000</v>
      </c>
      <c r="E21" s="10">
        <f t="shared" si="0"/>
        <v>290000</v>
      </c>
      <c r="F21" s="10">
        <f t="shared" si="1"/>
        <v>300000</v>
      </c>
    </row>
    <row r="22" spans="1:6">
      <c r="A22" s="9">
        <v>45511</v>
      </c>
      <c r="B22" s="7">
        <v>9440</v>
      </c>
      <c r="C22" s="7" t="s">
        <v>196</v>
      </c>
      <c r="D22" s="10">
        <v>20000</v>
      </c>
      <c r="E22" s="10">
        <f t="shared" si="0"/>
        <v>310000</v>
      </c>
      <c r="F22" s="10">
        <f t="shared" si="1"/>
        <v>280000</v>
      </c>
    </row>
    <row r="23" spans="1:6">
      <c r="A23" s="9">
        <v>45482</v>
      </c>
      <c r="B23" s="7">
        <v>10564</v>
      </c>
      <c r="C23" s="7" t="s">
        <v>197</v>
      </c>
      <c r="D23" s="10">
        <v>10000</v>
      </c>
      <c r="E23" s="10">
        <f t="shared" si="0"/>
        <v>320000</v>
      </c>
      <c r="F23" s="10">
        <f t="shared" si="1"/>
        <v>270000</v>
      </c>
    </row>
    <row r="24" spans="1:6">
      <c r="A24" s="7" t="s">
        <v>189</v>
      </c>
      <c r="B24" s="7">
        <v>11659</v>
      </c>
      <c r="C24" s="7" t="s">
        <v>199</v>
      </c>
      <c r="D24" s="10">
        <v>10000</v>
      </c>
      <c r="E24" s="10">
        <f t="shared" si="0"/>
        <v>330000</v>
      </c>
      <c r="F24" s="10">
        <f t="shared" si="1"/>
        <v>260000</v>
      </c>
    </row>
    <row r="25" spans="1:6">
      <c r="A25" s="9">
        <v>45607</v>
      </c>
      <c r="B25" s="7">
        <v>10908</v>
      </c>
      <c r="C25" s="7" t="s">
        <v>12</v>
      </c>
      <c r="D25" s="10">
        <v>10000</v>
      </c>
      <c r="E25" s="10">
        <f t="shared" si="0"/>
        <v>340000</v>
      </c>
      <c r="F25" s="10">
        <f t="shared" si="1"/>
        <v>250000</v>
      </c>
    </row>
    <row r="26" spans="1:6">
      <c r="A26" s="9">
        <v>45638</v>
      </c>
      <c r="B26" s="7">
        <v>12359</v>
      </c>
      <c r="C26" s="7" t="s">
        <v>12</v>
      </c>
      <c r="D26" s="10">
        <v>20000</v>
      </c>
      <c r="E26" s="10">
        <f t="shared" si="0"/>
        <v>360000</v>
      </c>
      <c r="F26" s="10">
        <f t="shared" si="1"/>
        <v>230000</v>
      </c>
    </row>
    <row r="27" spans="1:6">
      <c r="A27" s="9">
        <v>45932</v>
      </c>
      <c r="B27" s="7">
        <v>9318</v>
      </c>
      <c r="C27" s="7" t="s">
        <v>198</v>
      </c>
      <c r="D27" s="10">
        <v>10000</v>
      </c>
      <c r="E27" s="10">
        <f t="shared" si="0"/>
        <v>370000</v>
      </c>
      <c r="F27" s="10">
        <f t="shared" si="1"/>
        <v>220000</v>
      </c>
    </row>
    <row r="28" spans="1:6">
      <c r="A28" s="9">
        <v>45903</v>
      </c>
      <c r="B28" s="7">
        <v>9685</v>
      </c>
      <c r="C28" s="7" t="s">
        <v>12</v>
      </c>
      <c r="D28" s="10">
        <v>10000</v>
      </c>
      <c r="E28" s="10">
        <f t="shared" si="0"/>
        <v>380000</v>
      </c>
      <c r="F28" s="10">
        <f t="shared" si="1"/>
        <v>210000</v>
      </c>
    </row>
    <row r="29" spans="1:6">
      <c r="A29" s="7" t="s">
        <v>190</v>
      </c>
      <c r="B29" s="7">
        <v>9896</v>
      </c>
      <c r="C29" s="7" t="s">
        <v>12</v>
      </c>
      <c r="D29" s="10">
        <v>10000</v>
      </c>
      <c r="E29" s="10">
        <f t="shared" si="0"/>
        <v>390000</v>
      </c>
      <c r="F29" s="10">
        <f t="shared" si="1"/>
        <v>200000</v>
      </c>
    </row>
    <row r="30" spans="1:6">
      <c r="A30" s="9">
        <v>45966</v>
      </c>
      <c r="B30" s="7">
        <v>10926</v>
      </c>
      <c r="C30" s="7" t="s">
        <v>12</v>
      </c>
      <c r="D30" s="10">
        <v>10000</v>
      </c>
      <c r="E30" s="10">
        <f t="shared" si="0"/>
        <v>400000</v>
      </c>
      <c r="F30" s="10">
        <f t="shared" si="1"/>
        <v>190000</v>
      </c>
    </row>
    <row r="31" spans="1:6">
      <c r="A31" s="9">
        <v>45967</v>
      </c>
      <c r="B31" s="7">
        <v>10271</v>
      </c>
      <c r="C31" s="7" t="s">
        <v>12</v>
      </c>
      <c r="D31" s="10">
        <v>20000</v>
      </c>
      <c r="E31" s="10">
        <f t="shared" si="0"/>
        <v>420000</v>
      </c>
      <c r="F31" s="10">
        <f t="shared" si="1"/>
        <v>170000</v>
      </c>
    </row>
    <row r="32" spans="1:6">
      <c r="A32" s="7" t="s">
        <v>191</v>
      </c>
      <c r="B32" s="7">
        <v>12940</v>
      </c>
      <c r="C32" s="7" t="s">
        <v>12</v>
      </c>
      <c r="D32" s="10">
        <v>10000</v>
      </c>
      <c r="E32" s="10">
        <f t="shared" si="0"/>
        <v>430000</v>
      </c>
      <c r="F32" s="10">
        <f t="shared" si="1"/>
        <v>160000</v>
      </c>
    </row>
    <row r="33" spans="1:6">
      <c r="A33" s="7" t="s">
        <v>47</v>
      </c>
      <c r="B33" s="7">
        <v>13929</v>
      </c>
      <c r="C33" s="7" t="s">
        <v>12</v>
      </c>
      <c r="D33" s="10">
        <v>10000</v>
      </c>
      <c r="E33" s="10">
        <f t="shared" si="0"/>
        <v>440000</v>
      </c>
      <c r="F33" s="10">
        <f t="shared" si="1"/>
        <v>150000</v>
      </c>
    </row>
    <row r="34" spans="1:6">
      <c r="A34" s="7" t="s">
        <v>48</v>
      </c>
      <c r="B34" s="7">
        <v>13667</v>
      </c>
      <c r="C34" s="7" t="s">
        <v>12</v>
      </c>
      <c r="D34" s="10">
        <v>10000</v>
      </c>
      <c r="E34" s="10">
        <f t="shared" si="0"/>
        <v>450000</v>
      </c>
      <c r="F34" s="10">
        <f t="shared" si="1"/>
        <v>140000</v>
      </c>
    </row>
    <row r="35" spans="1:6">
      <c r="A35" s="7" t="s">
        <v>192</v>
      </c>
      <c r="B35" s="7">
        <v>13011</v>
      </c>
      <c r="C35" s="7" t="s">
        <v>12</v>
      </c>
      <c r="D35" s="10">
        <v>10000</v>
      </c>
      <c r="E35" s="10">
        <f t="shared" si="0"/>
        <v>460000</v>
      </c>
      <c r="F35" s="10">
        <f t="shared" si="1"/>
        <v>130000</v>
      </c>
    </row>
    <row r="36" spans="1:6">
      <c r="A36" s="7" t="s">
        <v>193</v>
      </c>
      <c r="B36" s="7">
        <v>12657</v>
      </c>
      <c r="C36" s="7" t="s">
        <v>12</v>
      </c>
      <c r="D36" s="10">
        <v>10000</v>
      </c>
      <c r="E36" s="10">
        <f t="shared" si="0"/>
        <v>470000</v>
      </c>
      <c r="F36" s="10">
        <f t="shared" si="1"/>
        <v>120000</v>
      </c>
    </row>
    <row r="37" spans="1:6">
      <c r="A37" s="7" t="s">
        <v>194</v>
      </c>
      <c r="B37" s="7">
        <v>12163</v>
      </c>
      <c r="C37" s="7" t="s">
        <v>12</v>
      </c>
      <c r="D37" s="10">
        <v>10000</v>
      </c>
      <c r="E37" s="10">
        <f t="shared" si="0"/>
        <v>480000</v>
      </c>
      <c r="F37" s="10">
        <f t="shared" si="1"/>
        <v>110000</v>
      </c>
    </row>
    <row r="38" spans="1:6">
      <c r="A38" s="9">
        <v>46297</v>
      </c>
      <c r="B38" s="7">
        <v>12424</v>
      </c>
      <c r="C38" s="7" t="s">
        <v>12</v>
      </c>
      <c r="D38" s="10">
        <v>10000</v>
      </c>
      <c r="E38" s="10">
        <f t="shared" si="0"/>
        <v>490000</v>
      </c>
      <c r="F38" s="10">
        <f t="shared" si="1"/>
        <v>100000</v>
      </c>
    </row>
    <row r="39" spans="1:6">
      <c r="A39" s="9">
        <v>46359</v>
      </c>
      <c r="B39" s="7">
        <v>2834</v>
      </c>
      <c r="C39" s="7" t="s">
        <v>12</v>
      </c>
      <c r="D39" s="10">
        <v>10000</v>
      </c>
      <c r="E39" s="10">
        <f t="shared" si="0"/>
        <v>500000</v>
      </c>
      <c r="F39" s="10">
        <f t="shared" si="1"/>
        <v>90000</v>
      </c>
    </row>
    <row r="40" spans="1:6">
      <c r="A40" s="39">
        <v>46207</v>
      </c>
      <c r="B40" s="18">
        <v>13166</v>
      </c>
      <c r="C40" s="7" t="s">
        <v>12</v>
      </c>
      <c r="D40" s="10">
        <v>10000</v>
      </c>
      <c r="E40" s="10">
        <f t="shared" si="0"/>
        <v>510000</v>
      </c>
      <c r="F40" s="10">
        <f t="shared" si="1"/>
        <v>80000</v>
      </c>
    </row>
    <row r="41" spans="1:6">
      <c r="A41" s="18" t="s">
        <v>518</v>
      </c>
      <c r="B41" s="18">
        <v>13361</v>
      </c>
      <c r="C41" s="26" t="s">
        <v>12</v>
      </c>
      <c r="D41" s="27">
        <v>10000</v>
      </c>
      <c r="E41" s="27">
        <f t="shared" si="0"/>
        <v>520000</v>
      </c>
      <c r="F41" s="27">
        <f t="shared" si="1"/>
        <v>70000</v>
      </c>
    </row>
    <row r="42" spans="1:6">
      <c r="A42" s="12" t="s">
        <v>675</v>
      </c>
      <c r="B42" s="7">
        <v>13638</v>
      </c>
      <c r="C42" s="7" t="s">
        <v>558</v>
      </c>
      <c r="D42" s="14">
        <v>10000</v>
      </c>
      <c r="E42" s="14">
        <f>E41+D42</f>
        <v>530000</v>
      </c>
      <c r="F42" s="14">
        <f>F41-D42</f>
        <v>60000</v>
      </c>
    </row>
    <row r="43" spans="1:6">
      <c r="A43" s="13">
        <v>46333</v>
      </c>
      <c r="B43" s="7">
        <v>1445</v>
      </c>
      <c r="C43" s="7" t="s">
        <v>558</v>
      </c>
      <c r="D43" s="14">
        <v>10000</v>
      </c>
      <c r="E43" s="14">
        <f>E42+D43</f>
        <v>540000</v>
      </c>
      <c r="F43" s="14">
        <f>F42-D43</f>
        <v>50000</v>
      </c>
    </row>
    <row r="44" spans="1:6">
      <c r="A44" s="13">
        <v>46364</v>
      </c>
      <c r="B44" s="7">
        <v>1750</v>
      </c>
      <c r="C44" s="7" t="s">
        <v>558</v>
      </c>
      <c r="D44" s="14">
        <v>10000</v>
      </c>
      <c r="E44" s="14">
        <f>E43+D44</f>
        <v>550000</v>
      </c>
      <c r="F44" s="14">
        <f>F43-D44</f>
        <v>40000</v>
      </c>
    </row>
    <row r="45" spans="1:6">
      <c r="A45" t="s">
        <v>801</v>
      </c>
      <c r="B45" s="18">
        <v>2025</v>
      </c>
      <c r="C45" s="18" t="s">
        <v>802</v>
      </c>
      <c r="D45" s="17">
        <v>10000</v>
      </c>
      <c r="E45" s="17">
        <v>560000</v>
      </c>
      <c r="F45" s="17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59"/>
  <sheetViews>
    <sheetView tabSelected="1" topLeftCell="A51" zoomScale="130" zoomScaleNormal="130" workbookViewId="0">
      <selection activeCell="F59" sqref="F59"/>
    </sheetView>
  </sheetViews>
  <sheetFormatPr defaultRowHeight="14.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>
      <c r="A1" s="1" t="s">
        <v>254</v>
      </c>
      <c r="B1" s="1"/>
      <c r="C1" s="1"/>
      <c r="D1" s="1"/>
      <c r="E1" s="1"/>
      <c r="F1" s="1"/>
    </row>
    <row r="2" spans="1:6" ht="18.5">
      <c r="A2" s="1" t="s">
        <v>255</v>
      </c>
      <c r="C2" s="1"/>
      <c r="D2" s="1"/>
      <c r="E2" s="1"/>
      <c r="F2" s="1"/>
    </row>
    <row r="3" spans="1:6" ht="18.5">
      <c r="A3" s="1" t="s">
        <v>256</v>
      </c>
      <c r="B3" s="1"/>
      <c r="C3" s="1"/>
      <c r="D3" s="1"/>
      <c r="E3" s="1"/>
      <c r="F3" s="1"/>
    </row>
    <row r="4" spans="1:6" ht="18.5">
      <c r="A4" s="1" t="s">
        <v>259</v>
      </c>
      <c r="B4" s="1" t="s">
        <v>639</v>
      </c>
      <c r="C4" s="1"/>
      <c r="D4" s="1"/>
      <c r="E4" s="1"/>
      <c r="F4" s="1"/>
    </row>
    <row r="5" spans="1:6" ht="18.5">
      <c r="A5" s="1" t="s">
        <v>257</v>
      </c>
      <c r="B5" s="1"/>
      <c r="C5" s="1"/>
      <c r="D5" s="1"/>
      <c r="E5" s="1"/>
      <c r="F5" s="1"/>
    </row>
    <row r="6" spans="1:6" ht="18.5">
      <c r="A6" s="1" t="s">
        <v>258</v>
      </c>
      <c r="B6" s="1"/>
      <c r="C6" s="1"/>
      <c r="D6" s="1"/>
      <c r="E6" s="1" t="s">
        <v>177</v>
      </c>
      <c r="F6" s="1"/>
    </row>
    <row r="7" spans="1:6">
      <c r="A7" s="28" t="s">
        <v>3</v>
      </c>
      <c r="B7" s="29" t="s">
        <v>4</v>
      </c>
      <c r="C7" s="29" t="s">
        <v>5</v>
      </c>
      <c r="D7" s="24" t="s">
        <v>6</v>
      </c>
      <c r="E7" s="24" t="s">
        <v>7</v>
      </c>
      <c r="F7" s="25" t="s">
        <v>8</v>
      </c>
    </row>
    <row r="8" spans="1:6">
      <c r="A8" s="21" t="s">
        <v>260</v>
      </c>
      <c r="B8" s="7">
        <v>2737</v>
      </c>
      <c r="C8" s="7" t="s">
        <v>261</v>
      </c>
      <c r="D8" s="10">
        <v>120000</v>
      </c>
      <c r="E8" s="10">
        <v>120000</v>
      </c>
      <c r="F8" s="23">
        <v>470000</v>
      </c>
    </row>
    <row r="9" spans="1:6">
      <c r="A9" s="22">
        <v>45079</v>
      </c>
      <c r="B9" s="7">
        <v>2738</v>
      </c>
      <c r="C9" s="7" t="s">
        <v>156</v>
      </c>
      <c r="D9" s="10">
        <v>10000</v>
      </c>
      <c r="E9" s="10">
        <f>SUM(E8+D9)</f>
        <v>130000</v>
      </c>
      <c r="F9" s="23">
        <f>F8-D9</f>
        <v>460000</v>
      </c>
    </row>
    <row r="10" spans="1:6">
      <c r="A10" s="22">
        <v>45019</v>
      </c>
      <c r="B10" s="7">
        <v>2889</v>
      </c>
      <c r="C10" s="7" t="s">
        <v>12</v>
      </c>
      <c r="D10" s="10">
        <v>10000</v>
      </c>
      <c r="E10" s="10">
        <f t="shared" ref="E10:E47" si="0">SUM(E9+D10)</f>
        <v>140000</v>
      </c>
      <c r="F10" s="23">
        <f t="shared" ref="F10:F47" si="1">F9-D10</f>
        <v>450000</v>
      </c>
    </row>
    <row r="11" spans="1:6">
      <c r="A11" s="22">
        <v>45020</v>
      </c>
      <c r="B11" s="7">
        <v>1845</v>
      </c>
      <c r="C11" s="7" t="s">
        <v>12</v>
      </c>
      <c r="D11" s="10">
        <v>10000</v>
      </c>
      <c r="E11" s="10">
        <f t="shared" si="0"/>
        <v>150000</v>
      </c>
      <c r="F11" s="23">
        <f t="shared" si="1"/>
        <v>440000</v>
      </c>
    </row>
    <row r="12" spans="1:6">
      <c r="A12" s="22">
        <v>44962</v>
      </c>
      <c r="B12" s="7">
        <v>1409</v>
      </c>
      <c r="C12" s="7" t="s">
        <v>12</v>
      </c>
      <c r="D12" s="10">
        <v>10000</v>
      </c>
      <c r="E12" s="10">
        <f t="shared" si="0"/>
        <v>160000</v>
      </c>
      <c r="F12" s="23">
        <f t="shared" si="1"/>
        <v>430000</v>
      </c>
    </row>
    <row r="13" spans="1:6">
      <c r="A13" s="22">
        <v>45052</v>
      </c>
      <c r="B13" s="7">
        <v>326</v>
      </c>
      <c r="C13" s="7" t="s">
        <v>12</v>
      </c>
      <c r="D13" s="10">
        <v>10000</v>
      </c>
      <c r="E13" s="10">
        <f t="shared" si="0"/>
        <v>170000</v>
      </c>
      <c r="F13" s="23">
        <f t="shared" si="1"/>
        <v>420000</v>
      </c>
    </row>
    <row r="14" spans="1:6">
      <c r="A14" s="22">
        <v>45084</v>
      </c>
      <c r="B14" s="7">
        <v>2138</v>
      </c>
      <c r="C14" s="7" t="s">
        <v>12</v>
      </c>
      <c r="D14" s="10">
        <v>10000</v>
      </c>
      <c r="E14" s="10">
        <f t="shared" si="0"/>
        <v>180000</v>
      </c>
      <c r="F14" s="23">
        <f t="shared" si="1"/>
        <v>410000</v>
      </c>
    </row>
    <row r="15" spans="1:6">
      <c r="A15" s="22">
        <v>45115</v>
      </c>
      <c r="B15" s="7">
        <v>2262</v>
      </c>
      <c r="C15" s="7" t="s">
        <v>12</v>
      </c>
      <c r="D15" s="10">
        <v>10000</v>
      </c>
      <c r="E15" s="10">
        <f t="shared" si="0"/>
        <v>190000</v>
      </c>
      <c r="F15" s="23">
        <f t="shared" si="1"/>
        <v>400000</v>
      </c>
    </row>
    <row r="16" spans="1:6">
      <c r="A16" s="22">
        <v>45086</v>
      </c>
      <c r="B16" s="7">
        <v>3417</v>
      </c>
      <c r="C16" s="7" t="s">
        <v>12</v>
      </c>
      <c r="D16" s="10">
        <v>10000</v>
      </c>
      <c r="E16" s="10">
        <f t="shared" si="0"/>
        <v>200000</v>
      </c>
      <c r="F16" s="23">
        <f t="shared" si="1"/>
        <v>390000</v>
      </c>
    </row>
    <row r="17" spans="1:6">
      <c r="A17" s="22">
        <v>45056</v>
      </c>
      <c r="B17" s="7">
        <v>4005</v>
      </c>
      <c r="C17" s="7" t="s">
        <v>12</v>
      </c>
      <c r="D17" s="10">
        <v>10000</v>
      </c>
      <c r="E17" s="10">
        <f t="shared" si="0"/>
        <v>210000</v>
      </c>
      <c r="F17" s="23">
        <f t="shared" si="1"/>
        <v>380000</v>
      </c>
    </row>
    <row r="18" spans="1:6">
      <c r="A18" s="22">
        <v>45027</v>
      </c>
      <c r="B18" s="7">
        <v>4616</v>
      </c>
      <c r="C18" s="7" t="s">
        <v>12</v>
      </c>
      <c r="D18" s="10">
        <v>10000</v>
      </c>
      <c r="E18" s="10">
        <f t="shared" si="0"/>
        <v>220000</v>
      </c>
      <c r="F18" s="23">
        <f t="shared" si="1"/>
        <v>370000</v>
      </c>
    </row>
    <row r="19" spans="1:6">
      <c r="A19" s="22">
        <v>44969</v>
      </c>
      <c r="B19" s="7">
        <v>5230</v>
      </c>
      <c r="C19" s="7" t="s">
        <v>12</v>
      </c>
      <c r="D19" s="10">
        <v>10000</v>
      </c>
      <c r="E19" s="10">
        <f t="shared" si="0"/>
        <v>230000</v>
      </c>
      <c r="F19" s="23">
        <f t="shared" si="1"/>
        <v>360000</v>
      </c>
    </row>
    <row r="20" spans="1:6">
      <c r="A20" s="22">
        <v>45413</v>
      </c>
      <c r="B20" s="7">
        <v>5903</v>
      </c>
      <c r="C20" s="7" t="s">
        <v>12</v>
      </c>
      <c r="D20" s="10">
        <v>10000</v>
      </c>
      <c r="E20" s="10">
        <f t="shared" si="0"/>
        <v>240000</v>
      </c>
      <c r="F20" s="23">
        <f t="shared" si="1"/>
        <v>350000</v>
      </c>
    </row>
    <row r="21" spans="1:6">
      <c r="A21" s="22">
        <v>45414</v>
      </c>
      <c r="B21" s="7">
        <v>6529</v>
      </c>
      <c r="C21" s="7" t="s">
        <v>12</v>
      </c>
      <c r="D21" s="10">
        <v>10000</v>
      </c>
      <c r="E21" s="10">
        <f t="shared" si="0"/>
        <v>250000</v>
      </c>
      <c r="F21" s="23">
        <f t="shared" si="1"/>
        <v>340000</v>
      </c>
    </row>
    <row r="22" spans="1:6">
      <c r="A22" s="22">
        <v>45354</v>
      </c>
      <c r="B22" s="7">
        <v>6865</v>
      </c>
      <c r="C22" s="7" t="s">
        <v>12</v>
      </c>
      <c r="D22" s="10">
        <v>10000</v>
      </c>
      <c r="E22" s="10">
        <f t="shared" si="0"/>
        <v>260000</v>
      </c>
      <c r="F22" s="23">
        <f t="shared" si="1"/>
        <v>330000</v>
      </c>
    </row>
    <row r="23" spans="1:6">
      <c r="A23" s="22">
        <v>45295</v>
      </c>
      <c r="B23" s="7">
        <v>7633</v>
      </c>
      <c r="C23" s="7" t="s">
        <v>12</v>
      </c>
      <c r="D23" s="10">
        <v>10000</v>
      </c>
      <c r="E23" s="10">
        <f t="shared" si="0"/>
        <v>270000</v>
      </c>
      <c r="F23" s="23">
        <f t="shared" si="1"/>
        <v>320000</v>
      </c>
    </row>
    <row r="24" spans="1:6">
      <c r="A24" s="22">
        <v>45296</v>
      </c>
      <c r="B24" s="7">
        <v>8182</v>
      </c>
      <c r="C24" s="7" t="s">
        <v>12</v>
      </c>
      <c r="D24" s="10">
        <v>10000</v>
      </c>
      <c r="E24" s="10">
        <f t="shared" si="0"/>
        <v>280000</v>
      </c>
      <c r="F24" s="23">
        <f t="shared" si="1"/>
        <v>310000</v>
      </c>
    </row>
    <row r="25" spans="1:6">
      <c r="A25" s="22">
        <v>45297</v>
      </c>
      <c r="B25" s="7">
        <v>8800</v>
      </c>
      <c r="C25" s="7" t="s">
        <v>12</v>
      </c>
      <c r="D25" s="10">
        <v>10000</v>
      </c>
      <c r="E25" s="10">
        <f t="shared" si="0"/>
        <v>290000</v>
      </c>
      <c r="F25" s="23">
        <f t="shared" si="1"/>
        <v>300000</v>
      </c>
    </row>
    <row r="26" spans="1:6">
      <c r="A26" s="22">
        <v>45298</v>
      </c>
      <c r="B26" s="7">
        <v>9844</v>
      </c>
      <c r="C26" s="7" t="s">
        <v>12</v>
      </c>
      <c r="D26" s="10">
        <v>10000</v>
      </c>
      <c r="E26" s="10">
        <f t="shared" si="0"/>
        <v>300000</v>
      </c>
      <c r="F26" s="23">
        <f t="shared" si="1"/>
        <v>290000</v>
      </c>
    </row>
    <row r="27" spans="1:6">
      <c r="A27" s="22">
        <v>45634</v>
      </c>
      <c r="B27" s="7">
        <v>314</v>
      </c>
      <c r="C27" s="7" t="s">
        <v>12</v>
      </c>
      <c r="D27" s="10">
        <v>10000</v>
      </c>
      <c r="E27" s="10">
        <f t="shared" si="0"/>
        <v>310000</v>
      </c>
      <c r="F27" s="23">
        <f t="shared" si="1"/>
        <v>280000</v>
      </c>
    </row>
    <row r="28" spans="1:6">
      <c r="A28" s="22">
        <v>45331</v>
      </c>
      <c r="B28" s="7">
        <v>10479</v>
      </c>
      <c r="C28" s="7" t="s">
        <v>12</v>
      </c>
      <c r="D28" s="10">
        <v>10000</v>
      </c>
      <c r="E28" s="10">
        <f t="shared" si="0"/>
        <v>320000</v>
      </c>
      <c r="F28" s="23">
        <f t="shared" si="1"/>
        <v>270000</v>
      </c>
    </row>
    <row r="29" spans="1:6">
      <c r="A29" s="22">
        <v>45361</v>
      </c>
      <c r="B29" s="7">
        <v>10188</v>
      </c>
      <c r="C29" s="7" t="s">
        <v>12</v>
      </c>
      <c r="D29" s="10">
        <v>10000</v>
      </c>
      <c r="E29" s="10">
        <f t="shared" si="0"/>
        <v>330000</v>
      </c>
      <c r="F29" s="23">
        <f t="shared" si="1"/>
        <v>260000</v>
      </c>
    </row>
    <row r="30" spans="1:6">
      <c r="A30" s="22">
        <v>45333</v>
      </c>
      <c r="B30" s="7">
        <v>204</v>
      </c>
      <c r="C30" s="7" t="s">
        <v>12</v>
      </c>
      <c r="D30" s="10">
        <v>10000</v>
      </c>
      <c r="E30" s="10">
        <f t="shared" si="0"/>
        <v>340000</v>
      </c>
      <c r="F30" s="23">
        <f t="shared" si="1"/>
        <v>250000</v>
      </c>
    </row>
    <row r="31" spans="1:6">
      <c r="A31" s="22">
        <v>45334</v>
      </c>
      <c r="B31" s="7">
        <v>12549</v>
      </c>
      <c r="C31" s="7" t="s">
        <v>12</v>
      </c>
      <c r="D31" s="10">
        <v>10000</v>
      </c>
      <c r="E31" s="10">
        <f t="shared" si="0"/>
        <v>350000</v>
      </c>
      <c r="F31" s="23">
        <f t="shared" si="1"/>
        <v>240000</v>
      </c>
    </row>
    <row r="32" spans="1:6">
      <c r="A32" s="22">
        <v>45689</v>
      </c>
      <c r="B32" s="7">
        <v>12858</v>
      </c>
      <c r="C32" s="7" t="s">
        <v>12</v>
      </c>
      <c r="D32" s="10">
        <v>10000</v>
      </c>
      <c r="E32" s="10">
        <f t="shared" si="0"/>
        <v>360000</v>
      </c>
      <c r="F32" s="23">
        <f t="shared" si="1"/>
        <v>230000</v>
      </c>
    </row>
    <row r="33" spans="1:6">
      <c r="A33" s="22">
        <v>45718</v>
      </c>
      <c r="B33" s="7">
        <v>9200</v>
      </c>
      <c r="C33" s="7" t="s">
        <v>12</v>
      </c>
      <c r="D33" s="10">
        <v>10000</v>
      </c>
      <c r="E33" s="10">
        <f t="shared" si="0"/>
        <v>370000</v>
      </c>
      <c r="F33" s="23">
        <f t="shared" si="1"/>
        <v>220000</v>
      </c>
    </row>
    <row r="34" spans="1:6">
      <c r="A34" s="22">
        <v>45780</v>
      </c>
      <c r="B34" s="7">
        <v>9614</v>
      </c>
      <c r="C34" s="7" t="s">
        <v>12</v>
      </c>
      <c r="D34" s="10">
        <v>10000</v>
      </c>
      <c r="E34" s="10">
        <f t="shared" si="0"/>
        <v>380000</v>
      </c>
      <c r="F34" s="23">
        <f t="shared" si="1"/>
        <v>210000</v>
      </c>
    </row>
    <row r="35" spans="1:6">
      <c r="A35" s="22">
        <v>45812</v>
      </c>
      <c r="B35" s="7">
        <v>9919</v>
      </c>
      <c r="C35" s="7" t="s">
        <v>12</v>
      </c>
      <c r="D35" s="10">
        <v>10000</v>
      </c>
      <c r="E35" s="10">
        <f t="shared" si="0"/>
        <v>390000</v>
      </c>
      <c r="F35" s="23">
        <f t="shared" si="1"/>
        <v>200000</v>
      </c>
    </row>
    <row r="36" spans="1:6">
      <c r="A36" s="22">
        <v>45752</v>
      </c>
      <c r="B36" s="7">
        <v>10302</v>
      </c>
      <c r="C36" s="7" t="s">
        <v>12</v>
      </c>
      <c r="D36" s="10">
        <v>10000</v>
      </c>
      <c r="E36" s="10">
        <f t="shared" si="0"/>
        <v>400000</v>
      </c>
      <c r="F36" s="23">
        <f t="shared" si="1"/>
        <v>190000</v>
      </c>
    </row>
    <row r="37" spans="1:6">
      <c r="A37" s="22">
        <v>45722</v>
      </c>
      <c r="B37" s="7">
        <v>10431</v>
      </c>
      <c r="C37" s="7" t="s">
        <v>12</v>
      </c>
      <c r="D37" s="10">
        <v>10000</v>
      </c>
      <c r="E37" s="10">
        <f t="shared" si="0"/>
        <v>410000</v>
      </c>
      <c r="F37" s="23">
        <f t="shared" si="1"/>
        <v>180000</v>
      </c>
    </row>
    <row r="38" spans="1:6">
      <c r="A38" s="22">
        <v>45723</v>
      </c>
      <c r="B38" s="7">
        <v>12035</v>
      </c>
      <c r="C38" s="7" t="s">
        <v>12</v>
      </c>
      <c r="D38" s="10">
        <v>10000</v>
      </c>
      <c r="E38" s="10">
        <f t="shared" si="0"/>
        <v>420000</v>
      </c>
      <c r="F38" s="23">
        <f t="shared" si="1"/>
        <v>170000</v>
      </c>
    </row>
    <row r="39" spans="1:6">
      <c r="A39" s="21" t="s">
        <v>191</v>
      </c>
      <c r="B39" s="7">
        <v>12932</v>
      </c>
      <c r="C39" s="7" t="s">
        <v>12</v>
      </c>
      <c r="D39" s="10">
        <v>10000</v>
      </c>
      <c r="E39" s="10">
        <f t="shared" si="0"/>
        <v>430000</v>
      </c>
      <c r="F39" s="23">
        <f t="shared" si="1"/>
        <v>160000</v>
      </c>
    </row>
    <row r="40" spans="1:6">
      <c r="A40" s="21" t="s">
        <v>89</v>
      </c>
      <c r="B40" s="7">
        <v>12744</v>
      </c>
      <c r="C40" s="7" t="s">
        <v>12</v>
      </c>
      <c r="D40" s="10">
        <v>10000</v>
      </c>
      <c r="E40" s="10">
        <f t="shared" si="0"/>
        <v>440000</v>
      </c>
      <c r="F40" s="23">
        <f t="shared" si="1"/>
        <v>150000</v>
      </c>
    </row>
    <row r="41" spans="1:6">
      <c r="A41" s="21" t="s">
        <v>252</v>
      </c>
      <c r="B41" s="7">
        <v>13628</v>
      </c>
      <c r="C41" s="7" t="s">
        <v>12</v>
      </c>
      <c r="D41" s="10">
        <v>10000</v>
      </c>
      <c r="E41" s="10">
        <f t="shared" si="0"/>
        <v>450000</v>
      </c>
      <c r="F41" s="23">
        <f t="shared" si="1"/>
        <v>140000</v>
      </c>
    </row>
    <row r="42" spans="1:6">
      <c r="A42" s="22">
        <v>45911</v>
      </c>
      <c r="B42" s="7">
        <v>13628</v>
      </c>
      <c r="C42" s="7" t="s">
        <v>12</v>
      </c>
      <c r="D42" s="10">
        <v>10000</v>
      </c>
      <c r="E42" s="10">
        <f t="shared" si="0"/>
        <v>460000</v>
      </c>
      <c r="F42" s="23">
        <f t="shared" si="1"/>
        <v>130000</v>
      </c>
    </row>
    <row r="43" spans="1:6">
      <c r="A43" s="22">
        <v>45881</v>
      </c>
      <c r="B43" s="7">
        <v>13104</v>
      </c>
      <c r="C43" s="7" t="s">
        <v>12</v>
      </c>
      <c r="D43" s="10">
        <v>10000</v>
      </c>
      <c r="E43" s="10">
        <f t="shared" si="0"/>
        <v>470000</v>
      </c>
      <c r="F43" s="23">
        <f t="shared" si="1"/>
        <v>120000</v>
      </c>
    </row>
    <row r="44" spans="1:6">
      <c r="A44" s="22">
        <v>46113</v>
      </c>
      <c r="B44" s="7">
        <v>13894</v>
      </c>
      <c r="C44" s="7" t="s">
        <v>12</v>
      </c>
      <c r="D44" s="10">
        <v>10000</v>
      </c>
      <c r="E44" s="10">
        <f t="shared" si="0"/>
        <v>480000</v>
      </c>
      <c r="F44" s="23">
        <f t="shared" si="1"/>
        <v>110000</v>
      </c>
    </row>
    <row r="45" spans="1:6">
      <c r="A45" s="22">
        <v>46267</v>
      </c>
      <c r="B45" s="7">
        <v>12415</v>
      </c>
      <c r="C45" s="7" t="s">
        <v>12</v>
      </c>
      <c r="D45" s="10">
        <v>10000</v>
      </c>
      <c r="E45" s="10">
        <f t="shared" si="0"/>
        <v>490000</v>
      </c>
      <c r="F45" s="23">
        <f t="shared" si="1"/>
        <v>100000</v>
      </c>
    </row>
    <row r="46" spans="1:6">
      <c r="A46" s="22">
        <v>46237</v>
      </c>
      <c r="B46" s="7">
        <v>12769</v>
      </c>
      <c r="C46" s="7" t="s">
        <v>12</v>
      </c>
      <c r="D46" s="10">
        <v>10000</v>
      </c>
      <c r="E46" s="10">
        <f t="shared" si="0"/>
        <v>500000</v>
      </c>
      <c r="F46" s="23">
        <f t="shared" si="1"/>
        <v>90000</v>
      </c>
    </row>
    <row r="47" spans="1:6">
      <c r="A47" s="9">
        <v>46116</v>
      </c>
      <c r="B47" s="7">
        <v>13111</v>
      </c>
      <c r="C47" s="7" t="s">
        <v>12</v>
      </c>
      <c r="D47" s="10">
        <v>10000</v>
      </c>
      <c r="E47" s="10">
        <f t="shared" si="0"/>
        <v>510000</v>
      </c>
      <c r="F47" s="10">
        <f t="shared" si="1"/>
        <v>80000</v>
      </c>
    </row>
    <row r="48" spans="1:6">
      <c r="A48" s="7" t="s">
        <v>636</v>
      </c>
      <c r="B48" s="7">
        <v>12971</v>
      </c>
      <c r="C48" s="7" t="s">
        <v>12</v>
      </c>
      <c r="D48" s="10">
        <v>10000</v>
      </c>
      <c r="E48" s="10">
        <f t="shared" ref="E48:E53" si="2">E47+D48</f>
        <v>520000</v>
      </c>
      <c r="F48" s="10">
        <f t="shared" ref="F48:F53" si="3">F47-D48</f>
        <v>70000</v>
      </c>
    </row>
    <row r="49" spans="1:6">
      <c r="A49" s="7" t="s">
        <v>637</v>
      </c>
      <c r="B49" s="7">
        <v>13574</v>
      </c>
      <c r="C49" s="7" t="s">
        <v>638</v>
      </c>
      <c r="D49" s="10">
        <v>10000</v>
      </c>
      <c r="E49" s="10">
        <f t="shared" si="2"/>
        <v>530000</v>
      </c>
      <c r="F49" s="10">
        <f t="shared" si="3"/>
        <v>60000</v>
      </c>
    </row>
    <row r="50" spans="1:6">
      <c r="A50" s="7" t="s">
        <v>691</v>
      </c>
      <c r="B50" s="7">
        <v>1366</v>
      </c>
      <c r="C50" s="7" t="s">
        <v>638</v>
      </c>
      <c r="D50" s="10">
        <v>10000</v>
      </c>
      <c r="E50" s="10">
        <f t="shared" si="2"/>
        <v>540000</v>
      </c>
      <c r="F50" s="10">
        <f t="shared" si="3"/>
        <v>50000</v>
      </c>
    </row>
    <row r="51" spans="1:6">
      <c r="A51" s="9">
        <v>46061</v>
      </c>
      <c r="B51" s="7">
        <v>1624</v>
      </c>
      <c r="C51" s="7" t="s">
        <v>638</v>
      </c>
      <c r="D51" s="10">
        <v>10000</v>
      </c>
      <c r="E51" s="10">
        <f t="shared" si="2"/>
        <v>550000</v>
      </c>
      <c r="F51" s="10">
        <f t="shared" si="3"/>
        <v>40000</v>
      </c>
    </row>
    <row r="52" spans="1:6">
      <c r="A52" s="9">
        <v>46062</v>
      </c>
      <c r="B52" s="7">
        <v>1881</v>
      </c>
      <c r="C52" s="7" t="s">
        <v>638</v>
      </c>
      <c r="D52" s="10">
        <v>10000</v>
      </c>
      <c r="E52" s="10">
        <f t="shared" si="2"/>
        <v>560000</v>
      </c>
      <c r="F52" s="10">
        <f t="shared" si="3"/>
        <v>30000</v>
      </c>
    </row>
    <row r="53" spans="1:6">
      <c r="A53" s="9">
        <v>46032</v>
      </c>
      <c r="B53" s="7">
        <v>2141</v>
      </c>
      <c r="C53" s="7" t="s">
        <v>638</v>
      </c>
      <c r="D53" s="10">
        <v>10000</v>
      </c>
      <c r="E53" s="10">
        <f t="shared" si="2"/>
        <v>570000</v>
      </c>
      <c r="F53" s="10">
        <f t="shared" si="3"/>
        <v>20000</v>
      </c>
    </row>
    <row r="58" spans="1:6">
      <c r="A58" s="94" t="s">
        <v>3</v>
      </c>
      <c r="B58" s="95" t="s">
        <v>4</v>
      </c>
      <c r="C58" s="95" t="s">
        <v>5</v>
      </c>
      <c r="D58" s="96" t="s">
        <v>6</v>
      </c>
      <c r="E58" s="96" t="s">
        <v>7</v>
      </c>
      <c r="F58" s="96" t="s">
        <v>8</v>
      </c>
    </row>
    <row r="59" spans="1:6">
      <c r="A59" s="97">
        <v>46244</v>
      </c>
      <c r="B59" s="92">
        <v>2169</v>
      </c>
      <c r="C59" s="92" t="s">
        <v>884</v>
      </c>
      <c r="D59" s="93">
        <v>100000</v>
      </c>
      <c r="E59" s="93">
        <v>100000</v>
      </c>
      <c r="F59" s="93">
        <v>50000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24"/>
  <sheetViews>
    <sheetView topLeftCell="A13" workbookViewId="0">
      <selection activeCell="F25" sqref="F25"/>
    </sheetView>
  </sheetViews>
  <sheetFormatPr defaultRowHeight="14.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>
      <c r="A1" s="1" t="s">
        <v>245</v>
      </c>
      <c r="B1" s="1"/>
      <c r="C1" s="1"/>
      <c r="D1" s="1"/>
      <c r="E1" s="1"/>
      <c r="F1" s="1"/>
    </row>
    <row r="2" spans="1:6" ht="18.5">
      <c r="A2" s="1" t="s">
        <v>246</v>
      </c>
      <c r="C2" s="1"/>
      <c r="D2" s="1"/>
      <c r="E2" s="1"/>
      <c r="F2" s="1"/>
    </row>
    <row r="3" spans="1:6" ht="18.5">
      <c r="A3" s="1" t="s">
        <v>202</v>
      </c>
      <c r="B3" s="1"/>
      <c r="C3" s="1"/>
      <c r="D3" s="1"/>
      <c r="E3" s="1"/>
      <c r="F3" s="1"/>
    </row>
    <row r="4" spans="1:6" ht="18.5">
      <c r="A4" s="1" t="s">
        <v>248</v>
      </c>
      <c r="B4" s="1"/>
      <c r="C4" s="1"/>
      <c r="D4" s="1"/>
      <c r="E4" s="1"/>
      <c r="F4" s="1"/>
    </row>
    <row r="5" spans="1:6" ht="18.5">
      <c r="A5" s="1" t="s">
        <v>247</v>
      </c>
      <c r="B5" s="1"/>
      <c r="C5" s="1"/>
      <c r="D5" s="1"/>
      <c r="E5" s="1"/>
      <c r="F5" s="1"/>
    </row>
    <row r="6" spans="1:6" ht="18.5">
      <c r="A6" s="1" t="s">
        <v>249</v>
      </c>
      <c r="B6" s="1"/>
      <c r="C6" s="1"/>
      <c r="D6" s="1"/>
      <c r="E6" s="1" t="s">
        <v>250</v>
      </c>
      <c r="F6" s="1"/>
    </row>
    <row r="7" spans="1:6">
      <c r="A7" s="28" t="s">
        <v>3</v>
      </c>
      <c r="B7" s="29" t="s">
        <v>4</v>
      </c>
      <c r="C7" s="29" t="s">
        <v>5</v>
      </c>
      <c r="D7" s="24" t="s">
        <v>6</v>
      </c>
      <c r="E7" s="24" t="s">
        <v>7</v>
      </c>
      <c r="F7" s="25" t="s">
        <v>8</v>
      </c>
    </row>
    <row r="8" spans="1:6">
      <c r="A8" s="21" t="s">
        <v>251</v>
      </c>
      <c r="B8" s="7">
        <v>9968</v>
      </c>
      <c r="C8" s="7" t="s">
        <v>253</v>
      </c>
      <c r="D8" s="10">
        <v>100000</v>
      </c>
      <c r="E8" s="10">
        <v>100000</v>
      </c>
      <c r="F8" s="23">
        <v>350000</v>
      </c>
    </row>
    <row r="9" spans="1:6">
      <c r="A9" s="22">
        <v>45998</v>
      </c>
      <c r="B9" s="7">
        <v>12161</v>
      </c>
      <c r="C9" s="7" t="s">
        <v>12</v>
      </c>
      <c r="D9" s="10">
        <v>20000</v>
      </c>
      <c r="E9" s="10">
        <f>SUM(E8+D9)</f>
        <v>120000</v>
      </c>
      <c r="F9" s="23">
        <f>F8-D9</f>
        <v>330000</v>
      </c>
    </row>
    <row r="10" spans="1:6">
      <c r="A10" s="21" t="s">
        <v>191</v>
      </c>
      <c r="B10" s="7">
        <v>12933</v>
      </c>
      <c r="C10" s="7" t="s">
        <v>12</v>
      </c>
      <c r="D10" s="10">
        <v>10000</v>
      </c>
      <c r="E10" s="10">
        <f t="shared" ref="E10:E18" si="0">SUM(E9+D10)</f>
        <v>130000</v>
      </c>
      <c r="F10" s="23">
        <f t="shared" ref="F10:F18" si="1">F9-D10</f>
        <v>320000</v>
      </c>
    </row>
    <row r="11" spans="1:6">
      <c r="A11" s="21" t="s">
        <v>89</v>
      </c>
      <c r="B11" s="7">
        <v>12745</v>
      </c>
      <c r="C11" s="7" t="s">
        <v>12</v>
      </c>
      <c r="D11" s="10">
        <v>10000</v>
      </c>
      <c r="E11" s="10">
        <f t="shared" si="0"/>
        <v>140000</v>
      </c>
      <c r="F11" s="23">
        <f t="shared" si="1"/>
        <v>310000</v>
      </c>
    </row>
    <row r="12" spans="1:6">
      <c r="A12" s="21" t="s">
        <v>252</v>
      </c>
      <c r="B12" s="7">
        <v>13627</v>
      </c>
      <c r="C12" s="7" t="s">
        <v>12</v>
      </c>
      <c r="D12" s="10">
        <v>10000</v>
      </c>
      <c r="E12" s="10">
        <f t="shared" si="0"/>
        <v>150000</v>
      </c>
      <c r="F12" s="23">
        <f t="shared" si="1"/>
        <v>300000</v>
      </c>
    </row>
    <row r="13" spans="1:6">
      <c r="A13" s="22">
        <v>45911</v>
      </c>
      <c r="B13" s="7">
        <v>13301</v>
      </c>
      <c r="C13" s="7" t="s">
        <v>12</v>
      </c>
      <c r="D13" s="10">
        <v>10000</v>
      </c>
      <c r="E13" s="10">
        <f t="shared" si="0"/>
        <v>160000</v>
      </c>
      <c r="F13" s="23">
        <f t="shared" si="1"/>
        <v>290000</v>
      </c>
    </row>
    <row r="14" spans="1:6">
      <c r="A14" s="22">
        <v>45881</v>
      </c>
      <c r="B14" s="7">
        <v>13105</v>
      </c>
      <c r="C14" s="7" t="s">
        <v>12</v>
      </c>
      <c r="D14" s="10">
        <v>10000</v>
      </c>
      <c r="E14" s="10">
        <f t="shared" si="0"/>
        <v>170000</v>
      </c>
      <c r="F14" s="23">
        <f t="shared" si="1"/>
        <v>280000</v>
      </c>
    </row>
    <row r="15" spans="1:6">
      <c r="A15" s="22">
        <v>46113</v>
      </c>
      <c r="B15" s="7">
        <v>13895</v>
      </c>
      <c r="C15" s="7" t="s">
        <v>12</v>
      </c>
      <c r="D15" s="10">
        <v>10000</v>
      </c>
      <c r="E15" s="10">
        <f t="shared" si="0"/>
        <v>180000</v>
      </c>
      <c r="F15" s="23">
        <f t="shared" si="1"/>
        <v>270000</v>
      </c>
    </row>
    <row r="16" spans="1:6">
      <c r="A16" s="22">
        <v>46267</v>
      </c>
      <c r="B16" s="7">
        <v>12416</v>
      </c>
      <c r="C16" s="7" t="s">
        <v>12</v>
      </c>
      <c r="D16" s="10">
        <v>10000</v>
      </c>
      <c r="E16" s="10">
        <f t="shared" si="0"/>
        <v>190000</v>
      </c>
      <c r="F16" s="23">
        <f t="shared" si="1"/>
        <v>260000</v>
      </c>
    </row>
    <row r="17" spans="1:6">
      <c r="A17" s="22">
        <v>46237</v>
      </c>
      <c r="B17" s="7">
        <v>12770</v>
      </c>
      <c r="C17" s="7" t="s">
        <v>12</v>
      </c>
      <c r="D17" s="10">
        <v>10000</v>
      </c>
      <c r="E17" s="10">
        <f t="shared" si="0"/>
        <v>200000</v>
      </c>
      <c r="F17" s="23">
        <f t="shared" si="1"/>
        <v>250000</v>
      </c>
    </row>
    <row r="18" spans="1:6">
      <c r="A18" s="9">
        <v>46116</v>
      </c>
      <c r="B18" s="7">
        <v>13110</v>
      </c>
      <c r="C18" s="7" t="s">
        <v>12</v>
      </c>
      <c r="D18" s="10">
        <v>10000</v>
      </c>
      <c r="E18" s="10">
        <f t="shared" si="0"/>
        <v>210000</v>
      </c>
      <c r="F18" s="10">
        <f t="shared" si="1"/>
        <v>240000</v>
      </c>
    </row>
    <row r="19" spans="1:6">
      <c r="A19" s="7" t="s">
        <v>636</v>
      </c>
      <c r="B19" s="7">
        <v>12972</v>
      </c>
      <c r="C19" s="7" t="s">
        <v>12</v>
      </c>
      <c r="D19" s="10">
        <v>10000</v>
      </c>
      <c r="E19" s="10">
        <f t="shared" ref="E19:E24" si="2">E18+D19</f>
        <v>220000</v>
      </c>
      <c r="F19" s="10">
        <f t="shared" ref="F19:F24" si="3">F18-D19</f>
        <v>230000</v>
      </c>
    </row>
    <row r="20" spans="1:6">
      <c r="A20" s="7" t="s">
        <v>637</v>
      </c>
      <c r="B20" s="7">
        <v>13513</v>
      </c>
      <c r="C20" s="7" t="s">
        <v>638</v>
      </c>
      <c r="D20" s="10">
        <v>10000</v>
      </c>
      <c r="E20" s="10">
        <f t="shared" si="2"/>
        <v>230000</v>
      </c>
      <c r="F20" s="10">
        <f t="shared" si="3"/>
        <v>220000</v>
      </c>
    </row>
    <row r="21" spans="1:6">
      <c r="A21" s="7" t="s">
        <v>691</v>
      </c>
      <c r="B21" s="7">
        <v>1367</v>
      </c>
      <c r="C21" s="7" t="s">
        <v>638</v>
      </c>
      <c r="D21" s="10">
        <v>10000</v>
      </c>
      <c r="E21" s="10">
        <f t="shared" si="2"/>
        <v>240000</v>
      </c>
      <c r="F21" s="10">
        <f t="shared" si="3"/>
        <v>210000</v>
      </c>
    </row>
    <row r="22" spans="1:6">
      <c r="A22" s="9">
        <v>46061</v>
      </c>
      <c r="B22" s="7">
        <v>1625</v>
      </c>
      <c r="C22" s="7" t="s">
        <v>638</v>
      </c>
      <c r="D22" s="10">
        <v>10000</v>
      </c>
      <c r="E22" s="10">
        <f t="shared" si="2"/>
        <v>250000</v>
      </c>
      <c r="F22" s="10">
        <f t="shared" si="3"/>
        <v>200000</v>
      </c>
    </row>
    <row r="23" spans="1:6">
      <c r="A23" s="9">
        <v>46062</v>
      </c>
      <c r="B23" s="7">
        <v>1880</v>
      </c>
      <c r="C23" s="7" t="s">
        <v>638</v>
      </c>
      <c r="D23" s="10">
        <v>10000</v>
      </c>
      <c r="E23" s="10">
        <f t="shared" si="2"/>
        <v>260000</v>
      </c>
      <c r="F23" s="10">
        <f t="shared" si="3"/>
        <v>190000</v>
      </c>
    </row>
    <row r="24" spans="1:6">
      <c r="A24" s="16">
        <v>46032</v>
      </c>
      <c r="B24" s="18">
        <v>2142</v>
      </c>
      <c r="D24" s="17">
        <v>10000</v>
      </c>
      <c r="E24" s="17">
        <f t="shared" si="2"/>
        <v>270000</v>
      </c>
      <c r="F24" s="17">
        <f t="shared" si="3"/>
        <v>180000</v>
      </c>
    </row>
  </sheetData>
  <pageMargins left="0.7" right="0.7" top="0.75" bottom="0.75" header="0.3" footer="0.3"/>
  <ignoredErrors>
    <ignoredError sqref="E8:F8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5"/>
  <sheetViews>
    <sheetView topLeftCell="A21" workbookViewId="0">
      <selection activeCell="A29" sqref="A29:F35"/>
    </sheetView>
  </sheetViews>
  <sheetFormatPr defaultRowHeight="14.5"/>
  <cols>
    <col min="1" max="1" width="9.453125" bestFit="1" customWidth="1"/>
    <col min="3" max="3" width="10.81640625" bestFit="1" customWidth="1"/>
  </cols>
  <sheetData>
    <row r="1" spans="1:6" ht="18.5">
      <c r="A1" s="1" t="s">
        <v>63</v>
      </c>
      <c r="B1" s="1"/>
      <c r="C1" s="1"/>
      <c r="D1" s="1"/>
      <c r="E1" s="1"/>
      <c r="F1" s="1"/>
    </row>
    <row r="2" spans="1:6" ht="18.5">
      <c r="A2" s="1" t="s">
        <v>0</v>
      </c>
      <c r="C2" s="1"/>
      <c r="D2" s="1"/>
      <c r="E2" s="1"/>
      <c r="F2" s="1"/>
    </row>
    <row r="3" spans="1:6" ht="18.5">
      <c r="A3" s="1" t="s">
        <v>404</v>
      </c>
      <c r="C3" s="1"/>
      <c r="D3" s="1"/>
      <c r="E3" s="1"/>
      <c r="F3" s="1"/>
    </row>
    <row r="4" spans="1:6" ht="18.5">
      <c r="A4" s="1" t="s">
        <v>64</v>
      </c>
      <c r="B4" s="1"/>
      <c r="C4" s="1"/>
      <c r="D4" s="1"/>
      <c r="E4" s="1"/>
      <c r="F4" s="1"/>
    </row>
    <row r="5" spans="1:6" ht="18.5">
      <c r="A5" s="1" t="s">
        <v>704</v>
      </c>
      <c r="B5" s="1"/>
      <c r="C5" s="1"/>
      <c r="D5" s="1"/>
      <c r="E5" s="1"/>
      <c r="F5" s="1"/>
    </row>
    <row r="6" spans="1:6" ht="18.5">
      <c r="A6" s="1" t="s">
        <v>2</v>
      </c>
      <c r="B6" s="1"/>
      <c r="C6" s="1" t="s">
        <v>65</v>
      </c>
      <c r="D6" s="1"/>
      <c r="E6" s="1"/>
      <c r="F6" s="1"/>
    </row>
    <row r="7" spans="1:6">
      <c r="A7" s="3" t="s">
        <v>9</v>
      </c>
      <c r="B7" s="2">
        <v>2043</v>
      </c>
      <c r="C7" s="2" t="s">
        <v>10</v>
      </c>
      <c r="D7" s="4">
        <v>100000</v>
      </c>
      <c r="E7" s="4">
        <v>100000</v>
      </c>
      <c r="F7" s="4">
        <v>500000</v>
      </c>
    </row>
    <row r="8" spans="1:6">
      <c r="A8" s="5" t="s">
        <v>11</v>
      </c>
      <c r="B8" s="2">
        <v>3217</v>
      </c>
      <c r="C8" s="2" t="s">
        <v>12</v>
      </c>
      <c r="D8" s="4">
        <v>10000</v>
      </c>
      <c r="E8" s="4">
        <f t="shared" ref="E8:E32" si="0">SUM(E7+D8)</f>
        <v>110000</v>
      </c>
      <c r="F8" s="4">
        <f t="shared" ref="F8:F32" si="1">F7-D8</f>
        <v>490000</v>
      </c>
    </row>
    <row r="9" spans="1:6">
      <c r="A9" s="6">
        <v>45148</v>
      </c>
      <c r="B9" s="2">
        <v>4097</v>
      </c>
      <c r="C9" s="2" t="s">
        <v>12</v>
      </c>
      <c r="D9" s="4">
        <v>20000</v>
      </c>
      <c r="E9" s="4">
        <f t="shared" si="0"/>
        <v>130000</v>
      </c>
      <c r="F9" s="4">
        <f t="shared" si="1"/>
        <v>470000</v>
      </c>
    </row>
    <row r="10" spans="1:6">
      <c r="A10" s="2" t="s">
        <v>13</v>
      </c>
      <c r="B10" s="2">
        <v>4561</v>
      </c>
      <c r="C10" s="2" t="s">
        <v>12</v>
      </c>
      <c r="D10" s="4">
        <v>10000</v>
      </c>
      <c r="E10" s="4">
        <f t="shared" si="0"/>
        <v>140000</v>
      </c>
      <c r="F10" s="4">
        <f t="shared" si="1"/>
        <v>460000</v>
      </c>
    </row>
    <row r="11" spans="1:6">
      <c r="A11" s="6">
        <v>45149</v>
      </c>
      <c r="B11" s="2">
        <v>4718</v>
      </c>
      <c r="C11" s="2" t="s">
        <v>12</v>
      </c>
      <c r="D11" s="4">
        <v>10000</v>
      </c>
      <c r="E11" s="4">
        <f t="shared" si="0"/>
        <v>150000</v>
      </c>
      <c r="F11" s="4">
        <f t="shared" si="1"/>
        <v>450000</v>
      </c>
    </row>
    <row r="12" spans="1:6">
      <c r="A12" s="6">
        <v>44997</v>
      </c>
      <c r="B12" s="2">
        <v>5871</v>
      </c>
      <c r="C12" s="2" t="s">
        <v>12</v>
      </c>
      <c r="D12" s="4">
        <v>20000</v>
      </c>
      <c r="E12" s="4">
        <f t="shared" si="0"/>
        <v>170000</v>
      </c>
      <c r="F12" s="4">
        <f t="shared" si="1"/>
        <v>430000</v>
      </c>
    </row>
    <row r="13" spans="1:6">
      <c r="A13" s="2" t="s">
        <v>14</v>
      </c>
      <c r="B13" s="2">
        <v>6842</v>
      </c>
      <c r="C13" s="2" t="s">
        <v>12</v>
      </c>
      <c r="D13" s="4">
        <v>20000</v>
      </c>
      <c r="E13" s="4">
        <f t="shared" si="0"/>
        <v>190000</v>
      </c>
      <c r="F13" s="4">
        <f t="shared" si="1"/>
        <v>410000</v>
      </c>
    </row>
    <row r="14" spans="1:6">
      <c r="A14" s="6">
        <v>45447</v>
      </c>
      <c r="B14" s="2">
        <v>7707</v>
      </c>
      <c r="C14" s="2" t="s">
        <v>12</v>
      </c>
      <c r="D14" s="4">
        <v>10000</v>
      </c>
      <c r="E14" s="4">
        <f t="shared" si="0"/>
        <v>200000</v>
      </c>
      <c r="F14" s="4">
        <f t="shared" si="1"/>
        <v>400000</v>
      </c>
    </row>
    <row r="15" spans="1:6">
      <c r="A15" s="6">
        <v>45356</v>
      </c>
      <c r="B15" s="2">
        <v>8189</v>
      </c>
      <c r="C15" s="2" t="s">
        <v>12</v>
      </c>
      <c r="D15" s="4">
        <v>10000</v>
      </c>
      <c r="E15" s="4">
        <f t="shared" si="0"/>
        <v>210000</v>
      </c>
      <c r="F15" s="4">
        <f t="shared" si="1"/>
        <v>390000</v>
      </c>
    </row>
    <row r="16" spans="1:6">
      <c r="A16" s="6">
        <v>45632</v>
      </c>
      <c r="B16" s="2">
        <v>9040</v>
      </c>
      <c r="C16" s="2" t="s">
        <v>12</v>
      </c>
      <c r="D16" s="4">
        <v>10000</v>
      </c>
      <c r="E16" s="4">
        <f t="shared" si="0"/>
        <v>220000</v>
      </c>
      <c r="F16" s="4">
        <f t="shared" si="1"/>
        <v>380000</v>
      </c>
    </row>
    <row r="17" spans="1:6">
      <c r="A17" s="2" t="s">
        <v>15</v>
      </c>
      <c r="B17" s="2">
        <v>9765</v>
      </c>
      <c r="C17" s="2" t="s">
        <v>12</v>
      </c>
      <c r="D17" s="4">
        <v>20000</v>
      </c>
      <c r="E17" s="4">
        <f t="shared" si="0"/>
        <v>240000</v>
      </c>
      <c r="F17" s="4">
        <f t="shared" si="1"/>
        <v>360000</v>
      </c>
    </row>
    <row r="18" spans="1:6">
      <c r="A18" s="6">
        <v>45573</v>
      </c>
      <c r="B18" s="2">
        <v>11021</v>
      </c>
      <c r="C18" s="2" t="s">
        <v>12</v>
      </c>
      <c r="D18" s="4">
        <v>10000</v>
      </c>
      <c r="E18" s="4">
        <f t="shared" si="0"/>
        <v>250000</v>
      </c>
      <c r="F18" s="4">
        <f t="shared" si="1"/>
        <v>350000</v>
      </c>
    </row>
    <row r="19" spans="1:6">
      <c r="A19" s="6">
        <v>45361</v>
      </c>
      <c r="B19" s="2">
        <v>10103</v>
      </c>
      <c r="C19" s="2" t="s">
        <v>12</v>
      </c>
      <c r="D19" s="4">
        <v>20000</v>
      </c>
      <c r="E19" s="4">
        <f t="shared" si="0"/>
        <v>270000</v>
      </c>
      <c r="F19" s="4">
        <f t="shared" si="1"/>
        <v>330000</v>
      </c>
    </row>
    <row r="20" spans="1:6">
      <c r="A20" s="2" t="s">
        <v>16</v>
      </c>
      <c r="B20" s="2">
        <v>12487</v>
      </c>
      <c r="C20" s="2" t="s">
        <v>12</v>
      </c>
      <c r="D20" s="4">
        <v>20000</v>
      </c>
      <c r="E20" s="4">
        <f t="shared" si="0"/>
        <v>290000</v>
      </c>
      <c r="F20" s="4">
        <f t="shared" si="1"/>
        <v>310000</v>
      </c>
    </row>
    <row r="21" spans="1:6">
      <c r="A21" s="6">
        <v>45778</v>
      </c>
      <c r="B21" s="2">
        <v>12973</v>
      </c>
      <c r="C21" s="2" t="s">
        <v>12</v>
      </c>
      <c r="D21" s="4">
        <v>20000</v>
      </c>
      <c r="E21" s="4">
        <f t="shared" si="0"/>
        <v>310000</v>
      </c>
      <c r="F21" s="4">
        <f t="shared" si="1"/>
        <v>290000</v>
      </c>
    </row>
    <row r="22" spans="1:6">
      <c r="A22" s="2" t="s">
        <v>17</v>
      </c>
      <c r="B22" s="2">
        <v>9515</v>
      </c>
      <c r="C22" s="2" t="s">
        <v>12</v>
      </c>
      <c r="D22" s="4">
        <v>20000</v>
      </c>
      <c r="E22" s="4">
        <f t="shared" si="0"/>
        <v>330000</v>
      </c>
      <c r="F22" s="4">
        <f t="shared" si="1"/>
        <v>270000</v>
      </c>
    </row>
    <row r="23" spans="1:6">
      <c r="A23" s="2" t="s">
        <v>18</v>
      </c>
      <c r="B23" s="2">
        <v>10037</v>
      </c>
      <c r="C23" s="2" t="s">
        <v>12</v>
      </c>
      <c r="D23" s="4">
        <v>20000</v>
      </c>
      <c r="E23" s="4">
        <f t="shared" si="0"/>
        <v>350000</v>
      </c>
      <c r="F23" s="4">
        <f t="shared" si="1"/>
        <v>250000</v>
      </c>
    </row>
    <row r="24" spans="1:6">
      <c r="A24" s="2" t="s">
        <v>19</v>
      </c>
      <c r="B24" s="2">
        <v>12017</v>
      </c>
      <c r="C24" s="2" t="s">
        <v>12</v>
      </c>
      <c r="D24" s="4">
        <v>20000</v>
      </c>
      <c r="E24" s="4">
        <f t="shared" si="0"/>
        <v>370000</v>
      </c>
      <c r="F24" s="4">
        <f t="shared" si="1"/>
        <v>230000</v>
      </c>
    </row>
    <row r="25" spans="1:6">
      <c r="A25" s="2" t="s">
        <v>20</v>
      </c>
      <c r="B25" s="2">
        <v>12575</v>
      </c>
      <c r="C25" s="2" t="s">
        <v>12</v>
      </c>
      <c r="D25" s="4">
        <v>20000</v>
      </c>
      <c r="E25" s="4">
        <f t="shared" si="0"/>
        <v>390000</v>
      </c>
      <c r="F25" s="4">
        <f t="shared" si="1"/>
        <v>210000</v>
      </c>
    </row>
    <row r="26" spans="1:6">
      <c r="A26" s="2" t="s">
        <v>21</v>
      </c>
      <c r="B26" s="2">
        <v>13648</v>
      </c>
      <c r="C26" s="2" t="s">
        <v>12</v>
      </c>
      <c r="D26" s="4">
        <v>20000</v>
      </c>
      <c r="E26" s="4">
        <f t="shared" si="0"/>
        <v>410000</v>
      </c>
      <c r="F26" s="4">
        <f t="shared" si="1"/>
        <v>190000</v>
      </c>
    </row>
    <row r="27" spans="1:6">
      <c r="A27" s="2" t="s">
        <v>22</v>
      </c>
      <c r="B27" s="2">
        <v>13211</v>
      </c>
      <c r="C27" s="2" t="s">
        <v>12</v>
      </c>
      <c r="D27" s="4">
        <v>20000</v>
      </c>
      <c r="E27" s="4">
        <f t="shared" si="0"/>
        <v>430000</v>
      </c>
      <c r="F27" s="4">
        <f t="shared" si="1"/>
        <v>170000</v>
      </c>
    </row>
    <row r="28" spans="1:6">
      <c r="A28" s="54">
        <v>46174</v>
      </c>
      <c r="B28" s="55">
        <v>12008</v>
      </c>
      <c r="C28" s="55" t="s">
        <v>12</v>
      </c>
      <c r="D28" s="56">
        <v>20000</v>
      </c>
      <c r="E28" s="56">
        <f t="shared" si="0"/>
        <v>450000</v>
      </c>
      <c r="F28" s="56">
        <f t="shared" si="1"/>
        <v>150000</v>
      </c>
    </row>
    <row r="29" spans="1:6">
      <c r="A29" s="9">
        <v>46114</v>
      </c>
      <c r="B29" s="7">
        <v>12332</v>
      </c>
      <c r="C29" s="7" t="s">
        <v>12</v>
      </c>
      <c r="D29" s="10">
        <v>10000</v>
      </c>
      <c r="E29" s="10">
        <f t="shared" si="0"/>
        <v>460000</v>
      </c>
      <c r="F29" s="10">
        <f t="shared" si="1"/>
        <v>140000</v>
      </c>
    </row>
    <row r="30" spans="1:6">
      <c r="A30" s="9">
        <v>46145</v>
      </c>
      <c r="B30" s="7">
        <v>12748</v>
      </c>
      <c r="C30" s="7" t="s">
        <v>12</v>
      </c>
      <c r="D30" s="10">
        <v>10000</v>
      </c>
      <c r="E30" s="10">
        <f t="shared" si="0"/>
        <v>470000</v>
      </c>
      <c r="F30" s="10">
        <f t="shared" si="1"/>
        <v>130000</v>
      </c>
    </row>
    <row r="31" spans="1:6">
      <c r="A31" s="7" t="s">
        <v>405</v>
      </c>
      <c r="B31" s="7">
        <v>13034</v>
      </c>
      <c r="C31" s="7" t="s">
        <v>12</v>
      </c>
      <c r="D31" s="10">
        <v>20000</v>
      </c>
      <c r="E31" s="10">
        <f t="shared" si="0"/>
        <v>490000</v>
      </c>
      <c r="F31" s="10">
        <f t="shared" si="1"/>
        <v>110000</v>
      </c>
    </row>
    <row r="32" spans="1:6">
      <c r="A32" s="7" t="s">
        <v>521</v>
      </c>
      <c r="B32" s="7">
        <v>13386</v>
      </c>
      <c r="C32" s="7" t="s">
        <v>12</v>
      </c>
      <c r="D32" s="10">
        <v>10000</v>
      </c>
      <c r="E32" s="10">
        <f t="shared" si="0"/>
        <v>500000</v>
      </c>
      <c r="F32" s="10">
        <f t="shared" si="1"/>
        <v>100000</v>
      </c>
    </row>
    <row r="33" spans="1:6">
      <c r="A33" s="7" t="s">
        <v>685</v>
      </c>
      <c r="B33" s="7">
        <v>1312</v>
      </c>
      <c r="C33" s="7" t="s">
        <v>12</v>
      </c>
      <c r="D33" s="10">
        <v>20000</v>
      </c>
      <c r="E33" s="10">
        <f>E32+D33</f>
        <v>520000</v>
      </c>
      <c r="F33" s="10">
        <f>F32-D33</f>
        <v>80000</v>
      </c>
    </row>
    <row r="34" spans="1:6">
      <c r="A34" s="7" t="s">
        <v>705</v>
      </c>
      <c r="B34" s="7">
        <v>1573</v>
      </c>
      <c r="C34" s="7" t="s">
        <v>12</v>
      </c>
      <c r="D34" s="10">
        <v>30000</v>
      </c>
      <c r="E34" s="10">
        <f>E33+D34</f>
        <v>550000</v>
      </c>
      <c r="F34" s="10">
        <f>F33-D34</f>
        <v>50000</v>
      </c>
    </row>
    <row r="35" spans="1:6">
      <c r="A35" s="7" t="s">
        <v>781</v>
      </c>
      <c r="B35" s="7">
        <v>1874</v>
      </c>
      <c r="C35" s="7" t="s">
        <v>12</v>
      </c>
      <c r="D35" s="10">
        <v>10000</v>
      </c>
      <c r="E35" s="10">
        <f>E34+D35</f>
        <v>560000</v>
      </c>
      <c r="F35" s="10">
        <f>F34-D35</f>
        <v>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16" sqref="C16"/>
    </sheetView>
  </sheetViews>
  <sheetFormatPr defaultRowHeight="14.5"/>
  <cols>
    <col min="1" max="1" width="11.453125" customWidth="1"/>
    <col min="3" max="3" width="12" customWidth="1"/>
  </cols>
  <sheetData>
    <row r="1" spans="1:6" ht="18.5">
      <c r="A1" s="1" t="s">
        <v>511</v>
      </c>
      <c r="B1" s="1"/>
      <c r="C1" s="1"/>
      <c r="D1" s="1"/>
      <c r="E1" s="1"/>
      <c r="F1" s="1"/>
    </row>
    <row r="2" spans="1:6" ht="18.5">
      <c r="A2" s="1" t="s">
        <v>512</v>
      </c>
      <c r="C2" s="1"/>
      <c r="D2" s="1"/>
      <c r="E2" s="1"/>
      <c r="F2" s="1"/>
    </row>
    <row r="3" spans="1:6" ht="18.5">
      <c r="A3" s="1" t="s">
        <v>350</v>
      </c>
      <c r="B3" s="1" t="s">
        <v>648</v>
      </c>
      <c r="C3" s="1"/>
      <c r="D3" s="1"/>
      <c r="E3" s="1"/>
      <c r="F3" s="1"/>
    </row>
    <row r="4" spans="1:6" ht="18.5">
      <c r="A4" s="1" t="s">
        <v>513</v>
      </c>
      <c r="B4" s="1"/>
      <c r="C4" s="1"/>
      <c r="D4" s="1"/>
      <c r="E4" s="1"/>
      <c r="F4" s="1"/>
    </row>
    <row r="5" spans="1:6" ht="18.5">
      <c r="A5" s="1" t="s">
        <v>514</v>
      </c>
      <c r="B5" s="1"/>
      <c r="C5" s="1"/>
      <c r="D5" s="1"/>
      <c r="E5" s="1"/>
      <c r="F5" s="1"/>
    </row>
    <row r="6" spans="1:6" ht="18.5">
      <c r="A6" s="1" t="s">
        <v>515</v>
      </c>
      <c r="B6" s="1"/>
      <c r="C6" s="1" t="s">
        <v>221</v>
      </c>
      <c r="D6" s="1"/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516</v>
      </c>
      <c r="B8">
        <v>13402</v>
      </c>
      <c r="C8" t="s">
        <v>299</v>
      </c>
      <c r="D8" s="17">
        <v>100000</v>
      </c>
      <c r="E8" s="17">
        <v>100000</v>
      </c>
      <c r="F8" s="17">
        <v>550000</v>
      </c>
    </row>
    <row r="9" spans="1:6">
      <c r="A9" s="16">
        <v>45912</v>
      </c>
      <c r="B9">
        <v>13131</v>
      </c>
      <c r="C9" t="s">
        <v>57</v>
      </c>
      <c r="D9" s="17">
        <v>10000</v>
      </c>
      <c r="E9" s="17">
        <f>E8+D9</f>
        <v>110000</v>
      </c>
      <c r="F9" s="17">
        <f>F8-D9</f>
        <v>540000</v>
      </c>
    </row>
    <row r="10" spans="1:6">
      <c r="A10" s="16">
        <v>46235</v>
      </c>
      <c r="B10">
        <v>12028</v>
      </c>
      <c r="C10" t="s">
        <v>57</v>
      </c>
      <c r="D10" s="17">
        <v>10000</v>
      </c>
      <c r="E10" s="17">
        <f t="shared" ref="E10:E13" si="0">E9+D10</f>
        <v>120000</v>
      </c>
      <c r="F10" s="17">
        <f t="shared" ref="F10:F13" si="1">F9-D10</f>
        <v>530000</v>
      </c>
    </row>
    <row r="11" spans="1:6">
      <c r="A11" s="16">
        <v>46176</v>
      </c>
      <c r="B11">
        <v>12753</v>
      </c>
      <c r="C11" t="s">
        <v>57</v>
      </c>
      <c r="D11" s="17">
        <v>10000</v>
      </c>
      <c r="E11" s="17">
        <f t="shared" si="0"/>
        <v>130000</v>
      </c>
      <c r="F11" s="17">
        <f t="shared" si="1"/>
        <v>520000</v>
      </c>
    </row>
    <row r="12" spans="1:6">
      <c r="A12" s="16">
        <v>46299</v>
      </c>
      <c r="B12">
        <v>13211</v>
      </c>
      <c r="C12" t="s">
        <v>57</v>
      </c>
      <c r="D12" s="17">
        <v>10000</v>
      </c>
      <c r="E12" s="17">
        <f t="shared" si="0"/>
        <v>140000</v>
      </c>
      <c r="F12" s="17">
        <f t="shared" si="1"/>
        <v>510000</v>
      </c>
    </row>
    <row r="13" spans="1:6">
      <c r="A13" s="16">
        <v>46331</v>
      </c>
      <c r="B13">
        <v>13337</v>
      </c>
      <c r="C13" t="s">
        <v>57</v>
      </c>
      <c r="D13" s="17">
        <v>10000</v>
      </c>
      <c r="E13" s="17">
        <f t="shared" si="0"/>
        <v>150000</v>
      </c>
      <c r="F13" s="17">
        <f t="shared" si="1"/>
        <v>500000</v>
      </c>
    </row>
    <row r="14" spans="1:6">
      <c r="A14" s="40" t="s">
        <v>647</v>
      </c>
      <c r="B14">
        <v>13580</v>
      </c>
      <c r="C14" t="s">
        <v>57</v>
      </c>
      <c r="D14" s="17">
        <v>10000</v>
      </c>
      <c r="E14" s="17">
        <f>E13+D14</f>
        <v>160000</v>
      </c>
      <c r="F14" s="17">
        <f>F13-D14</f>
        <v>490000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7"/>
  <sheetViews>
    <sheetView topLeftCell="A7" workbookViewId="0">
      <selection activeCell="A17" sqref="A17"/>
    </sheetView>
  </sheetViews>
  <sheetFormatPr defaultRowHeight="14.5"/>
  <cols>
    <col min="1" max="1" width="9.08984375" customWidth="1"/>
    <col min="3" max="3" width="10.26953125" bestFit="1" customWidth="1"/>
    <col min="6" max="6" width="11.36328125" bestFit="1" customWidth="1"/>
  </cols>
  <sheetData>
    <row r="1" spans="1:6" ht="18.5">
      <c r="A1" s="1" t="s">
        <v>60</v>
      </c>
      <c r="B1" s="1"/>
      <c r="C1" s="1"/>
      <c r="D1" s="1"/>
      <c r="E1" s="1"/>
      <c r="F1" s="1"/>
    </row>
    <row r="2" spans="1:6" ht="18.5">
      <c r="A2" s="1" t="s">
        <v>61</v>
      </c>
      <c r="C2" s="1"/>
      <c r="D2" s="1"/>
      <c r="E2" s="1"/>
      <c r="F2" s="1"/>
    </row>
    <row r="3" spans="1:6" ht="18.5">
      <c r="A3" s="1" t="s">
        <v>144</v>
      </c>
      <c r="B3" s="1"/>
      <c r="C3" s="1"/>
      <c r="D3" s="1"/>
      <c r="E3" s="1"/>
      <c r="F3" s="1"/>
    </row>
    <row r="4" spans="1:6" ht="18.5">
      <c r="A4" s="1" t="s">
        <v>497</v>
      </c>
      <c r="B4" s="1"/>
      <c r="C4" s="1"/>
      <c r="D4" s="1"/>
      <c r="E4" s="1"/>
      <c r="F4" s="1"/>
    </row>
    <row r="5" spans="1:6" ht="18.5">
      <c r="A5" s="1" t="s">
        <v>143</v>
      </c>
      <c r="B5" s="1"/>
      <c r="C5" s="1"/>
      <c r="D5" s="1"/>
      <c r="E5" s="1"/>
      <c r="F5" s="1"/>
    </row>
    <row r="6" spans="1:6" ht="18.5">
      <c r="A6" s="1" t="s">
        <v>145</v>
      </c>
      <c r="B6" s="1"/>
      <c r="C6" s="1"/>
      <c r="D6" s="1"/>
      <c r="E6" s="1" t="s">
        <v>146</v>
      </c>
      <c r="F6" s="1"/>
    </row>
    <row r="7" spans="1:6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>
      <c r="A8" s="12" t="s">
        <v>147</v>
      </c>
      <c r="B8" s="12">
        <v>12506</v>
      </c>
      <c r="C8" s="12" t="s">
        <v>148</v>
      </c>
      <c r="D8" s="14">
        <v>310000</v>
      </c>
      <c r="E8" s="14">
        <v>310000</v>
      </c>
      <c r="F8" s="14">
        <v>1090000</v>
      </c>
    </row>
    <row r="9" spans="1:6">
      <c r="A9" s="13">
        <v>46024</v>
      </c>
      <c r="B9" s="12">
        <v>12507</v>
      </c>
      <c r="C9" s="12" t="s">
        <v>12</v>
      </c>
      <c r="D9" s="14">
        <v>160000</v>
      </c>
      <c r="E9" s="14">
        <f>SUM(E8+D9)</f>
        <v>470000</v>
      </c>
      <c r="F9" s="14">
        <f>F8-D9</f>
        <v>930000</v>
      </c>
    </row>
    <row r="10" spans="1:6">
      <c r="A10" s="13">
        <v>46237</v>
      </c>
      <c r="B10" s="12">
        <v>12768</v>
      </c>
      <c r="C10" s="12" t="s">
        <v>12</v>
      </c>
      <c r="D10" s="14">
        <v>15000</v>
      </c>
      <c r="E10" s="14">
        <f t="shared" ref="E10:E12" si="0">SUM(E9+D10)</f>
        <v>485000</v>
      </c>
      <c r="F10" s="14">
        <f t="shared" ref="F10:F12" si="1">F9-D10</f>
        <v>915000</v>
      </c>
    </row>
    <row r="11" spans="1:6">
      <c r="A11" s="13">
        <v>46177</v>
      </c>
      <c r="B11" s="12">
        <v>13157</v>
      </c>
      <c r="C11" s="12" t="s">
        <v>12</v>
      </c>
      <c r="D11" s="14">
        <v>15000</v>
      </c>
      <c r="E11" s="14">
        <f t="shared" si="0"/>
        <v>500000</v>
      </c>
      <c r="F11" s="14">
        <f t="shared" si="1"/>
        <v>900000</v>
      </c>
    </row>
    <row r="12" spans="1:6">
      <c r="A12" s="13">
        <v>46239</v>
      </c>
      <c r="B12" s="12">
        <v>12956</v>
      </c>
      <c r="C12" s="12" t="s">
        <v>12</v>
      </c>
      <c r="D12" s="14">
        <v>15000</v>
      </c>
      <c r="E12" s="14">
        <f t="shared" si="0"/>
        <v>515000</v>
      </c>
      <c r="F12" s="14">
        <f t="shared" si="1"/>
        <v>885000</v>
      </c>
    </row>
    <row r="13" spans="1:6">
      <c r="A13" s="12" t="s">
        <v>615</v>
      </c>
      <c r="B13" s="12">
        <v>13526</v>
      </c>
      <c r="C13" s="12" t="s">
        <v>12</v>
      </c>
      <c r="D13" s="14">
        <v>15000</v>
      </c>
      <c r="E13" s="14">
        <v>530000</v>
      </c>
      <c r="F13" s="14">
        <f>F12-D13</f>
        <v>870000</v>
      </c>
    </row>
    <row r="14" spans="1:6">
      <c r="A14" s="12" t="s">
        <v>695</v>
      </c>
      <c r="B14" s="12">
        <v>1430</v>
      </c>
      <c r="C14" s="12" t="s">
        <v>12</v>
      </c>
      <c r="D14" s="14">
        <v>15000</v>
      </c>
      <c r="E14" s="14">
        <f>E13+D14</f>
        <v>545000</v>
      </c>
      <c r="F14" s="14">
        <f>F13-D14</f>
        <v>855000</v>
      </c>
    </row>
    <row r="15" spans="1:6">
      <c r="A15" s="13">
        <v>46150</v>
      </c>
      <c r="B15" s="12">
        <v>1644</v>
      </c>
      <c r="C15" s="12" t="s">
        <v>12</v>
      </c>
      <c r="D15" s="14">
        <v>15000</v>
      </c>
      <c r="E15" s="14">
        <f>E14+D15</f>
        <v>560000</v>
      </c>
      <c r="F15" s="14">
        <f>F14-D15</f>
        <v>840000</v>
      </c>
    </row>
    <row r="16" spans="1:6">
      <c r="A16" s="13">
        <v>46212</v>
      </c>
      <c r="B16" s="12">
        <v>1933</v>
      </c>
      <c r="C16" s="12" t="s">
        <v>12</v>
      </c>
      <c r="D16" s="14">
        <v>15000</v>
      </c>
      <c r="E16" s="14">
        <f>E15+D16</f>
        <v>575000</v>
      </c>
      <c r="F16" s="14">
        <f>F15-D16</f>
        <v>825000</v>
      </c>
    </row>
    <row r="17" spans="1:6">
      <c r="A17" s="13">
        <v>46152</v>
      </c>
      <c r="B17" s="12">
        <v>2164</v>
      </c>
      <c r="C17" s="12" t="s">
        <v>12</v>
      </c>
      <c r="D17" s="14">
        <v>15000</v>
      </c>
      <c r="E17" s="14">
        <f>E16+D17</f>
        <v>590000</v>
      </c>
      <c r="F17" s="14">
        <f>F16-D17</f>
        <v>810000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0"/>
  <sheetViews>
    <sheetView workbookViewId="0">
      <selection activeCell="H19" sqref="H19"/>
    </sheetView>
  </sheetViews>
  <sheetFormatPr defaultRowHeight="14.5"/>
  <cols>
    <col min="1" max="1" width="10.453125" bestFit="1" customWidth="1"/>
    <col min="3" max="3" width="10.26953125" bestFit="1" customWidth="1"/>
    <col min="4" max="4" width="10.90625" bestFit="1" customWidth="1"/>
    <col min="5" max="5" width="8.36328125" bestFit="1" customWidth="1"/>
    <col min="6" max="6" width="11.36328125" bestFit="1" customWidth="1"/>
  </cols>
  <sheetData>
    <row r="1" spans="1:6" ht="18.5">
      <c r="A1" s="1" t="s">
        <v>66</v>
      </c>
      <c r="B1" s="1"/>
      <c r="C1" s="1"/>
      <c r="D1" s="1"/>
      <c r="E1" s="1"/>
      <c r="F1" s="1"/>
    </row>
    <row r="2" spans="1:6" ht="18.5">
      <c r="A2" s="1" t="s">
        <v>67</v>
      </c>
      <c r="C2" s="1"/>
      <c r="D2" s="1"/>
      <c r="E2" s="1"/>
      <c r="F2" s="1"/>
    </row>
    <row r="3" spans="1:6" ht="18.5">
      <c r="A3" s="1" t="s">
        <v>68</v>
      </c>
      <c r="B3" s="1"/>
      <c r="C3" s="1"/>
      <c r="D3" s="1"/>
      <c r="E3" s="1"/>
      <c r="F3" s="1"/>
    </row>
    <row r="4" spans="1:6" ht="18.5">
      <c r="A4" s="1" t="s">
        <v>243</v>
      </c>
      <c r="B4" s="1" t="s">
        <v>684</v>
      </c>
      <c r="C4" s="1"/>
      <c r="D4" s="1"/>
      <c r="E4" s="1"/>
      <c r="F4" s="1"/>
    </row>
    <row r="5" spans="1:6" ht="18.5">
      <c r="A5" s="1" t="s">
        <v>69</v>
      </c>
      <c r="B5" s="1"/>
      <c r="C5" s="1"/>
      <c r="D5" s="1"/>
      <c r="E5" s="1"/>
      <c r="F5" s="1"/>
    </row>
    <row r="6" spans="1:6" ht="18.5">
      <c r="A6" s="1" t="s">
        <v>70</v>
      </c>
      <c r="B6" s="1"/>
      <c r="C6" s="1"/>
      <c r="D6" s="1" t="s">
        <v>71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45328</v>
      </c>
      <c r="B8" s="7">
        <v>292</v>
      </c>
      <c r="C8" s="7" t="s">
        <v>56</v>
      </c>
      <c r="D8" s="7">
        <v>5000</v>
      </c>
      <c r="E8" s="7">
        <v>5000</v>
      </c>
      <c r="F8" s="10">
        <v>645000</v>
      </c>
    </row>
    <row r="9" spans="1:6">
      <c r="A9" s="9">
        <v>45357</v>
      </c>
      <c r="B9" s="7">
        <v>8830</v>
      </c>
      <c r="C9" s="7" t="s">
        <v>10</v>
      </c>
      <c r="D9" s="10">
        <v>145000</v>
      </c>
      <c r="E9" s="10">
        <f>SUM(E8+D9)</f>
        <v>150000</v>
      </c>
      <c r="F9" s="10">
        <f t="shared" ref="F9:F27" si="0">F8-D9</f>
        <v>500000</v>
      </c>
    </row>
    <row r="10" spans="1:6">
      <c r="A10" s="9">
        <v>45480</v>
      </c>
      <c r="B10" s="7">
        <v>9422</v>
      </c>
      <c r="C10" s="7" t="s">
        <v>57</v>
      </c>
      <c r="D10" s="10">
        <v>10000</v>
      </c>
      <c r="E10" s="10">
        <f>SUM(E9+D10)</f>
        <v>160000</v>
      </c>
      <c r="F10" s="10">
        <f t="shared" si="0"/>
        <v>490000</v>
      </c>
    </row>
    <row r="11" spans="1:6">
      <c r="A11" s="9">
        <v>45634</v>
      </c>
      <c r="B11" s="7">
        <v>313</v>
      </c>
      <c r="C11" s="7" t="s">
        <v>57</v>
      </c>
      <c r="D11" s="10">
        <v>10000</v>
      </c>
      <c r="E11" s="10">
        <f t="shared" ref="E11:E27" si="1">SUM(E10+D11)</f>
        <v>170000</v>
      </c>
      <c r="F11" s="10">
        <f t="shared" si="0"/>
        <v>480000</v>
      </c>
    </row>
    <row r="12" spans="1:6">
      <c r="A12" s="9">
        <v>45605</v>
      </c>
      <c r="B12" s="7">
        <v>10686</v>
      </c>
      <c r="C12" s="7" t="s">
        <v>57</v>
      </c>
      <c r="D12" s="10">
        <v>10000</v>
      </c>
      <c r="E12" s="10">
        <f t="shared" si="1"/>
        <v>180000</v>
      </c>
      <c r="F12" s="10">
        <f t="shared" si="0"/>
        <v>470000</v>
      </c>
    </row>
    <row r="13" spans="1:6">
      <c r="A13" s="9">
        <v>45514</v>
      </c>
      <c r="B13" s="7">
        <v>11480</v>
      </c>
      <c r="C13" s="7" t="s">
        <v>57</v>
      </c>
      <c r="D13" s="10">
        <v>10000</v>
      </c>
      <c r="E13" s="10">
        <f t="shared" si="1"/>
        <v>190000</v>
      </c>
      <c r="F13" s="10">
        <f t="shared" si="0"/>
        <v>460000</v>
      </c>
    </row>
    <row r="14" spans="1:6">
      <c r="A14" s="9">
        <v>45637</v>
      </c>
      <c r="B14" s="7">
        <v>10947</v>
      </c>
      <c r="C14" s="7" t="s">
        <v>57</v>
      </c>
      <c r="D14" s="10">
        <v>10000</v>
      </c>
      <c r="E14" s="10">
        <f t="shared" si="1"/>
        <v>200000</v>
      </c>
      <c r="F14" s="10">
        <f t="shared" si="0"/>
        <v>450000</v>
      </c>
    </row>
    <row r="15" spans="1:6">
      <c r="A15" s="9">
        <v>45608</v>
      </c>
      <c r="B15" s="7">
        <v>12311</v>
      </c>
      <c r="C15" s="7" t="s">
        <v>57</v>
      </c>
      <c r="D15" s="10">
        <v>10000</v>
      </c>
      <c r="E15" s="10">
        <f t="shared" si="1"/>
        <v>210000</v>
      </c>
      <c r="F15" s="10">
        <f t="shared" si="0"/>
        <v>440000</v>
      </c>
    </row>
    <row r="16" spans="1:6">
      <c r="A16" s="9">
        <v>45870</v>
      </c>
      <c r="B16" s="7">
        <v>12974</v>
      </c>
      <c r="C16" s="7" t="s">
        <v>57</v>
      </c>
      <c r="D16" s="10">
        <v>10000</v>
      </c>
      <c r="E16" s="10">
        <f t="shared" si="1"/>
        <v>220000</v>
      </c>
      <c r="F16" s="10">
        <f t="shared" si="0"/>
        <v>430000</v>
      </c>
    </row>
    <row r="17" spans="1:6">
      <c r="A17" s="9">
        <v>45840</v>
      </c>
      <c r="B17" s="7">
        <v>9243</v>
      </c>
      <c r="C17" s="7" t="s">
        <v>57</v>
      </c>
      <c r="D17" s="10">
        <v>10000</v>
      </c>
      <c r="E17" s="10">
        <f t="shared" si="1"/>
        <v>230000</v>
      </c>
      <c r="F17" s="10">
        <f t="shared" si="0"/>
        <v>420000</v>
      </c>
    </row>
    <row r="18" spans="1:6">
      <c r="A18" s="9">
        <v>45964</v>
      </c>
      <c r="B18" s="7">
        <v>9705</v>
      </c>
      <c r="C18" s="7" t="s">
        <v>57</v>
      </c>
      <c r="D18" s="10">
        <v>10000</v>
      </c>
      <c r="E18" s="10">
        <f t="shared" si="1"/>
        <v>240000</v>
      </c>
      <c r="F18" s="10">
        <f t="shared" si="0"/>
        <v>410000</v>
      </c>
    </row>
    <row r="19" spans="1:6">
      <c r="A19" s="7" t="s">
        <v>72</v>
      </c>
      <c r="B19" s="7">
        <v>10217</v>
      </c>
      <c r="C19" s="7" t="s">
        <v>57</v>
      </c>
      <c r="D19" s="10">
        <v>10000</v>
      </c>
      <c r="E19" s="10">
        <f t="shared" si="1"/>
        <v>250000</v>
      </c>
      <c r="F19" s="10">
        <f t="shared" si="0"/>
        <v>400000</v>
      </c>
    </row>
    <row r="20" spans="1:6">
      <c r="A20" s="7" t="s">
        <v>73</v>
      </c>
      <c r="B20" s="7">
        <v>10812</v>
      </c>
      <c r="C20" s="7" t="s">
        <v>57</v>
      </c>
      <c r="D20" s="10">
        <v>10000</v>
      </c>
      <c r="E20" s="10">
        <f t="shared" si="1"/>
        <v>260000</v>
      </c>
      <c r="F20" s="10">
        <f t="shared" si="0"/>
        <v>390000</v>
      </c>
    </row>
    <row r="21" spans="1:6">
      <c r="A21" s="9">
        <v>45876</v>
      </c>
      <c r="B21" s="7">
        <v>12805</v>
      </c>
      <c r="C21" s="7" t="s">
        <v>57</v>
      </c>
      <c r="D21" s="10">
        <v>20000</v>
      </c>
      <c r="E21" s="10">
        <f t="shared" si="1"/>
        <v>280000</v>
      </c>
      <c r="F21" s="10">
        <f t="shared" si="0"/>
        <v>370000</v>
      </c>
    </row>
    <row r="22" spans="1:6">
      <c r="A22" s="9">
        <v>45847</v>
      </c>
      <c r="B22" s="7">
        <v>12588</v>
      </c>
      <c r="C22" s="7" t="s">
        <v>57</v>
      </c>
      <c r="D22" s="10">
        <v>10000</v>
      </c>
      <c r="E22" s="10">
        <f t="shared" si="1"/>
        <v>290000</v>
      </c>
      <c r="F22" s="10">
        <f t="shared" si="0"/>
        <v>360000</v>
      </c>
    </row>
    <row r="23" spans="1:6">
      <c r="A23" s="9">
        <v>45940</v>
      </c>
      <c r="B23" s="7">
        <v>13736</v>
      </c>
      <c r="C23" s="7" t="s">
        <v>57</v>
      </c>
      <c r="D23" s="10">
        <v>20000</v>
      </c>
      <c r="E23" s="10">
        <f t="shared" si="1"/>
        <v>310000</v>
      </c>
      <c r="F23" s="10">
        <f t="shared" si="0"/>
        <v>340000</v>
      </c>
    </row>
    <row r="24" spans="1:6">
      <c r="A24" s="7" t="s">
        <v>74</v>
      </c>
      <c r="B24" s="7">
        <v>12659</v>
      </c>
      <c r="C24" s="7" t="s">
        <v>57</v>
      </c>
      <c r="D24" s="10">
        <v>20000</v>
      </c>
      <c r="E24" s="10">
        <f t="shared" si="1"/>
        <v>330000</v>
      </c>
      <c r="F24" s="10">
        <f t="shared" si="0"/>
        <v>320000</v>
      </c>
    </row>
    <row r="25" spans="1:6">
      <c r="A25" s="7" t="s">
        <v>75</v>
      </c>
      <c r="B25" s="7">
        <v>12126</v>
      </c>
      <c r="C25" s="7" t="s">
        <v>57</v>
      </c>
      <c r="D25" s="10">
        <v>10000</v>
      </c>
      <c r="E25" s="10">
        <f t="shared" si="1"/>
        <v>340000</v>
      </c>
      <c r="F25" s="10">
        <f t="shared" si="0"/>
        <v>310000</v>
      </c>
    </row>
    <row r="26" spans="1:6">
      <c r="A26" s="9">
        <v>46205</v>
      </c>
      <c r="B26" s="7">
        <v>12370</v>
      </c>
      <c r="C26" s="7" t="s">
        <v>57</v>
      </c>
      <c r="D26" s="10">
        <v>10000</v>
      </c>
      <c r="E26" s="10">
        <f t="shared" si="1"/>
        <v>350000</v>
      </c>
      <c r="F26" s="10">
        <f t="shared" si="0"/>
        <v>300000</v>
      </c>
    </row>
    <row r="27" spans="1:6">
      <c r="A27" s="9">
        <v>46268</v>
      </c>
      <c r="B27" s="7">
        <v>12790</v>
      </c>
      <c r="C27" s="7" t="s">
        <v>57</v>
      </c>
      <c r="D27" s="10">
        <v>10000</v>
      </c>
      <c r="E27" s="10">
        <f t="shared" si="1"/>
        <v>360000</v>
      </c>
      <c r="F27" s="10">
        <f t="shared" si="0"/>
        <v>290000</v>
      </c>
    </row>
    <row r="28" spans="1:6">
      <c r="A28" s="7" t="s">
        <v>682</v>
      </c>
      <c r="B28" s="7">
        <v>13483</v>
      </c>
      <c r="C28" s="7" t="s">
        <v>57</v>
      </c>
      <c r="D28" s="10">
        <v>20000</v>
      </c>
      <c r="E28" s="10">
        <f>E27+D28</f>
        <v>380000</v>
      </c>
      <c r="F28" s="10">
        <f>F27-D28</f>
        <v>270000</v>
      </c>
    </row>
    <row r="29" spans="1:6">
      <c r="A29" s="7" t="s">
        <v>683</v>
      </c>
      <c r="B29" s="7">
        <v>13700</v>
      </c>
      <c r="C29" s="7" t="s">
        <v>57</v>
      </c>
      <c r="D29" s="10">
        <v>10000</v>
      </c>
      <c r="E29" s="10">
        <f>E28+D29</f>
        <v>390000</v>
      </c>
      <c r="F29" s="10">
        <f>F28-D29</f>
        <v>260000</v>
      </c>
    </row>
    <row r="30" spans="1:6">
      <c r="A30" s="7" t="s">
        <v>706</v>
      </c>
      <c r="B30" s="7">
        <v>1590</v>
      </c>
      <c r="C30" s="7" t="s">
        <v>57</v>
      </c>
      <c r="D30" s="10">
        <v>10000</v>
      </c>
      <c r="E30" s="10">
        <f>E29+D30</f>
        <v>400000</v>
      </c>
      <c r="F30" s="10">
        <f>F29-D30</f>
        <v>250000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31"/>
  <sheetViews>
    <sheetView workbookViewId="0">
      <selection activeCell="I1" sqref="I1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126</v>
      </c>
      <c r="B1" s="1"/>
      <c r="C1" s="1"/>
      <c r="D1" s="1"/>
      <c r="E1" s="1"/>
      <c r="F1" s="1"/>
    </row>
    <row r="2" spans="1:6" ht="18.5">
      <c r="A2" s="1" t="s">
        <v>127</v>
      </c>
      <c r="C2" s="1"/>
      <c r="D2" s="1"/>
      <c r="E2" s="1"/>
      <c r="F2" s="1"/>
    </row>
    <row r="3" spans="1:6" ht="18.5">
      <c r="A3" s="1" t="s">
        <v>128</v>
      </c>
      <c r="B3" s="1"/>
      <c r="C3" s="1"/>
      <c r="D3" s="1"/>
      <c r="E3" s="1"/>
      <c r="F3" s="1"/>
    </row>
    <row r="4" spans="1:6" ht="18.5">
      <c r="A4" s="1" t="s">
        <v>510</v>
      </c>
      <c r="B4" s="1"/>
      <c r="C4" s="1"/>
      <c r="D4" s="1"/>
      <c r="E4" s="1"/>
      <c r="F4" s="1"/>
    </row>
    <row r="5" spans="1:6" ht="18.5">
      <c r="A5" s="1" t="s">
        <v>129</v>
      </c>
      <c r="B5" s="1"/>
      <c r="C5" s="1"/>
      <c r="D5" s="1"/>
      <c r="E5" s="1"/>
      <c r="F5" s="1"/>
    </row>
    <row r="6" spans="1:6" ht="18.5">
      <c r="A6" s="1" t="s">
        <v>130</v>
      </c>
      <c r="B6" s="1"/>
      <c r="C6" s="1"/>
      <c r="D6" s="1" t="s">
        <v>131</v>
      </c>
      <c r="E6" s="1"/>
      <c r="F6" s="1"/>
    </row>
    <row r="7" spans="1:6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>
      <c r="A8" s="12" t="s">
        <v>132</v>
      </c>
      <c r="B8" s="12">
        <v>1405</v>
      </c>
      <c r="C8" s="12" t="s">
        <v>12</v>
      </c>
      <c r="D8" s="14">
        <v>10000</v>
      </c>
      <c r="E8" s="14">
        <v>10000</v>
      </c>
      <c r="F8" s="14">
        <v>220000</v>
      </c>
    </row>
    <row r="9" spans="1:6">
      <c r="A9" s="13">
        <v>44897</v>
      </c>
      <c r="B9" s="12">
        <v>484</v>
      </c>
      <c r="C9" s="12" t="s">
        <v>134</v>
      </c>
      <c r="D9" s="14">
        <v>10000</v>
      </c>
      <c r="E9" s="14">
        <f>SUM(E8+D9)</f>
        <v>20000</v>
      </c>
      <c r="F9" s="14">
        <f>F8-D9</f>
        <v>210000</v>
      </c>
    </row>
    <row r="10" spans="1:6">
      <c r="A10" s="12" t="s">
        <v>133</v>
      </c>
      <c r="B10" s="12">
        <v>485</v>
      </c>
      <c r="C10" s="12" t="s">
        <v>12</v>
      </c>
      <c r="D10" s="14">
        <v>10000</v>
      </c>
      <c r="E10" s="14">
        <f t="shared" ref="E10:E29" si="0">SUM(E9+D10)</f>
        <v>30000</v>
      </c>
      <c r="F10" s="14">
        <f t="shared" ref="F10:F29" si="1">F9-D10</f>
        <v>200000</v>
      </c>
    </row>
    <row r="11" spans="1:6">
      <c r="A11" s="13">
        <v>45020</v>
      </c>
      <c r="B11" s="12">
        <v>1843</v>
      </c>
      <c r="C11" s="12" t="s">
        <v>12</v>
      </c>
      <c r="D11" s="14">
        <v>10000</v>
      </c>
      <c r="E11" s="14">
        <f t="shared" si="0"/>
        <v>40000</v>
      </c>
      <c r="F11" s="14">
        <f t="shared" si="1"/>
        <v>190000</v>
      </c>
    </row>
    <row r="12" spans="1:6">
      <c r="A12" s="13">
        <v>45204</v>
      </c>
      <c r="B12" s="12">
        <v>784</v>
      </c>
      <c r="C12" s="12" t="s">
        <v>12</v>
      </c>
      <c r="D12" s="14">
        <v>10000</v>
      </c>
      <c r="E12" s="14">
        <f t="shared" si="0"/>
        <v>50000</v>
      </c>
      <c r="F12" s="14">
        <f t="shared" si="1"/>
        <v>180000</v>
      </c>
    </row>
    <row r="13" spans="1:6">
      <c r="A13" s="13">
        <v>45266</v>
      </c>
      <c r="B13" s="12">
        <v>498</v>
      </c>
      <c r="C13" s="12" t="s">
        <v>12</v>
      </c>
      <c r="D13" s="14">
        <v>10000</v>
      </c>
      <c r="E13" s="14">
        <f t="shared" si="0"/>
        <v>60000</v>
      </c>
      <c r="F13" s="14">
        <f t="shared" si="1"/>
        <v>170000</v>
      </c>
    </row>
    <row r="14" spans="1:6">
      <c r="A14" s="13">
        <v>45206</v>
      </c>
      <c r="B14" s="12">
        <v>2663</v>
      </c>
      <c r="C14" s="12" t="s">
        <v>12</v>
      </c>
      <c r="D14" s="14">
        <v>10000</v>
      </c>
      <c r="E14" s="14">
        <f t="shared" si="0"/>
        <v>70000</v>
      </c>
      <c r="F14" s="14">
        <f t="shared" si="1"/>
        <v>160000</v>
      </c>
    </row>
    <row r="15" spans="1:6">
      <c r="A15" s="13">
        <v>45177</v>
      </c>
      <c r="B15" s="12">
        <v>2306</v>
      </c>
      <c r="C15" s="12" t="s">
        <v>12</v>
      </c>
      <c r="D15" s="14">
        <v>10000</v>
      </c>
      <c r="E15" s="14">
        <f t="shared" si="0"/>
        <v>80000</v>
      </c>
      <c r="F15" s="14">
        <f t="shared" si="1"/>
        <v>150000</v>
      </c>
    </row>
    <row r="16" spans="1:6">
      <c r="A16" s="13">
        <v>45147</v>
      </c>
      <c r="B16" s="12">
        <v>3446</v>
      </c>
      <c r="C16" s="12" t="s">
        <v>12</v>
      </c>
      <c r="D16" s="14">
        <v>10000</v>
      </c>
      <c r="E16" s="14">
        <f t="shared" si="0"/>
        <v>90000</v>
      </c>
      <c r="F16" s="14">
        <f t="shared" si="1"/>
        <v>140000</v>
      </c>
    </row>
    <row r="17" spans="1:6">
      <c r="A17" s="13">
        <v>45179</v>
      </c>
      <c r="B17" s="12">
        <v>4147</v>
      </c>
      <c r="C17" s="12" t="s">
        <v>12</v>
      </c>
      <c r="D17" s="14">
        <v>10000</v>
      </c>
      <c r="E17" s="14">
        <f t="shared" si="0"/>
        <v>100000</v>
      </c>
      <c r="F17" s="14">
        <f t="shared" si="1"/>
        <v>130000</v>
      </c>
    </row>
    <row r="18" spans="1:6">
      <c r="A18" s="13">
        <v>45118</v>
      </c>
      <c r="B18" s="12">
        <v>4696</v>
      </c>
      <c r="C18" s="12" t="s">
        <v>12</v>
      </c>
      <c r="D18" s="14">
        <v>10000</v>
      </c>
      <c r="E18" s="14">
        <f t="shared" si="0"/>
        <v>110000</v>
      </c>
      <c r="F18" s="14">
        <f t="shared" si="1"/>
        <v>120000</v>
      </c>
    </row>
    <row r="19" spans="1:6">
      <c r="A19" s="13">
        <v>45150</v>
      </c>
      <c r="B19" s="12">
        <v>5374</v>
      </c>
      <c r="C19" s="12" t="s">
        <v>12</v>
      </c>
      <c r="D19" s="14">
        <v>10000</v>
      </c>
      <c r="E19" s="14">
        <f t="shared" si="0"/>
        <v>120000</v>
      </c>
      <c r="F19" s="14">
        <f t="shared" si="1"/>
        <v>110000</v>
      </c>
    </row>
    <row r="20" spans="1:6">
      <c r="A20" s="13">
        <v>45505</v>
      </c>
      <c r="B20" s="12">
        <v>6016</v>
      </c>
      <c r="C20" s="12" t="s">
        <v>12</v>
      </c>
      <c r="D20" s="14">
        <v>10000</v>
      </c>
      <c r="E20" s="14">
        <f t="shared" si="0"/>
        <v>130000</v>
      </c>
      <c r="F20" s="14">
        <f t="shared" si="1"/>
        <v>100000</v>
      </c>
    </row>
    <row r="21" spans="1:6">
      <c r="A21" s="13">
        <v>45475</v>
      </c>
      <c r="B21" s="12">
        <v>6587</v>
      </c>
      <c r="C21" s="12" t="s">
        <v>12</v>
      </c>
      <c r="D21" s="14">
        <v>10000</v>
      </c>
      <c r="E21" s="14">
        <f t="shared" si="0"/>
        <v>140000</v>
      </c>
      <c r="F21" s="14">
        <f t="shared" si="1"/>
        <v>90000</v>
      </c>
    </row>
    <row r="22" spans="1:6">
      <c r="A22" s="13">
        <v>45507</v>
      </c>
      <c r="B22" s="12">
        <v>6943</v>
      </c>
      <c r="C22" s="12" t="s">
        <v>12</v>
      </c>
      <c r="D22" s="14">
        <v>10000</v>
      </c>
      <c r="E22" s="14">
        <f t="shared" si="0"/>
        <v>150000</v>
      </c>
      <c r="F22" s="14">
        <f t="shared" si="1"/>
        <v>80000</v>
      </c>
    </row>
    <row r="23" spans="1:6">
      <c r="A23" s="13">
        <v>45508</v>
      </c>
      <c r="B23" s="12">
        <v>7754</v>
      </c>
      <c r="C23" s="12" t="s">
        <v>12</v>
      </c>
      <c r="D23" s="14">
        <v>10000</v>
      </c>
      <c r="E23" s="14">
        <f t="shared" si="0"/>
        <v>160000</v>
      </c>
      <c r="F23" s="14">
        <f t="shared" si="1"/>
        <v>70000</v>
      </c>
    </row>
    <row r="24" spans="1:6">
      <c r="A24" s="13">
        <v>45540</v>
      </c>
      <c r="B24" s="12">
        <v>8362</v>
      </c>
      <c r="C24" s="12" t="s">
        <v>12</v>
      </c>
      <c r="D24" s="14">
        <v>10000</v>
      </c>
      <c r="E24" s="14">
        <f t="shared" si="0"/>
        <v>170000</v>
      </c>
      <c r="F24" s="14">
        <f t="shared" si="1"/>
        <v>60000</v>
      </c>
    </row>
    <row r="25" spans="1:6">
      <c r="A25" s="13">
        <v>45511</v>
      </c>
      <c r="B25" s="12">
        <v>9451</v>
      </c>
      <c r="C25" s="12" t="s">
        <v>12</v>
      </c>
      <c r="D25" s="14">
        <v>15000</v>
      </c>
      <c r="E25" s="14">
        <f t="shared" si="0"/>
        <v>185000</v>
      </c>
      <c r="F25" s="14">
        <f t="shared" si="1"/>
        <v>45000</v>
      </c>
    </row>
    <row r="26" spans="1:6">
      <c r="A26" s="13">
        <v>45482</v>
      </c>
      <c r="B26" s="12">
        <v>10567</v>
      </c>
      <c r="C26" s="12" t="s">
        <v>12</v>
      </c>
      <c r="D26" s="14">
        <v>15000</v>
      </c>
      <c r="E26" s="14">
        <f t="shared" si="0"/>
        <v>200000</v>
      </c>
      <c r="F26" s="14">
        <f t="shared" si="1"/>
        <v>30000</v>
      </c>
    </row>
    <row r="27" spans="1:6">
      <c r="A27" s="13">
        <v>45483</v>
      </c>
      <c r="B27" s="12">
        <v>11455</v>
      </c>
      <c r="C27" s="12" t="s">
        <v>12</v>
      </c>
      <c r="D27" s="14">
        <v>10000</v>
      </c>
      <c r="E27" s="14">
        <f t="shared" si="0"/>
        <v>210000</v>
      </c>
      <c r="F27" s="14">
        <f t="shared" si="1"/>
        <v>20000</v>
      </c>
    </row>
    <row r="28" spans="1:6">
      <c r="A28" s="13">
        <v>45515</v>
      </c>
      <c r="B28" s="12">
        <v>11923</v>
      </c>
      <c r="C28" s="12" t="s">
        <v>12</v>
      </c>
      <c r="D28" s="14">
        <v>10000</v>
      </c>
      <c r="E28" s="14">
        <f t="shared" si="0"/>
        <v>220000</v>
      </c>
      <c r="F28" s="14">
        <f t="shared" si="1"/>
        <v>10000</v>
      </c>
    </row>
    <row r="29" spans="1:6">
      <c r="A29" s="13">
        <v>45809</v>
      </c>
      <c r="B29" s="12">
        <v>12919</v>
      </c>
      <c r="C29" s="12" t="s">
        <v>12</v>
      </c>
      <c r="D29" s="14">
        <v>10000</v>
      </c>
      <c r="E29" s="14">
        <f t="shared" si="0"/>
        <v>230000</v>
      </c>
      <c r="F29" s="14">
        <f t="shared" si="1"/>
        <v>0</v>
      </c>
    </row>
    <row r="31" spans="1:6">
      <c r="B31" t="s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32"/>
  <sheetViews>
    <sheetView workbookViewId="0">
      <selection sqref="A1:F7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76</v>
      </c>
      <c r="B1" s="1"/>
      <c r="C1" s="1"/>
      <c r="D1" s="1"/>
      <c r="E1" s="1"/>
      <c r="F1" s="1"/>
    </row>
    <row r="2" spans="1:6" ht="18.5">
      <c r="A2" s="1" t="s">
        <v>77</v>
      </c>
      <c r="C2" s="1"/>
      <c r="D2" s="1"/>
      <c r="E2" s="1"/>
      <c r="F2" s="1"/>
    </row>
    <row r="3" spans="1:6" ht="18.5">
      <c r="A3" s="1" t="s">
        <v>78</v>
      </c>
      <c r="B3" s="1"/>
      <c r="C3" s="1"/>
      <c r="D3" s="1"/>
      <c r="E3" s="1"/>
      <c r="F3" s="1"/>
    </row>
    <row r="4" spans="1:6" ht="18.5">
      <c r="A4" s="1" t="s">
        <v>244</v>
      </c>
      <c r="B4" s="1" t="s">
        <v>678</v>
      </c>
      <c r="C4" s="1"/>
      <c r="D4" s="1"/>
      <c r="E4" s="1"/>
      <c r="F4" s="1"/>
    </row>
    <row r="5" spans="1:6" ht="18.5">
      <c r="A5" s="1" t="s">
        <v>79</v>
      </c>
      <c r="B5" s="1"/>
      <c r="C5" s="1"/>
      <c r="D5" s="1"/>
      <c r="E5" s="1"/>
      <c r="F5" s="1"/>
    </row>
    <row r="6" spans="1:6" ht="18.5">
      <c r="A6" s="1" t="s">
        <v>80</v>
      </c>
      <c r="B6" s="1"/>
      <c r="C6" s="1"/>
      <c r="D6" s="1" t="s">
        <v>81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7" t="s">
        <v>82</v>
      </c>
      <c r="B8" s="7">
        <v>165</v>
      </c>
      <c r="C8" s="7" t="s">
        <v>56</v>
      </c>
      <c r="D8" s="7">
        <v>5000</v>
      </c>
      <c r="E8" s="7">
        <v>5000</v>
      </c>
      <c r="F8" s="10">
        <v>595000</v>
      </c>
    </row>
    <row r="9" spans="1:6">
      <c r="A9" s="7" t="s">
        <v>83</v>
      </c>
      <c r="B9" s="7">
        <v>5072</v>
      </c>
      <c r="C9" s="7" t="s">
        <v>10</v>
      </c>
      <c r="D9" s="10">
        <v>95000</v>
      </c>
      <c r="E9" s="10">
        <f>SUM(E8+D9)</f>
        <v>100000</v>
      </c>
      <c r="F9" s="10">
        <f>F8-D9</f>
        <v>500000</v>
      </c>
    </row>
    <row r="10" spans="1:6">
      <c r="A10" s="7" t="s">
        <v>84</v>
      </c>
      <c r="B10" s="7">
        <v>5185</v>
      </c>
      <c r="C10" s="7" t="s">
        <v>85</v>
      </c>
      <c r="D10" s="10">
        <v>30000</v>
      </c>
      <c r="E10" s="10">
        <f>SUM(E9+D10)</f>
        <v>130000</v>
      </c>
      <c r="F10" s="10">
        <f>F9-D10</f>
        <v>470000</v>
      </c>
    </row>
    <row r="11" spans="1:6">
      <c r="A11" s="9">
        <v>45539</v>
      </c>
      <c r="B11" s="7">
        <v>7774</v>
      </c>
      <c r="C11" s="7" t="s">
        <v>12</v>
      </c>
      <c r="D11" s="10">
        <v>20000</v>
      </c>
      <c r="E11" s="10">
        <f t="shared" ref="E11:E28" si="0">SUM(E10+D11)</f>
        <v>150000</v>
      </c>
      <c r="F11" s="10">
        <f t="shared" ref="F11:F28" si="1">F10-D11</f>
        <v>450000</v>
      </c>
    </row>
    <row r="12" spans="1:6">
      <c r="A12" s="9">
        <v>45509</v>
      </c>
      <c r="B12" s="7">
        <v>8312</v>
      </c>
      <c r="C12" s="7" t="s">
        <v>12</v>
      </c>
      <c r="D12" s="10">
        <v>20000</v>
      </c>
      <c r="E12" s="10">
        <f t="shared" si="0"/>
        <v>170000</v>
      </c>
      <c r="F12" s="10">
        <f t="shared" si="1"/>
        <v>430000</v>
      </c>
    </row>
    <row r="13" spans="1:6">
      <c r="A13" s="9">
        <v>45482</v>
      </c>
      <c r="B13" s="7">
        <v>10563</v>
      </c>
      <c r="C13" s="7" t="s">
        <v>12</v>
      </c>
      <c r="D13" s="10">
        <v>20000</v>
      </c>
      <c r="E13" s="10">
        <f t="shared" si="0"/>
        <v>190000</v>
      </c>
      <c r="F13" s="10">
        <f t="shared" si="1"/>
        <v>410000</v>
      </c>
    </row>
    <row r="14" spans="1:6">
      <c r="A14" s="9">
        <v>45422</v>
      </c>
      <c r="B14" s="7">
        <v>343</v>
      </c>
      <c r="C14" s="7" t="s">
        <v>12</v>
      </c>
      <c r="D14" s="10">
        <v>20000</v>
      </c>
      <c r="E14" s="10">
        <f t="shared" si="0"/>
        <v>210000</v>
      </c>
      <c r="F14" s="10">
        <f t="shared" si="1"/>
        <v>390000</v>
      </c>
    </row>
    <row r="15" spans="1:6">
      <c r="A15" s="9">
        <v>45422</v>
      </c>
      <c r="B15" s="7">
        <v>345</v>
      </c>
      <c r="C15" s="7" t="s">
        <v>86</v>
      </c>
      <c r="D15" s="10">
        <v>20000</v>
      </c>
      <c r="E15" s="10">
        <f t="shared" si="0"/>
        <v>230000</v>
      </c>
      <c r="F15" s="10">
        <f t="shared" si="1"/>
        <v>370000</v>
      </c>
    </row>
    <row r="16" spans="1:6">
      <c r="A16" s="9">
        <v>45424</v>
      </c>
      <c r="B16" s="7">
        <v>12587</v>
      </c>
      <c r="C16" s="7" t="s">
        <v>12</v>
      </c>
      <c r="D16" s="10">
        <v>10000</v>
      </c>
      <c r="E16" s="10">
        <f t="shared" si="0"/>
        <v>240000</v>
      </c>
      <c r="F16" s="10">
        <f t="shared" si="1"/>
        <v>360000</v>
      </c>
    </row>
    <row r="17" spans="1:6">
      <c r="A17" s="7" t="s">
        <v>87</v>
      </c>
      <c r="B17" s="7">
        <v>12764</v>
      </c>
      <c r="C17" s="7" t="s">
        <v>12</v>
      </c>
      <c r="D17" s="10">
        <v>10000</v>
      </c>
      <c r="E17" s="10">
        <f t="shared" si="0"/>
        <v>250000</v>
      </c>
      <c r="F17" s="10">
        <f t="shared" si="1"/>
        <v>350000</v>
      </c>
    </row>
    <row r="18" spans="1:6">
      <c r="A18" s="9">
        <v>45718</v>
      </c>
      <c r="B18" s="7">
        <v>9201</v>
      </c>
      <c r="C18" s="7" t="s">
        <v>12</v>
      </c>
      <c r="D18" s="10">
        <v>10000</v>
      </c>
      <c r="E18" s="10">
        <f t="shared" si="0"/>
        <v>260000</v>
      </c>
      <c r="F18" s="10">
        <f t="shared" si="1"/>
        <v>340000</v>
      </c>
    </row>
    <row r="19" spans="1:6">
      <c r="A19" s="9">
        <v>45964</v>
      </c>
      <c r="B19" s="7">
        <v>9710</v>
      </c>
      <c r="C19" s="7" t="s">
        <v>12</v>
      </c>
      <c r="D19" s="10">
        <v>20000</v>
      </c>
      <c r="E19" s="10">
        <f t="shared" si="0"/>
        <v>280000</v>
      </c>
      <c r="F19" s="10">
        <f t="shared" si="1"/>
        <v>320000</v>
      </c>
    </row>
    <row r="20" spans="1:6">
      <c r="A20" s="7" t="s">
        <v>88</v>
      </c>
      <c r="B20" s="7">
        <v>10406</v>
      </c>
      <c r="C20" s="7" t="s">
        <v>12</v>
      </c>
      <c r="D20" s="10">
        <v>20000</v>
      </c>
      <c r="E20" s="10">
        <f t="shared" si="0"/>
        <v>300000</v>
      </c>
      <c r="F20" s="10">
        <f t="shared" si="1"/>
        <v>300000</v>
      </c>
    </row>
    <row r="21" spans="1:6">
      <c r="A21" s="9">
        <v>45845</v>
      </c>
      <c r="B21" s="7">
        <v>12801</v>
      </c>
      <c r="C21" s="7" t="s">
        <v>12</v>
      </c>
      <c r="D21" s="10">
        <v>10000</v>
      </c>
      <c r="E21" s="10">
        <f t="shared" si="0"/>
        <v>310000</v>
      </c>
      <c r="F21" s="10">
        <f t="shared" si="1"/>
        <v>290000</v>
      </c>
    </row>
    <row r="22" spans="1:6">
      <c r="A22" s="9">
        <v>45755</v>
      </c>
      <c r="B22" s="7">
        <v>12379</v>
      </c>
      <c r="C22" s="7" t="s">
        <v>12</v>
      </c>
      <c r="D22" s="10">
        <v>20000</v>
      </c>
      <c r="E22" s="10">
        <f t="shared" si="0"/>
        <v>330000</v>
      </c>
      <c r="F22" s="10">
        <f t="shared" si="1"/>
        <v>270000</v>
      </c>
    </row>
    <row r="23" spans="1:6">
      <c r="A23" s="7" t="s">
        <v>89</v>
      </c>
      <c r="B23" s="7">
        <v>12761</v>
      </c>
      <c r="C23" s="7" t="s">
        <v>12</v>
      </c>
      <c r="D23" s="10">
        <v>10000</v>
      </c>
      <c r="E23" s="10">
        <f t="shared" si="0"/>
        <v>340000</v>
      </c>
      <c r="F23" s="10">
        <f t="shared" si="1"/>
        <v>260000</v>
      </c>
    </row>
    <row r="24" spans="1:6">
      <c r="A24" s="9">
        <v>45911</v>
      </c>
      <c r="B24" s="7">
        <v>13487</v>
      </c>
      <c r="C24" s="7" t="s">
        <v>12</v>
      </c>
      <c r="D24" s="10">
        <v>20000</v>
      </c>
      <c r="E24" s="10">
        <f t="shared" si="0"/>
        <v>360000</v>
      </c>
      <c r="F24" s="10">
        <f t="shared" si="1"/>
        <v>240000</v>
      </c>
    </row>
    <row r="25" spans="1:6">
      <c r="A25" s="9">
        <v>45912</v>
      </c>
      <c r="B25" s="7">
        <v>13128</v>
      </c>
      <c r="C25" s="7" t="s">
        <v>12</v>
      </c>
      <c r="D25" s="10">
        <v>10000</v>
      </c>
      <c r="E25" s="10">
        <f t="shared" si="0"/>
        <v>370000</v>
      </c>
      <c r="F25" s="10">
        <f t="shared" si="1"/>
        <v>230000</v>
      </c>
    </row>
    <row r="26" spans="1:6">
      <c r="A26" s="9">
        <v>46357</v>
      </c>
      <c r="B26" s="7">
        <v>12107</v>
      </c>
      <c r="C26" s="7" t="s">
        <v>12</v>
      </c>
      <c r="D26" s="10">
        <v>10000</v>
      </c>
      <c r="E26" s="10">
        <f t="shared" si="0"/>
        <v>380000</v>
      </c>
      <c r="F26" s="10">
        <f t="shared" si="1"/>
        <v>220000</v>
      </c>
    </row>
    <row r="27" spans="1:6">
      <c r="A27" s="9">
        <v>46236</v>
      </c>
      <c r="B27" s="7">
        <v>12390</v>
      </c>
      <c r="C27" s="7" t="s">
        <v>12</v>
      </c>
      <c r="D27" s="10">
        <v>10000</v>
      </c>
      <c r="E27" s="10">
        <f t="shared" si="0"/>
        <v>390000</v>
      </c>
      <c r="F27" s="10">
        <f t="shared" si="1"/>
        <v>210000</v>
      </c>
    </row>
    <row r="28" spans="1:6">
      <c r="A28" s="13">
        <v>46237</v>
      </c>
      <c r="B28" s="7">
        <v>12771</v>
      </c>
      <c r="C28" s="7" t="s">
        <v>12</v>
      </c>
      <c r="D28" s="10">
        <v>10000</v>
      </c>
      <c r="E28" s="10">
        <f t="shared" si="0"/>
        <v>400000</v>
      </c>
      <c r="F28" s="10">
        <f t="shared" si="1"/>
        <v>200000</v>
      </c>
    </row>
    <row r="29" spans="1:6">
      <c r="A29" s="12" t="s">
        <v>529</v>
      </c>
      <c r="B29" s="7">
        <v>12929</v>
      </c>
      <c r="C29" s="7" t="s">
        <v>12</v>
      </c>
      <c r="D29" s="10">
        <v>10000</v>
      </c>
      <c r="E29" s="10">
        <f>E28+D29</f>
        <v>410000</v>
      </c>
      <c r="F29" s="10">
        <f>F28-D29</f>
        <v>190000</v>
      </c>
    </row>
    <row r="30" spans="1:6">
      <c r="A30" s="12" t="s">
        <v>530</v>
      </c>
      <c r="B30" s="7">
        <v>13415</v>
      </c>
      <c r="C30" s="7" t="s">
        <v>12</v>
      </c>
      <c r="D30" s="10">
        <v>10000</v>
      </c>
      <c r="E30" s="10">
        <f>E29+D30</f>
        <v>420000</v>
      </c>
      <c r="F30" s="10">
        <f>F29-D30</f>
        <v>180000</v>
      </c>
    </row>
    <row r="31" spans="1:6">
      <c r="A31" s="12" t="s">
        <v>677</v>
      </c>
      <c r="B31" s="7">
        <v>13646</v>
      </c>
      <c r="C31" s="7" t="s">
        <v>12</v>
      </c>
      <c r="D31" s="14">
        <v>10000</v>
      </c>
      <c r="E31" s="14">
        <f>E30+D31</f>
        <v>430000</v>
      </c>
      <c r="F31" s="14">
        <f>F30-D31</f>
        <v>170000</v>
      </c>
    </row>
    <row r="32" spans="1:6">
      <c r="A32" s="13" t="s">
        <v>726</v>
      </c>
      <c r="B32" s="7">
        <v>1753</v>
      </c>
      <c r="C32" s="7" t="s">
        <v>12</v>
      </c>
      <c r="D32" s="14">
        <v>20000</v>
      </c>
      <c r="E32" s="14">
        <f>E31+D32</f>
        <v>450000</v>
      </c>
      <c r="F32" s="14">
        <f>F31-D32</f>
        <v>150000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21" sqref="F21"/>
    </sheetView>
  </sheetViews>
  <sheetFormatPr defaultRowHeight="14.5"/>
  <cols>
    <col min="1" max="1" width="9.453125" bestFit="1" customWidth="1"/>
    <col min="3" max="3" width="12.36328125" customWidth="1"/>
    <col min="4" max="4" width="12.6328125" customWidth="1"/>
    <col min="5" max="5" width="12.90625" customWidth="1"/>
    <col min="6" max="6" width="12.08984375" customWidth="1"/>
  </cols>
  <sheetData>
    <row r="1" spans="1:6" ht="18.5">
      <c r="A1" s="1" t="s">
        <v>76</v>
      </c>
      <c r="B1" s="1"/>
      <c r="C1" s="1"/>
      <c r="D1" s="1"/>
      <c r="E1" s="1"/>
      <c r="F1" s="1"/>
    </row>
    <row r="2" spans="1:6" ht="18.5">
      <c r="A2" s="1" t="s">
        <v>77</v>
      </c>
      <c r="C2" s="1"/>
      <c r="D2" s="1"/>
      <c r="E2" s="1"/>
      <c r="F2" s="1"/>
    </row>
    <row r="3" spans="1:6" ht="18.5">
      <c r="A3" s="1" t="s">
        <v>78</v>
      </c>
      <c r="B3" s="1"/>
      <c r="C3" s="1"/>
      <c r="D3" s="1"/>
      <c r="E3" s="1"/>
      <c r="F3" s="1"/>
    </row>
    <row r="4" spans="1:6" ht="18.5">
      <c r="A4" s="1" t="s">
        <v>244</v>
      </c>
      <c r="B4" s="1" t="s">
        <v>678</v>
      </c>
      <c r="C4" s="1"/>
      <c r="D4" s="1"/>
      <c r="E4" s="1"/>
      <c r="F4" s="1"/>
    </row>
    <row r="5" spans="1:6" ht="18.5">
      <c r="A5" s="1" t="s">
        <v>79</v>
      </c>
      <c r="B5" s="1"/>
      <c r="C5" s="1"/>
      <c r="D5" s="1"/>
      <c r="E5" s="1"/>
      <c r="F5" s="1"/>
    </row>
    <row r="6" spans="1:6" ht="18.5">
      <c r="A6" s="1" t="s">
        <v>80</v>
      </c>
      <c r="B6" s="1"/>
      <c r="C6" s="1"/>
      <c r="D6" s="1" t="s">
        <v>81</v>
      </c>
      <c r="E6" s="1"/>
      <c r="F6" s="1"/>
    </row>
    <row r="7" spans="1:6" ht="15.5">
      <c r="A7" s="43" t="s">
        <v>3</v>
      </c>
      <c r="B7" s="43" t="s">
        <v>4</v>
      </c>
      <c r="C7" s="43" t="s">
        <v>5</v>
      </c>
      <c r="D7" s="43" t="s">
        <v>6</v>
      </c>
      <c r="E7" s="43" t="s">
        <v>7</v>
      </c>
      <c r="F7" s="43" t="s">
        <v>8</v>
      </c>
    </row>
    <row r="8" spans="1:6">
      <c r="A8" s="13">
        <v>45999</v>
      </c>
      <c r="B8" s="12">
        <v>12910</v>
      </c>
      <c r="C8" s="12" t="s">
        <v>733</v>
      </c>
      <c r="D8" s="14">
        <v>100000</v>
      </c>
      <c r="E8" s="14">
        <v>100000</v>
      </c>
      <c r="F8" s="14">
        <v>500000</v>
      </c>
    </row>
    <row r="9" spans="1:6" ht="15.5">
      <c r="A9" s="44" t="s">
        <v>727</v>
      </c>
      <c r="B9" s="12">
        <v>3701</v>
      </c>
      <c r="C9" s="12" t="s">
        <v>558</v>
      </c>
      <c r="D9" s="14">
        <v>10000</v>
      </c>
      <c r="E9" s="14">
        <f t="shared" ref="E9:E13" si="0">E8+D9</f>
        <v>110000</v>
      </c>
      <c r="F9" s="14">
        <f t="shared" ref="F9:F13" si="1">F8-D9</f>
        <v>490000</v>
      </c>
    </row>
    <row r="10" spans="1:6">
      <c r="A10" s="12" t="s">
        <v>728</v>
      </c>
      <c r="B10" s="12">
        <v>13666</v>
      </c>
      <c r="C10" s="12" t="s">
        <v>558</v>
      </c>
      <c r="D10" s="14">
        <v>10000</v>
      </c>
      <c r="E10" s="14">
        <f t="shared" si="0"/>
        <v>120000</v>
      </c>
      <c r="F10" s="14">
        <f t="shared" si="1"/>
        <v>480000</v>
      </c>
    </row>
    <row r="11" spans="1:6">
      <c r="A11" s="12" t="s">
        <v>729</v>
      </c>
      <c r="B11" s="12">
        <v>13398</v>
      </c>
      <c r="C11" s="12" t="s">
        <v>558</v>
      </c>
      <c r="D11" s="14">
        <v>10000</v>
      </c>
      <c r="E11" s="14">
        <f t="shared" si="0"/>
        <v>130000</v>
      </c>
      <c r="F11" s="14">
        <f t="shared" si="1"/>
        <v>470000</v>
      </c>
    </row>
    <row r="12" spans="1:6">
      <c r="A12" s="12" t="s">
        <v>730</v>
      </c>
      <c r="B12" s="12">
        <v>12644</v>
      </c>
      <c r="C12" s="12" t="s">
        <v>558</v>
      </c>
      <c r="D12" s="14">
        <v>10000</v>
      </c>
      <c r="E12" s="14">
        <f t="shared" si="0"/>
        <v>140000</v>
      </c>
      <c r="F12" s="14">
        <f t="shared" si="1"/>
        <v>460000</v>
      </c>
    </row>
    <row r="13" spans="1:6">
      <c r="A13" s="12" t="s">
        <v>731</v>
      </c>
      <c r="B13" s="12">
        <v>12172</v>
      </c>
      <c r="C13" s="12" t="s">
        <v>558</v>
      </c>
      <c r="D13" s="14">
        <v>10000</v>
      </c>
      <c r="E13" s="14">
        <f t="shared" si="0"/>
        <v>150000</v>
      </c>
      <c r="F13" s="14">
        <f t="shared" si="1"/>
        <v>450000</v>
      </c>
    </row>
    <row r="14" spans="1:6">
      <c r="A14" s="20" t="s">
        <v>827</v>
      </c>
      <c r="B14" s="20">
        <v>12548</v>
      </c>
      <c r="C14" s="20" t="s">
        <v>558</v>
      </c>
      <c r="D14" s="17">
        <v>10000</v>
      </c>
      <c r="E14" s="17">
        <v>160000</v>
      </c>
      <c r="F14" s="17">
        <v>440000</v>
      </c>
    </row>
    <row r="15" spans="1:6">
      <c r="A15" s="12" t="s">
        <v>732</v>
      </c>
      <c r="B15" s="12">
        <v>13946</v>
      </c>
      <c r="C15" s="12" t="s">
        <v>558</v>
      </c>
      <c r="D15" s="14">
        <v>10000</v>
      </c>
      <c r="E15" s="17">
        <v>170000</v>
      </c>
      <c r="F15" s="17">
        <v>430000</v>
      </c>
    </row>
    <row r="16" spans="1:6">
      <c r="A16" s="13">
        <v>46269</v>
      </c>
      <c r="B16" s="12">
        <v>13028</v>
      </c>
      <c r="C16" s="12" t="s">
        <v>558</v>
      </c>
      <c r="D16" s="14">
        <v>10000</v>
      </c>
      <c r="E16" s="17">
        <v>180000</v>
      </c>
      <c r="F16" s="17">
        <v>420000</v>
      </c>
    </row>
    <row r="17" spans="1:6">
      <c r="A17" s="13">
        <v>46086</v>
      </c>
      <c r="B17" s="12">
        <v>13412</v>
      </c>
      <c r="C17" s="12" t="s">
        <v>558</v>
      </c>
      <c r="D17" s="14">
        <v>10000</v>
      </c>
      <c r="E17" s="17">
        <v>190000</v>
      </c>
      <c r="F17" s="17">
        <v>410000</v>
      </c>
    </row>
    <row r="18" spans="1:6">
      <c r="A18" s="13">
        <v>46148</v>
      </c>
      <c r="B18" s="12">
        <v>13661</v>
      </c>
      <c r="C18" s="12" t="s">
        <v>558</v>
      </c>
      <c r="D18" s="14">
        <v>10000</v>
      </c>
      <c r="E18" s="17">
        <v>200000</v>
      </c>
      <c r="F18" s="17">
        <v>400000</v>
      </c>
    </row>
    <row r="19" spans="1:6">
      <c r="A19" s="13">
        <v>46210</v>
      </c>
      <c r="B19" s="12">
        <v>1514</v>
      </c>
      <c r="C19" s="12" t="s">
        <v>558</v>
      </c>
      <c r="D19" s="14">
        <v>10000</v>
      </c>
      <c r="E19" s="17">
        <v>210000</v>
      </c>
      <c r="F19" s="17">
        <v>390000</v>
      </c>
    </row>
    <row r="20" spans="1:6">
      <c r="A20" s="12" t="s">
        <v>726</v>
      </c>
      <c r="B20" s="12">
        <v>1757</v>
      </c>
      <c r="C20" s="12" t="s">
        <v>558</v>
      </c>
      <c r="D20" s="14">
        <v>10000</v>
      </c>
      <c r="E20" s="17">
        <v>220000</v>
      </c>
      <c r="F20" s="17">
        <v>380000</v>
      </c>
    </row>
    <row r="21" spans="1:6">
      <c r="A21" t="s">
        <v>804</v>
      </c>
      <c r="B21" s="20">
        <v>2046</v>
      </c>
      <c r="C21" s="20" t="s">
        <v>558</v>
      </c>
      <c r="D21" s="83">
        <v>10000</v>
      </c>
      <c r="E21" s="17">
        <v>230000</v>
      </c>
      <c r="F21" s="17">
        <v>370000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36"/>
  <sheetViews>
    <sheetView topLeftCell="A19" workbookViewId="0">
      <selection activeCell="B35" sqref="B35"/>
    </sheetView>
  </sheetViews>
  <sheetFormatPr defaultRowHeight="14.5"/>
  <cols>
    <col min="1" max="1" width="9.54296875" customWidth="1"/>
    <col min="3" max="3" width="11.1796875" customWidth="1"/>
    <col min="4" max="4" width="11.36328125" customWidth="1"/>
    <col min="6" max="6" width="11.1796875" customWidth="1"/>
  </cols>
  <sheetData>
    <row r="1" spans="1:6" ht="18.5">
      <c r="A1" s="1" t="s">
        <v>159</v>
      </c>
      <c r="B1" s="1"/>
      <c r="C1" s="1"/>
      <c r="D1" s="1"/>
      <c r="E1" s="1"/>
      <c r="F1" s="1"/>
    </row>
    <row r="2" spans="1:6" ht="18.5">
      <c r="A2" s="1" t="s">
        <v>160</v>
      </c>
      <c r="C2" s="1"/>
      <c r="D2" s="1"/>
      <c r="E2" s="1"/>
      <c r="F2" s="1"/>
    </row>
    <row r="3" spans="1:6" ht="18.5">
      <c r="A3" s="1" t="s">
        <v>161</v>
      </c>
      <c r="B3" s="1"/>
      <c r="C3" s="1"/>
      <c r="D3" s="1"/>
      <c r="E3" s="1"/>
      <c r="F3" s="1"/>
    </row>
    <row r="4" spans="1:6" ht="18.5">
      <c r="A4" s="1" t="s">
        <v>466</v>
      </c>
      <c r="B4" s="1"/>
      <c r="C4" s="1"/>
      <c r="D4" s="1"/>
      <c r="E4" s="1"/>
      <c r="F4" s="1"/>
    </row>
    <row r="5" spans="1:6" ht="18.5">
      <c r="A5" s="1" t="s">
        <v>162</v>
      </c>
      <c r="B5" s="1"/>
      <c r="C5" s="1"/>
      <c r="D5" s="1"/>
      <c r="E5" s="1"/>
      <c r="F5" s="1"/>
    </row>
    <row r="6" spans="1:6" ht="18.5">
      <c r="A6" s="1" t="s">
        <v>163</v>
      </c>
      <c r="B6" s="1"/>
      <c r="C6" s="1"/>
      <c r="D6" s="1" t="s">
        <v>164</v>
      </c>
      <c r="E6" s="1"/>
      <c r="F6" s="1"/>
    </row>
    <row r="7" spans="1:6" ht="18.5">
      <c r="A7" s="1" t="s">
        <v>461</v>
      </c>
      <c r="B7" s="1"/>
      <c r="C7" s="1"/>
      <c r="D7" s="1"/>
      <c r="E7" s="1"/>
      <c r="F7" s="1"/>
    </row>
    <row r="8" spans="1:6" ht="18.5">
      <c r="A8" s="1" t="s">
        <v>462</v>
      </c>
      <c r="B8" s="1"/>
      <c r="C8" s="1"/>
      <c r="D8" s="1"/>
      <c r="E8" s="1"/>
      <c r="F8" s="1"/>
    </row>
    <row r="9" spans="1:6" ht="18.5">
      <c r="A9" s="1" t="s">
        <v>463</v>
      </c>
      <c r="B9" s="1"/>
      <c r="C9" s="1"/>
      <c r="D9" s="1"/>
      <c r="E9" s="1"/>
      <c r="F9" s="1"/>
    </row>
    <row r="10" spans="1:6" ht="18.5">
      <c r="A10" s="1" t="s">
        <v>464</v>
      </c>
      <c r="C10" s="1"/>
      <c r="D10" s="1"/>
      <c r="E10" s="1"/>
      <c r="F10" s="1"/>
    </row>
    <row r="11" spans="1:6" ht="18.5">
      <c r="A11" s="1" t="s">
        <v>465</v>
      </c>
      <c r="B11" s="1"/>
      <c r="C11" s="1"/>
      <c r="D11" s="1"/>
      <c r="E11" s="1"/>
      <c r="F11" s="1"/>
    </row>
    <row r="12" spans="1:6" ht="18.5">
      <c r="A12" s="1" t="s">
        <v>466</v>
      </c>
      <c r="B12" s="1"/>
      <c r="C12" s="1"/>
      <c r="D12" s="1"/>
      <c r="E12" s="1"/>
      <c r="F12" s="1"/>
    </row>
    <row r="13" spans="1:6" ht="18.5">
      <c r="A13" s="1" t="s">
        <v>720</v>
      </c>
      <c r="B13" s="1"/>
      <c r="C13" s="1"/>
      <c r="D13" s="1"/>
      <c r="E13" s="1"/>
      <c r="F13" s="1"/>
    </row>
    <row r="14" spans="1:6">
      <c r="A14" s="11" t="s">
        <v>3</v>
      </c>
      <c r="B14" s="12" t="s">
        <v>4</v>
      </c>
      <c r="C14" s="12" t="s">
        <v>5</v>
      </c>
      <c r="D14" s="12" t="s">
        <v>6</v>
      </c>
      <c r="E14" s="12" t="s">
        <v>7</v>
      </c>
      <c r="F14" s="12" t="s">
        <v>8</v>
      </c>
    </row>
    <row r="15" spans="1:6">
      <c r="A15" s="12" t="s">
        <v>165</v>
      </c>
      <c r="B15" s="12">
        <v>1682</v>
      </c>
      <c r="C15" s="12" t="s">
        <v>12</v>
      </c>
      <c r="D15" s="14">
        <v>10000</v>
      </c>
      <c r="E15" s="14">
        <v>10000</v>
      </c>
      <c r="F15" s="14">
        <v>192500</v>
      </c>
    </row>
    <row r="16" spans="1:6">
      <c r="A16" s="12" t="s">
        <v>166</v>
      </c>
      <c r="B16" s="12">
        <v>1683</v>
      </c>
      <c r="C16" s="12" t="s">
        <v>171</v>
      </c>
      <c r="D16" s="14">
        <v>10000</v>
      </c>
      <c r="E16" s="14">
        <f>SUM(E15+D16)</f>
        <v>20000</v>
      </c>
      <c r="F16" s="14">
        <f>F15-D16</f>
        <v>182500</v>
      </c>
    </row>
    <row r="17" spans="1:6">
      <c r="A17" s="12" t="s">
        <v>167</v>
      </c>
      <c r="B17" s="12">
        <v>1648</v>
      </c>
      <c r="C17" s="12" t="s">
        <v>12</v>
      </c>
      <c r="D17" s="14">
        <v>20000</v>
      </c>
      <c r="E17" s="14">
        <f t="shared" ref="E17:E23" si="0">SUM(E16+D17)</f>
        <v>40000</v>
      </c>
      <c r="F17" s="14">
        <f t="shared" ref="F17:F23" si="1">F16-D17</f>
        <v>162500</v>
      </c>
    </row>
    <row r="18" spans="1:6">
      <c r="A18" s="13">
        <v>45272</v>
      </c>
      <c r="B18" s="12">
        <v>5502</v>
      </c>
      <c r="C18" s="12" t="s">
        <v>12</v>
      </c>
      <c r="D18" s="14">
        <v>90000</v>
      </c>
      <c r="E18" s="14">
        <f t="shared" si="0"/>
        <v>130000</v>
      </c>
      <c r="F18" s="14">
        <f t="shared" si="1"/>
        <v>72500</v>
      </c>
    </row>
    <row r="19" spans="1:6">
      <c r="A19" s="12" t="s">
        <v>168</v>
      </c>
      <c r="B19" s="12">
        <v>6747</v>
      </c>
      <c r="C19" s="12" t="s">
        <v>12</v>
      </c>
      <c r="D19" s="14">
        <v>10000</v>
      </c>
      <c r="E19" s="14">
        <f t="shared" si="0"/>
        <v>140000</v>
      </c>
      <c r="F19" s="14">
        <f t="shared" si="1"/>
        <v>62500</v>
      </c>
    </row>
    <row r="20" spans="1:6">
      <c r="A20" s="12" t="s">
        <v>169</v>
      </c>
      <c r="B20" s="12">
        <v>8175</v>
      </c>
      <c r="C20" s="12" t="s">
        <v>12</v>
      </c>
      <c r="D20" s="14">
        <v>20000</v>
      </c>
      <c r="E20" s="14">
        <f t="shared" si="0"/>
        <v>160000</v>
      </c>
      <c r="F20" s="14">
        <f t="shared" si="1"/>
        <v>42500</v>
      </c>
    </row>
    <row r="21" spans="1:6">
      <c r="A21" s="12" t="s">
        <v>170</v>
      </c>
      <c r="B21" s="12">
        <v>10189</v>
      </c>
      <c r="C21" s="12" t="s">
        <v>12</v>
      </c>
      <c r="D21" s="14">
        <v>15000</v>
      </c>
      <c r="E21" s="14">
        <f t="shared" si="0"/>
        <v>175000</v>
      </c>
      <c r="F21" s="14">
        <f t="shared" si="1"/>
        <v>27500</v>
      </c>
    </row>
    <row r="22" spans="1:6">
      <c r="A22" s="13">
        <v>45903</v>
      </c>
      <c r="B22" s="12">
        <v>12444</v>
      </c>
      <c r="C22" s="12" t="s">
        <v>12</v>
      </c>
      <c r="D22" s="14">
        <v>12500</v>
      </c>
      <c r="E22" s="14">
        <f t="shared" si="0"/>
        <v>187500</v>
      </c>
      <c r="F22" s="14">
        <f t="shared" si="1"/>
        <v>15000</v>
      </c>
    </row>
    <row r="23" spans="1:6">
      <c r="A23" s="16">
        <v>45721</v>
      </c>
      <c r="B23" s="20">
        <v>12924</v>
      </c>
      <c r="C23" s="12" t="s">
        <v>12</v>
      </c>
      <c r="D23" s="17">
        <v>15000</v>
      </c>
      <c r="E23" s="14">
        <f t="shared" si="0"/>
        <v>202500</v>
      </c>
      <c r="F23" s="14">
        <f t="shared" si="1"/>
        <v>0</v>
      </c>
    </row>
    <row r="25" spans="1:6">
      <c r="A25" s="42" t="s">
        <v>719</v>
      </c>
      <c r="D25" s="17"/>
      <c r="E25" s="17"/>
      <c r="F25" s="17"/>
    </row>
    <row r="26" spans="1:6">
      <c r="A26" s="12" t="s">
        <v>721</v>
      </c>
      <c r="B26" s="12">
        <v>5310</v>
      </c>
      <c r="C26" s="12" t="s">
        <v>725</v>
      </c>
      <c r="D26" s="14">
        <v>20000</v>
      </c>
      <c r="E26" s="14">
        <v>20000</v>
      </c>
      <c r="F26" s="14">
        <v>430000</v>
      </c>
    </row>
    <row r="27" spans="1:6">
      <c r="A27" s="12" t="s">
        <v>722</v>
      </c>
      <c r="B27" s="12">
        <v>5593</v>
      </c>
      <c r="C27" s="12" t="s">
        <v>725</v>
      </c>
      <c r="D27" s="14">
        <v>5000</v>
      </c>
      <c r="E27" s="14">
        <f t="shared" ref="E27:E33" si="2">E26+D27</f>
        <v>25000</v>
      </c>
      <c r="F27" s="14">
        <f t="shared" ref="F27:F33" si="3">F26-D27</f>
        <v>425000</v>
      </c>
    </row>
    <row r="28" spans="1:6">
      <c r="A28" s="13">
        <v>46116</v>
      </c>
      <c r="B28" s="12">
        <v>5826</v>
      </c>
      <c r="C28" s="12" t="s">
        <v>725</v>
      </c>
      <c r="D28" s="14">
        <v>5000</v>
      </c>
      <c r="E28" s="14">
        <f t="shared" si="2"/>
        <v>30000</v>
      </c>
      <c r="F28" s="14">
        <f t="shared" si="3"/>
        <v>420000</v>
      </c>
    </row>
    <row r="29" spans="1:6">
      <c r="A29" s="13" t="s">
        <v>723</v>
      </c>
      <c r="B29" s="12">
        <v>5827</v>
      </c>
      <c r="C29" s="12" t="s">
        <v>725</v>
      </c>
      <c r="D29" s="14">
        <v>5000</v>
      </c>
      <c r="E29" s="14">
        <f t="shared" si="2"/>
        <v>35000</v>
      </c>
      <c r="F29" s="14">
        <f t="shared" si="3"/>
        <v>415000</v>
      </c>
    </row>
    <row r="30" spans="1:6">
      <c r="A30" s="13">
        <v>46086</v>
      </c>
      <c r="B30" s="12">
        <v>1366</v>
      </c>
      <c r="C30" s="12" t="s">
        <v>725</v>
      </c>
      <c r="D30" s="14">
        <v>5000</v>
      </c>
      <c r="E30" s="14">
        <f t="shared" si="2"/>
        <v>40000</v>
      </c>
      <c r="F30" s="14">
        <f t="shared" si="3"/>
        <v>410000</v>
      </c>
    </row>
    <row r="31" spans="1:6">
      <c r="A31" s="13" t="s">
        <v>724</v>
      </c>
      <c r="B31" s="12">
        <v>1682</v>
      </c>
      <c r="C31" s="12" t="s">
        <v>725</v>
      </c>
      <c r="D31" s="14">
        <v>5000</v>
      </c>
      <c r="E31" s="14">
        <f t="shared" si="2"/>
        <v>45000</v>
      </c>
      <c r="F31" s="14">
        <f t="shared" si="3"/>
        <v>405000</v>
      </c>
    </row>
    <row r="32" spans="1:6">
      <c r="A32" s="13">
        <v>46180</v>
      </c>
      <c r="B32" s="12">
        <v>1733</v>
      </c>
      <c r="C32" s="12" t="s">
        <v>725</v>
      </c>
      <c r="D32" s="14">
        <v>5000</v>
      </c>
      <c r="E32" s="14">
        <f t="shared" si="2"/>
        <v>50000</v>
      </c>
      <c r="F32" s="14">
        <f t="shared" si="3"/>
        <v>400000</v>
      </c>
    </row>
    <row r="33" spans="1:6">
      <c r="A33" s="13">
        <v>46120</v>
      </c>
      <c r="B33" s="12">
        <v>3726</v>
      </c>
      <c r="C33" s="12" t="s">
        <v>725</v>
      </c>
      <c r="D33" s="14">
        <v>10000</v>
      </c>
      <c r="E33" s="14">
        <f t="shared" si="2"/>
        <v>60000</v>
      </c>
      <c r="F33" s="14">
        <f t="shared" si="3"/>
        <v>390000</v>
      </c>
    </row>
    <row r="34" spans="1:6">
      <c r="A34" s="13">
        <v>46182</v>
      </c>
      <c r="B34" s="12">
        <v>2010</v>
      </c>
      <c r="C34" s="12" t="s">
        <v>725</v>
      </c>
      <c r="D34" s="14">
        <v>10000</v>
      </c>
      <c r="E34" s="14">
        <f t="shared" ref="E34" si="4">E33+D34</f>
        <v>70000</v>
      </c>
      <c r="F34" s="14">
        <f>F33-D34</f>
        <v>380000</v>
      </c>
    </row>
    <row r="35" spans="1:6">
      <c r="A35" s="13">
        <v>46152</v>
      </c>
      <c r="B35" s="12">
        <v>2158</v>
      </c>
      <c r="C35" s="12" t="s">
        <v>725</v>
      </c>
      <c r="D35" s="14">
        <v>10000</v>
      </c>
      <c r="E35" s="14">
        <f t="shared" ref="E35" si="5">E34+D35</f>
        <v>80000</v>
      </c>
      <c r="F35" s="14">
        <f>F34-D35</f>
        <v>370000</v>
      </c>
    </row>
    <row r="36" spans="1:6">
      <c r="A36" s="19" t="s">
        <v>759</v>
      </c>
      <c r="B36" s="19" t="s">
        <v>760</v>
      </c>
      <c r="C36" s="19"/>
      <c r="D36" s="19"/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7" workbookViewId="0">
      <selection activeCell="G26" sqref="A26:G26"/>
    </sheetView>
  </sheetViews>
  <sheetFormatPr defaultRowHeight="14.5"/>
  <cols>
    <col min="1" max="1" width="10.6328125" customWidth="1"/>
    <col min="3" max="3" width="13.81640625" customWidth="1"/>
    <col min="4" max="4" width="11.90625" customWidth="1"/>
    <col min="5" max="5" width="11.81640625" customWidth="1"/>
    <col min="6" max="6" width="12.1796875" customWidth="1"/>
  </cols>
  <sheetData>
    <row r="1" spans="1:6" ht="18.5">
      <c r="A1" s="1" t="s">
        <v>745</v>
      </c>
      <c r="B1" s="1"/>
      <c r="C1" s="1"/>
      <c r="D1" s="1"/>
      <c r="E1" s="1"/>
      <c r="F1" s="1"/>
    </row>
    <row r="2" spans="1:6" ht="18.5">
      <c r="A2" s="1" t="s">
        <v>746</v>
      </c>
      <c r="C2" s="1"/>
      <c r="D2" s="1"/>
      <c r="E2" s="1"/>
      <c r="F2" s="1"/>
    </row>
    <row r="3" spans="1:6" ht="18.5">
      <c r="A3" s="1" t="s">
        <v>747</v>
      </c>
      <c r="B3" s="1"/>
      <c r="C3" s="1"/>
      <c r="D3" s="1"/>
      <c r="E3" s="1"/>
      <c r="F3" s="1"/>
    </row>
    <row r="4" spans="1:6" ht="18.5">
      <c r="A4" s="1" t="s">
        <v>742</v>
      </c>
      <c r="B4" s="1" t="s">
        <v>678</v>
      </c>
      <c r="C4" s="1"/>
      <c r="D4" s="1"/>
      <c r="E4" s="1"/>
      <c r="F4" s="1"/>
    </row>
    <row r="5" spans="1:6" ht="18.5">
      <c r="A5" s="1" t="s">
        <v>748</v>
      </c>
      <c r="B5" s="1"/>
      <c r="C5" s="1"/>
      <c r="D5" s="1"/>
      <c r="E5" s="1"/>
      <c r="F5" s="1"/>
    </row>
    <row r="6" spans="1:6" ht="18.5">
      <c r="A6" s="1" t="s">
        <v>743</v>
      </c>
      <c r="B6" s="1"/>
      <c r="C6" s="1"/>
      <c r="D6" s="1" t="s">
        <v>744</v>
      </c>
      <c r="E6" s="1"/>
      <c r="F6" s="1"/>
    </row>
    <row r="7" spans="1:6" ht="15.5">
      <c r="A7" s="43" t="s">
        <v>3</v>
      </c>
      <c r="B7" s="43" t="s">
        <v>4</v>
      </c>
      <c r="C7" s="43" t="s">
        <v>5</v>
      </c>
      <c r="D7" s="43" t="s">
        <v>6</v>
      </c>
      <c r="E7" s="43" t="s">
        <v>7</v>
      </c>
      <c r="F7" s="43" t="s">
        <v>8</v>
      </c>
    </row>
    <row r="8" spans="1:6">
      <c r="A8" s="9">
        <v>45417</v>
      </c>
      <c r="B8" s="7">
        <v>289</v>
      </c>
      <c r="C8" s="7" t="s">
        <v>750</v>
      </c>
      <c r="D8" s="7">
        <v>5000</v>
      </c>
      <c r="E8" s="7">
        <v>5000</v>
      </c>
      <c r="F8" s="7">
        <v>545000</v>
      </c>
    </row>
    <row r="9" spans="1:6">
      <c r="A9" s="9">
        <v>45540</v>
      </c>
      <c r="B9" s="7">
        <v>8369</v>
      </c>
      <c r="C9" s="7" t="s">
        <v>733</v>
      </c>
      <c r="D9" s="7">
        <v>495000</v>
      </c>
      <c r="E9" s="7">
        <f>E8+D9</f>
        <v>500000</v>
      </c>
      <c r="F9" s="7">
        <f>F8-D9</f>
        <v>50000</v>
      </c>
    </row>
    <row r="10" spans="1:6">
      <c r="A10" s="7" t="s">
        <v>749</v>
      </c>
      <c r="B10" s="7">
        <v>9238</v>
      </c>
      <c r="C10" s="7" t="s">
        <v>751</v>
      </c>
      <c r="D10" s="10">
        <v>50000</v>
      </c>
      <c r="E10" s="10">
        <f>E9+D10</f>
        <v>550000</v>
      </c>
      <c r="F10" s="10" t="s">
        <v>339</v>
      </c>
    </row>
    <row r="12" spans="1:6" ht="18.5">
      <c r="A12" s="52" t="s">
        <v>313</v>
      </c>
      <c r="B12" s="52"/>
      <c r="C12" s="52"/>
    </row>
    <row r="13" spans="1:6" ht="15.5">
      <c r="A13" s="43" t="s">
        <v>3</v>
      </c>
      <c r="B13" s="43" t="s">
        <v>4</v>
      </c>
      <c r="C13" s="43" t="s">
        <v>5</v>
      </c>
      <c r="D13" s="43" t="s">
        <v>6</v>
      </c>
      <c r="E13" s="43" t="s">
        <v>7</v>
      </c>
      <c r="F13" s="43" t="s">
        <v>8</v>
      </c>
    </row>
    <row r="14" spans="1:6">
      <c r="A14" s="76">
        <v>45540</v>
      </c>
      <c r="B14" s="77"/>
      <c r="C14" s="77"/>
      <c r="D14" s="77"/>
      <c r="E14" s="77"/>
      <c r="F14" s="77"/>
    </row>
    <row r="15" spans="1:6">
      <c r="A15" s="2" t="s">
        <v>752</v>
      </c>
      <c r="B15" s="2">
        <v>3010</v>
      </c>
      <c r="C15" s="2" t="s">
        <v>524</v>
      </c>
      <c r="D15" s="2">
        <v>10000</v>
      </c>
      <c r="E15" s="4">
        <v>10000</v>
      </c>
      <c r="F15" s="4">
        <v>440000</v>
      </c>
    </row>
    <row r="16" spans="1:6">
      <c r="A16" s="2" t="s">
        <v>753</v>
      </c>
      <c r="B16" s="2">
        <v>3188</v>
      </c>
      <c r="C16" s="2" t="s">
        <v>524</v>
      </c>
      <c r="D16" s="4">
        <v>10000</v>
      </c>
      <c r="E16" s="4">
        <f t="shared" ref="E16:E25" si="0">E15+D16</f>
        <v>20000</v>
      </c>
      <c r="F16" s="4">
        <f t="shared" ref="F16:F25" si="1">F15-D16</f>
        <v>430000</v>
      </c>
    </row>
    <row r="17" spans="1:7">
      <c r="A17" s="2" t="s">
        <v>754</v>
      </c>
      <c r="B17" s="2">
        <v>3448</v>
      </c>
      <c r="C17" s="2" t="s">
        <v>524</v>
      </c>
      <c r="D17" s="4">
        <v>20000</v>
      </c>
      <c r="E17" s="4">
        <f t="shared" si="0"/>
        <v>40000</v>
      </c>
      <c r="F17" s="4">
        <f t="shared" si="1"/>
        <v>410000</v>
      </c>
    </row>
    <row r="18" spans="1:7">
      <c r="A18" s="2" t="s">
        <v>755</v>
      </c>
      <c r="B18" s="2">
        <v>3203</v>
      </c>
      <c r="C18" s="2" t="s">
        <v>524</v>
      </c>
      <c r="D18" s="4">
        <v>20000</v>
      </c>
      <c r="E18" s="4">
        <f t="shared" si="0"/>
        <v>60000</v>
      </c>
      <c r="F18" s="4">
        <f t="shared" si="1"/>
        <v>390000</v>
      </c>
    </row>
    <row r="19" spans="1:7">
      <c r="A19" s="2" t="s">
        <v>756</v>
      </c>
      <c r="B19" s="2">
        <v>3811</v>
      </c>
      <c r="C19" s="2" t="s">
        <v>524</v>
      </c>
      <c r="D19" s="4">
        <v>20000</v>
      </c>
      <c r="E19" s="4">
        <f t="shared" si="0"/>
        <v>80000</v>
      </c>
      <c r="F19" s="4">
        <f t="shared" si="1"/>
        <v>370000</v>
      </c>
    </row>
    <row r="20" spans="1:7">
      <c r="A20" s="6">
        <v>46113</v>
      </c>
      <c r="B20" s="2">
        <v>5215</v>
      </c>
      <c r="C20" s="2" t="s">
        <v>524</v>
      </c>
      <c r="D20" s="4">
        <v>20000</v>
      </c>
      <c r="E20" s="4">
        <f t="shared" si="0"/>
        <v>100000</v>
      </c>
      <c r="F20" s="4">
        <f t="shared" si="1"/>
        <v>350000</v>
      </c>
    </row>
    <row r="21" spans="1:7">
      <c r="A21" s="6">
        <v>46236</v>
      </c>
      <c r="B21" s="2">
        <v>5458</v>
      </c>
      <c r="C21" s="2" t="s">
        <v>524</v>
      </c>
      <c r="D21" s="4">
        <v>10000</v>
      </c>
      <c r="E21" s="4">
        <f t="shared" si="0"/>
        <v>110000</v>
      </c>
      <c r="F21" s="4">
        <f t="shared" si="1"/>
        <v>340000</v>
      </c>
    </row>
    <row r="22" spans="1:7">
      <c r="A22" s="2" t="s">
        <v>757</v>
      </c>
      <c r="B22" s="2">
        <v>5729</v>
      </c>
      <c r="C22" s="2" t="s">
        <v>524</v>
      </c>
      <c r="D22" s="4">
        <v>20000</v>
      </c>
      <c r="E22" s="4">
        <f t="shared" si="0"/>
        <v>130000</v>
      </c>
      <c r="F22" s="4">
        <f t="shared" si="1"/>
        <v>320000</v>
      </c>
    </row>
    <row r="23" spans="1:7">
      <c r="A23" s="2" t="s">
        <v>716</v>
      </c>
      <c r="B23" s="2">
        <v>1543</v>
      </c>
      <c r="C23" s="2" t="s">
        <v>524</v>
      </c>
      <c r="D23" s="4">
        <v>20000</v>
      </c>
      <c r="E23" s="4">
        <f t="shared" si="0"/>
        <v>150000</v>
      </c>
      <c r="F23" s="4">
        <f t="shared" si="1"/>
        <v>300000</v>
      </c>
    </row>
    <row r="24" spans="1:7">
      <c r="A24" s="6">
        <v>46180</v>
      </c>
      <c r="B24" s="2">
        <v>1762</v>
      </c>
      <c r="C24" s="2" t="s">
        <v>524</v>
      </c>
      <c r="D24" s="4">
        <v>15000</v>
      </c>
      <c r="E24" s="4">
        <f t="shared" si="0"/>
        <v>165000</v>
      </c>
      <c r="F24" s="4">
        <f t="shared" si="1"/>
        <v>285000</v>
      </c>
    </row>
    <row r="25" spans="1:7">
      <c r="A25" s="2" t="s">
        <v>758</v>
      </c>
      <c r="B25" s="2">
        <v>1966</v>
      </c>
      <c r="C25" s="2" t="s">
        <v>524</v>
      </c>
      <c r="D25" s="2">
        <v>15000</v>
      </c>
      <c r="E25" s="4">
        <f t="shared" si="0"/>
        <v>180000</v>
      </c>
      <c r="F25" s="4">
        <f t="shared" si="1"/>
        <v>270000</v>
      </c>
    </row>
    <row r="26" spans="1:7">
      <c r="A26" s="78" t="s">
        <v>803</v>
      </c>
      <c r="B26" s="78">
        <v>2057</v>
      </c>
      <c r="C26" s="78" t="s">
        <v>524</v>
      </c>
      <c r="D26" s="79">
        <v>10000</v>
      </c>
      <c r="E26" s="79">
        <v>190000</v>
      </c>
      <c r="F26" s="79">
        <v>260000</v>
      </c>
      <c r="G26" s="7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34"/>
  <sheetViews>
    <sheetView topLeftCell="A17" workbookViewId="0">
      <selection activeCell="F35" sqref="F35"/>
    </sheetView>
  </sheetViews>
  <sheetFormatPr defaultRowHeight="14.5"/>
  <cols>
    <col min="1" max="1" width="10.453125" bestFit="1" customWidth="1"/>
    <col min="3" max="3" width="12.453125" customWidth="1"/>
    <col min="6" max="6" width="11.36328125" bestFit="1" customWidth="1"/>
  </cols>
  <sheetData>
    <row r="1" spans="1:6" ht="18.5">
      <c r="A1" s="1" t="s">
        <v>50</v>
      </c>
      <c r="B1" s="1"/>
      <c r="C1" s="1"/>
      <c r="D1" s="1"/>
      <c r="E1" s="1"/>
      <c r="F1" s="1"/>
    </row>
    <row r="2" spans="1:6" ht="18.5">
      <c r="A2" s="1" t="s">
        <v>51</v>
      </c>
      <c r="C2" s="1"/>
      <c r="D2" s="1"/>
      <c r="E2" s="1"/>
      <c r="F2" s="1"/>
    </row>
    <row r="3" spans="1:6" ht="18.5">
      <c r="A3" s="1" t="s">
        <v>52</v>
      </c>
      <c r="B3" s="1"/>
      <c r="C3" s="1"/>
      <c r="D3" s="1"/>
      <c r="E3" s="1"/>
      <c r="F3" s="1"/>
    </row>
    <row r="4" spans="1:6" ht="18.5">
      <c r="A4" s="1" t="s">
        <v>329</v>
      </c>
      <c r="B4" s="1" t="s">
        <v>692</v>
      </c>
      <c r="C4" s="1"/>
      <c r="D4" s="1"/>
      <c r="E4" s="1"/>
      <c r="F4" s="1"/>
    </row>
    <row r="5" spans="1:6" ht="18.5">
      <c r="A5" s="1" t="s">
        <v>53</v>
      </c>
      <c r="B5" s="1"/>
      <c r="C5" s="1"/>
      <c r="D5" s="1"/>
      <c r="E5" s="1"/>
      <c r="F5" s="1"/>
    </row>
    <row r="6" spans="1:6" ht="18.5">
      <c r="A6" s="1" t="s">
        <v>54</v>
      </c>
      <c r="B6" s="1"/>
      <c r="C6" s="1"/>
      <c r="D6" s="1"/>
      <c r="E6" s="1" t="s">
        <v>55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45450</v>
      </c>
      <c r="B8" s="7">
        <v>9411</v>
      </c>
      <c r="C8" s="7" t="s">
        <v>10</v>
      </c>
      <c r="D8" s="10">
        <v>95000</v>
      </c>
      <c r="E8" s="10">
        <v>95000</v>
      </c>
      <c r="F8" s="10">
        <v>705000</v>
      </c>
    </row>
    <row r="9" spans="1:6">
      <c r="A9" s="9">
        <v>45358</v>
      </c>
      <c r="B9" s="7">
        <v>9362</v>
      </c>
      <c r="C9" s="7" t="s">
        <v>56</v>
      </c>
      <c r="D9" s="7">
        <v>5000</v>
      </c>
      <c r="E9" s="10">
        <f t="shared" ref="E9:E30" si="0">SUM(E8+D9)</f>
        <v>100000</v>
      </c>
      <c r="F9" s="10">
        <f t="shared" ref="F9:F30" si="1">F8-D9</f>
        <v>700000</v>
      </c>
    </row>
    <row r="10" spans="1:6">
      <c r="A10" s="9">
        <v>45604</v>
      </c>
      <c r="B10" s="7">
        <v>11069</v>
      </c>
      <c r="C10" s="7" t="s">
        <v>57</v>
      </c>
      <c r="D10" s="10">
        <v>10000</v>
      </c>
      <c r="E10" s="10">
        <f t="shared" si="0"/>
        <v>110000</v>
      </c>
      <c r="F10" s="10">
        <f t="shared" si="1"/>
        <v>690000</v>
      </c>
    </row>
    <row r="11" spans="1:6">
      <c r="A11" s="9">
        <v>45513</v>
      </c>
      <c r="B11" s="7">
        <v>10597</v>
      </c>
      <c r="C11" s="7" t="s">
        <v>57</v>
      </c>
      <c r="D11" s="10">
        <v>10000</v>
      </c>
      <c r="E11" s="10">
        <f t="shared" si="0"/>
        <v>120000</v>
      </c>
      <c r="F11" s="10">
        <f t="shared" si="1"/>
        <v>680000</v>
      </c>
    </row>
    <row r="12" spans="1:6">
      <c r="A12" s="7" t="s">
        <v>58</v>
      </c>
      <c r="B12" s="7">
        <v>11635</v>
      </c>
      <c r="C12" s="7" t="s">
        <v>57</v>
      </c>
      <c r="D12" s="10">
        <v>10000</v>
      </c>
      <c r="E12" s="10">
        <f t="shared" si="0"/>
        <v>130000</v>
      </c>
      <c r="F12" s="10">
        <f t="shared" si="1"/>
        <v>670000</v>
      </c>
    </row>
    <row r="13" spans="1:6">
      <c r="A13" s="9">
        <v>45576</v>
      </c>
      <c r="B13" s="7">
        <v>11980</v>
      </c>
      <c r="C13" s="7" t="s">
        <v>57</v>
      </c>
      <c r="D13" s="10">
        <v>10000</v>
      </c>
      <c r="E13" s="10">
        <f t="shared" si="0"/>
        <v>140000</v>
      </c>
      <c r="F13" s="10">
        <f t="shared" si="1"/>
        <v>660000</v>
      </c>
    </row>
    <row r="14" spans="1:6">
      <c r="A14" s="9">
        <v>45577</v>
      </c>
      <c r="B14" s="7">
        <v>12329</v>
      </c>
      <c r="C14" s="7" t="s">
        <v>57</v>
      </c>
      <c r="D14" s="10">
        <v>10000</v>
      </c>
      <c r="E14" s="10">
        <f t="shared" si="0"/>
        <v>150000</v>
      </c>
      <c r="F14" s="10">
        <f t="shared" si="1"/>
        <v>650000</v>
      </c>
    </row>
    <row r="15" spans="1:6">
      <c r="A15" s="9">
        <v>45870</v>
      </c>
      <c r="B15" s="7">
        <v>9305</v>
      </c>
      <c r="C15" s="7" t="s">
        <v>57</v>
      </c>
      <c r="D15" s="10">
        <v>10000</v>
      </c>
      <c r="E15" s="10">
        <f t="shared" si="0"/>
        <v>160000</v>
      </c>
      <c r="F15" s="10">
        <f t="shared" si="1"/>
        <v>640000</v>
      </c>
    </row>
    <row r="16" spans="1:6">
      <c r="A16" s="9">
        <v>45902</v>
      </c>
      <c r="B16" s="7">
        <v>9304</v>
      </c>
      <c r="C16" s="7" t="s">
        <v>57</v>
      </c>
      <c r="D16" s="10">
        <v>10000</v>
      </c>
      <c r="E16" s="10">
        <f t="shared" si="0"/>
        <v>170000</v>
      </c>
      <c r="F16" s="10">
        <f t="shared" si="1"/>
        <v>630000</v>
      </c>
    </row>
    <row r="17" spans="1:6">
      <c r="A17" s="7" t="s">
        <v>59</v>
      </c>
      <c r="B17" s="7">
        <v>10935</v>
      </c>
      <c r="C17" s="7" t="s">
        <v>57</v>
      </c>
      <c r="D17" s="10">
        <v>10000</v>
      </c>
      <c r="E17" s="10">
        <f t="shared" si="0"/>
        <v>180000</v>
      </c>
      <c r="F17" s="10">
        <f t="shared" si="1"/>
        <v>620000</v>
      </c>
    </row>
    <row r="18" spans="1:6">
      <c r="A18" s="9">
        <v>45934</v>
      </c>
      <c r="B18" s="7">
        <v>10936</v>
      </c>
      <c r="C18" s="7" t="s">
        <v>57</v>
      </c>
      <c r="D18" s="10">
        <v>10000</v>
      </c>
      <c r="E18" s="10">
        <f t="shared" si="0"/>
        <v>190000</v>
      </c>
      <c r="F18" s="10">
        <f t="shared" si="1"/>
        <v>610000</v>
      </c>
    </row>
    <row r="19" spans="1:6">
      <c r="A19" s="9">
        <v>45966</v>
      </c>
      <c r="B19" s="7">
        <v>10937</v>
      </c>
      <c r="C19" s="7" t="s">
        <v>12</v>
      </c>
      <c r="D19" s="10">
        <v>10000</v>
      </c>
      <c r="E19" s="10">
        <f t="shared" si="0"/>
        <v>200000</v>
      </c>
      <c r="F19" s="10">
        <f t="shared" si="1"/>
        <v>600000</v>
      </c>
    </row>
    <row r="20" spans="1:6">
      <c r="A20" s="9">
        <v>45814</v>
      </c>
      <c r="B20" s="7">
        <v>13885</v>
      </c>
      <c r="C20" s="7" t="s">
        <v>57</v>
      </c>
      <c r="D20" s="10">
        <v>10000</v>
      </c>
      <c r="E20" s="10">
        <f t="shared" si="0"/>
        <v>210000</v>
      </c>
      <c r="F20" s="10">
        <f t="shared" si="1"/>
        <v>590000</v>
      </c>
    </row>
    <row r="21" spans="1:6">
      <c r="A21" s="9">
        <v>45968</v>
      </c>
      <c r="B21" s="7">
        <v>12141</v>
      </c>
      <c r="C21" s="7" t="s">
        <v>57</v>
      </c>
      <c r="D21" s="10">
        <v>10000</v>
      </c>
      <c r="E21" s="10">
        <f t="shared" si="0"/>
        <v>220000</v>
      </c>
      <c r="F21" s="10">
        <f t="shared" si="1"/>
        <v>580000</v>
      </c>
    </row>
    <row r="22" spans="1:6">
      <c r="A22" s="9">
        <v>45999</v>
      </c>
      <c r="B22" s="7">
        <v>12907</v>
      </c>
      <c r="C22" s="7" t="s">
        <v>57</v>
      </c>
      <c r="D22" s="10">
        <v>10000</v>
      </c>
      <c r="E22" s="10">
        <f t="shared" si="0"/>
        <v>230000</v>
      </c>
      <c r="F22" s="10">
        <f t="shared" si="1"/>
        <v>570000</v>
      </c>
    </row>
    <row r="23" spans="1:6">
      <c r="A23" s="9">
        <v>45909</v>
      </c>
      <c r="B23" s="7">
        <v>13887</v>
      </c>
      <c r="C23" s="7" t="s">
        <v>57</v>
      </c>
      <c r="D23" s="10">
        <v>10000</v>
      </c>
      <c r="E23" s="10">
        <f t="shared" si="0"/>
        <v>240000</v>
      </c>
      <c r="F23" s="10">
        <f t="shared" si="1"/>
        <v>560000</v>
      </c>
    </row>
    <row r="24" spans="1:6">
      <c r="A24" s="9">
        <v>45787</v>
      </c>
      <c r="B24" s="7">
        <v>13888</v>
      </c>
      <c r="C24" s="7" t="s">
        <v>57</v>
      </c>
      <c r="D24" s="10">
        <v>10000</v>
      </c>
      <c r="E24" s="10">
        <f t="shared" si="0"/>
        <v>250000</v>
      </c>
      <c r="F24" s="10">
        <f t="shared" si="1"/>
        <v>550000</v>
      </c>
    </row>
    <row r="25" spans="1:6">
      <c r="A25" s="9">
        <v>45849</v>
      </c>
      <c r="B25" s="7">
        <v>13410</v>
      </c>
      <c r="C25" s="7" t="s">
        <v>57</v>
      </c>
      <c r="D25" s="10">
        <v>10000</v>
      </c>
      <c r="E25" s="10">
        <f t="shared" si="0"/>
        <v>260000</v>
      </c>
      <c r="F25" s="10">
        <f t="shared" si="1"/>
        <v>540000</v>
      </c>
    </row>
    <row r="26" spans="1:6">
      <c r="A26" s="9">
        <v>45820</v>
      </c>
      <c r="B26" s="7">
        <v>13283</v>
      </c>
      <c r="C26" s="7" t="s">
        <v>57</v>
      </c>
      <c r="D26" s="10">
        <v>10000</v>
      </c>
      <c r="E26" s="10">
        <f t="shared" si="0"/>
        <v>270000</v>
      </c>
      <c r="F26" s="10">
        <f t="shared" si="1"/>
        <v>530000</v>
      </c>
    </row>
    <row r="27" spans="1:6">
      <c r="A27" s="9">
        <v>46174</v>
      </c>
      <c r="B27" s="7">
        <v>12009</v>
      </c>
      <c r="C27" s="7" t="s">
        <v>57</v>
      </c>
      <c r="D27" s="10">
        <v>10000</v>
      </c>
      <c r="E27" s="10">
        <f t="shared" si="0"/>
        <v>280000</v>
      </c>
      <c r="F27" s="10">
        <f t="shared" si="1"/>
        <v>520000</v>
      </c>
    </row>
    <row r="28" spans="1:6">
      <c r="A28" s="9">
        <v>46144</v>
      </c>
      <c r="B28" s="7">
        <v>12343</v>
      </c>
      <c r="C28" s="7" t="s">
        <v>57</v>
      </c>
      <c r="D28" s="10">
        <v>10000</v>
      </c>
      <c r="E28" s="10">
        <f t="shared" si="0"/>
        <v>290000</v>
      </c>
      <c r="F28" s="10">
        <f t="shared" si="1"/>
        <v>510000</v>
      </c>
    </row>
    <row r="29" spans="1:6">
      <c r="A29" s="16">
        <v>46056</v>
      </c>
      <c r="B29" s="18">
        <v>12722</v>
      </c>
      <c r="C29" s="7" t="s">
        <v>57</v>
      </c>
      <c r="D29" s="10">
        <v>10000</v>
      </c>
      <c r="E29" s="10">
        <f t="shared" si="0"/>
        <v>300000</v>
      </c>
      <c r="F29" s="10">
        <f t="shared" si="1"/>
        <v>500000</v>
      </c>
    </row>
    <row r="30" spans="1:6">
      <c r="A30" s="16">
        <v>46146</v>
      </c>
      <c r="B30" s="18">
        <v>13132</v>
      </c>
      <c r="C30" s="7" t="s">
        <v>57</v>
      </c>
      <c r="D30" s="10">
        <v>10000</v>
      </c>
      <c r="E30" s="10">
        <f t="shared" si="0"/>
        <v>310000</v>
      </c>
      <c r="F30" s="10">
        <f t="shared" si="1"/>
        <v>490000</v>
      </c>
    </row>
    <row r="31" spans="1:6">
      <c r="A31" t="s">
        <v>693</v>
      </c>
      <c r="B31" s="18">
        <v>12949</v>
      </c>
      <c r="C31" s="18" t="s">
        <v>57</v>
      </c>
      <c r="D31" s="10">
        <v>10000</v>
      </c>
      <c r="E31" s="36">
        <f>E30+D31</f>
        <v>320000</v>
      </c>
      <c r="F31" s="36">
        <f>F30-D31</f>
        <v>480000</v>
      </c>
    </row>
    <row r="32" spans="1:6">
      <c r="A32" t="s">
        <v>615</v>
      </c>
      <c r="B32" s="18">
        <v>13535</v>
      </c>
      <c r="C32" s="18" t="s">
        <v>57</v>
      </c>
      <c r="D32" s="10">
        <v>10000</v>
      </c>
      <c r="E32" s="36">
        <f>E31+D32</f>
        <v>330000</v>
      </c>
      <c r="F32" s="36">
        <f>F31-D32</f>
        <v>470000</v>
      </c>
    </row>
    <row r="33" spans="1:6">
      <c r="A33" t="s">
        <v>694</v>
      </c>
      <c r="B33" s="18">
        <v>1401</v>
      </c>
      <c r="C33" s="18" t="s">
        <v>57</v>
      </c>
      <c r="D33" s="10">
        <v>10000</v>
      </c>
      <c r="E33" s="36">
        <f>E32+D34</f>
        <v>340000</v>
      </c>
      <c r="F33" s="36">
        <f>F32-D34</f>
        <v>460000</v>
      </c>
    </row>
    <row r="34" spans="1:6">
      <c r="A34" s="16">
        <v>46273</v>
      </c>
      <c r="B34" s="18">
        <v>1705</v>
      </c>
      <c r="C34" s="18" t="s">
        <v>57</v>
      </c>
      <c r="D34" s="10">
        <v>10000</v>
      </c>
      <c r="E34" s="36">
        <f>E33+D34</f>
        <v>350000</v>
      </c>
      <c r="F34" s="36">
        <f>F33-D34</f>
        <v>450000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13"/>
  <sheetViews>
    <sheetView workbookViewId="0">
      <selection activeCell="D13" sqref="D13"/>
    </sheetView>
  </sheetViews>
  <sheetFormatPr defaultRowHeight="14.5"/>
  <cols>
    <col min="1" max="1" width="9.453125" bestFit="1" customWidth="1"/>
    <col min="3" max="3" width="10.26953125" bestFit="1" customWidth="1"/>
    <col min="4" max="4" width="15.81640625" bestFit="1" customWidth="1"/>
    <col min="6" max="6" width="11.36328125" bestFit="1" customWidth="1"/>
  </cols>
  <sheetData>
    <row r="1" spans="1:6" ht="18.5">
      <c r="A1" s="1" t="s">
        <v>149</v>
      </c>
      <c r="B1" s="1"/>
      <c r="C1" s="1"/>
      <c r="D1" s="1"/>
      <c r="E1" s="1"/>
      <c r="F1" s="1"/>
    </row>
    <row r="2" spans="1:6" ht="18.5">
      <c r="A2" s="1" t="s">
        <v>150</v>
      </c>
      <c r="C2" s="1"/>
      <c r="D2" s="1"/>
      <c r="E2" s="1"/>
      <c r="F2" s="1"/>
    </row>
    <row r="3" spans="1:6" ht="18.5">
      <c r="A3" s="1" t="s">
        <v>153</v>
      </c>
      <c r="B3" s="1"/>
      <c r="C3" s="1"/>
      <c r="D3" s="1"/>
      <c r="E3" s="1"/>
      <c r="F3" s="1"/>
    </row>
    <row r="4" spans="1:6" ht="18.5">
      <c r="A4" s="1" t="s">
        <v>151</v>
      </c>
      <c r="B4" s="1"/>
      <c r="C4" s="1"/>
      <c r="D4" s="1"/>
      <c r="E4" s="1"/>
      <c r="F4" s="1"/>
    </row>
    <row r="5" spans="1:6" ht="18.5">
      <c r="A5" s="1" t="s">
        <v>152</v>
      </c>
      <c r="B5" s="1"/>
      <c r="C5" s="1"/>
      <c r="D5" s="1" t="s">
        <v>131</v>
      </c>
      <c r="E5" s="1"/>
      <c r="F5" s="1"/>
    </row>
    <row r="6" spans="1:6">
      <c r="A6" s="8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</row>
    <row r="7" spans="1:6">
      <c r="A7" s="9">
        <v>44813</v>
      </c>
      <c r="B7" s="7">
        <v>1101</v>
      </c>
      <c r="C7" s="7" t="s">
        <v>12</v>
      </c>
      <c r="D7" s="10">
        <v>125000</v>
      </c>
      <c r="E7" s="10">
        <v>12500</v>
      </c>
      <c r="F7" s="10">
        <v>87500</v>
      </c>
    </row>
    <row r="8" spans="1:6">
      <c r="A8" s="7" t="s">
        <v>154</v>
      </c>
      <c r="B8" s="7">
        <v>1719</v>
      </c>
      <c r="C8" s="7" t="s">
        <v>12</v>
      </c>
      <c r="D8" s="10">
        <v>20000</v>
      </c>
      <c r="E8" s="10">
        <f>SUM(E7+D8)</f>
        <v>32500</v>
      </c>
      <c r="F8" s="10">
        <f>F7-D8</f>
        <v>67500</v>
      </c>
    </row>
    <row r="9" spans="1:6">
      <c r="A9" s="9">
        <v>45232</v>
      </c>
      <c r="B9" s="7">
        <v>483</v>
      </c>
      <c r="C9" s="7" t="s">
        <v>156</v>
      </c>
      <c r="D9" s="10">
        <v>12500</v>
      </c>
      <c r="E9" s="10">
        <f t="shared" ref="E9:E11" si="0">SUM(E8+D9)</f>
        <v>45000</v>
      </c>
      <c r="F9" s="10">
        <f t="shared" ref="F9:F11" si="1">F8-D9</f>
        <v>55000</v>
      </c>
    </row>
    <row r="10" spans="1:6">
      <c r="A10" s="9">
        <v>45078</v>
      </c>
      <c r="B10" s="7">
        <v>489</v>
      </c>
      <c r="C10" s="7" t="s">
        <v>156</v>
      </c>
      <c r="D10" s="10">
        <v>25000</v>
      </c>
      <c r="E10" s="10">
        <f t="shared" si="0"/>
        <v>70000</v>
      </c>
      <c r="F10" s="10">
        <f t="shared" si="1"/>
        <v>30000</v>
      </c>
    </row>
    <row r="11" spans="1:6">
      <c r="A11" s="7" t="s">
        <v>155</v>
      </c>
      <c r="B11" s="7">
        <v>490</v>
      </c>
      <c r="C11" s="7" t="s">
        <v>157</v>
      </c>
      <c r="D11" s="10">
        <v>30000</v>
      </c>
      <c r="E11" s="10">
        <f t="shared" si="0"/>
        <v>100000</v>
      </c>
      <c r="F11" s="10">
        <f t="shared" si="1"/>
        <v>0</v>
      </c>
    </row>
    <row r="13" spans="1:6">
      <c r="C13" t="s">
        <v>158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10"/>
  <sheetViews>
    <sheetView workbookViewId="0">
      <selection activeCell="I11" sqref="I11"/>
    </sheetView>
  </sheetViews>
  <sheetFormatPr defaultRowHeight="14.5"/>
  <cols>
    <col min="6" max="6" width="11.36328125" bestFit="1" customWidth="1"/>
  </cols>
  <sheetData>
    <row r="1" spans="1:6" ht="18">
      <c r="A1" s="15" t="s">
        <v>135</v>
      </c>
      <c r="B1" s="15"/>
      <c r="C1" s="15"/>
      <c r="D1" s="15"/>
      <c r="E1" s="15"/>
      <c r="F1" s="15"/>
    </row>
    <row r="2" spans="1:6" ht="18">
      <c r="A2" s="15" t="s">
        <v>136</v>
      </c>
      <c r="B2" s="15"/>
      <c r="C2" s="15"/>
      <c r="D2" s="15"/>
      <c r="E2" s="15"/>
      <c r="F2" s="15"/>
    </row>
    <row r="3" spans="1:6" ht="18">
      <c r="A3" s="15" t="s">
        <v>137</v>
      </c>
      <c r="B3" s="15"/>
      <c r="C3" s="15"/>
      <c r="D3" s="15"/>
      <c r="E3" s="15"/>
      <c r="F3" s="15"/>
    </row>
    <row r="4" spans="1:6" ht="18">
      <c r="A4" s="15" t="s">
        <v>1</v>
      </c>
      <c r="B4" s="15"/>
      <c r="C4" s="15"/>
      <c r="D4" s="15"/>
      <c r="E4" s="15"/>
      <c r="F4" s="15"/>
    </row>
    <row r="5" spans="1:6" ht="18">
      <c r="A5" s="15" t="s">
        <v>138</v>
      </c>
      <c r="B5" s="15"/>
      <c r="C5" s="15"/>
      <c r="D5" s="15" t="s">
        <v>139</v>
      </c>
      <c r="E5" s="15"/>
      <c r="F5" s="15"/>
    </row>
    <row r="6" spans="1:6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</row>
    <row r="7" spans="1:6">
      <c r="A7" s="13">
        <v>45483</v>
      </c>
      <c r="B7" s="12">
        <v>11472</v>
      </c>
      <c r="C7" s="12" t="s">
        <v>140</v>
      </c>
      <c r="D7" s="14">
        <v>150000</v>
      </c>
      <c r="E7" s="14">
        <v>150000</v>
      </c>
      <c r="F7" s="14">
        <v>550000</v>
      </c>
    </row>
    <row r="8" spans="1:6">
      <c r="A8" s="12" t="s">
        <v>141</v>
      </c>
      <c r="B8" s="12">
        <v>9855</v>
      </c>
      <c r="C8" s="12" t="s">
        <v>142</v>
      </c>
      <c r="D8" s="12">
        <v>25000</v>
      </c>
      <c r="E8" s="14">
        <v>175000</v>
      </c>
      <c r="F8" s="14">
        <v>525000</v>
      </c>
    </row>
    <row r="9" spans="1:6">
      <c r="A9" s="12" t="s">
        <v>49</v>
      </c>
      <c r="B9" s="12">
        <v>13859</v>
      </c>
      <c r="C9" s="12" t="s">
        <v>142</v>
      </c>
      <c r="D9" s="14">
        <v>40000</v>
      </c>
      <c r="E9" s="14">
        <v>215000</v>
      </c>
      <c r="F9" s="14">
        <v>485000</v>
      </c>
    </row>
    <row r="10" spans="1:6">
      <c r="A10" s="13">
        <v>46083</v>
      </c>
      <c r="B10" s="12">
        <v>12313</v>
      </c>
      <c r="C10" s="12" t="s">
        <v>142</v>
      </c>
      <c r="D10" s="14">
        <v>20000</v>
      </c>
      <c r="E10" s="14">
        <v>235000</v>
      </c>
      <c r="F10" s="14">
        <v>465000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47"/>
  <sheetViews>
    <sheetView topLeftCell="A33" workbookViewId="0">
      <selection activeCell="F48" sqref="F48"/>
    </sheetView>
  </sheetViews>
  <sheetFormatPr defaultRowHeight="14.5"/>
  <cols>
    <col min="1" max="1" width="9.453125" bestFit="1" customWidth="1"/>
    <col min="3" max="3" width="11.08984375" customWidth="1"/>
    <col min="4" max="4" width="9.6328125" customWidth="1"/>
    <col min="5" max="5" width="10.36328125" customWidth="1"/>
    <col min="6" max="6" width="11.36328125" bestFit="1" customWidth="1"/>
  </cols>
  <sheetData>
    <row r="1" spans="1:6" ht="18.5">
      <c r="A1" s="1" t="s">
        <v>559</v>
      </c>
      <c r="B1" s="1"/>
      <c r="C1" s="1"/>
      <c r="D1" s="1"/>
      <c r="E1" s="1"/>
      <c r="F1" s="1"/>
    </row>
    <row r="2" spans="1:6" ht="18.5">
      <c r="A2" s="1" t="s">
        <v>23</v>
      </c>
      <c r="C2" s="1"/>
      <c r="D2" s="1"/>
      <c r="E2" s="1"/>
      <c r="F2" s="1"/>
    </row>
    <row r="3" spans="1:6" ht="18.5">
      <c r="A3" s="1" t="s">
        <v>24</v>
      </c>
      <c r="B3" s="1"/>
      <c r="C3" s="1"/>
      <c r="D3" s="1"/>
      <c r="E3" s="1"/>
      <c r="F3" s="1"/>
    </row>
    <row r="4" spans="1:6" ht="18.5">
      <c r="A4" s="1" t="s">
        <v>401</v>
      </c>
      <c r="B4" s="1"/>
      <c r="C4" s="1"/>
      <c r="D4" s="1"/>
      <c r="E4" s="1"/>
      <c r="F4" s="1"/>
    </row>
    <row r="5" spans="1:6" ht="18.5">
      <c r="A5" s="1" t="s">
        <v>25</v>
      </c>
      <c r="B5" s="1"/>
      <c r="C5" s="1"/>
      <c r="D5" s="1"/>
      <c r="E5" s="1"/>
      <c r="F5" s="1"/>
    </row>
    <row r="6" spans="1:6" ht="18.5">
      <c r="A6" s="1" t="s">
        <v>26</v>
      </c>
      <c r="B6" s="1"/>
      <c r="C6" s="1"/>
      <c r="D6" s="1" t="s">
        <v>27</v>
      </c>
      <c r="E6" s="1"/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45048</v>
      </c>
      <c r="B8" s="7">
        <v>2408</v>
      </c>
      <c r="C8" s="7" t="s">
        <v>10</v>
      </c>
      <c r="D8" s="10">
        <v>120000</v>
      </c>
      <c r="E8" s="10">
        <v>120000</v>
      </c>
      <c r="F8" s="10">
        <v>510000</v>
      </c>
    </row>
    <row r="9" spans="1:6">
      <c r="A9" s="9">
        <v>45202</v>
      </c>
      <c r="B9" s="7">
        <v>2110</v>
      </c>
      <c r="C9" s="7" t="s">
        <v>12</v>
      </c>
      <c r="D9" s="7">
        <v>10000</v>
      </c>
      <c r="E9" s="10">
        <f t="shared" ref="E9:E43" si="0">SUM(E8+D9)</f>
        <v>130000</v>
      </c>
      <c r="F9" s="10">
        <f t="shared" ref="F9:F43" si="1">F8-D9</f>
        <v>500000</v>
      </c>
    </row>
    <row r="10" spans="1:6">
      <c r="A10" s="9">
        <v>45203</v>
      </c>
      <c r="B10" s="7">
        <v>1912</v>
      </c>
      <c r="C10" s="7" t="s">
        <v>12</v>
      </c>
      <c r="D10" s="7">
        <v>10000</v>
      </c>
      <c r="E10" s="10">
        <f t="shared" si="0"/>
        <v>140000</v>
      </c>
      <c r="F10" s="10">
        <f t="shared" si="1"/>
        <v>490000</v>
      </c>
    </row>
    <row r="11" spans="1:6">
      <c r="A11" s="9">
        <v>45235</v>
      </c>
      <c r="B11" s="7">
        <v>1505</v>
      </c>
      <c r="C11" s="7" t="s">
        <v>12</v>
      </c>
      <c r="D11" s="7">
        <v>10000</v>
      </c>
      <c r="E11" s="10">
        <f t="shared" si="0"/>
        <v>150000</v>
      </c>
      <c r="F11" s="10">
        <f t="shared" si="1"/>
        <v>480000</v>
      </c>
    </row>
    <row r="12" spans="1:6">
      <c r="A12" s="9">
        <v>45266</v>
      </c>
      <c r="B12" s="7">
        <v>497</v>
      </c>
      <c r="C12" s="7" t="s">
        <v>12</v>
      </c>
      <c r="D12" s="7">
        <v>10000</v>
      </c>
      <c r="E12" s="10">
        <f t="shared" si="0"/>
        <v>160000</v>
      </c>
      <c r="F12" s="10">
        <f t="shared" si="1"/>
        <v>470000</v>
      </c>
    </row>
    <row r="13" spans="1:6">
      <c r="A13" s="7" t="s">
        <v>28</v>
      </c>
      <c r="B13" s="7">
        <v>3150</v>
      </c>
      <c r="C13" s="7" t="s">
        <v>12</v>
      </c>
      <c r="D13" s="7">
        <v>10000</v>
      </c>
      <c r="E13" s="10">
        <f t="shared" si="0"/>
        <v>170000</v>
      </c>
      <c r="F13" s="10">
        <f t="shared" si="1"/>
        <v>460000</v>
      </c>
    </row>
    <row r="14" spans="1:6">
      <c r="A14" s="7" t="s">
        <v>29</v>
      </c>
      <c r="B14" s="7">
        <v>3621</v>
      </c>
      <c r="C14" s="7" t="s">
        <v>12</v>
      </c>
      <c r="D14" s="10">
        <v>16000</v>
      </c>
      <c r="E14" s="10">
        <f t="shared" si="0"/>
        <v>186000</v>
      </c>
      <c r="F14" s="10">
        <f t="shared" si="1"/>
        <v>444000</v>
      </c>
    </row>
    <row r="15" spans="1:6">
      <c r="A15" s="7" t="s">
        <v>30</v>
      </c>
      <c r="B15" s="7">
        <v>4373</v>
      </c>
      <c r="C15" s="7" t="s">
        <v>12</v>
      </c>
      <c r="D15" s="10">
        <v>10000</v>
      </c>
      <c r="E15" s="10">
        <f t="shared" si="0"/>
        <v>196000</v>
      </c>
      <c r="F15" s="10">
        <f t="shared" si="1"/>
        <v>434000</v>
      </c>
    </row>
    <row r="16" spans="1:6">
      <c r="A16" s="7" t="s">
        <v>31</v>
      </c>
      <c r="B16" s="7">
        <v>5121</v>
      </c>
      <c r="C16" s="7" t="s">
        <v>12</v>
      </c>
      <c r="D16" s="7">
        <v>8000</v>
      </c>
      <c r="E16" s="10">
        <f t="shared" si="0"/>
        <v>204000</v>
      </c>
      <c r="F16" s="10">
        <f t="shared" si="1"/>
        <v>426000</v>
      </c>
    </row>
    <row r="17" spans="1:6">
      <c r="A17" s="7" t="s">
        <v>32</v>
      </c>
      <c r="B17" s="7">
        <v>5703</v>
      </c>
      <c r="C17" s="7" t="s">
        <v>12</v>
      </c>
      <c r="D17" s="7">
        <v>16000</v>
      </c>
      <c r="E17" s="10">
        <f t="shared" si="0"/>
        <v>220000</v>
      </c>
      <c r="F17" s="10">
        <f t="shared" si="1"/>
        <v>410000</v>
      </c>
    </row>
    <row r="18" spans="1:6">
      <c r="A18" s="7" t="s">
        <v>33</v>
      </c>
      <c r="B18" s="7">
        <v>6148</v>
      </c>
      <c r="C18" s="7" t="s">
        <v>12</v>
      </c>
      <c r="D18" s="10">
        <v>10000</v>
      </c>
      <c r="E18" s="10">
        <f t="shared" si="0"/>
        <v>230000</v>
      </c>
      <c r="F18" s="10">
        <f t="shared" si="1"/>
        <v>400000</v>
      </c>
    </row>
    <row r="19" spans="1:6">
      <c r="A19" s="9">
        <v>45413</v>
      </c>
      <c r="B19" s="7">
        <v>6533</v>
      </c>
      <c r="C19" s="7" t="s">
        <v>12</v>
      </c>
      <c r="D19" s="10">
        <v>7000</v>
      </c>
      <c r="E19" s="10">
        <f t="shared" si="0"/>
        <v>237000</v>
      </c>
      <c r="F19" s="10">
        <f t="shared" si="1"/>
        <v>393000</v>
      </c>
    </row>
    <row r="20" spans="1:6">
      <c r="A20" s="7" t="s">
        <v>34</v>
      </c>
      <c r="B20" s="7">
        <v>7400</v>
      </c>
      <c r="C20" s="7" t="s">
        <v>12</v>
      </c>
      <c r="D20" s="10">
        <v>10000</v>
      </c>
      <c r="E20" s="10">
        <f t="shared" si="0"/>
        <v>247000</v>
      </c>
      <c r="F20" s="10">
        <f t="shared" si="1"/>
        <v>383000</v>
      </c>
    </row>
    <row r="21" spans="1:6">
      <c r="A21" s="9">
        <v>45447</v>
      </c>
      <c r="B21" s="7">
        <v>7717</v>
      </c>
      <c r="C21" s="7" t="s">
        <v>12</v>
      </c>
      <c r="D21" s="10">
        <v>10000</v>
      </c>
      <c r="E21" s="10">
        <f t="shared" si="0"/>
        <v>257000</v>
      </c>
      <c r="F21" s="10">
        <f t="shared" si="1"/>
        <v>373000</v>
      </c>
    </row>
    <row r="22" spans="1:6">
      <c r="A22" s="7" t="s">
        <v>35</v>
      </c>
      <c r="B22" s="7">
        <v>8638</v>
      </c>
      <c r="C22" s="7" t="s">
        <v>12</v>
      </c>
      <c r="D22" s="10">
        <v>10000</v>
      </c>
      <c r="E22" s="10">
        <f t="shared" si="0"/>
        <v>267000</v>
      </c>
      <c r="F22" s="10">
        <f t="shared" si="1"/>
        <v>363000</v>
      </c>
    </row>
    <row r="23" spans="1:6">
      <c r="A23" s="9" t="s">
        <v>36</v>
      </c>
      <c r="B23" s="7">
        <v>8792</v>
      </c>
      <c r="C23" s="7" t="s">
        <v>12</v>
      </c>
      <c r="D23" s="10">
        <v>10000</v>
      </c>
      <c r="E23" s="10">
        <f t="shared" si="0"/>
        <v>277000</v>
      </c>
      <c r="F23" s="10">
        <f t="shared" si="1"/>
        <v>353000</v>
      </c>
    </row>
    <row r="24" spans="1:6">
      <c r="A24" s="9">
        <v>45572</v>
      </c>
      <c r="B24" s="7">
        <v>9476</v>
      </c>
      <c r="C24" s="7" t="s">
        <v>12</v>
      </c>
      <c r="D24" s="10">
        <v>10000</v>
      </c>
      <c r="E24" s="10">
        <f t="shared" si="0"/>
        <v>287000</v>
      </c>
      <c r="F24" s="10">
        <f t="shared" si="1"/>
        <v>343000</v>
      </c>
    </row>
    <row r="25" spans="1:6">
      <c r="A25" s="9" t="s">
        <v>37</v>
      </c>
      <c r="B25" s="7">
        <v>10003</v>
      </c>
      <c r="C25" s="7" t="s">
        <v>12</v>
      </c>
      <c r="D25" s="10">
        <v>10000</v>
      </c>
      <c r="E25" s="10">
        <f t="shared" si="0"/>
        <v>297000</v>
      </c>
      <c r="F25" s="10">
        <f t="shared" si="1"/>
        <v>333000</v>
      </c>
    </row>
    <row r="26" spans="1:6">
      <c r="A26" s="9" t="s">
        <v>38</v>
      </c>
      <c r="B26" s="7">
        <v>10741</v>
      </c>
      <c r="C26" s="7" t="s">
        <v>12</v>
      </c>
      <c r="D26" s="10">
        <v>10000</v>
      </c>
      <c r="E26" s="10">
        <f t="shared" si="0"/>
        <v>307000</v>
      </c>
      <c r="F26" s="10">
        <f t="shared" si="1"/>
        <v>323000</v>
      </c>
    </row>
    <row r="27" spans="1:6">
      <c r="A27" s="9">
        <v>45392</v>
      </c>
      <c r="B27" s="7">
        <v>331</v>
      </c>
      <c r="C27" s="7" t="s">
        <v>12</v>
      </c>
      <c r="D27" s="10">
        <v>10000</v>
      </c>
      <c r="E27" s="10">
        <f t="shared" si="0"/>
        <v>317000</v>
      </c>
      <c r="F27" s="10">
        <f t="shared" si="1"/>
        <v>313000</v>
      </c>
    </row>
    <row r="28" spans="1:6">
      <c r="A28" s="9" t="s">
        <v>39</v>
      </c>
      <c r="B28" s="7">
        <v>12127</v>
      </c>
      <c r="C28" s="7" t="s">
        <v>12</v>
      </c>
      <c r="D28" s="10">
        <v>10000</v>
      </c>
      <c r="E28" s="10">
        <f t="shared" si="0"/>
        <v>327000</v>
      </c>
      <c r="F28" s="10">
        <f t="shared" si="1"/>
        <v>303000</v>
      </c>
    </row>
    <row r="29" spans="1:6">
      <c r="A29" s="9" t="s">
        <v>40</v>
      </c>
      <c r="B29" s="7">
        <v>12756</v>
      </c>
      <c r="C29" s="7" t="s">
        <v>12</v>
      </c>
      <c r="D29" s="10">
        <v>10000</v>
      </c>
      <c r="E29" s="10">
        <f t="shared" si="0"/>
        <v>337000</v>
      </c>
      <c r="F29" s="10">
        <f t="shared" si="1"/>
        <v>293000</v>
      </c>
    </row>
    <row r="30" spans="1:6">
      <c r="A30" s="9" t="s">
        <v>41</v>
      </c>
      <c r="B30" s="7">
        <v>9083</v>
      </c>
      <c r="C30" s="7" t="s">
        <v>12</v>
      </c>
      <c r="D30" s="10">
        <v>10000</v>
      </c>
      <c r="E30" s="10">
        <f t="shared" si="0"/>
        <v>347000</v>
      </c>
      <c r="F30" s="10">
        <f t="shared" si="1"/>
        <v>283000</v>
      </c>
    </row>
    <row r="31" spans="1:6">
      <c r="A31" s="9" t="s">
        <v>42</v>
      </c>
      <c r="B31" s="7">
        <v>9390</v>
      </c>
      <c r="C31" s="7" t="s">
        <v>12</v>
      </c>
      <c r="D31" s="10">
        <v>10000</v>
      </c>
      <c r="E31" s="10">
        <f t="shared" si="0"/>
        <v>357000</v>
      </c>
      <c r="F31" s="10">
        <f t="shared" si="1"/>
        <v>273000</v>
      </c>
    </row>
    <row r="32" spans="1:6">
      <c r="A32" s="9" t="s">
        <v>43</v>
      </c>
      <c r="B32" s="7">
        <v>9139</v>
      </c>
      <c r="C32" s="7" t="s">
        <v>12</v>
      </c>
      <c r="D32" s="10">
        <v>10000</v>
      </c>
      <c r="E32" s="10">
        <f t="shared" si="0"/>
        <v>367000</v>
      </c>
      <c r="F32" s="10">
        <f t="shared" si="1"/>
        <v>263000</v>
      </c>
    </row>
    <row r="33" spans="1:6">
      <c r="A33" s="9" t="s">
        <v>44</v>
      </c>
      <c r="B33" s="7">
        <v>10195</v>
      </c>
      <c r="C33" s="7" t="s">
        <v>12</v>
      </c>
      <c r="D33" s="10">
        <v>9000</v>
      </c>
      <c r="E33" s="10">
        <f t="shared" si="0"/>
        <v>376000</v>
      </c>
      <c r="F33" s="10">
        <f t="shared" si="1"/>
        <v>254000</v>
      </c>
    </row>
    <row r="34" spans="1:6">
      <c r="A34" s="9" t="s">
        <v>45</v>
      </c>
      <c r="B34" s="7">
        <v>10660</v>
      </c>
      <c r="C34" s="7" t="s">
        <v>12</v>
      </c>
      <c r="D34" s="10">
        <v>10000</v>
      </c>
      <c r="E34" s="10">
        <f t="shared" si="0"/>
        <v>386000</v>
      </c>
      <c r="F34" s="10">
        <f t="shared" si="1"/>
        <v>244000</v>
      </c>
    </row>
    <row r="35" spans="1:6">
      <c r="A35" s="9" t="s">
        <v>46</v>
      </c>
      <c r="B35" s="7">
        <v>11802</v>
      </c>
      <c r="C35" s="7" t="s">
        <v>12</v>
      </c>
      <c r="D35" s="10">
        <v>10000</v>
      </c>
      <c r="E35" s="10">
        <f t="shared" si="0"/>
        <v>396000</v>
      </c>
      <c r="F35" s="10">
        <f t="shared" si="1"/>
        <v>234000</v>
      </c>
    </row>
    <row r="36" spans="1:6">
      <c r="A36" s="9">
        <v>45907</v>
      </c>
      <c r="B36" s="7">
        <v>12845</v>
      </c>
      <c r="C36" s="7" t="s">
        <v>12</v>
      </c>
      <c r="D36" s="10">
        <v>10000</v>
      </c>
      <c r="E36" s="10">
        <f t="shared" si="0"/>
        <v>406000</v>
      </c>
      <c r="F36" s="10">
        <f t="shared" si="1"/>
        <v>224000</v>
      </c>
    </row>
    <row r="37" spans="1:6">
      <c r="A37" s="9" t="s">
        <v>47</v>
      </c>
      <c r="B37" s="7">
        <v>13928</v>
      </c>
      <c r="C37" s="7" t="s">
        <v>12</v>
      </c>
      <c r="D37" s="10">
        <v>10000</v>
      </c>
      <c r="E37" s="10">
        <f t="shared" si="0"/>
        <v>416000</v>
      </c>
      <c r="F37" s="10">
        <f t="shared" si="1"/>
        <v>214000</v>
      </c>
    </row>
    <row r="38" spans="1:6">
      <c r="A38" s="9" t="s">
        <v>48</v>
      </c>
      <c r="B38" s="7">
        <v>13661</v>
      </c>
      <c r="C38" s="7" t="s">
        <v>12</v>
      </c>
      <c r="D38" s="10">
        <v>10000</v>
      </c>
      <c r="E38" s="10">
        <f t="shared" si="0"/>
        <v>426000</v>
      </c>
      <c r="F38" s="10">
        <f t="shared" si="1"/>
        <v>204000</v>
      </c>
    </row>
    <row r="39" spans="1:6">
      <c r="A39" s="9">
        <v>45972</v>
      </c>
      <c r="B39" s="7">
        <v>13336</v>
      </c>
      <c r="C39" s="7" t="s">
        <v>12</v>
      </c>
      <c r="D39" s="10">
        <v>10000</v>
      </c>
      <c r="E39" s="10">
        <f t="shared" si="0"/>
        <v>436000</v>
      </c>
      <c r="F39" s="10">
        <f t="shared" si="1"/>
        <v>194000</v>
      </c>
    </row>
    <row r="40" spans="1:6">
      <c r="A40" s="9" t="s">
        <v>49</v>
      </c>
      <c r="B40" s="7">
        <v>13856</v>
      </c>
      <c r="C40" s="7" t="s">
        <v>12</v>
      </c>
      <c r="D40" s="10">
        <v>10000</v>
      </c>
      <c r="E40" s="10">
        <f t="shared" si="0"/>
        <v>446000</v>
      </c>
      <c r="F40" s="10">
        <f t="shared" si="1"/>
        <v>184000</v>
      </c>
    </row>
    <row r="41" spans="1:6">
      <c r="A41" s="9">
        <v>46114</v>
      </c>
      <c r="B41" s="7">
        <v>12333</v>
      </c>
      <c r="C41" s="7" t="s">
        <v>12</v>
      </c>
      <c r="D41" s="10">
        <v>20000</v>
      </c>
      <c r="E41" s="10">
        <f t="shared" si="0"/>
        <v>466000</v>
      </c>
      <c r="F41" s="10">
        <f t="shared" si="1"/>
        <v>164000</v>
      </c>
    </row>
    <row r="42" spans="1:6">
      <c r="A42" s="9" t="s">
        <v>402</v>
      </c>
      <c r="B42" s="7">
        <v>12858</v>
      </c>
      <c r="C42" s="7" t="s">
        <v>12</v>
      </c>
      <c r="D42" s="14">
        <v>10000</v>
      </c>
      <c r="E42" s="10">
        <f t="shared" si="0"/>
        <v>476000</v>
      </c>
      <c r="F42" s="10">
        <f t="shared" si="1"/>
        <v>154000</v>
      </c>
    </row>
    <row r="43" spans="1:6">
      <c r="A43" s="9" t="s">
        <v>403</v>
      </c>
      <c r="B43" s="7">
        <v>13008</v>
      </c>
      <c r="C43" s="7" t="s">
        <v>12</v>
      </c>
      <c r="D43" s="14">
        <v>10000</v>
      </c>
      <c r="E43" s="10">
        <f t="shared" si="0"/>
        <v>486000</v>
      </c>
      <c r="F43" s="10">
        <f t="shared" si="1"/>
        <v>144000</v>
      </c>
    </row>
    <row r="44" spans="1:6">
      <c r="A44" s="9" t="s">
        <v>560</v>
      </c>
      <c r="B44" s="7">
        <v>13435</v>
      </c>
      <c r="C44" s="7" t="s">
        <v>12</v>
      </c>
      <c r="D44" s="14">
        <v>10000</v>
      </c>
      <c r="E44" s="14">
        <f>E43+D44</f>
        <v>496000</v>
      </c>
      <c r="F44" s="14">
        <f>F43-D44</f>
        <v>134000</v>
      </c>
    </row>
    <row r="45" spans="1:6">
      <c r="A45" s="9" t="s">
        <v>615</v>
      </c>
      <c r="B45" s="7">
        <v>13536</v>
      </c>
      <c r="C45" s="7" t="s">
        <v>12</v>
      </c>
      <c r="D45" s="14">
        <v>10000</v>
      </c>
      <c r="E45" s="14">
        <f>E44+D45</f>
        <v>506000</v>
      </c>
      <c r="F45" s="14">
        <f>F44-D45</f>
        <v>124000</v>
      </c>
    </row>
    <row r="46" spans="1:6">
      <c r="A46" s="12" t="s">
        <v>735</v>
      </c>
      <c r="B46" s="12">
        <v>1502</v>
      </c>
      <c r="C46" s="7" t="s">
        <v>12</v>
      </c>
      <c r="D46" s="14">
        <v>10000</v>
      </c>
      <c r="E46" s="14">
        <f>E45+D46</f>
        <v>516000</v>
      </c>
      <c r="F46" s="14">
        <f>F45-D46</f>
        <v>114000</v>
      </c>
    </row>
    <row r="47" spans="1:6">
      <c r="A47" s="9" t="s">
        <v>734</v>
      </c>
      <c r="B47" s="7">
        <v>1801</v>
      </c>
      <c r="C47" s="7" t="s">
        <v>12</v>
      </c>
      <c r="D47" s="14">
        <v>10000</v>
      </c>
      <c r="E47" s="14">
        <f>E46+D47</f>
        <v>526000</v>
      </c>
      <c r="F47" s="14">
        <f>F46-D47</f>
        <v>104000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1" sqref="E11"/>
    </sheetView>
  </sheetViews>
  <sheetFormatPr defaultRowHeight="14.5"/>
  <sheetData>
    <row r="1" spans="1:6">
      <c r="A1" t="s">
        <v>531</v>
      </c>
      <c r="B1" t="s">
        <v>627</v>
      </c>
    </row>
    <row r="2" spans="1:6">
      <c r="A2" t="s">
        <v>626</v>
      </c>
      <c r="B2" t="s">
        <v>628</v>
      </c>
    </row>
    <row r="3" spans="1:6">
      <c r="A3" t="s">
        <v>538</v>
      </c>
      <c r="B3" t="s">
        <v>629</v>
      </c>
    </row>
    <row r="4" spans="1:6">
      <c r="A4" t="s">
        <v>562</v>
      </c>
      <c r="B4" t="s">
        <v>630</v>
      </c>
    </row>
    <row r="5" spans="1:6">
      <c r="A5" t="s">
        <v>617</v>
      </c>
      <c r="B5" t="s">
        <v>631</v>
      </c>
    </row>
    <row r="6" spans="1:6">
      <c r="A6" t="s">
        <v>540</v>
      </c>
      <c r="B6">
        <v>5699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632</v>
      </c>
      <c r="B9">
        <v>8293</v>
      </c>
      <c r="C9" t="s">
        <v>633</v>
      </c>
      <c r="D9" s="17">
        <v>500000</v>
      </c>
      <c r="E9" s="17">
        <v>500000</v>
      </c>
      <c r="F9" t="s">
        <v>528</v>
      </c>
    </row>
    <row r="11" spans="1:6">
      <c r="A11" t="s">
        <v>634</v>
      </c>
      <c r="B11">
        <v>5505</v>
      </c>
      <c r="C11" t="s">
        <v>635</v>
      </c>
      <c r="D11" s="17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47"/>
  <sheetViews>
    <sheetView topLeftCell="A25" workbookViewId="0">
      <selection activeCell="F47" sqref="F47"/>
    </sheetView>
  </sheetViews>
  <sheetFormatPr defaultRowHeight="14.5"/>
  <cols>
    <col min="1" max="1" width="9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>
      <c r="A1" s="1" t="s">
        <v>90</v>
      </c>
      <c r="B1" s="1"/>
      <c r="C1" s="1"/>
      <c r="D1" s="1"/>
      <c r="E1" s="1"/>
      <c r="F1" s="1"/>
    </row>
    <row r="2" spans="1:6" ht="18.5">
      <c r="A2" s="1" t="s">
        <v>91</v>
      </c>
      <c r="C2" s="1"/>
      <c r="D2" s="1"/>
      <c r="E2" s="1"/>
      <c r="F2" s="1"/>
    </row>
    <row r="3" spans="1:6" ht="18.5">
      <c r="A3" s="1" t="s">
        <v>92</v>
      </c>
      <c r="B3" s="1"/>
      <c r="C3" s="1"/>
      <c r="D3" s="1"/>
      <c r="E3" s="1"/>
      <c r="F3" s="1"/>
    </row>
    <row r="4" spans="1:6" ht="18.5">
      <c r="A4" s="1" t="s">
        <v>292</v>
      </c>
      <c r="B4" s="1" t="s">
        <v>690</v>
      </c>
      <c r="C4" s="1"/>
      <c r="D4" s="1"/>
      <c r="E4" s="1"/>
      <c r="F4" s="1"/>
    </row>
    <row r="5" spans="1:6" ht="18.5">
      <c r="A5" s="1" t="s">
        <v>25</v>
      </c>
      <c r="B5" s="1"/>
      <c r="C5" s="1"/>
      <c r="D5" s="1"/>
      <c r="E5" s="1"/>
      <c r="F5" s="1"/>
    </row>
    <row r="6" spans="1:6" ht="18.5">
      <c r="A6" s="1" t="s">
        <v>93</v>
      </c>
      <c r="B6" s="1"/>
      <c r="C6" s="1"/>
      <c r="D6" s="1"/>
      <c r="E6" s="1" t="s">
        <v>65</v>
      </c>
      <c r="F6" s="1"/>
    </row>
    <row r="7" spans="1:6">
      <c r="A7" s="11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</row>
    <row r="8" spans="1:6">
      <c r="A8" s="13">
        <v>45236</v>
      </c>
      <c r="B8" s="12">
        <v>109</v>
      </c>
      <c r="C8" s="12" t="s">
        <v>103</v>
      </c>
      <c r="D8" s="12">
        <v>5000</v>
      </c>
      <c r="E8" s="12">
        <v>5000</v>
      </c>
      <c r="F8" s="14">
        <v>595000</v>
      </c>
    </row>
    <row r="9" spans="1:6">
      <c r="A9" s="13">
        <v>45266</v>
      </c>
      <c r="B9" s="12">
        <v>484</v>
      </c>
      <c r="C9" s="12" t="s">
        <v>104</v>
      </c>
      <c r="D9" s="14">
        <v>145000</v>
      </c>
      <c r="E9" s="14">
        <f>SUM(E8+D9)</f>
        <v>150000</v>
      </c>
      <c r="F9" s="14">
        <f>F8-D9</f>
        <v>450000</v>
      </c>
    </row>
    <row r="10" spans="1:6">
      <c r="A10" s="12" t="s">
        <v>94</v>
      </c>
      <c r="B10" s="12">
        <v>2872</v>
      </c>
      <c r="C10" s="12" t="s">
        <v>12</v>
      </c>
      <c r="D10" s="14">
        <v>10000</v>
      </c>
      <c r="E10" s="14">
        <f t="shared" ref="E10:E41" si="0">SUM(E9+D10)</f>
        <v>160000</v>
      </c>
      <c r="F10" s="14">
        <f t="shared" ref="F10:F41" si="1">F9-D10</f>
        <v>440000</v>
      </c>
    </row>
    <row r="11" spans="1:6">
      <c r="A11" s="12" t="s">
        <v>102</v>
      </c>
      <c r="B11" s="12">
        <v>3048</v>
      </c>
      <c r="C11" s="12" t="s">
        <v>12</v>
      </c>
      <c r="D11" s="14">
        <v>10000</v>
      </c>
      <c r="E11" s="14">
        <f t="shared" si="0"/>
        <v>170000</v>
      </c>
      <c r="F11" s="14">
        <f t="shared" si="1"/>
        <v>430000</v>
      </c>
    </row>
    <row r="12" spans="1:6">
      <c r="A12" s="12" t="s">
        <v>95</v>
      </c>
      <c r="B12" s="12">
        <v>4</v>
      </c>
      <c r="C12" s="12" t="s">
        <v>12</v>
      </c>
      <c r="D12" s="14">
        <v>10000</v>
      </c>
      <c r="E12" s="14">
        <f t="shared" si="0"/>
        <v>180000</v>
      </c>
      <c r="F12" s="14">
        <f t="shared" si="1"/>
        <v>420000</v>
      </c>
    </row>
    <row r="13" spans="1:6">
      <c r="A13" s="12" t="s">
        <v>96</v>
      </c>
      <c r="B13" s="12">
        <v>4260</v>
      </c>
      <c r="C13" s="12" t="s">
        <v>12</v>
      </c>
      <c r="D13" s="14">
        <v>10000</v>
      </c>
      <c r="E13" s="14">
        <f t="shared" si="0"/>
        <v>190000</v>
      </c>
      <c r="F13" s="14">
        <f t="shared" si="1"/>
        <v>410000</v>
      </c>
    </row>
    <row r="14" spans="1:6">
      <c r="A14" s="12" t="s">
        <v>97</v>
      </c>
      <c r="B14" s="12">
        <v>5021</v>
      </c>
      <c r="C14" s="12" t="s">
        <v>12</v>
      </c>
      <c r="D14" s="14">
        <v>10000</v>
      </c>
      <c r="E14" s="14">
        <f t="shared" si="0"/>
        <v>200000</v>
      </c>
      <c r="F14" s="14">
        <f t="shared" si="1"/>
        <v>400000</v>
      </c>
    </row>
    <row r="15" spans="1:6">
      <c r="A15" s="12" t="s">
        <v>98</v>
      </c>
      <c r="B15" s="12">
        <v>5623</v>
      </c>
      <c r="C15" s="12" t="s">
        <v>12</v>
      </c>
      <c r="D15" s="14">
        <v>10000</v>
      </c>
      <c r="E15" s="14">
        <f t="shared" si="0"/>
        <v>210000</v>
      </c>
      <c r="F15" s="14">
        <f t="shared" si="1"/>
        <v>390000</v>
      </c>
    </row>
    <row r="16" spans="1:6">
      <c r="A16" s="12" t="s">
        <v>99</v>
      </c>
      <c r="B16" s="12">
        <v>6279</v>
      </c>
      <c r="C16" s="12" t="s">
        <v>12</v>
      </c>
      <c r="D16" s="14">
        <v>10000</v>
      </c>
      <c r="E16" s="14">
        <f t="shared" si="0"/>
        <v>220000</v>
      </c>
      <c r="F16" s="14">
        <f t="shared" si="1"/>
        <v>380000</v>
      </c>
    </row>
    <row r="17" spans="1:6">
      <c r="A17" s="13" t="s">
        <v>101</v>
      </c>
      <c r="B17" s="12">
        <v>6647</v>
      </c>
      <c r="C17" s="12" t="s">
        <v>12</v>
      </c>
      <c r="D17" s="14">
        <v>10000</v>
      </c>
      <c r="E17" s="14">
        <f t="shared" si="0"/>
        <v>230000</v>
      </c>
      <c r="F17" s="14">
        <f t="shared" si="1"/>
        <v>370000</v>
      </c>
    </row>
    <row r="18" spans="1:6">
      <c r="A18" s="12" t="s">
        <v>100</v>
      </c>
      <c r="B18" s="12">
        <v>7404</v>
      </c>
      <c r="C18" s="12" t="s">
        <v>12</v>
      </c>
      <c r="D18" s="14">
        <v>10000</v>
      </c>
      <c r="E18" s="14">
        <f t="shared" si="0"/>
        <v>240000</v>
      </c>
      <c r="F18" s="14">
        <f t="shared" si="1"/>
        <v>360000</v>
      </c>
    </row>
    <row r="19" spans="1:6">
      <c r="A19" s="12" t="s">
        <v>105</v>
      </c>
      <c r="B19" s="12">
        <v>7844</v>
      </c>
      <c r="C19" s="12" t="s">
        <v>12</v>
      </c>
      <c r="D19" s="14">
        <v>10000</v>
      </c>
      <c r="E19" s="14">
        <f t="shared" si="0"/>
        <v>250000</v>
      </c>
      <c r="F19" s="14">
        <f t="shared" si="1"/>
        <v>350000</v>
      </c>
    </row>
    <row r="20" spans="1:6">
      <c r="A20" s="12" t="s">
        <v>106</v>
      </c>
      <c r="B20" s="12">
        <v>8591</v>
      </c>
      <c r="C20" s="12" t="s">
        <v>12</v>
      </c>
      <c r="D20" s="14">
        <v>10000</v>
      </c>
      <c r="E20" s="14">
        <f t="shared" si="0"/>
        <v>260000</v>
      </c>
      <c r="F20" s="14">
        <f t="shared" si="1"/>
        <v>340000</v>
      </c>
    </row>
    <row r="21" spans="1:6">
      <c r="A21" s="12" t="s">
        <v>107</v>
      </c>
      <c r="B21" s="12">
        <v>9143</v>
      </c>
      <c r="C21" s="12" t="s">
        <v>12</v>
      </c>
      <c r="D21" s="14">
        <v>10000</v>
      </c>
      <c r="E21" s="14">
        <f t="shared" si="0"/>
        <v>270000</v>
      </c>
      <c r="F21" s="14">
        <f t="shared" si="1"/>
        <v>330000</v>
      </c>
    </row>
    <row r="22" spans="1:6">
      <c r="A22" s="12" t="s">
        <v>108</v>
      </c>
      <c r="B22" s="12">
        <v>9683</v>
      </c>
      <c r="C22" s="12" t="s">
        <v>12</v>
      </c>
      <c r="D22" s="14">
        <v>10000</v>
      </c>
      <c r="E22" s="14">
        <f t="shared" si="0"/>
        <v>280000</v>
      </c>
      <c r="F22" s="14">
        <f t="shared" si="1"/>
        <v>320000</v>
      </c>
    </row>
    <row r="23" spans="1:6">
      <c r="A23" s="12" t="s">
        <v>109</v>
      </c>
      <c r="B23" s="12">
        <v>11236</v>
      </c>
      <c r="C23" s="12" t="s">
        <v>12</v>
      </c>
      <c r="D23" s="14">
        <v>10000</v>
      </c>
      <c r="E23" s="14">
        <f t="shared" si="0"/>
        <v>290000</v>
      </c>
      <c r="F23" s="14">
        <f t="shared" si="1"/>
        <v>310000</v>
      </c>
    </row>
    <row r="24" spans="1:6">
      <c r="A24" s="12" t="s">
        <v>110</v>
      </c>
      <c r="B24" s="12">
        <v>10840</v>
      </c>
      <c r="C24" s="12" t="s">
        <v>12</v>
      </c>
      <c r="D24" s="14">
        <v>10000</v>
      </c>
      <c r="E24" s="14">
        <f t="shared" si="0"/>
        <v>300000</v>
      </c>
      <c r="F24" s="14">
        <f t="shared" si="1"/>
        <v>300000</v>
      </c>
    </row>
    <row r="25" spans="1:6">
      <c r="A25" s="12" t="s">
        <v>111</v>
      </c>
      <c r="B25" s="12">
        <v>10259</v>
      </c>
      <c r="C25" s="12" t="s">
        <v>12</v>
      </c>
      <c r="D25" s="14">
        <v>10000</v>
      </c>
      <c r="E25" s="14">
        <f t="shared" si="0"/>
        <v>310000</v>
      </c>
      <c r="F25" s="14">
        <f t="shared" si="1"/>
        <v>290000</v>
      </c>
    </row>
    <row r="26" spans="1:6">
      <c r="A26" s="12" t="s">
        <v>112</v>
      </c>
      <c r="B26" s="12">
        <v>12419</v>
      </c>
      <c r="C26" s="12" t="s">
        <v>12</v>
      </c>
      <c r="D26" s="14">
        <v>10000</v>
      </c>
      <c r="E26" s="14">
        <f t="shared" si="0"/>
        <v>320000</v>
      </c>
      <c r="F26" s="14">
        <f t="shared" si="1"/>
        <v>280000</v>
      </c>
    </row>
    <row r="27" spans="1:6">
      <c r="A27" s="12" t="s">
        <v>113</v>
      </c>
      <c r="B27" s="12">
        <v>12781</v>
      </c>
      <c r="C27" s="12" t="s">
        <v>12</v>
      </c>
      <c r="D27" s="14">
        <v>10000</v>
      </c>
      <c r="E27" s="14">
        <f t="shared" si="0"/>
        <v>330000</v>
      </c>
      <c r="F27" s="14">
        <f t="shared" si="1"/>
        <v>270000</v>
      </c>
    </row>
    <row r="28" spans="1:6">
      <c r="A28" s="12" t="s">
        <v>114</v>
      </c>
      <c r="B28" s="12">
        <v>9089</v>
      </c>
      <c r="C28" s="12" t="s">
        <v>12</v>
      </c>
      <c r="D28" s="14">
        <v>10000</v>
      </c>
      <c r="E28" s="14">
        <f t="shared" si="0"/>
        <v>340000</v>
      </c>
      <c r="F28" s="14">
        <f t="shared" si="1"/>
        <v>260000</v>
      </c>
    </row>
    <row r="29" spans="1:6">
      <c r="A29" s="12" t="s">
        <v>115</v>
      </c>
      <c r="B29" s="12">
        <v>9848</v>
      </c>
      <c r="C29" s="12" t="s">
        <v>12</v>
      </c>
      <c r="D29" s="14">
        <v>10000</v>
      </c>
      <c r="E29" s="14">
        <f t="shared" si="0"/>
        <v>350000</v>
      </c>
      <c r="F29" s="14">
        <f t="shared" si="1"/>
        <v>250000</v>
      </c>
    </row>
    <row r="30" spans="1:6">
      <c r="A30" s="12" t="s">
        <v>116</v>
      </c>
      <c r="B30" s="12">
        <v>10229</v>
      </c>
      <c r="C30" s="12" t="s">
        <v>12</v>
      </c>
      <c r="D30" s="14">
        <v>10000</v>
      </c>
      <c r="E30" s="14">
        <f t="shared" si="0"/>
        <v>360000</v>
      </c>
      <c r="F30" s="14">
        <f t="shared" si="1"/>
        <v>240000</v>
      </c>
    </row>
    <row r="31" spans="1:6">
      <c r="A31" s="12" t="s">
        <v>117</v>
      </c>
      <c r="B31" s="12">
        <v>10839</v>
      </c>
      <c r="C31" s="12" t="s">
        <v>12</v>
      </c>
      <c r="D31" s="14">
        <v>10000</v>
      </c>
      <c r="E31" s="14">
        <f t="shared" si="0"/>
        <v>370000</v>
      </c>
      <c r="F31" s="14">
        <f t="shared" si="1"/>
        <v>230000</v>
      </c>
    </row>
    <row r="32" spans="1:6">
      <c r="A32" s="12" t="s">
        <v>19</v>
      </c>
      <c r="B32" s="12">
        <v>12024</v>
      </c>
      <c r="C32" s="12" t="s">
        <v>12</v>
      </c>
      <c r="D32" s="14">
        <v>10000</v>
      </c>
      <c r="E32" s="14">
        <f t="shared" si="0"/>
        <v>380000</v>
      </c>
      <c r="F32" s="14">
        <f t="shared" si="1"/>
        <v>220000</v>
      </c>
    </row>
    <row r="33" spans="1:6">
      <c r="A33" s="12" t="s">
        <v>118</v>
      </c>
      <c r="B33" s="12">
        <v>12237</v>
      </c>
      <c r="C33" s="12" t="s">
        <v>12</v>
      </c>
      <c r="D33" s="14">
        <v>5000</v>
      </c>
      <c r="E33" s="14">
        <f t="shared" si="0"/>
        <v>385000</v>
      </c>
      <c r="F33" s="14">
        <f t="shared" si="1"/>
        <v>215000</v>
      </c>
    </row>
    <row r="34" spans="1:6">
      <c r="A34" s="12" t="s">
        <v>119</v>
      </c>
      <c r="B34" s="12">
        <v>12540</v>
      </c>
      <c r="C34" s="12" t="s">
        <v>12</v>
      </c>
      <c r="D34" s="14">
        <v>5000</v>
      </c>
      <c r="E34" s="14">
        <f t="shared" si="0"/>
        <v>390000</v>
      </c>
      <c r="F34" s="14">
        <f t="shared" si="1"/>
        <v>210000</v>
      </c>
    </row>
    <row r="35" spans="1:6">
      <c r="A35" s="12" t="s">
        <v>120</v>
      </c>
      <c r="B35" s="12">
        <v>13939</v>
      </c>
      <c r="C35" s="12" t="s">
        <v>12</v>
      </c>
      <c r="D35" s="14">
        <v>5000</v>
      </c>
      <c r="E35" s="14">
        <f t="shared" si="0"/>
        <v>395000</v>
      </c>
      <c r="F35" s="14">
        <f t="shared" si="1"/>
        <v>205000</v>
      </c>
    </row>
    <row r="36" spans="1:6">
      <c r="A36" s="12" t="s">
        <v>121</v>
      </c>
      <c r="B36" s="12">
        <v>13558</v>
      </c>
      <c r="C36" s="12" t="s">
        <v>12</v>
      </c>
      <c r="D36" s="14">
        <v>5000</v>
      </c>
      <c r="E36" s="14">
        <f t="shared" si="0"/>
        <v>400000</v>
      </c>
      <c r="F36" s="14">
        <f t="shared" si="1"/>
        <v>200000</v>
      </c>
    </row>
    <row r="37" spans="1:6">
      <c r="A37" s="12" t="s">
        <v>122</v>
      </c>
      <c r="B37" s="12">
        <v>13097</v>
      </c>
      <c r="C37" s="12" t="s">
        <v>12</v>
      </c>
      <c r="D37" s="14">
        <v>5000</v>
      </c>
      <c r="E37" s="14">
        <f t="shared" si="0"/>
        <v>405000</v>
      </c>
      <c r="F37" s="14">
        <f t="shared" si="1"/>
        <v>195000</v>
      </c>
    </row>
    <row r="38" spans="1:6">
      <c r="A38" s="12" t="s">
        <v>123</v>
      </c>
      <c r="B38" s="12">
        <v>12694</v>
      </c>
      <c r="C38" s="12" t="s">
        <v>12</v>
      </c>
      <c r="D38" s="14">
        <v>5000</v>
      </c>
      <c r="E38" s="14">
        <f t="shared" si="0"/>
        <v>410000</v>
      </c>
      <c r="F38" s="14">
        <f t="shared" si="1"/>
        <v>190000</v>
      </c>
    </row>
    <row r="39" spans="1:6">
      <c r="A39" s="12" t="s">
        <v>124</v>
      </c>
      <c r="B39" s="12">
        <v>12256</v>
      </c>
      <c r="C39" s="12" t="s">
        <v>12</v>
      </c>
      <c r="D39" s="14">
        <v>5000</v>
      </c>
      <c r="E39" s="14">
        <f t="shared" si="0"/>
        <v>415000</v>
      </c>
      <c r="F39" s="14">
        <f t="shared" si="1"/>
        <v>185000</v>
      </c>
    </row>
    <row r="40" spans="1:6">
      <c r="A40" s="12" t="s">
        <v>125</v>
      </c>
      <c r="B40" s="12">
        <v>12573</v>
      </c>
      <c r="C40" s="12" t="s">
        <v>12</v>
      </c>
      <c r="D40" s="14">
        <v>5000</v>
      </c>
      <c r="E40" s="14">
        <f t="shared" si="0"/>
        <v>420000</v>
      </c>
      <c r="F40" s="14">
        <f t="shared" si="1"/>
        <v>180000</v>
      </c>
    </row>
    <row r="41" spans="1:6">
      <c r="A41" s="20" t="s">
        <v>291</v>
      </c>
      <c r="B41" s="20">
        <v>13950</v>
      </c>
      <c r="C41" s="45" t="s">
        <v>12</v>
      </c>
      <c r="D41" s="46">
        <v>5000</v>
      </c>
      <c r="E41" s="46">
        <f t="shared" si="0"/>
        <v>425000</v>
      </c>
      <c r="F41" s="46">
        <f t="shared" si="1"/>
        <v>175000</v>
      </c>
    </row>
    <row r="42" spans="1:6">
      <c r="A42" s="12" t="s">
        <v>688</v>
      </c>
      <c r="B42" s="12">
        <v>13046</v>
      </c>
      <c r="C42" s="12" t="s">
        <v>12</v>
      </c>
      <c r="D42" s="14">
        <v>5000</v>
      </c>
      <c r="E42" s="14">
        <f>E41+D42</f>
        <v>430000</v>
      </c>
      <c r="F42" s="14">
        <f>F41-D42</f>
        <v>170000</v>
      </c>
    </row>
    <row r="43" spans="1:6">
      <c r="A43" s="12" t="s">
        <v>689</v>
      </c>
      <c r="B43" s="12">
        <v>13457</v>
      </c>
      <c r="C43" s="12" t="s">
        <v>12</v>
      </c>
      <c r="D43" s="14">
        <v>5000</v>
      </c>
      <c r="E43" s="14">
        <f>E42+D43</f>
        <v>435000</v>
      </c>
      <c r="F43" s="14">
        <f>F42-D43</f>
        <v>165000</v>
      </c>
    </row>
    <row r="44" spans="1:6">
      <c r="A44" s="12" t="s">
        <v>685</v>
      </c>
      <c r="B44" s="12">
        <v>1311</v>
      </c>
      <c r="C44" s="12" t="s">
        <v>12</v>
      </c>
      <c r="D44" s="14">
        <v>5000</v>
      </c>
      <c r="E44" s="14">
        <f>E43+D44</f>
        <v>440000</v>
      </c>
      <c r="F44" s="14">
        <f>F43-D44</f>
        <v>160000</v>
      </c>
    </row>
    <row r="45" spans="1:6">
      <c r="A45" s="12" t="s">
        <v>699</v>
      </c>
      <c r="B45" s="12">
        <v>1560</v>
      </c>
      <c r="C45" s="12" t="s">
        <v>12</v>
      </c>
      <c r="D45" s="14">
        <v>5000</v>
      </c>
      <c r="E45" s="14">
        <f>E44+D45</f>
        <v>445000</v>
      </c>
      <c r="F45" s="14">
        <f>F44-D45</f>
        <v>155000</v>
      </c>
    </row>
    <row r="46" spans="1:6">
      <c r="A46" s="12" t="s">
        <v>734</v>
      </c>
      <c r="B46" s="12">
        <v>1795</v>
      </c>
      <c r="C46" s="12" t="s">
        <v>12</v>
      </c>
      <c r="D46" s="14">
        <v>5000</v>
      </c>
      <c r="E46" s="14">
        <f>E45+D46</f>
        <v>450000</v>
      </c>
      <c r="F46" s="14">
        <f>F45-D46</f>
        <v>150000</v>
      </c>
    </row>
    <row r="47" spans="1:6">
      <c r="A47" s="20" t="s">
        <v>801</v>
      </c>
      <c r="B47" s="20">
        <v>2033</v>
      </c>
      <c r="C47" s="20" t="s">
        <v>12</v>
      </c>
      <c r="D47" s="17">
        <v>5000</v>
      </c>
      <c r="E47" s="17">
        <v>455000</v>
      </c>
      <c r="F47" s="17">
        <v>145000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6" workbookViewId="0">
      <selection activeCell="A15" sqref="A15:F15"/>
    </sheetView>
  </sheetViews>
  <sheetFormatPr defaultRowHeight="14.5"/>
  <cols>
    <col min="1" max="1" width="10.81640625" customWidth="1"/>
    <col min="2" max="2" width="7.1796875" customWidth="1"/>
    <col min="3" max="3" width="10.54296875" customWidth="1"/>
    <col min="4" max="4" width="10.6328125" customWidth="1"/>
    <col min="6" max="6" width="11.453125" customWidth="1"/>
  </cols>
  <sheetData>
    <row r="1" spans="1:6" ht="18.5">
      <c r="A1" s="1" t="s">
        <v>467</v>
      </c>
      <c r="B1" s="1"/>
      <c r="C1" s="1"/>
      <c r="D1" s="1"/>
      <c r="E1" s="1"/>
      <c r="F1" s="1"/>
    </row>
    <row r="2" spans="1:6" ht="18.5">
      <c r="A2" s="1" t="s">
        <v>468</v>
      </c>
      <c r="C2" s="1"/>
      <c r="D2" s="1"/>
      <c r="E2" s="1"/>
      <c r="F2" s="1"/>
    </row>
    <row r="3" spans="1:6" ht="18.5">
      <c r="A3" s="1" t="s">
        <v>469</v>
      </c>
      <c r="B3" s="1"/>
      <c r="C3" s="1"/>
      <c r="D3" s="1"/>
      <c r="E3" s="1"/>
      <c r="F3" s="1"/>
    </row>
    <row r="4" spans="1:6" ht="18.5">
      <c r="A4" s="1" t="s">
        <v>470</v>
      </c>
      <c r="B4" s="1"/>
      <c r="C4" s="1"/>
      <c r="D4" s="1"/>
      <c r="E4" s="1"/>
      <c r="F4" s="1"/>
    </row>
    <row r="5" spans="1:6" ht="18.5">
      <c r="A5" s="1" t="s">
        <v>471</v>
      </c>
      <c r="B5" s="1"/>
      <c r="C5" s="1"/>
      <c r="D5" s="1"/>
      <c r="E5" s="1" t="s">
        <v>65</v>
      </c>
      <c r="F5" s="1"/>
    </row>
    <row r="6" spans="1:6" ht="18.5">
      <c r="A6" s="52" t="s">
        <v>472</v>
      </c>
      <c r="B6" s="72"/>
      <c r="C6" s="72"/>
    </row>
    <row r="7" spans="1:6" ht="18.5">
      <c r="A7" s="52" t="s">
        <v>462</v>
      </c>
      <c r="B7" s="72"/>
      <c r="C7" s="72"/>
    </row>
    <row r="8" spans="1:6" ht="18.5">
      <c r="A8" s="1" t="s">
        <v>473</v>
      </c>
      <c r="B8" s="1"/>
      <c r="C8" s="1"/>
      <c r="D8" s="1"/>
      <c r="E8" s="1"/>
      <c r="F8" s="1"/>
    </row>
    <row r="9" spans="1:6" ht="18.5">
      <c r="A9" s="1" t="s">
        <v>474</v>
      </c>
      <c r="C9" s="1"/>
      <c r="D9" s="1"/>
      <c r="E9" s="1"/>
      <c r="F9" s="1"/>
    </row>
    <row r="10" spans="1:6" ht="18.5">
      <c r="A10" s="1" t="s">
        <v>475</v>
      </c>
      <c r="B10" s="1"/>
      <c r="C10" s="1"/>
      <c r="D10" s="1"/>
      <c r="E10" s="1"/>
      <c r="F10" s="1"/>
    </row>
    <row r="11" spans="1:6" ht="18.5">
      <c r="A11" s="1" t="s">
        <v>496</v>
      </c>
      <c r="B11" s="1"/>
      <c r="C11" s="1"/>
      <c r="D11" s="1"/>
      <c r="E11" s="1"/>
      <c r="F11" s="1"/>
    </row>
    <row r="12" spans="1:6" ht="18.5">
      <c r="A12" s="1" t="s">
        <v>476</v>
      </c>
      <c r="B12" s="1"/>
      <c r="C12" s="1"/>
      <c r="D12" s="1"/>
      <c r="E12" s="1"/>
      <c r="F12" s="1"/>
    </row>
    <row r="13" spans="1:6" ht="18.5">
      <c r="A13" s="1" t="s">
        <v>471</v>
      </c>
      <c r="B13" s="1"/>
      <c r="C13" s="1"/>
      <c r="D13" s="1"/>
      <c r="E13" s="1" t="s">
        <v>65</v>
      </c>
      <c r="F13" s="1"/>
    </row>
    <row r="15" spans="1:6">
      <c r="A15" s="73" t="s">
        <v>3</v>
      </c>
      <c r="B15" s="74" t="s">
        <v>4</v>
      </c>
      <c r="C15" s="74" t="s">
        <v>5</v>
      </c>
      <c r="D15" s="74" t="s">
        <v>6</v>
      </c>
      <c r="E15" s="74" t="s">
        <v>7</v>
      </c>
      <c r="F15" s="74" t="s">
        <v>8</v>
      </c>
    </row>
    <row r="16" spans="1:6">
      <c r="A16" s="2" t="s">
        <v>477</v>
      </c>
      <c r="B16" s="2">
        <v>2105</v>
      </c>
      <c r="C16" s="2" t="s">
        <v>482</v>
      </c>
      <c r="D16" s="4">
        <v>60000</v>
      </c>
      <c r="E16" s="4">
        <v>60000</v>
      </c>
      <c r="F16" s="4">
        <v>540000</v>
      </c>
    </row>
    <row r="17" spans="1:6">
      <c r="A17" s="6">
        <v>45172</v>
      </c>
      <c r="B17" s="2">
        <v>2106</v>
      </c>
      <c r="C17" s="2" t="s">
        <v>142</v>
      </c>
      <c r="D17" s="4">
        <v>10000</v>
      </c>
      <c r="E17" s="4">
        <f>SUM(E16+D17)</f>
        <v>70000</v>
      </c>
      <c r="F17" s="4">
        <f>F16-D17</f>
        <v>530000</v>
      </c>
    </row>
    <row r="18" spans="1:6">
      <c r="A18" s="2" t="s">
        <v>478</v>
      </c>
      <c r="B18" s="2">
        <v>1163</v>
      </c>
      <c r="C18" s="2" t="s">
        <v>142</v>
      </c>
      <c r="D18" s="4">
        <v>10000</v>
      </c>
      <c r="E18" s="4">
        <f t="shared" ref="E18:E50" si="0">SUM(E17+D18)</f>
        <v>80000</v>
      </c>
      <c r="F18" s="4">
        <f t="shared" ref="F18:F50" si="1">F17-D18</f>
        <v>520000</v>
      </c>
    </row>
    <row r="19" spans="1:6">
      <c r="A19" s="2" t="s">
        <v>479</v>
      </c>
      <c r="B19" s="2">
        <v>652</v>
      </c>
      <c r="C19" s="2" t="s">
        <v>142</v>
      </c>
      <c r="D19" s="4">
        <v>10000</v>
      </c>
      <c r="E19" s="4">
        <f t="shared" si="0"/>
        <v>90000</v>
      </c>
      <c r="F19" s="4">
        <f t="shared" si="1"/>
        <v>510000</v>
      </c>
    </row>
    <row r="20" spans="1:6">
      <c r="A20" s="6">
        <v>45144</v>
      </c>
      <c r="B20" s="2">
        <v>370</v>
      </c>
      <c r="C20" s="2" t="s">
        <v>142</v>
      </c>
      <c r="D20" s="4">
        <v>10000</v>
      </c>
      <c r="E20" s="4">
        <f t="shared" si="0"/>
        <v>100000</v>
      </c>
      <c r="F20" s="4">
        <f t="shared" si="1"/>
        <v>500000</v>
      </c>
    </row>
    <row r="21" spans="1:6">
      <c r="A21" s="2" t="s">
        <v>480</v>
      </c>
      <c r="B21" s="2">
        <v>2781</v>
      </c>
      <c r="C21" s="2" t="s">
        <v>142</v>
      </c>
      <c r="D21" s="4">
        <v>10000</v>
      </c>
      <c r="E21" s="4">
        <f t="shared" si="0"/>
        <v>110000</v>
      </c>
      <c r="F21" s="4">
        <f t="shared" si="1"/>
        <v>490000</v>
      </c>
    </row>
    <row r="22" spans="1:6">
      <c r="A22" s="6">
        <v>44993</v>
      </c>
      <c r="B22" s="2">
        <v>2210</v>
      </c>
      <c r="C22" s="2" t="s">
        <v>142</v>
      </c>
      <c r="D22" s="4">
        <v>10000</v>
      </c>
      <c r="E22" s="4">
        <f t="shared" si="0"/>
        <v>120000</v>
      </c>
      <c r="F22" s="4">
        <f t="shared" si="1"/>
        <v>480000</v>
      </c>
    </row>
    <row r="23" spans="1:6">
      <c r="A23" s="2" t="s">
        <v>95</v>
      </c>
      <c r="B23" s="2">
        <v>3710</v>
      </c>
      <c r="C23" s="2" t="s">
        <v>142</v>
      </c>
      <c r="D23" s="4">
        <v>10000</v>
      </c>
      <c r="E23" s="4">
        <f t="shared" si="0"/>
        <v>130000</v>
      </c>
      <c r="F23" s="4">
        <f t="shared" si="1"/>
        <v>470000</v>
      </c>
    </row>
    <row r="24" spans="1:6">
      <c r="A24" s="6" t="s">
        <v>30</v>
      </c>
      <c r="B24" s="2">
        <v>4380</v>
      </c>
      <c r="C24" s="2" t="s">
        <v>142</v>
      </c>
      <c r="D24" s="4">
        <v>10000</v>
      </c>
      <c r="E24" s="4">
        <f t="shared" si="0"/>
        <v>140000</v>
      </c>
      <c r="F24" s="4">
        <f t="shared" si="1"/>
        <v>460000</v>
      </c>
    </row>
    <row r="25" spans="1:6">
      <c r="A25" s="2" t="s">
        <v>481</v>
      </c>
      <c r="B25" s="2">
        <v>4985</v>
      </c>
      <c r="C25" s="2" t="s">
        <v>142</v>
      </c>
      <c r="D25" s="4">
        <v>10000</v>
      </c>
      <c r="E25" s="4">
        <f t="shared" si="0"/>
        <v>150000</v>
      </c>
      <c r="F25" s="4">
        <f t="shared" si="1"/>
        <v>450000</v>
      </c>
    </row>
    <row r="26" spans="1:6">
      <c r="A26" s="6">
        <v>45242</v>
      </c>
      <c r="B26" s="2">
        <v>5479</v>
      </c>
      <c r="C26" s="2" t="s">
        <v>142</v>
      </c>
      <c r="D26" s="4">
        <v>10000</v>
      </c>
      <c r="E26" s="4">
        <f t="shared" si="0"/>
        <v>160000</v>
      </c>
      <c r="F26" s="4">
        <f t="shared" si="1"/>
        <v>440000</v>
      </c>
    </row>
    <row r="27" spans="1:6">
      <c r="A27" s="2" t="s">
        <v>181</v>
      </c>
      <c r="B27" s="2">
        <v>6219</v>
      </c>
      <c r="C27" s="2" t="s">
        <v>142</v>
      </c>
      <c r="D27" s="4">
        <v>10000</v>
      </c>
      <c r="E27" s="4">
        <f t="shared" si="0"/>
        <v>170000</v>
      </c>
      <c r="F27" s="4">
        <f t="shared" si="1"/>
        <v>430000</v>
      </c>
    </row>
    <row r="28" spans="1:6">
      <c r="A28" s="6" t="s">
        <v>372</v>
      </c>
      <c r="B28" s="2">
        <v>6710</v>
      </c>
      <c r="C28" s="2" t="s">
        <v>142</v>
      </c>
      <c r="D28" s="4">
        <v>10000</v>
      </c>
      <c r="E28" s="4">
        <f t="shared" si="0"/>
        <v>180000</v>
      </c>
      <c r="F28" s="4">
        <f t="shared" si="1"/>
        <v>420000</v>
      </c>
    </row>
    <row r="29" spans="1:6">
      <c r="A29" s="2" t="s">
        <v>483</v>
      </c>
      <c r="B29" s="2">
        <v>10551</v>
      </c>
      <c r="C29" s="2" t="s">
        <v>142</v>
      </c>
      <c r="D29" s="4">
        <v>10000</v>
      </c>
      <c r="E29" s="4">
        <f t="shared" si="0"/>
        <v>190000</v>
      </c>
      <c r="F29" s="4">
        <f t="shared" si="1"/>
        <v>410000</v>
      </c>
    </row>
    <row r="30" spans="1:6">
      <c r="A30" s="6" t="s">
        <v>484</v>
      </c>
      <c r="B30" s="2">
        <v>10551</v>
      </c>
      <c r="C30" s="2" t="s">
        <v>142</v>
      </c>
      <c r="D30" s="4">
        <v>10000</v>
      </c>
      <c r="E30" s="4">
        <f t="shared" si="0"/>
        <v>200000</v>
      </c>
      <c r="F30" s="4">
        <f t="shared" si="1"/>
        <v>400000</v>
      </c>
    </row>
    <row r="31" spans="1:6">
      <c r="A31" s="2" t="s">
        <v>485</v>
      </c>
      <c r="B31" s="2">
        <v>10551</v>
      </c>
      <c r="C31" s="2" t="s">
        <v>142</v>
      </c>
      <c r="D31" s="4">
        <v>10000</v>
      </c>
      <c r="E31" s="4">
        <f t="shared" si="0"/>
        <v>210000</v>
      </c>
      <c r="F31" s="4">
        <f t="shared" si="1"/>
        <v>390000</v>
      </c>
    </row>
    <row r="32" spans="1:6">
      <c r="A32" s="6" t="s">
        <v>486</v>
      </c>
      <c r="B32" s="2">
        <v>10551</v>
      </c>
      <c r="C32" s="2" t="s">
        <v>142</v>
      </c>
      <c r="D32" s="4">
        <v>10000</v>
      </c>
      <c r="E32" s="4">
        <f t="shared" si="0"/>
        <v>220000</v>
      </c>
      <c r="F32" s="4">
        <f t="shared" si="1"/>
        <v>380000</v>
      </c>
    </row>
    <row r="33" spans="1:6">
      <c r="A33" s="2" t="s">
        <v>487</v>
      </c>
      <c r="B33" s="2">
        <v>10551</v>
      </c>
      <c r="C33" s="2" t="s">
        <v>142</v>
      </c>
      <c r="D33" s="4">
        <v>10000</v>
      </c>
      <c r="E33" s="4">
        <f t="shared" si="0"/>
        <v>230000</v>
      </c>
      <c r="F33" s="4">
        <f t="shared" si="1"/>
        <v>370000</v>
      </c>
    </row>
    <row r="34" spans="1:6">
      <c r="A34" s="6" t="s">
        <v>488</v>
      </c>
      <c r="B34" s="2">
        <v>10551</v>
      </c>
      <c r="C34" s="2" t="s">
        <v>142</v>
      </c>
      <c r="D34" s="4">
        <v>10000</v>
      </c>
      <c r="E34" s="4">
        <f t="shared" si="0"/>
        <v>240000</v>
      </c>
      <c r="F34" s="4">
        <f t="shared" si="1"/>
        <v>360000</v>
      </c>
    </row>
    <row r="35" spans="1:6">
      <c r="A35" s="2" t="s">
        <v>489</v>
      </c>
      <c r="B35" s="2">
        <v>12357</v>
      </c>
      <c r="C35" s="2" t="s">
        <v>142</v>
      </c>
      <c r="D35" s="4">
        <v>10000</v>
      </c>
      <c r="E35" s="4">
        <f t="shared" si="0"/>
        <v>250000</v>
      </c>
      <c r="F35" s="4">
        <f t="shared" si="1"/>
        <v>350000</v>
      </c>
    </row>
    <row r="36" spans="1:6">
      <c r="A36" s="6" t="s">
        <v>490</v>
      </c>
      <c r="B36" s="2">
        <v>12357</v>
      </c>
      <c r="C36" s="2" t="s">
        <v>142</v>
      </c>
      <c r="D36" s="4">
        <v>10000</v>
      </c>
      <c r="E36" s="4">
        <f t="shared" si="0"/>
        <v>260000</v>
      </c>
      <c r="F36" s="4">
        <f t="shared" si="1"/>
        <v>340000</v>
      </c>
    </row>
    <row r="37" spans="1:6">
      <c r="A37" s="2" t="s">
        <v>444</v>
      </c>
      <c r="B37" s="2">
        <v>12357</v>
      </c>
      <c r="C37" s="2" t="s">
        <v>142</v>
      </c>
      <c r="D37" s="4">
        <v>10000</v>
      </c>
      <c r="E37" s="4">
        <f t="shared" si="0"/>
        <v>270000</v>
      </c>
      <c r="F37" s="4">
        <f t="shared" si="1"/>
        <v>330000</v>
      </c>
    </row>
    <row r="38" spans="1:6">
      <c r="A38" s="6" t="s">
        <v>114</v>
      </c>
      <c r="B38" s="2">
        <v>12357</v>
      </c>
      <c r="C38" s="2" t="s">
        <v>142</v>
      </c>
      <c r="D38" s="4">
        <v>10000</v>
      </c>
      <c r="E38" s="4">
        <f t="shared" si="0"/>
        <v>280000</v>
      </c>
      <c r="F38" s="4">
        <f t="shared" si="1"/>
        <v>320000</v>
      </c>
    </row>
    <row r="39" spans="1:6">
      <c r="A39" s="2" t="s">
        <v>491</v>
      </c>
      <c r="B39" s="2">
        <v>12357</v>
      </c>
      <c r="C39" s="2" t="s">
        <v>142</v>
      </c>
      <c r="D39" s="4">
        <v>10000</v>
      </c>
      <c r="E39" s="4">
        <f t="shared" si="0"/>
        <v>290000</v>
      </c>
      <c r="F39" s="4">
        <f t="shared" si="1"/>
        <v>310000</v>
      </c>
    </row>
    <row r="40" spans="1:6">
      <c r="A40" s="6" t="s">
        <v>492</v>
      </c>
      <c r="B40" s="2">
        <v>12357</v>
      </c>
      <c r="C40" s="2" t="s">
        <v>142</v>
      </c>
      <c r="D40" s="4">
        <v>10000</v>
      </c>
      <c r="E40" s="4">
        <f t="shared" si="0"/>
        <v>300000</v>
      </c>
      <c r="F40" s="4">
        <f t="shared" si="1"/>
        <v>300000</v>
      </c>
    </row>
    <row r="41" spans="1:6">
      <c r="A41" s="2" t="s">
        <v>116</v>
      </c>
      <c r="B41" s="2">
        <v>12357</v>
      </c>
      <c r="C41" s="2" t="s">
        <v>142</v>
      </c>
      <c r="D41" s="4">
        <v>10000</v>
      </c>
      <c r="E41" s="4">
        <f t="shared" si="0"/>
        <v>310000</v>
      </c>
      <c r="F41" s="4">
        <f t="shared" si="1"/>
        <v>290000</v>
      </c>
    </row>
    <row r="42" spans="1:6">
      <c r="A42" s="6" t="s">
        <v>395</v>
      </c>
      <c r="B42" s="2">
        <v>12357</v>
      </c>
      <c r="C42" s="2" t="s">
        <v>142</v>
      </c>
      <c r="D42" s="4">
        <v>10000</v>
      </c>
      <c r="E42" s="4">
        <f t="shared" si="0"/>
        <v>320000</v>
      </c>
      <c r="F42" s="4">
        <f t="shared" si="1"/>
        <v>280000</v>
      </c>
    </row>
    <row r="43" spans="1:6">
      <c r="A43" s="2" t="s">
        <v>235</v>
      </c>
      <c r="B43" s="2">
        <v>12357</v>
      </c>
      <c r="C43" s="2" t="s">
        <v>142</v>
      </c>
      <c r="D43" s="4">
        <v>10000</v>
      </c>
      <c r="E43" s="4">
        <f t="shared" si="0"/>
        <v>330000</v>
      </c>
      <c r="F43" s="4">
        <f t="shared" si="1"/>
        <v>270000</v>
      </c>
    </row>
    <row r="44" spans="1:6">
      <c r="A44" s="6" t="s">
        <v>493</v>
      </c>
      <c r="B44" s="2">
        <v>13977</v>
      </c>
      <c r="C44" s="2" t="s">
        <v>142</v>
      </c>
      <c r="D44" s="4">
        <v>10000</v>
      </c>
      <c r="E44" s="4">
        <f t="shared" si="0"/>
        <v>340000</v>
      </c>
      <c r="F44" s="4">
        <f t="shared" si="1"/>
        <v>260000</v>
      </c>
    </row>
    <row r="45" spans="1:6">
      <c r="A45" s="2" t="s">
        <v>277</v>
      </c>
      <c r="B45" s="2">
        <v>13793</v>
      </c>
      <c r="C45" s="2" t="s">
        <v>142</v>
      </c>
      <c r="D45" s="4">
        <v>10000</v>
      </c>
      <c r="E45" s="4">
        <f t="shared" si="0"/>
        <v>350000</v>
      </c>
      <c r="F45" s="4">
        <f t="shared" si="1"/>
        <v>250000</v>
      </c>
    </row>
    <row r="46" spans="1:6">
      <c r="A46" s="6" t="s">
        <v>192</v>
      </c>
      <c r="B46" s="2">
        <v>13005</v>
      </c>
      <c r="C46" s="2" t="s">
        <v>142</v>
      </c>
      <c r="D46" s="4">
        <v>10000</v>
      </c>
      <c r="E46" s="4">
        <f t="shared" si="0"/>
        <v>360000</v>
      </c>
      <c r="F46" s="4">
        <f t="shared" si="1"/>
        <v>240000</v>
      </c>
    </row>
    <row r="47" spans="1:6">
      <c r="A47" s="2" t="s">
        <v>494</v>
      </c>
      <c r="B47" s="2">
        <v>12622</v>
      </c>
      <c r="C47" s="2" t="s">
        <v>142</v>
      </c>
      <c r="D47" s="4">
        <v>10000</v>
      </c>
      <c r="E47" s="4">
        <f t="shared" si="0"/>
        <v>370000</v>
      </c>
      <c r="F47" s="4">
        <f t="shared" si="1"/>
        <v>230000</v>
      </c>
    </row>
    <row r="48" spans="1:6">
      <c r="A48" s="6" t="s">
        <v>495</v>
      </c>
      <c r="B48" s="2">
        <v>12297</v>
      </c>
      <c r="C48" s="2" t="s">
        <v>142</v>
      </c>
      <c r="D48" s="4">
        <v>10000</v>
      </c>
      <c r="E48" s="4">
        <f t="shared" si="0"/>
        <v>380000</v>
      </c>
      <c r="F48" s="4">
        <f t="shared" si="1"/>
        <v>220000</v>
      </c>
    </row>
    <row r="49" spans="1:6">
      <c r="A49" s="6">
        <v>46056</v>
      </c>
      <c r="B49" s="2">
        <v>12723</v>
      </c>
      <c r="C49" s="2" t="s">
        <v>142</v>
      </c>
      <c r="D49" s="4">
        <v>10000</v>
      </c>
      <c r="E49" s="4">
        <f t="shared" si="0"/>
        <v>390000</v>
      </c>
      <c r="F49" s="4">
        <f t="shared" si="1"/>
        <v>210000</v>
      </c>
    </row>
    <row r="50" spans="1:6">
      <c r="A50" s="6">
        <v>46117</v>
      </c>
      <c r="B50" s="2">
        <v>12935</v>
      </c>
      <c r="C50" s="2" t="s">
        <v>142</v>
      </c>
      <c r="D50" s="4">
        <v>20000</v>
      </c>
      <c r="E50" s="4">
        <f t="shared" si="0"/>
        <v>410000</v>
      </c>
      <c r="F50" s="4">
        <f t="shared" si="1"/>
        <v>190000</v>
      </c>
    </row>
    <row r="51" spans="1:6">
      <c r="A51" s="6" t="s">
        <v>761</v>
      </c>
      <c r="B51" s="2">
        <v>1562</v>
      </c>
      <c r="C51" s="2" t="s">
        <v>142</v>
      </c>
      <c r="D51" s="4">
        <v>10000</v>
      </c>
      <c r="E51" s="4">
        <f>E50+D51</f>
        <v>420000</v>
      </c>
      <c r="F51" s="4">
        <f>F50-D51</f>
        <v>180000</v>
      </c>
    </row>
    <row r="52" spans="1:6">
      <c r="A52" s="6">
        <v>46181</v>
      </c>
      <c r="B52" s="2">
        <v>1664</v>
      </c>
      <c r="C52" s="2" t="s">
        <v>142</v>
      </c>
      <c r="D52" s="4">
        <v>20000</v>
      </c>
      <c r="E52" s="4">
        <f>E51+D52</f>
        <v>440000</v>
      </c>
      <c r="F52" s="4">
        <f>F51-D52</f>
        <v>160000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35"/>
  <sheetViews>
    <sheetView topLeftCell="A25" workbookViewId="0">
      <selection activeCell="C35" sqref="C35"/>
    </sheetView>
  </sheetViews>
  <sheetFormatPr defaultRowHeight="14.5"/>
  <cols>
    <col min="1" max="1" width="10.26953125" customWidth="1"/>
    <col min="3" max="3" width="11.90625" customWidth="1"/>
    <col min="6" max="6" width="12" customWidth="1"/>
  </cols>
  <sheetData>
    <row r="1" spans="1:6" ht="18.5">
      <c r="A1" s="1" t="s">
        <v>200</v>
      </c>
      <c r="B1" s="1"/>
      <c r="C1" s="1"/>
      <c r="D1" s="1"/>
      <c r="E1" s="1"/>
      <c r="F1" s="1"/>
    </row>
    <row r="2" spans="1:6" ht="18.5">
      <c r="A2" s="1" t="s">
        <v>201</v>
      </c>
      <c r="C2" s="1"/>
      <c r="D2" s="1"/>
      <c r="E2" s="1"/>
      <c r="F2" s="1"/>
    </row>
    <row r="3" spans="1:6" ht="18.5">
      <c r="A3" s="1" t="s">
        <v>202</v>
      </c>
      <c r="B3" s="1"/>
      <c r="C3" s="1"/>
      <c r="D3" s="1"/>
      <c r="E3" s="1"/>
      <c r="F3" s="1"/>
    </row>
    <row r="4" spans="1:6" ht="18.5">
      <c r="A4" s="1" t="s">
        <v>215</v>
      </c>
      <c r="B4" s="1"/>
      <c r="C4" s="1"/>
      <c r="D4" s="1"/>
      <c r="E4" s="1"/>
      <c r="F4" s="1"/>
    </row>
    <row r="5" spans="1:6" ht="18.5">
      <c r="A5" s="1" t="s">
        <v>203</v>
      </c>
      <c r="B5" s="1"/>
      <c r="C5" s="1"/>
      <c r="D5" s="1"/>
      <c r="E5" s="1"/>
      <c r="F5" s="1"/>
    </row>
    <row r="6" spans="1:6" ht="18.5">
      <c r="A6" s="1" t="s">
        <v>204</v>
      </c>
      <c r="B6" s="1"/>
      <c r="C6" s="1"/>
      <c r="D6" s="1"/>
      <c r="E6" s="1" t="s">
        <v>139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9">
        <v>45444</v>
      </c>
      <c r="B8" s="7">
        <v>176</v>
      </c>
      <c r="C8" s="7" t="s">
        <v>207</v>
      </c>
      <c r="D8" s="7">
        <v>5000</v>
      </c>
      <c r="E8" s="7">
        <v>5000</v>
      </c>
      <c r="F8" s="10">
        <v>695000</v>
      </c>
    </row>
    <row r="9" spans="1:6">
      <c r="A9" s="7" t="s">
        <v>99</v>
      </c>
      <c r="B9" s="7">
        <v>6271</v>
      </c>
      <c r="C9" s="7" t="s">
        <v>10</v>
      </c>
      <c r="D9" s="10">
        <v>95000</v>
      </c>
      <c r="E9" s="10">
        <f>SUM(E8+D9)</f>
        <v>100000</v>
      </c>
      <c r="F9" s="10">
        <f>F8-D9</f>
        <v>600000</v>
      </c>
    </row>
    <row r="10" spans="1:6">
      <c r="A10" s="7" t="s">
        <v>205</v>
      </c>
      <c r="B10" s="7">
        <v>7339</v>
      </c>
      <c r="C10" s="7" t="s">
        <v>12</v>
      </c>
      <c r="D10" s="10">
        <v>10000</v>
      </c>
      <c r="E10" s="10">
        <f t="shared" ref="E10:E30" si="0">SUM(E9+D10)</f>
        <v>110000</v>
      </c>
      <c r="F10" s="10">
        <f t="shared" ref="F10:F30" si="1">F9-D10</f>
        <v>590000</v>
      </c>
    </row>
    <row r="11" spans="1:6">
      <c r="A11" s="9">
        <v>45355</v>
      </c>
      <c r="B11" s="7">
        <v>7687</v>
      </c>
      <c r="C11" s="7" t="s">
        <v>12</v>
      </c>
      <c r="D11" s="10">
        <v>10000</v>
      </c>
      <c r="E11" s="10">
        <f t="shared" si="0"/>
        <v>120000</v>
      </c>
      <c r="F11" s="10">
        <f t="shared" si="1"/>
        <v>580000</v>
      </c>
    </row>
    <row r="12" spans="1:6">
      <c r="A12" s="9">
        <v>45478</v>
      </c>
      <c r="B12" s="7">
        <v>8279</v>
      </c>
      <c r="C12" s="7" t="s">
        <v>12</v>
      </c>
      <c r="D12" s="10">
        <v>10000</v>
      </c>
      <c r="E12" s="10">
        <f t="shared" si="0"/>
        <v>130000</v>
      </c>
      <c r="F12" s="10">
        <f t="shared" si="1"/>
        <v>570000</v>
      </c>
    </row>
    <row r="13" spans="1:6">
      <c r="A13" s="9">
        <v>45449</v>
      </c>
      <c r="B13" s="7">
        <v>8867</v>
      </c>
      <c r="C13" s="7" t="s">
        <v>12</v>
      </c>
      <c r="D13" s="10">
        <v>10000</v>
      </c>
      <c r="E13" s="10">
        <f t="shared" si="0"/>
        <v>140000</v>
      </c>
      <c r="F13" s="10">
        <f t="shared" si="1"/>
        <v>560000</v>
      </c>
    </row>
    <row r="14" spans="1:6">
      <c r="A14" s="7" t="s">
        <v>108</v>
      </c>
      <c r="B14" s="7">
        <v>9682</v>
      </c>
      <c r="C14" s="7" t="s">
        <v>12</v>
      </c>
      <c r="D14" s="10">
        <v>10000</v>
      </c>
      <c r="E14" s="10">
        <f t="shared" si="0"/>
        <v>150000</v>
      </c>
      <c r="F14" s="10">
        <f t="shared" si="1"/>
        <v>550000</v>
      </c>
    </row>
    <row r="15" spans="1:6">
      <c r="A15" s="7" t="s">
        <v>206</v>
      </c>
      <c r="B15" s="7">
        <v>11126</v>
      </c>
      <c r="C15" s="7" t="s">
        <v>12</v>
      </c>
      <c r="D15" s="10">
        <v>10000</v>
      </c>
      <c r="E15" s="10">
        <f t="shared" si="0"/>
        <v>160000</v>
      </c>
      <c r="F15" s="10">
        <f t="shared" si="1"/>
        <v>540000</v>
      </c>
    </row>
    <row r="16" spans="1:6">
      <c r="A16" s="9">
        <v>45360</v>
      </c>
      <c r="B16" s="7">
        <v>10491</v>
      </c>
      <c r="C16" s="7" t="s">
        <v>12</v>
      </c>
      <c r="D16" s="10">
        <v>10000</v>
      </c>
      <c r="E16" s="10">
        <f t="shared" si="0"/>
        <v>170000</v>
      </c>
      <c r="F16" s="10">
        <f t="shared" si="1"/>
        <v>530000</v>
      </c>
    </row>
    <row r="17" spans="1:6">
      <c r="A17" s="7" t="s">
        <v>111</v>
      </c>
      <c r="B17" s="7">
        <v>10831</v>
      </c>
      <c r="C17" s="7" t="s">
        <v>12</v>
      </c>
      <c r="D17" s="10">
        <v>10000</v>
      </c>
      <c r="E17" s="10">
        <f t="shared" si="0"/>
        <v>180000</v>
      </c>
      <c r="F17" s="10">
        <f t="shared" si="1"/>
        <v>520000</v>
      </c>
    </row>
    <row r="18" spans="1:6">
      <c r="A18" s="9">
        <v>45454</v>
      </c>
      <c r="B18" s="7">
        <v>11594</v>
      </c>
      <c r="C18" s="7" t="s">
        <v>12</v>
      </c>
      <c r="D18" s="10">
        <v>10000</v>
      </c>
      <c r="E18" s="10">
        <f t="shared" si="0"/>
        <v>190000</v>
      </c>
      <c r="F18" s="10">
        <f t="shared" si="1"/>
        <v>510000</v>
      </c>
    </row>
    <row r="19" spans="1:6">
      <c r="A19" s="7" t="s">
        <v>208</v>
      </c>
      <c r="B19" s="7">
        <v>12659</v>
      </c>
      <c r="C19" s="7" t="s">
        <v>12</v>
      </c>
      <c r="D19" s="10">
        <v>10000</v>
      </c>
      <c r="E19" s="10">
        <f t="shared" si="0"/>
        <v>200000</v>
      </c>
      <c r="F19" s="10">
        <f t="shared" si="1"/>
        <v>500000</v>
      </c>
    </row>
    <row r="20" spans="1:6">
      <c r="A20" s="9" t="s">
        <v>41</v>
      </c>
      <c r="B20" s="7">
        <v>9081</v>
      </c>
      <c r="C20" s="7" t="s">
        <v>12</v>
      </c>
      <c r="D20" s="10">
        <v>10000</v>
      </c>
      <c r="E20" s="10">
        <f t="shared" si="0"/>
        <v>210000</v>
      </c>
      <c r="F20" s="10">
        <f t="shared" si="1"/>
        <v>490000</v>
      </c>
    </row>
    <row r="21" spans="1:6">
      <c r="A21" s="9">
        <v>45779</v>
      </c>
      <c r="B21" s="7">
        <v>9535</v>
      </c>
      <c r="C21" s="7" t="s">
        <v>12</v>
      </c>
      <c r="D21" s="10">
        <v>10000</v>
      </c>
      <c r="E21" s="10">
        <f t="shared" si="0"/>
        <v>220000</v>
      </c>
      <c r="F21" s="10">
        <f t="shared" si="1"/>
        <v>480000</v>
      </c>
    </row>
    <row r="22" spans="1:6">
      <c r="A22" s="9" t="s">
        <v>209</v>
      </c>
      <c r="B22" s="7">
        <v>9886</v>
      </c>
      <c r="C22" s="7" t="s">
        <v>12</v>
      </c>
      <c r="D22" s="10">
        <v>10000</v>
      </c>
      <c r="E22" s="10">
        <f t="shared" si="0"/>
        <v>230000</v>
      </c>
      <c r="F22" s="10">
        <f t="shared" si="1"/>
        <v>470000</v>
      </c>
    </row>
    <row r="23" spans="1:6">
      <c r="A23" s="9">
        <v>45813</v>
      </c>
      <c r="B23" s="7">
        <v>10348</v>
      </c>
      <c r="C23" s="7" t="s">
        <v>12</v>
      </c>
      <c r="D23" s="10">
        <v>10000</v>
      </c>
      <c r="E23" s="10">
        <f t="shared" si="0"/>
        <v>240000</v>
      </c>
      <c r="F23" s="10">
        <f t="shared" si="1"/>
        <v>460000</v>
      </c>
    </row>
    <row r="24" spans="1:6">
      <c r="A24" s="9" t="s">
        <v>210</v>
      </c>
      <c r="B24" s="7">
        <v>10413</v>
      </c>
      <c r="C24" s="7" t="s">
        <v>12</v>
      </c>
      <c r="D24" s="10">
        <v>10000</v>
      </c>
      <c r="E24" s="10">
        <f t="shared" si="0"/>
        <v>250000</v>
      </c>
      <c r="F24" s="10">
        <f t="shared" si="1"/>
        <v>450000</v>
      </c>
    </row>
    <row r="25" spans="1:6">
      <c r="A25" s="9" t="s">
        <v>211</v>
      </c>
      <c r="B25" s="7">
        <v>3105</v>
      </c>
      <c r="C25" s="7" t="s">
        <v>12</v>
      </c>
      <c r="D25" s="10">
        <v>20000</v>
      </c>
      <c r="E25" s="10">
        <f t="shared" si="0"/>
        <v>270000</v>
      </c>
      <c r="F25" s="10">
        <f t="shared" si="1"/>
        <v>430000</v>
      </c>
    </row>
    <row r="26" spans="1:6">
      <c r="A26" s="9" t="s">
        <v>21</v>
      </c>
      <c r="B26" s="7">
        <v>13649</v>
      </c>
      <c r="C26" s="7" t="s">
        <v>12</v>
      </c>
      <c r="D26" s="10">
        <v>10000</v>
      </c>
      <c r="E26" s="10">
        <f t="shared" si="0"/>
        <v>280000</v>
      </c>
      <c r="F26" s="10">
        <f t="shared" si="1"/>
        <v>420000</v>
      </c>
    </row>
    <row r="27" spans="1:6">
      <c r="A27" s="9">
        <v>45788</v>
      </c>
      <c r="B27" s="7">
        <v>3471</v>
      </c>
      <c r="C27" s="7" t="s">
        <v>12</v>
      </c>
      <c r="D27" s="10">
        <v>10000</v>
      </c>
      <c r="E27" s="10">
        <f t="shared" si="0"/>
        <v>290000</v>
      </c>
      <c r="F27" s="10">
        <f t="shared" si="1"/>
        <v>410000</v>
      </c>
    </row>
    <row r="28" spans="1:6">
      <c r="A28" s="9" t="s">
        <v>212</v>
      </c>
      <c r="B28" s="7">
        <v>13193</v>
      </c>
      <c r="C28" s="7" t="s">
        <v>12</v>
      </c>
      <c r="D28" s="10">
        <v>10000</v>
      </c>
      <c r="E28" s="10">
        <f t="shared" si="0"/>
        <v>300000</v>
      </c>
      <c r="F28" s="10">
        <f t="shared" si="1"/>
        <v>400000</v>
      </c>
    </row>
    <row r="29" spans="1:6">
      <c r="A29" s="9" t="s">
        <v>213</v>
      </c>
      <c r="B29" s="7">
        <v>12457</v>
      </c>
      <c r="C29" s="7" t="s">
        <v>12</v>
      </c>
      <c r="D29" s="10">
        <v>10000</v>
      </c>
      <c r="E29" s="10">
        <f t="shared" si="0"/>
        <v>310000</v>
      </c>
      <c r="F29" s="10">
        <f t="shared" si="1"/>
        <v>390000</v>
      </c>
    </row>
    <row r="30" spans="1:6">
      <c r="A30" s="9" t="s">
        <v>214</v>
      </c>
      <c r="B30" s="7">
        <v>12866</v>
      </c>
      <c r="C30" s="7" t="s">
        <v>12</v>
      </c>
      <c r="D30" s="10">
        <v>10000</v>
      </c>
      <c r="E30" s="10">
        <f t="shared" si="0"/>
        <v>320000</v>
      </c>
      <c r="F30" s="10">
        <f t="shared" si="1"/>
        <v>380000</v>
      </c>
    </row>
    <row r="31" spans="1:6">
      <c r="A31" s="9" t="s">
        <v>739</v>
      </c>
      <c r="B31" s="7">
        <v>13290</v>
      </c>
      <c r="C31" s="7" t="s">
        <v>12</v>
      </c>
      <c r="D31" s="10">
        <v>10000</v>
      </c>
      <c r="E31" s="14">
        <f>E30+D31</f>
        <v>330000</v>
      </c>
      <c r="F31" s="14">
        <f>F30-D31</f>
        <v>370000</v>
      </c>
    </row>
    <row r="32" spans="1:6">
      <c r="A32" s="13">
        <v>46117</v>
      </c>
      <c r="B32" s="7">
        <v>12929</v>
      </c>
      <c r="C32" s="7" t="s">
        <v>12</v>
      </c>
      <c r="D32" s="10">
        <v>10000</v>
      </c>
      <c r="E32" s="14">
        <f>E31+D32</f>
        <v>340000</v>
      </c>
      <c r="F32" s="14">
        <f>F31-D32</f>
        <v>360000</v>
      </c>
    </row>
    <row r="33" spans="1:6">
      <c r="A33" s="9" t="s">
        <v>740</v>
      </c>
      <c r="B33" s="7">
        <v>13677</v>
      </c>
      <c r="C33" s="7" t="s">
        <v>12</v>
      </c>
      <c r="D33" s="10">
        <v>10000</v>
      </c>
      <c r="E33" s="14">
        <f>E32+D33</f>
        <v>350000</v>
      </c>
      <c r="F33" s="14">
        <f>F32-D33</f>
        <v>350000</v>
      </c>
    </row>
    <row r="34" spans="1:6">
      <c r="A34" s="9" t="s">
        <v>741</v>
      </c>
      <c r="B34" s="7">
        <v>1820</v>
      </c>
      <c r="C34" s="7" t="s">
        <v>12</v>
      </c>
      <c r="D34" s="10">
        <v>10000</v>
      </c>
      <c r="E34" s="14">
        <f>E33+D34</f>
        <v>360000</v>
      </c>
      <c r="F34" s="14">
        <f>F33-D34</f>
        <v>340000</v>
      </c>
    </row>
    <row r="35" spans="1:6">
      <c r="A35" s="16">
        <v>46063</v>
      </c>
      <c r="B35" s="18">
        <v>2148</v>
      </c>
      <c r="C35" s="18" t="s">
        <v>12</v>
      </c>
      <c r="D35" s="17">
        <v>20000</v>
      </c>
      <c r="E35" s="17">
        <f>E34+D35</f>
        <v>380000</v>
      </c>
      <c r="F35" s="17">
        <f>F34-D35</f>
        <v>320000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O36"/>
  <sheetViews>
    <sheetView topLeftCell="A16" workbookViewId="0">
      <selection activeCell="F36" sqref="F36"/>
    </sheetView>
  </sheetViews>
  <sheetFormatPr defaultRowHeight="14.5"/>
  <cols>
    <col min="1" max="1" width="9.81640625" customWidth="1"/>
    <col min="3" max="3" width="10.36328125" customWidth="1"/>
    <col min="4" max="4" width="11" customWidth="1"/>
    <col min="6" max="6" width="10.90625" customWidth="1"/>
  </cols>
  <sheetData>
    <row r="1" spans="1:15" ht="21">
      <c r="A1" s="1" t="s">
        <v>216</v>
      </c>
      <c r="B1" s="1"/>
      <c r="C1" s="1"/>
      <c r="D1" s="1"/>
      <c r="E1" s="1"/>
      <c r="F1" s="48">
        <v>46058</v>
      </c>
      <c r="G1" s="49"/>
      <c r="H1" s="50" t="s">
        <v>446</v>
      </c>
      <c r="I1" s="50"/>
      <c r="J1" s="50"/>
      <c r="K1" s="50"/>
      <c r="L1" s="51"/>
      <c r="M1" s="51"/>
      <c r="N1" s="51"/>
      <c r="O1" s="51"/>
    </row>
    <row r="2" spans="1:15" ht="18.5">
      <c r="A2" s="1" t="s">
        <v>217</v>
      </c>
      <c r="C2" s="1"/>
      <c r="D2" s="1"/>
      <c r="E2" s="1"/>
      <c r="F2" s="1"/>
    </row>
    <row r="3" spans="1:15" ht="18.5">
      <c r="A3" s="1" t="s">
        <v>218</v>
      </c>
      <c r="B3" s="1"/>
      <c r="C3" s="1"/>
      <c r="D3" s="1"/>
      <c r="E3" s="1"/>
      <c r="F3" s="1"/>
      <c r="G3" s="47"/>
    </row>
    <row r="4" spans="1:15" ht="18.5">
      <c r="A4" s="1" t="s">
        <v>414</v>
      </c>
      <c r="B4" s="1"/>
      <c r="C4" s="1"/>
      <c r="D4" s="1"/>
      <c r="E4" s="1"/>
      <c r="F4" s="1"/>
    </row>
    <row r="5" spans="1:15" ht="18.5">
      <c r="A5" s="1" t="s">
        <v>219</v>
      </c>
      <c r="B5" s="1"/>
      <c r="C5" s="1"/>
      <c r="D5" s="1"/>
      <c r="E5" s="1"/>
      <c r="F5" s="1"/>
    </row>
    <row r="6" spans="1:15" ht="18.5">
      <c r="A6" s="1" t="s">
        <v>220</v>
      </c>
      <c r="B6" s="1"/>
      <c r="C6" s="1"/>
      <c r="D6" s="1"/>
      <c r="E6" s="1" t="s">
        <v>221</v>
      </c>
      <c r="F6" s="1"/>
    </row>
    <row r="7" spans="1:15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5">
      <c r="A8" s="12" t="s">
        <v>222</v>
      </c>
      <c r="B8" s="12">
        <v>182</v>
      </c>
      <c r="C8" s="12" t="s">
        <v>231</v>
      </c>
      <c r="D8" s="14">
        <v>5000</v>
      </c>
      <c r="E8" s="14">
        <v>5000</v>
      </c>
      <c r="F8" s="14">
        <v>645000</v>
      </c>
    </row>
    <row r="9" spans="1:15">
      <c r="A9" s="12" t="s">
        <v>223</v>
      </c>
      <c r="B9" s="12">
        <v>8707</v>
      </c>
      <c r="C9" s="12" t="s">
        <v>10</v>
      </c>
      <c r="D9" s="14">
        <v>145000</v>
      </c>
      <c r="E9" s="14">
        <f>SUM(E8+D9)</f>
        <v>150000</v>
      </c>
      <c r="F9" s="14">
        <f>F8-D9</f>
        <v>500000</v>
      </c>
    </row>
    <row r="10" spans="1:15">
      <c r="A10" s="12" t="s">
        <v>224</v>
      </c>
      <c r="B10" s="12">
        <v>9119</v>
      </c>
      <c r="C10" s="12" t="s">
        <v>12</v>
      </c>
      <c r="D10" s="14">
        <v>10000</v>
      </c>
      <c r="E10" s="14">
        <f t="shared" ref="E10:E31" si="0">SUM(E9+D10)</f>
        <v>160000</v>
      </c>
      <c r="F10" s="14">
        <f t="shared" ref="F10:F31" si="1">F9-D10</f>
        <v>490000</v>
      </c>
    </row>
    <row r="11" spans="1:15">
      <c r="A11" s="12" t="s">
        <v>225</v>
      </c>
      <c r="B11" s="12">
        <v>9669</v>
      </c>
      <c r="C11" s="12" t="s">
        <v>12</v>
      </c>
      <c r="D11" s="14">
        <v>10000</v>
      </c>
      <c r="E11" s="14">
        <f t="shared" si="0"/>
        <v>170000</v>
      </c>
      <c r="F11" s="14">
        <f t="shared" si="1"/>
        <v>480000</v>
      </c>
    </row>
    <row r="12" spans="1:15">
      <c r="A12" s="12" t="s">
        <v>226</v>
      </c>
      <c r="B12" s="12">
        <v>11279</v>
      </c>
      <c r="C12" s="12" t="s">
        <v>12</v>
      </c>
      <c r="D12" s="14">
        <v>10000</v>
      </c>
      <c r="E12" s="14">
        <f t="shared" si="0"/>
        <v>180000</v>
      </c>
      <c r="F12" s="14">
        <f t="shared" si="1"/>
        <v>470000</v>
      </c>
    </row>
    <row r="13" spans="1:15">
      <c r="A13" s="12" t="s">
        <v>227</v>
      </c>
      <c r="B13" s="12">
        <v>10327</v>
      </c>
      <c r="C13" s="12" t="s">
        <v>12</v>
      </c>
      <c r="D13" s="14">
        <v>20000</v>
      </c>
      <c r="E13" s="14">
        <f t="shared" si="0"/>
        <v>200000</v>
      </c>
      <c r="F13" s="14">
        <f t="shared" si="1"/>
        <v>450000</v>
      </c>
    </row>
    <row r="14" spans="1:15">
      <c r="A14" s="13">
        <v>45576</v>
      </c>
      <c r="B14" s="12">
        <v>12158</v>
      </c>
      <c r="C14" s="12" t="s">
        <v>12</v>
      </c>
      <c r="D14" s="14">
        <v>10000</v>
      </c>
      <c r="E14" s="14">
        <f t="shared" si="0"/>
        <v>210000</v>
      </c>
      <c r="F14" s="14">
        <f t="shared" si="1"/>
        <v>440000</v>
      </c>
    </row>
    <row r="15" spans="1:15">
      <c r="A15" s="12" t="s">
        <v>228</v>
      </c>
      <c r="B15" s="12">
        <v>12648</v>
      </c>
      <c r="C15" s="12" t="s">
        <v>12</v>
      </c>
      <c r="D15" s="14">
        <v>10000</v>
      </c>
      <c r="E15" s="14">
        <f t="shared" si="0"/>
        <v>220000</v>
      </c>
      <c r="F15" s="14">
        <f t="shared" si="1"/>
        <v>430000</v>
      </c>
    </row>
    <row r="16" spans="1:15">
      <c r="A16" s="12" t="s">
        <v>229</v>
      </c>
      <c r="B16" s="12">
        <v>12084</v>
      </c>
      <c r="C16" s="12" t="s">
        <v>12</v>
      </c>
      <c r="D16" s="14">
        <v>10000</v>
      </c>
      <c r="E16" s="14">
        <f t="shared" si="0"/>
        <v>230000</v>
      </c>
      <c r="F16" s="14">
        <f t="shared" si="1"/>
        <v>420000</v>
      </c>
    </row>
    <row r="17" spans="1:6">
      <c r="A17" s="12" t="s">
        <v>230</v>
      </c>
      <c r="B17" s="12">
        <v>9477</v>
      </c>
      <c r="C17" s="12" t="s">
        <v>12</v>
      </c>
      <c r="D17" s="14">
        <v>10000</v>
      </c>
      <c r="E17" s="14">
        <f t="shared" si="0"/>
        <v>240000</v>
      </c>
      <c r="F17" s="14">
        <f t="shared" si="1"/>
        <v>410000</v>
      </c>
    </row>
    <row r="18" spans="1:6">
      <c r="A18" s="12" t="s">
        <v>43</v>
      </c>
      <c r="B18" s="12">
        <v>9838</v>
      </c>
      <c r="C18" s="12" t="s">
        <v>12</v>
      </c>
      <c r="D18" s="14">
        <v>10000</v>
      </c>
      <c r="E18" s="14">
        <f t="shared" si="0"/>
        <v>250000</v>
      </c>
      <c r="F18" s="14">
        <f t="shared" si="1"/>
        <v>400000</v>
      </c>
    </row>
    <row r="19" spans="1:6">
      <c r="A19" s="12" t="s">
        <v>232</v>
      </c>
      <c r="B19" s="12">
        <v>10010</v>
      </c>
      <c r="C19" s="12" t="s">
        <v>12</v>
      </c>
      <c r="D19" s="14">
        <v>10000</v>
      </c>
      <c r="E19" s="14">
        <f t="shared" si="0"/>
        <v>260000</v>
      </c>
      <c r="F19" s="14">
        <f t="shared" si="1"/>
        <v>390000</v>
      </c>
    </row>
    <row r="20" spans="1:6">
      <c r="A20" s="12" t="s">
        <v>233</v>
      </c>
      <c r="B20" s="12">
        <v>10854</v>
      </c>
      <c r="C20" s="12" t="s">
        <v>12</v>
      </c>
      <c r="D20" s="14">
        <v>10000</v>
      </c>
      <c r="E20" s="14">
        <f t="shared" si="0"/>
        <v>270000</v>
      </c>
      <c r="F20" s="14">
        <f t="shared" si="1"/>
        <v>380000</v>
      </c>
    </row>
    <row r="21" spans="1:6">
      <c r="A21" s="12" t="s">
        <v>234</v>
      </c>
      <c r="B21" s="12">
        <v>11836</v>
      </c>
      <c r="C21" s="12" t="s">
        <v>12</v>
      </c>
      <c r="D21" s="14">
        <v>10000</v>
      </c>
      <c r="E21" s="14">
        <f t="shared" si="0"/>
        <v>280000</v>
      </c>
      <c r="F21" s="14">
        <f t="shared" si="1"/>
        <v>370000</v>
      </c>
    </row>
    <row r="22" spans="1:6">
      <c r="A22" s="12" t="s">
        <v>235</v>
      </c>
      <c r="B22" s="12">
        <v>12209</v>
      </c>
      <c r="C22" s="12" t="s">
        <v>12</v>
      </c>
      <c r="D22" s="14">
        <v>10000</v>
      </c>
      <c r="E22" s="14">
        <f t="shared" si="0"/>
        <v>290000</v>
      </c>
      <c r="F22" s="14">
        <f t="shared" si="1"/>
        <v>360000</v>
      </c>
    </row>
    <row r="23" spans="1:6">
      <c r="A23" s="12" t="s">
        <v>236</v>
      </c>
      <c r="B23" s="12">
        <v>12501</v>
      </c>
      <c r="C23" s="12" t="s">
        <v>12</v>
      </c>
      <c r="D23" s="14">
        <v>10000</v>
      </c>
      <c r="E23" s="14">
        <f t="shared" si="0"/>
        <v>300000</v>
      </c>
      <c r="F23" s="14">
        <f t="shared" si="1"/>
        <v>350000</v>
      </c>
    </row>
    <row r="24" spans="1:6">
      <c r="A24" s="12" t="s">
        <v>120</v>
      </c>
      <c r="B24" s="12">
        <v>13945</v>
      </c>
      <c r="C24" s="12" t="s">
        <v>12</v>
      </c>
      <c r="D24" s="14">
        <v>10000</v>
      </c>
      <c r="E24" s="14">
        <f t="shared" si="0"/>
        <v>310000</v>
      </c>
      <c r="F24" s="14">
        <f t="shared" si="1"/>
        <v>340000</v>
      </c>
    </row>
    <row r="25" spans="1:6">
      <c r="A25" s="12" t="s">
        <v>237</v>
      </c>
      <c r="B25" s="12">
        <v>13698</v>
      </c>
      <c r="C25" s="12" t="s">
        <v>12</v>
      </c>
      <c r="D25" s="14">
        <v>10000</v>
      </c>
      <c r="E25" s="14">
        <f t="shared" si="0"/>
        <v>320000</v>
      </c>
      <c r="F25" s="14">
        <f t="shared" si="1"/>
        <v>330000</v>
      </c>
    </row>
    <row r="26" spans="1:6">
      <c r="A26" s="12" t="s">
        <v>238</v>
      </c>
      <c r="B26" s="12">
        <v>13366</v>
      </c>
      <c r="C26" s="12" t="s">
        <v>12</v>
      </c>
      <c r="D26" s="14">
        <v>10000</v>
      </c>
      <c r="E26" s="14">
        <f t="shared" si="0"/>
        <v>330000</v>
      </c>
      <c r="F26" s="14">
        <f t="shared" si="1"/>
        <v>320000</v>
      </c>
    </row>
    <row r="27" spans="1:6">
      <c r="A27" s="12" t="s">
        <v>239</v>
      </c>
      <c r="B27" s="12">
        <v>13801</v>
      </c>
      <c r="C27" s="12" t="s">
        <v>12</v>
      </c>
      <c r="D27" s="14">
        <v>10000</v>
      </c>
      <c r="E27" s="14">
        <f t="shared" si="0"/>
        <v>340000</v>
      </c>
      <c r="F27" s="14">
        <f t="shared" si="1"/>
        <v>310000</v>
      </c>
    </row>
    <row r="28" spans="1:6">
      <c r="A28" s="12" t="s">
        <v>240</v>
      </c>
      <c r="B28" s="12">
        <v>12230</v>
      </c>
      <c r="C28" s="12" t="s">
        <v>12</v>
      </c>
      <c r="D28" s="14">
        <v>10000</v>
      </c>
      <c r="E28" s="14">
        <f t="shared" si="0"/>
        <v>350000</v>
      </c>
      <c r="F28" s="14">
        <f t="shared" si="1"/>
        <v>300000</v>
      </c>
    </row>
    <row r="29" spans="1:6">
      <c r="A29" s="12" t="s">
        <v>241</v>
      </c>
      <c r="B29" s="12">
        <v>12540</v>
      </c>
      <c r="C29" s="12" t="s">
        <v>12</v>
      </c>
      <c r="D29" s="14">
        <v>10000</v>
      </c>
      <c r="E29" s="14">
        <f t="shared" si="0"/>
        <v>360000</v>
      </c>
      <c r="F29" s="14">
        <f t="shared" si="1"/>
        <v>290000</v>
      </c>
    </row>
    <row r="30" spans="1:6">
      <c r="A30" s="12" t="s">
        <v>242</v>
      </c>
      <c r="B30" s="12">
        <v>13919</v>
      </c>
      <c r="C30" s="12" t="s">
        <v>12</v>
      </c>
      <c r="D30" s="14">
        <v>10000</v>
      </c>
      <c r="E30" s="14">
        <f t="shared" si="0"/>
        <v>370000</v>
      </c>
      <c r="F30" s="14">
        <f t="shared" si="1"/>
        <v>280000</v>
      </c>
    </row>
    <row r="31" spans="1:6">
      <c r="A31" s="12" t="s">
        <v>405</v>
      </c>
      <c r="B31" s="12">
        <v>13040</v>
      </c>
      <c r="C31" s="12" t="s">
        <v>12</v>
      </c>
      <c r="D31" s="14">
        <v>10000</v>
      </c>
      <c r="E31" s="14">
        <f t="shared" si="0"/>
        <v>380000</v>
      </c>
      <c r="F31" s="14">
        <f t="shared" si="1"/>
        <v>270000</v>
      </c>
    </row>
    <row r="32" spans="1:6">
      <c r="A32" s="12" t="s">
        <v>679</v>
      </c>
      <c r="B32" s="12">
        <v>13438</v>
      </c>
      <c r="C32" s="12" t="s">
        <v>12</v>
      </c>
      <c r="D32" s="14">
        <v>10000</v>
      </c>
      <c r="E32" s="14">
        <f>E31+D32</f>
        <v>390000</v>
      </c>
      <c r="F32" s="14">
        <f>F31-D32</f>
        <v>260000</v>
      </c>
    </row>
    <row r="33" spans="1:6">
      <c r="A33" s="12" t="s">
        <v>680</v>
      </c>
      <c r="B33" s="12">
        <v>13688</v>
      </c>
      <c r="C33" s="12" t="s">
        <v>12</v>
      </c>
      <c r="D33" s="14">
        <v>10000</v>
      </c>
      <c r="E33" s="14">
        <f>E32+D33</f>
        <v>400000</v>
      </c>
      <c r="F33" s="14">
        <f>F32-D33</f>
        <v>250000</v>
      </c>
    </row>
    <row r="34" spans="1:6">
      <c r="A34" s="12" t="s">
        <v>697</v>
      </c>
      <c r="B34" s="12">
        <v>1527</v>
      </c>
      <c r="C34" s="12" t="s">
        <v>12</v>
      </c>
      <c r="D34" s="14">
        <v>10000</v>
      </c>
      <c r="E34" s="14">
        <f>E33+D34</f>
        <v>410000</v>
      </c>
      <c r="F34" s="14">
        <f>F33-D34</f>
        <v>240000</v>
      </c>
    </row>
    <row r="35" spans="1:6">
      <c r="A35" s="12" t="s">
        <v>734</v>
      </c>
      <c r="B35" s="12">
        <v>1786</v>
      </c>
      <c r="C35" s="12" t="s">
        <v>12</v>
      </c>
      <c r="D35" s="14">
        <v>10000</v>
      </c>
      <c r="E35" s="14">
        <f>E34+D35</f>
        <v>420000</v>
      </c>
      <c r="F35" s="14">
        <f>F34-D35</f>
        <v>230000</v>
      </c>
    </row>
    <row r="36" spans="1:6">
      <c r="A36" s="20" t="s">
        <v>804</v>
      </c>
      <c r="B36" s="20">
        <v>2041</v>
      </c>
      <c r="C36" s="20" t="s">
        <v>12</v>
      </c>
      <c r="D36" s="17">
        <v>10000</v>
      </c>
      <c r="E36" s="17">
        <v>430000</v>
      </c>
      <c r="F36" s="17">
        <v>220000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36"/>
  <sheetViews>
    <sheetView topLeftCell="A16" workbookViewId="0">
      <selection activeCell="D36" sqref="D36"/>
    </sheetView>
  </sheetViews>
  <sheetFormatPr defaultRowHeight="14.5"/>
  <cols>
    <col min="1" max="1" width="11.1796875" customWidth="1"/>
    <col min="3" max="3" width="12" customWidth="1"/>
    <col min="6" max="6" width="10.7265625" customWidth="1"/>
  </cols>
  <sheetData>
    <row r="1" spans="1:6" ht="18.5">
      <c r="A1" s="1" t="s">
        <v>428</v>
      </c>
      <c r="B1" s="1"/>
      <c r="C1" s="1"/>
      <c r="D1" s="1"/>
      <c r="E1" s="1"/>
      <c r="F1" s="1"/>
    </row>
    <row r="2" spans="1:6" ht="18.5">
      <c r="A2" s="1" t="s">
        <v>429</v>
      </c>
      <c r="C2" s="1"/>
      <c r="D2" s="1"/>
      <c r="E2" s="1"/>
      <c r="F2" s="1"/>
    </row>
    <row r="3" spans="1:6" ht="18.5">
      <c r="A3" s="1" t="s">
        <v>430</v>
      </c>
      <c r="B3" s="1"/>
      <c r="C3" s="1"/>
      <c r="D3" s="1"/>
      <c r="E3" s="1"/>
      <c r="F3" s="1"/>
    </row>
    <row r="4" spans="1:6" ht="18.5">
      <c r="A4" s="1" t="s">
        <v>433</v>
      </c>
      <c r="B4" s="1"/>
      <c r="C4" s="1"/>
      <c r="D4" s="1"/>
      <c r="E4" s="1"/>
      <c r="F4" s="1"/>
    </row>
    <row r="5" spans="1:6" ht="18.5">
      <c r="A5" s="1" t="s">
        <v>431</v>
      </c>
      <c r="B5" s="1"/>
      <c r="C5" s="1"/>
      <c r="D5" s="1"/>
      <c r="E5" s="1"/>
      <c r="F5" s="1"/>
    </row>
    <row r="6" spans="1:6" ht="18.5">
      <c r="A6" s="1" t="s">
        <v>432</v>
      </c>
      <c r="B6" s="1"/>
      <c r="C6" s="1"/>
      <c r="D6" s="1"/>
      <c r="E6" s="1" t="s">
        <v>65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37">
        <v>45020</v>
      </c>
      <c r="B8">
        <v>265</v>
      </c>
      <c r="C8" t="s">
        <v>56</v>
      </c>
      <c r="D8" s="17">
        <v>50000</v>
      </c>
      <c r="E8" s="17">
        <v>50000</v>
      </c>
      <c r="F8" s="17">
        <v>550000</v>
      </c>
    </row>
    <row r="9" spans="1:6">
      <c r="A9" s="37">
        <v>45082</v>
      </c>
      <c r="B9">
        <v>1478</v>
      </c>
      <c r="C9" t="s">
        <v>253</v>
      </c>
      <c r="D9" s="17">
        <v>150000</v>
      </c>
      <c r="E9" s="17">
        <f>SUM(E8+D9)</f>
        <v>200000</v>
      </c>
      <c r="F9" s="17">
        <f>F8-D9</f>
        <v>400000</v>
      </c>
    </row>
    <row r="10" spans="1:6">
      <c r="A10" s="37">
        <v>44965</v>
      </c>
      <c r="B10">
        <v>2202</v>
      </c>
      <c r="C10" t="s">
        <v>438</v>
      </c>
      <c r="D10" s="17">
        <v>50000</v>
      </c>
      <c r="E10" s="17">
        <f t="shared" ref="E10:E33" si="0">SUM(E9+D10)</f>
        <v>250000</v>
      </c>
      <c r="F10" s="17">
        <f t="shared" ref="F10:F33" si="1">F9-D10</f>
        <v>350000</v>
      </c>
    </row>
    <row r="11" spans="1:6">
      <c r="A11" s="37">
        <v>45271</v>
      </c>
      <c r="B11">
        <v>4852</v>
      </c>
      <c r="C11" t="s">
        <v>558</v>
      </c>
      <c r="D11" s="17">
        <v>20000</v>
      </c>
      <c r="E11" s="17">
        <f t="shared" si="0"/>
        <v>270000</v>
      </c>
      <c r="F11" s="17">
        <f t="shared" si="1"/>
        <v>330000</v>
      </c>
    </row>
    <row r="12" spans="1:6">
      <c r="A12" s="37">
        <v>45272</v>
      </c>
      <c r="B12">
        <v>5522</v>
      </c>
      <c r="C12" t="s">
        <v>558</v>
      </c>
      <c r="D12" s="17">
        <v>10000</v>
      </c>
      <c r="E12" s="17">
        <f t="shared" si="0"/>
        <v>280000</v>
      </c>
      <c r="F12" s="17">
        <f t="shared" si="1"/>
        <v>320000</v>
      </c>
    </row>
    <row r="13" spans="1:6">
      <c r="A13" s="35" t="s">
        <v>95</v>
      </c>
      <c r="B13">
        <v>3705</v>
      </c>
      <c r="C13" t="s">
        <v>558</v>
      </c>
      <c r="D13" s="17">
        <v>20000</v>
      </c>
      <c r="E13" s="17">
        <f t="shared" si="0"/>
        <v>300000</v>
      </c>
      <c r="F13" s="17">
        <f t="shared" si="1"/>
        <v>300000</v>
      </c>
    </row>
    <row r="14" spans="1:6">
      <c r="A14" s="35" t="s">
        <v>434</v>
      </c>
      <c r="B14">
        <v>6389</v>
      </c>
      <c r="C14" t="s">
        <v>558</v>
      </c>
      <c r="D14" s="17">
        <v>10000</v>
      </c>
      <c r="E14" s="17">
        <f t="shared" si="0"/>
        <v>310000</v>
      </c>
      <c r="F14" s="17">
        <f t="shared" si="1"/>
        <v>290000</v>
      </c>
    </row>
    <row r="15" spans="1:6">
      <c r="A15" s="37">
        <v>45326</v>
      </c>
      <c r="B15">
        <v>7651</v>
      </c>
      <c r="C15" t="s">
        <v>558</v>
      </c>
      <c r="D15" s="17">
        <v>10000</v>
      </c>
      <c r="E15" s="17">
        <f t="shared" si="0"/>
        <v>320000</v>
      </c>
      <c r="F15" s="17">
        <f t="shared" si="1"/>
        <v>280000</v>
      </c>
    </row>
    <row r="16" spans="1:6">
      <c r="A16" s="35" t="s">
        <v>435</v>
      </c>
      <c r="B16">
        <v>7947</v>
      </c>
      <c r="C16" t="s">
        <v>558</v>
      </c>
      <c r="D16" s="17">
        <v>10000</v>
      </c>
      <c r="E16" s="17">
        <f t="shared" si="0"/>
        <v>330000</v>
      </c>
      <c r="F16" s="17">
        <f t="shared" si="1"/>
        <v>270000</v>
      </c>
    </row>
    <row r="17" spans="1:6">
      <c r="A17" s="35" t="s">
        <v>436</v>
      </c>
      <c r="B17">
        <v>8659</v>
      </c>
      <c r="C17" t="s">
        <v>558</v>
      </c>
      <c r="D17" s="17">
        <v>10000</v>
      </c>
      <c r="E17" s="17">
        <f t="shared" si="0"/>
        <v>340000</v>
      </c>
      <c r="F17" s="17">
        <f t="shared" si="1"/>
        <v>260000</v>
      </c>
    </row>
    <row r="18" spans="1:6">
      <c r="A18" s="35" t="s">
        <v>437</v>
      </c>
      <c r="B18">
        <v>9305</v>
      </c>
      <c r="C18" t="s">
        <v>558</v>
      </c>
      <c r="D18" s="17">
        <v>10000</v>
      </c>
      <c r="E18" s="17">
        <f t="shared" si="0"/>
        <v>350000</v>
      </c>
      <c r="F18" s="17">
        <f t="shared" si="1"/>
        <v>250000</v>
      </c>
    </row>
    <row r="19" spans="1:6">
      <c r="A19" s="35" t="s">
        <v>439</v>
      </c>
      <c r="B19">
        <v>11161</v>
      </c>
      <c r="C19" t="s">
        <v>558</v>
      </c>
      <c r="D19" s="17">
        <v>10000</v>
      </c>
      <c r="E19" s="17">
        <f t="shared" si="0"/>
        <v>360000</v>
      </c>
      <c r="F19" s="17">
        <f t="shared" si="1"/>
        <v>240000</v>
      </c>
    </row>
    <row r="20" spans="1:6">
      <c r="A20" s="35" t="s">
        <v>440</v>
      </c>
      <c r="B20">
        <v>10237</v>
      </c>
      <c r="C20" t="s">
        <v>558</v>
      </c>
      <c r="D20" s="17">
        <v>10000</v>
      </c>
      <c r="E20" s="17">
        <f t="shared" si="0"/>
        <v>370000</v>
      </c>
      <c r="F20" s="17">
        <f t="shared" si="1"/>
        <v>230000</v>
      </c>
    </row>
    <row r="21" spans="1:6">
      <c r="A21" s="35" t="s">
        <v>441</v>
      </c>
      <c r="B21">
        <v>10238</v>
      </c>
      <c r="C21" t="s">
        <v>558</v>
      </c>
      <c r="D21" s="17">
        <v>10000</v>
      </c>
      <c r="E21" s="17">
        <f t="shared" si="0"/>
        <v>380000</v>
      </c>
      <c r="F21" s="17">
        <f t="shared" si="1"/>
        <v>220000</v>
      </c>
    </row>
    <row r="22" spans="1:6">
      <c r="A22" s="35" t="s">
        <v>442</v>
      </c>
      <c r="B22">
        <v>12418</v>
      </c>
      <c r="C22" t="s">
        <v>558</v>
      </c>
      <c r="D22" s="17">
        <v>10000</v>
      </c>
      <c r="E22" s="17">
        <f t="shared" si="0"/>
        <v>390000</v>
      </c>
      <c r="F22" s="17">
        <f t="shared" si="1"/>
        <v>210000</v>
      </c>
    </row>
    <row r="23" spans="1:6">
      <c r="A23" s="35" t="s">
        <v>443</v>
      </c>
      <c r="B23">
        <v>9042</v>
      </c>
      <c r="C23" t="s">
        <v>558</v>
      </c>
      <c r="D23" s="17">
        <v>10000</v>
      </c>
      <c r="E23" s="17">
        <f t="shared" si="0"/>
        <v>400000</v>
      </c>
      <c r="F23" s="17">
        <f t="shared" si="1"/>
        <v>200000</v>
      </c>
    </row>
    <row r="24" spans="1:6">
      <c r="A24" s="35" t="s">
        <v>43</v>
      </c>
      <c r="B24">
        <v>9891</v>
      </c>
      <c r="C24" t="s">
        <v>558</v>
      </c>
      <c r="D24" s="17">
        <v>10000</v>
      </c>
      <c r="E24" s="17">
        <f t="shared" si="0"/>
        <v>410000</v>
      </c>
      <c r="F24" s="17">
        <f t="shared" si="1"/>
        <v>190000</v>
      </c>
    </row>
    <row r="25" spans="1:6">
      <c r="A25" s="35" t="s">
        <v>444</v>
      </c>
      <c r="B25">
        <v>2681</v>
      </c>
      <c r="C25" t="s">
        <v>558</v>
      </c>
      <c r="D25" s="17">
        <v>10000</v>
      </c>
      <c r="E25" s="17">
        <f t="shared" si="0"/>
        <v>420000</v>
      </c>
      <c r="F25" s="17">
        <f t="shared" si="1"/>
        <v>180000</v>
      </c>
    </row>
    <row r="26" spans="1:6">
      <c r="A26" s="37">
        <v>45874</v>
      </c>
      <c r="B26">
        <v>10374</v>
      </c>
      <c r="C26" t="s">
        <v>558</v>
      </c>
      <c r="D26" s="17">
        <v>10000</v>
      </c>
      <c r="E26" s="17">
        <f t="shared" si="0"/>
        <v>430000</v>
      </c>
      <c r="F26" s="17">
        <f t="shared" si="1"/>
        <v>170000</v>
      </c>
    </row>
    <row r="27" spans="1:6">
      <c r="A27" s="37">
        <v>45696</v>
      </c>
      <c r="B27">
        <v>12377</v>
      </c>
      <c r="C27" t="s">
        <v>558</v>
      </c>
      <c r="D27" s="17">
        <v>10000</v>
      </c>
      <c r="E27" s="17">
        <f t="shared" si="0"/>
        <v>440000</v>
      </c>
      <c r="F27" s="17">
        <f t="shared" si="1"/>
        <v>160000</v>
      </c>
    </row>
    <row r="28" spans="1:6">
      <c r="A28" s="37">
        <v>45969</v>
      </c>
      <c r="B28">
        <v>12472</v>
      </c>
      <c r="C28" t="s">
        <v>558</v>
      </c>
      <c r="D28" s="17">
        <v>10000</v>
      </c>
      <c r="E28" s="17">
        <f t="shared" si="0"/>
        <v>450000</v>
      </c>
      <c r="F28" s="17">
        <f t="shared" si="1"/>
        <v>150000</v>
      </c>
    </row>
    <row r="29" spans="1:6">
      <c r="A29" s="37">
        <v>45972</v>
      </c>
      <c r="B29">
        <v>13329</v>
      </c>
      <c r="C29" t="s">
        <v>558</v>
      </c>
      <c r="D29" s="17">
        <v>10000</v>
      </c>
      <c r="E29" s="17">
        <f t="shared" si="0"/>
        <v>460000</v>
      </c>
      <c r="F29" s="17">
        <f t="shared" si="1"/>
        <v>140000</v>
      </c>
    </row>
    <row r="30" spans="1:6">
      <c r="A30" s="37">
        <v>45728</v>
      </c>
      <c r="B30">
        <v>13265</v>
      </c>
      <c r="C30" t="s">
        <v>558</v>
      </c>
      <c r="D30" s="17">
        <v>20000</v>
      </c>
      <c r="E30" s="17">
        <f t="shared" si="0"/>
        <v>480000</v>
      </c>
      <c r="F30" s="17">
        <f t="shared" si="1"/>
        <v>120000</v>
      </c>
    </row>
    <row r="31" spans="1:6">
      <c r="A31" s="35" t="s">
        <v>241</v>
      </c>
      <c r="B31">
        <v>12543</v>
      </c>
      <c r="C31" t="s">
        <v>558</v>
      </c>
      <c r="D31" s="17">
        <v>10000</v>
      </c>
      <c r="E31" s="17">
        <f t="shared" si="0"/>
        <v>490000</v>
      </c>
      <c r="F31" s="17">
        <f t="shared" si="1"/>
        <v>110000</v>
      </c>
    </row>
    <row r="32" spans="1:6">
      <c r="A32" s="35" t="s">
        <v>445</v>
      </c>
      <c r="B32">
        <v>13981</v>
      </c>
      <c r="C32" t="s">
        <v>558</v>
      </c>
      <c r="D32" s="17">
        <v>10000</v>
      </c>
      <c r="E32" s="17">
        <f t="shared" si="0"/>
        <v>500000</v>
      </c>
      <c r="F32" s="17">
        <f t="shared" si="1"/>
        <v>100000</v>
      </c>
    </row>
    <row r="33" spans="1:6">
      <c r="A33" s="37">
        <v>46058</v>
      </c>
      <c r="B33">
        <v>12908</v>
      </c>
      <c r="C33" t="s">
        <v>558</v>
      </c>
      <c r="D33" s="17">
        <v>15000</v>
      </c>
      <c r="E33" s="17">
        <f t="shared" si="0"/>
        <v>515000</v>
      </c>
      <c r="F33" s="17">
        <f t="shared" si="1"/>
        <v>85000</v>
      </c>
    </row>
    <row r="34" spans="1:6">
      <c r="A34" s="35" t="s">
        <v>649</v>
      </c>
      <c r="B34">
        <v>13585</v>
      </c>
      <c r="C34" t="s">
        <v>558</v>
      </c>
      <c r="D34" s="17">
        <v>10000</v>
      </c>
      <c r="E34" s="17">
        <f>E33+D34</f>
        <v>525000</v>
      </c>
      <c r="F34" s="17">
        <f>F33-D34</f>
        <v>75000</v>
      </c>
    </row>
    <row r="35" spans="1:6">
      <c r="A35" s="35" t="s">
        <v>741</v>
      </c>
      <c r="B35">
        <v>1824</v>
      </c>
      <c r="C35" t="s">
        <v>558</v>
      </c>
      <c r="D35" s="17">
        <v>20000</v>
      </c>
      <c r="E35" s="17">
        <f>E34+D35</f>
        <v>545000</v>
      </c>
      <c r="F35" s="17">
        <f>F34-D35</f>
        <v>55000</v>
      </c>
    </row>
    <row r="36" spans="1:6">
      <c r="A36" s="35" t="s">
        <v>804</v>
      </c>
      <c r="B36">
        <v>2073</v>
      </c>
      <c r="C36" t="s">
        <v>558</v>
      </c>
      <c r="D36" s="17">
        <v>10000</v>
      </c>
      <c r="E36" s="17">
        <f>E35+D36</f>
        <v>555000</v>
      </c>
      <c r="F36" s="17">
        <f>F35-D36</f>
        <v>45000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14"/>
  <sheetViews>
    <sheetView workbookViewId="0">
      <selection activeCell="D13" sqref="D13"/>
    </sheetView>
  </sheetViews>
  <sheetFormatPr defaultRowHeight="14.5"/>
  <cols>
    <col min="1" max="1" width="10.453125" bestFit="1" customWidth="1"/>
    <col min="2" max="2" width="10.26953125" customWidth="1"/>
    <col min="3" max="3" width="11.26953125" customWidth="1"/>
    <col min="4" max="7" width="10.26953125" customWidth="1"/>
  </cols>
  <sheetData>
    <row r="1" spans="1:7" ht="18.5">
      <c r="A1" s="1" t="s">
        <v>305</v>
      </c>
      <c r="B1" s="1"/>
      <c r="C1" s="1"/>
      <c r="D1" s="1"/>
      <c r="E1" s="1"/>
      <c r="F1" s="1"/>
    </row>
    <row r="2" spans="1:7" ht="18.5">
      <c r="A2" s="1" t="s">
        <v>306</v>
      </c>
      <c r="C2" s="1"/>
      <c r="D2" s="1"/>
      <c r="E2" s="1"/>
      <c r="F2" s="1"/>
    </row>
    <row r="3" spans="1:7" ht="18.5">
      <c r="A3" s="1" t="s">
        <v>307</v>
      </c>
      <c r="B3" s="1"/>
      <c r="C3" s="1"/>
      <c r="D3" s="1"/>
      <c r="E3" s="1"/>
      <c r="F3" s="1"/>
    </row>
    <row r="4" spans="1:7" ht="18.5">
      <c r="A4" s="1" t="s">
        <v>321</v>
      </c>
      <c r="B4" s="1"/>
      <c r="C4" s="1"/>
      <c r="D4" s="1"/>
      <c r="E4" s="1"/>
      <c r="F4" s="1"/>
    </row>
    <row r="5" spans="1:7" ht="18.5">
      <c r="A5" s="1" t="s">
        <v>308</v>
      </c>
      <c r="B5" s="1"/>
      <c r="C5" s="1"/>
      <c r="D5" s="1"/>
      <c r="E5" s="1"/>
      <c r="F5" s="1"/>
    </row>
    <row r="6" spans="1:7" ht="18.5">
      <c r="A6" s="1" t="s">
        <v>309</v>
      </c>
      <c r="B6" s="1"/>
      <c r="C6" s="1"/>
      <c r="D6" s="1"/>
      <c r="E6" s="1" t="s">
        <v>310</v>
      </c>
      <c r="F6" s="1"/>
    </row>
    <row r="7" spans="1:7">
      <c r="A7" s="28" t="s">
        <v>314</v>
      </c>
      <c r="B7" s="29" t="s">
        <v>315</v>
      </c>
      <c r="C7" s="29" t="s">
        <v>316</v>
      </c>
      <c r="D7" s="24" t="s">
        <v>317</v>
      </c>
      <c r="E7" s="24" t="s">
        <v>318</v>
      </c>
      <c r="F7" s="25" t="s">
        <v>319</v>
      </c>
      <c r="G7" t="s">
        <v>320</v>
      </c>
    </row>
    <row r="8" spans="1:7">
      <c r="A8" s="28" t="s">
        <v>3</v>
      </c>
      <c r="B8" s="29" t="s">
        <v>4</v>
      </c>
      <c r="C8" s="29" t="s">
        <v>5</v>
      </c>
      <c r="D8" s="24" t="s">
        <v>6</v>
      </c>
      <c r="E8" s="24" t="s">
        <v>7</v>
      </c>
      <c r="F8" s="25" t="s">
        <v>8</v>
      </c>
    </row>
    <row r="9" spans="1:7">
      <c r="A9" s="16">
        <v>45547</v>
      </c>
      <c r="B9">
        <v>12263</v>
      </c>
      <c r="C9" t="s">
        <v>10</v>
      </c>
      <c r="D9" s="17">
        <v>100000</v>
      </c>
      <c r="E9" s="17">
        <v>100000</v>
      </c>
      <c r="F9" s="17">
        <v>200000</v>
      </c>
    </row>
    <row r="10" spans="1:7">
      <c r="A10" t="s">
        <v>311</v>
      </c>
      <c r="B10">
        <v>801</v>
      </c>
      <c r="C10" t="s">
        <v>56</v>
      </c>
      <c r="D10" s="17">
        <v>50000</v>
      </c>
      <c r="E10" s="17">
        <f>SUM(E9+D10)</f>
        <v>150000</v>
      </c>
      <c r="F10" s="17">
        <f>F9-D10</f>
        <v>150000</v>
      </c>
    </row>
    <row r="11" spans="1:7">
      <c r="A11" s="16">
        <v>45638</v>
      </c>
      <c r="B11">
        <v>12367</v>
      </c>
      <c r="C11" t="s">
        <v>312</v>
      </c>
      <c r="D11" s="17">
        <v>150000</v>
      </c>
      <c r="E11" s="17">
        <f>SUM(E10+D11)</f>
        <v>300000</v>
      </c>
      <c r="F11" s="17">
        <f>F10-D11</f>
        <v>0</v>
      </c>
    </row>
    <row r="12" spans="1:7">
      <c r="A12" t="s">
        <v>303</v>
      </c>
    </row>
    <row r="13" spans="1:7">
      <c r="A13" t="s">
        <v>313</v>
      </c>
    </row>
    <row r="14" spans="1:7">
      <c r="C14" s="17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13"/>
  <sheetViews>
    <sheetView workbookViewId="0">
      <selection activeCell="I15" sqref="I15"/>
    </sheetView>
  </sheetViews>
  <sheetFormatPr defaultRowHeight="14.5"/>
  <cols>
    <col min="1" max="1" width="11.453125" customWidth="1"/>
    <col min="3" max="3" width="12.90625" customWidth="1"/>
    <col min="4" max="4" width="9.36328125" customWidth="1"/>
    <col min="5" max="5" width="10.36328125" customWidth="1"/>
    <col min="6" max="6" width="9.36328125" customWidth="1"/>
  </cols>
  <sheetData>
    <row r="1" spans="1:7" ht="18.5">
      <c r="A1" s="1" t="s">
        <v>305</v>
      </c>
      <c r="B1" s="1"/>
      <c r="C1" s="1"/>
      <c r="D1" s="1"/>
      <c r="E1" s="1"/>
      <c r="F1" s="1"/>
    </row>
    <row r="2" spans="1:7" ht="18.5">
      <c r="A2" s="1" t="s">
        <v>306</v>
      </c>
      <c r="C2" s="1"/>
      <c r="D2" s="1"/>
      <c r="E2" s="1"/>
      <c r="F2" s="1"/>
    </row>
    <row r="3" spans="1:7" ht="18.5">
      <c r="A3" s="1" t="s">
        <v>307</v>
      </c>
      <c r="B3" s="1"/>
      <c r="C3" s="1"/>
      <c r="D3" s="1"/>
      <c r="E3" s="1"/>
      <c r="F3" s="1"/>
    </row>
    <row r="4" spans="1:7" ht="18.5">
      <c r="A4" s="1" t="s">
        <v>322</v>
      </c>
      <c r="B4" s="1"/>
      <c r="C4" s="1"/>
      <c r="D4" s="1"/>
      <c r="E4" s="1"/>
      <c r="F4" s="1"/>
    </row>
    <row r="5" spans="1:7" ht="18.5">
      <c r="A5" s="1" t="s">
        <v>308</v>
      </c>
      <c r="B5" s="1"/>
      <c r="C5" s="1"/>
      <c r="D5" s="1"/>
      <c r="E5" s="1"/>
      <c r="F5" s="1"/>
    </row>
    <row r="6" spans="1:7" ht="18.5">
      <c r="A6" s="1" t="s">
        <v>323</v>
      </c>
      <c r="B6" s="1"/>
      <c r="C6" s="1"/>
      <c r="D6" s="1"/>
      <c r="E6" s="1" t="s">
        <v>310</v>
      </c>
      <c r="F6" s="1"/>
    </row>
    <row r="7" spans="1:7">
      <c r="A7" s="31" t="s">
        <v>3</v>
      </c>
      <c r="B7" s="32" t="s">
        <v>4</v>
      </c>
      <c r="C7" s="32" t="s">
        <v>5</v>
      </c>
      <c r="D7" s="33" t="s">
        <v>6</v>
      </c>
      <c r="E7" s="33" t="s">
        <v>7</v>
      </c>
      <c r="F7" s="34" t="s">
        <v>8</v>
      </c>
      <c r="G7" s="30"/>
    </row>
    <row r="8" spans="1:7">
      <c r="A8" s="16" t="s">
        <v>324</v>
      </c>
      <c r="B8" t="s">
        <v>325</v>
      </c>
      <c r="C8" t="s">
        <v>10</v>
      </c>
      <c r="D8" s="17" t="s">
        <v>326</v>
      </c>
      <c r="E8" s="17" t="s">
        <v>327</v>
      </c>
      <c r="F8" s="17" t="s">
        <v>328</v>
      </c>
    </row>
    <row r="9" spans="1:7">
      <c r="A9" t="s">
        <v>311</v>
      </c>
      <c r="B9">
        <v>801</v>
      </c>
      <c r="C9" t="s">
        <v>56</v>
      </c>
      <c r="D9" s="17">
        <v>50000</v>
      </c>
      <c r="E9" s="17">
        <f>SUM(E8+D9)</f>
        <v>1050002</v>
      </c>
      <c r="F9" s="17">
        <f>F8-D9</f>
        <v>150000</v>
      </c>
    </row>
    <row r="10" spans="1:7">
      <c r="A10" s="16">
        <v>45638</v>
      </c>
      <c r="B10">
        <v>12367</v>
      </c>
      <c r="C10" t="s">
        <v>312</v>
      </c>
      <c r="D10" s="17">
        <v>150000</v>
      </c>
      <c r="E10" s="17">
        <f>SUM(E9+D10)</f>
        <v>1200002</v>
      </c>
      <c r="F10" s="17">
        <f>F9-D10</f>
        <v>0</v>
      </c>
    </row>
    <row r="11" spans="1:7">
      <c r="A11" t="s">
        <v>303</v>
      </c>
    </row>
    <row r="12" spans="1:7">
      <c r="A12" t="s">
        <v>313</v>
      </c>
    </row>
    <row r="13" spans="1:7">
      <c r="A13" t="s">
        <v>526</v>
      </c>
      <c r="B13">
        <v>12366</v>
      </c>
      <c r="C13" t="s">
        <v>527</v>
      </c>
      <c r="D13" s="17">
        <v>150000</v>
      </c>
      <c r="E13" t="s">
        <v>528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42"/>
  <sheetViews>
    <sheetView workbookViewId="0">
      <selection activeCell="I17" sqref="I17"/>
    </sheetView>
  </sheetViews>
  <sheetFormatPr defaultRowHeight="14.5"/>
  <cols>
    <col min="1" max="1" width="10.453125" bestFit="1" customWidth="1"/>
    <col min="3" max="3" width="10.90625" customWidth="1"/>
    <col min="6" max="6" width="11.36328125" customWidth="1"/>
  </cols>
  <sheetData>
    <row r="1" spans="1:6" ht="18.5">
      <c r="A1" s="1" t="s">
        <v>262</v>
      </c>
      <c r="B1" s="1"/>
      <c r="C1" s="1"/>
      <c r="D1" s="1"/>
      <c r="E1" s="1"/>
      <c r="F1" s="1"/>
    </row>
    <row r="2" spans="1:6" ht="18.5">
      <c r="A2" s="1" t="s">
        <v>263</v>
      </c>
      <c r="C2" s="1"/>
      <c r="D2" s="1"/>
      <c r="E2" s="1"/>
      <c r="F2" s="1"/>
    </row>
    <row r="3" spans="1:6" ht="18.5">
      <c r="A3" s="1" t="s">
        <v>264</v>
      </c>
      <c r="B3" s="1"/>
      <c r="C3" s="1"/>
      <c r="D3" s="1"/>
      <c r="E3" s="1"/>
      <c r="F3" s="1"/>
    </row>
    <row r="4" spans="1:6" ht="18.5">
      <c r="A4" s="1" t="s">
        <v>267</v>
      </c>
      <c r="B4" s="1"/>
      <c r="C4" s="1"/>
      <c r="D4" s="1"/>
      <c r="E4" s="1"/>
      <c r="F4" s="1"/>
    </row>
    <row r="5" spans="1:6" ht="18.5">
      <c r="A5" s="1" t="s">
        <v>265</v>
      </c>
      <c r="B5" s="1"/>
      <c r="C5" s="1"/>
      <c r="D5" s="1"/>
      <c r="E5" s="1"/>
      <c r="F5" s="1"/>
    </row>
    <row r="6" spans="1:6" ht="18.5">
      <c r="A6" s="1" t="s">
        <v>266</v>
      </c>
      <c r="B6" s="1"/>
      <c r="C6" s="1"/>
      <c r="D6" s="1"/>
      <c r="E6" s="1" t="s">
        <v>65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7" t="s">
        <v>268</v>
      </c>
      <c r="B8" s="7">
        <v>1589</v>
      </c>
      <c r="C8" s="7" t="s">
        <v>253</v>
      </c>
      <c r="D8" s="10">
        <v>200000</v>
      </c>
      <c r="E8" s="10">
        <v>200000</v>
      </c>
      <c r="F8" s="10">
        <v>400000</v>
      </c>
    </row>
    <row r="9" spans="1:6">
      <c r="A9" s="9">
        <v>44747</v>
      </c>
      <c r="B9" s="7">
        <v>285</v>
      </c>
      <c r="C9" s="7" t="s">
        <v>207</v>
      </c>
      <c r="D9" s="10">
        <v>10000</v>
      </c>
      <c r="E9" s="10">
        <f>SUM(E8+D9)</f>
        <v>210000</v>
      </c>
      <c r="F9" s="10">
        <f>F8-D9</f>
        <v>390000</v>
      </c>
    </row>
    <row r="10" spans="1:6">
      <c r="A10" s="7" t="s">
        <v>269</v>
      </c>
      <c r="B10" s="7">
        <v>541</v>
      </c>
      <c r="C10" s="7" t="s">
        <v>12</v>
      </c>
      <c r="D10" s="10">
        <v>10000</v>
      </c>
      <c r="E10" s="10">
        <f t="shared" ref="E10:E42" si="0">SUM(E9+D10)</f>
        <v>220000</v>
      </c>
      <c r="F10" s="10">
        <f t="shared" ref="F10:F42" si="1">F9-D10</f>
        <v>380000</v>
      </c>
    </row>
    <row r="11" spans="1:6">
      <c r="A11" s="7" t="s">
        <v>270</v>
      </c>
      <c r="B11" s="7">
        <v>2860</v>
      </c>
      <c r="C11" s="7" t="s">
        <v>12</v>
      </c>
      <c r="D11" s="10">
        <v>10000</v>
      </c>
      <c r="E11" s="10">
        <f t="shared" si="0"/>
        <v>230000</v>
      </c>
      <c r="F11" s="10">
        <f t="shared" si="1"/>
        <v>370000</v>
      </c>
    </row>
    <row r="12" spans="1:6">
      <c r="A12" s="9">
        <v>45024</v>
      </c>
      <c r="B12" s="7">
        <v>2219</v>
      </c>
      <c r="C12" s="7" t="s">
        <v>12</v>
      </c>
      <c r="D12" s="10">
        <v>40000</v>
      </c>
      <c r="E12" s="10">
        <f t="shared" si="0"/>
        <v>270000</v>
      </c>
      <c r="F12" s="10">
        <f t="shared" si="1"/>
        <v>330000</v>
      </c>
    </row>
    <row r="13" spans="1:6">
      <c r="A13" s="9">
        <v>45269</v>
      </c>
      <c r="B13" s="7">
        <v>3590</v>
      </c>
      <c r="C13" s="7" t="s">
        <v>12</v>
      </c>
      <c r="D13" s="10">
        <v>10000</v>
      </c>
      <c r="E13" s="10">
        <f t="shared" si="0"/>
        <v>280000</v>
      </c>
      <c r="F13" s="10">
        <f t="shared" si="1"/>
        <v>320000</v>
      </c>
    </row>
    <row r="14" spans="1:6">
      <c r="A14" s="7" t="s">
        <v>271</v>
      </c>
      <c r="B14" s="7">
        <v>4281</v>
      </c>
      <c r="C14" s="7" t="s">
        <v>12</v>
      </c>
      <c r="D14" s="10">
        <v>10000</v>
      </c>
      <c r="E14" s="10">
        <f t="shared" si="0"/>
        <v>290000</v>
      </c>
      <c r="F14" s="10">
        <f t="shared" si="1"/>
        <v>310000</v>
      </c>
    </row>
    <row r="15" spans="1:6">
      <c r="A15" s="9">
        <v>45271</v>
      </c>
      <c r="B15" s="7">
        <v>4824</v>
      </c>
      <c r="C15" s="7" t="s">
        <v>12</v>
      </c>
      <c r="D15" s="10">
        <v>10000</v>
      </c>
      <c r="E15" s="10">
        <f t="shared" si="0"/>
        <v>300000</v>
      </c>
      <c r="F15" s="10">
        <f t="shared" si="1"/>
        <v>300000</v>
      </c>
    </row>
    <row r="16" spans="1:6">
      <c r="A16" s="9">
        <v>45211</v>
      </c>
      <c r="B16" s="7">
        <v>5408</v>
      </c>
      <c r="C16" s="7" t="s">
        <v>12</v>
      </c>
      <c r="D16" s="10">
        <v>10000</v>
      </c>
      <c r="E16" s="10">
        <f t="shared" si="0"/>
        <v>310000</v>
      </c>
      <c r="F16" s="10">
        <f t="shared" si="1"/>
        <v>290000</v>
      </c>
    </row>
    <row r="17" spans="1:6">
      <c r="A17" s="9">
        <v>45566</v>
      </c>
      <c r="B17" s="7">
        <v>6165</v>
      </c>
      <c r="C17" s="7" t="s">
        <v>12</v>
      </c>
      <c r="D17" s="10">
        <v>10000</v>
      </c>
      <c r="E17" s="10">
        <f t="shared" si="0"/>
        <v>320000</v>
      </c>
      <c r="F17" s="10">
        <f t="shared" si="1"/>
        <v>280000</v>
      </c>
    </row>
    <row r="18" spans="1:6">
      <c r="A18" s="7" t="s">
        <v>101</v>
      </c>
      <c r="B18" s="7">
        <v>6654</v>
      </c>
      <c r="C18" s="7" t="s">
        <v>12</v>
      </c>
      <c r="D18" s="10">
        <v>10000</v>
      </c>
      <c r="E18" s="10">
        <f t="shared" si="0"/>
        <v>330000</v>
      </c>
      <c r="F18" s="10">
        <f t="shared" si="1"/>
        <v>270000</v>
      </c>
    </row>
    <row r="19" spans="1:6">
      <c r="A19" s="7" t="s">
        <v>100</v>
      </c>
      <c r="B19" s="7">
        <v>7410</v>
      </c>
      <c r="C19" s="7" t="s">
        <v>12</v>
      </c>
      <c r="D19" s="10">
        <v>10000</v>
      </c>
      <c r="E19" s="10">
        <f t="shared" si="0"/>
        <v>340000</v>
      </c>
      <c r="F19" s="10">
        <f t="shared" si="1"/>
        <v>260000</v>
      </c>
    </row>
    <row r="20" spans="1:6">
      <c r="A20" s="7" t="s">
        <v>105</v>
      </c>
      <c r="B20" s="7">
        <v>7841</v>
      </c>
      <c r="C20" s="7" t="s">
        <v>12</v>
      </c>
      <c r="D20" s="10">
        <v>10000</v>
      </c>
      <c r="E20" s="10">
        <f t="shared" si="0"/>
        <v>350000</v>
      </c>
      <c r="F20" s="10">
        <f t="shared" si="1"/>
        <v>250000</v>
      </c>
    </row>
    <row r="21" spans="1:6">
      <c r="A21" s="9">
        <v>45631</v>
      </c>
      <c r="B21" s="7">
        <v>8441</v>
      </c>
      <c r="C21" s="7" t="s">
        <v>12</v>
      </c>
      <c r="D21" s="10">
        <v>10000</v>
      </c>
      <c r="E21" s="10">
        <f t="shared" si="0"/>
        <v>360000</v>
      </c>
      <c r="F21" s="10">
        <f t="shared" si="1"/>
        <v>240000</v>
      </c>
    </row>
    <row r="22" spans="1:6">
      <c r="A22" s="7" t="s">
        <v>272</v>
      </c>
      <c r="B22" s="7">
        <v>9126</v>
      </c>
      <c r="C22" s="7" t="s">
        <v>12</v>
      </c>
      <c r="D22" s="10">
        <v>10000</v>
      </c>
      <c r="E22" s="10">
        <f t="shared" si="0"/>
        <v>370000</v>
      </c>
      <c r="F22" s="10">
        <f t="shared" si="1"/>
        <v>230000</v>
      </c>
    </row>
    <row r="23" spans="1:6">
      <c r="A23" s="7" t="s">
        <v>273</v>
      </c>
      <c r="B23" s="7">
        <v>9609</v>
      </c>
      <c r="C23" s="7" t="s">
        <v>12</v>
      </c>
      <c r="D23" s="10">
        <v>10000</v>
      </c>
      <c r="E23" s="10">
        <f t="shared" si="0"/>
        <v>380000</v>
      </c>
      <c r="F23" s="10">
        <f t="shared" si="1"/>
        <v>220000</v>
      </c>
    </row>
    <row r="24" spans="1:6">
      <c r="A24" s="9">
        <v>45513</v>
      </c>
      <c r="B24" s="7">
        <v>10586</v>
      </c>
      <c r="C24" s="7" t="s">
        <v>12</v>
      </c>
      <c r="D24" s="10">
        <v>20000</v>
      </c>
      <c r="E24" s="10">
        <f t="shared" si="0"/>
        <v>400000</v>
      </c>
      <c r="F24" s="10">
        <f t="shared" si="1"/>
        <v>200000</v>
      </c>
    </row>
    <row r="25" spans="1:6">
      <c r="A25" s="9" t="s">
        <v>58</v>
      </c>
      <c r="B25" s="7">
        <v>11651</v>
      </c>
      <c r="C25" s="7" t="s">
        <v>12</v>
      </c>
      <c r="D25" s="10">
        <v>10000</v>
      </c>
      <c r="E25" s="10">
        <f t="shared" si="0"/>
        <v>410000</v>
      </c>
      <c r="F25" s="10">
        <f t="shared" si="1"/>
        <v>190000</v>
      </c>
    </row>
    <row r="26" spans="1:6">
      <c r="A26" s="9" t="s">
        <v>39</v>
      </c>
      <c r="B26" s="7">
        <v>12113</v>
      </c>
      <c r="C26" s="7" t="s">
        <v>12</v>
      </c>
      <c r="D26" s="10">
        <v>10000</v>
      </c>
      <c r="E26" s="10">
        <f t="shared" si="0"/>
        <v>420000</v>
      </c>
      <c r="F26" s="10">
        <f t="shared" si="1"/>
        <v>180000</v>
      </c>
    </row>
    <row r="27" spans="1:6">
      <c r="A27" s="9" t="s">
        <v>274</v>
      </c>
      <c r="B27" s="7">
        <v>12612</v>
      </c>
      <c r="C27" s="7" t="s">
        <v>12</v>
      </c>
      <c r="D27" s="10">
        <v>10000</v>
      </c>
      <c r="E27" s="10">
        <f t="shared" si="0"/>
        <v>430000</v>
      </c>
      <c r="F27" s="10">
        <f t="shared" si="1"/>
        <v>170000</v>
      </c>
    </row>
    <row r="28" spans="1:6">
      <c r="A28" s="9">
        <v>45992</v>
      </c>
      <c r="B28" s="7">
        <v>12023</v>
      </c>
      <c r="C28" s="7" t="s">
        <v>12</v>
      </c>
      <c r="D28" s="10">
        <v>10000</v>
      </c>
      <c r="E28" s="10">
        <f t="shared" si="0"/>
        <v>440000</v>
      </c>
      <c r="F28" s="10">
        <f t="shared" si="1"/>
        <v>160000</v>
      </c>
    </row>
    <row r="29" spans="1:6">
      <c r="A29" s="9">
        <v>45902</v>
      </c>
      <c r="B29" s="7">
        <v>9273</v>
      </c>
      <c r="C29" s="7" t="s">
        <v>12</v>
      </c>
      <c r="D29" s="10">
        <v>10000</v>
      </c>
      <c r="E29" s="10">
        <f t="shared" si="0"/>
        <v>450000</v>
      </c>
      <c r="F29" s="10">
        <f t="shared" si="1"/>
        <v>150000</v>
      </c>
    </row>
    <row r="30" spans="1:6">
      <c r="A30" s="9">
        <v>45903</v>
      </c>
      <c r="B30" s="7">
        <v>9660</v>
      </c>
      <c r="C30" s="7" t="s">
        <v>12</v>
      </c>
      <c r="D30" s="10">
        <v>10000</v>
      </c>
      <c r="E30" s="10">
        <f t="shared" si="0"/>
        <v>460000</v>
      </c>
      <c r="F30" s="10">
        <f t="shared" si="1"/>
        <v>140000</v>
      </c>
    </row>
    <row r="31" spans="1:6">
      <c r="A31" s="7" t="s">
        <v>275</v>
      </c>
      <c r="B31" s="7">
        <v>10063</v>
      </c>
      <c r="C31" s="7" t="s">
        <v>12</v>
      </c>
      <c r="D31" s="10">
        <v>10000</v>
      </c>
      <c r="E31" s="10">
        <f t="shared" si="0"/>
        <v>470000</v>
      </c>
      <c r="F31" s="10">
        <f t="shared" si="1"/>
        <v>130000</v>
      </c>
    </row>
    <row r="32" spans="1:6">
      <c r="A32" s="9">
        <v>45966</v>
      </c>
      <c r="B32" s="7">
        <v>10924</v>
      </c>
      <c r="C32" s="7" t="s">
        <v>12</v>
      </c>
      <c r="D32" s="10">
        <v>10000</v>
      </c>
      <c r="E32" s="10">
        <f t="shared" si="0"/>
        <v>480000</v>
      </c>
      <c r="F32" s="10">
        <f t="shared" si="1"/>
        <v>120000</v>
      </c>
    </row>
    <row r="33" spans="1:6">
      <c r="A33" s="7" t="s">
        <v>251</v>
      </c>
      <c r="B33" s="7">
        <v>9945</v>
      </c>
      <c r="C33" s="7" t="s">
        <v>12</v>
      </c>
      <c r="D33" s="10">
        <v>10000</v>
      </c>
      <c r="E33" s="10">
        <f t="shared" si="0"/>
        <v>490000</v>
      </c>
      <c r="F33" s="10">
        <f t="shared" si="1"/>
        <v>110000</v>
      </c>
    </row>
    <row r="34" spans="1:6">
      <c r="A34" s="7" t="s">
        <v>276</v>
      </c>
      <c r="B34" s="7">
        <v>12191</v>
      </c>
      <c r="C34" s="7" t="s">
        <v>12</v>
      </c>
      <c r="D34" s="10">
        <v>10000</v>
      </c>
      <c r="E34" s="10">
        <f t="shared" si="0"/>
        <v>500000</v>
      </c>
      <c r="F34" s="10">
        <f t="shared" si="1"/>
        <v>100000</v>
      </c>
    </row>
    <row r="35" spans="1:6">
      <c r="A35" s="9">
        <v>45938</v>
      </c>
      <c r="B35" s="7">
        <v>12457</v>
      </c>
      <c r="C35" s="7" t="s">
        <v>12</v>
      </c>
      <c r="D35" s="10">
        <v>10000</v>
      </c>
      <c r="E35" s="10">
        <f t="shared" si="0"/>
        <v>510000</v>
      </c>
      <c r="F35" s="10">
        <f t="shared" si="1"/>
        <v>90000</v>
      </c>
    </row>
    <row r="36" spans="1:6">
      <c r="A36" s="7" t="s">
        <v>89</v>
      </c>
      <c r="B36" s="7">
        <v>12738</v>
      </c>
      <c r="C36" s="7" t="s">
        <v>12</v>
      </c>
      <c r="D36" s="10">
        <v>10000</v>
      </c>
      <c r="E36" s="10">
        <f t="shared" si="0"/>
        <v>520000</v>
      </c>
      <c r="F36" s="10">
        <f t="shared" si="1"/>
        <v>80000</v>
      </c>
    </row>
    <row r="37" spans="1:6">
      <c r="A37" s="7" t="s">
        <v>277</v>
      </c>
      <c r="B37" s="7">
        <v>13799</v>
      </c>
      <c r="C37" s="7" t="s">
        <v>12</v>
      </c>
      <c r="D37" s="10">
        <v>10000</v>
      </c>
      <c r="E37" s="10">
        <f t="shared" si="0"/>
        <v>530000</v>
      </c>
      <c r="F37" s="10">
        <f t="shared" si="1"/>
        <v>70000</v>
      </c>
    </row>
    <row r="38" spans="1:6">
      <c r="A38" s="7" t="s">
        <v>278</v>
      </c>
      <c r="B38" s="7">
        <v>13389</v>
      </c>
      <c r="C38" s="7" t="s">
        <v>12</v>
      </c>
      <c r="D38" s="10">
        <v>10000</v>
      </c>
      <c r="E38" s="10">
        <f t="shared" si="0"/>
        <v>540000</v>
      </c>
      <c r="F38" s="10">
        <f t="shared" si="1"/>
        <v>60000</v>
      </c>
    </row>
    <row r="39" spans="1:6">
      <c r="A39" s="7" t="s">
        <v>212</v>
      </c>
      <c r="B39" s="7">
        <v>12601</v>
      </c>
      <c r="C39" s="7" t="s">
        <v>12</v>
      </c>
      <c r="D39" s="10">
        <v>10000</v>
      </c>
      <c r="E39" s="10">
        <f t="shared" si="0"/>
        <v>550000</v>
      </c>
      <c r="F39" s="10">
        <f t="shared" si="1"/>
        <v>50000</v>
      </c>
    </row>
    <row r="40" spans="1:6">
      <c r="A40" s="9">
        <v>46327</v>
      </c>
      <c r="B40" s="7">
        <v>12081</v>
      </c>
      <c r="C40" s="7" t="s">
        <v>12</v>
      </c>
      <c r="D40" s="10">
        <v>10000</v>
      </c>
      <c r="E40" s="10">
        <f t="shared" si="0"/>
        <v>560000</v>
      </c>
      <c r="F40" s="10">
        <f t="shared" si="1"/>
        <v>40000</v>
      </c>
    </row>
    <row r="41" spans="1:6">
      <c r="A41" s="7" t="s">
        <v>279</v>
      </c>
      <c r="B41" s="7">
        <v>12470</v>
      </c>
      <c r="C41" s="7" t="s">
        <v>12</v>
      </c>
      <c r="D41" s="10">
        <v>10000</v>
      </c>
      <c r="E41" s="10">
        <f t="shared" si="0"/>
        <v>570000</v>
      </c>
      <c r="F41" s="10">
        <f t="shared" si="1"/>
        <v>30000</v>
      </c>
    </row>
    <row r="42" spans="1:6">
      <c r="A42" s="7" t="s">
        <v>280</v>
      </c>
      <c r="B42" s="7">
        <v>12774</v>
      </c>
      <c r="C42" s="7" t="s">
        <v>12</v>
      </c>
      <c r="D42" s="10">
        <v>10000</v>
      </c>
      <c r="E42" s="10">
        <f t="shared" si="0"/>
        <v>580000</v>
      </c>
      <c r="F42" s="10">
        <f t="shared" si="1"/>
        <v>20000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F29"/>
  <sheetViews>
    <sheetView topLeftCell="A9" workbookViewId="0">
      <selection activeCell="I20" sqref="I20"/>
    </sheetView>
  </sheetViews>
  <sheetFormatPr defaultRowHeight="14.5"/>
  <cols>
    <col min="1" max="1" width="11.26953125" customWidth="1"/>
    <col min="3" max="3" width="13.26953125" customWidth="1"/>
    <col min="6" max="6" width="11.08984375" customWidth="1"/>
  </cols>
  <sheetData>
    <row r="1" spans="1:6" ht="18.5">
      <c r="A1" s="1" t="s">
        <v>415</v>
      </c>
      <c r="B1" s="1"/>
      <c r="C1" s="1"/>
      <c r="D1" s="1"/>
      <c r="E1" s="1"/>
      <c r="F1" s="1"/>
    </row>
    <row r="2" spans="1:6" ht="18.5">
      <c r="A2" s="1" t="s">
        <v>416</v>
      </c>
      <c r="C2" s="1"/>
      <c r="D2" s="1"/>
      <c r="E2" s="1"/>
      <c r="F2" s="1"/>
    </row>
    <row r="3" spans="1:6" ht="18.5">
      <c r="A3" s="1" t="s">
        <v>417</v>
      </c>
      <c r="B3" s="1"/>
      <c r="C3" s="1"/>
      <c r="D3" s="1"/>
      <c r="E3" s="1"/>
      <c r="F3" s="1"/>
    </row>
    <row r="4" spans="1:6" ht="18.5">
      <c r="A4" s="1" t="s">
        <v>420</v>
      </c>
      <c r="B4" s="1"/>
      <c r="C4" s="1"/>
      <c r="D4" s="1"/>
      <c r="E4" s="1"/>
      <c r="F4" s="1"/>
    </row>
    <row r="5" spans="1:6" ht="18.5">
      <c r="A5" s="1" t="s">
        <v>418</v>
      </c>
      <c r="B5" s="1"/>
      <c r="C5" s="1"/>
      <c r="D5" s="1"/>
      <c r="E5" s="1"/>
      <c r="F5" s="1"/>
    </row>
    <row r="6" spans="1:6" ht="18.5">
      <c r="A6" s="1" t="s">
        <v>419</v>
      </c>
      <c r="B6" s="1"/>
      <c r="C6" s="1"/>
      <c r="D6" s="1"/>
      <c r="E6" s="1" t="s">
        <v>131</v>
      </c>
      <c r="F6" s="1"/>
    </row>
    <row r="7" spans="1:6">
      <c r="A7" s="67" t="s">
        <v>3</v>
      </c>
      <c r="B7" s="68" t="s">
        <v>4</v>
      </c>
      <c r="C7" s="68" t="s">
        <v>5</v>
      </c>
      <c r="D7" s="68" t="s">
        <v>6</v>
      </c>
      <c r="E7" s="68" t="s">
        <v>7</v>
      </c>
      <c r="F7" s="68" t="s">
        <v>8</v>
      </c>
    </row>
    <row r="8" spans="1:6">
      <c r="A8" s="2" t="s">
        <v>421</v>
      </c>
      <c r="B8" s="2">
        <v>654</v>
      </c>
      <c r="C8" s="2" t="s">
        <v>57</v>
      </c>
      <c r="D8" s="4">
        <v>10000</v>
      </c>
      <c r="E8" s="4">
        <v>10000</v>
      </c>
      <c r="F8" s="4">
        <v>210000</v>
      </c>
    </row>
    <row r="9" spans="1:6">
      <c r="A9" s="69">
        <v>44986</v>
      </c>
      <c r="B9" s="70">
        <v>3</v>
      </c>
      <c r="C9" s="70" t="s">
        <v>171</v>
      </c>
      <c r="D9" s="71">
        <v>20000</v>
      </c>
      <c r="E9" s="71">
        <f>SUM(E8+D9)</f>
        <v>30000</v>
      </c>
      <c r="F9" s="71">
        <f>F8-D9</f>
        <v>190000</v>
      </c>
    </row>
    <row r="10" spans="1:6">
      <c r="A10" s="2" t="s">
        <v>422</v>
      </c>
      <c r="B10" s="2">
        <v>2333</v>
      </c>
      <c r="C10" s="2" t="s">
        <v>57</v>
      </c>
      <c r="D10" s="4">
        <v>10000</v>
      </c>
      <c r="E10" s="4">
        <f t="shared" ref="E10:E28" si="0">SUM(E9+D10)</f>
        <v>40000</v>
      </c>
      <c r="F10" s="4">
        <f t="shared" ref="F10:F28" si="1">F9-D10</f>
        <v>180000</v>
      </c>
    </row>
    <row r="11" spans="1:6">
      <c r="A11" s="69">
        <v>45203</v>
      </c>
      <c r="B11" s="70">
        <v>1099</v>
      </c>
      <c r="C11" s="70" t="s">
        <v>57</v>
      </c>
      <c r="D11" s="71">
        <v>10000</v>
      </c>
      <c r="E11" s="71">
        <f t="shared" si="0"/>
        <v>50000</v>
      </c>
      <c r="F11" s="71">
        <f t="shared" si="1"/>
        <v>170000</v>
      </c>
    </row>
    <row r="12" spans="1:6">
      <c r="A12" s="2" t="s">
        <v>268</v>
      </c>
      <c r="B12" s="2">
        <v>1585</v>
      </c>
      <c r="C12" s="2" t="s">
        <v>57</v>
      </c>
      <c r="D12" s="4">
        <v>10000</v>
      </c>
      <c r="E12" s="4">
        <f t="shared" si="0"/>
        <v>60000</v>
      </c>
      <c r="F12" s="4">
        <f t="shared" si="1"/>
        <v>160000</v>
      </c>
    </row>
    <row r="13" spans="1:6">
      <c r="A13" s="69">
        <v>45267</v>
      </c>
      <c r="B13" s="70">
        <v>2724</v>
      </c>
      <c r="C13" s="70" t="s">
        <v>57</v>
      </c>
      <c r="D13" s="71">
        <v>10000</v>
      </c>
      <c r="E13" s="71">
        <f t="shared" si="0"/>
        <v>70000</v>
      </c>
      <c r="F13" s="71">
        <f t="shared" si="1"/>
        <v>150000</v>
      </c>
    </row>
    <row r="14" spans="1:6">
      <c r="A14" s="2" t="s">
        <v>423</v>
      </c>
      <c r="B14" s="2">
        <v>2429</v>
      </c>
      <c r="C14" s="2" t="s">
        <v>57</v>
      </c>
      <c r="D14" s="4">
        <v>10000</v>
      </c>
      <c r="E14" s="4">
        <f t="shared" si="0"/>
        <v>80000</v>
      </c>
      <c r="F14" s="4">
        <f t="shared" si="1"/>
        <v>140000</v>
      </c>
    </row>
    <row r="15" spans="1:6">
      <c r="A15" s="69" t="s">
        <v>424</v>
      </c>
      <c r="B15" s="70">
        <v>3666</v>
      </c>
      <c r="C15" s="70" t="s">
        <v>57</v>
      </c>
      <c r="D15" s="71">
        <v>10000</v>
      </c>
      <c r="E15" s="71">
        <f t="shared" si="0"/>
        <v>90000</v>
      </c>
      <c r="F15" s="71">
        <f t="shared" si="1"/>
        <v>130000</v>
      </c>
    </row>
    <row r="16" spans="1:6">
      <c r="A16" s="2" t="s">
        <v>271</v>
      </c>
      <c r="B16" s="2">
        <v>4272</v>
      </c>
      <c r="C16" s="2" t="s">
        <v>57</v>
      </c>
      <c r="D16" s="4">
        <v>10000</v>
      </c>
      <c r="E16" s="4">
        <f t="shared" si="0"/>
        <v>100000</v>
      </c>
      <c r="F16" s="4">
        <f t="shared" si="1"/>
        <v>120000</v>
      </c>
    </row>
    <row r="17" spans="1:6">
      <c r="A17" s="69">
        <v>45271</v>
      </c>
      <c r="B17" s="70">
        <v>4827</v>
      </c>
      <c r="C17" s="70" t="s">
        <v>57</v>
      </c>
      <c r="D17" s="71">
        <v>10000</v>
      </c>
      <c r="E17" s="71">
        <f t="shared" si="0"/>
        <v>110000</v>
      </c>
      <c r="F17" s="71">
        <f t="shared" si="1"/>
        <v>110000</v>
      </c>
    </row>
    <row r="18" spans="1:6">
      <c r="A18" s="2" t="s">
        <v>425</v>
      </c>
      <c r="B18" s="2">
        <v>5728</v>
      </c>
      <c r="C18" s="2" t="s">
        <v>57</v>
      </c>
      <c r="D18" s="4">
        <v>10000</v>
      </c>
      <c r="E18" s="4">
        <f t="shared" si="0"/>
        <v>120000</v>
      </c>
      <c r="F18" s="4">
        <f t="shared" si="1"/>
        <v>100000</v>
      </c>
    </row>
    <row r="19" spans="1:6">
      <c r="A19" s="69" t="s">
        <v>33</v>
      </c>
      <c r="B19" s="70">
        <v>6142</v>
      </c>
      <c r="C19" s="70" t="s">
        <v>57</v>
      </c>
      <c r="D19" s="71">
        <v>10000</v>
      </c>
      <c r="E19" s="71">
        <f t="shared" si="0"/>
        <v>130000</v>
      </c>
      <c r="F19" s="71">
        <f t="shared" si="1"/>
        <v>90000</v>
      </c>
    </row>
    <row r="20" spans="1:6">
      <c r="A20" s="2" t="s">
        <v>426</v>
      </c>
      <c r="B20" s="2">
        <v>6632</v>
      </c>
      <c r="C20" s="2" t="s">
        <v>57</v>
      </c>
      <c r="D20" s="4">
        <v>8000</v>
      </c>
      <c r="E20" s="4">
        <f t="shared" si="0"/>
        <v>138000</v>
      </c>
      <c r="F20" s="4">
        <f t="shared" si="1"/>
        <v>82000</v>
      </c>
    </row>
    <row r="21" spans="1:6">
      <c r="A21" s="69" t="s">
        <v>34</v>
      </c>
      <c r="B21" s="70">
        <v>7388</v>
      </c>
      <c r="C21" s="70" t="s">
        <v>57</v>
      </c>
      <c r="D21" s="71">
        <v>10000</v>
      </c>
      <c r="E21" s="71">
        <f t="shared" si="0"/>
        <v>148000</v>
      </c>
      <c r="F21" s="71">
        <f t="shared" si="1"/>
        <v>72000</v>
      </c>
    </row>
    <row r="22" spans="1:6">
      <c r="A22" s="6">
        <v>45417</v>
      </c>
      <c r="B22" s="2">
        <v>8219</v>
      </c>
      <c r="C22" s="2" t="s">
        <v>57</v>
      </c>
      <c r="D22" s="4">
        <v>20000</v>
      </c>
      <c r="E22" s="4">
        <f t="shared" si="0"/>
        <v>168000</v>
      </c>
      <c r="F22" s="4">
        <f t="shared" si="1"/>
        <v>52000</v>
      </c>
    </row>
    <row r="23" spans="1:6">
      <c r="A23" s="69">
        <v>45510</v>
      </c>
      <c r="B23" s="70">
        <v>8897</v>
      </c>
      <c r="C23" s="70" t="s">
        <v>57</v>
      </c>
      <c r="D23" s="71">
        <v>10000</v>
      </c>
      <c r="E23" s="71">
        <f t="shared" si="0"/>
        <v>178000</v>
      </c>
      <c r="F23" s="71">
        <f t="shared" si="1"/>
        <v>42000</v>
      </c>
    </row>
    <row r="24" spans="1:6">
      <c r="A24" s="6" t="s">
        <v>393</v>
      </c>
      <c r="B24" s="2">
        <v>9630</v>
      </c>
      <c r="C24" s="2" t="s">
        <v>57</v>
      </c>
      <c r="D24" s="4">
        <v>10000</v>
      </c>
      <c r="E24" s="4">
        <f t="shared" si="0"/>
        <v>188000</v>
      </c>
      <c r="F24" s="4">
        <f t="shared" si="1"/>
        <v>32000</v>
      </c>
    </row>
    <row r="25" spans="1:6">
      <c r="A25" s="69">
        <v>45604</v>
      </c>
      <c r="B25" s="70">
        <v>11064</v>
      </c>
      <c r="C25" s="70" t="s">
        <v>57</v>
      </c>
      <c r="D25" s="71">
        <v>8000</v>
      </c>
      <c r="E25" s="71">
        <f t="shared" si="0"/>
        <v>196000</v>
      </c>
      <c r="F25" s="71">
        <f t="shared" si="1"/>
        <v>24000</v>
      </c>
    </row>
    <row r="26" spans="1:6">
      <c r="A26" s="2" t="s">
        <v>427</v>
      </c>
      <c r="B26" s="2">
        <v>10770</v>
      </c>
      <c r="C26" s="2" t="s">
        <v>57</v>
      </c>
      <c r="D26" s="4">
        <v>8000</v>
      </c>
      <c r="E26" s="4">
        <f t="shared" si="0"/>
        <v>204000</v>
      </c>
      <c r="F26" s="4">
        <f t="shared" si="1"/>
        <v>16000</v>
      </c>
    </row>
    <row r="27" spans="1:6">
      <c r="A27" s="70" t="s">
        <v>58</v>
      </c>
      <c r="B27" s="70">
        <v>11617</v>
      </c>
      <c r="C27" s="70" t="s">
        <v>57</v>
      </c>
      <c r="D27" s="71">
        <v>8000</v>
      </c>
      <c r="E27" s="71">
        <f t="shared" si="0"/>
        <v>212000</v>
      </c>
      <c r="F27" s="71">
        <f t="shared" si="1"/>
        <v>8000</v>
      </c>
    </row>
    <row r="28" spans="1:6">
      <c r="A28" s="6" t="s">
        <v>39</v>
      </c>
      <c r="B28" s="2">
        <v>12121</v>
      </c>
      <c r="C28" s="2" t="s">
        <v>57</v>
      </c>
      <c r="D28" s="4">
        <v>8000</v>
      </c>
      <c r="E28" s="4">
        <f t="shared" si="0"/>
        <v>220000</v>
      </c>
      <c r="F28" s="4">
        <f t="shared" si="1"/>
        <v>0</v>
      </c>
    </row>
    <row r="29" spans="1:6" ht="18.5">
      <c r="A29" s="65" t="s">
        <v>313</v>
      </c>
      <c r="B29" s="66"/>
      <c r="C29" s="66"/>
      <c r="D29" s="38"/>
      <c r="E29" s="38"/>
      <c r="F29" s="38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47"/>
  <sheetViews>
    <sheetView topLeftCell="A32" workbookViewId="0">
      <selection activeCell="A35" sqref="A35:F47"/>
    </sheetView>
  </sheetViews>
  <sheetFormatPr defaultRowHeight="14.5"/>
  <cols>
    <col min="1" max="1" width="10.453125" customWidth="1"/>
    <col min="3" max="3" width="13.1796875" customWidth="1"/>
    <col min="4" max="4" width="14.453125" customWidth="1"/>
    <col min="5" max="5" width="12" customWidth="1"/>
    <col min="6" max="6" width="16.7265625" customWidth="1"/>
  </cols>
  <sheetData>
    <row r="1" spans="1:6" ht="18.5">
      <c r="A1" s="1" t="s">
        <v>447</v>
      </c>
      <c r="B1" s="1"/>
      <c r="C1" s="1"/>
      <c r="D1" s="1"/>
      <c r="E1" s="1"/>
      <c r="F1" s="1"/>
    </row>
    <row r="2" spans="1:6" ht="18.5">
      <c r="A2" s="1" t="s">
        <v>448</v>
      </c>
      <c r="C2" s="1"/>
      <c r="D2" s="1"/>
      <c r="E2" s="1"/>
      <c r="F2" s="1"/>
    </row>
    <row r="3" spans="1:6" ht="18.5">
      <c r="A3" s="1" t="s">
        <v>449</v>
      </c>
      <c r="B3" s="1"/>
      <c r="C3" s="1"/>
      <c r="D3" s="1"/>
      <c r="E3" s="1"/>
      <c r="F3" s="1"/>
    </row>
    <row r="4" spans="1:6" ht="18.5">
      <c r="A4" s="1" t="s">
        <v>460</v>
      </c>
      <c r="B4" s="1"/>
      <c r="C4" s="1"/>
      <c r="D4" s="1"/>
      <c r="E4" s="1"/>
      <c r="F4" s="1"/>
    </row>
    <row r="5" spans="1:6" ht="18.5">
      <c r="A5" s="1" t="s">
        <v>789</v>
      </c>
      <c r="B5" s="1"/>
      <c r="C5" s="1"/>
      <c r="D5" s="1"/>
      <c r="E5" s="1"/>
      <c r="F5" s="1"/>
    </row>
    <row r="6" spans="1:6" ht="18.5">
      <c r="A6" s="1" t="s">
        <v>450</v>
      </c>
      <c r="B6" s="1"/>
      <c r="C6" s="1"/>
      <c r="D6" s="1"/>
      <c r="E6" s="1" t="s">
        <v>131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2" t="s">
        <v>451</v>
      </c>
      <c r="B8" s="12">
        <v>482</v>
      </c>
      <c r="C8" s="12" t="s">
        <v>142</v>
      </c>
      <c r="D8" s="14">
        <v>10000</v>
      </c>
      <c r="E8" s="14">
        <v>10000</v>
      </c>
      <c r="F8" s="14">
        <v>240000</v>
      </c>
    </row>
    <row r="9" spans="1:6">
      <c r="A9" s="13">
        <v>44630</v>
      </c>
      <c r="B9" s="12">
        <v>1504</v>
      </c>
      <c r="C9" s="12" t="s">
        <v>12</v>
      </c>
      <c r="D9" s="14">
        <v>10000</v>
      </c>
      <c r="E9" s="14">
        <f>SUM(E8+D9)</f>
        <v>20000</v>
      </c>
      <c r="F9" s="14">
        <f>F8-D9</f>
        <v>230000</v>
      </c>
    </row>
    <row r="10" spans="1:6">
      <c r="A10" s="12" t="s">
        <v>452</v>
      </c>
      <c r="B10" s="12">
        <v>1391</v>
      </c>
      <c r="C10" s="12" t="s">
        <v>171</v>
      </c>
      <c r="D10" s="14">
        <v>30000</v>
      </c>
      <c r="E10" s="14">
        <f t="shared" ref="E10:E29" si="0">SUM(E9+D10)</f>
        <v>50000</v>
      </c>
      <c r="F10" s="14">
        <f t="shared" ref="F10:F29" si="1">F9-D10</f>
        <v>200000</v>
      </c>
    </row>
    <row r="11" spans="1:6">
      <c r="A11" s="12" t="s">
        <v>453</v>
      </c>
      <c r="B11" s="12">
        <v>1189</v>
      </c>
      <c r="C11" s="12" t="s">
        <v>12</v>
      </c>
      <c r="D11" s="14">
        <v>10000</v>
      </c>
      <c r="E11" s="14">
        <f t="shared" si="0"/>
        <v>60000</v>
      </c>
      <c r="F11" s="14">
        <f t="shared" si="1"/>
        <v>190000</v>
      </c>
    </row>
    <row r="12" spans="1:6">
      <c r="A12" s="12" t="s">
        <v>454</v>
      </c>
      <c r="B12" s="12">
        <v>200</v>
      </c>
      <c r="C12" s="12" t="s">
        <v>12</v>
      </c>
      <c r="D12" s="14">
        <v>10000</v>
      </c>
      <c r="E12" s="14">
        <f t="shared" si="0"/>
        <v>70000</v>
      </c>
      <c r="F12" s="14">
        <f t="shared" si="1"/>
        <v>180000</v>
      </c>
    </row>
    <row r="13" spans="1:6">
      <c r="A13" s="12" t="s">
        <v>455</v>
      </c>
      <c r="B13" s="12">
        <v>2012</v>
      </c>
      <c r="C13" s="12" t="s">
        <v>12</v>
      </c>
      <c r="D13" s="14">
        <v>10000</v>
      </c>
      <c r="E13" s="14">
        <f t="shared" si="0"/>
        <v>80000</v>
      </c>
      <c r="F13" s="14">
        <f t="shared" si="1"/>
        <v>170000</v>
      </c>
    </row>
    <row r="14" spans="1:6">
      <c r="A14" s="13">
        <v>44934</v>
      </c>
      <c r="B14" s="12">
        <v>2582</v>
      </c>
      <c r="C14" s="12" t="s">
        <v>12</v>
      </c>
      <c r="D14" s="14">
        <v>10000</v>
      </c>
      <c r="E14" s="14">
        <f t="shared" si="0"/>
        <v>90000</v>
      </c>
      <c r="F14" s="14">
        <f t="shared" si="1"/>
        <v>160000</v>
      </c>
    </row>
    <row r="15" spans="1:6">
      <c r="A15" s="13">
        <v>44994</v>
      </c>
      <c r="B15" s="12">
        <v>3366</v>
      </c>
      <c r="C15" s="12" t="s">
        <v>12</v>
      </c>
      <c r="D15" s="14">
        <v>10000</v>
      </c>
      <c r="E15" s="14">
        <f t="shared" si="0"/>
        <v>100000</v>
      </c>
      <c r="F15" s="14">
        <f t="shared" si="1"/>
        <v>150000</v>
      </c>
    </row>
    <row r="16" spans="1:6">
      <c r="A16" s="13">
        <v>45148</v>
      </c>
      <c r="B16" s="12">
        <v>4103</v>
      </c>
      <c r="C16" s="12" t="s">
        <v>12</v>
      </c>
      <c r="D16" s="14">
        <v>10000</v>
      </c>
      <c r="E16" s="14">
        <f t="shared" si="0"/>
        <v>110000</v>
      </c>
      <c r="F16" s="14">
        <f t="shared" si="1"/>
        <v>140000</v>
      </c>
    </row>
    <row r="17" spans="1:6">
      <c r="A17" s="13">
        <v>45057</v>
      </c>
      <c r="B17" s="12">
        <v>4656</v>
      </c>
      <c r="C17" s="12" t="s">
        <v>12</v>
      </c>
      <c r="D17" s="14">
        <v>10000</v>
      </c>
      <c r="E17" s="14">
        <f t="shared" si="0"/>
        <v>120000</v>
      </c>
      <c r="F17" s="14">
        <f t="shared" si="1"/>
        <v>130000</v>
      </c>
    </row>
    <row r="18" spans="1:6">
      <c r="A18" s="13">
        <v>44997</v>
      </c>
      <c r="B18" s="12">
        <v>5261</v>
      </c>
      <c r="C18" s="12" t="s">
        <v>12</v>
      </c>
      <c r="D18" s="14">
        <v>10000</v>
      </c>
      <c r="E18" s="14">
        <f t="shared" si="0"/>
        <v>130000</v>
      </c>
      <c r="F18" s="14">
        <f t="shared" si="1"/>
        <v>120000</v>
      </c>
    </row>
    <row r="19" spans="1:6">
      <c r="A19" s="13">
        <v>45474</v>
      </c>
      <c r="B19" s="12">
        <v>5986</v>
      </c>
      <c r="C19" s="12" t="s">
        <v>12</v>
      </c>
      <c r="D19" s="14">
        <v>10000</v>
      </c>
      <c r="E19" s="14">
        <f t="shared" si="0"/>
        <v>140000</v>
      </c>
      <c r="F19" s="14">
        <f t="shared" si="1"/>
        <v>110000</v>
      </c>
    </row>
    <row r="20" spans="1:6">
      <c r="A20" s="13">
        <v>45384</v>
      </c>
      <c r="B20" s="12">
        <v>6524</v>
      </c>
      <c r="C20" s="12" t="s">
        <v>12</v>
      </c>
      <c r="D20" s="14">
        <v>10000</v>
      </c>
      <c r="E20" s="14">
        <f t="shared" si="0"/>
        <v>150000</v>
      </c>
      <c r="F20" s="14">
        <f t="shared" si="1"/>
        <v>100000</v>
      </c>
    </row>
    <row r="21" spans="1:6">
      <c r="A21" s="13">
        <v>45568</v>
      </c>
      <c r="B21" s="12">
        <v>6988</v>
      </c>
      <c r="C21" s="12" t="s">
        <v>12</v>
      </c>
      <c r="D21" s="14">
        <v>10000</v>
      </c>
      <c r="E21" s="14">
        <f t="shared" si="0"/>
        <v>160000</v>
      </c>
      <c r="F21" s="14">
        <f t="shared" si="1"/>
        <v>90000</v>
      </c>
    </row>
    <row r="22" spans="1:6">
      <c r="A22" s="12" t="s">
        <v>456</v>
      </c>
      <c r="B22" s="12">
        <v>7827</v>
      </c>
      <c r="C22" s="12" t="s">
        <v>12</v>
      </c>
      <c r="D22" s="14">
        <v>10000</v>
      </c>
      <c r="E22" s="14">
        <f t="shared" si="0"/>
        <v>170000</v>
      </c>
      <c r="F22" s="14">
        <f t="shared" si="1"/>
        <v>80000</v>
      </c>
    </row>
    <row r="23" spans="1:6">
      <c r="A23" s="13">
        <v>45631</v>
      </c>
      <c r="B23" s="12">
        <v>8432</v>
      </c>
      <c r="C23" s="12" t="s">
        <v>12</v>
      </c>
      <c r="D23" s="14">
        <v>10000</v>
      </c>
      <c r="E23" s="14">
        <f t="shared" si="0"/>
        <v>180000</v>
      </c>
      <c r="F23" s="14">
        <f t="shared" si="1"/>
        <v>70000</v>
      </c>
    </row>
    <row r="24" spans="1:6">
      <c r="A24" s="13">
        <v>45541</v>
      </c>
      <c r="B24" s="12">
        <v>8924</v>
      </c>
      <c r="C24" s="12" t="s">
        <v>12</v>
      </c>
      <c r="D24" s="14">
        <v>10000</v>
      </c>
      <c r="E24" s="14">
        <f t="shared" si="0"/>
        <v>190000</v>
      </c>
      <c r="F24" s="14">
        <f t="shared" si="1"/>
        <v>60000</v>
      </c>
    </row>
    <row r="25" spans="1:6">
      <c r="A25" s="12" t="s">
        <v>273</v>
      </c>
      <c r="B25" s="12">
        <v>9586</v>
      </c>
      <c r="C25" s="12" t="s">
        <v>12</v>
      </c>
      <c r="D25" s="14">
        <v>10000</v>
      </c>
      <c r="E25" s="14">
        <f t="shared" si="0"/>
        <v>200000</v>
      </c>
      <c r="F25" s="14">
        <f t="shared" si="1"/>
        <v>50000</v>
      </c>
    </row>
    <row r="26" spans="1:6">
      <c r="A26" s="12" t="s">
        <v>457</v>
      </c>
      <c r="B26" s="12">
        <v>10411</v>
      </c>
      <c r="C26" s="12" t="s">
        <v>12</v>
      </c>
      <c r="D26" s="14">
        <v>10000</v>
      </c>
      <c r="E26" s="14">
        <f t="shared" si="0"/>
        <v>210000</v>
      </c>
      <c r="F26" s="14">
        <f t="shared" si="1"/>
        <v>40000</v>
      </c>
    </row>
    <row r="27" spans="1:6">
      <c r="A27" s="12" t="s">
        <v>440</v>
      </c>
      <c r="B27" s="12">
        <v>10773</v>
      </c>
      <c r="C27" s="12" t="s">
        <v>12</v>
      </c>
      <c r="D27" s="14">
        <v>10000</v>
      </c>
      <c r="E27" s="14">
        <f t="shared" si="0"/>
        <v>220000</v>
      </c>
      <c r="F27" s="14">
        <f t="shared" si="1"/>
        <v>30000</v>
      </c>
    </row>
    <row r="28" spans="1:6">
      <c r="A28" s="12" t="s">
        <v>458</v>
      </c>
      <c r="B28" s="12">
        <v>10390</v>
      </c>
      <c r="C28" s="12" t="s">
        <v>12</v>
      </c>
      <c r="D28" s="14">
        <v>10000</v>
      </c>
      <c r="E28" s="14">
        <f t="shared" si="0"/>
        <v>230000</v>
      </c>
      <c r="F28" s="14">
        <f t="shared" si="1"/>
        <v>20000</v>
      </c>
    </row>
    <row r="29" spans="1:6">
      <c r="A29" s="12" t="s">
        <v>459</v>
      </c>
      <c r="B29" s="12">
        <v>12434</v>
      </c>
      <c r="C29" s="12" t="s">
        <v>12</v>
      </c>
      <c r="D29" s="14">
        <v>10000</v>
      </c>
      <c r="E29" s="14">
        <f t="shared" si="0"/>
        <v>240000</v>
      </c>
      <c r="F29" s="14">
        <f t="shared" si="1"/>
        <v>10000</v>
      </c>
    </row>
    <row r="30" spans="1:6">
      <c r="A30" s="13">
        <v>45778</v>
      </c>
      <c r="B30" s="12">
        <v>12915</v>
      </c>
      <c r="C30" s="12" t="s">
        <v>12</v>
      </c>
      <c r="D30" s="14">
        <v>10000</v>
      </c>
      <c r="E30" s="14">
        <f>E29+D30</f>
        <v>250000</v>
      </c>
      <c r="F30" s="14">
        <f>F29-D30</f>
        <v>0</v>
      </c>
    </row>
    <row r="33" spans="1:6" ht="18.5">
      <c r="A33" s="52" t="s">
        <v>313</v>
      </c>
      <c r="B33" s="52"/>
      <c r="C33" s="52"/>
    </row>
    <row r="34" spans="1:6" ht="18.5">
      <c r="A34" s="75" t="s">
        <v>3</v>
      </c>
      <c r="B34" s="75" t="s">
        <v>4</v>
      </c>
      <c r="C34" s="75" t="s">
        <v>5</v>
      </c>
      <c r="D34" s="75" t="s">
        <v>6</v>
      </c>
      <c r="E34" s="75" t="s">
        <v>7</v>
      </c>
      <c r="F34" s="75" t="s">
        <v>8</v>
      </c>
    </row>
    <row r="35" spans="1:6">
      <c r="A35" s="12" t="s">
        <v>753</v>
      </c>
      <c r="B35" s="12">
        <v>3184</v>
      </c>
      <c r="C35" s="12" t="s">
        <v>524</v>
      </c>
      <c r="D35" s="12">
        <v>5000</v>
      </c>
      <c r="E35" s="14">
        <v>445000</v>
      </c>
      <c r="F35" s="14">
        <v>445000</v>
      </c>
    </row>
    <row r="36" spans="1:6">
      <c r="A36" s="12" t="s">
        <v>790</v>
      </c>
      <c r="B36" s="12">
        <v>3451</v>
      </c>
      <c r="C36" s="12" t="s">
        <v>524</v>
      </c>
      <c r="D36" s="14">
        <v>5000</v>
      </c>
      <c r="E36" s="14">
        <f t="shared" ref="E36:E47" si="2">E35+D36</f>
        <v>450000</v>
      </c>
      <c r="F36" s="14">
        <f t="shared" ref="F36:F47" si="3">F35-D36</f>
        <v>440000</v>
      </c>
    </row>
    <row r="37" spans="1:6">
      <c r="A37" s="12" t="s">
        <v>791</v>
      </c>
      <c r="B37" s="12">
        <v>3231</v>
      </c>
      <c r="C37" s="12" t="s">
        <v>524</v>
      </c>
      <c r="D37" s="14">
        <v>5000</v>
      </c>
      <c r="E37" s="14">
        <f t="shared" si="2"/>
        <v>455000</v>
      </c>
      <c r="F37" s="14">
        <f t="shared" si="3"/>
        <v>435000</v>
      </c>
    </row>
    <row r="38" spans="1:6">
      <c r="A38" s="12" t="s">
        <v>792</v>
      </c>
      <c r="B38" s="12">
        <v>3613</v>
      </c>
      <c r="C38" s="12" t="s">
        <v>524</v>
      </c>
      <c r="D38" s="14">
        <v>5000</v>
      </c>
      <c r="E38" s="14">
        <f t="shared" si="2"/>
        <v>460000</v>
      </c>
      <c r="F38" s="14">
        <f t="shared" si="3"/>
        <v>430000</v>
      </c>
    </row>
    <row r="39" spans="1:6">
      <c r="A39" s="12" t="s">
        <v>793</v>
      </c>
      <c r="B39" s="12">
        <v>3894</v>
      </c>
      <c r="C39" s="12" t="s">
        <v>524</v>
      </c>
      <c r="D39" s="14">
        <v>5000</v>
      </c>
      <c r="E39" s="14">
        <f t="shared" si="2"/>
        <v>465000</v>
      </c>
      <c r="F39" s="14">
        <f t="shared" si="3"/>
        <v>425000</v>
      </c>
    </row>
    <row r="40" spans="1:6">
      <c r="A40" s="12" t="s">
        <v>794</v>
      </c>
      <c r="B40" s="12">
        <v>5174</v>
      </c>
      <c r="C40" s="12" t="s">
        <v>524</v>
      </c>
      <c r="D40" s="14">
        <v>5000</v>
      </c>
      <c r="E40" s="14">
        <f t="shared" si="2"/>
        <v>470000</v>
      </c>
      <c r="F40" s="14">
        <f t="shared" si="3"/>
        <v>420000</v>
      </c>
    </row>
    <row r="41" spans="1:6">
      <c r="A41" s="12" t="s">
        <v>795</v>
      </c>
      <c r="B41" s="12">
        <v>5416</v>
      </c>
      <c r="C41" s="12" t="s">
        <v>524</v>
      </c>
      <c r="D41" s="14">
        <v>10000</v>
      </c>
      <c r="E41" s="14">
        <f t="shared" si="2"/>
        <v>480000</v>
      </c>
      <c r="F41" s="14">
        <f t="shared" si="3"/>
        <v>410000</v>
      </c>
    </row>
    <row r="42" spans="1:6">
      <c r="A42" s="12" t="s">
        <v>796</v>
      </c>
      <c r="B42" s="12">
        <v>5803</v>
      </c>
      <c r="C42" s="12" t="s">
        <v>524</v>
      </c>
      <c r="D42" s="14">
        <v>5000</v>
      </c>
      <c r="E42" s="14">
        <f t="shared" si="2"/>
        <v>485000</v>
      </c>
      <c r="F42" s="14">
        <f t="shared" si="3"/>
        <v>405000</v>
      </c>
    </row>
    <row r="43" spans="1:6">
      <c r="A43" s="13">
        <v>46086</v>
      </c>
      <c r="B43" s="12">
        <v>1359</v>
      </c>
      <c r="C43" s="12" t="s">
        <v>524</v>
      </c>
      <c r="D43" s="14">
        <v>5000</v>
      </c>
      <c r="E43" s="14">
        <f t="shared" si="2"/>
        <v>490000</v>
      </c>
      <c r="F43" s="14">
        <f t="shared" si="3"/>
        <v>400000</v>
      </c>
    </row>
    <row r="44" spans="1:6">
      <c r="A44" s="12" t="s">
        <v>797</v>
      </c>
      <c r="B44" s="12">
        <v>1549</v>
      </c>
      <c r="C44" s="12" t="s">
        <v>524</v>
      </c>
      <c r="D44" s="14">
        <v>5000</v>
      </c>
      <c r="E44" s="14">
        <f t="shared" si="2"/>
        <v>495000</v>
      </c>
      <c r="F44" s="14">
        <f t="shared" si="3"/>
        <v>395000</v>
      </c>
    </row>
    <row r="45" spans="1:6">
      <c r="A45" s="12" t="s">
        <v>798</v>
      </c>
      <c r="B45" s="12">
        <v>1731</v>
      </c>
      <c r="C45" s="12" t="s">
        <v>524</v>
      </c>
      <c r="D45" s="14">
        <v>5000</v>
      </c>
      <c r="E45" s="14">
        <f t="shared" si="2"/>
        <v>500000</v>
      </c>
      <c r="F45" s="14">
        <f t="shared" si="3"/>
        <v>390000</v>
      </c>
    </row>
    <row r="46" spans="1:6">
      <c r="A46" s="12" t="s">
        <v>799</v>
      </c>
      <c r="B46" s="12">
        <v>1898</v>
      </c>
      <c r="C46" s="12" t="s">
        <v>524</v>
      </c>
      <c r="D46" s="14">
        <v>5000</v>
      </c>
      <c r="E46" s="14">
        <f t="shared" si="2"/>
        <v>505000</v>
      </c>
      <c r="F46" s="14">
        <f t="shared" si="3"/>
        <v>385000</v>
      </c>
    </row>
    <row r="47" spans="1:6">
      <c r="A47" s="12" t="s">
        <v>800</v>
      </c>
      <c r="B47" s="12">
        <v>1991</v>
      </c>
      <c r="C47" s="12" t="s">
        <v>524</v>
      </c>
      <c r="D47" s="14">
        <v>5000</v>
      </c>
      <c r="E47" s="14">
        <f t="shared" si="2"/>
        <v>510000</v>
      </c>
      <c r="F47" s="14">
        <f t="shared" si="3"/>
        <v>380000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F41"/>
  <sheetViews>
    <sheetView topLeftCell="A29" workbookViewId="0">
      <selection activeCell="F40" sqref="F40"/>
    </sheetView>
  </sheetViews>
  <sheetFormatPr defaultRowHeight="14.5"/>
  <cols>
    <col min="1" max="1" width="10.453125" bestFit="1" customWidth="1"/>
    <col min="3" max="3" width="11.36328125" customWidth="1"/>
    <col min="4" max="4" width="10.81640625" customWidth="1"/>
    <col min="6" max="6" width="11.36328125" customWidth="1"/>
  </cols>
  <sheetData>
    <row r="1" spans="1:6" ht="18.5">
      <c r="A1" s="1" t="s">
        <v>281</v>
      </c>
      <c r="B1" s="1"/>
      <c r="C1" s="1"/>
      <c r="D1" s="1"/>
      <c r="E1" s="1"/>
      <c r="F1" s="1"/>
    </row>
    <row r="2" spans="1:6" ht="18.5">
      <c r="A2" s="1" t="s">
        <v>282</v>
      </c>
      <c r="C2" s="1"/>
      <c r="D2" s="1"/>
      <c r="E2" s="1"/>
      <c r="F2" s="1"/>
    </row>
    <row r="3" spans="1:6" ht="18.5">
      <c r="A3" s="1" t="s">
        <v>283</v>
      </c>
      <c r="B3" s="1"/>
      <c r="C3" s="1"/>
      <c r="D3" s="1"/>
      <c r="E3" s="1"/>
      <c r="F3" s="1"/>
    </row>
    <row r="4" spans="1:6" ht="18.5">
      <c r="A4" s="1" t="s">
        <v>290</v>
      </c>
      <c r="B4" s="1"/>
      <c r="C4" s="1"/>
      <c r="D4" s="1"/>
      <c r="E4" s="1"/>
      <c r="F4" s="1"/>
    </row>
    <row r="5" spans="1:6" ht="18.5">
      <c r="A5" s="1" t="s">
        <v>284</v>
      </c>
      <c r="B5" s="1"/>
      <c r="C5" s="1"/>
      <c r="D5" s="1"/>
      <c r="E5" s="1"/>
      <c r="F5" s="1"/>
    </row>
    <row r="6" spans="1:6" ht="18.5">
      <c r="A6" s="1" t="s">
        <v>285</v>
      </c>
      <c r="B6" s="1"/>
      <c r="C6" s="1"/>
      <c r="D6" s="1"/>
      <c r="E6" s="1" t="s">
        <v>286</v>
      </c>
      <c r="F6" s="1"/>
    </row>
    <row r="7" spans="1:6">
      <c r="A7" s="60" t="s">
        <v>3</v>
      </c>
      <c r="B7" s="61" t="s">
        <v>4</v>
      </c>
      <c r="C7" s="61" t="s">
        <v>5</v>
      </c>
      <c r="D7" s="61" t="s">
        <v>6</v>
      </c>
      <c r="E7" s="61" t="s">
        <v>7</v>
      </c>
      <c r="F7" s="61" t="s">
        <v>8</v>
      </c>
    </row>
    <row r="8" spans="1:6">
      <c r="A8" s="7" t="s">
        <v>268</v>
      </c>
      <c r="B8" s="7">
        <v>1591</v>
      </c>
      <c r="C8" s="7" t="s">
        <v>10</v>
      </c>
      <c r="D8" s="10">
        <v>150000</v>
      </c>
      <c r="E8" s="10">
        <v>150000</v>
      </c>
      <c r="F8" s="10">
        <v>350000</v>
      </c>
    </row>
    <row r="9" spans="1:6">
      <c r="A9" s="62">
        <v>45113</v>
      </c>
      <c r="B9" s="63">
        <v>286</v>
      </c>
      <c r="C9" s="63" t="s">
        <v>207</v>
      </c>
      <c r="D9" s="64">
        <v>10000</v>
      </c>
      <c r="E9" s="64">
        <f>SUM(E8+D9)</f>
        <v>160000</v>
      </c>
      <c r="F9" s="64">
        <f>F8-D9</f>
        <v>340000</v>
      </c>
    </row>
    <row r="10" spans="1:6">
      <c r="A10" s="7" t="s">
        <v>269</v>
      </c>
      <c r="B10" s="7">
        <v>540</v>
      </c>
      <c r="C10" s="7" t="s">
        <v>12</v>
      </c>
      <c r="D10" s="10">
        <v>10000</v>
      </c>
      <c r="E10" s="10">
        <f t="shared" ref="E10:E41" si="0">SUM(E9+D10)</f>
        <v>170000</v>
      </c>
      <c r="F10" s="10">
        <f t="shared" ref="F10:F40" si="1">F9-D10</f>
        <v>330000</v>
      </c>
    </row>
    <row r="11" spans="1:6">
      <c r="A11" s="63" t="s">
        <v>270</v>
      </c>
      <c r="B11" s="63">
        <v>2861</v>
      </c>
      <c r="C11" s="63" t="s">
        <v>12</v>
      </c>
      <c r="D11" s="64">
        <v>10000</v>
      </c>
      <c r="E11" s="64">
        <f t="shared" si="0"/>
        <v>180000</v>
      </c>
      <c r="F11" s="64">
        <f t="shared" si="1"/>
        <v>320000</v>
      </c>
    </row>
    <row r="12" spans="1:6">
      <c r="A12" s="9">
        <v>45268</v>
      </c>
      <c r="B12" s="7">
        <v>3587</v>
      </c>
      <c r="C12" s="7" t="s">
        <v>12</v>
      </c>
      <c r="D12" s="10">
        <v>20000</v>
      </c>
      <c r="E12" s="10">
        <f t="shared" si="0"/>
        <v>200000</v>
      </c>
      <c r="F12" s="10">
        <f t="shared" si="1"/>
        <v>300000</v>
      </c>
    </row>
    <row r="13" spans="1:6">
      <c r="A13" s="63" t="s">
        <v>271</v>
      </c>
      <c r="B13" s="63">
        <v>4280</v>
      </c>
      <c r="C13" s="63" t="s">
        <v>12</v>
      </c>
      <c r="D13" s="64">
        <v>10000</v>
      </c>
      <c r="E13" s="64">
        <f t="shared" si="0"/>
        <v>210000</v>
      </c>
      <c r="F13" s="64">
        <f t="shared" si="1"/>
        <v>290000</v>
      </c>
    </row>
    <row r="14" spans="1:6">
      <c r="A14" s="9">
        <v>45271</v>
      </c>
      <c r="B14" s="7">
        <v>4832</v>
      </c>
      <c r="C14" s="7" t="s">
        <v>12</v>
      </c>
      <c r="D14" s="10">
        <v>10000</v>
      </c>
      <c r="E14" s="10">
        <f t="shared" si="0"/>
        <v>220000</v>
      </c>
      <c r="F14" s="10">
        <f t="shared" si="1"/>
        <v>280000</v>
      </c>
    </row>
    <row r="15" spans="1:6">
      <c r="A15" s="62">
        <v>45211</v>
      </c>
      <c r="B15" s="63">
        <v>5409</v>
      </c>
      <c r="C15" s="63" t="s">
        <v>12</v>
      </c>
      <c r="D15" s="64">
        <v>10000</v>
      </c>
      <c r="E15" s="64">
        <f t="shared" si="0"/>
        <v>230000</v>
      </c>
      <c r="F15" s="64">
        <f t="shared" si="1"/>
        <v>270000</v>
      </c>
    </row>
    <row r="16" spans="1:6">
      <c r="A16" s="7" t="s">
        <v>287</v>
      </c>
      <c r="B16" s="7">
        <v>6164</v>
      </c>
      <c r="C16" s="7" t="s">
        <v>12</v>
      </c>
      <c r="D16" s="10">
        <v>10000</v>
      </c>
      <c r="E16" s="10">
        <f t="shared" si="0"/>
        <v>240000</v>
      </c>
      <c r="F16" s="10">
        <f t="shared" si="1"/>
        <v>260000</v>
      </c>
    </row>
    <row r="17" spans="1:6">
      <c r="A17" s="63" t="s">
        <v>101</v>
      </c>
      <c r="B17" s="63">
        <v>6655</v>
      </c>
      <c r="C17" s="63" t="s">
        <v>12</v>
      </c>
      <c r="D17" s="64">
        <v>10000</v>
      </c>
      <c r="E17" s="64">
        <f t="shared" si="0"/>
        <v>250000</v>
      </c>
      <c r="F17" s="64">
        <f t="shared" si="1"/>
        <v>250000</v>
      </c>
    </row>
    <row r="18" spans="1:6">
      <c r="A18" s="7" t="s">
        <v>100</v>
      </c>
      <c r="B18" s="7">
        <v>7409</v>
      </c>
      <c r="C18" s="7" t="s">
        <v>12</v>
      </c>
      <c r="D18" s="10">
        <v>10000</v>
      </c>
      <c r="E18" s="10">
        <f t="shared" si="0"/>
        <v>260000</v>
      </c>
      <c r="F18" s="10">
        <f t="shared" si="1"/>
        <v>240000</v>
      </c>
    </row>
    <row r="19" spans="1:6">
      <c r="A19" s="63" t="s">
        <v>883</v>
      </c>
      <c r="B19" s="63">
        <v>7842</v>
      </c>
      <c r="C19" s="63" t="s">
        <v>12</v>
      </c>
      <c r="D19" s="64">
        <v>10000</v>
      </c>
      <c r="E19" s="64">
        <f t="shared" si="0"/>
        <v>270000</v>
      </c>
      <c r="F19" s="64">
        <f t="shared" si="1"/>
        <v>230000</v>
      </c>
    </row>
    <row r="20" spans="1:6">
      <c r="A20" s="9">
        <v>45631</v>
      </c>
      <c r="B20" s="7">
        <v>8440</v>
      </c>
      <c r="C20" s="7" t="s">
        <v>12</v>
      </c>
      <c r="D20" s="10">
        <v>10000</v>
      </c>
      <c r="E20" s="10">
        <f t="shared" si="0"/>
        <v>280000</v>
      </c>
      <c r="F20" s="10">
        <f t="shared" si="1"/>
        <v>220000</v>
      </c>
    </row>
    <row r="21" spans="1:6">
      <c r="A21" s="7" t="s">
        <v>272</v>
      </c>
      <c r="B21" s="7">
        <v>9125</v>
      </c>
      <c r="C21" s="7" t="s">
        <v>12</v>
      </c>
      <c r="D21" s="10">
        <v>10000</v>
      </c>
      <c r="E21" s="10">
        <f t="shared" si="0"/>
        <v>290000</v>
      </c>
      <c r="F21" s="10">
        <f t="shared" si="1"/>
        <v>210000</v>
      </c>
    </row>
    <row r="22" spans="1:6">
      <c r="A22" s="7" t="s">
        <v>273</v>
      </c>
      <c r="B22" s="7">
        <v>9610</v>
      </c>
      <c r="C22" s="7" t="s">
        <v>12</v>
      </c>
      <c r="D22" s="10">
        <v>10000</v>
      </c>
      <c r="E22" s="10">
        <f t="shared" si="0"/>
        <v>300000</v>
      </c>
      <c r="F22" s="10">
        <f t="shared" si="1"/>
        <v>200000</v>
      </c>
    </row>
    <row r="23" spans="1:6">
      <c r="A23" s="9">
        <v>45513</v>
      </c>
      <c r="B23" s="7">
        <v>10587</v>
      </c>
      <c r="C23" s="7" t="s">
        <v>12</v>
      </c>
      <c r="D23" s="10">
        <v>20000</v>
      </c>
      <c r="E23" s="10">
        <f t="shared" si="0"/>
        <v>320000</v>
      </c>
      <c r="F23" s="10">
        <f t="shared" si="1"/>
        <v>180000</v>
      </c>
    </row>
    <row r="24" spans="1:6">
      <c r="A24" s="7" t="s">
        <v>58</v>
      </c>
      <c r="B24" s="7">
        <v>11587</v>
      </c>
      <c r="C24" s="7" t="s">
        <v>12</v>
      </c>
      <c r="D24" s="10">
        <v>10000</v>
      </c>
      <c r="E24" s="10">
        <f t="shared" si="0"/>
        <v>330000</v>
      </c>
      <c r="F24" s="10">
        <f t="shared" si="1"/>
        <v>170000</v>
      </c>
    </row>
    <row r="25" spans="1:6">
      <c r="A25" s="7" t="s">
        <v>39</v>
      </c>
      <c r="B25" s="7">
        <v>11652</v>
      </c>
      <c r="C25" s="7" t="s">
        <v>12</v>
      </c>
      <c r="D25" s="10">
        <v>10000</v>
      </c>
      <c r="E25" s="10">
        <f t="shared" si="0"/>
        <v>340000</v>
      </c>
      <c r="F25" s="10">
        <f t="shared" si="1"/>
        <v>160000</v>
      </c>
    </row>
    <row r="26" spans="1:6">
      <c r="A26" s="7" t="s">
        <v>274</v>
      </c>
      <c r="B26" s="7">
        <v>12112</v>
      </c>
      <c r="C26" s="7" t="s">
        <v>12</v>
      </c>
      <c r="D26" s="10">
        <v>10000</v>
      </c>
      <c r="E26" s="10">
        <f t="shared" si="0"/>
        <v>350000</v>
      </c>
      <c r="F26" s="10">
        <f t="shared" si="1"/>
        <v>150000</v>
      </c>
    </row>
    <row r="27" spans="1:6">
      <c r="A27" s="9">
        <v>45992</v>
      </c>
      <c r="B27" s="7">
        <v>12611</v>
      </c>
      <c r="C27" s="7" t="s">
        <v>12</v>
      </c>
      <c r="D27" s="10">
        <v>10000</v>
      </c>
      <c r="E27" s="10">
        <f t="shared" si="0"/>
        <v>360000</v>
      </c>
      <c r="F27" s="10">
        <f t="shared" si="1"/>
        <v>140000</v>
      </c>
    </row>
    <row r="28" spans="1:6">
      <c r="A28" s="9">
        <v>45902</v>
      </c>
      <c r="B28" s="7">
        <v>9274</v>
      </c>
      <c r="C28" s="7" t="s">
        <v>12</v>
      </c>
      <c r="D28" s="10">
        <v>10000</v>
      </c>
      <c r="E28" s="10">
        <f t="shared" si="0"/>
        <v>370000</v>
      </c>
      <c r="F28" s="10">
        <f t="shared" si="1"/>
        <v>130000</v>
      </c>
    </row>
    <row r="29" spans="1:6">
      <c r="A29" s="9">
        <v>45903</v>
      </c>
      <c r="B29" s="7">
        <v>9661</v>
      </c>
      <c r="C29" s="7" t="s">
        <v>12</v>
      </c>
      <c r="D29" s="10">
        <v>10000</v>
      </c>
      <c r="E29" s="10">
        <f t="shared" si="0"/>
        <v>380000</v>
      </c>
      <c r="F29" s="10">
        <f t="shared" si="1"/>
        <v>120000</v>
      </c>
    </row>
    <row r="30" spans="1:6">
      <c r="A30" s="7" t="s">
        <v>275</v>
      </c>
      <c r="B30" s="7">
        <v>10062</v>
      </c>
      <c r="C30" s="7" t="s">
        <v>12</v>
      </c>
      <c r="D30" s="10">
        <v>10000</v>
      </c>
      <c r="E30" s="10">
        <f t="shared" si="0"/>
        <v>390000</v>
      </c>
      <c r="F30" s="10">
        <f t="shared" si="1"/>
        <v>110000</v>
      </c>
    </row>
    <row r="31" spans="1:6">
      <c r="A31" s="9">
        <v>45966</v>
      </c>
      <c r="B31" s="7">
        <v>10923</v>
      </c>
      <c r="C31" s="7" t="s">
        <v>12</v>
      </c>
      <c r="D31" s="10">
        <v>10000</v>
      </c>
      <c r="E31" s="10">
        <f t="shared" si="0"/>
        <v>400000</v>
      </c>
      <c r="F31" s="10">
        <f t="shared" si="1"/>
        <v>100000</v>
      </c>
    </row>
    <row r="32" spans="1:6">
      <c r="A32" s="7" t="s">
        <v>251</v>
      </c>
      <c r="B32" s="7">
        <v>9953</v>
      </c>
      <c r="C32" s="7" t="s">
        <v>12</v>
      </c>
      <c r="D32" s="10">
        <v>10000</v>
      </c>
      <c r="E32" s="10">
        <f t="shared" si="0"/>
        <v>410000</v>
      </c>
      <c r="F32" s="10">
        <f t="shared" si="1"/>
        <v>90000</v>
      </c>
    </row>
    <row r="33" spans="1:6">
      <c r="A33" s="7" t="s">
        <v>288</v>
      </c>
      <c r="B33" s="7">
        <v>12285</v>
      </c>
      <c r="C33" s="7" t="s">
        <v>12</v>
      </c>
      <c r="D33" s="10">
        <v>10000</v>
      </c>
      <c r="E33" s="10">
        <f t="shared" si="0"/>
        <v>420000</v>
      </c>
      <c r="F33" s="10">
        <f t="shared" si="1"/>
        <v>80000</v>
      </c>
    </row>
    <row r="34" spans="1:6">
      <c r="A34" s="9">
        <v>45938</v>
      </c>
      <c r="B34" s="7">
        <v>12456</v>
      </c>
      <c r="C34" s="7" t="s">
        <v>12</v>
      </c>
      <c r="D34" s="10">
        <v>10000</v>
      </c>
      <c r="E34" s="10">
        <f t="shared" si="0"/>
        <v>430000</v>
      </c>
      <c r="F34" s="10">
        <f t="shared" si="1"/>
        <v>70000</v>
      </c>
    </row>
    <row r="35" spans="1:6">
      <c r="A35" s="7" t="s">
        <v>89</v>
      </c>
      <c r="B35" s="7">
        <v>12737</v>
      </c>
      <c r="C35" s="7" t="s">
        <v>12</v>
      </c>
      <c r="D35" s="10">
        <v>10000</v>
      </c>
      <c r="E35" s="10">
        <f t="shared" si="0"/>
        <v>440000</v>
      </c>
      <c r="F35" s="10">
        <f t="shared" si="1"/>
        <v>60000</v>
      </c>
    </row>
    <row r="36" spans="1:6">
      <c r="A36" s="7" t="s">
        <v>289</v>
      </c>
      <c r="B36" s="7">
        <v>13669</v>
      </c>
      <c r="C36" s="7" t="s">
        <v>12</v>
      </c>
      <c r="D36" s="10">
        <v>10000</v>
      </c>
      <c r="E36" s="10">
        <f t="shared" si="0"/>
        <v>450000</v>
      </c>
      <c r="F36" s="10">
        <f t="shared" si="1"/>
        <v>50000</v>
      </c>
    </row>
    <row r="37" spans="1:6">
      <c r="A37" s="7" t="s">
        <v>278</v>
      </c>
      <c r="B37" s="7">
        <v>13390</v>
      </c>
      <c r="C37" s="7" t="s">
        <v>12</v>
      </c>
      <c r="D37" s="10">
        <v>10000</v>
      </c>
      <c r="E37" s="10">
        <f t="shared" si="0"/>
        <v>460000</v>
      </c>
      <c r="F37" s="10">
        <f t="shared" si="1"/>
        <v>40000</v>
      </c>
    </row>
    <row r="38" spans="1:6">
      <c r="A38" s="7" t="s">
        <v>212</v>
      </c>
      <c r="B38" s="7">
        <v>13200</v>
      </c>
      <c r="C38" s="7" t="s">
        <v>12</v>
      </c>
      <c r="D38" s="10">
        <v>10000</v>
      </c>
      <c r="E38" s="10">
        <f t="shared" si="0"/>
        <v>470000</v>
      </c>
      <c r="F38" s="10">
        <f t="shared" si="1"/>
        <v>30000</v>
      </c>
    </row>
    <row r="39" spans="1:6">
      <c r="A39" s="9">
        <v>46327</v>
      </c>
      <c r="B39" s="7">
        <v>12082</v>
      </c>
      <c r="C39" s="7" t="s">
        <v>12</v>
      </c>
      <c r="D39" s="10">
        <v>10000</v>
      </c>
      <c r="E39" s="10">
        <f t="shared" si="0"/>
        <v>480000</v>
      </c>
      <c r="F39" s="10">
        <f t="shared" si="1"/>
        <v>20000</v>
      </c>
    </row>
    <row r="40" spans="1:6">
      <c r="A40" s="7" t="s">
        <v>279</v>
      </c>
      <c r="B40" s="7">
        <v>12471</v>
      </c>
      <c r="C40" s="7" t="s">
        <v>12</v>
      </c>
      <c r="D40" s="10">
        <v>10000</v>
      </c>
      <c r="E40" s="10">
        <f t="shared" si="0"/>
        <v>490000</v>
      </c>
      <c r="F40" s="10">
        <f t="shared" si="1"/>
        <v>10000</v>
      </c>
    </row>
    <row r="41" spans="1:6">
      <c r="A41" s="9">
        <v>46237</v>
      </c>
      <c r="B41" s="7">
        <v>12775</v>
      </c>
      <c r="C41" s="7" t="s">
        <v>12</v>
      </c>
      <c r="D41" s="10">
        <v>10000</v>
      </c>
      <c r="E41" s="10">
        <f t="shared" si="0"/>
        <v>500000</v>
      </c>
      <c r="F41" s="10" t="s">
        <v>339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F11"/>
  <sheetViews>
    <sheetView workbookViewId="0">
      <selection sqref="A1:F7"/>
    </sheetView>
  </sheetViews>
  <sheetFormatPr defaultRowHeight="14.5"/>
  <cols>
    <col min="1" max="1" width="11.1796875" customWidth="1"/>
    <col min="3" max="3" width="13.90625" customWidth="1"/>
    <col min="6" max="6" width="10.54296875" customWidth="1"/>
  </cols>
  <sheetData>
    <row r="1" spans="1:6" ht="18.5">
      <c r="A1" s="1" t="s">
        <v>304</v>
      </c>
      <c r="B1" s="1"/>
      <c r="C1" s="1"/>
      <c r="D1" s="1"/>
      <c r="E1" s="1"/>
      <c r="F1" s="1"/>
    </row>
    <row r="2" spans="1:6" ht="18.5">
      <c r="A2" s="1" t="s">
        <v>293</v>
      </c>
      <c r="C2" s="1"/>
      <c r="D2" s="1"/>
      <c r="E2" s="1"/>
      <c r="F2" s="1"/>
    </row>
    <row r="3" spans="1:6" ht="18.5">
      <c r="A3" s="1" t="s">
        <v>294</v>
      </c>
      <c r="B3" s="1"/>
      <c r="C3" s="1"/>
      <c r="D3" s="1"/>
      <c r="E3" s="1"/>
      <c r="F3" s="1"/>
    </row>
    <row r="4" spans="1:6" ht="18.5">
      <c r="A4" s="1" t="s">
        <v>297</v>
      </c>
      <c r="B4" s="1"/>
      <c r="C4" s="1"/>
      <c r="D4" s="1"/>
      <c r="E4" s="1"/>
      <c r="F4" s="1"/>
    </row>
    <row r="5" spans="1:6" ht="18.5">
      <c r="A5" s="1" t="s">
        <v>295</v>
      </c>
      <c r="B5" s="1"/>
      <c r="C5" s="1"/>
      <c r="D5" s="1"/>
      <c r="E5" s="1"/>
      <c r="F5" s="1"/>
    </row>
    <row r="6" spans="1:6" ht="18.5">
      <c r="A6" s="1" t="s">
        <v>296</v>
      </c>
      <c r="B6" s="1"/>
      <c r="C6" s="1"/>
      <c r="D6" s="1"/>
      <c r="E6" s="1" t="s">
        <v>221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298</v>
      </c>
      <c r="B8">
        <v>13825</v>
      </c>
      <c r="C8" t="s">
        <v>299</v>
      </c>
      <c r="D8" s="17">
        <v>650000</v>
      </c>
      <c r="E8" s="17">
        <v>650000</v>
      </c>
      <c r="F8" t="s">
        <v>300</v>
      </c>
    </row>
    <row r="10" spans="1:6">
      <c r="A10" t="s">
        <v>301</v>
      </c>
      <c r="B10">
        <v>5082</v>
      </c>
      <c r="C10" t="s">
        <v>302</v>
      </c>
      <c r="D10" s="17">
        <v>200000</v>
      </c>
      <c r="E10" s="17">
        <v>200000</v>
      </c>
      <c r="F10" t="s">
        <v>300</v>
      </c>
    </row>
    <row r="11" spans="1:6">
      <c r="B11" t="s">
        <v>303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F14"/>
  <sheetViews>
    <sheetView workbookViewId="0">
      <selection activeCell="G13" sqref="G13"/>
    </sheetView>
  </sheetViews>
  <sheetFormatPr defaultRowHeight="14.5"/>
  <cols>
    <col min="1" max="1" width="9.453125" bestFit="1" customWidth="1"/>
    <col min="3" max="3" width="12.453125" customWidth="1"/>
    <col min="6" max="6" width="11.7265625" customWidth="1"/>
  </cols>
  <sheetData>
    <row r="1" spans="1:6" ht="18.5">
      <c r="A1" s="1" t="s">
        <v>330</v>
      </c>
      <c r="B1" s="1"/>
      <c r="C1" s="1"/>
      <c r="D1" s="1"/>
      <c r="E1" s="1"/>
      <c r="F1" s="1"/>
    </row>
    <row r="2" spans="1:6" ht="18.5">
      <c r="A2" s="1" t="s">
        <v>331</v>
      </c>
      <c r="C2" s="1"/>
      <c r="D2" s="1"/>
      <c r="E2" s="1"/>
      <c r="F2" s="1"/>
    </row>
    <row r="3" spans="1:6" ht="18.5">
      <c r="A3" s="1" t="s">
        <v>332</v>
      </c>
      <c r="B3" s="1"/>
      <c r="C3" s="1"/>
      <c r="D3" s="1"/>
      <c r="E3" s="1"/>
      <c r="F3" s="1"/>
    </row>
    <row r="4" spans="1:6" ht="18.5">
      <c r="A4" s="1" t="s">
        <v>350</v>
      </c>
      <c r="B4" s="1"/>
      <c r="C4" s="1"/>
      <c r="D4" s="1"/>
      <c r="E4" s="1"/>
      <c r="F4" s="1"/>
    </row>
    <row r="5" spans="1:6" ht="18.5">
      <c r="A5" s="1" t="s">
        <v>333</v>
      </c>
      <c r="B5" s="1"/>
      <c r="C5" s="1"/>
      <c r="D5" s="1"/>
      <c r="E5" s="1"/>
      <c r="F5" s="1"/>
    </row>
    <row r="6" spans="1:6" ht="18.5">
      <c r="A6" s="1" t="s">
        <v>334</v>
      </c>
      <c r="B6" s="1"/>
      <c r="C6" s="1"/>
      <c r="D6" s="1"/>
      <c r="E6" s="1" t="s">
        <v>335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336</v>
      </c>
      <c r="B8">
        <v>10293</v>
      </c>
      <c r="C8" t="s">
        <v>253</v>
      </c>
      <c r="D8" s="17">
        <v>100000</v>
      </c>
      <c r="E8" s="17">
        <v>100000</v>
      </c>
      <c r="F8" s="17">
        <v>650000</v>
      </c>
    </row>
    <row r="9" spans="1:6">
      <c r="A9" s="16">
        <v>45816</v>
      </c>
      <c r="B9">
        <v>12418</v>
      </c>
      <c r="C9" t="s">
        <v>12</v>
      </c>
      <c r="D9" s="17">
        <v>30000</v>
      </c>
      <c r="E9" s="17">
        <f>SUM(E8+D9)</f>
        <v>130000</v>
      </c>
      <c r="F9" s="17">
        <f>F8-D9</f>
        <v>620000</v>
      </c>
    </row>
    <row r="10" spans="1:6">
      <c r="A10" s="16">
        <v>45880</v>
      </c>
      <c r="B10">
        <v>13460</v>
      </c>
      <c r="C10" t="s">
        <v>12</v>
      </c>
      <c r="D10" s="17">
        <v>30000</v>
      </c>
      <c r="E10" s="17">
        <f t="shared" ref="E10:E12" si="0">SUM(E9+D10)</f>
        <v>160000</v>
      </c>
      <c r="F10" s="17">
        <f t="shared" ref="F10:F11" si="1">F9-D10</f>
        <v>590000</v>
      </c>
    </row>
    <row r="11" spans="1:6">
      <c r="A11" t="s">
        <v>337</v>
      </c>
      <c r="B11">
        <v>12690</v>
      </c>
      <c r="C11" t="s">
        <v>12</v>
      </c>
      <c r="D11" s="17">
        <v>160000</v>
      </c>
      <c r="E11" s="17">
        <f t="shared" si="0"/>
        <v>320000</v>
      </c>
      <c r="F11" s="17">
        <f t="shared" si="1"/>
        <v>430000</v>
      </c>
    </row>
    <row r="12" spans="1:6">
      <c r="A12" t="s">
        <v>338</v>
      </c>
      <c r="C12" t="s">
        <v>12</v>
      </c>
      <c r="D12" s="17">
        <v>150000</v>
      </c>
      <c r="E12" s="17">
        <f t="shared" si="0"/>
        <v>470000</v>
      </c>
      <c r="F12" s="17" t="s">
        <v>339</v>
      </c>
    </row>
    <row r="13" spans="1:6">
      <c r="A13" t="s">
        <v>340</v>
      </c>
    </row>
    <row r="14" spans="1:6" ht="18.5">
      <c r="A14" s="38" t="s">
        <v>313</v>
      </c>
      <c r="B14" s="38"/>
      <c r="C14" s="38"/>
      <c r="D14" s="38"/>
      <c r="E14" s="38"/>
      <c r="F14" s="3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16" zoomScale="87" zoomScaleNormal="87" workbookViewId="0">
      <selection activeCell="F27" sqref="F27"/>
    </sheetView>
  </sheetViews>
  <sheetFormatPr defaultRowHeight="14.5"/>
  <cols>
    <col min="1" max="1" width="21.54296875" style="77" customWidth="1"/>
    <col min="2" max="2" width="20.1796875" style="77" customWidth="1"/>
    <col min="3" max="3" width="22.81640625" style="77" customWidth="1"/>
    <col min="4" max="4" width="17" style="77" customWidth="1"/>
    <col min="5" max="5" width="17.7265625" style="77" customWidth="1"/>
    <col min="6" max="6" width="24.81640625" style="77" customWidth="1"/>
    <col min="7" max="7" width="9.26953125" style="77" customWidth="1"/>
    <col min="8" max="16384" width="8.7265625" style="77"/>
  </cols>
  <sheetData>
    <row r="1" spans="1:6">
      <c r="A1" s="77" t="s">
        <v>857</v>
      </c>
      <c r="B1" s="77" t="s">
        <v>861</v>
      </c>
    </row>
    <row r="2" spans="1:6">
      <c r="A2" s="77" t="s">
        <v>858</v>
      </c>
      <c r="B2" s="77" t="s">
        <v>862</v>
      </c>
    </row>
    <row r="3" spans="1:6">
      <c r="A3" s="77" t="s">
        <v>859</v>
      </c>
      <c r="B3" s="77" t="s">
        <v>642</v>
      </c>
      <c r="E3" s="77" t="s">
        <v>866</v>
      </c>
      <c r="F3" s="79">
        <v>180000</v>
      </c>
    </row>
    <row r="4" spans="1:6">
      <c r="A4" s="77" t="s">
        <v>860</v>
      </c>
      <c r="B4" s="77" t="s">
        <v>865</v>
      </c>
    </row>
    <row r="5" spans="1:6">
      <c r="A5" s="77" t="s">
        <v>864</v>
      </c>
      <c r="B5" s="77" t="s">
        <v>863</v>
      </c>
      <c r="C5" s="77" t="s">
        <v>867</v>
      </c>
      <c r="D5" s="79">
        <v>300000</v>
      </c>
    </row>
    <row r="6" spans="1:6" ht="15" thickBot="1"/>
    <row r="7" spans="1:6" ht="28.5" thickBot="1">
      <c r="A7" s="84" t="s">
        <v>828</v>
      </c>
      <c r="B7" s="84" t="s">
        <v>829</v>
      </c>
      <c r="C7" s="84" t="s">
        <v>830</v>
      </c>
      <c r="D7" s="84" t="s">
        <v>831</v>
      </c>
      <c r="E7" s="84" t="s">
        <v>832</v>
      </c>
      <c r="F7" s="84" t="s">
        <v>833</v>
      </c>
    </row>
    <row r="8" spans="1:6" ht="15" thickBot="1">
      <c r="A8" s="85">
        <v>44629</v>
      </c>
      <c r="B8" s="86">
        <v>382</v>
      </c>
      <c r="C8" s="86" t="s">
        <v>802</v>
      </c>
      <c r="D8" s="86" t="s">
        <v>834</v>
      </c>
      <c r="E8" s="86" t="s">
        <v>834</v>
      </c>
      <c r="F8" s="86" t="s">
        <v>835</v>
      </c>
    </row>
    <row r="9" spans="1:6" ht="15" thickBot="1">
      <c r="A9" s="85">
        <v>44876</v>
      </c>
      <c r="B9" s="86">
        <v>34</v>
      </c>
      <c r="C9" s="86" t="s">
        <v>836</v>
      </c>
      <c r="D9" s="86" t="s">
        <v>834</v>
      </c>
      <c r="E9" s="86" t="s">
        <v>837</v>
      </c>
      <c r="F9" s="86" t="s">
        <v>838</v>
      </c>
    </row>
    <row r="10" spans="1:6" ht="15" thickBot="1">
      <c r="A10" s="84" t="s">
        <v>868</v>
      </c>
      <c r="B10" s="86">
        <v>5</v>
      </c>
      <c r="C10" s="86" t="s">
        <v>802</v>
      </c>
      <c r="D10" s="86" t="s">
        <v>834</v>
      </c>
      <c r="E10" s="86" t="s">
        <v>839</v>
      </c>
      <c r="F10" s="86" t="s">
        <v>840</v>
      </c>
    </row>
    <row r="11" spans="1:6" ht="15" thickBot="1">
      <c r="A11" s="85">
        <v>44660</v>
      </c>
      <c r="B11" s="86">
        <v>2653</v>
      </c>
      <c r="C11" s="86" t="s">
        <v>836</v>
      </c>
      <c r="D11" s="86" t="s">
        <v>834</v>
      </c>
      <c r="E11" s="86" t="s">
        <v>841</v>
      </c>
      <c r="F11" s="86" t="s">
        <v>842</v>
      </c>
    </row>
    <row r="12" spans="1:6" ht="15" thickBot="1">
      <c r="A12" s="84" t="s">
        <v>843</v>
      </c>
      <c r="B12" s="86">
        <v>1321</v>
      </c>
      <c r="C12" s="86" t="s">
        <v>802</v>
      </c>
      <c r="D12" s="86" t="s">
        <v>834</v>
      </c>
      <c r="E12" s="86" t="s">
        <v>844</v>
      </c>
      <c r="F12" s="86" t="s">
        <v>845</v>
      </c>
    </row>
    <row r="13" spans="1:6" ht="15" thickBot="1">
      <c r="A13" s="84" t="s">
        <v>869</v>
      </c>
      <c r="B13" s="86">
        <v>209</v>
      </c>
      <c r="C13" s="86" t="s">
        <v>802</v>
      </c>
      <c r="D13" s="86" t="s">
        <v>834</v>
      </c>
      <c r="E13" s="86" t="s">
        <v>846</v>
      </c>
      <c r="F13" s="86" t="s">
        <v>846</v>
      </c>
    </row>
    <row r="14" spans="1:6" ht="15" thickBot="1">
      <c r="A14" s="84" t="s">
        <v>847</v>
      </c>
      <c r="B14" s="86">
        <v>2091</v>
      </c>
      <c r="C14" s="86" t="s">
        <v>802</v>
      </c>
      <c r="D14" s="86" t="s">
        <v>834</v>
      </c>
      <c r="E14" s="86" t="s">
        <v>845</v>
      </c>
      <c r="F14" s="86" t="s">
        <v>844</v>
      </c>
    </row>
    <row r="15" spans="1:6" ht="15" thickBot="1">
      <c r="A15" s="84" t="s">
        <v>848</v>
      </c>
      <c r="B15" s="86">
        <v>2967</v>
      </c>
      <c r="C15" s="86" t="s">
        <v>802</v>
      </c>
      <c r="D15" s="86" t="s">
        <v>834</v>
      </c>
      <c r="E15" s="86" t="s">
        <v>842</v>
      </c>
      <c r="F15" s="86" t="s">
        <v>841</v>
      </c>
    </row>
    <row r="16" spans="1:6" ht="15" thickBot="1">
      <c r="A16" s="84" t="s">
        <v>849</v>
      </c>
      <c r="B16" s="86">
        <v>3271</v>
      </c>
      <c r="C16" s="86" t="s">
        <v>802</v>
      </c>
      <c r="D16" s="86" t="s">
        <v>834</v>
      </c>
      <c r="E16" s="86" t="s">
        <v>840</v>
      </c>
      <c r="F16" s="86" t="s">
        <v>839</v>
      </c>
    </row>
    <row r="17" spans="1:6" ht="15" thickBot="1">
      <c r="A17" s="84" t="s">
        <v>850</v>
      </c>
      <c r="B17" s="86">
        <v>3805</v>
      </c>
      <c r="C17" s="86" t="s">
        <v>802</v>
      </c>
      <c r="D17" s="86" t="s">
        <v>834</v>
      </c>
      <c r="E17" s="86" t="s">
        <v>851</v>
      </c>
      <c r="F17" s="86" t="s">
        <v>837</v>
      </c>
    </row>
    <row r="18" spans="1:6" ht="15" thickBot="1">
      <c r="A18" s="84" t="s">
        <v>852</v>
      </c>
      <c r="B18" s="86">
        <v>4490</v>
      </c>
      <c r="C18" s="86" t="s">
        <v>802</v>
      </c>
      <c r="D18" s="86" t="s">
        <v>834</v>
      </c>
      <c r="E18" s="86" t="s">
        <v>853</v>
      </c>
      <c r="F18" s="86" t="s">
        <v>834</v>
      </c>
    </row>
    <row r="19" spans="1:6" ht="15" thickBot="1">
      <c r="A19" s="84" t="s">
        <v>31</v>
      </c>
      <c r="B19" s="86">
        <v>5122</v>
      </c>
      <c r="C19" s="86" t="s">
        <v>802</v>
      </c>
      <c r="D19" s="86" t="s">
        <v>834</v>
      </c>
      <c r="E19" s="86" t="s">
        <v>854</v>
      </c>
      <c r="F19" s="86" t="s">
        <v>300</v>
      </c>
    </row>
    <row r="24" spans="1:6" ht="21">
      <c r="C24" s="87" t="s">
        <v>870</v>
      </c>
    </row>
    <row r="28" spans="1:6" ht="15" thickBot="1"/>
    <row r="29" spans="1:6" ht="15" thickBot="1">
      <c r="A29" s="84" t="s">
        <v>855</v>
      </c>
      <c r="B29" s="86">
        <v>2126</v>
      </c>
      <c r="C29" s="86" t="s">
        <v>302</v>
      </c>
      <c r="D29" s="86" t="s">
        <v>856</v>
      </c>
      <c r="E29" s="86" t="s">
        <v>856</v>
      </c>
      <c r="F29" s="86" t="s">
        <v>300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8" workbookViewId="0">
      <selection activeCell="F37" sqref="F37"/>
    </sheetView>
  </sheetViews>
  <sheetFormatPr defaultRowHeight="14.5"/>
  <cols>
    <col min="1" max="1" width="13.26953125" customWidth="1"/>
    <col min="3" max="3" width="14.26953125" customWidth="1"/>
    <col min="4" max="4" width="11.36328125" customWidth="1"/>
    <col min="5" max="5" width="10.54296875" customWidth="1"/>
    <col min="6" max="6" width="11.26953125" customWidth="1"/>
  </cols>
  <sheetData>
    <row r="1" spans="1:6" ht="18.5">
      <c r="A1" s="1" t="s">
        <v>498</v>
      </c>
      <c r="B1" s="1"/>
      <c r="C1" s="1"/>
      <c r="D1" s="1"/>
      <c r="E1" s="1"/>
      <c r="F1" s="1"/>
    </row>
    <row r="2" spans="1:6" ht="18.5">
      <c r="A2" s="1" t="s">
        <v>499</v>
      </c>
      <c r="C2" s="1"/>
      <c r="D2" s="1"/>
      <c r="E2" s="1"/>
      <c r="F2" s="1"/>
    </row>
    <row r="3" spans="1:6" ht="18.5">
      <c r="A3" s="1" t="s">
        <v>500</v>
      </c>
      <c r="B3" s="1"/>
      <c r="C3" s="1"/>
      <c r="D3" s="1"/>
      <c r="E3" s="1"/>
      <c r="F3" s="1"/>
    </row>
    <row r="4" spans="1:6" ht="18.5">
      <c r="A4" s="1" t="s">
        <v>350</v>
      </c>
      <c r="B4" s="1"/>
      <c r="C4" s="1"/>
      <c r="D4" s="1"/>
      <c r="E4" s="1"/>
      <c r="F4" s="1"/>
    </row>
    <row r="5" spans="1:6" ht="18.5">
      <c r="A5" s="1" t="s">
        <v>501</v>
      </c>
      <c r="B5" s="1"/>
      <c r="C5" s="1"/>
      <c r="D5" s="1"/>
      <c r="E5" s="1"/>
      <c r="F5" s="1"/>
    </row>
    <row r="6" spans="1:6" ht="18.5">
      <c r="A6" s="1" t="s">
        <v>502</v>
      </c>
      <c r="B6" s="1"/>
      <c r="C6" s="1"/>
      <c r="D6" s="1"/>
      <c r="E6" s="1" t="s">
        <v>164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503</v>
      </c>
      <c r="B8">
        <v>446</v>
      </c>
      <c r="C8" t="s">
        <v>505</v>
      </c>
      <c r="D8" s="17">
        <v>10000</v>
      </c>
      <c r="E8" s="17">
        <v>10000</v>
      </c>
      <c r="F8" s="17">
        <v>192500</v>
      </c>
    </row>
    <row r="9" spans="1:6">
      <c r="A9" t="s">
        <v>167</v>
      </c>
      <c r="B9">
        <v>1648</v>
      </c>
      <c r="C9" t="s">
        <v>505</v>
      </c>
      <c r="D9" s="17">
        <v>10000</v>
      </c>
      <c r="E9" s="17">
        <f>E8+D9</f>
        <v>20000</v>
      </c>
      <c r="F9" s="17">
        <f>F8-D9</f>
        <v>182500</v>
      </c>
    </row>
    <row r="10" spans="1:6">
      <c r="A10" t="s">
        <v>166</v>
      </c>
      <c r="B10">
        <v>1972</v>
      </c>
      <c r="C10" t="s">
        <v>171</v>
      </c>
      <c r="D10" s="17">
        <v>10000</v>
      </c>
      <c r="E10" s="17">
        <f t="shared" ref="E10:E24" si="0">E9+D10</f>
        <v>30000</v>
      </c>
      <c r="F10" s="17">
        <f t="shared" ref="F10:F24" si="1">F9-D10</f>
        <v>172500</v>
      </c>
    </row>
    <row r="11" spans="1:6">
      <c r="A11" t="s">
        <v>504</v>
      </c>
      <c r="B11">
        <v>3276</v>
      </c>
      <c r="C11" t="s">
        <v>505</v>
      </c>
      <c r="D11" s="17">
        <v>40000</v>
      </c>
      <c r="E11" s="17">
        <f t="shared" si="0"/>
        <v>70000</v>
      </c>
      <c r="F11" s="17">
        <f t="shared" si="1"/>
        <v>132500</v>
      </c>
    </row>
    <row r="12" spans="1:6">
      <c r="A12" t="s">
        <v>30</v>
      </c>
      <c r="B12">
        <v>4368</v>
      </c>
      <c r="C12" t="s">
        <v>505</v>
      </c>
      <c r="D12" s="17">
        <v>10000</v>
      </c>
      <c r="E12" s="17">
        <f t="shared" si="0"/>
        <v>80000</v>
      </c>
      <c r="F12" s="17">
        <f t="shared" si="1"/>
        <v>122500</v>
      </c>
    </row>
    <row r="13" spans="1:6">
      <c r="A13" s="16">
        <v>45271</v>
      </c>
      <c r="B13">
        <v>4849</v>
      </c>
      <c r="C13" t="s">
        <v>505</v>
      </c>
      <c r="D13" s="17">
        <v>20000</v>
      </c>
      <c r="E13" s="17">
        <f t="shared" si="0"/>
        <v>100000</v>
      </c>
      <c r="F13" s="17">
        <f t="shared" si="1"/>
        <v>102500</v>
      </c>
    </row>
    <row r="14" spans="1:6">
      <c r="A14" s="16">
        <v>45211</v>
      </c>
      <c r="B14">
        <v>5454</v>
      </c>
      <c r="C14" t="s">
        <v>505</v>
      </c>
      <c r="D14" s="17">
        <v>10000</v>
      </c>
      <c r="E14" s="17">
        <f t="shared" si="0"/>
        <v>110000</v>
      </c>
      <c r="F14" s="17">
        <f t="shared" si="1"/>
        <v>92500</v>
      </c>
    </row>
    <row r="15" spans="1:6">
      <c r="A15" s="16">
        <v>45566</v>
      </c>
      <c r="B15">
        <v>6089</v>
      </c>
      <c r="C15" t="s">
        <v>505</v>
      </c>
      <c r="D15" s="17">
        <v>10000</v>
      </c>
      <c r="E15" s="17">
        <f t="shared" si="0"/>
        <v>120000</v>
      </c>
      <c r="F15" s="17">
        <f t="shared" si="1"/>
        <v>82500</v>
      </c>
    </row>
    <row r="16" spans="1:6">
      <c r="A16" s="16">
        <v>45506</v>
      </c>
      <c r="B16">
        <v>6572</v>
      </c>
      <c r="C16" t="s">
        <v>505</v>
      </c>
      <c r="D16" s="17">
        <v>10000</v>
      </c>
      <c r="E16" s="17">
        <f t="shared" si="0"/>
        <v>130000</v>
      </c>
      <c r="F16" s="17">
        <f t="shared" si="1"/>
        <v>72500</v>
      </c>
    </row>
    <row r="17" spans="1:6">
      <c r="A17" s="16">
        <v>45568</v>
      </c>
      <c r="B17">
        <v>7262</v>
      </c>
      <c r="C17" t="s">
        <v>505</v>
      </c>
      <c r="D17" s="17">
        <v>10000</v>
      </c>
      <c r="E17" s="17">
        <f t="shared" si="0"/>
        <v>140000</v>
      </c>
      <c r="F17" s="17">
        <f t="shared" si="1"/>
        <v>62500</v>
      </c>
    </row>
    <row r="18" spans="1:6">
      <c r="A18" s="16">
        <v>45447</v>
      </c>
      <c r="B18">
        <v>7690</v>
      </c>
      <c r="C18" t="s">
        <v>505</v>
      </c>
      <c r="D18" s="17">
        <v>10000</v>
      </c>
      <c r="E18" s="17">
        <f t="shared" si="0"/>
        <v>150000</v>
      </c>
      <c r="F18" s="17">
        <f t="shared" si="1"/>
        <v>52500</v>
      </c>
    </row>
    <row r="19" spans="1:6">
      <c r="A19" s="16">
        <v>45387</v>
      </c>
      <c r="B19">
        <v>8195</v>
      </c>
      <c r="C19" t="s">
        <v>505</v>
      </c>
      <c r="D19" s="17">
        <v>10000</v>
      </c>
      <c r="E19" s="17">
        <f t="shared" si="0"/>
        <v>160000</v>
      </c>
      <c r="F19" s="17">
        <f t="shared" si="1"/>
        <v>42500</v>
      </c>
    </row>
    <row r="20" spans="1:6">
      <c r="A20" s="16">
        <v>45297</v>
      </c>
      <c r="B20">
        <v>8801</v>
      </c>
      <c r="C20" t="s">
        <v>505</v>
      </c>
      <c r="D20" s="17">
        <v>10000</v>
      </c>
      <c r="E20" s="17">
        <f t="shared" si="0"/>
        <v>170000</v>
      </c>
      <c r="F20" s="17">
        <f t="shared" si="1"/>
        <v>32500</v>
      </c>
    </row>
    <row r="21" spans="1:6">
      <c r="A21" s="16">
        <v>45542</v>
      </c>
      <c r="B21">
        <v>330</v>
      </c>
      <c r="C21" t="s">
        <v>505</v>
      </c>
      <c r="D21" s="17">
        <v>10000</v>
      </c>
      <c r="E21" s="17">
        <f t="shared" si="0"/>
        <v>180000</v>
      </c>
      <c r="F21" s="17">
        <f t="shared" si="1"/>
        <v>22500</v>
      </c>
    </row>
    <row r="22" spans="1:6">
      <c r="A22" s="16">
        <v>45390</v>
      </c>
      <c r="B22">
        <v>331</v>
      </c>
      <c r="C22" t="s">
        <v>505</v>
      </c>
      <c r="D22" s="17">
        <v>10000</v>
      </c>
      <c r="E22" s="17">
        <f t="shared" si="0"/>
        <v>190000</v>
      </c>
      <c r="F22" s="17">
        <f t="shared" si="1"/>
        <v>12500</v>
      </c>
    </row>
    <row r="23" spans="1:6">
      <c r="A23" s="16">
        <v>45544</v>
      </c>
      <c r="B23">
        <v>10658</v>
      </c>
      <c r="C23" t="s">
        <v>505</v>
      </c>
      <c r="D23" s="17">
        <v>10000</v>
      </c>
      <c r="E23" s="17">
        <f t="shared" si="0"/>
        <v>200000</v>
      </c>
      <c r="F23" s="17">
        <f t="shared" si="1"/>
        <v>2500</v>
      </c>
    </row>
    <row r="24" spans="1:6">
      <c r="A24" s="16">
        <v>45638</v>
      </c>
      <c r="B24">
        <v>13172</v>
      </c>
      <c r="C24" t="s">
        <v>505</v>
      </c>
      <c r="D24" s="17">
        <v>2500</v>
      </c>
      <c r="E24" s="17">
        <f t="shared" si="0"/>
        <v>202500</v>
      </c>
      <c r="F24" s="17">
        <f t="shared" si="1"/>
        <v>0</v>
      </c>
    </row>
    <row r="25" spans="1:6" ht="18.5">
      <c r="A25" s="1" t="s">
        <v>506</v>
      </c>
      <c r="B25" s="1"/>
      <c r="C25" s="1"/>
      <c r="D25" s="38"/>
      <c r="E25" s="38"/>
      <c r="F25" s="38"/>
    </row>
    <row r="26" spans="1:6">
      <c r="A26" s="91" t="s">
        <v>3</v>
      </c>
      <c r="B26" s="91" t="s">
        <v>4</v>
      </c>
      <c r="C26" s="91" t="s">
        <v>5</v>
      </c>
      <c r="D26" s="91" t="s">
        <v>6</v>
      </c>
      <c r="E26" s="91" t="s">
        <v>7</v>
      </c>
      <c r="F26" s="91" t="s">
        <v>8</v>
      </c>
    </row>
    <row r="27" spans="1:6" ht="28">
      <c r="A27" s="88">
        <v>46003</v>
      </c>
      <c r="B27" s="89" t="s">
        <v>871</v>
      </c>
      <c r="C27" t="s">
        <v>738</v>
      </c>
      <c r="D27" s="89" t="s">
        <v>834</v>
      </c>
      <c r="E27" s="17">
        <v>10000</v>
      </c>
      <c r="F27" s="90">
        <v>440000</v>
      </c>
    </row>
    <row r="28" spans="1:6" ht="28">
      <c r="A28" s="89" t="s">
        <v>872</v>
      </c>
      <c r="B28" s="89" t="s">
        <v>873</v>
      </c>
      <c r="C28" t="s">
        <v>738</v>
      </c>
      <c r="D28" s="89" t="s">
        <v>834</v>
      </c>
      <c r="E28" s="17"/>
      <c r="F28" s="90">
        <v>430000</v>
      </c>
    </row>
    <row r="29" spans="1:6" ht="28">
      <c r="A29" s="88">
        <v>46268</v>
      </c>
      <c r="B29" s="89" t="s">
        <v>874</v>
      </c>
      <c r="C29" t="s">
        <v>738</v>
      </c>
      <c r="D29" s="89" t="s">
        <v>875</v>
      </c>
      <c r="E29" s="17"/>
      <c r="F29" s="90">
        <v>425000</v>
      </c>
    </row>
    <row r="30" spans="1:6">
      <c r="A30" s="89" t="s">
        <v>876</v>
      </c>
      <c r="B30" s="89">
        <v>5942</v>
      </c>
      <c r="C30" t="s">
        <v>738</v>
      </c>
      <c r="D30" s="90">
        <v>5000</v>
      </c>
      <c r="E30" s="17"/>
      <c r="F30" s="90">
        <v>420000</v>
      </c>
    </row>
    <row r="31" spans="1:6">
      <c r="A31" s="88">
        <v>46300</v>
      </c>
      <c r="B31" s="89">
        <v>1436</v>
      </c>
      <c r="C31" t="s">
        <v>738</v>
      </c>
      <c r="D31" s="90">
        <v>5000</v>
      </c>
      <c r="E31" s="17"/>
      <c r="F31" s="90">
        <v>415000</v>
      </c>
    </row>
    <row r="32" spans="1:6">
      <c r="A32" s="88">
        <v>46059</v>
      </c>
      <c r="B32" s="89">
        <v>1626</v>
      </c>
      <c r="C32" t="s">
        <v>738</v>
      </c>
      <c r="D32" s="89" t="s">
        <v>875</v>
      </c>
      <c r="E32" s="17"/>
      <c r="F32" s="90">
        <v>410000</v>
      </c>
    </row>
    <row r="33" spans="1:6" ht="28">
      <c r="A33" s="88">
        <v>46029</v>
      </c>
      <c r="B33" s="89" t="s">
        <v>877</v>
      </c>
      <c r="C33" t="s">
        <v>738</v>
      </c>
      <c r="D33" s="90">
        <v>5000</v>
      </c>
      <c r="E33" s="17"/>
      <c r="F33" s="90">
        <v>405000</v>
      </c>
    </row>
    <row r="34" spans="1:6" ht="28">
      <c r="A34" s="89" t="s">
        <v>878</v>
      </c>
      <c r="B34" s="89" t="s">
        <v>879</v>
      </c>
      <c r="C34" t="s">
        <v>738</v>
      </c>
      <c r="D34" s="90">
        <v>10000</v>
      </c>
      <c r="E34" s="17"/>
      <c r="F34" s="89">
        <v>395000</v>
      </c>
    </row>
    <row r="35" spans="1:6" ht="28">
      <c r="A35" s="89" t="s">
        <v>880</v>
      </c>
      <c r="B35" s="89" t="s">
        <v>881</v>
      </c>
      <c r="C35" t="s">
        <v>738</v>
      </c>
      <c r="D35" s="89" t="s">
        <v>834</v>
      </c>
      <c r="E35" s="17"/>
      <c r="F35" s="89">
        <v>385000</v>
      </c>
    </row>
    <row r="36" spans="1:6" ht="28">
      <c r="A36" s="88">
        <v>46032</v>
      </c>
      <c r="B36" s="89" t="s">
        <v>882</v>
      </c>
      <c r="C36" t="s">
        <v>738</v>
      </c>
      <c r="D36" s="90">
        <v>10000</v>
      </c>
      <c r="E36" s="17"/>
      <c r="F36" s="89">
        <v>375000</v>
      </c>
    </row>
    <row r="37" spans="1:6">
      <c r="E37" s="1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F10"/>
  <sheetViews>
    <sheetView workbookViewId="0">
      <selection activeCell="E14" sqref="E14"/>
    </sheetView>
  </sheetViews>
  <sheetFormatPr defaultRowHeight="14.5"/>
  <cols>
    <col min="1" max="1" width="9.453125" bestFit="1" customWidth="1"/>
    <col min="3" max="3" width="12.08984375" customWidth="1"/>
    <col min="6" max="6" width="12.54296875" customWidth="1"/>
  </cols>
  <sheetData>
    <row r="1" spans="1:6" ht="18.5">
      <c r="A1" s="1" t="s">
        <v>341</v>
      </c>
      <c r="B1" s="1"/>
      <c r="C1" s="1"/>
      <c r="D1" s="1"/>
      <c r="E1" s="1"/>
      <c r="F1" s="1"/>
    </row>
    <row r="2" spans="1:6" ht="18.5">
      <c r="A2" s="1" t="s">
        <v>342</v>
      </c>
      <c r="C2" s="1"/>
      <c r="D2" s="1"/>
      <c r="E2" s="1"/>
      <c r="F2" s="1"/>
    </row>
    <row r="3" spans="1:6" ht="18.5">
      <c r="A3" s="1" t="s">
        <v>343</v>
      </c>
      <c r="B3" s="1"/>
      <c r="C3" s="1"/>
      <c r="D3" s="1"/>
      <c r="E3" s="1"/>
      <c r="F3" s="1"/>
    </row>
    <row r="4" spans="1:6" ht="18.5">
      <c r="A4" s="1" t="s">
        <v>520</v>
      </c>
      <c r="B4" s="1"/>
      <c r="C4" s="1"/>
      <c r="D4" s="1"/>
      <c r="E4" s="1"/>
      <c r="F4" s="1"/>
    </row>
    <row r="5" spans="1:6" ht="18.5">
      <c r="A5" s="1" t="s">
        <v>344</v>
      </c>
      <c r="B5" s="1"/>
      <c r="C5" s="1"/>
      <c r="D5" s="1"/>
      <c r="E5" s="1"/>
      <c r="F5" s="1"/>
    </row>
    <row r="6" spans="1:6" ht="18.5">
      <c r="A6" s="1" t="s">
        <v>62</v>
      </c>
      <c r="B6" s="1"/>
      <c r="C6" s="1"/>
      <c r="D6" s="1"/>
      <c r="E6" s="1" t="s">
        <v>335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6">
        <v>46360</v>
      </c>
      <c r="B8">
        <v>13238</v>
      </c>
      <c r="C8" t="s">
        <v>345</v>
      </c>
      <c r="D8" s="17">
        <v>200000</v>
      </c>
      <c r="E8" s="17">
        <v>200000</v>
      </c>
      <c r="F8" s="17">
        <v>550000</v>
      </c>
    </row>
    <row r="9" spans="1:6">
      <c r="A9" t="s">
        <v>519</v>
      </c>
      <c r="B9">
        <v>13367</v>
      </c>
      <c r="C9" t="s">
        <v>57</v>
      </c>
      <c r="D9" s="17">
        <v>10000</v>
      </c>
      <c r="E9" s="17">
        <f>E8+D9</f>
        <v>210000</v>
      </c>
      <c r="F9" s="17">
        <f>F8-D9</f>
        <v>540000</v>
      </c>
    </row>
    <row r="10" spans="1:6">
      <c r="A10" t="s">
        <v>681</v>
      </c>
      <c r="B10">
        <v>13660</v>
      </c>
      <c r="C10" t="s">
        <v>57</v>
      </c>
      <c r="D10" s="17">
        <v>10000</v>
      </c>
      <c r="E10" s="17">
        <f>E9+D10</f>
        <v>220000</v>
      </c>
      <c r="F10" s="17">
        <f>F9-D10</f>
        <v>530000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N32"/>
  <sheetViews>
    <sheetView workbookViewId="0">
      <selection activeCell="H10" sqref="H10"/>
    </sheetView>
  </sheetViews>
  <sheetFormatPr defaultRowHeight="14.5"/>
  <cols>
    <col min="1" max="1" width="11.1796875" customWidth="1"/>
    <col min="3" max="3" width="12.90625" customWidth="1"/>
    <col min="6" max="6" width="11.08984375" customWidth="1"/>
    <col min="11" max="11" width="12.08984375" customWidth="1"/>
  </cols>
  <sheetData>
    <row r="1" spans="1:14" ht="18.5">
      <c r="A1" s="1" t="s">
        <v>346</v>
      </c>
      <c r="B1" s="1"/>
      <c r="C1" s="1"/>
      <c r="D1" s="1"/>
      <c r="E1" s="1"/>
      <c r="F1" s="1"/>
    </row>
    <row r="2" spans="1:14" ht="18.5">
      <c r="A2" s="1" t="s">
        <v>347</v>
      </c>
      <c r="C2" s="1"/>
      <c r="D2" s="1"/>
      <c r="E2" s="1"/>
      <c r="F2" s="1"/>
      <c r="J2" s="38" t="s">
        <v>524</v>
      </c>
      <c r="K2" s="38"/>
      <c r="L2" s="38"/>
    </row>
    <row r="3" spans="1:14" ht="18.5">
      <c r="A3" s="1" t="s">
        <v>525</v>
      </c>
      <c r="B3" s="1"/>
      <c r="C3" s="1"/>
      <c r="D3" s="1"/>
      <c r="E3" s="1"/>
      <c r="F3" s="1"/>
    </row>
    <row r="4" spans="1:14" ht="18.5">
      <c r="A4" s="1" t="s">
        <v>350</v>
      </c>
      <c r="B4" s="1"/>
      <c r="C4" s="1"/>
      <c r="D4" s="1"/>
      <c r="E4" s="1"/>
      <c r="F4" s="1"/>
    </row>
    <row r="5" spans="1:14" ht="18.5">
      <c r="A5" s="1" t="s">
        <v>348</v>
      </c>
      <c r="B5" s="1"/>
      <c r="C5" s="1"/>
      <c r="D5" s="1"/>
      <c r="E5" s="1"/>
      <c r="F5" s="1"/>
      <c r="I5" s="8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7" t="s">
        <v>8</v>
      </c>
    </row>
    <row r="6" spans="1:14" ht="18.5">
      <c r="A6" s="1" t="s">
        <v>349</v>
      </c>
      <c r="B6" s="1"/>
      <c r="C6" s="1"/>
      <c r="D6" s="1"/>
      <c r="E6" s="1" t="s">
        <v>131</v>
      </c>
      <c r="F6" s="1"/>
      <c r="I6" t="s">
        <v>522</v>
      </c>
      <c r="J6">
        <v>1482</v>
      </c>
      <c r="K6" t="s">
        <v>523</v>
      </c>
      <c r="L6" s="17">
        <v>5000</v>
      </c>
      <c r="M6" s="17">
        <v>5000</v>
      </c>
      <c r="N6" s="17">
        <v>420000</v>
      </c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35" t="s">
        <v>154</v>
      </c>
      <c r="B8" s="35">
        <v>1226</v>
      </c>
      <c r="C8" s="35" t="s">
        <v>12</v>
      </c>
      <c r="D8" s="36">
        <v>20000</v>
      </c>
      <c r="E8" s="36">
        <v>20000</v>
      </c>
      <c r="F8" s="36">
        <v>270000</v>
      </c>
    </row>
    <row r="9" spans="1:14">
      <c r="A9" s="35" t="s">
        <v>351</v>
      </c>
      <c r="B9" s="35">
        <v>2898</v>
      </c>
      <c r="C9" s="35" t="s">
        <v>171</v>
      </c>
      <c r="D9" s="36">
        <v>50000</v>
      </c>
      <c r="E9" s="36">
        <f>SUM(E8+D9)</f>
        <v>70000</v>
      </c>
      <c r="F9" s="36">
        <f>F8-D9</f>
        <v>220000</v>
      </c>
    </row>
    <row r="10" spans="1:14">
      <c r="A10" s="37">
        <v>45049</v>
      </c>
      <c r="B10" s="35">
        <v>2899</v>
      </c>
      <c r="C10" s="35" t="s">
        <v>12</v>
      </c>
      <c r="D10" s="36">
        <v>10000</v>
      </c>
      <c r="E10" s="36">
        <f t="shared" ref="E10:E30" si="0">SUM(E9+D10)</f>
        <v>80000</v>
      </c>
      <c r="F10" s="36">
        <f t="shared" ref="F10:F30" si="1">F9-D10</f>
        <v>210000</v>
      </c>
    </row>
    <row r="11" spans="1:14">
      <c r="A11" s="37">
        <v>45173</v>
      </c>
      <c r="B11" s="35">
        <v>1037</v>
      </c>
      <c r="C11" s="35" t="s">
        <v>12</v>
      </c>
      <c r="D11" s="36">
        <v>10000</v>
      </c>
      <c r="E11" s="36">
        <f t="shared" si="0"/>
        <v>90000</v>
      </c>
      <c r="F11" s="36">
        <f t="shared" si="1"/>
        <v>200000</v>
      </c>
    </row>
    <row r="12" spans="1:14">
      <c r="A12" s="37">
        <v>45022</v>
      </c>
      <c r="B12" s="35">
        <v>271</v>
      </c>
      <c r="C12" s="35" t="s">
        <v>12</v>
      </c>
      <c r="D12" s="36">
        <v>10000</v>
      </c>
      <c r="E12" s="36">
        <f t="shared" si="0"/>
        <v>100000</v>
      </c>
      <c r="F12" s="36">
        <f t="shared" si="1"/>
        <v>190000</v>
      </c>
    </row>
    <row r="13" spans="1:14">
      <c r="A13" s="37">
        <v>45112</v>
      </c>
      <c r="B13" s="35">
        <v>1488</v>
      </c>
      <c r="C13" s="35" t="s">
        <v>12</v>
      </c>
      <c r="D13" s="36">
        <v>10000</v>
      </c>
      <c r="E13" s="36">
        <f t="shared" si="0"/>
        <v>110000</v>
      </c>
      <c r="F13" s="36">
        <f t="shared" si="1"/>
        <v>180000</v>
      </c>
    </row>
    <row r="14" spans="1:14">
      <c r="A14" s="37">
        <v>45176</v>
      </c>
      <c r="B14" s="35">
        <v>2198</v>
      </c>
      <c r="C14" s="35" t="s">
        <v>12</v>
      </c>
      <c r="D14" s="36">
        <v>10000</v>
      </c>
      <c r="E14" s="36">
        <f t="shared" si="0"/>
        <v>120000</v>
      </c>
      <c r="F14" s="36">
        <f t="shared" si="1"/>
        <v>170000</v>
      </c>
    </row>
    <row r="15" spans="1:14">
      <c r="A15" s="37">
        <v>44994</v>
      </c>
      <c r="B15" s="35">
        <v>3369</v>
      </c>
      <c r="C15" s="35" t="s">
        <v>12</v>
      </c>
      <c r="D15" s="36">
        <v>10000</v>
      </c>
      <c r="E15" s="36">
        <f t="shared" si="0"/>
        <v>130000</v>
      </c>
      <c r="F15" s="36">
        <f t="shared" si="1"/>
        <v>160000</v>
      </c>
    </row>
    <row r="16" spans="1:14">
      <c r="A16" s="37">
        <v>45026</v>
      </c>
      <c r="B16" s="35">
        <v>278</v>
      </c>
      <c r="C16" s="35" t="s">
        <v>12</v>
      </c>
      <c r="D16" s="36">
        <v>10000</v>
      </c>
      <c r="E16" s="36">
        <f t="shared" si="0"/>
        <v>140000</v>
      </c>
      <c r="F16" s="36">
        <f t="shared" si="1"/>
        <v>150000</v>
      </c>
    </row>
    <row r="17" spans="1:6">
      <c r="A17" s="37">
        <v>45149</v>
      </c>
      <c r="B17" s="35">
        <v>4704</v>
      </c>
      <c r="C17" s="35" t="s">
        <v>12</v>
      </c>
      <c r="D17" s="36">
        <v>10000</v>
      </c>
      <c r="E17" s="36">
        <f t="shared" si="0"/>
        <v>150000</v>
      </c>
      <c r="F17" s="36">
        <f t="shared" si="1"/>
        <v>140000</v>
      </c>
    </row>
    <row r="18" spans="1:6">
      <c r="A18" s="37">
        <v>45383</v>
      </c>
      <c r="B18" s="35">
        <v>5897</v>
      </c>
      <c r="C18" s="35" t="s">
        <v>12</v>
      </c>
      <c r="D18" s="36">
        <v>20000</v>
      </c>
      <c r="E18" s="36">
        <f t="shared" si="0"/>
        <v>170000</v>
      </c>
      <c r="F18" s="36">
        <f t="shared" si="1"/>
        <v>120000</v>
      </c>
    </row>
    <row r="19" spans="1:6">
      <c r="A19" s="37">
        <v>45598</v>
      </c>
      <c r="B19" s="35">
        <v>7042</v>
      </c>
      <c r="C19" s="35" t="s">
        <v>12</v>
      </c>
      <c r="D19" s="36">
        <v>10000</v>
      </c>
      <c r="E19" s="36">
        <f t="shared" si="0"/>
        <v>180000</v>
      </c>
      <c r="F19" s="36">
        <f t="shared" si="1"/>
        <v>110000</v>
      </c>
    </row>
    <row r="20" spans="1:6">
      <c r="A20" s="37">
        <v>45629</v>
      </c>
      <c r="B20" s="35">
        <v>7309</v>
      </c>
      <c r="C20" s="35" t="s">
        <v>12</v>
      </c>
      <c r="D20" s="36">
        <v>10000</v>
      </c>
      <c r="E20" s="36">
        <f t="shared" si="0"/>
        <v>190000</v>
      </c>
      <c r="F20" s="36">
        <f t="shared" si="1"/>
        <v>100000</v>
      </c>
    </row>
    <row r="21" spans="1:6">
      <c r="A21" s="35" t="s">
        <v>105</v>
      </c>
      <c r="B21" s="35">
        <v>7866</v>
      </c>
      <c r="C21" s="35" t="s">
        <v>12</v>
      </c>
      <c r="D21" s="36">
        <v>10000</v>
      </c>
      <c r="E21" s="36">
        <f t="shared" si="0"/>
        <v>200000</v>
      </c>
      <c r="F21" s="36">
        <f t="shared" si="1"/>
        <v>90000</v>
      </c>
    </row>
    <row r="22" spans="1:6">
      <c r="A22" s="37">
        <v>45631</v>
      </c>
      <c r="B22" s="35">
        <v>8415</v>
      </c>
      <c r="C22" s="35" t="s">
        <v>12</v>
      </c>
      <c r="D22" s="36">
        <v>10000</v>
      </c>
      <c r="E22" s="36">
        <f t="shared" si="0"/>
        <v>210000</v>
      </c>
      <c r="F22" s="36">
        <f t="shared" si="1"/>
        <v>80000</v>
      </c>
    </row>
    <row r="23" spans="1:6">
      <c r="A23" s="37">
        <v>45541</v>
      </c>
      <c r="B23" s="35">
        <v>8909</v>
      </c>
      <c r="C23" s="35" t="s">
        <v>12</v>
      </c>
      <c r="D23" s="36">
        <v>10000</v>
      </c>
      <c r="E23" s="36">
        <f t="shared" si="0"/>
        <v>220000</v>
      </c>
      <c r="F23" s="36">
        <f t="shared" si="1"/>
        <v>70000</v>
      </c>
    </row>
    <row r="24" spans="1:6">
      <c r="A24" s="35" t="s">
        <v>352</v>
      </c>
      <c r="B24" s="35">
        <v>10588</v>
      </c>
      <c r="C24" s="35" t="s">
        <v>12</v>
      </c>
      <c r="D24" s="36">
        <v>10000</v>
      </c>
      <c r="E24" s="36">
        <f t="shared" si="0"/>
        <v>230000</v>
      </c>
      <c r="F24" s="36">
        <f t="shared" si="1"/>
        <v>60000</v>
      </c>
    </row>
    <row r="25" spans="1:6">
      <c r="A25" s="37">
        <v>45634</v>
      </c>
      <c r="B25" s="35">
        <v>10589</v>
      </c>
      <c r="C25" s="35" t="s">
        <v>12</v>
      </c>
      <c r="D25" s="36">
        <v>10000</v>
      </c>
      <c r="E25" s="36">
        <f t="shared" si="0"/>
        <v>240000</v>
      </c>
      <c r="F25" s="36">
        <f t="shared" si="1"/>
        <v>50000</v>
      </c>
    </row>
    <row r="26" spans="1:6">
      <c r="A26" s="37">
        <v>45513</v>
      </c>
      <c r="B26" s="35">
        <v>10590</v>
      </c>
      <c r="C26" s="35" t="s">
        <v>12</v>
      </c>
      <c r="D26" s="36">
        <v>10000</v>
      </c>
      <c r="E26" s="36">
        <f t="shared" si="0"/>
        <v>250000</v>
      </c>
      <c r="F26" s="36">
        <f t="shared" si="1"/>
        <v>40000</v>
      </c>
    </row>
    <row r="27" spans="1:6">
      <c r="A27" s="37">
        <v>45636</v>
      </c>
      <c r="B27" s="35">
        <v>11607</v>
      </c>
      <c r="C27" s="35" t="s">
        <v>12</v>
      </c>
      <c r="D27" s="36">
        <v>10000</v>
      </c>
      <c r="E27" s="36">
        <f t="shared" si="0"/>
        <v>260000</v>
      </c>
      <c r="F27" s="36">
        <f t="shared" si="1"/>
        <v>30000</v>
      </c>
    </row>
    <row r="28" spans="1:6">
      <c r="A28" s="37">
        <v>45515</v>
      </c>
      <c r="B28" s="35">
        <v>11932</v>
      </c>
      <c r="C28" s="35" t="s">
        <v>12</v>
      </c>
      <c r="D28" s="36">
        <v>10000</v>
      </c>
      <c r="E28" s="36">
        <f t="shared" si="0"/>
        <v>270000</v>
      </c>
      <c r="F28" s="36">
        <f t="shared" si="1"/>
        <v>20000</v>
      </c>
    </row>
    <row r="29" spans="1:6">
      <c r="A29" s="37">
        <v>45516</v>
      </c>
      <c r="B29" s="35">
        <v>11237</v>
      </c>
      <c r="C29" s="35" t="s">
        <v>12</v>
      </c>
      <c r="D29" s="36">
        <v>10000</v>
      </c>
      <c r="E29" s="36">
        <f t="shared" si="0"/>
        <v>280000</v>
      </c>
      <c r="F29" s="36">
        <f t="shared" si="1"/>
        <v>10000</v>
      </c>
    </row>
    <row r="30" spans="1:6">
      <c r="A30" s="37">
        <v>45992</v>
      </c>
      <c r="B30" s="35">
        <v>12021</v>
      </c>
      <c r="C30" s="35" t="s">
        <v>12</v>
      </c>
      <c r="D30" s="36">
        <v>10000</v>
      </c>
      <c r="E30" s="36">
        <f t="shared" si="0"/>
        <v>290000</v>
      </c>
      <c r="F30" s="36">
        <f t="shared" si="1"/>
        <v>0</v>
      </c>
    </row>
    <row r="31" spans="1:6">
      <c r="A31" t="s">
        <v>353</v>
      </c>
    </row>
    <row r="32" spans="1:6">
      <c r="A32" t="s">
        <v>313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F60"/>
  <sheetViews>
    <sheetView topLeftCell="A42" workbookViewId="0">
      <selection activeCell="N55" sqref="N55"/>
    </sheetView>
  </sheetViews>
  <sheetFormatPr defaultRowHeight="14.5"/>
  <cols>
    <col min="1" max="1" width="12.36328125" customWidth="1"/>
    <col min="2" max="2" width="12.7265625" customWidth="1"/>
    <col min="3" max="3" width="12.6328125" customWidth="1"/>
    <col min="4" max="4" width="11.90625" customWidth="1"/>
    <col min="5" max="5" width="11.453125" customWidth="1"/>
    <col min="6" max="6" width="12.81640625" customWidth="1"/>
  </cols>
  <sheetData>
    <row r="1" spans="1:6" ht="18.5">
      <c r="A1" s="1" t="s">
        <v>354</v>
      </c>
      <c r="B1" s="1"/>
      <c r="C1" s="1"/>
      <c r="D1" s="1"/>
      <c r="E1" s="1"/>
      <c r="F1" s="1"/>
    </row>
    <row r="2" spans="1:6" ht="18.5">
      <c r="A2" s="1" t="s">
        <v>355</v>
      </c>
      <c r="C2" s="1"/>
      <c r="D2" s="1"/>
      <c r="E2" s="1"/>
      <c r="F2" s="1"/>
    </row>
    <row r="3" spans="1:6" ht="18.5">
      <c r="A3" s="1" t="s">
        <v>356</v>
      </c>
      <c r="B3" s="1"/>
      <c r="C3" s="1"/>
      <c r="D3" s="1"/>
      <c r="E3" s="1"/>
      <c r="F3" s="1"/>
    </row>
    <row r="4" spans="1:6" ht="18.5">
      <c r="A4" s="1" t="s">
        <v>350</v>
      </c>
      <c r="B4" s="1" t="s">
        <v>676</v>
      </c>
      <c r="C4" s="1"/>
      <c r="D4" s="1"/>
      <c r="E4" s="1"/>
      <c r="F4" s="1"/>
    </row>
    <row r="5" spans="1:6" ht="18.5">
      <c r="A5" s="1" t="s">
        <v>357</v>
      </c>
      <c r="B5" s="1"/>
      <c r="C5" s="1"/>
      <c r="D5" s="1"/>
      <c r="E5" s="1"/>
      <c r="F5" s="1"/>
    </row>
    <row r="6" spans="1:6" ht="18.5">
      <c r="A6" s="1" t="s">
        <v>358</v>
      </c>
      <c r="B6" s="1"/>
      <c r="C6" s="1"/>
      <c r="D6" s="1"/>
      <c r="E6" s="1" t="s">
        <v>250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t="s">
        <v>359</v>
      </c>
      <c r="B8">
        <v>907</v>
      </c>
      <c r="C8" t="s">
        <v>12</v>
      </c>
      <c r="D8" s="17">
        <v>10000</v>
      </c>
      <c r="E8" s="17">
        <v>10000</v>
      </c>
      <c r="F8" s="17">
        <v>340000</v>
      </c>
    </row>
    <row r="9" spans="1:6">
      <c r="A9" t="s">
        <v>360</v>
      </c>
      <c r="B9">
        <v>1289</v>
      </c>
      <c r="C9" t="s">
        <v>12</v>
      </c>
      <c r="D9" s="17">
        <v>10000</v>
      </c>
      <c r="E9" s="17">
        <f>SUM(E8+D9)</f>
        <v>20000</v>
      </c>
      <c r="F9" s="17">
        <f>F8-D9</f>
        <v>330000</v>
      </c>
    </row>
    <row r="10" spans="1:6">
      <c r="A10" t="s">
        <v>361</v>
      </c>
      <c r="B10">
        <v>2021</v>
      </c>
      <c r="C10" t="s">
        <v>12</v>
      </c>
      <c r="D10" s="17">
        <v>10000</v>
      </c>
      <c r="E10" s="17">
        <f t="shared" ref="E10:E42" si="0">SUM(E9+D10)</f>
        <v>30000</v>
      </c>
      <c r="F10" s="17">
        <f t="shared" ref="F10:F42" si="1">F9-D10</f>
        <v>320000</v>
      </c>
    </row>
    <row r="11" spans="1:6">
      <c r="A11" t="s">
        <v>362</v>
      </c>
      <c r="B11">
        <v>2022</v>
      </c>
      <c r="C11" t="s">
        <v>368</v>
      </c>
      <c r="D11" s="17">
        <v>10000</v>
      </c>
      <c r="E11" s="17">
        <f t="shared" si="0"/>
        <v>40000</v>
      </c>
      <c r="F11" s="17">
        <f t="shared" si="1"/>
        <v>310000</v>
      </c>
    </row>
    <row r="12" spans="1:6">
      <c r="A12" t="s">
        <v>180</v>
      </c>
      <c r="B12">
        <v>2020</v>
      </c>
      <c r="C12" t="s">
        <v>142</v>
      </c>
      <c r="D12" s="17">
        <v>10000</v>
      </c>
      <c r="E12" s="17">
        <f t="shared" si="0"/>
        <v>50000</v>
      </c>
      <c r="F12" s="17">
        <f t="shared" si="1"/>
        <v>300000</v>
      </c>
    </row>
    <row r="13" spans="1:6">
      <c r="A13" t="s">
        <v>363</v>
      </c>
      <c r="B13">
        <v>3033</v>
      </c>
      <c r="C13" t="s">
        <v>142</v>
      </c>
      <c r="D13" s="17">
        <v>10000</v>
      </c>
      <c r="E13" s="17">
        <f t="shared" si="0"/>
        <v>60000</v>
      </c>
      <c r="F13" s="17">
        <f t="shared" si="1"/>
        <v>290000</v>
      </c>
    </row>
    <row r="14" spans="1:6">
      <c r="A14" t="s">
        <v>364</v>
      </c>
      <c r="B14">
        <v>1370</v>
      </c>
      <c r="C14" t="s">
        <v>142</v>
      </c>
      <c r="D14" s="17">
        <v>10000</v>
      </c>
      <c r="E14" s="17">
        <f t="shared" si="0"/>
        <v>70000</v>
      </c>
      <c r="F14" s="17">
        <f t="shared" si="1"/>
        <v>280000</v>
      </c>
    </row>
    <row r="15" spans="1:6">
      <c r="A15" t="s">
        <v>365</v>
      </c>
      <c r="B15">
        <v>626</v>
      </c>
      <c r="C15" t="s">
        <v>142</v>
      </c>
      <c r="D15" s="17">
        <v>10000</v>
      </c>
      <c r="E15" s="17">
        <f t="shared" si="0"/>
        <v>80000</v>
      </c>
      <c r="F15" s="17">
        <f t="shared" si="1"/>
        <v>270000</v>
      </c>
    </row>
    <row r="16" spans="1:6">
      <c r="A16" t="s">
        <v>9</v>
      </c>
      <c r="B16">
        <v>7045</v>
      </c>
      <c r="C16" t="s">
        <v>142</v>
      </c>
      <c r="D16" s="17">
        <v>10000</v>
      </c>
      <c r="E16" s="17">
        <f t="shared" si="0"/>
        <v>90000</v>
      </c>
      <c r="F16" s="17">
        <f t="shared" si="1"/>
        <v>260000</v>
      </c>
    </row>
    <row r="17" spans="1:6">
      <c r="A17" t="s">
        <v>366</v>
      </c>
      <c r="B17">
        <v>2932</v>
      </c>
      <c r="C17" t="s">
        <v>142</v>
      </c>
      <c r="D17" s="17">
        <v>10000</v>
      </c>
      <c r="E17" s="17">
        <f t="shared" si="0"/>
        <v>100000</v>
      </c>
      <c r="F17" s="17">
        <f t="shared" si="1"/>
        <v>250000</v>
      </c>
    </row>
    <row r="18" spans="1:6">
      <c r="A18" t="s">
        <v>367</v>
      </c>
      <c r="B18">
        <v>3146</v>
      </c>
      <c r="C18" t="s">
        <v>142</v>
      </c>
      <c r="D18" s="17">
        <v>10000</v>
      </c>
      <c r="E18" s="17">
        <f t="shared" si="0"/>
        <v>110000</v>
      </c>
      <c r="F18" s="17">
        <f t="shared" si="1"/>
        <v>240000</v>
      </c>
    </row>
    <row r="19" spans="1:6">
      <c r="A19" t="s">
        <v>369</v>
      </c>
      <c r="B19">
        <v>8769</v>
      </c>
      <c r="C19" t="s">
        <v>142</v>
      </c>
      <c r="D19" s="17">
        <v>10000</v>
      </c>
      <c r="E19" s="17">
        <f t="shared" si="0"/>
        <v>120000</v>
      </c>
      <c r="F19" s="17">
        <f t="shared" si="1"/>
        <v>230000</v>
      </c>
    </row>
    <row r="20" spans="1:6">
      <c r="A20" t="s">
        <v>370</v>
      </c>
      <c r="B20">
        <v>4442</v>
      </c>
      <c r="C20" t="s">
        <v>142</v>
      </c>
      <c r="D20" s="17">
        <v>10000</v>
      </c>
      <c r="E20" s="17">
        <f t="shared" si="0"/>
        <v>130000</v>
      </c>
      <c r="F20" s="17">
        <f t="shared" si="1"/>
        <v>220000</v>
      </c>
    </row>
    <row r="21" spans="1:6">
      <c r="A21" t="s">
        <v>371</v>
      </c>
      <c r="B21">
        <v>5033</v>
      </c>
      <c r="C21" t="s">
        <v>142</v>
      </c>
      <c r="D21" s="17">
        <v>10000</v>
      </c>
      <c r="E21" s="17">
        <f t="shared" si="0"/>
        <v>140000</v>
      </c>
      <c r="F21" s="17">
        <f t="shared" si="1"/>
        <v>210000</v>
      </c>
    </row>
    <row r="22" spans="1:6">
      <c r="A22" t="s">
        <v>98</v>
      </c>
      <c r="B22">
        <v>5640</v>
      </c>
      <c r="C22" t="s">
        <v>142</v>
      </c>
      <c r="D22" s="17">
        <v>10000</v>
      </c>
      <c r="E22" s="17">
        <f t="shared" si="0"/>
        <v>150000</v>
      </c>
      <c r="F22" s="17">
        <f t="shared" si="1"/>
        <v>200000</v>
      </c>
    </row>
    <row r="23" spans="1:6">
      <c r="A23" t="s">
        <v>99</v>
      </c>
      <c r="B23">
        <v>6284</v>
      </c>
      <c r="C23" t="s">
        <v>142</v>
      </c>
      <c r="D23" s="17">
        <v>10000</v>
      </c>
      <c r="E23" s="17">
        <f t="shared" si="0"/>
        <v>160000</v>
      </c>
      <c r="F23" s="17">
        <f t="shared" si="1"/>
        <v>190000</v>
      </c>
    </row>
    <row r="24" spans="1:6">
      <c r="A24" t="s">
        <v>372</v>
      </c>
      <c r="B24">
        <v>6693</v>
      </c>
      <c r="C24" t="s">
        <v>142</v>
      </c>
      <c r="D24" s="17">
        <v>10000</v>
      </c>
      <c r="E24" s="17">
        <f t="shared" si="0"/>
        <v>170000</v>
      </c>
      <c r="F24" s="17">
        <f t="shared" si="1"/>
        <v>180000</v>
      </c>
    </row>
    <row r="25" spans="1:6">
      <c r="A25" t="s">
        <v>373</v>
      </c>
      <c r="B25">
        <v>7458</v>
      </c>
      <c r="C25" t="s">
        <v>142</v>
      </c>
      <c r="D25" s="17">
        <v>10000</v>
      </c>
      <c r="E25" s="17">
        <f t="shared" si="0"/>
        <v>180000</v>
      </c>
      <c r="F25" s="17">
        <f t="shared" si="1"/>
        <v>170000</v>
      </c>
    </row>
    <row r="26" spans="1:6">
      <c r="A26" t="s">
        <v>374</v>
      </c>
      <c r="B26">
        <v>7901</v>
      </c>
      <c r="C26" t="s">
        <v>142</v>
      </c>
      <c r="D26" s="17">
        <v>10000</v>
      </c>
      <c r="E26" s="17">
        <f t="shared" si="0"/>
        <v>190000</v>
      </c>
      <c r="F26" s="17">
        <f t="shared" si="1"/>
        <v>160000</v>
      </c>
    </row>
    <row r="27" spans="1:6">
      <c r="A27" t="s">
        <v>35</v>
      </c>
      <c r="B27">
        <v>8622</v>
      </c>
      <c r="C27" t="s">
        <v>142</v>
      </c>
      <c r="D27" s="17">
        <v>10000</v>
      </c>
      <c r="E27" s="17">
        <f t="shared" si="0"/>
        <v>200000</v>
      </c>
      <c r="F27" s="17">
        <f t="shared" si="1"/>
        <v>150000</v>
      </c>
    </row>
    <row r="28" spans="1:6">
      <c r="A28" t="s">
        <v>272</v>
      </c>
      <c r="B28">
        <v>9188</v>
      </c>
      <c r="C28" t="s">
        <v>142</v>
      </c>
      <c r="D28" s="17">
        <v>10000</v>
      </c>
      <c r="E28" s="17">
        <f t="shared" si="0"/>
        <v>210000</v>
      </c>
      <c r="F28" s="17">
        <f t="shared" si="1"/>
        <v>140000</v>
      </c>
    </row>
    <row r="29" spans="1:6">
      <c r="A29" t="s">
        <v>375</v>
      </c>
      <c r="B29">
        <v>9790</v>
      </c>
      <c r="C29" t="s">
        <v>142</v>
      </c>
      <c r="D29" s="17">
        <v>10000</v>
      </c>
      <c r="E29" s="17">
        <f t="shared" si="0"/>
        <v>220000</v>
      </c>
      <c r="F29" s="17">
        <f t="shared" si="1"/>
        <v>130000</v>
      </c>
    </row>
    <row r="30" spans="1:6">
      <c r="A30" s="16">
        <v>45331</v>
      </c>
      <c r="B30">
        <v>10476</v>
      </c>
      <c r="C30" t="s">
        <v>142</v>
      </c>
      <c r="D30" s="17">
        <v>10000</v>
      </c>
      <c r="E30" s="17">
        <f t="shared" si="0"/>
        <v>230000</v>
      </c>
      <c r="F30" s="17">
        <f t="shared" si="1"/>
        <v>120000</v>
      </c>
    </row>
    <row r="31" spans="1:6">
      <c r="A31" t="s">
        <v>58</v>
      </c>
      <c r="B31">
        <v>11636</v>
      </c>
      <c r="C31" t="s">
        <v>142</v>
      </c>
      <c r="D31" s="17">
        <v>10000</v>
      </c>
      <c r="E31" s="17">
        <f t="shared" si="0"/>
        <v>240000</v>
      </c>
      <c r="F31" s="17">
        <f t="shared" si="1"/>
        <v>110000</v>
      </c>
    </row>
    <row r="32" spans="1:6">
      <c r="A32" t="s">
        <v>16</v>
      </c>
      <c r="B32">
        <v>12489</v>
      </c>
      <c r="C32" t="s">
        <v>142</v>
      </c>
      <c r="D32" s="17">
        <v>10000</v>
      </c>
      <c r="E32" s="17">
        <f t="shared" si="0"/>
        <v>250000</v>
      </c>
      <c r="F32" s="17">
        <f t="shared" si="1"/>
        <v>100000</v>
      </c>
    </row>
    <row r="33" spans="1:6">
      <c r="A33" t="s">
        <v>376</v>
      </c>
      <c r="B33">
        <v>12845</v>
      </c>
      <c r="C33" t="s">
        <v>142</v>
      </c>
      <c r="D33" s="17">
        <v>10000</v>
      </c>
      <c r="E33" s="17">
        <f t="shared" si="0"/>
        <v>260000</v>
      </c>
      <c r="F33" s="17">
        <f t="shared" si="1"/>
        <v>90000</v>
      </c>
    </row>
    <row r="34" spans="1:6">
      <c r="A34" t="s">
        <v>377</v>
      </c>
      <c r="B34">
        <v>9063</v>
      </c>
      <c r="C34" t="s">
        <v>142</v>
      </c>
      <c r="D34" s="17">
        <v>10000</v>
      </c>
      <c r="E34" s="17">
        <f t="shared" si="0"/>
        <v>270000</v>
      </c>
      <c r="F34" s="17">
        <f t="shared" si="1"/>
        <v>80000</v>
      </c>
    </row>
    <row r="35" spans="1:6">
      <c r="A35" t="s">
        <v>17</v>
      </c>
      <c r="B35">
        <v>9510</v>
      </c>
      <c r="C35" t="s">
        <v>142</v>
      </c>
      <c r="D35" s="17">
        <v>10000</v>
      </c>
      <c r="E35" s="17">
        <f t="shared" si="0"/>
        <v>280000</v>
      </c>
      <c r="F35" s="17">
        <f t="shared" si="1"/>
        <v>70000</v>
      </c>
    </row>
    <row r="36" spans="1:6">
      <c r="A36" t="s">
        <v>141</v>
      </c>
      <c r="B36">
        <v>9854</v>
      </c>
      <c r="C36" t="s">
        <v>142</v>
      </c>
      <c r="D36" s="17">
        <v>10000</v>
      </c>
      <c r="E36" s="17">
        <f t="shared" si="0"/>
        <v>290000</v>
      </c>
      <c r="F36" s="17">
        <f t="shared" si="1"/>
        <v>60000</v>
      </c>
    </row>
    <row r="37" spans="1:6">
      <c r="A37" t="s">
        <v>378</v>
      </c>
      <c r="B37">
        <v>10068</v>
      </c>
      <c r="C37" t="s">
        <v>142</v>
      </c>
      <c r="D37" s="17">
        <v>10000</v>
      </c>
      <c r="E37" s="17">
        <f t="shared" si="0"/>
        <v>300000</v>
      </c>
      <c r="F37" s="17">
        <f t="shared" si="1"/>
        <v>50000</v>
      </c>
    </row>
    <row r="38" spans="1:6">
      <c r="A38" t="s">
        <v>379</v>
      </c>
      <c r="B38">
        <v>12012</v>
      </c>
      <c r="C38" t="s">
        <v>142</v>
      </c>
      <c r="D38" s="17">
        <v>10000</v>
      </c>
      <c r="E38" s="17">
        <f t="shared" si="0"/>
        <v>310000</v>
      </c>
      <c r="F38" s="17">
        <f t="shared" si="1"/>
        <v>40000</v>
      </c>
    </row>
    <row r="39" spans="1:6">
      <c r="A39" t="s">
        <v>380</v>
      </c>
      <c r="B39">
        <v>12011</v>
      </c>
      <c r="C39" t="s">
        <v>142</v>
      </c>
      <c r="D39" s="17">
        <v>10000</v>
      </c>
      <c r="E39" s="17">
        <f t="shared" si="0"/>
        <v>320000</v>
      </c>
      <c r="F39" s="17">
        <f t="shared" si="1"/>
        <v>30000</v>
      </c>
    </row>
    <row r="40" spans="1:6">
      <c r="A40" t="s">
        <v>381</v>
      </c>
      <c r="B40">
        <v>12304</v>
      </c>
      <c r="C40" t="s">
        <v>142</v>
      </c>
      <c r="D40" s="17">
        <v>10000</v>
      </c>
      <c r="E40" s="17">
        <f t="shared" si="0"/>
        <v>330000</v>
      </c>
      <c r="F40" s="17">
        <f t="shared" si="1"/>
        <v>20000</v>
      </c>
    </row>
    <row r="41" spans="1:6">
      <c r="A41" t="s">
        <v>382</v>
      </c>
      <c r="B41">
        <v>12508</v>
      </c>
      <c r="C41" t="s">
        <v>142</v>
      </c>
      <c r="D41" s="17">
        <v>10000</v>
      </c>
      <c r="E41" s="17">
        <f t="shared" si="0"/>
        <v>340000</v>
      </c>
      <c r="F41" s="17">
        <f t="shared" si="1"/>
        <v>10000</v>
      </c>
    </row>
    <row r="42" spans="1:6">
      <c r="A42" t="s">
        <v>298</v>
      </c>
      <c r="B42">
        <v>13829</v>
      </c>
      <c r="C42" t="s">
        <v>142</v>
      </c>
      <c r="D42" s="17">
        <v>10000</v>
      </c>
      <c r="E42" s="17">
        <f t="shared" si="0"/>
        <v>350000</v>
      </c>
      <c r="F42" s="17">
        <f t="shared" si="1"/>
        <v>0</v>
      </c>
    </row>
    <row r="43" spans="1:6" ht="18.5">
      <c r="A43" t="s">
        <v>383</v>
      </c>
    </row>
    <row r="45" spans="1:6">
      <c r="A45" s="80" t="s">
        <v>3</v>
      </c>
      <c r="B45" s="80" t="s">
        <v>805</v>
      </c>
      <c r="C45" s="80" t="s">
        <v>806</v>
      </c>
      <c r="D45" s="80" t="s">
        <v>802</v>
      </c>
      <c r="E45" s="80" t="s">
        <v>807</v>
      </c>
    </row>
    <row r="46" spans="1:6">
      <c r="A46" s="81" t="s">
        <v>808</v>
      </c>
      <c r="B46" s="81" t="s">
        <v>809</v>
      </c>
      <c r="C46" s="81" t="s">
        <v>810</v>
      </c>
      <c r="D46" s="82">
        <v>20000</v>
      </c>
      <c r="E46" s="82">
        <v>430000</v>
      </c>
    </row>
    <row r="47" spans="1:6">
      <c r="A47" s="81" t="s">
        <v>811</v>
      </c>
      <c r="B47" s="81" t="s">
        <v>812</v>
      </c>
      <c r="C47" s="81" t="s">
        <v>810</v>
      </c>
      <c r="D47" s="82">
        <v>5000</v>
      </c>
      <c r="E47" s="82">
        <v>425000</v>
      </c>
    </row>
    <row r="48" spans="1:6">
      <c r="A48" s="81" t="s">
        <v>813</v>
      </c>
      <c r="B48" s="81" t="s">
        <v>814</v>
      </c>
      <c r="C48" s="81" t="s">
        <v>810</v>
      </c>
      <c r="D48" s="82">
        <v>5000</v>
      </c>
      <c r="E48" s="82">
        <v>420000</v>
      </c>
    </row>
    <row r="49" spans="1:5">
      <c r="A49" s="81" t="s">
        <v>815</v>
      </c>
      <c r="B49" s="81" t="s">
        <v>816</v>
      </c>
      <c r="C49" s="81" t="s">
        <v>817</v>
      </c>
      <c r="D49" s="82">
        <v>5000</v>
      </c>
      <c r="E49" s="82">
        <v>415000</v>
      </c>
    </row>
    <row r="50" spans="1:5">
      <c r="A50" s="81" t="s">
        <v>818</v>
      </c>
      <c r="B50" s="81" t="s">
        <v>819</v>
      </c>
      <c r="C50" s="81" t="s">
        <v>820</v>
      </c>
      <c r="D50" s="82">
        <v>5000</v>
      </c>
      <c r="E50" s="82">
        <v>410000</v>
      </c>
    </row>
    <row r="51" spans="1:5">
      <c r="A51" s="81" t="s">
        <v>821</v>
      </c>
      <c r="B51" s="81" t="s">
        <v>822</v>
      </c>
      <c r="C51" s="81" t="s">
        <v>817</v>
      </c>
      <c r="D51" s="82">
        <v>5000</v>
      </c>
      <c r="E51" s="82">
        <v>405000</v>
      </c>
    </row>
    <row r="52" spans="1:5">
      <c r="A52" s="81" t="s">
        <v>823</v>
      </c>
      <c r="B52" s="81" t="s">
        <v>824</v>
      </c>
      <c r="C52" s="81" t="s">
        <v>817</v>
      </c>
      <c r="D52" s="82">
        <v>5000</v>
      </c>
      <c r="E52" s="82">
        <v>400000</v>
      </c>
    </row>
    <row r="53" spans="1:5">
      <c r="A53" s="81" t="s">
        <v>825</v>
      </c>
      <c r="B53" s="81" t="s">
        <v>826</v>
      </c>
      <c r="C53" s="81" t="s">
        <v>817</v>
      </c>
      <c r="D53" s="82">
        <v>5000</v>
      </c>
      <c r="E53" s="82">
        <v>395000</v>
      </c>
    </row>
    <row r="60" spans="1:5" ht="24" customHeight="1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F41"/>
  <sheetViews>
    <sheetView workbookViewId="0">
      <selection activeCell="A8" sqref="A8:F41"/>
    </sheetView>
  </sheetViews>
  <sheetFormatPr defaultRowHeight="14.5"/>
  <cols>
    <col min="1" max="1" width="10.453125" bestFit="1" customWidth="1"/>
    <col min="3" max="3" width="12.08984375" customWidth="1"/>
  </cols>
  <sheetData>
    <row r="1" spans="1:6" ht="18.5">
      <c r="A1" s="1" t="s">
        <v>384</v>
      </c>
      <c r="B1" s="1"/>
      <c r="C1" s="1"/>
      <c r="D1" s="1"/>
      <c r="E1" s="1"/>
      <c r="F1" s="1"/>
    </row>
    <row r="2" spans="1:6" ht="18.5">
      <c r="A2" s="1" t="s">
        <v>385</v>
      </c>
      <c r="C2" s="1"/>
      <c r="D2" s="1"/>
      <c r="E2" s="1"/>
      <c r="F2" s="1"/>
    </row>
    <row r="3" spans="1:6" ht="18.5">
      <c r="A3" s="1" t="s">
        <v>386</v>
      </c>
      <c r="B3" s="1"/>
      <c r="C3" s="1"/>
      <c r="D3" s="1"/>
      <c r="E3" s="1"/>
      <c r="F3" s="1"/>
    </row>
    <row r="4" spans="1:6" ht="18.5">
      <c r="A4" s="1" t="s">
        <v>389</v>
      </c>
      <c r="B4" s="1"/>
      <c r="C4" s="1"/>
      <c r="D4" s="1"/>
      <c r="E4" s="1"/>
      <c r="F4" s="1"/>
    </row>
    <row r="5" spans="1:6" ht="18.5">
      <c r="A5" s="1" t="s">
        <v>387</v>
      </c>
      <c r="B5" s="1"/>
      <c r="C5" s="1"/>
      <c r="D5" s="1"/>
      <c r="E5" s="1"/>
      <c r="F5" s="1"/>
    </row>
    <row r="6" spans="1:6" ht="18.5">
      <c r="A6" s="1" t="s">
        <v>388</v>
      </c>
      <c r="B6" s="1"/>
      <c r="C6" s="1"/>
      <c r="D6" s="1"/>
      <c r="E6" s="1" t="s">
        <v>390</v>
      </c>
      <c r="F6" s="1"/>
    </row>
    <row r="7" spans="1:6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6">
      <c r="A8" s="12" t="s">
        <v>391</v>
      </c>
      <c r="B8" s="12">
        <v>1116</v>
      </c>
      <c r="C8" s="12" t="s">
        <v>10</v>
      </c>
      <c r="D8" s="14">
        <v>100000</v>
      </c>
      <c r="E8" s="14">
        <v>100000</v>
      </c>
      <c r="F8" s="14">
        <v>525000</v>
      </c>
    </row>
    <row r="9" spans="1:6">
      <c r="A9" s="12" t="s">
        <v>392</v>
      </c>
      <c r="B9" s="12">
        <v>517</v>
      </c>
      <c r="C9" s="12" t="s">
        <v>142</v>
      </c>
      <c r="D9" s="14">
        <v>10000</v>
      </c>
      <c r="E9" s="14">
        <f>SUM(E8+D9)</f>
        <v>110000</v>
      </c>
      <c r="F9" s="14">
        <f>F8-D9</f>
        <v>515000</v>
      </c>
    </row>
    <row r="10" spans="1:6">
      <c r="A10" s="13">
        <v>45267</v>
      </c>
      <c r="B10" s="12">
        <v>2735</v>
      </c>
      <c r="C10" s="12" t="s">
        <v>142</v>
      </c>
      <c r="D10" s="14">
        <v>10000</v>
      </c>
      <c r="E10" s="14">
        <f t="shared" ref="E10:E37" si="0">SUM(E9+D10)</f>
        <v>120000</v>
      </c>
      <c r="F10" s="14">
        <f t="shared" ref="F10:F37" si="1">F9-D10</f>
        <v>505000</v>
      </c>
    </row>
    <row r="11" spans="1:6">
      <c r="A11" s="13">
        <v>45238</v>
      </c>
      <c r="B11" s="12">
        <v>2360</v>
      </c>
      <c r="C11" s="12" t="s">
        <v>142</v>
      </c>
      <c r="D11" s="14">
        <v>60000</v>
      </c>
      <c r="E11" s="14">
        <f t="shared" si="0"/>
        <v>180000</v>
      </c>
      <c r="F11" s="14">
        <f t="shared" si="1"/>
        <v>445000</v>
      </c>
    </row>
    <row r="12" spans="1:6">
      <c r="A12" s="13">
        <v>374346</v>
      </c>
      <c r="B12" s="12">
        <v>7102</v>
      </c>
      <c r="C12" s="12" t="s">
        <v>142</v>
      </c>
      <c r="D12" s="14">
        <v>10000</v>
      </c>
      <c r="E12" s="14">
        <f t="shared" si="0"/>
        <v>190000</v>
      </c>
      <c r="F12" s="14">
        <f t="shared" si="1"/>
        <v>435000</v>
      </c>
    </row>
    <row r="13" spans="1:6">
      <c r="A13" s="13">
        <v>45568</v>
      </c>
      <c r="B13" s="12">
        <v>6995</v>
      </c>
      <c r="C13" s="12" t="s">
        <v>142</v>
      </c>
      <c r="D13" s="14">
        <v>10000</v>
      </c>
      <c r="E13" s="14">
        <f t="shared" si="0"/>
        <v>200000</v>
      </c>
      <c r="F13" s="14">
        <f t="shared" si="1"/>
        <v>425000</v>
      </c>
    </row>
    <row r="14" spans="1:6">
      <c r="A14" s="13">
        <v>45539</v>
      </c>
      <c r="B14" s="12">
        <v>7804</v>
      </c>
      <c r="C14" s="12" t="s">
        <v>142</v>
      </c>
      <c r="D14" s="14">
        <v>20000</v>
      </c>
      <c r="E14" s="14">
        <f t="shared" si="0"/>
        <v>220000</v>
      </c>
      <c r="F14" s="14">
        <f t="shared" si="1"/>
        <v>405000</v>
      </c>
    </row>
    <row r="15" spans="1:6">
      <c r="A15" s="13">
        <v>45571</v>
      </c>
      <c r="B15" s="12">
        <v>8971</v>
      </c>
      <c r="C15" s="12" t="s">
        <v>142</v>
      </c>
      <c r="D15" s="14">
        <v>10000</v>
      </c>
      <c r="E15" s="14">
        <f t="shared" si="0"/>
        <v>230000</v>
      </c>
      <c r="F15" s="14">
        <f t="shared" si="1"/>
        <v>395000</v>
      </c>
    </row>
    <row r="16" spans="1:6">
      <c r="A16" s="12" t="s">
        <v>393</v>
      </c>
      <c r="B16" s="12">
        <v>9644</v>
      </c>
      <c r="C16" s="12" t="s">
        <v>142</v>
      </c>
      <c r="D16" s="14">
        <v>10000</v>
      </c>
      <c r="E16" s="14">
        <f t="shared" si="0"/>
        <v>240000</v>
      </c>
      <c r="F16" s="14">
        <f t="shared" si="1"/>
        <v>385000</v>
      </c>
    </row>
    <row r="17" spans="1:6">
      <c r="A17" s="13">
        <v>45634</v>
      </c>
      <c r="B17" s="12">
        <v>11098</v>
      </c>
      <c r="C17" s="12" t="s">
        <v>142</v>
      </c>
      <c r="D17" s="14">
        <v>10000</v>
      </c>
      <c r="E17" s="14">
        <f t="shared" si="0"/>
        <v>250000</v>
      </c>
      <c r="F17" s="14">
        <f t="shared" si="1"/>
        <v>375000</v>
      </c>
    </row>
    <row r="18" spans="1:6">
      <c r="A18" s="13">
        <v>45605</v>
      </c>
      <c r="B18" s="12">
        <v>10687</v>
      </c>
      <c r="C18" s="12" t="s">
        <v>142</v>
      </c>
      <c r="D18" s="14">
        <v>10000</v>
      </c>
      <c r="E18" s="14">
        <f t="shared" si="0"/>
        <v>260000</v>
      </c>
      <c r="F18" s="14">
        <f t="shared" si="1"/>
        <v>365000</v>
      </c>
    </row>
    <row r="19" spans="1:6">
      <c r="A19" s="13">
        <v>45575</v>
      </c>
      <c r="B19" s="12">
        <v>11344</v>
      </c>
      <c r="C19" s="12" t="s">
        <v>142</v>
      </c>
      <c r="D19" s="14">
        <v>10000</v>
      </c>
      <c r="E19" s="14">
        <f t="shared" si="0"/>
        <v>270000</v>
      </c>
      <c r="F19" s="14">
        <f t="shared" si="1"/>
        <v>355000</v>
      </c>
    </row>
    <row r="20" spans="1:6">
      <c r="A20" s="13">
        <v>45607</v>
      </c>
      <c r="B20" s="12">
        <v>10937</v>
      </c>
      <c r="C20" s="12" t="s">
        <v>142</v>
      </c>
      <c r="D20" s="14">
        <v>10000</v>
      </c>
      <c r="E20" s="14">
        <f t="shared" si="0"/>
        <v>280000</v>
      </c>
      <c r="F20" s="14">
        <f t="shared" si="1"/>
        <v>345000</v>
      </c>
    </row>
    <row r="21" spans="1:6">
      <c r="A21" s="13">
        <v>45638</v>
      </c>
      <c r="B21" s="12">
        <v>12372</v>
      </c>
      <c r="C21" s="12" t="s">
        <v>142</v>
      </c>
      <c r="D21" s="14">
        <v>10000</v>
      </c>
      <c r="E21" s="14">
        <f t="shared" si="0"/>
        <v>290000</v>
      </c>
      <c r="F21" s="14">
        <f t="shared" si="1"/>
        <v>335000</v>
      </c>
    </row>
    <row r="22" spans="1:6">
      <c r="A22" s="13">
        <v>45962</v>
      </c>
      <c r="B22" s="12">
        <v>12013</v>
      </c>
      <c r="C22" s="12" t="s">
        <v>142</v>
      </c>
      <c r="D22" s="14">
        <v>10000</v>
      </c>
      <c r="E22" s="14">
        <f t="shared" si="0"/>
        <v>300000</v>
      </c>
      <c r="F22" s="14">
        <f t="shared" si="1"/>
        <v>325000</v>
      </c>
    </row>
    <row r="23" spans="1:6">
      <c r="A23" s="12" t="s">
        <v>394</v>
      </c>
      <c r="B23" s="12">
        <v>9410</v>
      </c>
      <c r="C23" s="12" t="s">
        <v>142</v>
      </c>
      <c r="D23" s="14">
        <v>10000</v>
      </c>
      <c r="E23" s="14">
        <f t="shared" si="0"/>
        <v>310000</v>
      </c>
      <c r="F23" s="14">
        <f t="shared" si="1"/>
        <v>315000</v>
      </c>
    </row>
    <row r="24" spans="1:6">
      <c r="A24" s="12" t="s">
        <v>116</v>
      </c>
      <c r="B24" s="12">
        <v>10016</v>
      </c>
      <c r="C24" s="12" t="s">
        <v>142</v>
      </c>
      <c r="D24" s="14">
        <v>10000</v>
      </c>
      <c r="E24" s="14">
        <f t="shared" si="0"/>
        <v>320000</v>
      </c>
      <c r="F24" s="14">
        <f t="shared" si="1"/>
        <v>305000</v>
      </c>
    </row>
    <row r="25" spans="1:6">
      <c r="A25" s="13">
        <v>45966</v>
      </c>
      <c r="B25" s="12">
        <v>10929</v>
      </c>
      <c r="C25" s="12" t="s">
        <v>142</v>
      </c>
      <c r="D25" s="14">
        <v>10000</v>
      </c>
      <c r="E25" s="14">
        <f t="shared" si="0"/>
        <v>330000</v>
      </c>
      <c r="F25" s="14">
        <f t="shared" si="1"/>
        <v>295000</v>
      </c>
    </row>
    <row r="26" spans="1:6">
      <c r="A26" s="12" t="s">
        <v>141</v>
      </c>
      <c r="B26" s="12">
        <v>10928</v>
      </c>
      <c r="C26" s="12" t="s">
        <v>142</v>
      </c>
      <c r="D26" s="14">
        <v>10000</v>
      </c>
      <c r="E26" s="14">
        <f t="shared" si="0"/>
        <v>340000</v>
      </c>
      <c r="F26" s="14">
        <f t="shared" si="1"/>
        <v>285000</v>
      </c>
    </row>
    <row r="27" spans="1:6">
      <c r="A27" s="12" t="s">
        <v>395</v>
      </c>
      <c r="B27" s="12">
        <v>12216</v>
      </c>
      <c r="C27" s="12" t="s">
        <v>142</v>
      </c>
      <c r="D27" s="14">
        <v>10000</v>
      </c>
      <c r="E27" s="14">
        <f t="shared" si="0"/>
        <v>350000</v>
      </c>
      <c r="F27" s="14">
        <f t="shared" si="1"/>
        <v>275000</v>
      </c>
    </row>
    <row r="28" spans="1:6">
      <c r="A28" s="12" t="s">
        <v>235</v>
      </c>
      <c r="B28" s="12">
        <v>12217</v>
      </c>
      <c r="C28" s="12" t="s">
        <v>142</v>
      </c>
      <c r="D28" s="14">
        <v>10000</v>
      </c>
      <c r="E28" s="14">
        <f t="shared" si="0"/>
        <v>360000</v>
      </c>
      <c r="F28" s="14">
        <f t="shared" si="1"/>
        <v>265000</v>
      </c>
    </row>
    <row r="29" spans="1:6">
      <c r="A29" s="12" t="s">
        <v>396</v>
      </c>
      <c r="B29" s="12">
        <v>12916</v>
      </c>
      <c r="C29" s="12" t="s">
        <v>142</v>
      </c>
      <c r="D29" s="14">
        <v>10000</v>
      </c>
      <c r="E29" s="14">
        <f t="shared" si="0"/>
        <v>370000</v>
      </c>
      <c r="F29" s="14">
        <f t="shared" si="1"/>
        <v>255000</v>
      </c>
    </row>
    <row r="30" spans="1:6">
      <c r="A30" s="13">
        <v>45939</v>
      </c>
      <c r="B30" s="12">
        <v>12707</v>
      </c>
      <c r="C30" s="12" t="s">
        <v>142</v>
      </c>
      <c r="D30" s="14">
        <v>10000</v>
      </c>
      <c r="E30" s="14">
        <f t="shared" si="0"/>
        <v>380000</v>
      </c>
      <c r="F30" s="14">
        <f t="shared" si="1"/>
        <v>245000</v>
      </c>
    </row>
    <row r="31" spans="1:6">
      <c r="A31" s="12" t="s">
        <v>252</v>
      </c>
      <c r="B31" s="12">
        <v>13631</v>
      </c>
      <c r="C31" s="12" t="s">
        <v>142</v>
      </c>
      <c r="D31" s="14">
        <v>10000</v>
      </c>
      <c r="E31" s="14">
        <f t="shared" si="0"/>
        <v>390000</v>
      </c>
      <c r="F31" s="14">
        <f t="shared" si="1"/>
        <v>235000</v>
      </c>
    </row>
    <row r="32" spans="1:6">
      <c r="A32" s="12" t="s">
        <v>397</v>
      </c>
      <c r="B32" s="12">
        <v>13065</v>
      </c>
      <c r="C32" s="12" t="s">
        <v>142</v>
      </c>
      <c r="D32" s="14">
        <v>10000</v>
      </c>
      <c r="E32" s="14">
        <f t="shared" si="0"/>
        <v>400000</v>
      </c>
      <c r="F32" s="14">
        <f t="shared" si="1"/>
        <v>225000</v>
      </c>
    </row>
    <row r="33" spans="1:6">
      <c r="A33" s="12" t="s">
        <v>337</v>
      </c>
      <c r="B33" s="12">
        <v>12697</v>
      </c>
      <c r="C33" s="12" t="s">
        <v>142</v>
      </c>
      <c r="D33" s="14">
        <v>10000</v>
      </c>
      <c r="E33" s="14">
        <f t="shared" si="0"/>
        <v>410000</v>
      </c>
      <c r="F33" s="14">
        <f t="shared" si="1"/>
        <v>215000</v>
      </c>
    </row>
    <row r="34" spans="1:6">
      <c r="A34" s="12" t="s">
        <v>124</v>
      </c>
      <c r="B34" s="12">
        <v>12249</v>
      </c>
      <c r="C34" s="12" t="s">
        <v>142</v>
      </c>
      <c r="D34" s="14">
        <v>10000</v>
      </c>
      <c r="E34" s="14">
        <f t="shared" si="0"/>
        <v>420000</v>
      </c>
      <c r="F34" s="14">
        <f t="shared" si="1"/>
        <v>205000</v>
      </c>
    </row>
    <row r="35" spans="1:6">
      <c r="A35" s="12" t="s">
        <v>398</v>
      </c>
      <c r="B35" s="12">
        <v>12569</v>
      </c>
      <c r="C35" s="12" t="s">
        <v>142</v>
      </c>
      <c r="D35" s="14">
        <v>10000</v>
      </c>
      <c r="E35" s="14">
        <f t="shared" si="0"/>
        <v>430000</v>
      </c>
      <c r="F35" s="14">
        <f t="shared" si="1"/>
        <v>195000</v>
      </c>
    </row>
    <row r="36" spans="1:6">
      <c r="A36" s="12" t="s">
        <v>399</v>
      </c>
      <c r="B36" s="12">
        <v>13933</v>
      </c>
      <c r="C36" s="12" t="s">
        <v>142</v>
      </c>
      <c r="D36" s="14">
        <v>10000</v>
      </c>
      <c r="E36" s="14">
        <f t="shared" si="0"/>
        <v>440000</v>
      </c>
      <c r="F36" s="14">
        <f t="shared" si="1"/>
        <v>185000</v>
      </c>
    </row>
    <row r="37" spans="1:6">
      <c r="A37" s="12" t="s">
        <v>400</v>
      </c>
      <c r="B37" s="12">
        <v>13292</v>
      </c>
      <c r="C37" s="12" t="s">
        <v>142</v>
      </c>
      <c r="D37" s="14">
        <v>10000</v>
      </c>
      <c r="E37" s="14">
        <f t="shared" si="0"/>
        <v>450000</v>
      </c>
      <c r="F37" s="14">
        <f t="shared" si="1"/>
        <v>175000</v>
      </c>
    </row>
    <row r="38" spans="1:6">
      <c r="A38" s="12" t="s">
        <v>650</v>
      </c>
      <c r="B38" s="12">
        <v>1335</v>
      </c>
      <c r="C38" s="12" t="s">
        <v>142</v>
      </c>
      <c r="D38" s="14">
        <v>10000</v>
      </c>
      <c r="E38" s="14">
        <f>E37+D38</f>
        <v>460000</v>
      </c>
      <c r="F38" s="14">
        <f>F37-D38</f>
        <v>165000</v>
      </c>
    </row>
    <row r="39" spans="1:6">
      <c r="A39" s="12" t="s">
        <v>651</v>
      </c>
      <c r="B39" s="12">
        <v>13622</v>
      </c>
      <c r="C39" s="12" t="s">
        <v>142</v>
      </c>
      <c r="D39" s="14">
        <v>10000</v>
      </c>
      <c r="E39" s="14">
        <f>E38+D39</f>
        <v>470000</v>
      </c>
      <c r="F39" s="14">
        <f>F38-D39</f>
        <v>155000</v>
      </c>
    </row>
    <row r="40" spans="1:6">
      <c r="A40" s="12" t="s">
        <v>696</v>
      </c>
      <c r="B40" s="12">
        <v>1473</v>
      </c>
      <c r="C40" s="12" t="s">
        <v>142</v>
      </c>
      <c r="D40" s="14">
        <v>10000</v>
      </c>
      <c r="E40" s="14">
        <f>E39+D40</f>
        <v>480000</v>
      </c>
      <c r="F40" s="14">
        <f>F39-D40</f>
        <v>145000</v>
      </c>
    </row>
    <row r="41" spans="1:6">
      <c r="A41" s="12" t="s">
        <v>734</v>
      </c>
      <c r="B41" s="12">
        <v>1811</v>
      </c>
      <c r="C41" s="12" t="s">
        <v>142</v>
      </c>
      <c r="D41" s="14">
        <v>10000</v>
      </c>
      <c r="E41" s="14">
        <f>E40+D41</f>
        <v>490000</v>
      </c>
      <c r="F41" s="14">
        <f>F40-D41</f>
        <v>135000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N21"/>
  <sheetViews>
    <sheetView workbookViewId="0">
      <selection activeCell="G12" sqref="G12"/>
    </sheetView>
  </sheetViews>
  <sheetFormatPr defaultRowHeight="14.5"/>
  <cols>
    <col min="1" max="1" width="10.7265625" customWidth="1"/>
    <col min="3" max="3" width="12.26953125" customWidth="1"/>
    <col min="9" max="9" width="9.453125" bestFit="1" customWidth="1"/>
  </cols>
  <sheetData>
    <row r="1" spans="1:14" ht="18.5">
      <c r="A1" s="1" t="s">
        <v>406</v>
      </c>
      <c r="B1" s="1"/>
      <c r="C1" s="1"/>
      <c r="D1" s="1"/>
      <c r="E1" s="1"/>
      <c r="F1" s="1"/>
    </row>
    <row r="2" spans="1:14" ht="18.5">
      <c r="A2" s="1" t="s">
        <v>407</v>
      </c>
      <c r="C2" s="1"/>
      <c r="D2" s="1"/>
      <c r="E2" s="1"/>
      <c r="F2" s="1"/>
      <c r="I2" s="38" t="s">
        <v>508</v>
      </c>
      <c r="J2" s="38"/>
      <c r="K2" s="38"/>
      <c r="L2" s="38"/>
    </row>
    <row r="3" spans="1:14" ht="18.5">
      <c r="A3" s="1" t="s">
        <v>408</v>
      </c>
      <c r="B3" s="1"/>
      <c r="C3" s="1"/>
      <c r="D3" s="1"/>
      <c r="E3" s="1"/>
      <c r="F3" s="1"/>
    </row>
    <row r="4" spans="1:14" ht="18.5">
      <c r="A4" s="1" t="s">
        <v>411</v>
      </c>
      <c r="B4" s="1"/>
      <c r="C4" s="1"/>
      <c r="D4" s="1"/>
      <c r="E4" s="1"/>
      <c r="F4" s="1"/>
      <c r="I4" s="8" t="s">
        <v>3</v>
      </c>
      <c r="J4" s="7" t="s">
        <v>4</v>
      </c>
      <c r="K4" s="7" t="s">
        <v>5</v>
      </c>
      <c r="L4" s="7" t="s">
        <v>6</v>
      </c>
      <c r="M4" s="7" t="s">
        <v>7</v>
      </c>
      <c r="N4" s="7" t="s">
        <v>8</v>
      </c>
    </row>
    <row r="5" spans="1:14" ht="18.5">
      <c r="A5" s="1" t="s">
        <v>387</v>
      </c>
      <c r="B5" s="1"/>
      <c r="C5" s="1"/>
      <c r="D5" s="1"/>
      <c r="E5" s="1"/>
      <c r="F5" s="1"/>
      <c r="I5" s="16">
        <v>46361</v>
      </c>
      <c r="J5">
        <v>1455</v>
      </c>
      <c r="K5" t="s">
        <v>509</v>
      </c>
      <c r="L5" s="17">
        <v>15000</v>
      </c>
      <c r="M5" s="17">
        <v>15000</v>
      </c>
      <c r="N5" s="17">
        <v>300000</v>
      </c>
    </row>
    <row r="6" spans="1:14" ht="18.5">
      <c r="A6" s="1" t="s">
        <v>409</v>
      </c>
      <c r="B6" s="1"/>
      <c r="C6" s="1"/>
      <c r="D6" s="1"/>
      <c r="E6" s="1" t="s">
        <v>410</v>
      </c>
      <c r="F6" s="1"/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16">
        <v>44966</v>
      </c>
      <c r="B8">
        <v>3361</v>
      </c>
      <c r="C8" t="s">
        <v>413</v>
      </c>
      <c r="D8" s="17">
        <v>250000</v>
      </c>
      <c r="E8" s="17">
        <v>250000</v>
      </c>
      <c r="F8" s="17">
        <v>225000</v>
      </c>
    </row>
    <row r="9" spans="1:14">
      <c r="A9" t="s">
        <v>271</v>
      </c>
      <c r="B9">
        <v>4310</v>
      </c>
      <c r="C9" t="s">
        <v>12</v>
      </c>
      <c r="D9" s="17">
        <v>20000</v>
      </c>
      <c r="E9" s="17">
        <f>SUM(E8+D9)</f>
        <v>270000</v>
      </c>
      <c r="F9" s="17">
        <f>F8-D9</f>
        <v>205000</v>
      </c>
    </row>
    <row r="10" spans="1:14">
      <c r="A10" t="s">
        <v>97</v>
      </c>
      <c r="B10">
        <v>5017</v>
      </c>
      <c r="C10" t="s">
        <v>12</v>
      </c>
      <c r="D10" s="17">
        <v>20000</v>
      </c>
      <c r="E10" s="17">
        <f t="shared" ref="E10:E20" si="0">SUM(E9+D10)</f>
        <v>290000</v>
      </c>
      <c r="F10" s="17">
        <f t="shared" ref="F10:F20" si="1">F9-D10</f>
        <v>185000</v>
      </c>
    </row>
    <row r="11" spans="1:14">
      <c r="A11" s="16">
        <v>45211</v>
      </c>
      <c r="B11">
        <v>5437</v>
      </c>
      <c r="C11" t="s">
        <v>12</v>
      </c>
      <c r="D11" s="17">
        <v>20000</v>
      </c>
      <c r="E11" s="17">
        <f t="shared" si="0"/>
        <v>310000</v>
      </c>
      <c r="F11" s="17">
        <f t="shared" si="1"/>
        <v>165000</v>
      </c>
    </row>
    <row r="12" spans="1:14">
      <c r="A12" t="s">
        <v>412</v>
      </c>
      <c r="B12">
        <v>6345</v>
      </c>
      <c r="C12" t="s">
        <v>12</v>
      </c>
      <c r="D12" s="17">
        <v>20000</v>
      </c>
      <c r="E12" s="17">
        <f t="shared" si="0"/>
        <v>330000</v>
      </c>
      <c r="F12" s="17">
        <f t="shared" si="1"/>
        <v>145000</v>
      </c>
    </row>
    <row r="13" spans="1:14">
      <c r="A13" s="16">
        <v>45598</v>
      </c>
      <c r="B13">
        <v>7045</v>
      </c>
      <c r="C13" t="s">
        <v>12</v>
      </c>
      <c r="D13" s="17">
        <v>20000</v>
      </c>
      <c r="E13" s="17">
        <f t="shared" si="0"/>
        <v>350000</v>
      </c>
      <c r="F13" s="17">
        <f t="shared" si="1"/>
        <v>125000</v>
      </c>
    </row>
    <row r="14" spans="1:14">
      <c r="A14" s="16">
        <v>45568</v>
      </c>
      <c r="B14">
        <v>7207</v>
      </c>
      <c r="C14" t="s">
        <v>12</v>
      </c>
      <c r="D14" s="17">
        <v>15000</v>
      </c>
      <c r="E14" s="17">
        <f t="shared" si="0"/>
        <v>365000</v>
      </c>
      <c r="F14" s="17">
        <f t="shared" si="1"/>
        <v>110000</v>
      </c>
    </row>
    <row r="15" spans="1:14">
      <c r="A15" s="16">
        <v>45477</v>
      </c>
      <c r="B15">
        <v>7725</v>
      </c>
      <c r="C15" t="s">
        <v>12</v>
      </c>
      <c r="D15" s="17">
        <v>15000</v>
      </c>
      <c r="E15" s="17">
        <f t="shared" si="0"/>
        <v>380000</v>
      </c>
      <c r="F15" s="17">
        <f t="shared" si="1"/>
        <v>95000</v>
      </c>
    </row>
    <row r="16" spans="1:14">
      <c r="A16" s="16">
        <v>45631</v>
      </c>
      <c r="B16">
        <v>8437</v>
      </c>
      <c r="C16" t="s">
        <v>12</v>
      </c>
      <c r="D16" s="17">
        <v>15000</v>
      </c>
      <c r="E16" s="17">
        <f t="shared" si="0"/>
        <v>395000</v>
      </c>
      <c r="F16" s="17">
        <f t="shared" si="1"/>
        <v>80000</v>
      </c>
    </row>
    <row r="17" spans="1:6">
      <c r="A17" s="16">
        <v>45541</v>
      </c>
      <c r="B17">
        <v>8914</v>
      </c>
      <c r="C17" t="s">
        <v>12</v>
      </c>
      <c r="D17" s="17">
        <v>20000</v>
      </c>
      <c r="E17" s="17">
        <f t="shared" si="0"/>
        <v>415000</v>
      </c>
      <c r="F17" s="17">
        <f t="shared" si="1"/>
        <v>60000</v>
      </c>
    </row>
    <row r="18" spans="1:6">
      <c r="A18" s="16">
        <v>45633</v>
      </c>
      <c r="B18">
        <v>9544</v>
      </c>
      <c r="C18" t="s">
        <v>12</v>
      </c>
      <c r="D18" s="17">
        <v>20000</v>
      </c>
      <c r="E18" s="17">
        <f t="shared" si="0"/>
        <v>435000</v>
      </c>
      <c r="F18" s="17">
        <f t="shared" si="1"/>
        <v>40000</v>
      </c>
    </row>
    <row r="19" spans="1:6">
      <c r="A19" s="16">
        <v>45543</v>
      </c>
      <c r="B19">
        <v>11017</v>
      </c>
      <c r="C19" t="s">
        <v>12</v>
      </c>
      <c r="D19" s="17">
        <v>20000</v>
      </c>
      <c r="E19" s="17">
        <f t="shared" si="0"/>
        <v>455000</v>
      </c>
      <c r="F19" s="17">
        <f t="shared" si="1"/>
        <v>20000</v>
      </c>
    </row>
    <row r="20" spans="1:6">
      <c r="A20" t="s">
        <v>58</v>
      </c>
      <c r="B20">
        <v>11648</v>
      </c>
      <c r="C20" t="s">
        <v>12</v>
      </c>
      <c r="D20" s="17">
        <v>20000</v>
      </c>
      <c r="E20" s="17">
        <f t="shared" si="0"/>
        <v>475000</v>
      </c>
      <c r="F20" s="17">
        <f t="shared" si="1"/>
        <v>0</v>
      </c>
    </row>
    <row r="21" spans="1:6" ht="18.5">
      <c r="A21" s="38"/>
      <c r="B21" s="38"/>
      <c r="C21" s="38"/>
      <c r="D21" s="3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opLeftCell="A13" workbookViewId="0">
      <selection activeCell="F12" sqref="F12"/>
    </sheetView>
  </sheetViews>
  <sheetFormatPr defaultRowHeight="14.5"/>
  <cols>
    <col min="1" max="1" width="11.26953125" customWidth="1"/>
    <col min="3" max="3" width="11.08984375" customWidth="1"/>
    <col min="4" max="4" width="11.6328125" customWidth="1"/>
    <col min="5" max="5" width="10.6328125" customWidth="1"/>
    <col min="6" max="6" width="11.453125" customWidth="1"/>
    <col min="9" max="9" width="9.453125" bestFit="1" customWidth="1"/>
  </cols>
  <sheetData>
    <row r="1" spans="1:14" ht="18.5">
      <c r="A1" s="1" t="s">
        <v>406</v>
      </c>
      <c r="B1" s="1"/>
      <c r="C1" s="1"/>
      <c r="D1" s="1"/>
      <c r="E1" s="1"/>
      <c r="F1" s="1"/>
      <c r="I1" t="s">
        <v>508</v>
      </c>
    </row>
    <row r="2" spans="1:14" ht="18.5">
      <c r="A2" s="1" t="s">
        <v>407</v>
      </c>
      <c r="C2" s="1"/>
      <c r="D2" s="1"/>
      <c r="E2" s="1"/>
      <c r="F2" s="1"/>
    </row>
    <row r="3" spans="1:14" ht="18.5">
      <c r="A3" s="1" t="s">
        <v>408</v>
      </c>
      <c r="B3" s="1"/>
      <c r="C3" s="1"/>
      <c r="D3" s="1"/>
      <c r="E3" s="1"/>
      <c r="F3" s="1"/>
      <c r="I3" s="8" t="s">
        <v>3</v>
      </c>
      <c r="J3" s="7" t="s">
        <v>4</v>
      </c>
      <c r="K3" s="7" t="s">
        <v>5</v>
      </c>
      <c r="L3" s="7" t="s">
        <v>6</v>
      </c>
      <c r="M3" s="7" t="s">
        <v>7</v>
      </c>
      <c r="N3" s="7" t="s">
        <v>8</v>
      </c>
    </row>
    <row r="4" spans="1:14" ht="18.5">
      <c r="A4" s="1" t="s">
        <v>411</v>
      </c>
      <c r="B4" s="1"/>
      <c r="C4" s="1"/>
      <c r="D4" s="1"/>
      <c r="E4" s="1"/>
      <c r="F4" s="1"/>
      <c r="I4" s="16">
        <v>46361</v>
      </c>
      <c r="J4">
        <v>1456</v>
      </c>
      <c r="K4" t="s">
        <v>509</v>
      </c>
      <c r="L4" s="17">
        <v>15000</v>
      </c>
      <c r="M4" s="17">
        <v>15000</v>
      </c>
      <c r="N4" s="17">
        <v>300000</v>
      </c>
    </row>
    <row r="5" spans="1:14" ht="18.5">
      <c r="A5" s="1" t="s">
        <v>387</v>
      </c>
      <c r="B5" s="1"/>
      <c r="C5" s="1"/>
      <c r="D5" s="1"/>
      <c r="E5" s="1"/>
      <c r="F5" s="1"/>
    </row>
    <row r="6" spans="1:14" ht="18.5">
      <c r="A6" s="1" t="s">
        <v>507</v>
      </c>
      <c r="B6" s="1"/>
      <c r="C6" s="1"/>
      <c r="D6" s="1"/>
      <c r="E6" s="1" t="s">
        <v>410</v>
      </c>
      <c r="F6" s="1"/>
    </row>
    <row r="7" spans="1:14">
      <c r="A7" s="8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</row>
    <row r="8" spans="1:14">
      <c r="A8" s="16">
        <v>44966</v>
      </c>
      <c r="B8">
        <v>3361</v>
      </c>
      <c r="C8" t="s">
        <v>413</v>
      </c>
      <c r="D8" s="17">
        <v>250000</v>
      </c>
      <c r="E8" s="17">
        <v>250000</v>
      </c>
      <c r="F8" s="17">
        <v>225000</v>
      </c>
    </row>
    <row r="9" spans="1:14">
      <c r="A9" t="s">
        <v>271</v>
      </c>
      <c r="B9">
        <v>4310</v>
      </c>
      <c r="C9" t="s">
        <v>12</v>
      </c>
      <c r="D9" s="17">
        <v>20000</v>
      </c>
      <c r="E9" s="17">
        <f>SUM(E8+D9)</f>
        <v>270000</v>
      </c>
      <c r="F9" s="17">
        <f>F8-D9</f>
        <v>205000</v>
      </c>
    </row>
    <row r="10" spans="1:14">
      <c r="A10" t="s">
        <v>97</v>
      </c>
      <c r="B10">
        <v>5017</v>
      </c>
      <c r="C10" t="s">
        <v>12</v>
      </c>
      <c r="D10" s="17">
        <v>20000</v>
      </c>
      <c r="E10" s="17">
        <f t="shared" ref="E10:E20" si="0">SUM(E9+D10)</f>
        <v>290000</v>
      </c>
      <c r="F10" s="17">
        <f t="shared" ref="F10:F20" si="1">F9-D10</f>
        <v>185000</v>
      </c>
    </row>
    <row r="11" spans="1:14">
      <c r="A11" s="16">
        <v>45211</v>
      </c>
      <c r="B11">
        <v>5437</v>
      </c>
      <c r="C11" t="s">
        <v>12</v>
      </c>
      <c r="D11" s="17">
        <v>20000</v>
      </c>
      <c r="E11" s="17">
        <f t="shared" si="0"/>
        <v>310000</v>
      </c>
      <c r="F11" s="17">
        <f t="shared" si="1"/>
        <v>165000</v>
      </c>
    </row>
    <row r="12" spans="1:14">
      <c r="A12" t="s">
        <v>412</v>
      </c>
      <c r="B12">
        <v>6345</v>
      </c>
      <c r="C12" t="s">
        <v>12</v>
      </c>
      <c r="D12" s="17">
        <v>20000</v>
      </c>
      <c r="E12" s="17">
        <f t="shared" si="0"/>
        <v>330000</v>
      </c>
      <c r="F12" s="17">
        <f t="shared" si="1"/>
        <v>145000</v>
      </c>
    </row>
    <row r="13" spans="1:14">
      <c r="A13" s="16">
        <v>45598</v>
      </c>
      <c r="B13">
        <v>7045</v>
      </c>
      <c r="C13" t="s">
        <v>12</v>
      </c>
      <c r="D13" s="17">
        <v>20000</v>
      </c>
      <c r="E13" s="17">
        <f t="shared" si="0"/>
        <v>350000</v>
      </c>
      <c r="F13" s="17">
        <f t="shared" si="1"/>
        <v>125000</v>
      </c>
    </row>
    <row r="14" spans="1:14">
      <c r="A14" s="16">
        <v>45568</v>
      </c>
      <c r="B14">
        <v>7207</v>
      </c>
      <c r="C14" t="s">
        <v>12</v>
      </c>
      <c r="D14" s="17">
        <v>15000</v>
      </c>
      <c r="E14" s="17">
        <f t="shared" si="0"/>
        <v>365000</v>
      </c>
      <c r="F14" s="17">
        <f t="shared" si="1"/>
        <v>110000</v>
      </c>
    </row>
    <row r="15" spans="1:14">
      <c r="A15" s="16">
        <v>45477</v>
      </c>
      <c r="B15">
        <v>7725</v>
      </c>
      <c r="C15" t="s">
        <v>12</v>
      </c>
      <c r="D15" s="17">
        <v>15000</v>
      </c>
      <c r="E15" s="17">
        <f t="shared" si="0"/>
        <v>380000</v>
      </c>
      <c r="F15" s="17">
        <f t="shared" si="1"/>
        <v>95000</v>
      </c>
    </row>
    <row r="16" spans="1:14">
      <c r="A16" s="16">
        <v>45631</v>
      </c>
      <c r="B16">
        <v>8437</v>
      </c>
      <c r="C16" t="s">
        <v>12</v>
      </c>
      <c r="D16" s="17">
        <v>15000</v>
      </c>
      <c r="E16" s="17">
        <f t="shared" si="0"/>
        <v>395000</v>
      </c>
      <c r="F16" s="17">
        <f t="shared" si="1"/>
        <v>80000</v>
      </c>
    </row>
    <row r="17" spans="1:6">
      <c r="A17" s="16">
        <v>45541</v>
      </c>
      <c r="B17">
        <v>8914</v>
      </c>
      <c r="C17" t="s">
        <v>12</v>
      </c>
      <c r="D17" s="17">
        <v>20000</v>
      </c>
      <c r="E17" s="17">
        <f t="shared" si="0"/>
        <v>415000</v>
      </c>
      <c r="F17" s="17">
        <f t="shared" si="1"/>
        <v>60000</v>
      </c>
    </row>
    <row r="18" spans="1:6">
      <c r="A18" s="16">
        <v>45633</v>
      </c>
      <c r="B18">
        <v>9544</v>
      </c>
      <c r="C18" t="s">
        <v>12</v>
      </c>
      <c r="D18" s="17">
        <v>20000</v>
      </c>
      <c r="E18" s="17">
        <f t="shared" si="0"/>
        <v>435000</v>
      </c>
      <c r="F18" s="17">
        <f t="shared" si="1"/>
        <v>40000</v>
      </c>
    </row>
    <row r="19" spans="1:6">
      <c r="A19" s="16">
        <v>45543</v>
      </c>
      <c r="B19">
        <v>11017</v>
      </c>
      <c r="C19" t="s">
        <v>12</v>
      </c>
      <c r="D19" s="17">
        <v>20000</v>
      </c>
      <c r="E19" s="17">
        <f t="shared" si="0"/>
        <v>455000</v>
      </c>
      <c r="F19" s="17">
        <f t="shared" si="1"/>
        <v>20000</v>
      </c>
    </row>
    <row r="20" spans="1:6">
      <c r="A20" t="s">
        <v>58</v>
      </c>
      <c r="B20">
        <v>11648</v>
      </c>
      <c r="C20" t="s">
        <v>12</v>
      </c>
      <c r="D20" s="17">
        <v>20000</v>
      </c>
      <c r="E20" s="17">
        <f t="shared" si="0"/>
        <v>475000</v>
      </c>
      <c r="F20" s="17">
        <f t="shared" si="1"/>
        <v>0</v>
      </c>
    </row>
    <row r="21" spans="1:6" ht="18.5">
      <c r="A21" s="38"/>
      <c r="B21" s="38"/>
      <c r="C21" s="38"/>
      <c r="D21" s="38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opLeftCell="A17" workbookViewId="0">
      <selection activeCell="C29" sqref="C29"/>
    </sheetView>
  </sheetViews>
  <sheetFormatPr defaultRowHeight="14.5"/>
  <cols>
    <col min="1" max="1" width="9.81640625" customWidth="1"/>
    <col min="3" max="3" width="12.7265625" customWidth="1"/>
    <col min="4" max="5" width="10.6328125" customWidth="1"/>
    <col min="6" max="6" width="12.6328125" customWidth="1"/>
  </cols>
  <sheetData>
    <row r="1" spans="1:8" ht="18.5">
      <c r="A1" s="1" t="s">
        <v>531</v>
      </c>
      <c r="B1" s="1" t="s">
        <v>532</v>
      </c>
    </row>
    <row r="2" spans="1:8" ht="18.5">
      <c r="A2" s="1" t="s">
        <v>533</v>
      </c>
      <c r="B2" s="1" t="s">
        <v>534</v>
      </c>
    </row>
    <row r="3" spans="1:8" ht="18.5">
      <c r="A3" s="1" t="s">
        <v>535</v>
      </c>
      <c r="B3" s="1" t="s">
        <v>536</v>
      </c>
    </row>
    <row r="4" spans="1:8" ht="18.5">
      <c r="A4" s="1" t="s">
        <v>537</v>
      </c>
      <c r="B4" s="1" t="s">
        <v>541</v>
      </c>
    </row>
    <row r="5" spans="1:8" ht="18.5">
      <c r="A5" s="1" t="s">
        <v>538</v>
      </c>
      <c r="B5" s="1" t="s">
        <v>539</v>
      </c>
    </row>
    <row r="6" spans="1:8" ht="18.5">
      <c r="A6" s="1" t="s">
        <v>540</v>
      </c>
      <c r="B6" s="1">
        <v>5614</v>
      </c>
      <c r="F6" s="41">
        <v>700000</v>
      </c>
    </row>
    <row r="8" spans="1:8">
      <c r="A8" s="91" t="s">
        <v>3</v>
      </c>
      <c r="B8" s="91" t="s">
        <v>4</v>
      </c>
      <c r="C8" s="91" t="s">
        <v>5</v>
      </c>
      <c r="D8" s="91" t="s">
        <v>6</v>
      </c>
      <c r="E8" s="91" t="s">
        <v>7</v>
      </c>
      <c r="F8" s="91" t="s">
        <v>8</v>
      </c>
    </row>
    <row r="9" spans="1:8">
      <c r="A9" t="s">
        <v>542</v>
      </c>
      <c r="B9">
        <v>12750</v>
      </c>
      <c r="C9" t="s">
        <v>557</v>
      </c>
      <c r="D9" s="17">
        <v>100000</v>
      </c>
      <c r="E9" s="17">
        <v>100000</v>
      </c>
      <c r="F9" s="17">
        <v>600000</v>
      </c>
      <c r="H9" s="17"/>
    </row>
    <row r="10" spans="1:8">
      <c r="A10" t="s">
        <v>543</v>
      </c>
      <c r="B10">
        <v>12908</v>
      </c>
      <c r="C10" t="s">
        <v>558</v>
      </c>
      <c r="D10" s="17">
        <v>20000</v>
      </c>
      <c r="E10" s="17">
        <f t="shared" ref="E10:E24" si="0">E9+D10</f>
        <v>120000</v>
      </c>
      <c r="F10" s="17">
        <f t="shared" ref="F10:F24" si="1">F9-D10</f>
        <v>580000</v>
      </c>
    </row>
    <row r="11" spans="1:8">
      <c r="A11" t="s">
        <v>544</v>
      </c>
      <c r="B11">
        <v>9608</v>
      </c>
      <c r="C11" t="s">
        <v>558</v>
      </c>
      <c r="D11" s="17">
        <v>10000</v>
      </c>
      <c r="E11" s="17">
        <f t="shared" si="0"/>
        <v>130000</v>
      </c>
      <c r="F11" s="17">
        <f t="shared" si="1"/>
        <v>570000</v>
      </c>
      <c r="H11" s="17"/>
    </row>
    <row r="12" spans="1:8">
      <c r="A12" t="s">
        <v>545</v>
      </c>
      <c r="B12">
        <v>10064</v>
      </c>
      <c r="C12" t="s">
        <v>558</v>
      </c>
      <c r="D12" s="17">
        <v>10000</v>
      </c>
      <c r="E12" s="17">
        <f t="shared" si="0"/>
        <v>140000</v>
      </c>
      <c r="F12" s="17">
        <f t="shared" si="1"/>
        <v>560000</v>
      </c>
    </row>
    <row r="13" spans="1:8">
      <c r="A13" t="s">
        <v>546</v>
      </c>
      <c r="B13">
        <v>10349</v>
      </c>
      <c r="C13" t="s">
        <v>558</v>
      </c>
      <c r="D13" s="17">
        <v>10000</v>
      </c>
      <c r="E13" s="17">
        <f t="shared" si="0"/>
        <v>150000</v>
      </c>
      <c r="F13" s="17">
        <f t="shared" si="1"/>
        <v>550000</v>
      </c>
      <c r="H13" s="17"/>
    </row>
    <row r="14" spans="1:8">
      <c r="A14" t="s">
        <v>547</v>
      </c>
      <c r="B14">
        <v>12037</v>
      </c>
      <c r="C14" t="s">
        <v>558</v>
      </c>
      <c r="D14" s="17">
        <v>10000</v>
      </c>
      <c r="E14" s="17">
        <f t="shared" si="0"/>
        <v>160000</v>
      </c>
      <c r="F14" s="17">
        <f t="shared" si="1"/>
        <v>540000</v>
      </c>
    </row>
    <row r="15" spans="1:8">
      <c r="A15" t="s">
        <v>548</v>
      </c>
      <c r="B15">
        <v>12430</v>
      </c>
      <c r="C15" t="s">
        <v>558</v>
      </c>
      <c r="D15" s="17">
        <v>10000</v>
      </c>
      <c r="E15" s="17">
        <f t="shared" si="0"/>
        <v>170000</v>
      </c>
      <c r="F15" s="17">
        <f t="shared" si="1"/>
        <v>530000</v>
      </c>
      <c r="H15" s="17"/>
    </row>
    <row r="16" spans="1:8">
      <c r="A16" t="s">
        <v>549</v>
      </c>
      <c r="B16">
        <v>12618</v>
      </c>
      <c r="C16" t="s">
        <v>558</v>
      </c>
      <c r="D16" s="17">
        <v>10000</v>
      </c>
      <c r="E16" s="17">
        <f t="shared" si="0"/>
        <v>180000</v>
      </c>
      <c r="F16" s="17">
        <f t="shared" si="1"/>
        <v>520000</v>
      </c>
    </row>
    <row r="17" spans="1:8">
      <c r="A17" t="s">
        <v>550</v>
      </c>
      <c r="B17">
        <v>13716</v>
      </c>
      <c r="C17" t="s">
        <v>558</v>
      </c>
      <c r="D17" s="17">
        <v>10000</v>
      </c>
      <c r="E17" s="17">
        <f t="shared" si="0"/>
        <v>190000</v>
      </c>
      <c r="F17" s="17">
        <f t="shared" si="1"/>
        <v>510000</v>
      </c>
      <c r="H17" s="17"/>
    </row>
    <row r="18" spans="1:8">
      <c r="A18" t="s">
        <v>551</v>
      </c>
      <c r="B18">
        <v>13409</v>
      </c>
      <c r="C18" t="s">
        <v>558</v>
      </c>
      <c r="D18" s="17">
        <v>10000</v>
      </c>
      <c r="E18" s="17">
        <f t="shared" si="0"/>
        <v>200000</v>
      </c>
      <c r="F18" s="17">
        <f t="shared" si="1"/>
        <v>500000</v>
      </c>
    </row>
    <row r="19" spans="1:8">
      <c r="A19" t="s">
        <v>552</v>
      </c>
      <c r="B19">
        <v>13271</v>
      </c>
      <c r="C19" t="s">
        <v>558</v>
      </c>
      <c r="D19" s="17">
        <v>10000</v>
      </c>
      <c r="E19" s="17">
        <f t="shared" si="0"/>
        <v>210000</v>
      </c>
      <c r="F19" s="17">
        <f t="shared" si="1"/>
        <v>490000</v>
      </c>
      <c r="H19" s="17"/>
    </row>
    <row r="20" spans="1:8">
      <c r="A20" t="s">
        <v>553</v>
      </c>
      <c r="B20">
        <v>12126</v>
      </c>
      <c r="C20" t="s">
        <v>558</v>
      </c>
      <c r="D20" s="17">
        <v>10000</v>
      </c>
      <c r="E20" s="17">
        <f t="shared" si="0"/>
        <v>220000</v>
      </c>
      <c r="F20" s="17">
        <f t="shared" si="1"/>
        <v>480000</v>
      </c>
    </row>
    <row r="21" spans="1:8">
      <c r="A21" t="s">
        <v>554</v>
      </c>
      <c r="B21">
        <v>12130</v>
      </c>
      <c r="C21" t="s">
        <v>558</v>
      </c>
      <c r="D21" s="17">
        <v>20000</v>
      </c>
      <c r="E21" s="17">
        <f t="shared" si="0"/>
        <v>240000</v>
      </c>
      <c r="F21" s="17">
        <f t="shared" si="1"/>
        <v>460000</v>
      </c>
      <c r="H21" s="17"/>
    </row>
    <row r="22" spans="1:8">
      <c r="A22" t="s">
        <v>555</v>
      </c>
      <c r="B22">
        <v>12716</v>
      </c>
      <c r="C22" t="s">
        <v>558</v>
      </c>
      <c r="D22" s="17">
        <v>10000</v>
      </c>
      <c r="E22" s="17">
        <f t="shared" si="0"/>
        <v>250000</v>
      </c>
      <c r="F22" s="17">
        <f t="shared" si="1"/>
        <v>450000</v>
      </c>
    </row>
    <row r="23" spans="1:8">
      <c r="A23" t="s">
        <v>556</v>
      </c>
      <c r="B23">
        <v>13994</v>
      </c>
      <c r="C23" t="s">
        <v>558</v>
      </c>
      <c r="D23" s="17">
        <v>10000</v>
      </c>
      <c r="E23" s="17">
        <f t="shared" si="0"/>
        <v>260000</v>
      </c>
      <c r="F23" s="17">
        <f t="shared" si="1"/>
        <v>440000</v>
      </c>
      <c r="H23" s="17"/>
    </row>
    <row r="24" spans="1:8">
      <c r="A24" t="s">
        <v>530</v>
      </c>
      <c r="B24">
        <v>13413</v>
      </c>
      <c r="C24" t="s">
        <v>558</v>
      </c>
      <c r="D24" s="17">
        <v>10000</v>
      </c>
      <c r="E24" s="17">
        <f t="shared" si="0"/>
        <v>270000</v>
      </c>
      <c r="F24" s="17">
        <f t="shared" si="1"/>
        <v>430000</v>
      </c>
    </row>
    <row r="25" spans="1:8">
      <c r="A25" t="s">
        <v>636</v>
      </c>
      <c r="B25">
        <v>13421</v>
      </c>
      <c r="C25" t="s">
        <v>558</v>
      </c>
      <c r="D25" s="17">
        <v>10000</v>
      </c>
      <c r="E25" s="17">
        <f>E24+D25</f>
        <v>280000</v>
      </c>
      <c r="F25" s="17">
        <f>F24-D25</f>
        <v>420000</v>
      </c>
    </row>
    <row r="26" spans="1:8">
      <c r="A26" t="s">
        <v>698</v>
      </c>
      <c r="B26">
        <v>1342</v>
      </c>
      <c r="C26" t="s">
        <v>558</v>
      </c>
      <c r="D26" s="17">
        <v>10000</v>
      </c>
      <c r="E26" s="17">
        <f>E25+D26</f>
        <v>290000</v>
      </c>
      <c r="F26" s="17">
        <f>F25-D26</f>
        <v>410000</v>
      </c>
      <c r="H26" s="17"/>
    </row>
    <row r="27" spans="1:8">
      <c r="A27" t="s">
        <v>699</v>
      </c>
      <c r="B27">
        <v>1558</v>
      </c>
      <c r="C27" t="s">
        <v>558</v>
      </c>
      <c r="D27" s="17">
        <v>10000</v>
      </c>
      <c r="E27" s="17">
        <f>E26+D27</f>
        <v>300000</v>
      </c>
      <c r="F27" s="17">
        <f>F26-D27</f>
        <v>400000</v>
      </c>
    </row>
    <row r="28" spans="1:8">
      <c r="A28" s="16">
        <v>46031</v>
      </c>
      <c r="B28">
        <v>1879</v>
      </c>
      <c r="C28" t="s">
        <v>558</v>
      </c>
      <c r="D28" s="17">
        <v>10000</v>
      </c>
      <c r="E28" s="17">
        <f>E27+D28</f>
        <v>310000</v>
      </c>
      <c r="F28" s="17">
        <f>F27-D28</f>
        <v>390000</v>
      </c>
    </row>
    <row r="29" spans="1:8">
      <c r="A29" s="16">
        <v>46063</v>
      </c>
      <c r="B29">
        <v>2147</v>
      </c>
      <c r="C29" t="s">
        <v>558</v>
      </c>
      <c r="D29" s="17">
        <v>10000</v>
      </c>
      <c r="E29" s="17">
        <f>E28+D29</f>
        <v>320000</v>
      </c>
      <c r="F29" s="17">
        <f>F28-D29</f>
        <v>380000</v>
      </c>
    </row>
  </sheetData>
  <pageMargins left="0.7" right="0.7" top="0.75" bottom="0.75" header="0.3" footer="0.3"/>
  <pageSetup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8" sqref="A8:F8"/>
    </sheetView>
  </sheetViews>
  <sheetFormatPr defaultRowHeight="14.5"/>
  <sheetData>
    <row r="1" spans="1:6">
      <c r="A1" t="s">
        <v>531</v>
      </c>
      <c r="B1" t="s">
        <v>564</v>
      </c>
    </row>
    <row r="2" spans="1:6">
      <c r="A2" t="s">
        <v>533</v>
      </c>
      <c r="B2" t="s">
        <v>565</v>
      </c>
    </row>
    <row r="3" spans="1:6">
      <c r="A3" t="s">
        <v>561</v>
      </c>
      <c r="B3" t="s">
        <v>566</v>
      </c>
    </row>
    <row r="4" spans="1:6">
      <c r="A4" t="s">
        <v>562</v>
      </c>
      <c r="B4" t="s">
        <v>567</v>
      </c>
    </row>
    <row r="5" spans="1:6">
      <c r="A5" t="s">
        <v>563</v>
      </c>
      <c r="B5" t="s">
        <v>568</v>
      </c>
    </row>
    <row r="6" spans="1:6">
      <c r="A6" t="s">
        <v>540</v>
      </c>
      <c r="B6">
        <v>5639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569</v>
      </c>
    </row>
    <row r="10" spans="1:6">
      <c r="A10" t="s">
        <v>570</v>
      </c>
    </row>
    <row r="11" spans="1:6">
      <c r="A11" t="s">
        <v>571</v>
      </c>
    </row>
    <row r="12" spans="1:6">
      <c r="A12" t="s">
        <v>572</v>
      </c>
    </row>
    <row r="13" spans="1:6">
      <c r="A13" t="s">
        <v>573</v>
      </c>
    </row>
    <row r="14" spans="1:6">
      <c r="A14" t="s">
        <v>574</v>
      </c>
    </row>
    <row r="15" spans="1:6">
      <c r="A15" t="s">
        <v>575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sqref="A1:G44"/>
    </sheetView>
  </sheetViews>
  <sheetFormatPr defaultRowHeight="14.5"/>
  <sheetData>
    <row r="1" spans="1:6">
      <c r="A1" t="s">
        <v>531</v>
      </c>
      <c r="B1" t="s">
        <v>576</v>
      </c>
    </row>
    <row r="2" spans="1:6">
      <c r="A2" t="s">
        <v>533</v>
      </c>
      <c r="B2" t="s">
        <v>577</v>
      </c>
    </row>
    <row r="3" spans="1:6">
      <c r="A3" t="s">
        <v>538</v>
      </c>
      <c r="B3" t="s">
        <v>578</v>
      </c>
    </row>
    <row r="4" spans="1:6">
      <c r="A4" t="s">
        <v>562</v>
      </c>
      <c r="B4" t="s">
        <v>579</v>
      </c>
    </row>
    <row r="5" spans="1:6">
      <c r="A5" t="s">
        <v>563</v>
      </c>
      <c r="B5" t="s">
        <v>580</v>
      </c>
    </row>
    <row r="6" spans="1:6">
      <c r="A6" t="s">
        <v>540</v>
      </c>
      <c r="B6">
        <v>5672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581</v>
      </c>
      <c r="B9">
        <v>937</v>
      </c>
      <c r="C9" t="s">
        <v>558</v>
      </c>
      <c r="D9" s="17">
        <v>10000</v>
      </c>
      <c r="E9" s="17">
        <v>10000</v>
      </c>
      <c r="F9" s="17">
        <v>330000</v>
      </c>
    </row>
    <row r="10" spans="1:6">
      <c r="A10" t="s">
        <v>582</v>
      </c>
      <c r="B10">
        <v>2588</v>
      </c>
      <c r="C10" t="s">
        <v>613</v>
      </c>
      <c r="D10" s="17">
        <v>10000</v>
      </c>
      <c r="E10" s="17">
        <f t="shared" ref="E10:E39" si="0">E9+D10</f>
        <v>20000</v>
      </c>
      <c r="F10" s="17">
        <f t="shared" ref="F10:F37" si="1">F9-D10</f>
        <v>320000</v>
      </c>
    </row>
    <row r="11" spans="1:6">
      <c r="A11" t="s">
        <v>583</v>
      </c>
      <c r="B11">
        <v>2248</v>
      </c>
      <c r="C11" t="s">
        <v>558</v>
      </c>
      <c r="D11" s="17">
        <v>10000</v>
      </c>
      <c r="E11" s="17">
        <f t="shared" si="0"/>
        <v>30000</v>
      </c>
      <c r="F11" s="17">
        <f t="shared" si="1"/>
        <v>310000</v>
      </c>
    </row>
    <row r="12" spans="1:6">
      <c r="A12" t="s">
        <v>584</v>
      </c>
      <c r="B12">
        <v>1464</v>
      </c>
      <c r="D12" s="17">
        <v>10000</v>
      </c>
      <c r="E12" s="17">
        <f t="shared" si="0"/>
        <v>40000</v>
      </c>
      <c r="F12" s="17">
        <f t="shared" si="1"/>
        <v>300000</v>
      </c>
    </row>
    <row r="13" spans="1:6">
      <c r="A13" t="s">
        <v>585</v>
      </c>
      <c r="B13">
        <v>2583</v>
      </c>
      <c r="D13" s="17">
        <v>30000</v>
      </c>
      <c r="E13" s="17">
        <f t="shared" si="0"/>
        <v>70000</v>
      </c>
      <c r="F13" s="17">
        <f t="shared" si="1"/>
        <v>270000</v>
      </c>
    </row>
    <row r="14" spans="1:6">
      <c r="A14" t="s">
        <v>586</v>
      </c>
      <c r="B14">
        <v>749</v>
      </c>
      <c r="D14" s="17">
        <v>20000</v>
      </c>
      <c r="E14" s="17">
        <f t="shared" si="0"/>
        <v>90000</v>
      </c>
      <c r="F14" s="17">
        <f t="shared" si="1"/>
        <v>250000</v>
      </c>
    </row>
    <row r="15" spans="1:6">
      <c r="A15" t="s">
        <v>587</v>
      </c>
      <c r="B15">
        <v>4267</v>
      </c>
      <c r="D15" s="17">
        <v>10000</v>
      </c>
      <c r="E15" s="17">
        <f t="shared" si="0"/>
        <v>100000</v>
      </c>
      <c r="F15" s="17">
        <f t="shared" si="1"/>
        <v>240000</v>
      </c>
    </row>
    <row r="16" spans="1:6">
      <c r="A16" t="s">
        <v>588</v>
      </c>
      <c r="B16">
        <v>4791</v>
      </c>
      <c r="D16" s="17">
        <v>10000</v>
      </c>
      <c r="E16" s="17">
        <f t="shared" si="0"/>
        <v>110000</v>
      </c>
      <c r="F16" s="17">
        <f t="shared" si="1"/>
        <v>230000</v>
      </c>
    </row>
    <row r="17" spans="1:6">
      <c r="A17" t="s">
        <v>589</v>
      </c>
      <c r="B17">
        <v>5395</v>
      </c>
      <c r="D17" s="17">
        <v>10000</v>
      </c>
      <c r="E17" s="17">
        <f t="shared" si="0"/>
        <v>120000</v>
      </c>
      <c r="F17" s="17">
        <f t="shared" si="1"/>
        <v>220000</v>
      </c>
    </row>
    <row r="18" spans="1:6">
      <c r="A18" t="s">
        <v>590</v>
      </c>
      <c r="B18">
        <v>6293</v>
      </c>
      <c r="D18" s="17">
        <v>10000</v>
      </c>
      <c r="E18" s="17">
        <f t="shared" si="0"/>
        <v>130000</v>
      </c>
      <c r="F18" s="17">
        <f t="shared" si="1"/>
        <v>210000</v>
      </c>
    </row>
    <row r="19" spans="1:6">
      <c r="A19" t="s">
        <v>591</v>
      </c>
      <c r="B19">
        <v>8121</v>
      </c>
      <c r="D19" s="17">
        <v>20000</v>
      </c>
      <c r="E19" s="17">
        <f t="shared" si="0"/>
        <v>150000</v>
      </c>
      <c r="F19" s="17">
        <f t="shared" si="1"/>
        <v>190000</v>
      </c>
    </row>
    <row r="20" spans="1:6">
      <c r="A20" t="s">
        <v>592</v>
      </c>
      <c r="B20">
        <v>10618</v>
      </c>
      <c r="D20" s="17">
        <v>10000</v>
      </c>
      <c r="E20" s="17">
        <f t="shared" si="0"/>
        <v>160000</v>
      </c>
      <c r="F20" s="17">
        <f t="shared" si="1"/>
        <v>180000</v>
      </c>
    </row>
    <row r="21" spans="1:6">
      <c r="A21" t="s">
        <v>593</v>
      </c>
      <c r="B21">
        <v>10618</v>
      </c>
      <c r="D21" s="17">
        <v>10000</v>
      </c>
      <c r="E21" s="17">
        <f t="shared" si="0"/>
        <v>170000</v>
      </c>
      <c r="F21" s="17">
        <f t="shared" si="1"/>
        <v>170000</v>
      </c>
    </row>
    <row r="22" spans="1:6">
      <c r="A22" t="s">
        <v>594</v>
      </c>
      <c r="B22">
        <v>10618</v>
      </c>
      <c r="D22" s="17">
        <v>10000</v>
      </c>
      <c r="E22" s="17">
        <f t="shared" si="0"/>
        <v>180000</v>
      </c>
      <c r="F22" s="17">
        <f t="shared" si="1"/>
        <v>160000</v>
      </c>
    </row>
    <row r="23" spans="1:6">
      <c r="A23" t="s">
        <v>595</v>
      </c>
      <c r="B23">
        <v>10618</v>
      </c>
      <c r="D23" s="17">
        <v>10000</v>
      </c>
      <c r="E23" s="17">
        <f t="shared" si="0"/>
        <v>190000</v>
      </c>
      <c r="F23" s="17">
        <f t="shared" si="1"/>
        <v>150000</v>
      </c>
    </row>
    <row r="24" spans="1:6">
      <c r="A24" t="s">
        <v>596</v>
      </c>
      <c r="B24">
        <v>10618</v>
      </c>
      <c r="D24" s="17">
        <v>10000</v>
      </c>
      <c r="E24" s="17">
        <f t="shared" si="0"/>
        <v>200000</v>
      </c>
      <c r="F24" s="17">
        <f t="shared" si="1"/>
        <v>140000</v>
      </c>
    </row>
    <row r="25" spans="1:6">
      <c r="A25" t="s">
        <v>597</v>
      </c>
      <c r="B25">
        <v>10618</v>
      </c>
      <c r="D25" s="17">
        <v>10000</v>
      </c>
      <c r="E25" s="17">
        <f t="shared" si="0"/>
        <v>210000</v>
      </c>
      <c r="F25" s="17">
        <f t="shared" si="1"/>
        <v>130000</v>
      </c>
    </row>
    <row r="26" spans="1:6">
      <c r="A26" t="s">
        <v>598</v>
      </c>
      <c r="B26">
        <v>10618</v>
      </c>
      <c r="D26" s="17">
        <v>10000</v>
      </c>
      <c r="E26" s="17">
        <f t="shared" si="0"/>
        <v>220000</v>
      </c>
      <c r="F26" s="17">
        <f t="shared" si="1"/>
        <v>120000</v>
      </c>
    </row>
    <row r="27" spans="1:6">
      <c r="A27" t="s">
        <v>599</v>
      </c>
      <c r="B27">
        <v>10619</v>
      </c>
      <c r="D27" s="17">
        <v>10000</v>
      </c>
      <c r="E27" s="17">
        <f t="shared" si="0"/>
        <v>230000</v>
      </c>
      <c r="F27" s="17">
        <f t="shared" si="1"/>
        <v>110000</v>
      </c>
    </row>
    <row r="28" spans="1:6">
      <c r="A28" t="s">
        <v>600</v>
      </c>
      <c r="B28">
        <v>10619</v>
      </c>
      <c r="D28" s="17">
        <v>10000</v>
      </c>
      <c r="E28" s="17">
        <f t="shared" si="0"/>
        <v>240000</v>
      </c>
      <c r="F28" s="17">
        <f t="shared" si="1"/>
        <v>100000</v>
      </c>
    </row>
    <row r="29" spans="1:6">
      <c r="A29" t="s">
        <v>601</v>
      </c>
      <c r="B29">
        <v>10619</v>
      </c>
      <c r="D29" s="17">
        <v>10000</v>
      </c>
      <c r="E29" s="17">
        <f t="shared" si="0"/>
        <v>250000</v>
      </c>
      <c r="F29" s="17">
        <f t="shared" si="1"/>
        <v>90000</v>
      </c>
    </row>
    <row r="30" spans="1:6">
      <c r="A30" t="s">
        <v>602</v>
      </c>
      <c r="B30">
        <v>10619</v>
      </c>
      <c r="D30" s="17">
        <v>10000</v>
      </c>
      <c r="E30" s="17">
        <f t="shared" si="0"/>
        <v>260000</v>
      </c>
      <c r="F30" s="17">
        <f t="shared" si="1"/>
        <v>80000</v>
      </c>
    </row>
    <row r="31" spans="1:6">
      <c r="A31" t="s">
        <v>603</v>
      </c>
      <c r="B31">
        <v>10617</v>
      </c>
      <c r="D31" s="17">
        <v>10000</v>
      </c>
      <c r="E31" s="17">
        <f t="shared" si="0"/>
        <v>270000</v>
      </c>
      <c r="F31" s="17">
        <f t="shared" si="1"/>
        <v>70000</v>
      </c>
    </row>
    <row r="32" spans="1:6">
      <c r="A32" t="s">
        <v>604</v>
      </c>
      <c r="B32">
        <v>11808</v>
      </c>
      <c r="D32" s="17">
        <v>10000</v>
      </c>
      <c r="E32" s="17">
        <f t="shared" si="0"/>
        <v>280000</v>
      </c>
      <c r="F32" s="17">
        <f t="shared" si="1"/>
        <v>60000</v>
      </c>
    </row>
    <row r="33" spans="1:6">
      <c r="A33" t="s">
        <v>605</v>
      </c>
      <c r="B33">
        <v>12894</v>
      </c>
      <c r="D33" s="17">
        <v>10000</v>
      </c>
      <c r="E33" s="17">
        <f t="shared" si="0"/>
        <v>290000</v>
      </c>
      <c r="F33" s="17">
        <f t="shared" si="1"/>
        <v>50000</v>
      </c>
    </row>
    <row r="34" spans="1:6">
      <c r="A34" t="s">
        <v>606</v>
      </c>
      <c r="B34">
        <v>12997</v>
      </c>
      <c r="D34" s="17">
        <v>10000</v>
      </c>
      <c r="E34" s="17">
        <f t="shared" si="0"/>
        <v>300000</v>
      </c>
      <c r="F34" s="17">
        <f t="shared" si="1"/>
        <v>40000</v>
      </c>
    </row>
    <row r="35" spans="1:6">
      <c r="A35" t="s">
        <v>607</v>
      </c>
      <c r="B35">
        <v>12763</v>
      </c>
      <c r="D35" s="17">
        <v>10000</v>
      </c>
      <c r="E35" s="17">
        <f t="shared" si="0"/>
        <v>310000</v>
      </c>
      <c r="F35" s="17">
        <f t="shared" si="1"/>
        <v>30000</v>
      </c>
    </row>
    <row r="36" spans="1:6">
      <c r="A36" t="s">
        <v>608</v>
      </c>
      <c r="B36">
        <v>13686</v>
      </c>
      <c r="D36" s="17">
        <v>10000</v>
      </c>
      <c r="E36" s="17">
        <f t="shared" si="0"/>
        <v>320000</v>
      </c>
      <c r="F36" s="17">
        <f t="shared" si="1"/>
        <v>20000</v>
      </c>
    </row>
    <row r="37" spans="1:6">
      <c r="A37" t="s">
        <v>609</v>
      </c>
      <c r="B37">
        <v>13024</v>
      </c>
      <c r="D37" s="17">
        <v>10000</v>
      </c>
      <c r="E37" s="17">
        <f t="shared" si="0"/>
        <v>330000</v>
      </c>
      <c r="F37" s="17">
        <f t="shared" si="1"/>
        <v>10000</v>
      </c>
    </row>
    <row r="38" spans="1:6">
      <c r="A38" t="s">
        <v>610</v>
      </c>
      <c r="B38">
        <v>12615</v>
      </c>
      <c r="D38" s="17">
        <v>10000</v>
      </c>
      <c r="E38" s="17">
        <f t="shared" si="0"/>
        <v>340000</v>
      </c>
      <c r="F38">
        <v>0</v>
      </c>
    </row>
    <row r="39" spans="1:6">
      <c r="A39" t="s">
        <v>611</v>
      </c>
      <c r="B39">
        <v>12637</v>
      </c>
      <c r="D39" s="17">
        <v>10000</v>
      </c>
      <c r="E39" s="17">
        <f t="shared" si="0"/>
        <v>350000</v>
      </c>
    </row>
    <row r="40" spans="1:6">
      <c r="A40" t="s">
        <v>612</v>
      </c>
      <c r="B40">
        <v>711</v>
      </c>
      <c r="D40" s="17">
        <v>110000</v>
      </c>
    </row>
    <row r="42" spans="1:6">
      <c r="D42" t="s">
        <v>614</v>
      </c>
    </row>
    <row r="44" spans="1:6">
      <c r="A44" t="s">
        <v>685</v>
      </c>
      <c r="B44">
        <v>1710</v>
      </c>
      <c r="C44" t="s">
        <v>686</v>
      </c>
      <c r="D44" s="17">
        <v>100000</v>
      </c>
      <c r="E44" s="17">
        <v>260000</v>
      </c>
      <c r="F44" t="s">
        <v>687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H8" sqref="H8"/>
    </sheetView>
  </sheetViews>
  <sheetFormatPr defaultRowHeight="14.5"/>
  <sheetData>
    <row r="1" spans="1:6">
      <c r="A1" t="s">
        <v>531</v>
      </c>
      <c r="B1" t="s">
        <v>618</v>
      </c>
    </row>
    <row r="2" spans="1:6">
      <c r="A2" t="s">
        <v>533</v>
      </c>
      <c r="B2" t="s">
        <v>619</v>
      </c>
    </row>
    <row r="3" spans="1:6">
      <c r="A3" t="s">
        <v>538</v>
      </c>
    </row>
    <row r="4" spans="1:6">
      <c r="A4" t="s">
        <v>616</v>
      </c>
      <c r="B4" t="s">
        <v>620</v>
      </c>
    </row>
    <row r="5" spans="1:6">
      <c r="A5" t="s">
        <v>617</v>
      </c>
      <c r="B5" t="s">
        <v>621</v>
      </c>
    </row>
    <row r="6" spans="1:6">
      <c r="A6" t="s">
        <v>540</v>
      </c>
      <c r="B6">
        <v>5615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622</v>
      </c>
      <c r="B9">
        <v>1620</v>
      </c>
      <c r="C9" t="s">
        <v>623</v>
      </c>
      <c r="D9" s="17">
        <v>450000</v>
      </c>
      <c r="E9" s="17">
        <v>450000</v>
      </c>
      <c r="F9" t="s">
        <v>528</v>
      </c>
    </row>
    <row r="12" spans="1:6">
      <c r="A12" t="s">
        <v>624</v>
      </c>
      <c r="B12">
        <v>1584</v>
      </c>
      <c r="C12" t="s">
        <v>524</v>
      </c>
      <c r="D12" s="17">
        <v>250000</v>
      </c>
      <c r="E12" s="17">
        <v>250000</v>
      </c>
      <c r="F12" t="s">
        <v>528</v>
      </c>
    </row>
    <row r="13" spans="1:6">
      <c r="B13" t="s">
        <v>625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sqref="A1:E6"/>
    </sheetView>
  </sheetViews>
  <sheetFormatPr defaultRowHeight="14.5"/>
  <cols>
    <col min="1" max="1" width="11.54296875" customWidth="1"/>
    <col min="2" max="2" width="8.81640625" bestFit="1" customWidth="1"/>
    <col min="3" max="3" width="13.1796875" customWidth="1"/>
    <col min="4" max="4" width="14.90625" customWidth="1"/>
    <col min="5" max="5" width="11.54296875" customWidth="1"/>
    <col min="6" max="6" width="14.6328125" customWidth="1"/>
  </cols>
  <sheetData>
    <row r="1" spans="1:7" ht="18.5">
      <c r="A1" s="1" t="s">
        <v>531</v>
      </c>
      <c r="B1" s="1" t="s">
        <v>640</v>
      </c>
      <c r="C1" s="1"/>
      <c r="D1" s="1"/>
      <c r="E1" s="1"/>
      <c r="F1" s="1"/>
      <c r="G1" s="1"/>
    </row>
    <row r="2" spans="1:7" ht="18.5">
      <c r="A2" s="1" t="s">
        <v>533</v>
      </c>
      <c r="B2" s="1" t="s">
        <v>641</v>
      </c>
      <c r="C2" s="1"/>
      <c r="D2" s="1"/>
      <c r="E2" s="1"/>
      <c r="F2" s="1"/>
      <c r="G2" s="1"/>
    </row>
    <row r="3" spans="1:7" ht="18.5">
      <c r="A3" s="1" t="s">
        <v>538</v>
      </c>
      <c r="B3" s="1" t="s">
        <v>642</v>
      </c>
      <c r="C3" s="1"/>
      <c r="D3" s="1"/>
      <c r="E3" s="1"/>
      <c r="F3" s="1"/>
      <c r="G3" s="1"/>
    </row>
    <row r="4" spans="1:7" ht="18.5">
      <c r="A4" s="1" t="s">
        <v>562</v>
      </c>
      <c r="B4" s="1" t="s">
        <v>643</v>
      </c>
      <c r="C4" s="1"/>
      <c r="D4" s="1"/>
      <c r="E4" s="1"/>
      <c r="F4" s="1"/>
      <c r="G4" s="1"/>
    </row>
    <row r="5" spans="1:7" ht="18.5">
      <c r="A5" s="1" t="s">
        <v>617</v>
      </c>
      <c r="B5" s="1" t="s">
        <v>644</v>
      </c>
      <c r="C5" s="1"/>
      <c r="D5" s="1"/>
      <c r="E5" s="1"/>
      <c r="F5" s="1"/>
      <c r="G5" s="1"/>
    </row>
    <row r="6" spans="1:7" ht="18.5">
      <c r="A6" s="1" t="s">
        <v>540</v>
      </c>
      <c r="B6" s="1">
        <v>5635</v>
      </c>
      <c r="C6" s="1"/>
      <c r="D6" s="1" t="s">
        <v>645</v>
      </c>
      <c r="E6" s="41">
        <v>300000</v>
      </c>
      <c r="F6" s="1"/>
      <c r="G6" s="1"/>
    </row>
    <row r="7" spans="1:7" ht="18.5">
      <c r="A7" s="1"/>
      <c r="B7" s="1"/>
      <c r="C7" s="1"/>
      <c r="D7" s="1"/>
      <c r="E7" s="1"/>
      <c r="F7" s="1"/>
      <c r="G7" s="1"/>
    </row>
    <row r="8" spans="1:7" ht="18.5">
      <c r="A8" s="53" t="s">
        <v>3</v>
      </c>
      <c r="B8" s="53" t="s">
        <v>4</v>
      </c>
      <c r="C8" s="53" t="s">
        <v>5</v>
      </c>
      <c r="D8" s="53" t="s">
        <v>6</v>
      </c>
      <c r="E8" s="53" t="s">
        <v>7</v>
      </c>
      <c r="F8" s="53" t="s">
        <v>8</v>
      </c>
      <c r="G8" s="1"/>
    </row>
    <row r="9" spans="1:7">
      <c r="C9" s="19" t="s">
        <v>646</v>
      </c>
      <c r="D9" s="19"/>
      <c r="E9" s="19"/>
      <c r="F9" s="19"/>
      <c r="G9" s="19"/>
    </row>
    <row r="12" spans="1:7" ht="18.5">
      <c r="A12" s="52" t="s">
        <v>313</v>
      </c>
      <c r="B12" s="52"/>
      <c r="C12" s="52"/>
    </row>
    <row r="13" spans="1:7" ht="18.5">
      <c r="A13" s="53" t="s">
        <v>3</v>
      </c>
      <c r="B13" s="53" t="s">
        <v>4</v>
      </c>
      <c r="C13" s="53" t="s">
        <v>5</v>
      </c>
      <c r="D13" s="53" t="s">
        <v>6</v>
      </c>
      <c r="E13" s="53" t="s">
        <v>7</v>
      </c>
      <c r="F13" s="53" t="s">
        <v>8</v>
      </c>
    </row>
    <row r="14" spans="1:7">
      <c r="A14" s="6">
        <v>45211</v>
      </c>
      <c r="B14" s="2">
        <v>40</v>
      </c>
      <c r="C14" s="2" t="s">
        <v>738</v>
      </c>
      <c r="D14" s="4">
        <v>10000</v>
      </c>
      <c r="E14" s="4">
        <v>10000</v>
      </c>
      <c r="F14" s="4">
        <v>440000</v>
      </c>
    </row>
    <row r="15" spans="1:7">
      <c r="A15" s="2" t="s">
        <v>762</v>
      </c>
      <c r="B15" s="2">
        <v>94</v>
      </c>
      <c r="C15" s="2" t="s">
        <v>738</v>
      </c>
      <c r="D15" s="4">
        <v>20000</v>
      </c>
      <c r="E15" s="4">
        <f t="shared" ref="E15:E27" si="0">E14+D15</f>
        <v>30000</v>
      </c>
      <c r="F15" s="4">
        <f t="shared" ref="F15:F27" si="1">F14-D15</f>
        <v>420000</v>
      </c>
    </row>
    <row r="16" spans="1:7">
      <c r="A16" s="2" t="s">
        <v>763</v>
      </c>
      <c r="B16" s="2">
        <v>193</v>
      </c>
      <c r="C16" s="2" t="s">
        <v>738</v>
      </c>
      <c r="D16" s="4">
        <v>20000</v>
      </c>
      <c r="E16" s="4">
        <f t="shared" si="0"/>
        <v>50000</v>
      </c>
      <c r="F16" s="4">
        <f t="shared" si="1"/>
        <v>400000</v>
      </c>
    </row>
    <row r="17" spans="1:6">
      <c r="A17" s="2" t="s">
        <v>764</v>
      </c>
      <c r="B17" s="2">
        <v>222</v>
      </c>
      <c r="C17" s="2" t="s">
        <v>738</v>
      </c>
      <c r="D17" s="4">
        <v>10000</v>
      </c>
      <c r="E17" s="4">
        <f t="shared" si="0"/>
        <v>60000</v>
      </c>
      <c r="F17" s="4">
        <f t="shared" si="1"/>
        <v>390000</v>
      </c>
    </row>
    <row r="18" spans="1:6">
      <c r="A18" s="6">
        <v>45631</v>
      </c>
      <c r="B18" s="2">
        <v>280</v>
      </c>
      <c r="C18" s="2" t="s">
        <v>738</v>
      </c>
      <c r="D18" s="4">
        <v>10000</v>
      </c>
      <c r="E18" s="4">
        <f t="shared" si="0"/>
        <v>70000</v>
      </c>
      <c r="F18" s="4">
        <f t="shared" si="1"/>
        <v>380000</v>
      </c>
    </row>
    <row r="19" spans="1:6">
      <c r="A19" s="2" t="s">
        <v>765</v>
      </c>
      <c r="B19" s="2">
        <v>66</v>
      </c>
      <c r="C19" s="2" t="s">
        <v>738</v>
      </c>
      <c r="D19" s="4">
        <v>10000</v>
      </c>
      <c r="E19" s="4">
        <f t="shared" si="0"/>
        <v>80000</v>
      </c>
      <c r="F19" s="4">
        <f t="shared" si="1"/>
        <v>370000</v>
      </c>
    </row>
    <row r="20" spans="1:6">
      <c r="A20" s="2" t="s">
        <v>766</v>
      </c>
      <c r="B20" s="2">
        <v>10309</v>
      </c>
      <c r="C20" s="2" t="s">
        <v>738</v>
      </c>
      <c r="D20" s="4">
        <v>10000</v>
      </c>
      <c r="E20" s="4">
        <f t="shared" si="0"/>
        <v>90000</v>
      </c>
      <c r="F20" s="4">
        <f t="shared" si="1"/>
        <v>360000</v>
      </c>
    </row>
    <row r="21" spans="1:6">
      <c r="A21" s="2" t="s">
        <v>767</v>
      </c>
      <c r="B21" s="2">
        <v>251</v>
      </c>
      <c r="C21" s="2" t="s">
        <v>738</v>
      </c>
      <c r="D21" s="4">
        <v>10000</v>
      </c>
      <c r="E21" s="4">
        <f t="shared" si="0"/>
        <v>100000</v>
      </c>
      <c r="F21" s="4">
        <f t="shared" si="1"/>
        <v>350000</v>
      </c>
    </row>
    <row r="22" spans="1:6">
      <c r="A22" s="6">
        <v>46359</v>
      </c>
      <c r="B22" s="2">
        <v>5710</v>
      </c>
      <c r="C22" s="2" t="s">
        <v>738</v>
      </c>
      <c r="D22" s="4">
        <v>20000</v>
      </c>
      <c r="E22" s="4">
        <f t="shared" si="0"/>
        <v>120000</v>
      </c>
      <c r="F22" s="4">
        <f t="shared" si="1"/>
        <v>330000</v>
      </c>
    </row>
    <row r="23" spans="1:6">
      <c r="A23" s="6">
        <v>46299</v>
      </c>
      <c r="B23" s="2">
        <v>589</v>
      </c>
      <c r="C23" s="2" t="s">
        <v>738</v>
      </c>
      <c r="D23" s="4">
        <v>10000</v>
      </c>
      <c r="E23" s="4">
        <f t="shared" si="0"/>
        <v>130000</v>
      </c>
      <c r="F23" s="4">
        <f t="shared" si="1"/>
        <v>320000</v>
      </c>
    </row>
    <row r="24" spans="1:6">
      <c r="A24" s="6">
        <v>46300</v>
      </c>
      <c r="B24" s="2">
        <v>1419</v>
      </c>
      <c r="C24" s="2" t="s">
        <v>738</v>
      </c>
      <c r="D24" s="4">
        <v>10000</v>
      </c>
      <c r="E24" s="4">
        <f t="shared" si="0"/>
        <v>140000</v>
      </c>
      <c r="F24" s="4">
        <f t="shared" si="1"/>
        <v>310000</v>
      </c>
    </row>
    <row r="25" spans="1:6">
      <c r="A25" s="6">
        <v>46301</v>
      </c>
      <c r="B25" s="2">
        <v>1611</v>
      </c>
      <c r="C25" s="2" t="s">
        <v>738</v>
      </c>
      <c r="D25" s="4">
        <v>10000</v>
      </c>
      <c r="E25" s="4">
        <f t="shared" si="0"/>
        <v>150000</v>
      </c>
      <c r="F25" s="4">
        <f t="shared" si="1"/>
        <v>300000</v>
      </c>
    </row>
    <row r="26" spans="1:6">
      <c r="A26" s="6">
        <v>46302</v>
      </c>
      <c r="B26" s="2">
        <v>1801</v>
      </c>
      <c r="C26" s="2" t="s">
        <v>738</v>
      </c>
      <c r="D26" s="4">
        <v>10000</v>
      </c>
      <c r="E26" s="4">
        <f t="shared" si="0"/>
        <v>160000</v>
      </c>
      <c r="F26" s="4">
        <f t="shared" si="1"/>
        <v>290000</v>
      </c>
    </row>
    <row r="27" spans="1:6">
      <c r="A27" s="6">
        <v>46303</v>
      </c>
      <c r="B27" s="2">
        <v>3766</v>
      </c>
      <c r="C27" s="2" t="s">
        <v>738</v>
      </c>
      <c r="D27" s="4">
        <v>10000</v>
      </c>
      <c r="E27" s="4">
        <f t="shared" si="0"/>
        <v>170000</v>
      </c>
      <c r="F27" s="4">
        <f t="shared" si="1"/>
        <v>280000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K8" sqref="K8"/>
    </sheetView>
  </sheetViews>
  <sheetFormatPr defaultRowHeight="14.5"/>
  <cols>
    <col min="1" max="1" width="11.453125" customWidth="1"/>
    <col min="3" max="3" width="13.08984375" customWidth="1"/>
    <col min="4" max="4" width="16.453125" customWidth="1"/>
    <col min="5" max="5" width="15" customWidth="1"/>
    <col min="6" max="6" width="19.7265625" customWidth="1"/>
  </cols>
  <sheetData>
    <row r="1" spans="1:6" ht="18.5">
      <c r="A1" s="1" t="s">
        <v>531</v>
      </c>
      <c r="B1" s="1" t="s">
        <v>768</v>
      </c>
      <c r="C1" s="1"/>
      <c r="D1" s="1"/>
      <c r="E1" s="1"/>
      <c r="F1" s="1"/>
    </row>
    <row r="2" spans="1:6" ht="18.5">
      <c r="A2" s="1" t="s">
        <v>533</v>
      </c>
      <c r="B2" s="1" t="s">
        <v>769</v>
      </c>
      <c r="C2" s="1"/>
      <c r="D2" s="1"/>
      <c r="E2" s="1"/>
      <c r="F2" s="1"/>
    </row>
    <row r="3" spans="1:6" ht="18.5">
      <c r="A3" s="1" t="s">
        <v>538</v>
      </c>
      <c r="B3" s="1" t="s">
        <v>770</v>
      </c>
      <c r="C3" s="1"/>
      <c r="D3" s="1"/>
      <c r="E3" s="1"/>
      <c r="F3" s="1"/>
    </row>
    <row r="4" spans="1:6" ht="18.5">
      <c r="A4" s="1" t="s">
        <v>562</v>
      </c>
      <c r="B4" s="1" t="s">
        <v>771</v>
      </c>
      <c r="C4" s="1"/>
      <c r="D4" s="1"/>
      <c r="E4" s="1"/>
      <c r="F4" s="1"/>
    </row>
    <row r="5" spans="1:6" ht="18.5">
      <c r="A5" s="1" t="s">
        <v>617</v>
      </c>
      <c r="B5" s="1" t="s">
        <v>772</v>
      </c>
      <c r="C5" s="1"/>
      <c r="D5" s="1"/>
      <c r="E5" s="1"/>
      <c r="F5" s="1"/>
    </row>
    <row r="6" spans="1:6" ht="18.5">
      <c r="A6" s="1" t="s">
        <v>540</v>
      </c>
      <c r="B6" s="1">
        <v>5694</v>
      </c>
      <c r="C6" s="1"/>
      <c r="D6" s="1" t="s">
        <v>773</v>
      </c>
      <c r="E6" s="41"/>
      <c r="F6" s="1"/>
    </row>
    <row r="7" spans="1:6" ht="18.5" customHeight="1">
      <c r="A7" s="1" t="s">
        <v>774</v>
      </c>
      <c r="B7" s="1"/>
      <c r="C7" s="1"/>
      <c r="D7" s="1"/>
      <c r="E7" s="1"/>
      <c r="F7" s="1"/>
    </row>
    <row r="8" spans="1:6" ht="18.5" customHeight="1">
      <c r="A8" s="1" t="s">
        <v>775</v>
      </c>
      <c r="B8" s="1"/>
      <c r="C8" s="1"/>
      <c r="D8" s="1"/>
      <c r="E8" s="1"/>
      <c r="F8" s="1"/>
    </row>
    <row r="9" spans="1:6" ht="14.5" customHeight="1">
      <c r="A9" s="1" t="s">
        <v>776</v>
      </c>
      <c r="B9" s="1"/>
      <c r="C9" s="1"/>
      <c r="D9" s="1"/>
      <c r="E9" s="1"/>
      <c r="F9" s="1"/>
    </row>
    <row r="10" spans="1:6" ht="18.5">
      <c r="A10" s="53" t="s">
        <v>3</v>
      </c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</row>
    <row r="11" spans="1:6">
      <c r="A11" t="s">
        <v>777</v>
      </c>
      <c r="B11">
        <v>1848</v>
      </c>
      <c r="C11" t="s">
        <v>703</v>
      </c>
      <c r="D11" s="17">
        <v>130000</v>
      </c>
      <c r="E11" s="17">
        <v>130000</v>
      </c>
      <c r="F11" s="17">
        <v>670000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6" sqref="B6"/>
    </sheetView>
  </sheetViews>
  <sheetFormatPr defaultRowHeight="14.5"/>
  <cols>
    <col min="1" max="1" width="15.6328125" customWidth="1"/>
    <col min="2" max="2" width="7.90625" customWidth="1"/>
    <col min="3" max="3" width="15.7265625" customWidth="1"/>
    <col min="4" max="4" width="14.6328125" customWidth="1"/>
    <col min="5" max="5" width="14.36328125" customWidth="1"/>
    <col min="6" max="6" width="17.36328125" customWidth="1"/>
  </cols>
  <sheetData>
    <row r="1" spans="1:6" ht="18.5">
      <c r="A1" s="1" t="s">
        <v>531</v>
      </c>
      <c r="B1" s="1" t="s">
        <v>768</v>
      </c>
      <c r="C1" s="1"/>
      <c r="D1" s="1"/>
      <c r="E1" s="1"/>
      <c r="F1" s="1"/>
    </row>
    <row r="2" spans="1:6" ht="18.5">
      <c r="A2" s="1" t="s">
        <v>533</v>
      </c>
      <c r="B2" s="1" t="s">
        <v>769</v>
      </c>
      <c r="C2" s="1"/>
      <c r="D2" s="1"/>
      <c r="E2" s="1"/>
      <c r="F2" s="1"/>
    </row>
    <row r="3" spans="1:6" ht="18.5">
      <c r="A3" s="1" t="s">
        <v>538</v>
      </c>
      <c r="B3" s="1" t="s">
        <v>770</v>
      </c>
      <c r="C3" s="1"/>
      <c r="D3" s="1"/>
      <c r="E3" s="1"/>
      <c r="F3" s="1"/>
    </row>
    <row r="4" spans="1:6" ht="18.5">
      <c r="A4" s="1" t="s">
        <v>562</v>
      </c>
      <c r="B4" s="1" t="s">
        <v>771</v>
      </c>
      <c r="C4" s="1"/>
      <c r="D4" s="1"/>
      <c r="E4" s="1"/>
      <c r="F4" s="1"/>
    </row>
    <row r="5" spans="1:6" ht="18.5">
      <c r="A5" s="1" t="s">
        <v>617</v>
      </c>
      <c r="B5" s="1" t="s">
        <v>778</v>
      </c>
      <c r="C5" s="1"/>
      <c r="D5" s="1"/>
      <c r="E5" s="1"/>
      <c r="F5" s="1"/>
    </row>
    <row r="6" spans="1:6" ht="18.5">
      <c r="A6" s="1" t="s">
        <v>540</v>
      </c>
      <c r="B6" s="1">
        <v>5695</v>
      </c>
      <c r="C6" s="1"/>
      <c r="D6" s="1" t="s">
        <v>773</v>
      </c>
      <c r="E6" s="41"/>
      <c r="F6" s="1"/>
    </row>
    <row r="7" spans="1:6" ht="18.5">
      <c r="A7" s="1" t="s">
        <v>774</v>
      </c>
      <c r="B7" s="1"/>
      <c r="C7" s="1"/>
      <c r="D7" s="1"/>
      <c r="E7" s="1"/>
      <c r="F7" s="1"/>
    </row>
    <row r="8" spans="1:6" ht="18.5">
      <c r="A8" s="1" t="s">
        <v>775</v>
      </c>
      <c r="B8" s="1"/>
      <c r="C8" s="1"/>
      <c r="D8" s="1"/>
      <c r="E8" s="1"/>
      <c r="F8" s="1"/>
    </row>
    <row r="9" spans="1:6" ht="18.5">
      <c r="A9" s="1" t="s">
        <v>776</v>
      </c>
      <c r="B9" s="1"/>
      <c r="C9" s="1"/>
      <c r="D9" s="1"/>
      <c r="E9" s="1"/>
      <c r="F9" s="1"/>
    </row>
    <row r="10" spans="1:6" ht="18.5">
      <c r="A10" s="53" t="s">
        <v>3</v>
      </c>
      <c r="B10" s="53" t="s">
        <v>4</v>
      </c>
      <c r="C10" s="53" t="s">
        <v>5</v>
      </c>
      <c r="D10" s="53" t="s">
        <v>6</v>
      </c>
      <c r="E10" s="53" t="s">
        <v>7</v>
      </c>
      <c r="F10" s="53" t="s">
        <v>8</v>
      </c>
    </row>
    <row r="11" spans="1:6">
      <c r="A11" t="s">
        <v>777</v>
      </c>
      <c r="B11">
        <v>1848</v>
      </c>
      <c r="C11" t="s">
        <v>703</v>
      </c>
      <c r="D11" s="17">
        <v>130000</v>
      </c>
      <c r="E11" s="17">
        <v>130000</v>
      </c>
      <c r="F11" s="17">
        <v>670000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K20" sqref="K20"/>
    </sheetView>
  </sheetViews>
  <sheetFormatPr defaultRowHeight="14.5"/>
  <sheetData>
    <row r="1" spans="1:6">
      <c r="A1" t="s">
        <v>531</v>
      </c>
      <c r="B1" t="s">
        <v>672</v>
      </c>
    </row>
    <row r="2" spans="1:6">
      <c r="A2" t="s">
        <v>533</v>
      </c>
      <c r="B2" t="s">
        <v>673</v>
      </c>
    </row>
    <row r="3" spans="1:6">
      <c r="A3" t="s">
        <v>538</v>
      </c>
      <c r="B3" t="s">
        <v>674</v>
      </c>
    </row>
    <row r="4" spans="1:6">
      <c r="A4" t="s">
        <v>562</v>
      </c>
    </row>
    <row r="5" spans="1:6">
      <c r="A5" t="s">
        <v>563</v>
      </c>
      <c r="B5" t="s">
        <v>653</v>
      </c>
    </row>
    <row r="6" spans="1:6">
      <c r="A6" t="s">
        <v>652</v>
      </c>
      <c r="B6">
        <v>5621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B9">
        <v>241</v>
      </c>
      <c r="C9" t="s">
        <v>558</v>
      </c>
      <c r="D9" s="17">
        <v>10000</v>
      </c>
      <c r="E9" s="17">
        <v>10000</v>
      </c>
      <c r="F9" s="17">
        <v>230000</v>
      </c>
    </row>
    <row r="10" spans="1:6">
      <c r="A10" t="s">
        <v>654</v>
      </c>
      <c r="B10">
        <v>2885</v>
      </c>
      <c r="C10" t="s">
        <v>671</v>
      </c>
      <c r="D10" s="17">
        <v>50000</v>
      </c>
      <c r="E10" s="17">
        <f t="shared" ref="E10:E25" si="0">E9+D10</f>
        <v>60000</v>
      </c>
      <c r="F10" s="17">
        <f t="shared" ref="F10:F25" si="1">F9-D10</f>
        <v>180000</v>
      </c>
    </row>
    <row r="11" spans="1:6">
      <c r="A11" t="s">
        <v>655</v>
      </c>
      <c r="B11">
        <v>2886</v>
      </c>
      <c r="C11" t="s">
        <v>558</v>
      </c>
      <c r="D11" s="17">
        <v>50000</v>
      </c>
      <c r="E11" s="17">
        <f t="shared" si="0"/>
        <v>110000</v>
      </c>
      <c r="F11" s="17">
        <f t="shared" si="1"/>
        <v>130000</v>
      </c>
    </row>
    <row r="12" spans="1:6">
      <c r="A12" t="s">
        <v>656</v>
      </c>
      <c r="B12">
        <v>3212</v>
      </c>
      <c r="C12" t="s">
        <v>558</v>
      </c>
      <c r="D12" s="17">
        <v>10000</v>
      </c>
      <c r="E12" s="17">
        <f t="shared" si="0"/>
        <v>120000</v>
      </c>
      <c r="F12" s="17">
        <f t="shared" si="1"/>
        <v>120000</v>
      </c>
    </row>
    <row r="13" spans="1:6">
      <c r="A13" t="s">
        <v>657</v>
      </c>
      <c r="B13">
        <v>4124</v>
      </c>
      <c r="C13" t="s">
        <v>558</v>
      </c>
      <c r="D13" s="17">
        <v>10000</v>
      </c>
      <c r="E13" s="17">
        <f t="shared" si="0"/>
        <v>130000</v>
      </c>
      <c r="F13" s="17">
        <f t="shared" si="1"/>
        <v>110000</v>
      </c>
    </row>
    <row r="14" spans="1:6">
      <c r="A14" t="s">
        <v>658</v>
      </c>
      <c r="B14">
        <v>4716</v>
      </c>
      <c r="C14" t="s">
        <v>558</v>
      </c>
      <c r="D14" s="17">
        <v>10000</v>
      </c>
      <c r="E14" s="17">
        <f t="shared" si="0"/>
        <v>140000</v>
      </c>
      <c r="F14" s="17">
        <f t="shared" si="1"/>
        <v>100000</v>
      </c>
    </row>
    <row r="15" spans="1:6">
      <c r="A15" t="s">
        <v>659</v>
      </c>
      <c r="B15">
        <v>5358</v>
      </c>
      <c r="C15" t="s">
        <v>558</v>
      </c>
      <c r="D15" s="17">
        <v>10000</v>
      </c>
      <c r="E15" s="17">
        <f t="shared" si="0"/>
        <v>150000</v>
      </c>
      <c r="F15" s="17">
        <f t="shared" si="1"/>
        <v>90000</v>
      </c>
    </row>
    <row r="16" spans="1:6">
      <c r="A16" t="s">
        <v>660</v>
      </c>
      <c r="B16">
        <v>6042</v>
      </c>
      <c r="C16" t="s">
        <v>558</v>
      </c>
      <c r="D16" s="17">
        <v>10000</v>
      </c>
      <c r="E16" s="17">
        <f t="shared" si="0"/>
        <v>160000</v>
      </c>
      <c r="F16" s="17">
        <f t="shared" si="1"/>
        <v>80000</v>
      </c>
    </row>
    <row r="17" spans="1:6">
      <c r="A17" t="s">
        <v>661</v>
      </c>
      <c r="B17">
        <v>6586</v>
      </c>
      <c r="C17" t="s">
        <v>558</v>
      </c>
      <c r="D17" s="17">
        <v>10000</v>
      </c>
      <c r="E17" s="17">
        <f t="shared" si="0"/>
        <v>170000</v>
      </c>
      <c r="F17" s="17">
        <f t="shared" si="1"/>
        <v>70000</v>
      </c>
    </row>
    <row r="18" spans="1:6">
      <c r="A18" t="s">
        <v>662</v>
      </c>
      <c r="B18">
        <v>6960</v>
      </c>
      <c r="C18" t="s">
        <v>558</v>
      </c>
      <c r="D18" s="17">
        <v>10000</v>
      </c>
      <c r="E18" s="17">
        <f t="shared" si="0"/>
        <v>180000</v>
      </c>
      <c r="F18" s="17">
        <f t="shared" si="1"/>
        <v>60000</v>
      </c>
    </row>
    <row r="19" spans="1:6">
      <c r="A19" t="s">
        <v>663</v>
      </c>
      <c r="B19">
        <v>7807</v>
      </c>
      <c r="C19" t="s">
        <v>558</v>
      </c>
      <c r="D19" s="17">
        <v>10000</v>
      </c>
      <c r="E19" s="17">
        <f t="shared" si="0"/>
        <v>190000</v>
      </c>
      <c r="F19" s="17">
        <f t="shared" si="1"/>
        <v>50000</v>
      </c>
    </row>
    <row r="20" spans="1:6">
      <c r="A20" t="s">
        <v>664</v>
      </c>
      <c r="B20">
        <v>8350</v>
      </c>
      <c r="C20" t="s">
        <v>558</v>
      </c>
      <c r="D20" s="17">
        <v>10000</v>
      </c>
      <c r="E20" s="17">
        <f t="shared" si="0"/>
        <v>200000</v>
      </c>
      <c r="F20" s="17">
        <f t="shared" si="1"/>
        <v>40000</v>
      </c>
    </row>
    <row r="21" spans="1:6">
      <c r="A21" t="s">
        <v>665</v>
      </c>
      <c r="B21">
        <v>8902</v>
      </c>
      <c r="C21" t="s">
        <v>558</v>
      </c>
      <c r="D21" s="17">
        <v>10000</v>
      </c>
      <c r="E21" s="17">
        <f t="shared" si="0"/>
        <v>210000</v>
      </c>
      <c r="F21" s="17">
        <f t="shared" si="1"/>
        <v>30000</v>
      </c>
    </row>
    <row r="22" spans="1:6">
      <c r="A22" t="s">
        <v>666</v>
      </c>
      <c r="B22">
        <v>11285</v>
      </c>
      <c r="C22" t="s">
        <v>558</v>
      </c>
      <c r="D22" s="17">
        <v>10000</v>
      </c>
      <c r="E22" s="17">
        <f t="shared" si="0"/>
        <v>220000</v>
      </c>
      <c r="F22" s="17">
        <f t="shared" si="1"/>
        <v>20000</v>
      </c>
    </row>
    <row r="23" spans="1:6">
      <c r="A23" t="s">
        <v>667</v>
      </c>
      <c r="B23">
        <v>10352</v>
      </c>
      <c r="C23" t="s">
        <v>558</v>
      </c>
      <c r="D23" s="17">
        <v>10000</v>
      </c>
      <c r="E23" s="17">
        <f t="shared" si="0"/>
        <v>230000</v>
      </c>
      <c r="F23" s="17">
        <f t="shared" si="1"/>
        <v>10000</v>
      </c>
    </row>
    <row r="24" spans="1:6">
      <c r="A24" t="s">
        <v>668</v>
      </c>
      <c r="B24">
        <v>12429</v>
      </c>
      <c r="C24" t="s">
        <v>558</v>
      </c>
      <c r="D24" s="17">
        <v>5000</v>
      </c>
      <c r="E24" s="17">
        <f t="shared" si="0"/>
        <v>235000</v>
      </c>
      <c r="F24" s="17">
        <f t="shared" si="1"/>
        <v>5000</v>
      </c>
    </row>
    <row r="25" spans="1:6">
      <c r="A25" t="s">
        <v>669</v>
      </c>
      <c r="B25">
        <v>12975</v>
      </c>
      <c r="C25" t="s">
        <v>558</v>
      </c>
      <c r="D25" s="17">
        <v>5000</v>
      </c>
      <c r="E25" s="17">
        <f t="shared" si="0"/>
        <v>240000</v>
      </c>
      <c r="F25" s="17">
        <f t="shared" si="1"/>
        <v>0</v>
      </c>
    </row>
    <row r="28" spans="1:6">
      <c r="A28" t="s">
        <v>670</v>
      </c>
      <c r="B28">
        <v>1631</v>
      </c>
      <c r="C28" t="s">
        <v>524</v>
      </c>
      <c r="D28" s="17">
        <v>160000</v>
      </c>
      <c r="E28" s="17">
        <v>200000</v>
      </c>
      <c r="F28" t="s">
        <v>528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B45" sqref="B45"/>
    </sheetView>
  </sheetViews>
  <sheetFormatPr defaultRowHeight="14.5"/>
  <cols>
    <col min="3" max="3" width="13.54296875" customWidth="1"/>
  </cols>
  <sheetData>
    <row r="1" spans="1:6">
      <c r="A1" t="s">
        <v>707</v>
      </c>
      <c r="B1" t="s">
        <v>576</v>
      </c>
    </row>
    <row r="2" spans="1:6">
      <c r="A2" t="s">
        <v>533</v>
      </c>
      <c r="B2" t="s">
        <v>577</v>
      </c>
    </row>
    <row r="3" spans="1:6">
      <c r="A3" t="s">
        <v>538</v>
      </c>
      <c r="B3" t="s">
        <v>578</v>
      </c>
    </row>
    <row r="4" spans="1:6">
      <c r="A4" t="s">
        <v>562</v>
      </c>
      <c r="B4" t="s">
        <v>579</v>
      </c>
    </row>
    <row r="5" spans="1:6">
      <c r="A5" t="s">
        <v>563</v>
      </c>
      <c r="B5" t="s">
        <v>700</v>
      </c>
    </row>
    <row r="6" spans="1:6">
      <c r="A6" t="s">
        <v>540</v>
      </c>
      <c r="B6">
        <v>5673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701</v>
      </c>
      <c r="B9">
        <v>939</v>
      </c>
      <c r="C9" t="s">
        <v>558</v>
      </c>
      <c r="D9" s="17">
        <v>10000</v>
      </c>
      <c r="E9" s="17">
        <v>10000</v>
      </c>
      <c r="F9" s="17">
        <v>330000</v>
      </c>
    </row>
    <row r="10" spans="1:6">
      <c r="A10" t="s">
        <v>582</v>
      </c>
      <c r="B10">
        <v>2587</v>
      </c>
      <c r="C10" t="s">
        <v>613</v>
      </c>
      <c r="D10" s="17">
        <v>10000</v>
      </c>
      <c r="E10" s="17">
        <f t="shared" ref="E10:E39" si="0">E9+D10</f>
        <v>20000</v>
      </c>
      <c r="F10" s="17">
        <f t="shared" ref="F10:F37" si="1">F9-D10</f>
        <v>320000</v>
      </c>
    </row>
    <row r="11" spans="1:6">
      <c r="A11" t="s">
        <v>583</v>
      </c>
      <c r="B11">
        <v>2247</v>
      </c>
      <c r="C11" t="s">
        <v>558</v>
      </c>
      <c r="D11" s="17">
        <v>10000</v>
      </c>
      <c r="E11" s="17">
        <f t="shared" si="0"/>
        <v>30000</v>
      </c>
      <c r="F11" s="17">
        <f t="shared" si="1"/>
        <v>310000</v>
      </c>
    </row>
    <row r="12" spans="1:6">
      <c r="A12" t="s">
        <v>584</v>
      </c>
      <c r="B12">
        <v>1465</v>
      </c>
      <c r="C12" t="s">
        <v>558</v>
      </c>
      <c r="D12" s="17">
        <v>10000</v>
      </c>
      <c r="E12" s="17">
        <f t="shared" si="0"/>
        <v>40000</v>
      </c>
      <c r="F12" s="17">
        <f t="shared" si="1"/>
        <v>300000</v>
      </c>
    </row>
    <row r="13" spans="1:6">
      <c r="A13" t="s">
        <v>585</v>
      </c>
      <c r="B13">
        <v>2586</v>
      </c>
      <c r="C13" t="s">
        <v>558</v>
      </c>
      <c r="D13" s="17">
        <v>30000</v>
      </c>
      <c r="E13" s="17">
        <f t="shared" si="0"/>
        <v>70000</v>
      </c>
      <c r="F13" s="17">
        <f t="shared" si="1"/>
        <v>270000</v>
      </c>
    </row>
    <row r="14" spans="1:6">
      <c r="A14" t="s">
        <v>586</v>
      </c>
      <c r="B14">
        <v>248</v>
      </c>
      <c r="C14" t="s">
        <v>558</v>
      </c>
      <c r="D14" s="17">
        <v>10000</v>
      </c>
      <c r="E14" s="17">
        <f t="shared" si="0"/>
        <v>80000</v>
      </c>
      <c r="F14" s="17">
        <f t="shared" si="1"/>
        <v>260000</v>
      </c>
    </row>
    <row r="15" spans="1:6">
      <c r="A15" t="s">
        <v>587</v>
      </c>
      <c r="B15">
        <v>4267</v>
      </c>
      <c r="C15" t="s">
        <v>558</v>
      </c>
      <c r="D15" s="17">
        <v>10000</v>
      </c>
      <c r="E15" s="17">
        <f t="shared" si="0"/>
        <v>90000</v>
      </c>
      <c r="F15" s="17">
        <f t="shared" si="1"/>
        <v>250000</v>
      </c>
    </row>
    <row r="16" spans="1:6">
      <c r="A16" t="s">
        <v>588</v>
      </c>
      <c r="B16">
        <v>4792</v>
      </c>
      <c r="C16" t="s">
        <v>558</v>
      </c>
      <c r="D16" s="17">
        <v>10000</v>
      </c>
      <c r="E16" s="17">
        <f t="shared" si="0"/>
        <v>100000</v>
      </c>
      <c r="F16" s="17">
        <f t="shared" si="1"/>
        <v>240000</v>
      </c>
    </row>
    <row r="17" spans="1:6">
      <c r="A17" t="s">
        <v>589</v>
      </c>
      <c r="B17">
        <v>5396</v>
      </c>
      <c r="C17" t="s">
        <v>558</v>
      </c>
      <c r="D17" s="17">
        <v>10000</v>
      </c>
      <c r="E17" s="17">
        <f t="shared" si="0"/>
        <v>110000</v>
      </c>
      <c r="F17" s="17">
        <f t="shared" si="1"/>
        <v>230000</v>
      </c>
    </row>
    <row r="18" spans="1:6">
      <c r="A18" t="s">
        <v>590</v>
      </c>
      <c r="B18">
        <v>6298</v>
      </c>
      <c r="C18" t="s">
        <v>558</v>
      </c>
      <c r="D18" s="17">
        <v>10000</v>
      </c>
      <c r="E18" s="17">
        <f t="shared" si="0"/>
        <v>120000</v>
      </c>
      <c r="F18" s="17">
        <f t="shared" si="1"/>
        <v>220000</v>
      </c>
    </row>
    <row r="19" spans="1:6">
      <c r="A19" t="s">
        <v>591</v>
      </c>
      <c r="B19">
        <v>8122</v>
      </c>
      <c r="C19" t="s">
        <v>558</v>
      </c>
      <c r="D19" s="17">
        <v>20000</v>
      </c>
      <c r="E19" s="17">
        <f t="shared" si="0"/>
        <v>140000</v>
      </c>
      <c r="F19" s="17">
        <f t="shared" si="1"/>
        <v>200000</v>
      </c>
    </row>
    <row r="20" spans="1:6">
      <c r="A20" t="s">
        <v>592</v>
      </c>
      <c r="B20">
        <v>10620</v>
      </c>
      <c r="C20" t="s">
        <v>558</v>
      </c>
      <c r="D20" s="17">
        <v>10000</v>
      </c>
      <c r="E20" s="17">
        <f t="shared" si="0"/>
        <v>150000</v>
      </c>
      <c r="F20" s="17">
        <f t="shared" si="1"/>
        <v>190000</v>
      </c>
    </row>
    <row r="21" spans="1:6">
      <c r="A21" t="s">
        <v>593</v>
      </c>
      <c r="B21">
        <v>10620</v>
      </c>
      <c r="C21" t="s">
        <v>558</v>
      </c>
      <c r="D21" s="17">
        <v>10000</v>
      </c>
      <c r="E21" s="17">
        <f t="shared" si="0"/>
        <v>160000</v>
      </c>
      <c r="F21" s="17">
        <f t="shared" si="1"/>
        <v>180000</v>
      </c>
    </row>
    <row r="22" spans="1:6">
      <c r="A22" t="s">
        <v>594</v>
      </c>
      <c r="B22">
        <v>10620</v>
      </c>
      <c r="C22" t="s">
        <v>558</v>
      </c>
      <c r="D22" s="17">
        <v>10000</v>
      </c>
      <c r="E22" s="17">
        <f t="shared" si="0"/>
        <v>170000</v>
      </c>
      <c r="F22" s="17">
        <f t="shared" si="1"/>
        <v>170000</v>
      </c>
    </row>
    <row r="23" spans="1:6">
      <c r="A23" t="s">
        <v>595</v>
      </c>
      <c r="B23">
        <v>10620</v>
      </c>
      <c r="C23" t="s">
        <v>558</v>
      </c>
      <c r="D23" s="17">
        <v>10000</v>
      </c>
      <c r="E23" s="17">
        <f t="shared" si="0"/>
        <v>180000</v>
      </c>
      <c r="F23" s="17">
        <f t="shared" si="1"/>
        <v>160000</v>
      </c>
    </row>
    <row r="24" spans="1:6">
      <c r="A24" t="s">
        <v>702</v>
      </c>
      <c r="B24">
        <v>10620</v>
      </c>
      <c r="C24" t="s">
        <v>558</v>
      </c>
      <c r="D24" s="17">
        <v>10000</v>
      </c>
      <c r="E24" s="17">
        <f t="shared" si="0"/>
        <v>190000</v>
      </c>
      <c r="F24" s="17">
        <f t="shared" si="1"/>
        <v>150000</v>
      </c>
    </row>
    <row r="25" spans="1:6">
      <c r="A25" t="s">
        <v>597</v>
      </c>
      <c r="B25">
        <v>10620</v>
      </c>
      <c r="C25" t="s">
        <v>558</v>
      </c>
      <c r="D25" s="17">
        <v>10000</v>
      </c>
      <c r="E25" s="17">
        <f t="shared" si="0"/>
        <v>200000</v>
      </c>
      <c r="F25" s="17">
        <f t="shared" si="1"/>
        <v>140000</v>
      </c>
    </row>
    <row r="26" spans="1:6">
      <c r="A26" t="s">
        <v>598</v>
      </c>
      <c r="B26">
        <v>10620</v>
      </c>
      <c r="C26" t="s">
        <v>558</v>
      </c>
      <c r="D26" s="17">
        <v>10000</v>
      </c>
      <c r="E26" s="17">
        <f t="shared" si="0"/>
        <v>210000</v>
      </c>
      <c r="F26" s="17">
        <f t="shared" si="1"/>
        <v>130000</v>
      </c>
    </row>
    <row r="27" spans="1:6">
      <c r="A27" t="s">
        <v>599</v>
      </c>
      <c r="B27">
        <v>10621</v>
      </c>
      <c r="C27" t="s">
        <v>558</v>
      </c>
      <c r="D27" s="17">
        <v>10000</v>
      </c>
      <c r="E27" s="17">
        <f t="shared" si="0"/>
        <v>220000</v>
      </c>
      <c r="F27" s="17">
        <f t="shared" si="1"/>
        <v>120000</v>
      </c>
    </row>
    <row r="28" spans="1:6">
      <c r="A28" t="s">
        <v>600</v>
      </c>
      <c r="B28">
        <v>10621</v>
      </c>
      <c r="C28" t="s">
        <v>558</v>
      </c>
      <c r="D28" s="17">
        <v>10000</v>
      </c>
      <c r="E28" s="17">
        <f t="shared" si="0"/>
        <v>230000</v>
      </c>
      <c r="F28" s="17">
        <f t="shared" si="1"/>
        <v>110000</v>
      </c>
    </row>
    <row r="29" spans="1:6">
      <c r="A29" t="s">
        <v>601</v>
      </c>
      <c r="B29">
        <v>10621</v>
      </c>
      <c r="C29" t="s">
        <v>558</v>
      </c>
      <c r="D29" s="17">
        <v>10000</v>
      </c>
      <c r="E29" s="17">
        <f t="shared" si="0"/>
        <v>240000</v>
      </c>
      <c r="F29" s="17">
        <f t="shared" si="1"/>
        <v>100000</v>
      </c>
    </row>
    <row r="30" spans="1:6">
      <c r="A30" t="s">
        <v>602</v>
      </c>
      <c r="B30">
        <v>10621</v>
      </c>
      <c r="C30" t="s">
        <v>558</v>
      </c>
      <c r="D30" s="17">
        <v>10000</v>
      </c>
      <c r="E30" s="17">
        <f t="shared" si="0"/>
        <v>250000</v>
      </c>
      <c r="F30" s="17">
        <f t="shared" si="1"/>
        <v>90000</v>
      </c>
    </row>
    <row r="31" spans="1:6">
      <c r="A31" t="s">
        <v>603</v>
      </c>
      <c r="B31">
        <v>10616</v>
      </c>
      <c r="C31" t="s">
        <v>558</v>
      </c>
      <c r="D31" s="17">
        <v>10000</v>
      </c>
      <c r="E31" s="17">
        <f t="shared" si="0"/>
        <v>260000</v>
      </c>
      <c r="F31" s="17">
        <f t="shared" si="1"/>
        <v>80000</v>
      </c>
    </row>
    <row r="32" spans="1:6">
      <c r="A32" t="s">
        <v>604</v>
      </c>
      <c r="B32">
        <v>11807</v>
      </c>
      <c r="C32" t="s">
        <v>558</v>
      </c>
      <c r="D32" s="17">
        <v>10000</v>
      </c>
      <c r="E32" s="17">
        <f t="shared" si="0"/>
        <v>270000</v>
      </c>
      <c r="F32" s="17">
        <f t="shared" si="1"/>
        <v>70000</v>
      </c>
    </row>
    <row r="33" spans="1:6">
      <c r="A33" t="s">
        <v>605</v>
      </c>
      <c r="B33">
        <v>12894</v>
      </c>
      <c r="C33" t="s">
        <v>558</v>
      </c>
      <c r="D33" s="17">
        <v>10000</v>
      </c>
      <c r="E33" s="17">
        <f t="shared" si="0"/>
        <v>280000</v>
      </c>
      <c r="F33" s="17">
        <f t="shared" si="1"/>
        <v>60000</v>
      </c>
    </row>
    <row r="34" spans="1:6">
      <c r="A34" t="s">
        <v>606</v>
      </c>
      <c r="B34">
        <v>12998</v>
      </c>
      <c r="C34" t="s">
        <v>558</v>
      </c>
      <c r="D34" s="17">
        <v>10000</v>
      </c>
      <c r="E34" s="17">
        <f t="shared" si="0"/>
        <v>290000</v>
      </c>
      <c r="F34" s="17">
        <f t="shared" si="1"/>
        <v>50000</v>
      </c>
    </row>
    <row r="35" spans="1:6">
      <c r="A35" t="s">
        <v>607</v>
      </c>
      <c r="B35">
        <v>12764</v>
      </c>
      <c r="C35" t="s">
        <v>558</v>
      </c>
      <c r="D35" s="17">
        <v>10000</v>
      </c>
      <c r="E35" s="17">
        <f t="shared" si="0"/>
        <v>300000</v>
      </c>
      <c r="F35" s="17">
        <f t="shared" si="1"/>
        <v>40000</v>
      </c>
    </row>
    <row r="36" spans="1:6">
      <c r="A36" t="s">
        <v>608</v>
      </c>
      <c r="B36">
        <v>13686</v>
      </c>
      <c r="C36" t="s">
        <v>558</v>
      </c>
      <c r="D36" s="17">
        <v>10000</v>
      </c>
      <c r="E36" s="17">
        <f t="shared" si="0"/>
        <v>310000</v>
      </c>
      <c r="F36" s="17">
        <f t="shared" si="1"/>
        <v>30000</v>
      </c>
    </row>
    <row r="37" spans="1:6">
      <c r="A37" t="s">
        <v>609</v>
      </c>
      <c r="B37">
        <v>13025</v>
      </c>
      <c r="C37" t="s">
        <v>558</v>
      </c>
      <c r="D37" s="17">
        <v>10000</v>
      </c>
      <c r="E37" s="17">
        <f t="shared" si="0"/>
        <v>320000</v>
      </c>
      <c r="F37" s="17">
        <f t="shared" si="1"/>
        <v>20000</v>
      </c>
    </row>
    <row r="38" spans="1:6">
      <c r="A38" t="s">
        <v>610</v>
      </c>
      <c r="B38">
        <v>12626</v>
      </c>
      <c r="C38" t="s">
        <v>558</v>
      </c>
      <c r="D38" s="17">
        <v>10000</v>
      </c>
      <c r="E38" s="17">
        <f t="shared" si="0"/>
        <v>330000</v>
      </c>
      <c r="F38" s="17">
        <f>F37-D38</f>
        <v>10000</v>
      </c>
    </row>
    <row r="39" spans="1:6">
      <c r="A39" t="s">
        <v>611</v>
      </c>
      <c r="B39">
        <v>12638</v>
      </c>
      <c r="C39" t="s">
        <v>558</v>
      </c>
      <c r="D39" s="17">
        <v>10000</v>
      </c>
      <c r="E39" s="17">
        <f t="shared" si="0"/>
        <v>340000</v>
      </c>
      <c r="F39" t="s">
        <v>339</v>
      </c>
    </row>
    <row r="40" spans="1:6">
      <c r="A40" t="s">
        <v>612</v>
      </c>
      <c r="B40">
        <v>711</v>
      </c>
      <c r="C40" t="s">
        <v>703</v>
      </c>
      <c r="D40" s="17">
        <v>110000</v>
      </c>
      <c r="E40" s="17">
        <f>E39+D40</f>
        <v>450000</v>
      </c>
    </row>
    <row r="42" spans="1:6" ht="18.5">
      <c r="A42" s="1" t="s">
        <v>736</v>
      </c>
      <c r="B42" s="1"/>
    </row>
    <row r="43" spans="1:6">
      <c r="A43" s="12" t="s">
        <v>737</v>
      </c>
      <c r="B43" s="12">
        <v>1961</v>
      </c>
      <c r="C43" s="12" t="s">
        <v>738</v>
      </c>
      <c r="D43" s="14">
        <v>100000</v>
      </c>
      <c r="E43" s="14">
        <v>260000</v>
      </c>
      <c r="F43" s="12" t="s">
        <v>339</v>
      </c>
    </row>
    <row r="44" spans="1:6">
      <c r="D44" s="17"/>
      <c r="E44" s="17"/>
      <c r="F44" s="17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I14" sqref="I14"/>
    </sheetView>
  </sheetViews>
  <sheetFormatPr defaultRowHeight="14.5"/>
  <cols>
    <col min="3" max="3" width="12.36328125" customWidth="1"/>
    <col min="4" max="4" width="11" customWidth="1"/>
    <col min="5" max="5" width="10.36328125" customWidth="1"/>
    <col min="6" max="6" width="11.7265625" customWidth="1"/>
  </cols>
  <sheetData>
    <row r="1" spans="1:6">
      <c r="A1" t="s">
        <v>707</v>
      </c>
      <c r="B1" t="s">
        <v>708</v>
      </c>
    </row>
    <row r="2" spans="1:6">
      <c r="A2" t="s">
        <v>533</v>
      </c>
      <c r="B2" t="s">
        <v>709</v>
      </c>
    </row>
    <row r="3" spans="1:6">
      <c r="A3" t="s">
        <v>538</v>
      </c>
      <c r="B3" t="s">
        <v>710</v>
      </c>
    </row>
    <row r="4" spans="1:6">
      <c r="A4" t="s">
        <v>562</v>
      </c>
      <c r="B4" t="s">
        <v>711</v>
      </c>
    </row>
    <row r="5" spans="1:6">
      <c r="A5" t="s">
        <v>563</v>
      </c>
      <c r="B5" t="s">
        <v>712</v>
      </c>
    </row>
    <row r="6" spans="1:6">
      <c r="A6" t="s">
        <v>540</v>
      </c>
      <c r="B6" t="s">
        <v>713</v>
      </c>
    </row>
    <row r="8" spans="1:6">
      <c r="A8" s="8" t="s">
        <v>3</v>
      </c>
      <c r="B8" s="7" t="s">
        <v>4</v>
      </c>
      <c r="C8" s="7" t="s">
        <v>5</v>
      </c>
      <c r="D8" s="7" t="s">
        <v>6</v>
      </c>
      <c r="E8" s="7" t="s">
        <v>7</v>
      </c>
      <c r="F8" s="7" t="s">
        <v>8</v>
      </c>
    </row>
    <row r="9" spans="1:6">
      <c r="A9" t="s">
        <v>714</v>
      </c>
      <c r="B9">
        <v>864</v>
      </c>
      <c r="C9" t="s">
        <v>715</v>
      </c>
      <c r="D9">
        <v>5000</v>
      </c>
      <c r="E9">
        <v>5000</v>
      </c>
      <c r="F9" s="17">
        <v>795000</v>
      </c>
    </row>
    <row r="10" spans="1:6">
      <c r="A10" t="s">
        <v>716</v>
      </c>
      <c r="B10">
        <v>13471</v>
      </c>
      <c r="C10" t="s">
        <v>703</v>
      </c>
      <c r="D10">
        <v>145000</v>
      </c>
      <c r="E10" s="17">
        <v>150000</v>
      </c>
      <c r="F10" s="17">
        <v>650000</v>
      </c>
    </row>
    <row r="11" spans="1:6">
      <c r="A11" t="s">
        <v>717</v>
      </c>
      <c r="B11">
        <v>13692</v>
      </c>
      <c r="C11" t="s">
        <v>638</v>
      </c>
      <c r="D11" s="17">
        <v>10000</v>
      </c>
      <c r="E11" s="17">
        <f>E10+D11</f>
        <v>160000</v>
      </c>
      <c r="F11" s="17">
        <f>F10-D11</f>
        <v>640000</v>
      </c>
    </row>
    <row r="12" spans="1:6">
      <c r="A12" t="s">
        <v>718</v>
      </c>
      <c r="B12">
        <v>1606</v>
      </c>
      <c r="C12" t="s">
        <v>638</v>
      </c>
      <c r="D12" s="17">
        <v>10000</v>
      </c>
      <c r="E12" s="17">
        <f>E11+D12</f>
        <v>170000</v>
      </c>
      <c r="F12" s="17">
        <f>F11-D12</f>
        <v>630000</v>
      </c>
    </row>
    <row r="13" spans="1:6">
      <c r="A13" t="s">
        <v>779</v>
      </c>
      <c r="B13">
        <v>1860</v>
      </c>
      <c r="C13" t="s">
        <v>780</v>
      </c>
      <c r="D13" s="17">
        <v>10000</v>
      </c>
      <c r="E13" s="17">
        <f>E12+D13</f>
        <v>180000</v>
      </c>
      <c r="F13" s="17">
        <f>F12-D13</f>
        <v>620000</v>
      </c>
    </row>
  </sheetData>
  <pageMargins left="0.7" right="0.7" top="0.75" bottom="0.75" header="0.3" footer="0.3"/>
  <pageSetup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K8" sqref="K8"/>
    </sheetView>
  </sheetViews>
  <sheetFormatPr defaultRowHeight="14.5"/>
  <cols>
    <col min="2" max="2" width="7.26953125" customWidth="1"/>
    <col min="3" max="3" width="10.08984375" customWidth="1"/>
    <col min="4" max="4" width="11" customWidth="1"/>
    <col min="6" max="6" width="11.453125" customWidth="1"/>
  </cols>
  <sheetData>
    <row r="1" spans="1:6" ht="18.5">
      <c r="A1" s="1" t="s">
        <v>783</v>
      </c>
      <c r="B1" s="1"/>
      <c r="C1" s="1"/>
      <c r="D1" s="1"/>
      <c r="E1" s="1"/>
    </row>
    <row r="2" spans="1:6" ht="18.5">
      <c r="A2" s="1" t="s">
        <v>784</v>
      </c>
      <c r="B2" s="1"/>
      <c r="C2" s="1"/>
      <c r="D2" s="1"/>
      <c r="E2" s="1"/>
    </row>
    <row r="3" spans="1:6" ht="18.5">
      <c r="A3" s="1" t="s">
        <v>785</v>
      </c>
      <c r="B3" s="1"/>
      <c r="C3" s="1"/>
      <c r="D3" s="1"/>
      <c r="E3" s="1"/>
    </row>
    <row r="4" spans="1:6" ht="18.5">
      <c r="A4" s="1" t="s">
        <v>786</v>
      </c>
      <c r="B4" s="1"/>
      <c r="C4" s="1"/>
      <c r="D4" s="1"/>
      <c r="E4" s="1"/>
    </row>
    <row r="5" spans="1:6" ht="18.5">
      <c r="A5" s="1" t="s">
        <v>617</v>
      </c>
      <c r="B5" s="1"/>
      <c r="C5" s="1"/>
      <c r="D5" s="1"/>
      <c r="E5" s="1"/>
    </row>
    <row r="6" spans="1:6" ht="18.5">
      <c r="A6" s="1" t="s">
        <v>782</v>
      </c>
      <c r="B6" s="1"/>
      <c r="C6" s="1" t="s">
        <v>773</v>
      </c>
      <c r="E6" s="41"/>
    </row>
    <row r="8" spans="1:6">
      <c r="A8" s="57" t="s">
        <v>3</v>
      </c>
      <c r="B8" s="58" t="s">
        <v>4</v>
      </c>
      <c r="C8" s="58" t="s">
        <v>5</v>
      </c>
      <c r="D8" s="58" t="s">
        <v>6</v>
      </c>
      <c r="E8" s="58" t="s">
        <v>7</v>
      </c>
      <c r="F8" s="58" t="s">
        <v>8</v>
      </c>
    </row>
    <row r="9" spans="1:6">
      <c r="A9" s="12" t="s">
        <v>787</v>
      </c>
      <c r="B9" s="12">
        <v>1871</v>
      </c>
      <c r="C9" s="12" t="s">
        <v>788</v>
      </c>
      <c r="D9" s="14">
        <v>70000</v>
      </c>
      <c r="E9" s="14">
        <v>70000</v>
      </c>
      <c r="F9" s="14">
        <v>730000</v>
      </c>
    </row>
    <row r="11" spans="1:6">
      <c r="F11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L-5608</vt:lpstr>
      <vt:lpstr>L-5609</vt:lpstr>
      <vt:lpstr>L-5610</vt:lpstr>
      <vt:lpstr>L-5616</vt:lpstr>
      <vt:lpstr>L-5617</vt:lpstr>
      <vt:lpstr>L-5630</vt:lpstr>
      <vt:lpstr>L-5619</vt:lpstr>
      <vt:lpstr>L-5631</vt:lpstr>
      <vt:lpstr>L-5632</vt:lpstr>
      <vt:lpstr>L-5684</vt:lpstr>
      <vt:lpstr>L-5634</vt:lpstr>
      <vt:lpstr>L-5612</vt:lpstr>
      <vt:lpstr>L-5640</vt:lpstr>
      <vt:lpstr>L-5642</vt:lpstr>
      <vt:lpstr>L-5681</vt:lpstr>
      <vt:lpstr>L-5688</vt:lpstr>
      <vt:lpstr>L-5699</vt:lpstr>
      <vt:lpstr>L-5696</vt:lpstr>
      <vt:lpstr>L-5697</vt:lpstr>
      <vt:lpstr>L-5641</vt:lpstr>
      <vt:lpstr>L-5618</vt:lpstr>
      <vt:lpstr>L-5622</vt:lpstr>
      <vt:lpstr>L-5626</vt:lpstr>
      <vt:lpstr>L-5685</vt:lpstr>
      <vt:lpstr>L-5689</vt:lpstr>
      <vt:lpstr>L-5680</vt:lpstr>
      <vt:lpstr>L-5625</vt:lpstr>
      <vt:lpstr>L-5690</vt:lpstr>
      <vt:lpstr>L-5613</vt:lpstr>
      <vt:lpstr>L-5679</vt:lpstr>
      <vt:lpstr>L-5676</vt:lpstr>
      <vt:lpstr>L-5677</vt:lpstr>
      <vt:lpstr>L-5620</vt:lpstr>
      <vt:lpstr>L-5686</vt:lpstr>
      <vt:lpstr>L-5671</vt:lpstr>
      <vt:lpstr>L-5669</vt:lpstr>
      <vt:lpstr>L-5678</vt:lpstr>
      <vt:lpstr>L-5633</vt:lpstr>
      <vt:lpstr>L-5614</vt:lpstr>
      <vt:lpstr>L-5639</vt:lpstr>
      <vt:lpstr>L-5672</vt:lpstr>
      <vt:lpstr>L-5615</vt:lpstr>
      <vt:lpstr>L-5635</vt:lpstr>
      <vt:lpstr>L-5694</vt:lpstr>
      <vt:lpstr>L-5695</vt:lpstr>
      <vt:lpstr>L-5621</vt:lpstr>
      <vt:lpstr>L-5673</vt:lpstr>
      <vt:lpstr>L-5624</vt:lpstr>
      <vt:lpstr>L-5687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cp:lastPrinted>2026-07-30T04:33:44Z</cp:lastPrinted>
  <dcterms:created xsi:type="dcterms:W3CDTF">2026-02-22T00:49:18Z</dcterms:created>
  <dcterms:modified xsi:type="dcterms:W3CDTF">2026-10-08T10:18:18Z</dcterms:modified>
</cp:coreProperties>
</file>