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-5001-6000\"/>
    </mc:Choice>
  </mc:AlternateContent>
  <bookViews>
    <workbookView xWindow="0" yWindow="0" windowWidth="19200" windowHeight="10200" firstSheet="15" activeTab="15"/>
  </bookViews>
  <sheets>
    <sheet name="L-5201" sheetId="33" r:id="rId1"/>
    <sheet name="L-5204" sheetId="4" r:id="rId2"/>
    <sheet name="L-5205" sheetId="5" r:id="rId3"/>
    <sheet name="L-5206" sheetId="27" r:id="rId4"/>
    <sheet name="L-5209" sheetId="23" r:id="rId5"/>
    <sheet name="L-5280" sheetId="34" r:id="rId6"/>
    <sheet name="L5219" sheetId="10" r:id="rId7"/>
    <sheet name="L-5216" sheetId="31" r:id="rId8"/>
    <sheet name="L-5215" sheetId="45" r:id="rId9"/>
    <sheet name="L-5221" sheetId="24" r:id="rId10"/>
    <sheet name="L-5225" sheetId="20" r:id="rId11"/>
    <sheet name="L-5226" sheetId="25" r:id="rId12"/>
    <sheet name="L-5227" sheetId="26" r:id="rId13"/>
    <sheet name="L-5241" sheetId="29" r:id="rId14"/>
    <sheet name="L-5242" sheetId="35" r:id="rId15"/>
    <sheet name="L-5248" sheetId="18" r:id="rId16"/>
    <sheet name="L-5249" sheetId="19" r:id="rId17"/>
    <sheet name="L-5251" sheetId="30" r:id="rId18"/>
    <sheet name="L-5253" sheetId="8" r:id="rId19"/>
    <sheet name="L-5254" sheetId="9" r:id="rId20"/>
    <sheet name="L-5261" sheetId="2" r:id="rId21"/>
    <sheet name="L-5262" sheetId="1" r:id="rId22"/>
    <sheet name="L-5268" sheetId="16" r:id="rId23"/>
    <sheet name="L-5269" sheetId="15" r:id="rId24"/>
    <sheet name="L-5270" sheetId="14" r:id="rId25"/>
    <sheet name="L-5273" sheetId="6" r:id="rId26"/>
    <sheet name="L-5272" sheetId="44" r:id="rId27"/>
    <sheet name="L-5274" sheetId="32" r:id="rId28"/>
    <sheet name="L-5277" sheetId="41" r:id="rId29"/>
    <sheet name="L-5278" sheetId="42" r:id="rId30"/>
    <sheet name="L-5279" sheetId="3" r:id="rId31"/>
    <sheet name="L" sheetId="39" r:id="rId32"/>
    <sheet name="L-5286" sheetId="17" r:id="rId33"/>
    <sheet name="L-5289" sheetId="22" r:id="rId34"/>
    <sheet name="L-5290" sheetId="21" r:id="rId35"/>
    <sheet name="L-5293" sheetId="7" r:id="rId36"/>
    <sheet name="L-5292" sheetId="36" r:id="rId37"/>
    <sheet name="L-5296" sheetId="11" r:id="rId38"/>
    <sheet name="L-5297" sheetId="12" r:id="rId39"/>
    <sheet name="L-5298" sheetId="13" r:id="rId40"/>
    <sheet name="L-5299" sheetId="28" r:id="rId41"/>
    <sheet name="L-5294" sheetId="37" r:id="rId42"/>
    <sheet name="L-5295" sheetId="38" r:id="rId43"/>
    <sheet name="L-5207" sheetId="40" r:id="rId44"/>
    <sheet name="Sheet1" sheetId="43" r:id="rId4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8" l="1"/>
  <c r="E47" i="18"/>
  <c r="F47" i="19"/>
  <c r="E47" i="19"/>
  <c r="F39" i="20" l="1"/>
  <c r="E39" i="20"/>
  <c r="E17" i="11" l="1"/>
  <c r="E18" i="11" s="1"/>
  <c r="F13" i="31" l="1"/>
  <c r="F14" i="31" s="1"/>
  <c r="F15" i="31" s="1"/>
  <c r="F16" i="31" s="1"/>
  <c r="E13" i="31"/>
  <c r="E14" i="31" s="1"/>
  <c r="E15" i="31" s="1"/>
  <c r="E16" i="31" s="1"/>
  <c r="F31" i="35"/>
  <c r="F32" i="35" s="1"/>
  <c r="F33" i="35" s="1"/>
  <c r="E31" i="35"/>
  <c r="E32" i="35" s="1"/>
  <c r="E33" i="35" s="1"/>
  <c r="F30" i="35"/>
  <c r="E30" i="35"/>
  <c r="F10" i="42"/>
  <c r="F11" i="42" s="1"/>
  <c r="F12" i="42" s="1"/>
  <c r="F13" i="42" s="1"/>
  <c r="F14" i="42" s="1"/>
  <c r="F15" i="42" s="1"/>
  <c r="F16" i="42" s="1"/>
  <c r="F17" i="42" s="1"/>
  <c r="F18" i="42" s="1"/>
  <c r="F19" i="42" s="1"/>
  <c r="F20" i="42" s="1"/>
  <c r="F21" i="42" s="1"/>
  <c r="F22" i="42" s="1"/>
  <c r="F23" i="42" s="1"/>
  <c r="F24" i="42" s="1"/>
  <c r="F25" i="42" s="1"/>
  <c r="F26" i="42" s="1"/>
  <c r="F27" i="42" s="1"/>
  <c r="F28" i="42" s="1"/>
  <c r="F29" i="42" s="1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E10" i="42"/>
  <c r="E11" i="42" s="1"/>
  <c r="E12" i="42" s="1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F10" i="4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F42" i="41" s="1"/>
  <c r="E10" i="4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F10" i="40"/>
  <c r="F11" i="40" s="1"/>
  <c r="F12" i="40" s="1"/>
  <c r="F13" i="40" s="1"/>
  <c r="F14" i="40" s="1"/>
  <c r="F15" i="40" s="1"/>
  <c r="F16" i="40" s="1"/>
  <c r="F17" i="40" s="1"/>
  <c r="F18" i="40" s="1"/>
  <c r="F19" i="40" s="1"/>
  <c r="F20" i="40" s="1"/>
  <c r="F21" i="40" s="1"/>
  <c r="F22" i="40" s="1"/>
  <c r="F23" i="40" s="1"/>
  <c r="F24" i="40" s="1"/>
  <c r="F25" i="40" s="1"/>
  <c r="F26" i="40" s="1"/>
  <c r="F27" i="40" s="1"/>
  <c r="F28" i="40" s="1"/>
  <c r="F29" i="40" s="1"/>
  <c r="F30" i="40" s="1"/>
  <c r="F31" i="40" s="1"/>
  <c r="E10" i="40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F10" i="38" l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E10" i="38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F10" i="37"/>
  <c r="F11" i="37" s="1"/>
  <c r="F12" i="37" s="1"/>
  <c r="F13" i="37" s="1"/>
  <c r="F14" i="37" s="1"/>
  <c r="F15" i="37" s="1"/>
  <c r="F16" i="37" s="1"/>
  <c r="F17" i="37" s="1"/>
  <c r="F18" i="37" s="1"/>
  <c r="F19" i="37" s="1"/>
  <c r="F20" i="37" s="1"/>
  <c r="F21" i="37" s="1"/>
  <c r="F22" i="37" s="1"/>
  <c r="F23" i="37" s="1"/>
  <c r="E10" i="37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F9" i="36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F39" i="36" s="1"/>
  <c r="F40" i="36" s="1"/>
  <c r="E9" i="36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10" i="35"/>
  <c r="E11" i="35" s="1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F9" i="35"/>
  <c r="F10" i="35" s="1"/>
  <c r="F11" i="35" s="1"/>
  <c r="F12" i="35" s="1"/>
  <c r="F13" i="35" s="1"/>
  <c r="F14" i="35" s="1"/>
  <c r="F15" i="35" s="1"/>
  <c r="F16" i="35" s="1"/>
  <c r="F17" i="35" s="1"/>
  <c r="F18" i="35" s="1"/>
  <c r="F19" i="35" s="1"/>
  <c r="F20" i="35" s="1"/>
  <c r="F21" i="35" s="1"/>
  <c r="F22" i="35" s="1"/>
  <c r="F23" i="35" s="1"/>
  <c r="F24" i="35" s="1"/>
  <c r="F25" i="35" s="1"/>
  <c r="F26" i="35" s="1"/>
  <c r="E9" i="35"/>
  <c r="F16" i="34" l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E16" i="34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F9" i="32"/>
  <c r="E9" i="32"/>
  <c r="F10" i="29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F25" i="29" s="1"/>
  <c r="F9" i="29"/>
  <c r="E9" i="29"/>
  <c r="E10" i="29" s="1"/>
  <c r="E11" i="29" s="1"/>
  <c r="E12" i="29" s="1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F11" i="3"/>
  <c r="F12" i="3" s="1"/>
  <c r="F13" i="3" s="1"/>
  <c r="F14" i="3" s="1"/>
  <c r="F15" i="3" s="1"/>
  <c r="E11" i="3"/>
  <c r="E12" i="3" s="1"/>
  <c r="E13" i="3" s="1"/>
  <c r="E14" i="3" s="1"/>
  <c r="E15" i="3" s="1"/>
  <c r="F9" i="28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F37" i="28" s="1"/>
  <c r="F38" i="28" s="1"/>
  <c r="F39" i="28" s="1"/>
  <c r="F40" i="28" s="1"/>
  <c r="F41" i="28" s="1"/>
  <c r="F42" i="28" s="1"/>
  <c r="F43" i="28" s="1"/>
  <c r="F44" i="28" s="1"/>
  <c r="F45" i="28" s="1"/>
  <c r="F46" i="28" s="1"/>
  <c r="E9" i="28"/>
  <c r="E10" i="28" s="1"/>
  <c r="E11" i="28" s="1"/>
  <c r="E12" i="28" s="1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F12" i="11"/>
  <c r="F13" i="11" s="1"/>
  <c r="F14" i="11" s="1"/>
  <c r="F15" i="11" s="1"/>
  <c r="F16" i="11" s="1"/>
  <c r="F17" i="11" s="1"/>
  <c r="F18" i="11" s="1"/>
  <c r="E12" i="11"/>
  <c r="E13" i="11" s="1"/>
  <c r="E14" i="11" s="1"/>
  <c r="E15" i="11" s="1"/>
  <c r="F9" i="30"/>
  <c r="F10" i="30" s="1"/>
  <c r="F11" i="30" s="1"/>
  <c r="F12" i="30" s="1"/>
  <c r="F13" i="30" s="1"/>
  <c r="F14" i="30" s="1"/>
  <c r="F15" i="30" s="1"/>
  <c r="F16" i="30" s="1"/>
  <c r="E9" i="30"/>
  <c r="E10" i="30" s="1"/>
  <c r="E11" i="30" s="1"/>
  <c r="E12" i="30" s="1"/>
  <c r="E13" i="30" s="1"/>
  <c r="E14" i="30" s="1"/>
  <c r="E15" i="30" s="1"/>
  <c r="E16" i="30" s="1"/>
  <c r="E10" i="27"/>
  <c r="E11" i="27" s="1"/>
  <c r="E12" i="27" s="1"/>
  <c r="E13" i="27" s="1"/>
  <c r="F9" i="27"/>
  <c r="F10" i="27" s="1"/>
  <c r="F11" i="27" s="1"/>
  <c r="F12" i="27" s="1"/>
  <c r="F13" i="27" s="1"/>
  <c r="E9" i="27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10" i="25"/>
  <c r="E11" i="25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F9" i="25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44" i="25" s="1"/>
  <c r="F45" i="25" s="1"/>
  <c r="F46" i="25" s="1"/>
  <c r="E9" i="25"/>
  <c r="E10" i="24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F9" i="24"/>
  <c r="F10" i="24" s="1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E9" i="24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E9" i="23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10" i="22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E9" i="22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E9" i="2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F9" i="20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E9" i="20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F9" i="19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E9" i="19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F9" i="18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E9" i="18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F9" i="17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E9" i="17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F9" i="16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E9" i="16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F9" i="15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E9" i="15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E9" i="14"/>
  <c r="E9" i="13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E10" i="12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F9" i="12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E9" i="12"/>
  <c r="F8" i="10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E8" i="10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F9" i="9"/>
  <c r="F10" i="9" s="1"/>
  <c r="F11" i="9" s="1"/>
  <c r="F12" i="9" s="1"/>
  <c r="F13" i="9" s="1"/>
  <c r="F14" i="9" s="1"/>
  <c r="E9" i="9"/>
  <c r="E10" i="9" s="1"/>
  <c r="E11" i="9" s="1"/>
  <c r="E12" i="9" s="1"/>
  <c r="E13" i="9" s="1"/>
  <c r="E14" i="9" s="1"/>
  <c r="F9" i="8"/>
  <c r="F10" i="8" s="1"/>
  <c r="F11" i="8" s="1"/>
  <c r="F12" i="8" s="1"/>
  <c r="F13" i="8" s="1"/>
  <c r="F14" i="8" s="1"/>
  <c r="F15" i="8" s="1"/>
  <c r="E9" i="8"/>
  <c r="E10" i="8" s="1"/>
  <c r="E11" i="8" s="1"/>
  <c r="E12" i="8" s="1"/>
  <c r="E13" i="8" s="1"/>
  <c r="E14" i="8" s="1"/>
  <c r="E15" i="8" s="1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F9" i="6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E9" i="6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9" i="4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</calcChain>
</file>

<file path=xl/sharedStrings.xml><?xml version="1.0" encoding="utf-8"?>
<sst xmlns="http://schemas.openxmlformats.org/spreadsheetml/2006/main" count="2191" uniqueCount="660">
  <si>
    <t>Name : Adnan Anwar</t>
  </si>
  <si>
    <t>Father Name : Anwar Hussain</t>
  </si>
  <si>
    <t>CNIC # 42401-0409661-7</t>
  </si>
  <si>
    <t>Contact # 03463557631</t>
  </si>
  <si>
    <t>Plot No : L-5262</t>
  </si>
  <si>
    <t>Cost : 550,000</t>
  </si>
  <si>
    <t>Date</t>
  </si>
  <si>
    <t>R.NO</t>
  </si>
  <si>
    <t>Description</t>
  </si>
  <si>
    <t>Amount Rec</t>
  </si>
  <si>
    <t>Total Rec</t>
  </si>
  <si>
    <t>Amount Due</t>
  </si>
  <si>
    <t>Adj Reh</t>
  </si>
  <si>
    <t>13/8/2022</t>
  </si>
  <si>
    <t>Instalment</t>
  </si>
  <si>
    <t>19/9/2022</t>
  </si>
  <si>
    <t>22/7/2023</t>
  </si>
  <si>
    <t>17/8/2023</t>
  </si>
  <si>
    <t>23/9/2023</t>
  </si>
  <si>
    <t>17/10/2023</t>
  </si>
  <si>
    <t>20/12/2023</t>
  </si>
  <si>
    <t>17/1/2024</t>
  </si>
  <si>
    <t>14/2/2024</t>
  </si>
  <si>
    <t>14/3/2024</t>
  </si>
  <si>
    <t>17/4/2024</t>
  </si>
  <si>
    <t>20/5/2024</t>
  </si>
  <si>
    <t>13/10/2024</t>
  </si>
  <si>
    <t>6//1/2025</t>
  </si>
  <si>
    <t>13/3/2025</t>
  </si>
  <si>
    <t>Name : Asghar Zaman</t>
  </si>
  <si>
    <t>Father Name : Qalunder khan</t>
  </si>
  <si>
    <t>CNIC # 42401-4443374-7</t>
  </si>
  <si>
    <t>Contact # 03130030408</t>
  </si>
  <si>
    <t>Plot No : L-5261</t>
  </si>
  <si>
    <t>Cost : 650,000</t>
  </si>
  <si>
    <t>Adj Rehman</t>
  </si>
  <si>
    <t>26/10/2022</t>
  </si>
  <si>
    <t>Name : Saira</t>
  </si>
  <si>
    <t>Father Name : Muhammad Irshad</t>
  </si>
  <si>
    <t>CNIC # 41304-1258940-6</t>
  </si>
  <si>
    <t>Contact # 03102021700</t>
  </si>
  <si>
    <t>Plot No : L-5279</t>
  </si>
  <si>
    <t>Cost :750,000</t>
  </si>
  <si>
    <t>Token</t>
  </si>
  <si>
    <t>Booking</t>
  </si>
  <si>
    <t>Name : Faima Moin</t>
  </si>
  <si>
    <t>Father Name : Muhammad Moinuddin</t>
  </si>
  <si>
    <t>CNIC # 42401-0529151-0</t>
  </si>
  <si>
    <t>Contact # 03142147050</t>
  </si>
  <si>
    <t>Plot No : L-5204</t>
  </si>
  <si>
    <t>30/10/2022</t>
  </si>
  <si>
    <t>Adj</t>
  </si>
  <si>
    <t>instalment</t>
  </si>
  <si>
    <t>Name : Nosheen Zoya</t>
  </si>
  <si>
    <t>Father Name : Muhammad Zafar</t>
  </si>
  <si>
    <t>CNIC # 42301-0815992</t>
  </si>
  <si>
    <t>Plot No : L-5205</t>
  </si>
  <si>
    <t>Name : Shama</t>
  </si>
  <si>
    <t>Father Name : Aijaz Mahmood</t>
  </si>
  <si>
    <t>CNIC # 42201-5814121-0</t>
  </si>
  <si>
    <t>Contact # 0315-8090252</t>
  </si>
  <si>
    <t>Plot No : L-5273</t>
  </si>
  <si>
    <t>Cost : 700,000</t>
  </si>
  <si>
    <t>7/1/2025 -12/1/2025</t>
  </si>
  <si>
    <t>805- 806</t>
  </si>
  <si>
    <t>Token Adj</t>
  </si>
  <si>
    <t>26/1/2025</t>
  </si>
  <si>
    <t>Res Booking</t>
  </si>
  <si>
    <t>Name : Aziz Mai</t>
  </si>
  <si>
    <t>Father Name : Abdul Razaq</t>
  </si>
  <si>
    <t>CNIC # 12105-0573220-2</t>
  </si>
  <si>
    <t>Contact # 0343-3226467</t>
  </si>
  <si>
    <t>Plot No : L-5293</t>
  </si>
  <si>
    <t>25/4/2024</t>
  </si>
  <si>
    <t>21/5/2024</t>
  </si>
  <si>
    <t>26/6/2024</t>
  </si>
  <si>
    <t>Payment</t>
  </si>
  <si>
    <t>22/10/2024</t>
  </si>
  <si>
    <t>14/2/2025</t>
  </si>
  <si>
    <t>16/3/2025</t>
  </si>
  <si>
    <t>18/4/2025</t>
  </si>
  <si>
    <t>15/10/2025</t>
  </si>
  <si>
    <t>30/11/2025</t>
  </si>
  <si>
    <t>18/1/2026</t>
  </si>
  <si>
    <t>Name : Muhammad Riaz</t>
  </si>
  <si>
    <t>Father Name : Allah Duita</t>
  </si>
  <si>
    <t>CNIC # 45403-8977918-7</t>
  </si>
  <si>
    <t>Contact # 03003744045</t>
  </si>
  <si>
    <t>Plot No : L-5253</t>
  </si>
  <si>
    <t>Cost : 750,000</t>
  </si>
  <si>
    <t>Name : Khuram Shahzad</t>
  </si>
  <si>
    <t>Father Name : Muhammad Tasawer</t>
  </si>
  <si>
    <t>CNIC # 35301-4521518-5</t>
  </si>
  <si>
    <t>Contact # 03012609717</t>
  </si>
  <si>
    <t>Plot No : L-5254</t>
  </si>
  <si>
    <t>CNIC # 42401-6503888-1</t>
  </si>
  <si>
    <t>Name : Khuram Javed</t>
  </si>
  <si>
    <t xml:space="preserve">Father Name : </t>
  </si>
  <si>
    <t>Contact # 03322510926</t>
  </si>
  <si>
    <t>Plot No : L-5219</t>
  </si>
  <si>
    <t>Cost : 500,000</t>
  </si>
  <si>
    <t>14/6/2023</t>
  </si>
  <si>
    <t>26/7/2023</t>
  </si>
  <si>
    <t>Name : Syed Kashif Ahmed</t>
  </si>
  <si>
    <t>Father Name : Syed Tareeq Ahmed</t>
  </si>
  <si>
    <t>CNIC # 42401-5207799-5</t>
  </si>
  <si>
    <t>Contact # 03352641682</t>
  </si>
  <si>
    <t>Plot No : L-5296</t>
  </si>
  <si>
    <t>Cost : 900,000</t>
  </si>
  <si>
    <t>24/10/2025</t>
  </si>
  <si>
    <t>2/1//2026</t>
  </si>
  <si>
    <t>8/2//2026</t>
  </si>
  <si>
    <t>Name : Fareed</t>
  </si>
  <si>
    <t>Father Name : Muhammad Ayub</t>
  </si>
  <si>
    <t>CNIC # 42201-3236373</t>
  </si>
  <si>
    <t>Contact # 03222675040</t>
  </si>
  <si>
    <t>Plot No : L-5297</t>
  </si>
  <si>
    <t>Cost : 600,000</t>
  </si>
  <si>
    <t>22/10/2023</t>
  </si>
  <si>
    <t>13/2/2024</t>
  </si>
  <si>
    <t>16/3/2024</t>
  </si>
  <si>
    <t>29/10/2024</t>
  </si>
  <si>
    <t>13/1/2026</t>
  </si>
  <si>
    <t>Plot No : L-5298</t>
  </si>
  <si>
    <t>Contact # 03443176031</t>
  </si>
  <si>
    <t>CNIC # 42101-6375976-6</t>
  </si>
  <si>
    <t>Name : Yameen</t>
  </si>
  <si>
    <t>19/9/2024</t>
  </si>
  <si>
    <t>14/10/2024</t>
  </si>
  <si>
    <t>14/6/2025</t>
  </si>
  <si>
    <t>16/11/2025</t>
  </si>
  <si>
    <t>Name : Stephen John</t>
  </si>
  <si>
    <t>Father Name : Ghani Masih</t>
  </si>
  <si>
    <t>CNIC # 346028703655-3</t>
  </si>
  <si>
    <t>Contact # 03453082243</t>
  </si>
  <si>
    <t>Plot No : L-5270</t>
  </si>
  <si>
    <t>15/5/2025</t>
  </si>
  <si>
    <t>15/7/2025</t>
  </si>
  <si>
    <t>15/11/2025</t>
  </si>
  <si>
    <t>15/1/2026</t>
  </si>
  <si>
    <t>Contact # 03319993684</t>
  </si>
  <si>
    <t>Plot No : L-5269</t>
  </si>
  <si>
    <t>21/9/2023</t>
  </si>
  <si>
    <t>16/11/2023</t>
  </si>
  <si>
    <t>14/12/2023</t>
  </si>
  <si>
    <t>Plot No : L-5268</t>
  </si>
  <si>
    <t>Name : Saira Anum</t>
  </si>
  <si>
    <t xml:space="preserve">CNIC # </t>
  </si>
  <si>
    <t xml:space="preserve">Contact # </t>
  </si>
  <si>
    <t>Plot No : L-5286</t>
  </si>
  <si>
    <t>13/11/2023</t>
  </si>
  <si>
    <t>20/2/2024</t>
  </si>
  <si>
    <t>20/4/2024</t>
  </si>
  <si>
    <t>27/8/2024</t>
  </si>
  <si>
    <t>28/10/204</t>
  </si>
  <si>
    <t>21/6/2025</t>
  </si>
  <si>
    <t>27/8/2025</t>
  </si>
  <si>
    <t>27/10/2025</t>
  </si>
  <si>
    <t>30/12/2025</t>
  </si>
  <si>
    <t>28/2/2026</t>
  </si>
  <si>
    <t xml:space="preserve">Token </t>
  </si>
  <si>
    <t>Res booking</t>
  </si>
  <si>
    <t>Name : Meer Gul</t>
  </si>
  <si>
    <t>Plot No : L-5248</t>
  </si>
  <si>
    <t>29/12/2022</t>
  </si>
  <si>
    <t>19/3/2023</t>
  </si>
  <si>
    <t>21/5/2023</t>
  </si>
  <si>
    <t>18/6/2023</t>
  </si>
  <si>
    <t>20/8/2023</t>
  </si>
  <si>
    <t>17/9/2023</t>
  </si>
  <si>
    <t>19/11/2023</t>
  </si>
  <si>
    <t>17/12/2023</t>
  </si>
  <si>
    <t>14/1/2024</t>
  </si>
  <si>
    <t>Adjustment</t>
  </si>
  <si>
    <t>31/3/2024</t>
  </si>
  <si>
    <t>28/4/2024</t>
  </si>
  <si>
    <t>15/9/2024</t>
  </si>
  <si>
    <t>27/10/2024</t>
  </si>
  <si>
    <t>30/11/2024</t>
  </si>
  <si>
    <t>22/2/2025</t>
  </si>
  <si>
    <t>16/6/2025</t>
  </si>
  <si>
    <t>17/7//2025</t>
  </si>
  <si>
    <t>14/9/2025</t>
  </si>
  <si>
    <t>14/10/2025</t>
  </si>
  <si>
    <t>17/11/2025</t>
  </si>
  <si>
    <t>17/12/2025</t>
  </si>
  <si>
    <t>22/2/2026</t>
  </si>
  <si>
    <t>Plot No : L-5249</t>
  </si>
  <si>
    <t>Name : Noor Ali</t>
  </si>
  <si>
    <t>Plot No : L-5225</t>
  </si>
  <si>
    <t>14/1/2022</t>
  </si>
  <si>
    <t>31/12/2023</t>
  </si>
  <si>
    <t>13/1/2024</t>
  </si>
  <si>
    <t>30/1/2024</t>
  </si>
  <si>
    <t>19/3/2024</t>
  </si>
  <si>
    <t>15/5/2024</t>
  </si>
  <si>
    <t>14/7/2024</t>
  </si>
  <si>
    <t>18/11/2024</t>
  </si>
  <si>
    <t>16/12/2024</t>
  </si>
  <si>
    <t>13/1/2025</t>
  </si>
  <si>
    <t>22/4/2025</t>
  </si>
  <si>
    <t>18/7/2025</t>
  </si>
  <si>
    <t>18/9/2025</t>
  </si>
  <si>
    <t>13/10/202513790</t>
  </si>
  <si>
    <t>Name : Muhammad Rafique</t>
  </si>
  <si>
    <t>Father Name : Muhammad Idrees</t>
  </si>
  <si>
    <t>CNIC # 42101-6308625-9</t>
  </si>
  <si>
    <t>Contact #03122183070</t>
  </si>
  <si>
    <t>22/9/2023</t>
  </si>
  <si>
    <t>23/1/2024</t>
  </si>
  <si>
    <t>15/4/2024</t>
  </si>
  <si>
    <t>Plot No : L-5290</t>
  </si>
  <si>
    <t>instalment feb-mar</t>
  </si>
  <si>
    <t>19/1/2025</t>
  </si>
  <si>
    <t>13/4/2025</t>
  </si>
  <si>
    <t>15/8/2025</t>
  </si>
  <si>
    <t>23/11/2025</t>
  </si>
  <si>
    <t>14/12/2025</t>
  </si>
  <si>
    <t>15/2/2026</t>
  </si>
  <si>
    <t>Name : Gul Noor</t>
  </si>
  <si>
    <t>CNIC # 42101-4730895-2</t>
  </si>
  <si>
    <t>Plot No : L-5289</t>
  </si>
  <si>
    <t>18/1/2025</t>
  </si>
  <si>
    <t>15/3/2026</t>
  </si>
  <si>
    <t>Name : Shoukat Ali</t>
  </si>
  <si>
    <t>Father Name : Muhammmad Siddique</t>
  </si>
  <si>
    <t>CNIC # 13101-57780499-9</t>
  </si>
  <si>
    <t>Contact #03102457584</t>
  </si>
  <si>
    <t>Plot No : L-5209</t>
  </si>
  <si>
    <t>17/7/2025</t>
  </si>
  <si>
    <t>18/8/2025</t>
  </si>
  <si>
    <t>28/9/2025</t>
  </si>
  <si>
    <t>15/12/2025</t>
  </si>
  <si>
    <t>14/1/2026</t>
  </si>
  <si>
    <t>16/2/2026</t>
  </si>
  <si>
    <t>RES Booking</t>
  </si>
  <si>
    <t>16/3/2026</t>
  </si>
  <si>
    <t>Father Name : Syed Iqbal</t>
  </si>
  <si>
    <t>CNIC # 42301-6764695-3</t>
  </si>
  <si>
    <t>Contact # 03212886857</t>
  </si>
  <si>
    <t>Code Num;BGC0675343</t>
  </si>
  <si>
    <t>18/3/2026</t>
  </si>
  <si>
    <t>19/3/2026</t>
  </si>
  <si>
    <t>Name : Naveed Anjum</t>
  </si>
  <si>
    <t>Father Name : Basheer Ahmad</t>
  </si>
  <si>
    <t>CNIC # 32304-3801919-5</t>
  </si>
  <si>
    <t>Contact #03072318747</t>
  </si>
  <si>
    <t>Plot No : L-5221</t>
  </si>
  <si>
    <t>Cost : 450,000</t>
  </si>
  <si>
    <t>Code Num;CHS4389756</t>
  </si>
  <si>
    <t>14/1/2023</t>
  </si>
  <si>
    <t>18/4/2023</t>
  </si>
  <si>
    <t>28/9/2023</t>
  </si>
  <si>
    <t>28/11/2023</t>
  </si>
  <si>
    <t>14/11/2024</t>
  </si>
  <si>
    <t>20/3/2025</t>
  </si>
  <si>
    <t>20/8/2025</t>
  </si>
  <si>
    <t>18/12/2025</t>
  </si>
  <si>
    <t>25/3/2026</t>
  </si>
  <si>
    <t>14/3/2026</t>
  </si>
  <si>
    <t>Father Name : Sukhi Gull</t>
  </si>
  <si>
    <t>CNIC # 422015-377186-9</t>
  </si>
  <si>
    <t>Contact # 03138356000</t>
  </si>
  <si>
    <t>Plot No : L-5226</t>
  </si>
  <si>
    <t xml:space="preserve">Name : Murtaza </t>
  </si>
  <si>
    <t>Cost :600,000</t>
  </si>
  <si>
    <t>19/2/2023</t>
  </si>
  <si>
    <t>18/1/2023</t>
  </si>
  <si>
    <t>29/3/2023</t>
  </si>
  <si>
    <t>Adv Adj Reh</t>
  </si>
  <si>
    <t xml:space="preserve"> Adj Rehman</t>
  </si>
  <si>
    <t>instal 30,000 pend</t>
  </si>
  <si>
    <t>19/1/2026</t>
  </si>
  <si>
    <t>Plot No : L-5227</t>
  </si>
  <si>
    <t>Name : Shah Nawaz Khan</t>
  </si>
  <si>
    <t>Father Name : Faqeer Muhammad</t>
  </si>
  <si>
    <t>CNIC # 42201-0238692-3</t>
  </si>
  <si>
    <t>Contact #03353223841</t>
  </si>
  <si>
    <t>Plot No : L-5206</t>
  </si>
  <si>
    <t>Cost :390,000</t>
  </si>
  <si>
    <t>Code Num;CMU0596099</t>
  </si>
  <si>
    <t>25/10/2020</t>
  </si>
  <si>
    <t>13/2/2023</t>
  </si>
  <si>
    <t>Full Paid</t>
  </si>
  <si>
    <t>Name : Rahat Bano</t>
  </si>
  <si>
    <t>Father Name : Naveed Iqbal</t>
  </si>
  <si>
    <t>CNIC # 33106-3264449-2</t>
  </si>
  <si>
    <t>Contact # 03216450184</t>
  </si>
  <si>
    <t>Plot No : L-5251</t>
  </si>
  <si>
    <t>Cost : 410,000</t>
  </si>
  <si>
    <t>code num;BZF0546743</t>
  </si>
  <si>
    <t>16/10/2023</t>
  </si>
  <si>
    <t>29/4/2024</t>
  </si>
  <si>
    <t>AL Reh Adj</t>
  </si>
  <si>
    <t>THIS PLOT INSTALMENTS HAVE BEEN FULLY PAID,BUT THE DEVELOPMENT HAS BEEN PUT ON HOLD</t>
  </si>
  <si>
    <t>Code Num;CQW8873816</t>
  </si>
  <si>
    <t>Code Num;CQW8873868</t>
  </si>
  <si>
    <t>CODE Num;CQW8873875</t>
  </si>
  <si>
    <t>Name : Almas Bano</t>
  </si>
  <si>
    <t>Father Name : Amir</t>
  </si>
  <si>
    <t>CNIC # 42401-6163812-8</t>
  </si>
  <si>
    <t>Contact # 03462992470</t>
  </si>
  <si>
    <t>Plot No : L-5216</t>
  </si>
  <si>
    <t>Cost : 300,000</t>
  </si>
  <si>
    <t>Code Num;CQW8873813</t>
  </si>
  <si>
    <t>Cash Booking</t>
  </si>
  <si>
    <t>Nill</t>
  </si>
  <si>
    <t>Father Name : Zakir Hussain</t>
  </si>
  <si>
    <t>Contact #03312616418</t>
  </si>
  <si>
    <t>Plot No : L-5299</t>
  </si>
  <si>
    <t>Cost :650,000</t>
  </si>
  <si>
    <t>Code Num;CMU4854435</t>
  </si>
  <si>
    <t>27/5/2023</t>
  </si>
  <si>
    <t>17/7/2023</t>
  </si>
  <si>
    <t>17/5/2025</t>
  </si>
  <si>
    <t>22/7/2025</t>
  </si>
  <si>
    <t>19/11/2025</t>
  </si>
  <si>
    <t>Name : Ishraq Ahmed</t>
  </si>
  <si>
    <t>Father Name : Shahid Hussain</t>
  </si>
  <si>
    <t>CNIC # 42201-3647138-7</t>
  </si>
  <si>
    <t>Contact #03461030112</t>
  </si>
  <si>
    <t>Plot No : L-5241</t>
  </si>
  <si>
    <t>Cost :480,000</t>
  </si>
  <si>
    <t>21/8/2022</t>
  </si>
  <si>
    <t>16/10/2022</t>
  </si>
  <si>
    <t>29/10/2023</t>
  </si>
  <si>
    <t>24/12/2023</t>
  </si>
  <si>
    <t>25/2/2024</t>
  </si>
  <si>
    <t>21/4/2024</t>
  </si>
  <si>
    <t>23/6/2024</t>
  </si>
  <si>
    <t>30/8/2024</t>
  </si>
  <si>
    <t>Installment</t>
  </si>
  <si>
    <t>25/12/2024</t>
  </si>
  <si>
    <t>23/2/2025</t>
  </si>
  <si>
    <t>27/4/2025</t>
  </si>
  <si>
    <t>22/6/2025</t>
  </si>
  <si>
    <t>24/8/2025</t>
  </si>
  <si>
    <t>17/10/2025</t>
  </si>
  <si>
    <t>15/4/2026</t>
  </si>
  <si>
    <t>Code Num;CKJ3727237</t>
  </si>
  <si>
    <t>Code Num;BSH5673835</t>
  </si>
  <si>
    <t>Code Num;CKY4078195</t>
  </si>
  <si>
    <t>Code Num;CMJ1190486</t>
  </si>
  <si>
    <t>18/4/2026</t>
  </si>
  <si>
    <t>Name : Muneeba Amin</t>
  </si>
  <si>
    <t>Father Name : Ejaz Nadeem</t>
  </si>
  <si>
    <t>CNIC # 42501-7737910-0</t>
  </si>
  <si>
    <t>Contact #03042818335</t>
  </si>
  <si>
    <t>Plot No : L-5274</t>
  </si>
  <si>
    <t>Cost :350,000</t>
  </si>
  <si>
    <t>Code Num;CVX1674673</t>
  </si>
  <si>
    <t>25/9/2022</t>
  </si>
  <si>
    <t>Sobho</t>
  </si>
  <si>
    <t>DEVELOPMENT CONTINUE</t>
  </si>
  <si>
    <t>Code NuM;ASJ6739376</t>
  </si>
  <si>
    <t>Code Num;CFY3778142</t>
  </si>
  <si>
    <t>Name : Nighat Irshad</t>
  </si>
  <si>
    <t>Father Name : Syed Muhammad Irshad</t>
  </si>
  <si>
    <t>CNIC # 42401-8551667-4</t>
  </si>
  <si>
    <t>Contact #03452541433</t>
  </si>
  <si>
    <t>Plot No : L-5201</t>
  </si>
  <si>
    <t>Cost : 480,000</t>
  </si>
  <si>
    <t>Code Num;CBP3386057</t>
  </si>
  <si>
    <t>27/5/2022</t>
  </si>
  <si>
    <t>Al Reh Adjustment</t>
  </si>
  <si>
    <t>150,,000</t>
  </si>
  <si>
    <t>Development</t>
  </si>
  <si>
    <t>INSTALLMENT AND DEVELOPMENT BOTH CLEAR</t>
  </si>
  <si>
    <t>Code Num;CMV3134232</t>
  </si>
  <si>
    <t>Code Num;CDU2632988</t>
  </si>
  <si>
    <t>13/5/2026</t>
  </si>
  <si>
    <t>Name; Sameera  Zakir</t>
  </si>
  <si>
    <t>Code Num;CFX8215553</t>
  </si>
  <si>
    <t>Code Num;CMQ1823819</t>
  </si>
  <si>
    <t>Name : Abu Saeed</t>
  </si>
  <si>
    <t>Father Name : Muhammad Aslam</t>
  </si>
  <si>
    <t>CNIC # 42401-1775701-9</t>
  </si>
  <si>
    <t>Contact #</t>
  </si>
  <si>
    <t>Plot No : L-5280</t>
  </si>
  <si>
    <t>THIS FILE IS TRANSFERRED TO;</t>
  </si>
  <si>
    <t>DETAIL OF TRANSFERRED</t>
  </si>
  <si>
    <t>Name : Sher Bano</t>
  </si>
  <si>
    <t>Father Name :Shabir Abu Bakar</t>
  </si>
  <si>
    <t>CNIC # 42301-2766665-8</t>
  </si>
  <si>
    <t>Contact #03211718902</t>
  </si>
  <si>
    <t>Code Num;CGZ7186462</t>
  </si>
  <si>
    <t>Cost : 350,000</t>
  </si>
  <si>
    <t>Code Num;</t>
  </si>
  <si>
    <t>22/8/2022</t>
  </si>
  <si>
    <t>30/4/2023</t>
  </si>
  <si>
    <t>28/5/2023</t>
  </si>
  <si>
    <t>30/7/2023</t>
  </si>
  <si>
    <t>13/12/2023</t>
  </si>
  <si>
    <t>Code Num;CSB8259394</t>
  </si>
  <si>
    <t>14/5/2026</t>
  </si>
  <si>
    <t>Code Num;CTG4608179</t>
  </si>
  <si>
    <t>Code Num;CJB2232700</t>
  </si>
  <si>
    <t>Code Num;CNX1864819</t>
  </si>
  <si>
    <t>code num;BLH4990645</t>
  </si>
  <si>
    <t>17/5/2026</t>
  </si>
  <si>
    <t>DEV</t>
  </si>
  <si>
    <t xml:space="preserve">DEVELOPMENT </t>
  </si>
  <si>
    <t>Name : Zeeshan Ali</t>
  </si>
  <si>
    <t>Father Name : Zahid Hussain</t>
  </si>
  <si>
    <t>CNIC # 42201-0275194-1</t>
  </si>
  <si>
    <t>Contact #03162955533</t>
  </si>
  <si>
    <t>Plot No : L-5242</t>
  </si>
  <si>
    <t>Cost :430,000</t>
  </si>
  <si>
    <t>16/7/2023</t>
  </si>
  <si>
    <t>Code Num;CMT1167189</t>
  </si>
  <si>
    <t>Name : Noor Ul Islam</t>
  </si>
  <si>
    <t>Father Name : M.Sharfuddin</t>
  </si>
  <si>
    <t>CNIC # 42000-0363957-7</t>
  </si>
  <si>
    <t>Contact # 03212756267</t>
  </si>
  <si>
    <t>Plot No : L-5292</t>
  </si>
  <si>
    <t>Code Num;CQT3479915</t>
  </si>
  <si>
    <t>21/1/2023</t>
  </si>
  <si>
    <t>17/1/2023</t>
  </si>
  <si>
    <t>26/6/2023</t>
  </si>
  <si>
    <t>21/7/2023</t>
  </si>
  <si>
    <t>16/8/2023</t>
  </si>
  <si>
    <t>20/9/2023</t>
  </si>
  <si>
    <t>14/11/2023</t>
  </si>
  <si>
    <t>`13/12/2023</t>
  </si>
  <si>
    <t>15/2/2024</t>
  </si>
  <si>
    <t>14/4/2024</t>
  </si>
  <si>
    <t>16/5/2024</t>
  </si>
  <si>
    <t>16/6/2024</t>
  </si>
  <si>
    <t>31/8/2024</t>
  </si>
  <si>
    <t>19/4/2025</t>
  </si>
  <si>
    <t>23/1/2025</t>
  </si>
  <si>
    <t>28/12/2025</t>
  </si>
  <si>
    <t>29/1/2026</t>
  </si>
  <si>
    <t>21/4/2026</t>
  </si>
  <si>
    <t>12\03\026</t>
  </si>
  <si>
    <t>11\04\26</t>
  </si>
  <si>
    <t>12\05\026</t>
  </si>
  <si>
    <t>11\04\026</t>
  </si>
  <si>
    <t>INSTALLMENT</t>
  </si>
  <si>
    <t>CODE:</t>
  </si>
  <si>
    <t>BLW8948846</t>
  </si>
  <si>
    <t>21\05\026</t>
  </si>
  <si>
    <t>8\6\026</t>
  </si>
  <si>
    <t>NAME:</t>
  </si>
  <si>
    <t>F\NAME:</t>
  </si>
  <si>
    <t>CONACAT NO:</t>
  </si>
  <si>
    <t>CNIC NO:</t>
  </si>
  <si>
    <t>PLOT NO:</t>
  </si>
  <si>
    <t>11\3\21</t>
  </si>
  <si>
    <t>30\3\23</t>
  </si>
  <si>
    <t>8\5\23</t>
  </si>
  <si>
    <t>2\6\23</t>
  </si>
  <si>
    <t>4\7\23</t>
  </si>
  <si>
    <t>31\7\23</t>
  </si>
  <si>
    <t>4\9\23</t>
  </si>
  <si>
    <t>7\10\23</t>
  </si>
  <si>
    <t>7\11\23</t>
  </si>
  <si>
    <t>17\12\23</t>
  </si>
  <si>
    <t>14\1\24</t>
  </si>
  <si>
    <t>11\3\24</t>
  </si>
  <si>
    <t>7\9\24</t>
  </si>
  <si>
    <t>12\6\24</t>
  </si>
  <si>
    <t>27\7\24</t>
  </si>
  <si>
    <t>REHMAN AJUSTMENT</t>
  </si>
  <si>
    <t>INSTALMENT</t>
  </si>
  <si>
    <t>NAME</t>
  </si>
  <si>
    <t>F\NAME</t>
  </si>
  <si>
    <t>CONTACT NO:</t>
  </si>
  <si>
    <t>CINC NO:</t>
  </si>
  <si>
    <t>CODE NO;</t>
  </si>
  <si>
    <t>PLOT:</t>
  </si>
  <si>
    <t>11\5\21</t>
  </si>
  <si>
    <t>30\\3\23</t>
  </si>
  <si>
    <t>7\5\24</t>
  </si>
  <si>
    <t>ADJUSTMENT REHMAN</t>
  </si>
  <si>
    <t>I NSTALMENT</t>
  </si>
  <si>
    <t>4\3\26</t>
  </si>
  <si>
    <t>15\4\26</t>
  </si>
  <si>
    <t>7\6\26</t>
  </si>
  <si>
    <t>9\6\26</t>
  </si>
  <si>
    <t>3\5\26</t>
  </si>
  <si>
    <t>2\6\26</t>
  </si>
  <si>
    <t>4\5\26</t>
  </si>
  <si>
    <t>2\6\25</t>
  </si>
  <si>
    <t>10\6\26</t>
  </si>
  <si>
    <t>CNIC:</t>
  </si>
  <si>
    <t>CODE NO:</t>
  </si>
  <si>
    <t>PLOT NO</t>
  </si>
  <si>
    <t>CNG7398842</t>
  </si>
  <si>
    <t>15\10\20</t>
  </si>
  <si>
    <t>12\3\23</t>
  </si>
  <si>
    <t>21\3\23</t>
  </si>
  <si>
    <t>7\4\23</t>
  </si>
  <si>
    <t>7\5\23</t>
  </si>
  <si>
    <t>19\6\23</t>
  </si>
  <si>
    <t>7\7\23</t>
  </si>
  <si>
    <t>3\9\23</t>
  </si>
  <si>
    <t>25\10\23</t>
  </si>
  <si>
    <t>25\11\23</t>
  </si>
  <si>
    <t>ADJUSTMENT</t>
  </si>
  <si>
    <t>20\1\24</t>
  </si>
  <si>
    <t>8\2\24</t>
  </si>
  <si>
    <t>10\3\24</t>
  </si>
  <si>
    <t>9\4\24</t>
  </si>
  <si>
    <t>11\5\24</t>
  </si>
  <si>
    <t>10\6\24</t>
  </si>
  <si>
    <t>15\7\24</t>
  </si>
  <si>
    <t>10\9\24</t>
  </si>
  <si>
    <t>12\8\24</t>
  </si>
  <si>
    <t>15\10\24</t>
  </si>
  <si>
    <t>10\11\24</t>
  </si>
  <si>
    <t>SMAUEL</t>
  </si>
  <si>
    <t>INAYAT MASIH</t>
  </si>
  <si>
    <t>0300-2583527</t>
  </si>
  <si>
    <t>14\6\26</t>
  </si>
  <si>
    <t>17\6\26</t>
  </si>
  <si>
    <t>21\6\26</t>
  </si>
  <si>
    <t>21\6\2026</t>
  </si>
  <si>
    <t>ATIF KHAN</t>
  </si>
  <si>
    <t>F/NAME:</t>
  </si>
  <si>
    <t>SALEEM KHAN</t>
  </si>
  <si>
    <t>0315-0837933</t>
  </si>
  <si>
    <t>42401-2976977-1</t>
  </si>
  <si>
    <t>CODE:\</t>
  </si>
  <si>
    <t>CBY7383319</t>
  </si>
  <si>
    <t>DATE</t>
  </si>
  <si>
    <t>R:NO</t>
  </si>
  <si>
    <t>DESCIRIPTION</t>
  </si>
  <si>
    <t>AMOUNT RECEVIED</t>
  </si>
  <si>
    <t>TOTAL AMOUNT</t>
  </si>
  <si>
    <t>AMOUNT DUE</t>
  </si>
  <si>
    <t>TOKEN</t>
  </si>
  <si>
    <t>17/7/23</t>
  </si>
  <si>
    <t>RESEDENTIAL BOOKING</t>
  </si>
  <si>
    <t>14/8/23</t>
  </si>
  <si>
    <t>INSTALLLMENT</t>
  </si>
  <si>
    <t>16/9/23</t>
  </si>
  <si>
    <t>16/10/23</t>
  </si>
  <si>
    <t>16/11/23</t>
  </si>
  <si>
    <t>16/12/23</t>
  </si>
  <si>
    <t>16/2/24</t>
  </si>
  <si>
    <t>15/4/24</t>
  </si>
  <si>
    <t>16/5/24</t>
  </si>
  <si>
    <t>20/6/24</t>
  </si>
  <si>
    <t>20/3/024</t>
  </si>
  <si>
    <t>15/7/24</t>
  </si>
  <si>
    <t>18/9/24</t>
  </si>
  <si>
    <t>15/10/24</t>
  </si>
  <si>
    <t>21/12/24</t>
  </si>
  <si>
    <t>25/1/25</t>
  </si>
  <si>
    <t>22/2/25</t>
  </si>
  <si>
    <t>18/3/25</t>
  </si>
  <si>
    <t>22/4/25</t>
  </si>
  <si>
    <t>16/6/25</t>
  </si>
  <si>
    <t>24/7/25</t>
  </si>
  <si>
    <t>24/8/25</t>
  </si>
  <si>
    <t>27/10/25</t>
  </si>
  <si>
    <t>22/11/25</t>
  </si>
  <si>
    <t>25/12/25</t>
  </si>
  <si>
    <t>24/1/26</t>
  </si>
  <si>
    <t>24/3/26</t>
  </si>
  <si>
    <t>24/4/26</t>
  </si>
  <si>
    <t>26/5/26</t>
  </si>
  <si>
    <t>23/6/26</t>
  </si>
  <si>
    <t>MUHAMMAD MOIN ALI</t>
  </si>
  <si>
    <t>MUHAMMADYASEEN ALI</t>
  </si>
  <si>
    <t>0341-2145032</t>
  </si>
  <si>
    <t>42401-2001892-1</t>
  </si>
  <si>
    <t>BQK3113190</t>
  </si>
  <si>
    <t>TOKEN SITE</t>
  </si>
  <si>
    <t>16/8/23</t>
  </si>
  <si>
    <t>16/2/2024</t>
  </si>
  <si>
    <t>19/3/24</t>
  </si>
  <si>
    <t>20/6/024</t>
  </si>
  <si>
    <t>23/12/24</t>
  </si>
  <si>
    <t>14/3/25</t>
  </si>
  <si>
    <t>20/10/25</t>
  </si>
  <si>
    <t>26/4/26</t>
  </si>
  <si>
    <t>22/5/26</t>
  </si>
  <si>
    <t>CODE</t>
  </si>
  <si>
    <t>CQE5360606</t>
  </si>
  <si>
    <t>KALEEM AHMAD</t>
  </si>
  <si>
    <t>42401-4131135-8</t>
  </si>
  <si>
    <t>0333-3015573</t>
  </si>
  <si>
    <t>25\4\26</t>
  </si>
  <si>
    <t>27\6\26</t>
  </si>
  <si>
    <t>4\7\26</t>
  </si>
  <si>
    <t>CUV5088892</t>
  </si>
  <si>
    <t>4\7\24</t>
  </si>
  <si>
    <t>BJZ4073323</t>
  </si>
  <si>
    <t>9\7\26</t>
  </si>
  <si>
    <t>11\7\26</t>
  </si>
  <si>
    <t>code</t>
  </si>
  <si>
    <t>cnm1325887</t>
  </si>
  <si>
    <t>10\7\26</t>
  </si>
  <si>
    <t>DEVELOPMENT</t>
  </si>
  <si>
    <t>NILL</t>
  </si>
  <si>
    <t>12\7\26</t>
  </si>
  <si>
    <t>CJB6192794</t>
  </si>
  <si>
    <t>16\7\26</t>
  </si>
  <si>
    <t>development clear</t>
  </si>
  <si>
    <t>21\7\26</t>
  </si>
  <si>
    <t>CODE NO</t>
  </si>
  <si>
    <t>:</t>
  </si>
  <si>
    <t>CGC8686322</t>
  </si>
  <si>
    <t>13/4/26</t>
  </si>
  <si>
    <t>17/5/26</t>
  </si>
  <si>
    <t>27/7/26</t>
  </si>
  <si>
    <t>15/7/26</t>
  </si>
  <si>
    <t>29/6/26</t>
  </si>
  <si>
    <t>13/7/26</t>
  </si>
  <si>
    <t>13/8/26</t>
  </si>
  <si>
    <t>15/8/26</t>
  </si>
  <si>
    <t>17/8/26</t>
  </si>
  <si>
    <t xml:space="preserve">DEVELOPMENT NILL </t>
  </si>
  <si>
    <t>DEVELOPMENT 100,000</t>
  </si>
  <si>
    <t xml:space="preserve">NILL </t>
  </si>
  <si>
    <t>16/8/26</t>
  </si>
  <si>
    <t xml:space="preserve">DEVELOPMENT CONTINUE </t>
  </si>
  <si>
    <t>15/1/26</t>
  </si>
  <si>
    <t>16/2/26</t>
  </si>
  <si>
    <t>21/6/26</t>
  </si>
  <si>
    <t>13/5/26</t>
  </si>
  <si>
    <t>21/8/26</t>
  </si>
  <si>
    <t>Code Num:CEN3611266</t>
  </si>
  <si>
    <t>27/8/26</t>
  </si>
  <si>
    <t>15/9/26</t>
  </si>
  <si>
    <t xml:space="preserve">INSATLLMENT </t>
  </si>
  <si>
    <t>14/8/26</t>
  </si>
  <si>
    <t>19/9/26</t>
  </si>
  <si>
    <t>COST 600,000</t>
  </si>
  <si>
    <t>20/9/26</t>
  </si>
  <si>
    <t xml:space="preserve">INSTALLMENT </t>
  </si>
  <si>
    <t>14/9/25</t>
  </si>
  <si>
    <t>22/9/26</t>
  </si>
  <si>
    <t>CNIC N0:</t>
  </si>
  <si>
    <t xml:space="preserve">MUHAMMAD WASEEM </t>
  </si>
  <si>
    <t>AZIZ UR  REHMAN</t>
  </si>
  <si>
    <t>CONTACT NO:0312-8922175</t>
  </si>
  <si>
    <t>42301-0804974-4</t>
  </si>
  <si>
    <t>TOTAL COST 500,000</t>
  </si>
  <si>
    <t>L-5272</t>
  </si>
  <si>
    <t>CUJ5318604</t>
  </si>
  <si>
    <t>29/9/26</t>
  </si>
  <si>
    <t>BOOKING</t>
  </si>
  <si>
    <t>AMOUNT RECE</t>
  </si>
  <si>
    <t xml:space="preserve"> </t>
  </si>
  <si>
    <t xml:space="preserve">EIJAZ </t>
  </si>
  <si>
    <t xml:space="preserve">BROKER NAME </t>
  </si>
  <si>
    <t xml:space="preserve">COMMISSION </t>
  </si>
  <si>
    <t xml:space="preserve">NOMINEE </t>
  </si>
  <si>
    <t>NAME :MUGHEER KHAN</t>
  </si>
  <si>
    <t>S/0 NAME :MUHAMMAD WASEEM</t>
  </si>
  <si>
    <t>CNIC N0:42301-5117940-9</t>
  </si>
  <si>
    <t>Name : Abdul Jabbar</t>
  </si>
  <si>
    <t>Father Name : Muhammad Tufail</t>
  </si>
  <si>
    <t>Contact #03332027646</t>
  </si>
  <si>
    <t>Plot No : L-5215</t>
  </si>
  <si>
    <t xml:space="preserve">FULL PAID BY AL-REHMAN </t>
  </si>
  <si>
    <t xml:space="preserve">INSTALMENT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</si>
</sst>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/>
    </xf>
    <xf numFmtId="14" fontId="0" fillId="0" borderId="0" xfId="0" applyNumberFormat="1"/>
    <xf numFmtId="0" fontId="5" fillId="0" borderId="0" xfId="0" applyFont="1"/>
    <xf numFmtId="0" fontId="0" fillId="0" borderId="1" xfId="0" applyBorder="1"/>
    <xf numFmtId="3" fontId="0" fillId="0" borderId="1" xfId="0" applyNumberFormat="1" applyBorder="1"/>
    <xf numFmtId="0" fontId="0" fillId="0" borderId="2" xfId="0" applyBorder="1" applyAlignment="1">
      <alignment horizontal="left"/>
    </xf>
    <xf numFmtId="3" fontId="0" fillId="0" borderId="0" xfId="0" applyNumberFormat="1"/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4" fontId="0" fillId="0" borderId="4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left"/>
    </xf>
    <xf numFmtId="3" fontId="0" fillId="0" borderId="10" xfId="0" applyNumberFormat="1" applyBorder="1" applyAlignment="1">
      <alignment horizontal="left"/>
    </xf>
    <xf numFmtId="0" fontId="0" fillId="0" borderId="8" xfId="0" applyBorder="1"/>
    <xf numFmtId="0" fontId="2" fillId="2" borderId="6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4" xfId="0" applyBorder="1"/>
    <xf numFmtId="14" fontId="0" fillId="0" borderId="4" xfId="0" applyNumberFormat="1" applyBorder="1"/>
    <xf numFmtId="3" fontId="0" fillId="0" borderId="5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3" xfId="0" applyBorder="1"/>
    <xf numFmtId="0" fontId="0" fillId="0" borderId="7" xfId="0" applyBorder="1"/>
    <xf numFmtId="0" fontId="2" fillId="2" borderId="6" xfId="0" applyFont="1" applyFill="1" applyBorder="1"/>
    <xf numFmtId="0" fontId="0" fillId="2" borderId="3" xfId="0" applyFill="1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3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1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4" xfId="0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0" borderId="0" xfId="0" applyFont="1"/>
    <xf numFmtId="14" fontId="0" fillId="0" borderId="8" xfId="0" applyNumberFormat="1" applyBorder="1"/>
    <xf numFmtId="14" fontId="0" fillId="0" borderId="9" xfId="0" applyNumberFormat="1" applyBorder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2" xfId="0" applyBorder="1"/>
    <xf numFmtId="0" fontId="2" fillId="3" borderId="11" xfId="0" applyFont="1" applyFill="1" applyBorder="1"/>
    <xf numFmtId="0" fontId="0" fillId="3" borderId="2" xfId="0" applyFill="1" applyBorder="1"/>
    <xf numFmtId="0" fontId="0" fillId="0" borderId="2" xfId="0" applyBorder="1"/>
    <xf numFmtId="0" fontId="2" fillId="3" borderId="0" xfId="0" applyFont="1" applyFill="1"/>
    <xf numFmtId="0" fontId="0" fillId="3" borderId="0" xfId="0" applyFill="1"/>
    <xf numFmtId="0" fontId="8" fillId="0" borderId="0" xfId="0" applyFont="1"/>
    <xf numFmtId="14" fontId="0" fillId="0" borderId="1" xfId="0" applyNumberFormat="1" applyBorder="1"/>
    <xf numFmtId="0" fontId="1" fillId="2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2" borderId="6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1" fillId="6" borderId="0" xfId="0" applyFont="1" applyFill="1"/>
    <xf numFmtId="0" fontId="1" fillId="7" borderId="1" xfId="0" applyFont="1" applyFill="1" applyBorder="1"/>
  </cellXfs>
  <cellStyles count="1">
    <cellStyle name="Normal" xfId="0" builtinId="0"/>
  </cellStyles>
  <dxfs count="264"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id="1" name="Table1" displayName="Table1" ref="A7:F46" totalsRowShown="0" headerRowDxfId="263" dataDxfId="261" headerRowBorderDxfId="262" tableBorderDxfId="260">
  <autoFilter ref="A7:F46"/>
  <tableColumns count="6">
    <tableColumn id="1" name="Date" dataDxfId="259"/>
    <tableColumn id="2" name="R.NO" dataDxfId="258"/>
    <tableColumn id="3" name="Description" dataDxfId="257"/>
    <tableColumn id="4" name="Amount Rec" dataDxfId="256"/>
    <tableColumn id="5" name="Total Rec" dataDxfId="255">
      <calculatedColumnFormula>SUM(E7+D8)</calculatedColumnFormula>
    </tableColumn>
    <tableColumn id="6" name="Amount Due" dataDxfId="254">
      <calculatedColumnFormula>F7-D8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7:G46" totalsRowShown="0" headerRowDxfId="253" dataDxfId="251" headerRowBorderDxfId="252" tableBorderDxfId="250" totalsRowBorderDxfId="249">
  <autoFilter ref="B7:G46"/>
  <tableColumns count="6">
    <tableColumn id="1" name="Date" dataDxfId="248"/>
    <tableColumn id="2" name="R.NO" dataDxfId="247"/>
    <tableColumn id="3" name="Description" dataDxfId="246"/>
    <tableColumn id="4" name="Amount Rec" dataDxfId="245"/>
    <tableColumn id="5" name="Total Rec" dataDxfId="244">
      <calculatedColumnFormula>SUM(F7+E8)</calculatedColumnFormula>
    </tableColumn>
    <tableColumn id="6" name="Amount Due" dataDxfId="243">
      <calculatedColumnFormula>G7-E8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7" name="Table27" displayName="Table27" ref="A7:F14" totalsRowShown="0" headerRowDxfId="242" headerRowBorderDxfId="241" tableBorderDxfId="240">
  <autoFilter ref="A7:F14"/>
  <tableColumns count="6">
    <tableColumn id="1" name="Date"/>
    <tableColumn id="2" name="R.NO"/>
    <tableColumn id="3" name="Description"/>
    <tableColumn id="4" name="Amount Rec" dataDxfId="239"/>
    <tableColumn id="5" name="Total Rec" dataDxfId="238"/>
    <tableColumn id="6" name="Amount Due" dataDxfId="2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3" name="Table23" displayName="Table23" ref="A7:F21" totalsRowShown="0" headerRowDxfId="236" headerRowBorderDxfId="235" tableBorderDxfId="234" totalsRowBorderDxfId="233">
  <autoFilter ref="A7:F21"/>
  <tableColumns count="6">
    <tableColumn id="1" name="Date" dataDxfId="232"/>
    <tableColumn id="2" name="R.NO" dataDxfId="231"/>
    <tableColumn id="3" name="Description" dataDxfId="230"/>
    <tableColumn id="4" name="Amount Rec" dataDxfId="229"/>
    <tableColumn id="5" name="Total Rec" dataDxfId="228">
      <calculatedColumnFormula>SUM(E7+D8)</calculatedColumnFormula>
    </tableColumn>
    <tableColumn id="6" name="Amount Due" dataDxfId="227">
      <calculatedColumnFormula>F7-D8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6:F34" totalsRowShown="0" headerRowDxfId="226" headerRowBorderDxfId="225" tableBorderDxfId="224" totalsRowBorderDxfId="223">
  <autoFilter ref="A6:F34"/>
  <tableColumns count="6">
    <tableColumn id="1" name="Date" dataDxfId="222"/>
    <tableColumn id="2" name="R.NO" dataDxfId="221"/>
    <tableColumn id="3" name="Description" dataDxfId="220"/>
    <tableColumn id="4" name="Amount Rec" dataDxfId="219"/>
    <tableColumn id="5" name="Total Rec" dataDxfId="218">
      <calculatedColumnFormula>SUM(E6+D7)</calculatedColumnFormula>
    </tableColumn>
    <tableColumn id="6" name="Amount Due" dataDxfId="217">
      <calculatedColumnFormula>F6-D7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4" name="Table24" displayName="Table24" ref="A7:F36" totalsRowShown="0" headerRowDxfId="216" headerRowBorderDxfId="215" tableBorderDxfId="214" totalsRowBorderDxfId="213">
  <autoFilter ref="A7:F36"/>
  <tableColumns count="6">
    <tableColumn id="1" name="Date" dataDxfId="212"/>
    <tableColumn id="2" name="R.NO" dataDxfId="211"/>
    <tableColumn id="3" name="Description" dataDxfId="210"/>
    <tableColumn id="4" name="Amount Rec" dataDxfId="209"/>
    <tableColumn id="5" name="Total Rec" dataDxfId="208">
      <calculatedColumnFormula>SUM(E7+D8)</calculatedColumnFormula>
    </tableColumn>
    <tableColumn id="6" name="Amount Due" dataDxfId="207">
      <calculatedColumnFormula>F7-D8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A7:F38" totalsRowShown="0" headerRowDxfId="206" headerRowBorderDxfId="205" tableBorderDxfId="204">
  <autoFilter ref="A7:F38"/>
  <tableColumns count="6">
    <tableColumn id="1" name="Date" dataDxfId="203"/>
    <tableColumn id="2" name="R.NO" dataDxfId="202"/>
    <tableColumn id="3" name="Description" dataDxfId="201"/>
    <tableColumn id="4" name="Amount Rec" dataDxfId="200"/>
    <tableColumn id="5" name="Total Rec" dataDxfId="199">
      <calculatedColumnFormula>SUM(E7+D8)</calculatedColumnFormula>
    </tableColumn>
    <tableColumn id="6" name="Amount Due" dataDxfId="198">
      <calculatedColumnFormula>F7-D8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5" name="Table25" displayName="Table25" ref="A7:F42" totalsRowShown="0" headerRowDxfId="197" headerRowBorderDxfId="196" tableBorderDxfId="195">
  <autoFilter ref="A7:F42"/>
  <tableColumns count="6">
    <tableColumn id="1" name="Date"/>
    <tableColumn id="2" name="R.NO"/>
    <tableColumn id="3" name="Description"/>
    <tableColumn id="4" name="Amount Rec" dataDxfId="194"/>
    <tableColumn id="5" name="Total Rec" dataDxfId="193">
      <calculatedColumnFormula>SUM(E7+D8)</calculatedColumnFormula>
    </tableColumn>
    <tableColumn id="6" name="Amount Due" dataDxfId="192">
      <calculatedColumnFormula>F7-D8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6" name="Table26" displayName="Table26" ref="A7:F42" totalsRowShown="0" headerRowDxfId="191" headerRowBorderDxfId="190" tableBorderDxfId="189" totalsRowBorderDxfId="188">
  <autoFilter ref="A7:F42"/>
  <tableColumns count="6">
    <tableColumn id="1" name="Date" dataDxfId="187"/>
    <tableColumn id="2" name="R.NO" dataDxfId="186"/>
    <tableColumn id="3" name="Description" dataDxfId="185"/>
    <tableColumn id="4" name="Amount Rec" dataDxfId="184"/>
    <tableColumn id="5" name="Total Rec" dataDxfId="183">
      <calculatedColumnFormula>SUM(E7+D8)</calculatedColumnFormula>
    </tableColumn>
    <tableColumn id="6" name="Amount Due" dataDxfId="182">
      <calculatedColumnFormula>F7-D8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Table4" displayName="Table4" ref="A7:F43" totalsRowShown="0" headerRowDxfId="181" headerRowBorderDxfId="180" tableBorderDxfId="179" totalsRowBorderDxfId="178">
  <autoFilter ref="A7:F43"/>
  <tableColumns count="6">
    <tableColumn id="1" name="Date" dataDxfId="177"/>
    <tableColumn id="2" name="R.NO" dataDxfId="176"/>
    <tableColumn id="3" name="Description" dataDxfId="175"/>
    <tableColumn id="4" name="Amount Rec" dataDxfId="174"/>
    <tableColumn id="5" name="Total Rec" dataDxfId="173">
      <calculatedColumnFormula>SUM(E7+D8)</calculatedColumnFormula>
    </tableColumn>
    <tableColumn id="6" name="Amount Due" dataDxfId="172">
      <calculatedColumnFormula>F7-D8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5" name="Table5" displayName="Table5" ref="A7:F43" totalsRowShown="0" headerRowDxfId="171" headerRowBorderDxfId="170" tableBorderDxfId="169" totalsRowBorderDxfId="168">
  <autoFilter ref="A7:F43"/>
  <tableColumns count="6">
    <tableColumn id="1" name="Date" dataDxfId="167"/>
    <tableColumn id="2" name="R.NO" dataDxfId="166"/>
    <tableColumn id="3" name="Description" dataDxfId="165"/>
    <tableColumn id="4" name="Amount Rec" dataDxfId="164"/>
    <tableColumn id="5" name="Total Rec" dataDxfId="163">
      <calculatedColumnFormula>SUM(E7+D8)</calculatedColumnFormula>
    </tableColumn>
    <tableColumn id="6" name="Amount Due" dataDxfId="162">
      <calculatedColumnFormula>F7-D8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8" name="Table28" displayName="Table28" ref="A7:F16" totalsRowShown="0" headerRowDxfId="161" headerRowBorderDxfId="160" tableBorderDxfId="159" totalsRowBorderDxfId="158">
  <autoFilter ref="A7:F16"/>
  <tableColumns count="6">
    <tableColumn id="1" name="Date" dataDxfId="157"/>
    <tableColumn id="2" name="R.NO" dataDxfId="156"/>
    <tableColumn id="3" name="Description" dataDxfId="155"/>
    <tableColumn id="4" name="Amount Rec" dataDxfId="154"/>
    <tableColumn id="5" name="Total Rec" dataDxfId="153">
      <calculatedColumnFormula>SUM(E7+D8)</calculatedColumnFormula>
    </tableColumn>
    <tableColumn id="6" name="Amount Due" dataDxfId="152">
      <calculatedColumnFormula>F7-D8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6" name="Table6" displayName="Table6" ref="A7:F15" totalsRowShown="0" headerRowDxfId="151" headerRowBorderDxfId="150" tableBorderDxfId="149" totalsRowBorderDxfId="148">
  <autoFilter ref="A7:F15"/>
  <tableColumns count="6">
    <tableColumn id="1" name="Date" dataDxfId="147"/>
    <tableColumn id="2" name="R.NO" dataDxfId="146"/>
    <tableColumn id="3" name="Description" dataDxfId="145"/>
    <tableColumn id="4" name="Amount Rec" dataDxfId="144"/>
    <tableColumn id="5" name="Total Rec" dataDxfId="143">
      <calculatedColumnFormula>SUM(E7+D8)</calculatedColumnFormula>
    </tableColumn>
    <tableColumn id="6" name="Amount Due" dataDxfId="142">
      <calculatedColumnFormula>F7-D8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7" name="Table7" displayName="Table7" ref="A7:F14" totalsRowShown="0" headerRowDxfId="141" headerRowBorderDxfId="140" tableBorderDxfId="139" totalsRowBorderDxfId="138">
  <autoFilter ref="A7:F14"/>
  <tableColumns count="6">
    <tableColumn id="1" name="Date" dataDxfId="137"/>
    <tableColumn id="2" name="R.NO" dataDxfId="136"/>
    <tableColumn id="3" name="Description" dataDxfId="135"/>
    <tableColumn id="4" name="Amount Rec" dataDxfId="134"/>
    <tableColumn id="5" name="Total Rec" dataDxfId="133">
      <calculatedColumnFormula>SUM(E7+D8)</calculatedColumnFormula>
    </tableColumn>
    <tableColumn id="6" name="Amount Due" dataDxfId="132">
      <calculatedColumnFormula>F7-D8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8" name="Table8" displayName="Table8" ref="A7:F44" totalsRowShown="0" headerRowDxfId="131" headerRowBorderDxfId="130" tableBorderDxfId="129" totalsRowBorderDxfId="128">
  <autoFilter ref="A7:F44"/>
  <tableColumns count="6">
    <tableColumn id="1" name="Date" dataDxfId="127"/>
    <tableColumn id="2" name="R.NO" dataDxfId="126"/>
    <tableColumn id="3" name="Description" dataDxfId="125"/>
    <tableColumn id="4" name="Amount Rec" dataDxfId="124"/>
    <tableColumn id="5" name="Total Rec" dataDxfId="123">
      <calculatedColumnFormula>SUM(E7+D8)</calculatedColumnFormula>
    </tableColumn>
    <tableColumn id="6" name="Amount Due" dataDxfId="122">
      <calculatedColumnFormula>F7-D8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0" name="Table10" displayName="Table10" ref="A6:F44" totalsRowShown="0" headerRowDxfId="121" headerRowBorderDxfId="120" tableBorderDxfId="119" totalsRowBorderDxfId="118">
  <autoFilter ref="A6:F44"/>
  <tableColumns count="6">
    <tableColumn id="1" name="Date" dataDxfId="117"/>
    <tableColumn id="2" name="R.NO" dataDxfId="116"/>
    <tableColumn id="3" name="Description" dataDxfId="115"/>
    <tableColumn id="4" name="Amount Rec" dataDxfId="114"/>
    <tableColumn id="5" name="Total Rec" dataDxfId="113">
      <calculatedColumnFormula>SUM(E6+D7)</calculatedColumnFormula>
    </tableColumn>
    <tableColumn id="6" name="Amount Due" dataDxfId="112">
      <calculatedColumnFormula>F6-D7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1" name="Table11" displayName="Table11" ref="A7:F41" totalsRowShown="0" headerRowDxfId="111" headerRowBorderDxfId="110" tableBorderDxfId="109">
  <autoFilter ref="A7:F41"/>
  <tableColumns count="6">
    <tableColumn id="1" name="Date"/>
    <tableColumn id="2" name="R.NO" dataDxfId="108"/>
    <tableColumn id="3" name="Description" dataDxfId="107"/>
    <tableColumn id="4" name="Amount Rec" dataDxfId="106"/>
    <tableColumn id="5" name="Total Rec" dataDxfId="105">
      <calculatedColumnFormula>SUM(E7+D8)</calculatedColumnFormula>
    </tableColumn>
    <tableColumn id="6" name="Amount Due" dataDxfId="104">
      <calculatedColumnFormula>F7-D8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2" name="Table12" displayName="Table12" ref="A7:F41" totalsRowShown="0" headerRowDxfId="103" headerRowBorderDxfId="102" tableBorderDxfId="101">
  <autoFilter ref="A7:F41"/>
  <tableColumns count="6">
    <tableColumn id="1" name="Date"/>
    <tableColumn id="2" name="R.NO" dataDxfId="100"/>
    <tableColumn id="3" name="Description" dataDxfId="99"/>
    <tableColumn id="4" name="Amount Rec" dataDxfId="98"/>
    <tableColumn id="5" name="Total Rec" dataDxfId="97">
      <calculatedColumnFormula>SUM(E7+D8)</calculatedColumnFormula>
    </tableColumn>
    <tableColumn id="6" name="Amount Due" dataDxfId="96">
      <calculatedColumnFormula>F7-D8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3" name="Table13" displayName="Table13" ref="A7:F20" totalsRowShown="0" headerRowDxfId="95" headerRowBorderDxfId="94" tableBorderDxfId="93">
  <autoFilter ref="A7:F20"/>
  <tableColumns count="6">
    <tableColumn id="1" name="Date"/>
    <tableColumn id="2" name="R.NO" dataDxfId="92"/>
    <tableColumn id="3" name="Description" dataDxfId="91"/>
    <tableColumn id="4" name="Amount Rec" dataDxfId="90"/>
    <tableColumn id="5" name="Total Rec" dataDxfId="89">
      <calculatedColumnFormula>SUM(E7+D8)</calculatedColumnFormula>
    </tableColumn>
    <tableColumn id="6" name="Amount Due" dataDxfId="88">
      <calculatedColumnFormula>F7-D8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14" name="Table14" displayName="Table14" ref="A7:F24" totalsRowShown="0" headerRowDxfId="87" headerRowBorderDxfId="86" tableBorderDxfId="85" totalsRowBorderDxfId="84">
  <autoFilter ref="A7:F24"/>
  <tableColumns count="6">
    <tableColumn id="1" name="Date" dataDxfId="83"/>
    <tableColumn id="2" name="R.NO" dataDxfId="82"/>
    <tableColumn id="3" name="Description" dataDxfId="81"/>
    <tableColumn id="4" name="Amount Rec" dataDxfId="80"/>
    <tableColumn id="5" name="Total Rec" dataDxfId="79">
      <calculatedColumnFormula>SUM(E7+D8)</calculatedColumnFormula>
    </tableColumn>
    <tableColumn id="6" name="Amount Due" dataDxfId="78">
      <calculatedColumnFormula>F7-D8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15" name="Table15" displayName="Table15" ref="A7:F12" totalsRowShown="0" headerRowDxfId="77" headerRowBorderDxfId="76" tableBorderDxfId="75" totalsRowBorderDxfId="74">
  <autoFilter ref="A7:F12"/>
  <tableColumns count="6">
    <tableColumn id="1" name="Date" dataDxfId="73"/>
    <tableColumn id="2" name="R.NO" dataDxfId="72"/>
    <tableColumn id="3" name="Description" dataDxfId="71"/>
    <tableColumn id="4" name="Amount Rec"/>
    <tableColumn id="5" name="Total Rec"/>
    <tableColumn id="6" name="Amount Due" dataDxfId="7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16" name="Table16" displayName="Table16" ref="A7:F21" totalsRowShown="0" headerRowDxfId="69" dataDxfId="67" headerRowBorderDxfId="68" tableBorderDxfId="66" totalsRowBorderDxfId="65">
  <autoFilter ref="A7:F21"/>
  <tableColumns count="6">
    <tableColumn id="1" name="Date" dataDxfId="64"/>
    <tableColumn id="2" name="R.NO" dataDxfId="63"/>
    <tableColumn id="3" name="Description" dataDxfId="62"/>
    <tableColumn id="4" name="Amount Rec" dataDxfId="61"/>
    <tableColumn id="5" name="Total Rec" dataDxfId="60">
      <calculatedColumnFormula>SUM(E7+D8)</calculatedColumnFormula>
    </tableColumn>
    <tableColumn id="6" name="Amount Due" dataDxfId="59">
      <calculatedColumnFormula>F7-D8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17" name="Table17" displayName="Table17" ref="A7:F38" totalsRowShown="0" headerRowDxfId="58" headerRowBorderDxfId="57" tableBorderDxfId="56">
  <autoFilter ref="A7:F38"/>
  <tableColumns count="6">
    <tableColumn id="1" name="Date" dataDxfId="55"/>
    <tableColumn id="2" name="R.NO" dataDxfId="54"/>
    <tableColumn id="3" name="Description" dataDxfId="53"/>
    <tableColumn id="4" name="Amount Rec" dataDxfId="52"/>
    <tableColumn id="5" name="Total Rec" dataDxfId="51">
      <calculatedColumnFormula>SUM(E7+D8)</calculatedColumnFormula>
    </tableColumn>
    <tableColumn id="6" name="Amount Due" dataDxfId="50">
      <calculatedColumnFormula>F7-D8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2" name="Table22" displayName="Table22" ref="A7:F36" totalsRowShown="0" headerRowDxfId="49" headerRowBorderDxfId="48" tableBorderDxfId="47">
  <autoFilter ref="A7:F36"/>
  <tableColumns count="6">
    <tableColumn id="1" name="Date" dataDxfId="46"/>
    <tableColumn id="2" name="R.NO" dataDxfId="45"/>
    <tableColumn id="3" name="Description" dataDxfId="44"/>
    <tableColumn id="4" name="Amount Rec" dataDxfId="43"/>
    <tableColumn id="5" name="Total Rec" dataDxfId="42">
      <calculatedColumnFormula>SUM(E7+D8)</calculatedColumnFormula>
    </tableColumn>
    <tableColumn id="6" name="Amount Due" dataDxfId="41">
      <calculatedColumnFormula>F7-D8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18" name="Table18" displayName="Table18" ref="A7:F27" totalsRowShown="0" headerRowDxfId="40" headerRowBorderDxfId="39" tableBorderDxfId="38">
  <autoFilter ref="A7:F27"/>
  <tableColumns count="6">
    <tableColumn id="1" name="Date" dataDxfId="37"/>
    <tableColumn id="2" name="R.NO" dataDxfId="36"/>
    <tableColumn id="3" name="Description" dataDxfId="35"/>
    <tableColumn id="4" name="Amount Rec" dataDxfId="34"/>
    <tableColumn id="5" name="Total Rec" dataDxfId="33">
      <calculatedColumnFormula>SUM(E7+D8)</calculatedColumnFormula>
    </tableColumn>
    <tableColumn id="6" name="Amount Due" dataDxfId="32">
      <calculatedColumnFormula>F7-D8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19" name="Table19" displayName="Table19" ref="A7:F13" totalsRowShown="0" headerRowDxfId="31" headerRowBorderDxfId="30" tableBorderDxfId="29" totalsRowBorderDxfId="28">
  <autoFilter ref="A7:F13"/>
  <tableColumns count="6">
    <tableColumn id="1" name="Date" dataDxfId="27"/>
    <tableColumn id="2" name="R.NO" dataDxfId="26"/>
    <tableColumn id="3" name="Description" dataDxfId="25"/>
    <tableColumn id="4" name="Amount Rec" dataDxfId="24"/>
    <tableColumn id="5" name="Total Rec" dataDxfId="23"/>
    <tableColumn id="6" name="Amount Due" dataDxfId="2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0" name="Table20" displayName="Table20" ref="A7:F25" totalsRowShown="0" headerRowDxfId="21" dataDxfId="19" headerRowBorderDxfId="20" tableBorderDxfId="18" totalsRowBorderDxfId="17">
  <autoFilter ref="A7:F25"/>
  <tableColumns count="6">
    <tableColumn id="1" name="Date" dataDxfId="16"/>
    <tableColumn id="2" name="R.NO" dataDxfId="15"/>
    <tableColumn id="3" name="Description" dataDxfId="14"/>
    <tableColumn id="4" name="Amount Rec" dataDxfId="13"/>
    <tableColumn id="5" name="Total Rec" dataDxfId="12">
      <calculatedColumnFormula>SUM(E7+D8)</calculatedColumnFormula>
    </tableColumn>
    <tableColumn id="6" name="Amount Due" dataDxfId="11">
      <calculatedColumnFormula>F7-D8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1" name="Table21" displayName="Table21" ref="A7:F36" totalsRowShown="0" headerRowDxfId="10" dataDxfId="8" headerRowBorderDxfId="9" tableBorderDxfId="7" totalsRowBorderDxfId="6">
  <autoFilter ref="A7:F36"/>
  <tableColumns count="6">
    <tableColumn id="1" name="Date" dataDxfId="5"/>
    <tableColumn id="2" name="R.NO" dataDxfId="4"/>
    <tableColumn id="3" name="Description" dataDxfId="3"/>
    <tableColumn id="4" name="Amount Rec" dataDxfId="2"/>
    <tableColumn id="5" name="Total Rec" dataDxfId="1">
      <calculatedColumnFormula>SUM(E7+D8)</calculatedColumnFormula>
    </tableColumn>
    <tableColumn id="6" name="Amount Due" dataDxfId="0">
      <calculatedColumnFormula>F7-D8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I11" sqref="I11"/>
    </sheetView>
  </sheetViews>
  <sheetFormatPr defaultRowHeight="14.5" x14ac:dyDescent="0.35"/>
  <cols>
    <col min="1" max="1" width="10.81640625" customWidth="1"/>
    <col min="3" max="3" width="16.26953125" customWidth="1"/>
  </cols>
  <sheetData>
    <row r="1" spans="1:6" ht="18.5" x14ac:dyDescent="0.45">
      <c r="A1" s="1" t="s">
        <v>356</v>
      </c>
      <c r="B1" s="1"/>
      <c r="C1" s="1"/>
      <c r="D1" s="1"/>
      <c r="E1" s="1"/>
    </row>
    <row r="2" spans="1:6" ht="18.5" x14ac:dyDescent="0.45">
      <c r="A2" s="1" t="s">
        <v>357</v>
      </c>
      <c r="C2" s="1"/>
      <c r="D2" s="1"/>
      <c r="E2" s="1"/>
    </row>
    <row r="3" spans="1:6" ht="18.5" x14ac:dyDescent="0.45">
      <c r="A3" s="1" t="s">
        <v>358</v>
      </c>
      <c r="B3" s="1"/>
      <c r="C3" s="1"/>
      <c r="D3" s="1"/>
      <c r="E3" s="1"/>
    </row>
    <row r="4" spans="1:6" ht="18.5" x14ac:dyDescent="0.45">
      <c r="A4" s="1" t="s">
        <v>362</v>
      </c>
      <c r="B4" s="1"/>
      <c r="C4" s="1"/>
      <c r="D4" s="1"/>
      <c r="E4" s="1"/>
    </row>
    <row r="5" spans="1:6" ht="18.5" x14ac:dyDescent="0.45">
      <c r="A5" s="1" t="s">
        <v>359</v>
      </c>
      <c r="B5" s="1"/>
      <c r="C5" s="1"/>
      <c r="D5" s="1"/>
      <c r="E5" s="1"/>
    </row>
    <row r="6" spans="1:6" ht="18.5" x14ac:dyDescent="0.45">
      <c r="A6" s="1" t="s">
        <v>360</v>
      </c>
      <c r="B6" s="1"/>
      <c r="C6" s="1"/>
      <c r="D6" s="1" t="s">
        <v>361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t="s">
        <v>363</v>
      </c>
      <c r="C8" t="s">
        <v>364</v>
      </c>
      <c r="D8" s="18">
        <v>330000</v>
      </c>
      <c r="E8" s="18">
        <v>330000</v>
      </c>
      <c r="F8" s="18">
        <v>330000</v>
      </c>
    </row>
    <row r="9" spans="1:6" x14ac:dyDescent="0.35">
      <c r="A9" s="13">
        <v>45941</v>
      </c>
      <c r="B9">
        <v>13311</v>
      </c>
      <c r="C9" t="s">
        <v>331</v>
      </c>
      <c r="D9" t="s">
        <v>365</v>
      </c>
      <c r="E9" s="18">
        <v>150000</v>
      </c>
      <c r="F9" s="18">
        <v>480000</v>
      </c>
    </row>
    <row r="11" spans="1:6" x14ac:dyDescent="0.35">
      <c r="A11" s="13">
        <v>46300</v>
      </c>
      <c r="B11">
        <v>1429</v>
      </c>
      <c r="C11" t="s">
        <v>366</v>
      </c>
      <c r="D11" s="18">
        <v>10000</v>
      </c>
      <c r="E11" s="18">
        <v>10000</v>
      </c>
      <c r="F11" t="s">
        <v>306</v>
      </c>
    </row>
    <row r="12" spans="1:6" ht="21" x14ac:dyDescent="0.5">
      <c r="A12" s="76" t="s">
        <v>367</v>
      </c>
      <c r="B12" s="76"/>
      <c r="C12" s="76"/>
      <c r="D12" s="76"/>
      <c r="E12" s="76"/>
      <c r="F12" s="7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F53" sqref="F53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45</v>
      </c>
      <c r="B1" s="1"/>
      <c r="C1" s="1"/>
      <c r="D1" s="1"/>
      <c r="E1" s="1"/>
      <c r="F1" s="1"/>
    </row>
    <row r="2" spans="1:6" ht="18.5" x14ac:dyDescent="0.45">
      <c r="A2" s="1" t="s">
        <v>46</v>
      </c>
      <c r="C2" s="1"/>
      <c r="D2" s="1"/>
      <c r="E2" s="1"/>
      <c r="F2" s="1"/>
    </row>
    <row r="3" spans="1:6" ht="18.5" x14ac:dyDescent="0.45">
      <c r="A3" s="1" t="s">
        <v>47</v>
      </c>
      <c r="B3" s="1"/>
      <c r="C3" s="1"/>
      <c r="D3" s="1"/>
      <c r="E3" s="1"/>
      <c r="F3" s="1"/>
    </row>
    <row r="4" spans="1:6" ht="18.5" x14ac:dyDescent="0.45">
      <c r="A4" s="1" t="s">
        <v>295</v>
      </c>
      <c r="B4" s="1" t="s">
        <v>587</v>
      </c>
      <c r="C4" s="1"/>
      <c r="D4" s="1"/>
      <c r="E4" s="1"/>
      <c r="F4" s="1"/>
    </row>
    <row r="5" spans="1:6" ht="18.5" x14ac:dyDescent="0.45">
      <c r="A5" s="1" t="s">
        <v>48</v>
      </c>
      <c r="B5" s="1"/>
      <c r="C5" s="1"/>
      <c r="D5" s="1"/>
      <c r="E5" s="1"/>
      <c r="F5" s="1"/>
    </row>
    <row r="6" spans="1:6" ht="18.5" x14ac:dyDescent="0.45">
      <c r="A6" s="1" t="s">
        <v>49</v>
      </c>
      <c r="B6" s="1"/>
      <c r="C6" s="1"/>
      <c r="D6" s="1"/>
      <c r="E6" s="1" t="s">
        <v>5</v>
      </c>
      <c r="F6" s="1"/>
    </row>
    <row r="7" spans="1:6" x14ac:dyDescent="0.35">
      <c r="A7" s="98" t="s">
        <v>6</v>
      </c>
      <c r="B7" s="99" t="s">
        <v>7</v>
      </c>
      <c r="C7" s="99" t="s">
        <v>8</v>
      </c>
      <c r="D7" s="4" t="s">
        <v>9</v>
      </c>
      <c r="E7" s="4" t="s">
        <v>10</v>
      </c>
      <c r="F7" s="4" t="s">
        <v>11</v>
      </c>
    </row>
    <row r="8" spans="1:6" x14ac:dyDescent="0.35">
      <c r="A8" s="100" t="s">
        <v>50</v>
      </c>
      <c r="B8" s="4">
        <v>1568</v>
      </c>
      <c r="C8" s="4" t="s">
        <v>51</v>
      </c>
      <c r="D8" s="5">
        <v>80000</v>
      </c>
      <c r="E8" s="5">
        <v>80000</v>
      </c>
      <c r="F8" s="5">
        <v>470000</v>
      </c>
    </row>
    <row r="9" spans="1:6" x14ac:dyDescent="0.35">
      <c r="A9" s="90">
        <v>45233</v>
      </c>
      <c r="B9" s="4">
        <v>2162</v>
      </c>
      <c r="C9" s="4" t="s">
        <v>52</v>
      </c>
      <c r="D9" s="5">
        <v>10000</v>
      </c>
      <c r="E9" s="5">
        <f>SUM(E8+D9)</f>
        <v>90000</v>
      </c>
      <c r="F9" s="5">
        <f>F8-D9</f>
        <v>460000</v>
      </c>
    </row>
    <row r="10" spans="1:6" x14ac:dyDescent="0.35">
      <c r="A10" s="90">
        <v>45173</v>
      </c>
      <c r="B10" s="4">
        <v>1044</v>
      </c>
      <c r="C10" s="4" t="s">
        <v>52</v>
      </c>
      <c r="D10" s="5">
        <v>10000</v>
      </c>
      <c r="E10" s="5">
        <f t="shared" ref="E10:E44" si="0">SUM(E9+D10)</f>
        <v>100000</v>
      </c>
      <c r="F10" s="5">
        <f t="shared" ref="F10:F44" si="1">F9-D10</f>
        <v>450000</v>
      </c>
    </row>
    <row r="11" spans="1:6" x14ac:dyDescent="0.35">
      <c r="A11" s="90">
        <v>45204</v>
      </c>
      <c r="B11" s="4">
        <v>789</v>
      </c>
      <c r="C11" s="4" t="s">
        <v>52</v>
      </c>
      <c r="D11" s="5">
        <v>10000</v>
      </c>
      <c r="E11" s="5">
        <f t="shared" si="0"/>
        <v>110000</v>
      </c>
      <c r="F11" s="5">
        <f t="shared" si="1"/>
        <v>440000</v>
      </c>
    </row>
    <row r="12" spans="1:6" x14ac:dyDescent="0.35">
      <c r="A12" s="90">
        <v>45205</v>
      </c>
      <c r="B12" s="4">
        <v>412</v>
      </c>
      <c r="C12" s="4" t="s">
        <v>52</v>
      </c>
      <c r="D12" s="5">
        <v>10000</v>
      </c>
      <c r="E12" s="5">
        <f t="shared" si="0"/>
        <v>120000</v>
      </c>
      <c r="F12" s="5">
        <f t="shared" si="1"/>
        <v>430000</v>
      </c>
    </row>
    <row r="13" spans="1:6" x14ac:dyDescent="0.35">
      <c r="A13" s="90">
        <v>45053</v>
      </c>
      <c r="B13" s="4">
        <v>2136</v>
      </c>
      <c r="C13" s="4" t="s">
        <v>52</v>
      </c>
      <c r="D13" s="5">
        <v>10000</v>
      </c>
      <c r="E13" s="5">
        <f t="shared" si="0"/>
        <v>130000</v>
      </c>
      <c r="F13" s="5">
        <f t="shared" si="1"/>
        <v>420000</v>
      </c>
    </row>
    <row r="14" spans="1:6" x14ac:dyDescent="0.35">
      <c r="A14" s="90">
        <v>45207</v>
      </c>
      <c r="B14" s="4">
        <v>2350</v>
      </c>
      <c r="C14" s="4" t="s">
        <v>52</v>
      </c>
      <c r="D14" s="5">
        <v>10000</v>
      </c>
      <c r="E14" s="5">
        <f t="shared" si="0"/>
        <v>140000</v>
      </c>
      <c r="F14" s="5">
        <f t="shared" si="1"/>
        <v>410000</v>
      </c>
    </row>
    <row r="15" spans="1:6" x14ac:dyDescent="0.35">
      <c r="A15" s="90">
        <v>45269</v>
      </c>
      <c r="B15" s="4">
        <v>3572</v>
      </c>
      <c r="C15" s="4" t="s">
        <v>52</v>
      </c>
      <c r="D15" s="5">
        <v>10000</v>
      </c>
      <c r="E15" s="5">
        <f t="shared" si="0"/>
        <v>150000</v>
      </c>
      <c r="F15" s="5">
        <f t="shared" si="1"/>
        <v>400000</v>
      </c>
    </row>
    <row r="16" spans="1:6" x14ac:dyDescent="0.35">
      <c r="A16" s="90">
        <v>45240</v>
      </c>
      <c r="B16" s="4">
        <v>4212</v>
      </c>
      <c r="C16" s="4" t="s">
        <v>52</v>
      </c>
      <c r="D16" s="5">
        <v>10000</v>
      </c>
      <c r="E16" s="5">
        <f t="shared" si="0"/>
        <v>160000</v>
      </c>
      <c r="F16" s="5">
        <f t="shared" si="1"/>
        <v>390000</v>
      </c>
    </row>
    <row r="17" spans="1:6" x14ac:dyDescent="0.35">
      <c r="A17" s="90">
        <v>45241</v>
      </c>
      <c r="B17" s="4">
        <v>4815</v>
      </c>
      <c r="C17" s="4" t="s">
        <v>52</v>
      </c>
      <c r="D17" s="5">
        <v>10000</v>
      </c>
      <c r="E17" s="5">
        <f t="shared" si="0"/>
        <v>170000</v>
      </c>
      <c r="F17" s="5">
        <f t="shared" si="1"/>
        <v>380000</v>
      </c>
    </row>
    <row r="18" spans="1:6" x14ac:dyDescent="0.35">
      <c r="A18" s="90">
        <v>45242</v>
      </c>
      <c r="B18" s="4">
        <v>5467</v>
      </c>
      <c r="C18" s="4" t="s">
        <v>52</v>
      </c>
      <c r="D18" s="5">
        <v>10000</v>
      </c>
      <c r="E18" s="5">
        <f t="shared" si="0"/>
        <v>180000</v>
      </c>
      <c r="F18" s="5">
        <f t="shared" si="1"/>
        <v>370000</v>
      </c>
    </row>
    <row r="19" spans="1:6" x14ac:dyDescent="0.35">
      <c r="A19" s="90">
        <v>45566</v>
      </c>
      <c r="B19" s="4">
        <v>6083</v>
      </c>
      <c r="C19" s="4" t="s">
        <v>52</v>
      </c>
      <c r="D19" s="5">
        <v>10000</v>
      </c>
      <c r="E19" s="5">
        <f t="shared" si="0"/>
        <v>190000</v>
      </c>
      <c r="F19" s="5">
        <f t="shared" si="1"/>
        <v>360000</v>
      </c>
    </row>
    <row r="20" spans="1:6" x14ac:dyDescent="0.35">
      <c r="A20" s="90">
        <v>45567</v>
      </c>
      <c r="B20" s="4">
        <v>7022</v>
      </c>
      <c r="C20" s="4" t="s">
        <v>52</v>
      </c>
      <c r="D20" s="5">
        <v>10000</v>
      </c>
      <c r="E20" s="5">
        <f t="shared" si="0"/>
        <v>200000</v>
      </c>
      <c r="F20" s="5">
        <f t="shared" si="1"/>
        <v>350000</v>
      </c>
    </row>
    <row r="21" spans="1:6" x14ac:dyDescent="0.35">
      <c r="A21" s="90">
        <v>45476</v>
      </c>
      <c r="B21" s="4">
        <v>6926</v>
      </c>
      <c r="C21" s="4" t="s">
        <v>52</v>
      </c>
      <c r="D21" s="5">
        <v>10000</v>
      </c>
      <c r="E21" s="5">
        <f t="shared" si="0"/>
        <v>210000</v>
      </c>
      <c r="F21" s="5">
        <f t="shared" si="1"/>
        <v>340000</v>
      </c>
    </row>
    <row r="22" spans="1:6" x14ac:dyDescent="0.35">
      <c r="A22" s="90">
        <v>45447</v>
      </c>
      <c r="B22" s="4">
        <v>7914</v>
      </c>
      <c r="C22" s="4" t="s">
        <v>52</v>
      </c>
      <c r="D22" s="5">
        <v>10000</v>
      </c>
      <c r="E22" s="5">
        <f t="shared" si="0"/>
        <v>220000</v>
      </c>
      <c r="F22" s="5">
        <f t="shared" si="1"/>
        <v>330000</v>
      </c>
    </row>
    <row r="23" spans="1:6" x14ac:dyDescent="0.35">
      <c r="A23" s="90">
        <v>45509</v>
      </c>
      <c r="B23" s="4">
        <v>8321</v>
      </c>
      <c r="C23" s="4" t="s">
        <v>52</v>
      </c>
      <c r="D23" s="5">
        <v>10000</v>
      </c>
      <c r="E23" s="5">
        <f t="shared" si="0"/>
        <v>230000</v>
      </c>
      <c r="F23" s="5">
        <f t="shared" si="1"/>
        <v>320000</v>
      </c>
    </row>
    <row r="24" spans="1:6" x14ac:dyDescent="0.35">
      <c r="A24" s="90">
        <v>45449</v>
      </c>
      <c r="B24" s="4">
        <v>8871</v>
      </c>
      <c r="C24" s="4" t="s">
        <v>52</v>
      </c>
      <c r="D24" s="5">
        <v>10000</v>
      </c>
      <c r="E24" s="5">
        <f t="shared" si="0"/>
        <v>240000</v>
      </c>
      <c r="F24" s="5">
        <f t="shared" si="1"/>
        <v>310000</v>
      </c>
    </row>
    <row r="25" spans="1:6" x14ac:dyDescent="0.35">
      <c r="A25" s="90">
        <v>45419</v>
      </c>
      <c r="B25" s="4">
        <v>9388</v>
      </c>
      <c r="C25" s="4" t="s">
        <v>52</v>
      </c>
      <c r="D25" s="5">
        <v>10000</v>
      </c>
      <c r="E25" s="5">
        <f t="shared" si="0"/>
        <v>250000</v>
      </c>
      <c r="F25" s="5">
        <f t="shared" si="1"/>
        <v>300000</v>
      </c>
    </row>
    <row r="26" spans="1:6" x14ac:dyDescent="0.35">
      <c r="A26" s="90">
        <v>45543</v>
      </c>
      <c r="B26" s="4">
        <v>11077</v>
      </c>
      <c r="C26" s="4" t="s">
        <v>52</v>
      </c>
      <c r="D26" s="5">
        <v>10000</v>
      </c>
      <c r="E26" s="5">
        <f t="shared" si="0"/>
        <v>260000</v>
      </c>
      <c r="F26" s="5">
        <f t="shared" si="1"/>
        <v>290000</v>
      </c>
    </row>
    <row r="27" spans="1:6" x14ac:dyDescent="0.35">
      <c r="A27" s="90">
        <v>45452</v>
      </c>
      <c r="B27" s="4">
        <v>10553</v>
      </c>
      <c r="C27" s="4" t="s">
        <v>52</v>
      </c>
      <c r="D27" s="5">
        <v>10000</v>
      </c>
      <c r="E27" s="5">
        <f t="shared" si="0"/>
        <v>270000</v>
      </c>
      <c r="F27" s="5">
        <f t="shared" si="1"/>
        <v>280000</v>
      </c>
    </row>
    <row r="28" spans="1:6" x14ac:dyDescent="0.35">
      <c r="A28" s="90">
        <v>45514</v>
      </c>
      <c r="B28" s="4">
        <v>11311</v>
      </c>
      <c r="C28" s="4" t="s">
        <v>52</v>
      </c>
      <c r="D28" s="5">
        <v>10000</v>
      </c>
      <c r="E28" s="5">
        <f t="shared" si="0"/>
        <v>280000</v>
      </c>
      <c r="F28" s="5">
        <f t="shared" si="1"/>
        <v>270000</v>
      </c>
    </row>
    <row r="29" spans="1:6" x14ac:dyDescent="0.35">
      <c r="A29" s="90">
        <v>45515</v>
      </c>
      <c r="B29" s="4">
        <v>11927</v>
      </c>
      <c r="C29" s="4" t="s">
        <v>52</v>
      </c>
      <c r="D29" s="5">
        <v>10000</v>
      </c>
      <c r="E29" s="5">
        <f t="shared" si="0"/>
        <v>290000</v>
      </c>
      <c r="F29" s="5">
        <f t="shared" si="1"/>
        <v>260000</v>
      </c>
    </row>
    <row r="30" spans="1:6" x14ac:dyDescent="0.35">
      <c r="A30" s="90">
        <v>45394</v>
      </c>
      <c r="B30" s="4">
        <v>12581</v>
      </c>
      <c r="C30" s="4" t="s">
        <v>52</v>
      </c>
      <c r="D30" s="5">
        <v>10000</v>
      </c>
      <c r="E30" s="5">
        <f t="shared" si="0"/>
        <v>300000</v>
      </c>
      <c r="F30" s="5">
        <f t="shared" si="1"/>
        <v>250000</v>
      </c>
    </row>
    <row r="31" spans="1:6" x14ac:dyDescent="0.35">
      <c r="A31" s="90">
        <v>45809</v>
      </c>
      <c r="B31" s="4">
        <v>12936</v>
      </c>
      <c r="C31" s="4" t="s">
        <v>52</v>
      </c>
      <c r="D31" s="5">
        <v>10000</v>
      </c>
      <c r="E31" s="5">
        <f t="shared" si="0"/>
        <v>310000</v>
      </c>
      <c r="F31" s="5">
        <f t="shared" si="1"/>
        <v>240000</v>
      </c>
    </row>
    <row r="32" spans="1:6" x14ac:dyDescent="0.35">
      <c r="A32" s="90">
        <v>45779</v>
      </c>
      <c r="B32" s="4">
        <v>9234</v>
      </c>
      <c r="C32" s="4" t="s">
        <v>52</v>
      </c>
      <c r="D32" s="5">
        <v>10000</v>
      </c>
      <c r="E32" s="5">
        <f t="shared" si="0"/>
        <v>320000</v>
      </c>
      <c r="F32" s="5">
        <f t="shared" si="1"/>
        <v>230000</v>
      </c>
    </row>
    <row r="33" spans="1:9" x14ac:dyDescent="0.35">
      <c r="A33" s="90">
        <v>45811</v>
      </c>
      <c r="B33" s="4">
        <v>9630</v>
      </c>
      <c r="C33" s="4" t="s">
        <v>52</v>
      </c>
      <c r="D33" s="5">
        <v>10000</v>
      </c>
      <c r="E33" s="5">
        <f t="shared" si="0"/>
        <v>330000</v>
      </c>
      <c r="F33" s="5">
        <f t="shared" si="1"/>
        <v>220000</v>
      </c>
    </row>
    <row r="34" spans="1:9" x14ac:dyDescent="0.35">
      <c r="A34" s="90">
        <v>45873</v>
      </c>
      <c r="B34" s="4">
        <v>9970</v>
      </c>
      <c r="C34" s="4" t="s">
        <v>52</v>
      </c>
      <c r="D34" s="5">
        <v>10000</v>
      </c>
      <c r="E34" s="5">
        <f t="shared" si="0"/>
        <v>340000</v>
      </c>
      <c r="F34" s="5">
        <f t="shared" si="1"/>
        <v>210000</v>
      </c>
    </row>
    <row r="35" spans="1:9" x14ac:dyDescent="0.35">
      <c r="A35" s="90">
        <v>45782</v>
      </c>
      <c r="B35" s="4">
        <v>10334</v>
      </c>
      <c r="C35" s="4" t="s">
        <v>52</v>
      </c>
      <c r="D35" s="5">
        <v>10000</v>
      </c>
      <c r="E35" s="5">
        <f t="shared" si="0"/>
        <v>350000</v>
      </c>
      <c r="F35" s="5">
        <f t="shared" si="1"/>
        <v>200000</v>
      </c>
    </row>
    <row r="36" spans="1:9" x14ac:dyDescent="0.35">
      <c r="A36" s="90">
        <v>45783</v>
      </c>
      <c r="B36" s="4">
        <v>10468</v>
      </c>
      <c r="C36" s="4" t="s">
        <v>52</v>
      </c>
      <c r="D36" s="5">
        <v>10000</v>
      </c>
      <c r="E36" s="5">
        <f t="shared" si="0"/>
        <v>360000</v>
      </c>
      <c r="F36" s="5">
        <f t="shared" si="1"/>
        <v>190000</v>
      </c>
    </row>
    <row r="37" spans="1:9" x14ac:dyDescent="0.35">
      <c r="A37" s="90">
        <v>45845</v>
      </c>
      <c r="B37" s="4">
        <v>12098</v>
      </c>
      <c r="C37" s="4" t="s">
        <v>52</v>
      </c>
      <c r="D37" s="5">
        <v>10000</v>
      </c>
      <c r="E37" s="5">
        <f t="shared" si="0"/>
        <v>370000</v>
      </c>
      <c r="F37" s="5">
        <f t="shared" si="1"/>
        <v>180000</v>
      </c>
    </row>
    <row r="38" spans="1:9" x14ac:dyDescent="0.35">
      <c r="A38" s="90">
        <v>45816</v>
      </c>
      <c r="B38" s="4">
        <v>12422</v>
      </c>
      <c r="C38" s="4" t="s">
        <v>52</v>
      </c>
      <c r="D38" s="5">
        <v>10000</v>
      </c>
      <c r="E38" s="5">
        <f t="shared" si="0"/>
        <v>380000</v>
      </c>
      <c r="F38" s="5">
        <f t="shared" si="1"/>
        <v>170000</v>
      </c>
    </row>
    <row r="39" spans="1:9" x14ac:dyDescent="0.35">
      <c r="A39" s="90">
        <v>45786</v>
      </c>
      <c r="B39" s="4">
        <v>12621</v>
      </c>
      <c r="C39" s="4" t="s">
        <v>52</v>
      </c>
      <c r="D39" s="5">
        <v>10000</v>
      </c>
      <c r="E39" s="5">
        <f t="shared" si="0"/>
        <v>390000</v>
      </c>
      <c r="F39" s="5">
        <f t="shared" si="1"/>
        <v>160000</v>
      </c>
    </row>
    <row r="40" spans="1:9" x14ac:dyDescent="0.35">
      <c r="A40" s="90">
        <v>45848</v>
      </c>
      <c r="B40" s="4">
        <v>13718</v>
      </c>
      <c r="C40" s="4" t="s">
        <v>52</v>
      </c>
      <c r="D40" s="5">
        <v>10000</v>
      </c>
      <c r="E40" s="5">
        <f t="shared" si="0"/>
        <v>400000</v>
      </c>
      <c r="F40" s="5">
        <f t="shared" si="1"/>
        <v>150000</v>
      </c>
    </row>
    <row r="41" spans="1:9" x14ac:dyDescent="0.35">
      <c r="A41" s="90">
        <v>45819</v>
      </c>
      <c r="B41" s="4">
        <v>13436</v>
      </c>
      <c r="C41" s="4" t="s">
        <v>52</v>
      </c>
      <c r="D41" s="5">
        <v>10000</v>
      </c>
      <c r="E41" s="5">
        <f t="shared" si="0"/>
        <v>410000</v>
      </c>
      <c r="F41" s="5">
        <f t="shared" si="1"/>
        <v>140000</v>
      </c>
      <c r="I41" s="84"/>
    </row>
    <row r="42" spans="1:9" x14ac:dyDescent="0.35">
      <c r="A42" s="90">
        <v>45728</v>
      </c>
      <c r="B42" s="4">
        <v>13269</v>
      </c>
      <c r="C42" s="4" t="s">
        <v>52</v>
      </c>
      <c r="D42" s="5">
        <v>10000</v>
      </c>
      <c r="E42" s="5">
        <f t="shared" si="0"/>
        <v>420000</v>
      </c>
      <c r="F42" s="5">
        <f t="shared" si="1"/>
        <v>130000</v>
      </c>
    </row>
    <row r="43" spans="1:9" x14ac:dyDescent="0.35">
      <c r="A43" s="90">
        <v>46082</v>
      </c>
      <c r="B43" s="4">
        <v>13880</v>
      </c>
      <c r="C43" s="4" t="s">
        <v>52</v>
      </c>
      <c r="D43" s="5">
        <v>10000</v>
      </c>
      <c r="E43" s="5">
        <f t="shared" si="0"/>
        <v>430000</v>
      </c>
      <c r="F43" s="5">
        <f t="shared" si="1"/>
        <v>120000</v>
      </c>
    </row>
    <row r="44" spans="1:9" x14ac:dyDescent="0.35">
      <c r="A44" s="90">
        <v>46175</v>
      </c>
      <c r="B44" s="4">
        <v>12358</v>
      </c>
      <c r="C44" s="4" t="s">
        <v>52</v>
      </c>
      <c r="D44" s="5">
        <v>10000</v>
      </c>
      <c r="E44" s="5">
        <f t="shared" si="0"/>
        <v>440000</v>
      </c>
      <c r="F44" s="5">
        <f t="shared" si="1"/>
        <v>110000</v>
      </c>
    </row>
    <row r="45" spans="1:9" x14ac:dyDescent="0.35">
      <c r="A45" s="90">
        <v>46115</v>
      </c>
      <c r="B45" s="4">
        <v>12731</v>
      </c>
      <c r="C45" s="4" t="s">
        <v>52</v>
      </c>
      <c r="D45" s="5">
        <v>10000</v>
      </c>
      <c r="E45" s="5">
        <f>SUM(E44+D45)</f>
        <v>450000</v>
      </c>
      <c r="F45" s="5">
        <f t="shared" ref="F45:F50" si="2">F44-D45</f>
        <v>100000</v>
      </c>
    </row>
    <row r="46" spans="1:9" x14ac:dyDescent="0.35">
      <c r="A46" s="90">
        <v>46177</v>
      </c>
      <c r="B46" s="4">
        <v>13156</v>
      </c>
      <c r="C46" s="4" t="s">
        <v>52</v>
      </c>
      <c r="D46" s="5">
        <v>10000</v>
      </c>
      <c r="E46" s="5">
        <f>SUM(E45+D46)</f>
        <v>460000</v>
      </c>
      <c r="F46" s="5">
        <f t="shared" si="2"/>
        <v>90000</v>
      </c>
    </row>
    <row r="47" spans="1:9" x14ac:dyDescent="0.35">
      <c r="A47" s="4" t="s">
        <v>480</v>
      </c>
      <c r="B47" s="4">
        <v>12932</v>
      </c>
      <c r="C47" s="4" t="s">
        <v>52</v>
      </c>
      <c r="D47" s="5">
        <v>10000</v>
      </c>
      <c r="E47" s="5">
        <f t="shared" ref="E47:E52" si="3">E46+D47</f>
        <v>470000</v>
      </c>
      <c r="F47" s="5">
        <f t="shared" si="2"/>
        <v>80000</v>
      </c>
    </row>
    <row r="48" spans="1:9" x14ac:dyDescent="0.35">
      <c r="A48" s="101" t="s">
        <v>481</v>
      </c>
      <c r="B48" s="101">
        <v>13503</v>
      </c>
      <c r="C48" s="101" t="s">
        <v>464</v>
      </c>
      <c r="D48" s="102">
        <v>10000</v>
      </c>
      <c r="E48" s="102">
        <f t="shared" si="3"/>
        <v>480000</v>
      </c>
      <c r="F48" s="102">
        <f t="shared" si="2"/>
        <v>70000</v>
      </c>
    </row>
    <row r="49" spans="1:6" x14ac:dyDescent="0.35">
      <c r="A49" s="4" t="s">
        <v>586</v>
      </c>
      <c r="B49" s="4">
        <v>1381</v>
      </c>
      <c r="C49" s="4" t="s">
        <v>464</v>
      </c>
      <c r="D49" s="5">
        <v>10000</v>
      </c>
      <c r="E49" s="5">
        <f t="shared" si="3"/>
        <v>490000</v>
      </c>
      <c r="F49" s="5">
        <f t="shared" si="2"/>
        <v>60000</v>
      </c>
    </row>
    <row r="50" spans="1:6" x14ac:dyDescent="0.35">
      <c r="A50" s="103">
        <v>46089</v>
      </c>
      <c r="B50" s="101">
        <v>1632</v>
      </c>
      <c r="C50" s="101" t="s">
        <v>464</v>
      </c>
      <c r="D50" s="102">
        <v>10000</v>
      </c>
      <c r="E50" s="102">
        <f t="shared" si="3"/>
        <v>500000</v>
      </c>
      <c r="F50" s="102">
        <f t="shared" si="2"/>
        <v>50000</v>
      </c>
    </row>
    <row r="51" spans="1:6" x14ac:dyDescent="0.35">
      <c r="A51" s="90">
        <v>46121</v>
      </c>
      <c r="B51" s="4">
        <v>1897</v>
      </c>
      <c r="C51" s="4" t="s">
        <v>464</v>
      </c>
      <c r="D51" s="5">
        <v>10000</v>
      </c>
      <c r="E51" s="5">
        <f t="shared" si="3"/>
        <v>510000</v>
      </c>
      <c r="F51" s="5">
        <f>F50-D51</f>
        <v>40000</v>
      </c>
    </row>
    <row r="52" spans="1:6" x14ac:dyDescent="0.35">
      <c r="A52" s="90">
        <v>46152</v>
      </c>
      <c r="B52" s="4">
        <v>2165</v>
      </c>
      <c r="C52" s="4" t="s">
        <v>464</v>
      </c>
      <c r="D52" s="5">
        <v>10000</v>
      </c>
      <c r="E52" s="5">
        <f t="shared" si="3"/>
        <v>520000</v>
      </c>
      <c r="F52" s="5">
        <f>F51-D52</f>
        <v>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I6" sqref="I6"/>
    </sheetView>
  </sheetViews>
  <sheetFormatPr defaultRowHeight="14.5" x14ac:dyDescent="0.35"/>
  <cols>
    <col min="2" max="2" width="10.453125" bestFit="1" customWidth="1"/>
    <col min="4" max="4" width="12.36328125" customWidth="1"/>
    <col min="5" max="5" width="13" customWidth="1"/>
    <col min="6" max="6" width="10.453125" customWidth="1"/>
    <col min="7" max="7" width="13.453125" customWidth="1"/>
  </cols>
  <sheetData>
    <row r="1" spans="1:7" ht="18.5" x14ac:dyDescent="0.45">
      <c r="B1" s="1" t="s">
        <v>53</v>
      </c>
      <c r="C1" s="1"/>
      <c r="D1" s="1"/>
      <c r="E1" s="1"/>
      <c r="F1" s="1"/>
      <c r="G1" s="1"/>
    </row>
    <row r="2" spans="1:7" ht="18.5" x14ac:dyDescent="0.45">
      <c r="B2" s="1" t="s">
        <v>54</v>
      </c>
      <c r="D2" s="1"/>
      <c r="E2" s="1"/>
      <c r="F2" s="1"/>
      <c r="G2" s="1"/>
    </row>
    <row r="3" spans="1:7" ht="18.5" x14ac:dyDescent="0.45">
      <c r="B3" s="1" t="s">
        <v>55</v>
      </c>
      <c r="C3" s="1"/>
      <c r="D3" s="1"/>
      <c r="E3" s="1"/>
      <c r="F3" s="1"/>
      <c r="G3" s="1"/>
    </row>
    <row r="4" spans="1:7" ht="18.5" x14ac:dyDescent="0.45">
      <c r="B4" s="1" t="s">
        <v>296</v>
      </c>
      <c r="C4" s="1" t="s">
        <v>589</v>
      </c>
      <c r="D4" s="1"/>
      <c r="E4" s="1"/>
      <c r="F4" s="1"/>
      <c r="G4" s="1"/>
    </row>
    <row r="5" spans="1:7" ht="18.5" x14ac:dyDescent="0.45">
      <c r="B5" s="1" t="s">
        <v>48</v>
      </c>
      <c r="C5" s="1"/>
      <c r="D5" s="1"/>
      <c r="E5" s="1"/>
      <c r="F5" s="1"/>
      <c r="G5" s="1"/>
    </row>
    <row r="6" spans="1:7" ht="18.5" x14ac:dyDescent="0.45">
      <c r="B6" s="1" t="s">
        <v>56</v>
      </c>
      <c r="C6" s="1"/>
      <c r="D6" s="1"/>
      <c r="E6" s="1"/>
      <c r="F6" s="1" t="s">
        <v>5</v>
      </c>
      <c r="G6" s="1"/>
    </row>
    <row r="7" spans="1:7" x14ac:dyDescent="0.35">
      <c r="A7" s="6"/>
      <c r="B7" s="52" t="s">
        <v>6</v>
      </c>
      <c r="C7" s="53" t="s">
        <v>7</v>
      </c>
      <c r="D7" s="53" t="s">
        <v>8</v>
      </c>
      <c r="E7" s="46" t="s">
        <v>9</v>
      </c>
      <c r="F7" s="46" t="s">
        <v>10</v>
      </c>
      <c r="G7" s="47" t="s">
        <v>11</v>
      </c>
    </row>
    <row r="8" spans="1:7" x14ac:dyDescent="0.35">
      <c r="A8" s="6"/>
      <c r="B8" s="97" t="s">
        <v>50</v>
      </c>
      <c r="C8" s="4">
        <v>1569</v>
      </c>
      <c r="D8" s="4" t="s">
        <v>51</v>
      </c>
      <c r="E8" s="5">
        <v>80000</v>
      </c>
      <c r="F8" s="5">
        <v>80000</v>
      </c>
      <c r="G8" s="45">
        <v>470000</v>
      </c>
    </row>
    <row r="9" spans="1:7" x14ac:dyDescent="0.35">
      <c r="A9" s="6"/>
      <c r="B9" s="43">
        <v>45019</v>
      </c>
      <c r="C9" s="4">
        <v>2161</v>
      </c>
      <c r="D9" s="4" t="s">
        <v>52</v>
      </c>
      <c r="E9" s="5">
        <v>10000</v>
      </c>
      <c r="F9" s="5">
        <f>SUM(F8+E9)</f>
        <v>90000</v>
      </c>
      <c r="G9" s="45">
        <f>G8-E9</f>
        <v>460000</v>
      </c>
    </row>
    <row r="10" spans="1:7" x14ac:dyDescent="0.35">
      <c r="A10" s="6"/>
      <c r="B10" s="43">
        <v>45173</v>
      </c>
      <c r="C10" s="4">
        <v>1045</v>
      </c>
      <c r="D10" s="4" t="s">
        <v>52</v>
      </c>
      <c r="E10" s="5">
        <v>10000</v>
      </c>
      <c r="F10" s="5">
        <f t="shared" ref="F10:F44" si="0">SUM(F9+E10)</f>
        <v>100000</v>
      </c>
      <c r="G10" s="45">
        <f t="shared" ref="G10:G44" si="1">G9-E10</f>
        <v>450000</v>
      </c>
    </row>
    <row r="11" spans="1:7" x14ac:dyDescent="0.35">
      <c r="A11" s="6"/>
      <c r="B11" s="43">
        <v>45204</v>
      </c>
      <c r="C11" s="4">
        <v>788</v>
      </c>
      <c r="D11" s="4" t="s">
        <v>52</v>
      </c>
      <c r="E11" s="5">
        <v>10000</v>
      </c>
      <c r="F11" s="5">
        <f t="shared" si="0"/>
        <v>110000</v>
      </c>
      <c r="G11" s="45">
        <f t="shared" si="1"/>
        <v>440000</v>
      </c>
    </row>
    <row r="12" spans="1:7" x14ac:dyDescent="0.35">
      <c r="A12" s="6"/>
      <c r="B12" s="43">
        <v>45205</v>
      </c>
      <c r="C12" s="4">
        <v>411</v>
      </c>
      <c r="D12" s="4" t="s">
        <v>52</v>
      </c>
      <c r="E12" s="5">
        <v>10000</v>
      </c>
      <c r="F12" s="5">
        <f t="shared" si="0"/>
        <v>120000</v>
      </c>
      <c r="G12" s="45">
        <f t="shared" si="1"/>
        <v>430000</v>
      </c>
    </row>
    <row r="13" spans="1:7" x14ac:dyDescent="0.35">
      <c r="A13" s="6"/>
      <c r="B13" s="43">
        <v>45053</v>
      </c>
      <c r="C13" s="4">
        <v>2137</v>
      </c>
      <c r="D13" s="4" t="s">
        <v>52</v>
      </c>
      <c r="E13" s="5">
        <v>10000</v>
      </c>
      <c r="F13" s="5">
        <f t="shared" si="0"/>
        <v>130000</v>
      </c>
      <c r="G13" s="45">
        <f t="shared" si="1"/>
        <v>420000</v>
      </c>
    </row>
    <row r="14" spans="1:7" x14ac:dyDescent="0.35">
      <c r="A14" s="6"/>
      <c r="B14" s="43">
        <v>45207</v>
      </c>
      <c r="C14" s="4">
        <v>2351</v>
      </c>
      <c r="D14" s="4" t="s">
        <v>52</v>
      </c>
      <c r="E14" s="5">
        <v>10000</v>
      </c>
      <c r="F14" s="5">
        <f t="shared" si="0"/>
        <v>140000</v>
      </c>
      <c r="G14" s="45">
        <f t="shared" si="1"/>
        <v>410000</v>
      </c>
    </row>
    <row r="15" spans="1:7" x14ac:dyDescent="0.35">
      <c r="A15" s="6"/>
      <c r="B15" s="43">
        <v>45269</v>
      </c>
      <c r="C15" s="4">
        <v>3571</v>
      </c>
      <c r="D15" s="4" t="s">
        <v>52</v>
      </c>
      <c r="E15" s="5">
        <v>10000</v>
      </c>
      <c r="F15" s="5">
        <f t="shared" si="0"/>
        <v>150000</v>
      </c>
      <c r="G15" s="45">
        <f t="shared" si="1"/>
        <v>400000</v>
      </c>
    </row>
    <row r="16" spans="1:7" x14ac:dyDescent="0.35">
      <c r="A16" s="6"/>
      <c r="B16" s="43">
        <v>45240</v>
      </c>
      <c r="C16" s="4">
        <v>4213</v>
      </c>
      <c r="D16" s="4" t="s">
        <v>52</v>
      </c>
      <c r="E16" s="5">
        <v>10000</v>
      </c>
      <c r="F16" s="5">
        <f t="shared" si="0"/>
        <v>160000</v>
      </c>
      <c r="G16" s="45">
        <f t="shared" si="1"/>
        <v>390000</v>
      </c>
    </row>
    <row r="17" spans="1:7" x14ac:dyDescent="0.35">
      <c r="A17" s="6"/>
      <c r="B17" s="43">
        <v>45241</v>
      </c>
      <c r="C17" s="4">
        <v>4814</v>
      </c>
      <c r="D17" s="4" t="s">
        <v>52</v>
      </c>
      <c r="E17" s="5">
        <v>10000</v>
      </c>
      <c r="F17" s="5">
        <f t="shared" si="0"/>
        <v>170000</v>
      </c>
      <c r="G17" s="45">
        <f t="shared" si="1"/>
        <v>380000</v>
      </c>
    </row>
    <row r="18" spans="1:7" x14ac:dyDescent="0.35">
      <c r="A18" s="6"/>
      <c r="B18" s="43">
        <v>45242</v>
      </c>
      <c r="C18" s="4">
        <v>5468</v>
      </c>
      <c r="D18" s="4" t="s">
        <v>52</v>
      </c>
      <c r="E18" s="5">
        <v>10000</v>
      </c>
      <c r="F18" s="5">
        <f t="shared" si="0"/>
        <v>180000</v>
      </c>
      <c r="G18" s="45">
        <f t="shared" si="1"/>
        <v>370000</v>
      </c>
    </row>
    <row r="19" spans="1:7" x14ac:dyDescent="0.35">
      <c r="A19" s="6"/>
      <c r="B19" s="43">
        <v>45566</v>
      </c>
      <c r="C19" s="4">
        <v>6082</v>
      </c>
      <c r="D19" s="4" t="s">
        <v>52</v>
      </c>
      <c r="E19" s="5">
        <v>10000</v>
      </c>
      <c r="F19" s="5">
        <f t="shared" si="0"/>
        <v>190000</v>
      </c>
      <c r="G19" s="45">
        <f t="shared" si="1"/>
        <v>360000</v>
      </c>
    </row>
    <row r="20" spans="1:7" x14ac:dyDescent="0.35">
      <c r="A20" s="6"/>
      <c r="B20" s="43">
        <v>45567</v>
      </c>
      <c r="C20" s="4">
        <v>7023</v>
      </c>
      <c r="D20" s="4" t="s">
        <v>52</v>
      </c>
      <c r="E20" s="5">
        <v>10000</v>
      </c>
      <c r="F20" s="5">
        <f t="shared" si="0"/>
        <v>200000</v>
      </c>
      <c r="G20" s="45">
        <f t="shared" si="1"/>
        <v>350000</v>
      </c>
    </row>
    <row r="21" spans="1:7" x14ac:dyDescent="0.35">
      <c r="A21" s="6"/>
      <c r="B21" s="43">
        <v>45476</v>
      </c>
      <c r="C21" s="4">
        <v>69215</v>
      </c>
      <c r="D21" s="4" t="s">
        <v>52</v>
      </c>
      <c r="E21" s="5">
        <v>10000</v>
      </c>
      <c r="F21" s="5">
        <f t="shared" si="0"/>
        <v>210000</v>
      </c>
      <c r="G21" s="45">
        <f t="shared" si="1"/>
        <v>340000</v>
      </c>
    </row>
    <row r="22" spans="1:7" x14ac:dyDescent="0.35">
      <c r="A22" s="6"/>
      <c r="B22" s="43">
        <v>45447</v>
      </c>
      <c r="C22" s="4">
        <v>7715</v>
      </c>
      <c r="D22" s="4" t="s">
        <v>52</v>
      </c>
      <c r="E22" s="5">
        <v>10000</v>
      </c>
      <c r="F22" s="5">
        <f t="shared" si="0"/>
        <v>220000</v>
      </c>
      <c r="G22" s="45">
        <f t="shared" si="1"/>
        <v>330000</v>
      </c>
    </row>
    <row r="23" spans="1:7" x14ac:dyDescent="0.35">
      <c r="A23" s="6"/>
      <c r="B23" s="43">
        <v>45509</v>
      </c>
      <c r="C23" s="4">
        <v>8322</v>
      </c>
      <c r="D23" s="4" t="s">
        <v>52</v>
      </c>
      <c r="E23" s="5">
        <v>10000</v>
      </c>
      <c r="F23" s="5">
        <f t="shared" si="0"/>
        <v>230000</v>
      </c>
      <c r="G23" s="45">
        <f t="shared" si="1"/>
        <v>320000</v>
      </c>
    </row>
    <row r="24" spans="1:7" x14ac:dyDescent="0.35">
      <c r="A24" s="6"/>
      <c r="B24" s="43">
        <v>45449</v>
      </c>
      <c r="C24" s="4">
        <v>8872</v>
      </c>
      <c r="D24" s="4" t="s">
        <v>52</v>
      </c>
      <c r="E24" s="5">
        <v>10000</v>
      </c>
      <c r="F24" s="5">
        <f t="shared" si="0"/>
        <v>240000</v>
      </c>
      <c r="G24" s="45">
        <f t="shared" si="1"/>
        <v>310000</v>
      </c>
    </row>
    <row r="25" spans="1:7" x14ac:dyDescent="0.35">
      <c r="A25" s="6"/>
      <c r="B25" s="43">
        <v>45419</v>
      </c>
      <c r="C25" s="4">
        <v>9389</v>
      </c>
      <c r="D25" s="4" t="s">
        <v>52</v>
      </c>
      <c r="E25" s="5">
        <v>10000</v>
      </c>
      <c r="F25" s="5">
        <f t="shared" si="0"/>
        <v>250000</v>
      </c>
      <c r="G25" s="45">
        <f t="shared" si="1"/>
        <v>300000</v>
      </c>
    </row>
    <row r="26" spans="1:7" x14ac:dyDescent="0.35">
      <c r="A26" s="6"/>
      <c r="B26" s="43">
        <v>45543</v>
      </c>
      <c r="C26" s="4">
        <v>11006</v>
      </c>
      <c r="D26" s="4" t="s">
        <v>52</v>
      </c>
      <c r="E26" s="5">
        <v>10000</v>
      </c>
      <c r="F26" s="5">
        <f t="shared" si="0"/>
        <v>260000</v>
      </c>
      <c r="G26" s="45">
        <f t="shared" si="1"/>
        <v>290000</v>
      </c>
    </row>
    <row r="27" spans="1:7" x14ac:dyDescent="0.35">
      <c r="A27" s="6"/>
      <c r="B27" s="43">
        <v>45452</v>
      </c>
      <c r="C27" s="4">
        <v>10554</v>
      </c>
      <c r="D27" s="4" t="s">
        <v>52</v>
      </c>
      <c r="E27" s="5">
        <v>10000</v>
      </c>
      <c r="F27" s="5">
        <f t="shared" si="0"/>
        <v>270000</v>
      </c>
      <c r="G27" s="45">
        <f t="shared" si="1"/>
        <v>280000</v>
      </c>
    </row>
    <row r="28" spans="1:7" x14ac:dyDescent="0.35">
      <c r="A28" s="6"/>
      <c r="B28" s="43">
        <v>45514</v>
      </c>
      <c r="C28" s="4">
        <v>11312</v>
      </c>
      <c r="D28" s="4" t="s">
        <v>52</v>
      </c>
      <c r="E28" s="5">
        <v>10000</v>
      </c>
      <c r="F28" s="5">
        <f t="shared" si="0"/>
        <v>280000</v>
      </c>
      <c r="G28" s="45">
        <f t="shared" si="1"/>
        <v>270000</v>
      </c>
    </row>
    <row r="29" spans="1:7" x14ac:dyDescent="0.35">
      <c r="A29" s="6"/>
      <c r="B29" s="43">
        <v>45515</v>
      </c>
      <c r="C29" s="4">
        <v>11926</v>
      </c>
      <c r="D29" s="4" t="s">
        <v>52</v>
      </c>
      <c r="E29" s="5">
        <v>10000</v>
      </c>
      <c r="F29" s="5">
        <f t="shared" si="0"/>
        <v>290000</v>
      </c>
      <c r="G29" s="45">
        <f t="shared" si="1"/>
        <v>260000</v>
      </c>
    </row>
    <row r="30" spans="1:7" x14ac:dyDescent="0.35">
      <c r="A30" s="6"/>
      <c r="B30" s="43">
        <v>45394</v>
      </c>
      <c r="C30" s="4">
        <v>12582</v>
      </c>
      <c r="D30" s="4" t="s">
        <v>52</v>
      </c>
      <c r="E30" s="5">
        <v>10000</v>
      </c>
      <c r="F30" s="5">
        <f t="shared" si="0"/>
        <v>300000</v>
      </c>
      <c r="G30" s="45">
        <f t="shared" si="1"/>
        <v>250000</v>
      </c>
    </row>
    <row r="31" spans="1:7" x14ac:dyDescent="0.35">
      <c r="A31" s="6"/>
      <c r="B31" s="43">
        <v>45809</v>
      </c>
      <c r="C31" s="4">
        <v>12935</v>
      </c>
      <c r="D31" s="4" t="s">
        <v>52</v>
      </c>
      <c r="E31" s="5">
        <v>10000</v>
      </c>
      <c r="F31" s="5">
        <f t="shared" si="0"/>
        <v>310000</v>
      </c>
      <c r="G31" s="45">
        <f t="shared" si="1"/>
        <v>240000</v>
      </c>
    </row>
    <row r="32" spans="1:7" x14ac:dyDescent="0.35">
      <c r="A32" s="6"/>
      <c r="B32" s="43">
        <v>45779</v>
      </c>
      <c r="C32" s="4">
        <v>9233</v>
      </c>
      <c r="D32" s="4" t="s">
        <v>52</v>
      </c>
      <c r="E32" s="5">
        <v>10000</v>
      </c>
      <c r="F32" s="5">
        <f t="shared" si="0"/>
        <v>320000</v>
      </c>
      <c r="G32" s="45">
        <f t="shared" si="1"/>
        <v>230000</v>
      </c>
    </row>
    <row r="33" spans="1:7" x14ac:dyDescent="0.35">
      <c r="A33" s="6"/>
      <c r="B33" s="43">
        <v>45811</v>
      </c>
      <c r="C33" s="4">
        <v>9631</v>
      </c>
      <c r="D33" s="4" t="s">
        <v>52</v>
      </c>
      <c r="E33" s="5">
        <v>10000</v>
      </c>
      <c r="F33" s="5">
        <f t="shared" si="0"/>
        <v>330000</v>
      </c>
      <c r="G33" s="45">
        <f t="shared" si="1"/>
        <v>220000</v>
      </c>
    </row>
    <row r="34" spans="1:7" x14ac:dyDescent="0.35">
      <c r="A34" s="6"/>
      <c r="B34" s="43">
        <v>45873</v>
      </c>
      <c r="C34" s="4">
        <v>9971</v>
      </c>
      <c r="D34" s="4" t="s">
        <v>52</v>
      </c>
      <c r="E34" s="5">
        <v>10000</v>
      </c>
      <c r="F34" s="5">
        <f t="shared" si="0"/>
        <v>340000</v>
      </c>
      <c r="G34" s="45">
        <f t="shared" si="1"/>
        <v>210000</v>
      </c>
    </row>
    <row r="35" spans="1:7" x14ac:dyDescent="0.35">
      <c r="A35" s="6"/>
      <c r="B35" s="43">
        <v>45782</v>
      </c>
      <c r="C35" s="4">
        <v>10333</v>
      </c>
      <c r="D35" s="4" t="s">
        <v>52</v>
      </c>
      <c r="E35" s="5">
        <v>10000</v>
      </c>
      <c r="F35" s="5">
        <f t="shared" si="0"/>
        <v>350000</v>
      </c>
      <c r="G35" s="45">
        <f t="shared" si="1"/>
        <v>200000</v>
      </c>
    </row>
    <row r="36" spans="1:7" x14ac:dyDescent="0.35">
      <c r="A36" s="6"/>
      <c r="B36" s="43">
        <v>45783</v>
      </c>
      <c r="C36" s="4">
        <v>10469</v>
      </c>
      <c r="D36" s="4" t="s">
        <v>52</v>
      </c>
      <c r="E36" s="5">
        <v>10000</v>
      </c>
      <c r="F36" s="5">
        <f t="shared" si="0"/>
        <v>360000</v>
      </c>
      <c r="G36" s="45">
        <f t="shared" si="1"/>
        <v>190000</v>
      </c>
    </row>
    <row r="37" spans="1:7" x14ac:dyDescent="0.35">
      <c r="A37" s="6"/>
      <c r="B37" s="43">
        <v>45845</v>
      </c>
      <c r="C37" s="4">
        <v>12097</v>
      </c>
      <c r="D37" s="4" t="s">
        <v>52</v>
      </c>
      <c r="E37" s="5">
        <v>10000</v>
      </c>
      <c r="F37" s="5">
        <f t="shared" si="0"/>
        <v>370000</v>
      </c>
      <c r="G37" s="45">
        <f t="shared" si="1"/>
        <v>180000</v>
      </c>
    </row>
    <row r="38" spans="1:7" x14ac:dyDescent="0.35">
      <c r="A38" s="6"/>
      <c r="B38" s="43">
        <v>45816</v>
      </c>
      <c r="C38" s="4">
        <v>2421</v>
      </c>
      <c r="D38" s="4" t="s">
        <v>52</v>
      </c>
      <c r="E38" s="5">
        <v>10000</v>
      </c>
      <c r="F38" s="5">
        <f t="shared" si="0"/>
        <v>380000</v>
      </c>
      <c r="G38" s="45">
        <f t="shared" si="1"/>
        <v>170000</v>
      </c>
    </row>
    <row r="39" spans="1:7" x14ac:dyDescent="0.35">
      <c r="A39" s="6"/>
      <c r="B39" s="43">
        <v>45786</v>
      </c>
      <c r="C39" s="4">
        <v>12622</v>
      </c>
      <c r="D39" s="4" t="s">
        <v>52</v>
      </c>
      <c r="E39" s="5">
        <v>10000</v>
      </c>
      <c r="F39" s="5">
        <f t="shared" si="0"/>
        <v>390000</v>
      </c>
      <c r="G39" s="45">
        <f t="shared" si="1"/>
        <v>160000</v>
      </c>
    </row>
    <row r="40" spans="1:7" x14ac:dyDescent="0.35">
      <c r="A40" s="6"/>
      <c r="B40" s="43">
        <v>45848</v>
      </c>
      <c r="C40" s="4">
        <v>13719</v>
      </c>
      <c r="D40" s="4" t="s">
        <v>52</v>
      </c>
      <c r="E40" s="5">
        <v>10000</v>
      </c>
      <c r="F40" s="5">
        <f t="shared" si="0"/>
        <v>400000</v>
      </c>
      <c r="G40" s="45">
        <f t="shared" si="1"/>
        <v>150000</v>
      </c>
    </row>
    <row r="41" spans="1:7" x14ac:dyDescent="0.35">
      <c r="A41" s="6"/>
      <c r="B41" s="43">
        <v>45819</v>
      </c>
      <c r="C41" s="4">
        <v>13437</v>
      </c>
      <c r="D41" s="4" t="s">
        <v>52</v>
      </c>
      <c r="E41" s="5">
        <v>10000</v>
      </c>
      <c r="F41" s="5">
        <f t="shared" si="0"/>
        <v>410000</v>
      </c>
      <c r="G41" s="45">
        <f t="shared" si="1"/>
        <v>140000</v>
      </c>
    </row>
    <row r="42" spans="1:7" x14ac:dyDescent="0.35">
      <c r="A42" s="6"/>
      <c r="B42" s="43">
        <v>45728</v>
      </c>
      <c r="C42" s="4">
        <v>13268</v>
      </c>
      <c r="D42" s="4" t="s">
        <v>52</v>
      </c>
      <c r="E42" s="5">
        <v>10000</v>
      </c>
      <c r="F42" s="5">
        <f t="shared" si="0"/>
        <v>420000</v>
      </c>
      <c r="G42" s="45">
        <f t="shared" si="1"/>
        <v>130000</v>
      </c>
    </row>
    <row r="43" spans="1:7" x14ac:dyDescent="0.35">
      <c r="A43" s="6"/>
      <c r="B43" s="43">
        <v>46082</v>
      </c>
      <c r="C43" s="4">
        <v>13379</v>
      </c>
      <c r="D43" s="4" t="s">
        <v>52</v>
      </c>
      <c r="E43" s="5">
        <v>10000</v>
      </c>
      <c r="F43" s="5">
        <f t="shared" si="0"/>
        <v>430000</v>
      </c>
      <c r="G43" s="45">
        <f t="shared" si="1"/>
        <v>120000</v>
      </c>
    </row>
    <row r="44" spans="1:7" x14ac:dyDescent="0.35">
      <c r="A44" s="6"/>
      <c r="B44" s="48">
        <v>46175</v>
      </c>
      <c r="C44" s="49">
        <v>12359</v>
      </c>
      <c r="D44" s="49" t="s">
        <v>52</v>
      </c>
      <c r="E44" s="50">
        <v>10000</v>
      </c>
      <c r="F44" s="50">
        <f t="shared" si="0"/>
        <v>440000</v>
      </c>
      <c r="G44" s="51">
        <f t="shared" si="1"/>
        <v>110000</v>
      </c>
    </row>
    <row r="45" spans="1:7" x14ac:dyDescent="0.35">
      <c r="B45" s="48">
        <v>46115</v>
      </c>
      <c r="C45" s="49">
        <v>12732</v>
      </c>
      <c r="D45" s="49" t="s">
        <v>52</v>
      </c>
      <c r="E45" s="50">
        <v>10000</v>
      </c>
      <c r="F45" s="50">
        <f>SUM(F44+E45)</f>
        <v>450000</v>
      </c>
      <c r="G45" s="51">
        <f t="shared" ref="G45:G50" si="2">G44-E45</f>
        <v>100000</v>
      </c>
    </row>
    <row r="46" spans="1:7" x14ac:dyDescent="0.35">
      <c r="B46" s="48">
        <v>46177</v>
      </c>
      <c r="C46" s="49">
        <v>13155</v>
      </c>
      <c r="D46" s="49" t="s">
        <v>52</v>
      </c>
      <c r="E46" s="50">
        <v>10000</v>
      </c>
      <c r="F46" s="50">
        <f>SUM(F45+E46)</f>
        <v>460000</v>
      </c>
      <c r="G46" s="51">
        <f t="shared" si="2"/>
        <v>90000</v>
      </c>
    </row>
    <row r="47" spans="1:7" x14ac:dyDescent="0.35">
      <c r="B47" s="4" t="s">
        <v>482</v>
      </c>
      <c r="C47" s="4">
        <v>12933</v>
      </c>
      <c r="D47" s="4" t="s">
        <v>52</v>
      </c>
      <c r="E47" s="5">
        <v>10000</v>
      </c>
      <c r="F47" s="5">
        <f t="shared" ref="F47:F52" si="3">F46+E47</f>
        <v>470000</v>
      </c>
      <c r="G47" s="5">
        <f t="shared" si="2"/>
        <v>80000</v>
      </c>
    </row>
    <row r="48" spans="1:7" x14ac:dyDescent="0.35">
      <c r="B48" s="4" t="s">
        <v>483</v>
      </c>
      <c r="C48" s="4">
        <v>13504</v>
      </c>
      <c r="D48" s="4" t="s">
        <v>52</v>
      </c>
      <c r="E48" s="5">
        <v>10000</v>
      </c>
      <c r="F48" s="5">
        <f t="shared" si="3"/>
        <v>480000</v>
      </c>
      <c r="G48" s="5">
        <f t="shared" si="2"/>
        <v>70000</v>
      </c>
    </row>
    <row r="49" spans="2:7" x14ac:dyDescent="0.35">
      <c r="B49" s="4" t="s">
        <v>588</v>
      </c>
      <c r="C49" s="4">
        <v>1380</v>
      </c>
      <c r="D49" s="4" t="s">
        <v>52</v>
      </c>
      <c r="E49" s="5">
        <v>10000</v>
      </c>
      <c r="F49" s="5">
        <f t="shared" si="3"/>
        <v>490000</v>
      </c>
      <c r="G49" s="5">
        <f t="shared" si="2"/>
        <v>60000</v>
      </c>
    </row>
    <row r="50" spans="2:7" x14ac:dyDescent="0.35">
      <c r="B50" s="90">
        <v>46089</v>
      </c>
      <c r="C50" s="4">
        <v>1631</v>
      </c>
      <c r="D50" s="4" t="s">
        <v>52</v>
      </c>
      <c r="E50" s="5">
        <v>10000</v>
      </c>
      <c r="F50" s="5">
        <f t="shared" si="3"/>
        <v>500000</v>
      </c>
      <c r="G50" s="5">
        <f t="shared" si="2"/>
        <v>50000</v>
      </c>
    </row>
    <row r="51" spans="2:7" x14ac:dyDescent="0.35">
      <c r="B51" s="90">
        <v>46121</v>
      </c>
      <c r="C51" s="4">
        <v>1898</v>
      </c>
      <c r="D51" s="4" t="s">
        <v>52</v>
      </c>
      <c r="E51" s="5">
        <v>10000</v>
      </c>
      <c r="F51" s="5">
        <f t="shared" si="3"/>
        <v>510000</v>
      </c>
      <c r="G51" s="5">
        <f>G50-E51</f>
        <v>40000</v>
      </c>
    </row>
    <row r="52" spans="2:7" x14ac:dyDescent="0.35">
      <c r="B52" s="90">
        <v>46121</v>
      </c>
      <c r="C52" s="4">
        <v>1898</v>
      </c>
      <c r="D52" s="4" t="s">
        <v>52</v>
      </c>
      <c r="E52" s="5">
        <v>10000</v>
      </c>
      <c r="F52" s="5">
        <f t="shared" si="3"/>
        <v>520000</v>
      </c>
      <c r="G52" s="5">
        <f>G51-E52</f>
        <v>30000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RowHeight="14.5" x14ac:dyDescent="0.35"/>
  <cols>
    <col min="1" max="1" width="9.72656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274</v>
      </c>
      <c r="B1" s="1"/>
      <c r="C1" s="1"/>
      <c r="D1" s="1"/>
      <c r="E1" s="1"/>
    </row>
    <row r="2" spans="1:6" ht="18.5" x14ac:dyDescent="0.45">
      <c r="A2" s="1" t="s">
        <v>275</v>
      </c>
      <c r="C2" s="1"/>
      <c r="D2" s="1"/>
      <c r="E2" s="1"/>
    </row>
    <row r="3" spans="1:6" ht="18.5" x14ac:dyDescent="0.45">
      <c r="A3" s="1" t="s">
        <v>276</v>
      </c>
      <c r="B3" s="1"/>
      <c r="C3" s="1"/>
      <c r="D3" s="1"/>
      <c r="E3" s="1"/>
    </row>
    <row r="4" spans="1:6" ht="18.5" x14ac:dyDescent="0.45">
      <c r="A4" s="1" t="s">
        <v>280</v>
      </c>
      <c r="B4" s="1"/>
      <c r="C4" s="1"/>
      <c r="D4" s="1"/>
      <c r="E4" s="1"/>
    </row>
    <row r="5" spans="1:6" ht="18.5" x14ac:dyDescent="0.45">
      <c r="A5" s="1" t="s">
        <v>277</v>
      </c>
      <c r="B5" s="1"/>
      <c r="C5" s="1"/>
      <c r="D5" s="1"/>
      <c r="E5" s="1"/>
    </row>
    <row r="6" spans="1:6" ht="18.5" x14ac:dyDescent="0.45">
      <c r="A6" s="1" t="s">
        <v>278</v>
      </c>
      <c r="B6" s="1"/>
      <c r="C6" s="1"/>
      <c r="D6" s="1" t="s">
        <v>279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19" t="s">
        <v>11</v>
      </c>
    </row>
    <row r="8" spans="1:6" x14ac:dyDescent="0.35">
      <c r="A8" t="s">
        <v>281</v>
      </c>
      <c r="B8">
        <v>451</v>
      </c>
      <c r="C8" t="s">
        <v>14</v>
      </c>
      <c r="D8" s="18">
        <v>10000</v>
      </c>
      <c r="E8" s="18">
        <v>10000</v>
      </c>
      <c r="F8" s="18">
        <v>106000</v>
      </c>
    </row>
    <row r="9" spans="1:6" x14ac:dyDescent="0.35">
      <c r="A9" s="13">
        <v>45150</v>
      </c>
      <c r="B9">
        <v>1068</v>
      </c>
      <c r="C9" t="s">
        <v>35</v>
      </c>
      <c r="D9">
        <v>14500</v>
      </c>
      <c r="E9" s="18">
        <f>SUM(E8+D9)</f>
        <v>24500</v>
      </c>
      <c r="F9" s="18">
        <f>F8-D9</f>
        <v>91500</v>
      </c>
    </row>
    <row r="10" spans="1:6" x14ac:dyDescent="0.35">
      <c r="A10" s="13">
        <v>45173</v>
      </c>
      <c r="B10">
        <v>1069</v>
      </c>
      <c r="C10" t="s">
        <v>14</v>
      </c>
      <c r="D10" s="18">
        <v>29000</v>
      </c>
      <c r="E10" s="18">
        <f t="shared" ref="E10:E13" si="0">SUM(E9+D10)</f>
        <v>53500</v>
      </c>
      <c r="F10" s="18">
        <f t="shared" ref="F10:F13" si="1">F9-D10</f>
        <v>62500</v>
      </c>
    </row>
    <row r="11" spans="1:6" x14ac:dyDescent="0.35">
      <c r="A11" t="s">
        <v>282</v>
      </c>
      <c r="B11">
        <v>1070</v>
      </c>
      <c r="C11" t="s">
        <v>35</v>
      </c>
      <c r="D11" s="18">
        <v>14500</v>
      </c>
      <c r="E11" s="18">
        <f t="shared" si="0"/>
        <v>68000</v>
      </c>
      <c r="F11" s="18">
        <f t="shared" si="1"/>
        <v>48000</v>
      </c>
    </row>
    <row r="12" spans="1:6" x14ac:dyDescent="0.35">
      <c r="A12" t="s">
        <v>168</v>
      </c>
      <c r="B12">
        <v>3102</v>
      </c>
      <c r="C12" t="s">
        <v>14</v>
      </c>
      <c r="D12" s="18">
        <v>29000</v>
      </c>
      <c r="E12" s="18">
        <f t="shared" si="0"/>
        <v>97000</v>
      </c>
      <c r="F12" s="18">
        <f t="shared" si="1"/>
        <v>19000</v>
      </c>
    </row>
    <row r="13" spans="1:6" x14ac:dyDescent="0.35">
      <c r="A13" t="s">
        <v>118</v>
      </c>
      <c r="B13">
        <v>4465</v>
      </c>
      <c r="C13" t="s">
        <v>14</v>
      </c>
      <c r="D13" s="18">
        <v>19000</v>
      </c>
      <c r="E13" s="18">
        <f t="shared" si="0"/>
        <v>116000</v>
      </c>
      <c r="F13" s="18">
        <f t="shared" si="1"/>
        <v>0</v>
      </c>
    </row>
    <row r="14" spans="1:6" x14ac:dyDescent="0.35">
      <c r="B14" t="s">
        <v>283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13" workbookViewId="0">
      <selection activeCell="D22" sqref="D22"/>
    </sheetView>
  </sheetViews>
  <sheetFormatPr defaultRowHeight="14.5" x14ac:dyDescent="0.35"/>
  <cols>
    <col min="1" max="1" width="11.63281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224</v>
      </c>
      <c r="B1" s="1"/>
      <c r="C1" s="1"/>
      <c r="D1" s="1"/>
      <c r="E1" s="1"/>
    </row>
    <row r="2" spans="1:6" ht="18.5" x14ac:dyDescent="0.45">
      <c r="A2" s="1" t="s">
        <v>225</v>
      </c>
      <c r="C2" s="1"/>
      <c r="D2" s="1"/>
      <c r="E2" s="1"/>
    </row>
    <row r="3" spans="1:6" ht="18.5" x14ac:dyDescent="0.45">
      <c r="A3" s="1" t="s">
        <v>226</v>
      </c>
      <c r="B3" s="1"/>
      <c r="C3" s="1"/>
      <c r="D3" s="1"/>
      <c r="E3" s="1"/>
    </row>
    <row r="4" spans="1:6" ht="18.5" x14ac:dyDescent="0.45">
      <c r="A4" s="1" t="s">
        <v>373</v>
      </c>
      <c r="B4" s="1"/>
      <c r="C4" s="1"/>
      <c r="D4" s="1"/>
      <c r="E4" s="1"/>
    </row>
    <row r="5" spans="1:6" ht="18.5" x14ac:dyDescent="0.45">
      <c r="A5" s="1" t="s">
        <v>227</v>
      </c>
      <c r="B5" s="1"/>
      <c r="C5" s="1"/>
      <c r="D5" s="1"/>
      <c r="E5" s="1"/>
    </row>
    <row r="6" spans="1:6" ht="18.5" x14ac:dyDescent="0.45">
      <c r="A6" s="1" t="s">
        <v>228</v>
      </c>
      <c r="B6" s="1"/>
      <c r="C6" s="1"/>
      <c r="D6" s="1" t="s">
        <v>34</v>
      </c>
      <c r="E6" s="1"/>
    </row>
    <row r="7" spans="1:6" x14ac:dyDescent="0.35">
      <c r="A7" s="41" t="s">
        <v>6</v>
      </c>
      <c r="B7" s="42" t="s">
        <v>7</v>
      </c>
      <c r="C7" s="42" t="s">
        <v>8</v>
      </c>
      <c r="D7" s="39" t="s">
        <v>9</v>
      </c>
      <c r="E7" s="39" t="s">
        <v>10</v>
      </c>
      <c r="F7" s="40" t="s">
        <v>11</v>
      </c>
    </row>
    <row r="8" spans="1:6" x14ac:dyDescent="0.35">
      <c r="A8" s="33" t="s">
        <v>229</v>
      </c>
      <c r="B8" s="15">
        <v>12891</v>
      </c>
      <c r="C8" s="15" t="s">
        <v>235</v>
      </c>
      <c r="D8" s="16">
        <v>50000</v>
      </c>
      <c r="E8" s="16">
        <v>50000</v>
      </c>
      <c r="F8" s="35">
        <v>600000</v>
      </c>
    </row>
    <row r="9" spans="1:6" x14ac:dyDescent="0.35">
      <c r="A9" s="33" t="s">
        <v>230</v>
      </c>
      <c r="B9" s="15">
        <v>12971</v>
      </c>
      <c r="C9" s="15" t="s">
        <v>52</v>
      </c>
      <c r="D9" s="16">
        <v>10000</v>
      </c>
      <c r="E9" s="16">
        <f>SUM(E8+D9)</f>
        <v>60000</v>
      </c>
      <c r="F9" s="35">
        <f>F8-D9</f>
        <v>590000</v>
      </c>
    </row>
    <row r="10" spans="1:6" x14ac:dyDescent="0.35">
      <c r="A10" s="33" t="s">
        <v>231</v>
      </c>
      <c r="B10" s="15">
        <v>13835</v>
      </c>
      <c r="C10" s="15" t="s">
        <v>52</v>
      </c>
      <c r="D10" s="16">
        <v>10000</v>
      </c>
      <c r="E10" s="16">
        <f t="shared" ref="E10:E16" si="0">SUM(E9+D10)</f>
        <v>70000</v>
      </c>
      <c r="F10" s="35">
        <f t="shared" ref="F10:F16" si="1">F9-D10</f>
        <v>580000</v>
      </c>
    </row>
    <row r="11" spans="1:6" x14ac:dyDescent="0.35">
      <c r="A11" s="34">
        <v>46001</v>
      </c>
      <c r="B11" s="15">
        <v>13786</v>
      </c>
      <c r="C11" s="15" t="s">
        <v>52</v>
      </c>
      <c r="D11" s="16">
        <v>10000</v>
      </c>
      <c r="E11" s="16">
        <f t="shared" si="0"/>
        <v>80000</v>
      </c>
      <c r="F11" s="35">
        <f t="shared" si="1"/>
        <v>570000</v>
      </c>
    </row>
    <row r="12" spans="1:6" x14ac:dyDescent="0.35">
      <c r="A12" s="33" t="s">
        <v>130</v>
      </c>
      <c r="B12" s="15">
        <v>13395</v>
      </c>
      <c r="C12" s="15" t="s">
        <v>52</v>
      </c>
      <c r="D12" s="16">
        <v>10000</v>
      </c>
      <c r="E12" s="16">
        <f t="shared" si="0"/>
        <v>90000</v>
      </c>
      <c r="F12" s="35">
        <f t="shared" si="1"/>
        <v>560000</v>
      </c>
    </row>
    <row r="13" spans="1:6" x14ac:dyDescent="0.35">
      <c r="A13" s="33" t="s">
        <v>232</v>
      </c>
      <c r="B13" s="15">
        <v>12621</v>
      </c>
      <c r="C13" s="15" t="s">
        <v>52</v>
      </c>
      <c r="D13" s="16">
        <v>10000</v>
      </c>
      <c r="E13" s="16">
        <f t="shared" si="0"/>
        <v>100000</v>
      </c>
      <c r="F13" s="35">
        <f t="shared" si="1"/>
        <v>550000</v>
      </c>
    </row>
    <row r="14" spans="1:6" x14ac:dyDescent="0.35">
      <c r="A14" s="33" t="s">
        <v>233</v>
      </c>
      <c r="B14" s="15">
        <v>12134</v>
      </c>
      <c r="C14" s="15" t="s">
        <v>52</v>
      </c>
      <c r="D14" s="16">
        <v>10000</v>
      </c>
      <c r="E14" s="16">
        <f t="shared" si="0"/>
        <v>110000</v>
      </c>
      <c r="F14" s="35">
        <f t="shared" si="1"/>
        <v>540000</v>
      </c>
    </row>
    <row r="15" spans="1:6" x14ac:dyDescent="0.35">
      <c r="A15" s="33" t="s">
        <v>234</v>
      </c>
      <c r="B15" s="15">
        <v>12491</v>
      </c>
      <c r="C15" s="15" t="s">
        <v>52</v>
      </c>
      <c r="D15" s="16">
        <v>10000</v>
      </c>
      <c r="E15" s="16">
        <f t="shared" si="0"/>
        <v>120000</v>
      </c>
      <c r="F15" s="35">
        <f t="shared" si="1"/>
        <v>530000</v>
      </c>
    </row>
    <row r="16" spans="1:6" x14ac:dyDescent="0.35">
      <c r="A16" s="29" t="s">
        <v>223</v>
      </c>
      <c r="B16" s="36">
        <v>12878</v>
      </c>
      <c r="C16" s="36" t="s">
        <v>52</v>
      </c>
      <c r="D16" s="37">
        <v>10000</v>
      </c>
      <c r="E16" s="37">
        <f t="shared" si="0"/>
        <v>130000</v>
      </c>
      <c r="F16" s="38">
        <f t="shared" si="1"/>
        <v>520000</v>
      </c>
    </row>
    <row r="17" spans="1:6" x14ac:dyDescent="0.35">
      <c r="A17" s="29" t="s">
        <v>338</v>
      </c>
      <c r="B17" s="36">
        <v>13284</v>
      </c>
      <c r="C17" s="36" t="s">
        <v>52</v>
      </c>
      <c r="D17" s="37">
        <v>10000</v>
      </c>
      <c r="E17" s="37">
        <f>SUM(E16+D17)</f>
        <v>140000</v>
      </c>
      <c r="F17" s="38">
        <f>F16-D17</f>
        <v>510000</v>
      </c>
    </row>
    <row r="18" spans="1:6" x14ac:dyDescent="0.35">
      <c r="A18" s="74">
        <v>46361</v>
      </c>
      <c r="B18" s="36">
        <v>13341</v>
      </c>
      <c r="C18" s="36" t="s">
        <v>52</v>
      </c>
      <c r="D18" s="37">
        <v>10000</v>
      </c>
      <c r="E18" s="37">
        <f>SUM(E17+D18)</f>
        <v>150000</v>
      </c>
      <c r="F18" s="38">
        <f>F17-D18</f>
        <v>500000</v>
      </c>
    </row>
    <row r="19" spans="1:6" x14ac:dyDescent="0.35">
      <c r="A19" t="s">
        <v>610</v>
      </c>
      <c r="B19">
        <v>1472</v>
      </c>
      <c r="C19" s="36" t="s">
        <v>52</v>
      </c>
      <c r="D19" s="16">
        <v>20000</v>
      </c>
      <c r="E19" s="16">
        <f t="shared" ref="E19:E20" si="2">SUM(E18+D19)</f>
        <v>170000</v>
      </c>
      <c r="F19" s="35">
        <f t="shared" ref="F19:F20" si="3">F18-D19</f>
        <v>480000</v>
      </c>
    </row>
    <row r="20" spans="1:6" x14ac:dyDescent="0.35">
      <c r="A20" t="s">
        <v>611</v>
      </c>
      <c r="B20">
        <v>1752</v>
      </c>
      <c r="C20" s="36" t="s">
        <v>52</v>
      </c>
      <c r="D20" s="16">
        <v>10000</v>
      </c>
      <c r="E20" s="16">
        <f t="shared" si="2"/>
        <v>180000</v>
      </c>
      <c r="F20" s="35">
        <f t="shared" si="3"/>
        <v>470000</v>
      </c>
    </row>
    <row r="21" spans="1:6" x14ac:dyDescent="0.35">
      <c r="A21" t="s">
        <v>633</v>
      </c>
      <c r="B21">
        <v>2025</v>
      </c>
      <c r="C21" s="36" t="s">
        <v>52</v>
      </c>
      <c r="D21" s="16">
        <v>10000</v>
      </c>
      <c r="E21" s="16">
        <f>SUM(E20+D21)</f>
        <v>190000</v>
      </c>
      <c r="F21" s="35">
        <f>F20-D21</f>
        <v>460000</v>
      </c>
    </row>
  </sheetData>
  <phoneticPr fontId="10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33" workbookViewId="0">
      <selection activeCell="F32" sqref="F32"/>
    </sheetView>
  </sheetViews>
  <sheetFormatPr defaultRowHeight="14.5" x14ac:dyDescent="0.35"/>
  <cols>
    <col min="1" max="1" width="9.453125" bestFit="1" customWidth="1"/>
    <col min="3" max="3" width="13" customWidth="1"/>
  </cols>
  <sheetData>
    <row r="1" spans="1:6" ht="18.5" x14ac:dyDescent="0.45">
      <c r="A1" s="1" t="s">
        <v>374</v>
      </c>
      <c r="B1" s="1"/>
      <c r="C1" s="1"/>
      <c r="D1" s="1"/>
      <c r="E1" s="1"/>
    </row>
    <row r="2" spans="1:6" ht="18.5" x14ac:dyDescent="0.45">
      <c r="A2" s="1" t="s">
        <v>375</v>
      </c>
      <c r="C2" s="1"/>
      <c r="D2" s="1"/>
      <c r="E2" s="1"/>
    </row>
    <row r="3" spans="1:6" ht="18.5" x14ac:dyDescent="0.45">
      <c r="A3" s="1" t="s">
        <v>376</v>
      </c>
      <c r="B3" s="1"/>
      <c r="C3" s="1"/>
      <c r="D3" s="1"/>
      <c r="E3" s="1"/>
    </row>
    <row r="4" spans="1:6" ht="18.5" x14ac:dyDescent="0.45">
      <c r="A4" s="1" t="s">
        <v>387</v>
      </c>
      <c r="B4" s="1"/>
      <c r="C4" s="1"/>
      <c r="D4" s="1"/>
      <c r="E4" s="1"/>
    </row>
    <row r="5" spans="1:6" ht="18.5" x14ac:dyDescent="0.45">
      <c r="A5" s="1" t="s">
        <v>377</v>
      </c>
      <c r="B5" s="1"/>
      <c r="C5" s="1"/>
      <c r="D5" s="1"/>
      <c r="E5" s="1"/>
    </row>
    <row r="6" spans="1:6" ht="18.5" x14ac:dyDescent="0.45">
      <c r="A6" s="1" t="s">
        <v>379</v>
      </c>
      <c r="B6" s="1"/>
      <c r="C6" s="1"/>
      <c r="D6" s="1"/>
      <c r="E6" s="1"/>
    </row>
    <row r="7" spans="1:6" ht="18.5" x14ac:dyDescent="0.45">
      <c r="A7" s="1" t="s">
        <v>380</v>
      </c>
      <c r="B7" s="1"/>
      <c r="C7" s="1"/>
      <c r="D7" s="1"/>
      <c r="E7" s="1"/>
    </row>
    <row r="8" spans="1:6" ht="18.5" x14ac:dyDescent="0.45">
      <c r="A8" s="1" t="s">
        <v>381</v>
      </c>
      <c r="B8" s="1"/>
      <c r="C8" s="1"/>
      <c r="D8" s="1"/>
      <c r="E8" s="1"/>
    </row>
    <row r="9" spans="1:6" ht="18.5" x14ac:dyDescent="0.45">
      <c r="A9" s="1" t="s">
        <v>382</v>
      </c>
      <c r="C9" s="1"/>
      <c r="D9" s="1"/>
      <c r="E9" s="1"/>
    </row>
    <row r="10" spans="1:6" ht="18.5" x14ac:dyDescent="0.45">
      <c r="A10" s="1" t="s">
        <v>383</v>
      </c>
      <c r="B10" s="1"/>
      <c r="C10" s="1"/>
      <c r="D10" s="1"/>
      <c r="E10" s="1"/>
    </row>
    <row r="11" spans="1:6" ht="18.5" x14ac:dyDescent="0.45">
      <c r="A11" s="1" t="s">
        <v>385</v>
      </c>
      <c r="B11" s="1"/>
      <c r="C11" s="1"/>
      <c r="D11" s="1"/>
      <c r="E11" s="1"/>
    </row>
    <row r="12" spans="1:6" ht="18.5" x14ac:dyDescent="0.45">
      <c r="A12" s="1" t="s">
        <v>384</v>
      </c>
      <c r="B12" s="1"/>
      <c r="C12" s="1"/>
      <c r="D12" s="1"/>
      <c r="E12" s="1"/>
    </row>
    <row r="13" spans="1:6" ht="18.5" x14ac:dyDescent="0.45">
      <c r="A13" s="1" t="s">
        <v>378</v>
      </c>
      <c r="B13" s="1"/>
      <c r="C13" s="1"/>
      <c r="D13" s="1" t="s">
        <v>386</v>
      </c>
      <c r="E13" s="1"/>
    </row>
    <row r="14" spans="1:6" x14ac:dyDescent="0.35">
      <c r="A14" s="80" t="s">
        <v>6</v>
      </c>
      <c r="B14" s="81" t="s">
        <v>7</v>
      </c>
      <c r="C14" s="81" t="s">
        <v>8</v>
      </c>
      <c r="D14" s="82" t="s">
        <v>9</v>
      </c>
      <c r="E14" s="82" t="s">
        <v>10</v>
      </c>
      <c r="F14" s="79" t="s">
        <v>11</v>
      </c>
    </row>
    <row r="15" spans="1:6" x14ac:dyDescent="0.35">
      <c r="A15" s="83" t="s">
        <v>388</v>
      </c>
      <c r="B15" s="84">
        <v>1181</v>
      </c>
      <c r="C15" s="84" t="s">
        <v>14</v>
      </c>
      <c r="D15" s="18">
        <v>10000</v>
      </c>
      <c r="E15" s="18">
        <v>10000</v>
      </c>
      <c r="F15" s="18">
        <v>162500</v>
      </c>
    </row>
    <row r="16" spans="1:6" x14ac:dyDescent="0.35">
      <c r="A16" s="13">
        <v>44785</v>
      </c>
      <c r="B16">
        <v>29</v>
      </c>
      <c r="C16" s="84" t="s">
        <v>14</v>
      </c>
      <c r="D16" s="18">
        <v>20000</v>
      </c>
      <c r="E16" s="18">
        <f>E15+D16</f>
        <v>30000</v>
      </c>
      <c r="F16" s="18">
        <f>F15-D16</f>
        <v>142500</v>
      </c>
    </row>
    <row r="17" spans="1:6" x14ac:dyDescent="0.35">
      <c r="A17" t="s">
        <v>165</v>
      </c>
      <c r="B17">
        <v>30</v>
      </c>
      <c r="C17" s="84" t="s">
        <v>14</v>
      </c>
      <c r="D17" s="18">
        <v>10000</v>
      </c>
      <c r="E17" s="18">
        <f t="shared" ref="E17:E28" si="0">E16+D17</f>
        <v>40000</v>
      </c>
      <c r="F17" s="18">
        <f t="shared" ref="F17:F27" si="1">F16-D17</f>
        <v>132500</v>
      </c>
    </row>
    <row r="18" spans="1:6" x14ac:dyDescent="0.35">
      <c r="A18" t="s">
        <v>389</v>
      </c>
      <c r="B18">
        <v>1382</v>
      </c>
      <c r="C18" s="84" t="s">
        <v>14</v>
      </c>
      <c r="D18" s="18">
        <v>10000</v>
      </c>
      <c r="E18" s="18">
        <f t="shared" si="0"/>
        <v>50000</v>
      </c>
      <c r="F18" s="18">
        <f t="shared" si="1"/>
        <v>122500</v>
      </c>
    </row>
    <row r="19" spans="1:6" x14ac:dyDescent="0.35">
      <c r="A19" t="s">
        <v>390</v>
      </c>
      <c r="B19">
        <v>188</v>
      </c>
      <c r="C19" s="84" t="s">
        <v>14</v>
      </c>
      <c r="D19" s="18">
        <v>10000</v>
      </c>
      <c r="E19" s="18">
        <f t="shared" si="0"/>
        <v>60000</v>
      </c>
      <c r="F19" s="18">
        <f t="shared" si="1"/>
        <v>112500</v>
      </c>
    </row>
    <row r="20" spans="1:6" x14ac:dyDescent="0.35">
      <c r="A20" t="s">
        <v>391</v>
      </c>
      <c r="B20">
        <v>2536</v>
      </c>
      <c r="C20" s="84" t="s">
        <v>14</v>
      </c>
      <c r="D20" s="18">
        <v>10000</v>
      </c>
      <c r="E20" s="18">
        <f t="shared" si="0"/>
        <v>70000</v>
      </c>
      <c r="F20" s="18">
        <f t="shared" si="1"/>
        <v>102500</v>
      </c>
    </row>
    <row r="21" spans="1:6" x14ac:dyDescent="0.35">
      <c r="A21" s="13">
        <v>45055</v>
      </c>
      <c r="B21">
        <v>3403</v>
      </c>
      <c r="C21" s="84" t="s">
        <v>14</v>
      </c>
      <c r="D21" s="18">
        <v>20000</v>
      </c>
      <c r="E21" s="18">
        <f t="shared" si="0"/>
        <v>90000</v>
      </c>
      <c r="F21" s="18">
        <f t="shared" si="1"/>
        <v>82500</v>
      </c>
    </row>
    <row r="22" spans="1:6" x14ac:dyDescent="0.35">
      <c r="A22" s="13">
        <v>45148</v>
      </c>
      <c r="B22">
        <v>4115</v>
      </c>
      <c r="C22" s="84" t="s">
        <v>14</v>
      </c>
      <c r="D22" s="18">
        <v>10000</v>
      </c>
      <c r="E22" s="18">
        <f t="shared" si="0"/>
        <v>100000</v>
      </c>
      <c r="F22" s="18">
        <f t="shared" si="1"/>
        <v>72500</v>
      </c>
    </row>
    <row r="23" spans="1:6" x14ac:dyDescent="0.35">
      <c r="A23" s="13">
        <v>45180</v>
      </c>
      <c r="B23">
        <v>4762</v>
      </c>
      <c r="C23" s="84" t="s">
        <v>14</v>
      </c>
      <c r="D23" s="18">
        <v>10000</v>
      </c>
      <c r="E23" s="18">
        <f t="shared" si="0"/>
        <v>110000</v>
      </c>
      <c r="F23" s="18">
        <f t="shared" si="1"/>
        <v>62500</v>
      </c>
    </row>
    <row r="24" spans="1:6" x14ac:dyDescent="0.35">
      <c r="A24" t="s">
        <v>392</v>
      </c>
      <c r="B24">
        <v>5543</v>
      </c>
      <c r="C24" s="84" t="s">
        <v>14</v>
      </c>
      <c r="D24" s="18">
        <v>10000</v>
      </c>
      <c r="E24" s="18">
        <f t="shared" si="0"/>
        <v>120000</v>
      </c>
      <c r="F24" s="18">
        <f t="shared" si="1"/>
        <v>52500</v>
      </c>
    </row>
    <row r="25" spans="1:6" x14ac:dyDescent="0.35">
      <c r="A25" s="13">
        <v>45566</v>
      </c>
      <c r="B25">
        <v>6066</v>
      </c>
      <c r="C25" s="84" t="s">
        <v>14</v>
      </c>
      <c r="D25" s="18">
        <v>15000</v>
      </c>
      <c r="E25" s="18">
        <f t="shared" si="0"/>
        <v>135000</v>
      </c>
      <c r="F25" s="18">
        <f t="shared" si="1"/>
        <v>37500</v>
      </c>
    </row>
    <row r="26" spans="1:6" x14ac:dyDescent="0.35">
      <c r="A26" s="13">
        <v>45628</v>
      </c>
      <c r="B26">
        <v>7108</v>
      </c>
      <c r="C26" s="84" t="s">
        <v>14</v>
      </c>
      <c r="D26" s="18">
        <v>15000</v>
      </c>
      <c r="E26" s="18">
        <f t="shared" si="0"/>
        <v>150000</v>
      </c>
      <c r="F26" s="18">
        <f t="shared" si="1"/>
        <v>22500</v>
      </c>
    </row>
    <row r="27" spans="1:6" x14ac:dyDescent="0.35">
      <c r="A27" s="13">
        <v>45629</v>
      </c>
      <c r="B27">
        <v>7321</v>
      </c>
      <c r="C27" s="84" t="s">
        <v>14</v>
      </c>
      <c r="D27" s="18">
        <v>10000</v>
      </c>
      <c r="E27" s="18">
        <f t="shared" si="0"/>
        <v>160000</v>
      </c>
      <c r="F27" s="18">
        <f t="shared" si="1"/>
        <v>12500</v>
      </c>
    </row>
    <row r="28" spans="1:6" x14ac:dyDescent="0.35">
      <c r="A28" s="13">
        <v>45539</v>
      </c>
      <c r="B28">
        <v>7796</v>
      </c>
      <c r="C28" s="84" t="s">
        <v>14</v>
      </c>
      <c r="D28" s="18">
        <v>12000</v>
      </c>
      <c r="E28" s="18">
        <f t="shared" si="0"/>
        <v>172000</v>
      </c>
      <c r="F28" s="18" t="s">
        <v>306</v>
      </c>
    </row>
    <row r="29" spans="1:6" ht="18.5" x14ac:dyDescent="0.45">
      <c r="A29" s="73" t="s">
        <v>353</v>
      </c>
      <c r="B29" s="73"/>
      <c r="C29" s="73"/>
      <c r="D29" s="73"/>
      <c r="E29" s="73"/>
    </row>
    <row r="31" spans="1:6" x14ac:dyDescent="0.35">
      <c r="A31" t="s">
        <v>594</v>
      </c>
      <c r="B31">
        <v>1803</v>
      </c>
      <c r="C31" s="84" t="s">
        <v>595</v>
      </c>
      <c r="D31" s="18">
        <v>100000</v>
      </c>
      <c r="E31" s="18">
        <v>275000</v>
      </c>
      <c r="F31" t="s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A5" sqref="A5"/>
    </sheetView>
  </sheetViews>
  <sheetFormatPr defaultRowHeight="14.5" x14ac:dyDescent="0.35"/>
  <cols>
    <col min="1" max="1" width="10.453125" bestFit="1" customWidth="1"/>
    <col min="3" max="3" width="13.26953125" customWidth="1"/>
    <col min="4" max="4" width="14" customWidth="1"/>
    <col min="5" max="5" width="11.1796875" customWidth="1"/>
    <col min="6" max="6" width="14.36328125" customWidth="1"/>
  </cols>
  <sheetData>
    <row r="1" spans="1:7" ht="18.5" x14ac:dyDescent="0.45">
      <c r="A1" s="1" t="s">
        <v>96</v>
      </c>
      <c r="B1" s="1"/>
      <c r="C1" s="1"/>
      <c r="D1" s="1"/>
      <c r="E1" s="1"/>
      <c r="F1" s="1"/>
      <c r="G1" s="14"/>
    </row>
    <row r="2" spans="1:7" ht="18.5" x14ac:dyDescent="0.45">
      <c r="A2" s="1" t="s">
        <v>97</v>
      </c>
      <c r="B2" s="1"/>
      <c r="C2" s="1"/>
      <c r="D2" s="1"/>
      <c r="E2" s="1"/>
      <c r="F2" s="1"/>
      <c r="G2" s="14"/>
    </row>
    <row r="3" spans="1:7" ht="18.5" x14ac:dyDescent="0.45">
      <c r="A3" s="1" t="s">
        <v>95</v>
      </c>
      <c r="B3" s="1"/>
      <c r="C3" s="1"/>
      <c r="D3" s="1"/>
      <c r="E3" s="1"/>
      <c r="F3" s="1"/>
      <c r="G3" s="14"/>
    </row>
    <row r="4" spans="1:7" ht="18.5" x14ac:dyDescent="0.45">
      <c r="A4" s="1" t="s">
        <v>98</v>
      </c>
      <c r="B4" s="1"/>
      <c r="C4" s="1"/>
      <c r="D4" s="1"/>
      <c r="E4" s="1"/>
      <c r="F4" s="1"/>
      <c r="G4" s="14"/>
    </row>
    <row r="5" spans="1:7" ht="18.5" x14ac:dyDescent="0.45">
      <c r="A5" s="1" t="s">
        <v>99</v>
      </c>
      <c r="B5" s="1"/>
      <c r="C5" s="1"/>
      <c r="D5" s="1" t="s">
        <v>100</v>
      </c>
      <c r="E5" s="1"/>
      <c r="F5" s="1"/>
      <c r="G5" s="14"/>
    </row>
    <row r="6" spans="1:7" ht="15.5" x14ac:dyDescent="0.35">
      <c r="A6" s="56" t="s">
        <v>6</v>
      </c>
      <c r="B6" s="57" t="s">
        <v>7</v>
      </c>
      <c r="C6" s="57" t="s">
        <v>8</v>
      </c>
      <c r="D6" s="54" t="s">
        <v>9</v>
      </c>
      <c r="E6" s="54" t="s">
        <v>10</v>
      </c>
      <c r="F6" s="55" t="s">
        <v>11</v>
      </c>
      <c r="G6" s="14"/>
    </row>
    <row r="7" spans="1:7" x14ac:dyDescent="0.35">
      <c r="A7" s="43">
        <v>44177</v>
      </c>
      <c r="B7" s="4">
        <v>2386</v>
      </c>
      <c r="C7" s="4" t="s">
        <v>35</v>
      </c>
      <c r="D7" s="5">
        <v>120000</v>
      </c>
      <c r="E7" s="5">
        <v>120000</v>
      </c>
      <c r="F7" s="45">
        <v>380000</v>
      </c>
    </row>
    <row r="8" spans="1:7" x14ac:dyDescent="0.35">
      <c r="A8" s="43">
        <v>45051</v>
      </c>
      <c r="B8" s="4">
        <v>1453</v>
      </c>
      <c r="C8" s="4" t="s">
        <v>52</v>
      </c>
      <c r="D8" s="5">
        <v>10000</v>
      </c>
      <c r="E8" s="5">
        <f>SUM(E7+D8)</f>
        <v>130000</v>
      </c>
      <c r="F8" s="45">
        <f>F7-D8</f>
        <v>370000</v>
      </c>
    </row>
    <row r="9" spans="1:7" x14ac:dyDescent="0.35">
      <c r="A9" s="44" t="s">
        <v>101</v>
      </c>
      <c r="B9" s="4">
        <v>2165</v>
      </c>
      <c r="C9" s="4" t="s">
        <v>52</v>
      </c>
      <c r="D9" s="5">
        <v>10000</v>
      </c>
      <c r="E9" s="5">
        <f t="shared" ref="E9:E34" si="0">SUM(E8+D9)</f>
        <v>140000</v>
      </c>
      <c r="F9" s="45">
        <f t="shared" ref="F9:F34" si="1">F8-D9</f>
        <v>360000</v>
      </c>
    </row>
    <row r="10" spans="1:7" x14ac:dyDescent="0.35">
      <c r="A10" s="43">
        <v>45114</v>
      </c>
      <c r="B10" s="4">
        <v>2166</v>
      </c>
      <c r="C10" s="4" t="s">
        <v>52</v>
      </c>
      <c r="D10" s="5">
        <v>10000</v>
      </c>
      <c r="E10" s="5">
        <f t="shared" si="0"/>
        <v>150000</v>
      </c>
      <c r="F10" s="45">
        <f t="shared" si="1"/>
        <v>350000</v>
      </c>
    </row>
    <row r="11" spans="1:7" x14ac:dyDescent="0.35">
      <c r="A11" s="44" t="s">
        <v>102</v>
      </c>
      <c r="B11" s="4">
        <v>2505</v>
      </c>
      <c r="C11" s="4" t="s">
        <v>52</v>
      </c>
      <c r="D11" s="5">
        <v>40000</v>
      </c>
      <c r="E11" s="5">
        <f t="shared" si="0"/>
        <v>190000</v>
      </c>
      <c r="F11" s="45">
        <f t="shared" si="1"/>
        <v>310000</v>
      </c>
    </row>
    <row r="12" spans="1:7" x14ac:dyDescent="0.35">
      <c r="A12" s="43">
        <v>45628</v>
      </c>
      <c r="B12" s="4">
        <v>7127</v>
      </c>
      <c r="C12" s="4" t="s">
        <v>52</v>
      </c>
      <c r="D12" s="5">
        <v>10000</v>
      </c>
      <c r="E12" s="5">
        <f t="shared" si="0"/>
        <v>200000</v>
      </c>
      <c r="F12" s="45">
        <f t="shared" si="1"/>
        <v>300000</v>
      </c>
    </row>
    <row r="13" spans="1:7" x14ac:dyDescent="0.35">
      <c r="A13" s="43">
        <v>45507</v>
      </c>
      <c r="B13" s="4">
        <v>6950</v>
      </c>
      <c r="C13" s="4" t="s">
        <v>52</v>
      </c>
      <c r="D13" s="5">
        <v>10000</v>
      </c>
      <c r="E13" s="5">
        <f t="shared" si="0"/>
        <v>210000</v>
      </c>
      <c r="F13" s="45">
        <f t="shared" si="1"/>
        <v>290000</v>
      </c>
    </row>
    <row r="14" spans="1:7" x14ac:dyDescent="0.35">
      <c r="A14" s="43">
        <v>45477</v>
      </c>
      <c r="B14" s="4">
        <v>7729</v>
      </c>
      <c r="C14" s="4" t="s">
        <v>52</v>
      </c>
      <c r="D14" s="5">
        <v>20000</v>
      </c>
      <c r="E14" s="5">
        <f t="shared" si="0"/>
        <v>230000</v>
      </c>
      <c r="F14" s="45">
        <f t="shared" si="1"/>
        <v>270000</v>
      </c>
    </row>
    <row r="15" spans="1:7" x14ac:dyDescent="0.35">
      <c r="A15" s="43">
        <v>45417</v>
      </c>
      <c r="B15" s="4">
        <v>8259</v>
      </c>
      <c r="C15" s="4" t="s">
        <v>52</v>
      </c>
      <c r="D15" s="5">
        <v>20000</v>
      </c>
      <c r="E15" s="5">
        <f t="shared" si="0"/>
        <v>250000</v>
      </c>
      <c r="F15" s="45">
        <f t="shared" si="1"/>
        <v>250000</v>
      </c>
    </row>
    <row r="16" spans="1:7" x14ac:dyDescent="0.35">
      <c r="A16" s="43">
        <v>45389</v>
      </c>
      <c r="B16" s="4">
        <v>9383</v>
      </c>
      <c r="C16" s="4" t="s">
        <v>52</v>
      </c>
      <c r="D16" s="5">
        <v>10000</v>
      </c>
      <c r="E16" s="5">
        <f t="shared" si="0"/>
        <v>260000</v>
      </c>
      <c r="F16" s="45">
        <f t="shared" si="1"/>
        <v>240000</v>
      </c>
    </row>
    <row r="17" spans="1:6" x14ac:dyDescent="0.35">
      <c r="A17" s="43">
        <v>45573</v>
      </c>
      <c r="B17" s="4">
        <v>11042</v>
      </c>
      <c r="C17" s="4" t="s">
        <v>52</v>
      </c>
      <c r="D17" s="5">
        <v>10000</v>
      </c>
      <c r="E17" s="5">
        <f t="shared" si="0"/>
        <v>270000</v>
      </c>
      <c r="F17" s="45">
        <f t="shared" si="1"/>
        <v>230000</v>
      </c>
    </row>
    <row r="18" spans="1:6" x14ac:dyDescent="0.35">
      <c r="A18" s="43">
        <v>45391</v>
      </c>
      <c r="B18" s="4">
        <v>10515</v>
      </c>
      <c r="C18" s="4" t="s">
        <v>52</v>
      </c>
      <c r="D18" s="5">
        <v>10000</v>
      </c>
      <c r="E18" s="5">
        <f t="shared" si="0"/>
        <v>280000</v>
      </c>
      <c r="F18" s="45">
        <f t="shared" si="1"/>
        <v>220000</v>
      </c>
    </row>
    <row r="19" spans="1:6" x14ac:dyDescent="0.35">
      <c r="A19" s="43">
        <v>45453</v>
      </c>
      <c r="B19" s="4">
        <v>11404</v>
      </c>
      <c r="C19" s="4" t="s">
        <v>52</v>
      </c>
      <c r="D19" s="5">
        <v>10000</v>
      </c>
      <c r="E19" s="5">
        <f t="shared" si="0"/>
        <v>290000</v>
      </c>
      <c r="F19" s="45">
        <f t="shared" si="1"/>
        <v>210000</v>
      </c>
    </row>
    <row r="20" spans="1:6" x14ac:dyDescent="0.35">
      <c r="A20" s="43">
        <v>45362</v>
      </c>
      <c r="B20" s="4">
        <v>11580</v>
      </c>
      <c r="C20" s="4" t="s">
        <v>52</v>
      </c>
      <c r="D20" s="5">
        <v>10000</v>
      </c>
      <c r="E20" s="5">
        <f t="shared" si="0"/>
        <v>300000</v>
      </c>
      <c r="F20" s="45">
        <f t="shared" si="1"/>
        <v>200000</v>
      </c>
    </row>
    <row r="21" spans="1:6" x14ac:dyDescent="0.35">
      <c r="A21" s="43">
        <v>45363</v>
      </c>
      <c r="B21" s="4">
        <v>12564</v>
      </c>
      <c r="C21" s="4" t="s">
        <v>52</v>
      </c>
      <c r="D21" s="5">
        <v>10000</v>
      </c>
      <c r="E21" s="5">
        <f t="shared" si="0"/>
        <v>310000</v>
      </c>
      <c r="F21" s="45">
        <f t="shared" si="1"/>
        <v>190000</v>
      </c>
    </row>
    <row r="22" spans="1:6" x14ac:dyDescent="0.35">
      <c r="A22" s="43">
        <v>45690</v>
      </c>
      <c r="B22" s="4">
        <v>9184</v>
      </c>
      <c r="C22" s="4" t="s">
        <v>52</v>
      </c>
      <c r="D22" s="5">
        <v>20000</v>
      </c>
      <c r="E22" s="5">
        <f t="shared" si="0"/>
        <v>330000</v>
      </c>
      <c r="F22" s="45">
        <f t="shared" si="1"/>
        <v>170000</v>
      </c>
    </row>
    <row r="23" spans="1:6" x14ac:dyDescent="0.35">
      <c r="A23" s="43">
        <v>45903</v>
      </c>
      <c r="B23" s="4">
        <v>9663</v>
      </c>
      <c r="C23" s="4" t="s">
        <v>52</v>
      </c>
      <c r="D23" s="5">
        <v>10000</v>
      </c>
      <c r="E23" s="5">
        <f t="shared" si="0"/>
        <v>340000</v>
      </c>
      <c r="F23" s="45">
        <f t="shared" si="1"/>
        <v>160000</v>
      </c>
    </row>
    <row r="24" spans="1:6" x14ac:dyDescent="0.35">
      <c r="A24" s="43">
        <v>45934</v>
      </c>
      <c r="B24" s="4">
        <v>9990</v>
      </c>
      <c r="C24" s="4" t="s">
        <v>52</v>
      </c>
      <c r="D24" s="5">
        <v>10000</v>
      </c>
      <c r="E24" s="5">
        <f t="shared" si="0"/>
        <v>350000</v>
      </c>
      <c r="F24" s="45">
        <f t="shared" si="1"/>
        <v>150000</v>
      </c>
    </row>
    <row r="25" spans="1:6" x14ac:dyDescent="0.35">
      <c r="A25" s="43">
        <v>45752</v>
      </c>
      <c r="B25" s="4">
        <v>10316</v>
      </c>
      <c r="C25" s="4" t="s">
        <v>52</v>
      </c>
      <c r="D25" s="5">
        <v>10000</v>
      </c>
      <c r="E25" s="5">
        <f t="shared" si="0"/>
        <v>360000</v>
      </c>
      <c r="F25" s="45">
        <f t="shared" si="1"/>
        <v>140000</v>
      </c>
    </row>
    <row r="26" spans="1:6" x14ac:dyDescent="0.35">
      <c r="A26" s="43">
        <v>45663</v>
      </c>
      <c r="B26" s="4">
        <v>10422</v>
      </c>
      <c r="C26" s="4" t="s">
        <v>52</v>
      </c>
      <c r="D26" s="5">
        <v>10000</v>
      </c>
      <c r="E26" s="5">
        <f t="shared" si="0"/>
        <v>370000</v>
      </c>
      <c r="F26" s="45">
        <f t="shared" si="1"/>
        <v>130000</v>
      </c>
    </row>
    <row r="27" spans="1:6" x14ac:dyDescent="0.35">
      <c r="A27" s="43">
        <v>45998</v>
      </c>
      <c r="B27" s="4">
        <v>12150</v>
      </c>
      <c r="C27" s="4" t="s">
        <v>52</v>
      </c>
      <c r="D27" s="5">
        <v>10000</v>
      </c>
      <c r="E27" s="5">
        <f t="shared" si="0"/>
        <v>380000</v>
      </c>
      <c r="F27" s="45">
        <f t="shared" si="1"/>
        <v>120000</v>
      </c>
    </row>
    <row r="28" spans="1:6" x14ac:dyDescent="0.35">
      <c r="A28" s="43">
        <v>45696</v>
      </c>
      <c r="B28" s="4">
        <v>12368</v>
      </c>
      <c r="C28" s="4" t="s">
        <v>52</v>
      </c>
      <c r="D28" s="5">
        <v>10000</v>
      </c>
      <c r="E28" s="5">
        <f t="shared" si="0"/>
        <v>390000</v>
      </c>
      <c r="F28" s="45">
        <f t="shared" si="1"/>
        <v>110000</v>
      </c>
    </row>
    <row r="29" spans="1:6" x14ac:dyDescent="0.35">
      <c r="A29" s="43">
        <v>45817</v>
      </c>
      <c r="B29" s="4">
        <v>12634</v>
      </c>
      <c r="C29" s="4" t="s">
        <v>52</v>
      </c>
      <c r="D29" s="5">
        <v>10000</v>
      </c>
      <c r="E29" s="5">
        <f t="shared" si="0"/>
        <v>400000</v>
      </c>
      <c r="F29" s="45">
        <f t="shared" si="1"/>
        <v>100000</v>
      </c>
    </row>
    <row r="30" spans="1:6" x14ac:dyDescent="0.35">
      <c r="A30" s="43">
        <v>45787</v>
      </c>
      <c r="B30" s="4">
        <v>13883</v>
      </c>
      <c r="C30" s="4" t="s">
        <v>52</v>
      </c>
      <c r="D30" s="5">
        <v>10000</v>
      </c>
      <c r="E30" s="5">
        <f t="shared" si="0"/>
        <v>410000</v>
      </c>
      <c r="F30" s="45">
        <f t="shared" si="1"/>
        <v>90000</v>
      </c>
    </row>
    <row r="31" spans="1:6" x14ac:dyDescent="0.35">
      <c r="A31" s="43">
        <v>45911</v>
      </c>
      <c r="B31" s="4">
        <v>13484</v>
      </c>
      <c r="C31" s="4" t="s">
        <v>52</v>
      </c>
      <c r="D31" s="5">
        <v>10000</v>
      </c>
      <c r="E31" s="5">
        <f t="shared" si="0"/>
        <v>420000</v>
      </c>
      <c r="F31" s="45">
        <f t="shared" si="1"/>
        <v>80000</v>
      </c>
    </row>
    <row r="32" spans="1:6" x14ac:dyDescent="0.35">
      <c r="A32" s="43">
        <v>45820</v>
      </c>
      <c r="B32" s="4">
        <v>13288</v>
      </c>
      <c r="C32" s="4" t="s">
        <v>52</v>
      </c>
      <c r="D32" s="5">
        <v>10000</v>
      </c>
      <c r="E32" s="5">
        <f t="shared" si="0"/>
        <v>430000</v>
      </c>
      <c r="F32" s="45">
        <f t="shared" si="1"/>
        <v>70000</v>
      </c>
    </row>
    <row r="33" spans="1:6" x14ac:dyDescent="0.35">
      <c r="A33" s="43">
        <v>46082</v>
      </c>
      <c r="B33" s="4">
        <v>13877</v>
      </c>
      <c r="C33" s="4" t="s">
        <v>52</v>
      </c>
      <c r="D33" s="5">
        <v>10000</v>
      </c>
      <c r="E33" s="5">
        <f t="shared" si="0"/>
        <v>440000</v>
      </c>
      <c r="F33" s="45">
        <f t="shared" si="1"/>
        <v>60000</v>
      </c>
    </row>
    <row r="34" spans="1:6" x14ac:dyDescent="0.35">
      <c r="A34" s="48">
        <v>46236</v>
      </c>
      <c r="B34" s="49">
        <v>12388</v>
      </c>
      <c r="C34" s="49" t="s">
        <v>52</v>
      </c>
      <c r="D34" s="50">
        <v>50000</v>
      </c>
      <c r="E34" s="50">
        <f t="shared" si="0"/>
        <v>490000</v>
      </c>
      <c r="F34" s="51">
        <f t="shared" si="1"/>
        <v>10000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A5"/>
    </sheetView>
  </sheetViews>
  <sheetFormatPr defaultRowHeight="14.5" x14ac:dyDescent="0.35"/>
  <cols>
    <col min="1" max="1" width="11.81640625" customWidth="1"/>
    <col min="3" max="3" width="13.08984375" customWidth="1"/>
    <col min="4" max="4" width="11.1796875" customWidth="1"/>
    <col min="5" max="5" width="10.1796875" customWidth="1"/>
    <col min="6" max="6" width="11.26953125" customWidth="1"/>
  </cols>
  <sheetData>
    <row r="1" spans="1:6" ht="18.5" x14ac:dyDescent="0.45">
      <c r="A1" s="1" t="s">
        <v>298</v>
      </c>
      <c r="B1" s="1"/>
      <c r="C1" s="1"/>
      <c r="D1" s="1"/>
      <c r="E1" s="1"/>
      <c r="F1" s="1"/>
    </row>
    <row r="2" spans="1:6" ht="18.5" x14ac:dyDescent="0.45">
      <c r="A2" s="1" t="s">
        <v>299</v>
      </c>
      <c r="C2" s="1"/>
      <c r="D2" s="1"/>
      <c r="E2" s="1"/>
      <c r="F2" s="1"/>
    </row>
    <row r="3" spans="1:6" ht="18.5" x14ac:dyDescent="0.45">
      <c r="A3" s="1" t="s">
        <v>300</v>
      </c>
      <c r="B3" s="1"/>
      <c r="C3" s="1"/>
      <c r="D3" s="1"/>
      <c r="E3" s="1"/>
      <c r="F3" s="1"/>
    </row>
    <row r="4" spans="1:6" ht="18.5" x14ac:dyDescent="0.45">
      <c r="A4" s="1" t="s">
        <v>304</v>
      </c>
      <c r="B4" s="1"/>
      <c r="C4" s="1"/>
      <c r="D4" s="1"/>
      <c r="E4" s="1"/>
      <c r="F4" s="1"/>
    </row>
    <row r="5" spans="1:6" ht="18.5" x14ac:dyDescent="0.45">
      <c r="A5" s="1" t="s">
        <v>301</v>
      </c>
      <c r="B5" s="1"/>
      <c r="C5" s="1"/>
      <c r="D5" s="1"/>
      <c r="E5" s="1"/>
      <c r="F5" s="1"/>
    </row>
    <row r="6" spans="1:6" ht="18.5" x14ac:dyDescent="0.45">
      <c r="A6" s="1" t="s">
        <v>302</v>
      </c>
      <c r="B6" s="1"/>
      <c r="C6" s="1"/>
      <c r="D6" s="1"/>
      <c r="E6" s="1" t="s">
        <v>303</v>
      </c>
      <c r="F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t="s">
        <v>128</v>
      </c>
      <c r="B8">
        <v>11683</v>
      </c>
      <c r="C8" t="s">
        <v>305</v>
      </c>
      <c r="D8" s="18">
        <v>300000</v>
      </c>
      <c r="E8" s="18">
        <v>300000</v>
      </c>
      <c r="F8" t="s">
        <v>306</v>
      </c>
    </row>
    <row r="9" spans="1:6" ht="18.5" x14ac:dyDescent="0.45">
      <c r="A9" s="1"/>
    </row>
    <row r="10" spans="1:6" ht="18.5" x14ac:dyDescent="0.45">
      <c r="A10" s="91" t="s">
        <v>618</v>
      </c>
      <c r="B10" s="92"/>
      <c r="C10" s="92"/>
    </row>
    <row r="11" spans="1:6" x14ac:dyDescent="0.35">
      <c r="A11" s="93" t="s">
        <v>6</v>
      </c>
      <c r="B11" s="94" t="s">
        <v>7</v>
      </c>
      <c r="C11" s="94" t="s">
        <v>8</v>
      </c>
      <c r="D11" s="95" t="s">
        <v>9</v>
      </c>
      <c r="E11" s="95" t="s">
        <v>10</v>
      </c>
      <c r="F11" s="96" t="s">
        <v>11</v>
      </c>
    </row>
    <row r="12" spans="1:6" x14ac:dyDescent="0.35">
      <c r="A12" s="6" t="s">
        <v>619</v>
      </c>
      <c r="B12" s="15">
        <v>5309</v>
      </c>
      <c r="C12" s="15" t="s">
        <v>401</v>
      </c>
      <c r="D12" s="16">
        <v>10000</v>
      </c>
      <c r="E12" s="16">
        <v>10000</v>
      </c>
      <c r="F12" s="16">
        <v>440000</v>
      </c>
    </row>
    <row r="13" spans="1:6" x14ac:dyDescent="0.35">
      <c r="A13" s="6" t="s">
        <v>620</v>
      </c>
      <c r="B13" s="15">
        <v>5545</v>
      </c>
      <c r="C13" s="15" t="s">
        <v>401</v>
      </c>
      <c r="D13" s="15">
        <v>5000</v>
      </c>
      <c r="E13" s="16">
        <f>E12+D13</f>
        <v>15000</v>
      </c>
      <c r="F13" s="16">
        <f>F12-D13</f>
        <v>435000</v>
      </c>
    </row>
    <row r="14" spans="1:6" x14ac:dyDescent="0.35">
      <c r="A14" s="7">
        <v>46238</v>
      </c>
      <c r="B14" s="15">
        <v>5886</v>
      </c>
      <c r="C14" s="15" t="s">
        <v>401</v>
      </c>
      <c r="D14" s="15">
        <v>5000</v>
      </c>
      <c r="E14" s="16">
        <f>E13+D14</f>
        <v>20000</v>
      </c>
      <c r="F14" s="16">
        <f>F13-D14</f>
        <v>430000</v>
      </c>
    </row>
    <row r="15" spans="1:6" x14ac:dyDescent="0.35">
      <c r="A15" s="7">
        <v>46239</v>
      </c>
      <c r="B15" s="15">
        <v>1406</v>
      </c>
      <c r="C15" s="15" t="s">
        <v>401</v>
      </c>
      <c r="D15" s="15">
        <v>5000</v>
      </c>
      <c r="E15" s="16">
        <f>E14+D15</f>
        <v>25000</v>
      </c>
      <c r="F15" s="16">
        <f>F14-D15</f>
        <v>425000</v>
      </c>
    </row>
    <row r="16" spans="1:6" x14ac:dyDescent="0.35">
      <c r="A16" s="6" t="s">
        <v>621</v>
      </c>
      <c r="B16" s="15">
        <v>1702</v>
      </c>
      <c r="C16" s="15" t="s">
        <v>401</v>
      </c>
      <c r="D16" s="15">
        <v>5000</v>
      </c>
      <c r="E16" s="16">
        <f>E15+D16</f>
        <v>30000</v>
      </c>
      <c r="F16" s="16">
        <f>F15-D16</f>
        <v>420000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9" sqref="B9"/>
    </sheetView>
  </sheetViews>
  <sheetFormatPr defaultRowHeight="14.5" x14ac:dyDescent="0.35"/>
  <sheetData>
    <row r="1" spans="1:5" ht="18.5" x14ac:dyDescent="0.45">
      <c r="A1" s="1" t="s">
        <v>654</v>
      </c>
      <c r="B1" s="1"/>
      <c r="C1" s="1"/>
      <c r="D1" s="1"/>
      <c r="E1" s="1"/>
    </row>
    <row r="2" spans="1:5" ht="18.5" x14ac:dyDescent="0.45">
      <c r="A2" s="1" t="s">
        <v>655</v>
      </c>
      <c r="C2" s="1"/>
      <c r="D2" s="1"/>
      <c r="E2" s="1"/>
    </row>
    <row r="3" spans="1:5" ht="18.5" x14ac:dyDescent="0.45">
      <c r="A3" s="1" t="s">
        <v>655</v>
      </c>
      <c r="B3" s="1"/>
      <c r="C3" s="1"/>
      <c r="D3" s="1"/>
      <c r="E3" s="1"/>
    </row>
    <row r="4" spans="1:5" ht="18.5" x14ac:dyDescent="0.45">
      <c r="A4" s="1" t="s">
        <v>656</v>
      </c>
      <c r="B4" s="1"/>
      <c r="C4" s="1"/>
      <c r="D4" s="1"/>
      <c r="E4" s="1"/>
    </row>
    <row r="5" spans="1:5" ht="18.5" x14ac:dyDescent="0.45">
      <c r="A5" s="1" t="s">
        <v>657</v>
      </c>
      <c r="B5" s="1"/>
      <c r="C5" s="1"/>
      <c r="D5" s="1"/>
      <c r="E5" s="1"/>
    </row>
    <row r="6" spans="1:5" ht="18.5" x14ac:dyDescent="0.45">
      <c r="B6" s="1"/>
      <c r="C6" s="1"/>
      <c r="D6" s="1" t="s">
        <v>117</v>
      </c>
      <c r="E6" s="1"/>
    </row>
    <row r="9" spans="1:5" x14ac:dyDescent="0.35">
      <c r="B9" t="s">
        <v>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F6" sqref="A1:F6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243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249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247</v>
      </c>
      <c r="B6" s="1"/>
      <c r="C6" s="1"/>
      <c r="D6" s="1" t="s">
        <v>248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/>
      <c r="B8" s="6"/>
      <c r="C8" s="6" t="s">
        <v>14</v>
      </c>
      <c r="D8" s="8">
        <v>10000</v>
      </c>
      <c r="E8" s="8">
        <v>10000</v>
      </c>
      <c r="F8" s="23">
        <v>330000</v>
      </c>
    </row>
    <row r="9" spans="1:6" x14ac:dyDescent="0.35">
      <c r="A9" s="31"/>
      <c r="B9" s="6"/>
      <c r="C9" s="6" t="s">
        <v>14</v>
      </c>
      <c r="D9" s="8">
        <v>10000</v>
      </c>
      <c r="E9" s="8">
        <f>SUM(E8+D9)</f>
        <v>20000</v>
      </c>
      <c r="F9" s="23">
        <f>F8-D9</f>
        <v>320000</v>
      </c>
    </row>
    <row r="10" spans="1:6" x14ac:dyDescent="0.35">
      <c r="A10" s="31" t="s">
        <v>250</v>
      </c>
      <c r="B10" s="6">
        <v>1216</v>
      </c>
      <c r="C10" s="6" t="s">
        <v>14</v>
      </c>
      <c r="D10" s="8">
        <v>30000</v>
      </c>
      <c r="E10" s="8">
        <f t="shared" ref="E10:E36" si="0">SUM(E9+D10)</f>
        <v>50000</v>
      </c>
      <c r="F10" s="23">
        <f t="shared" ref="F10:F36" si="1">F9-D10</f>
        <v>290000</v>
      </c>
    </row>
    <row r="11" spans="1:6" x14ac:dyDescent="0.35">
      <c r="A11" s="31" t="s">
        <v>251</v>
      </c>
      <c r="B11" s="6">
        <v>1217</v>
      </c>
      <c r="C11" s="6" t="s">
        <v>14</v>
      </c>
      <c r="D11" s="8">
        <v>20000</v>
      </c>
      <c r="E11" s="8">
        <f t="shared" si="0"/>
        <v>70000</v>
      </c>
      <c r="F11" s="23">
        <f t="shared" si="1"/>
        <v>270000</v>
      </c>
    </row>
    <row r="12" spans="1:6" x14ac:dyDescent="0.35">
      <c r="A12" s="31" t="s">
        <v>17</v>
      </c>
      <c r="B12" s="6">
        <v>3013</v>
      </c>
      <c r="C12" s="6" t="s">
        <v>14</v>
      </c>
      <c r="D12" s="8">
        <v>10000</v>
      </c>
      <c r="E12" s="8">
        <f t="shared" si="0"/>
        <v>80000</v>
      </c>
      <c r="F12" s="23">
        <f t="shared" si="1"/>
        <v>260000</v>
      </c>
    </row>
    <row r="13" spans="1:6" x14ac:dyDescent="0.35">
      <c r="A13" s="31" t="s">
        <v>252</v>
      </c>
      <c r="B13" s="6">
        <v>3824</v>
      </c>
      <c r="C13" s="6" t="s">
        <v>14</v>
      </c>
      <c r="D13" s="8">
        <v>15000</v>
      </c>
      <c r="E13" s="8">
        <f t="shared" si="0"/>
        <v>95000</v>
      </c>
      <c r="F13" s="23">
        <f t="shared" si="1"/>
        <v>245000</v>
      </c>
    </row>
    <row r="14" spans="1:6" x14ac:dyDescent="0.35">
      <c r="A14" s="22">
        <v>44937</v>
      </c>
      <c r="B14" s="6">
        <v>4596</v>
      </c>
      <c r="C14" s="6" t="s">
        <v>14</v>
      </c>
      <c r="D14" s="8">
        <v>10000</v>
      </c>
      <c r="E14" s="8">
        <f t="shared" si="0"/>
        <v>105000</v>
      </c>
      <c r="F14" s="23">
        <f t="shared" si="1"/>
        <v>235000</v>
      </c>
    </row>
    <row r="15" spans="1:6" x14ac:dyDescent="0.35">
      <c r="A15" s="31" t="s">
        <v>253</v>
      </c>
      <c r="B15" s="6">
        <v>5084</v>
      </c>
      <c r="C15" s="6" t="s">
        <v>14</v>
      </c>
      <c r="D15" s="8">
        <v>10000</v>
      </c>
      <c r="E15" s="8">
        <f t="shared" si="0"/>
        <v>115000</v>
      </c>
      <c r="F15" s="23">
        <f t="shared" si="1"/>
        <v>225000</v>
      </c>
    </row>
    <row r="16" spans="1:6" x14ac:dyDescent="0.35">
      <c r="A16" s="22">
        <v>45119</v>
      </c>
      <c r="B16" s="6">
        <v>5338</v>
      </c>
      <c r="C16" s="6" t="s">
        <v>14</v>
      </c>
      <c r="D16" s="8">
        <v>10000</v>
      </c>
      <c r="E16" s="8">
        <f t="shared" si="0"/>
        <v>125000</v>
      </c>
      <c r="F16" s="23">
        <f t="shared" si="1"/>
        <v>215000</v>
      </c>
    </row>
    <row r="17" spans="1:6" x14ac:dyDescent="0.35">
      <c r="A17" s="22">
        <v>45505</v>
      </c>
      <c r="B17" s="6">
        <v>6015</v>
      </c>
      <c r="C17" s="6" t="s">
        <v>14</v>
      </c>
      <c r="D17" s="8">
        <v>10000</v>
      </c>
      <c r="E17" s="8">
        <f t="shared" si="0"/>
        <v>135000</v>
      </c>
      <c r="F17" s="23">
        <f t="shared" si="1"/>
        <v>205000</v>
      </c>
    </row>
    <row r="18" spans="1:6" x14ac:dyDescent="0.35">
      <c r="A18" s="22">
        <v>45598</v>
      </c>
      <c r="B18" s="6">
        <v>7093</v>
      </c>
      <c r="C18" s="6" t="s">
        <v>14</v>
      </c>
      <c r="D18" s="8">
        <v>10000</v>
      </c>
      <c r="E18" s="8">
        <f t="shared" si="0"/>
        <v>145000</v>
      </c>
      <c r="F18" s="23">
        <f t="shared" si="1"/>
        <v>195000</v>
      </c>
    </row>
    <row r="19" spans="1:6" x14ac:dyDescent="0.35">
      <c r="A19" s="31"/>
      <c r="B19" s="6"/>
      <c r="C19" s="6" t="s">
        <v>14</v>
      </c>
      <c r="D19" s="8">
        <v>10000</v>
      </c>
      <c r="E19" s="8">
        <f t="shared" si="0"/>
        <v>155000</v>
      </c>
      <c r="F19" s="23">
        <f t="shared" si="1"/>
        <v>185000</v>
      </c>
    </row>
    <row r="20" spans="1:6" x14ac:dyDescent="0.35">
      <c r="A20" s="31"/>
      <c r="B20" s="6">
        <v>7205</v>
      </c>
      <c r="C20" s="6" t="s">
        <v>14</v>
      </c>
      <c r="D20" s="8">
        <v>10000</v>
      </c>
      <c r="E20" s="8">
        <f t="shared" si="0"/>
        <v>165000</v>
      </c>
      <c r="F20" s="23">
        <f t="shared" si="1"/>
        <v>175000</v>
      </c>
    </row>
    <row r="21" spans="1:6" x14ac:dyDescent="0.35">
      <c r="A21" s="22">
        <v>45601</v>
      </c>
      <c r="B21" s="6">
        <v>8409</v>
      </c>
      <c r="C21" s="6" t="s">
        <v>14</v>
      </c>
      <c r="D21" s="8">
        <v>10000</v>
      </c>
      <c r="E21" s="8">
        <f t="shared" si="0"/>
        <v>175000</v>
      </c>
      <c r="F21" s="23">
        <f t="shared" si="1"/>
        <v>165000</v>
      </c>
    </row>
    <row r="22" spans="1:6" x14ac:dyDescent="0.35">
      <c r="A22" s="22">
        <v>45510</v>
      </c>
      <c r="B22" s="6">
        <v>817</v>
      </c>
      <c r="C22" s="6" t="s">
        <v>14</v>
      </c>
      <c r="D22" s="8">
        <v>15000</v>
      </c>
      <c r="E22" s="8">
        <f t="shared" si="0"/>
        <v>190000</v>
      </c>
      <c r="F22" s="23">
        <f t="shared" si="1"/>
        <v>150000</v>
      </c>
    </row>
    <row r="23" spans="1:6" x14ac:dyDescent="0.35">
      <c r="A23" s="22">
        <v>45544</v>
      </c>
      <c r="B23" s="6">
        <v>818</v>
      </c>
      <c r="C23" s="6" t="s">
        <v>14</v>
      </c>
      <c r="D23" s="8">
        <v>10000</v>
      </c>
      <c r="E23" s="8">
        <f t="shared" si="0"/>
        <v>200000</v>
      </c>
      <c r="F23" s="23">
        <f t="shared" si="1"/>
        <v>140000</v>
      </c>
    </row>
    <row r="24" spans="1:6" x14ac:dyDescent="0.35">
      <c r="A24" s="22">
        <v>45483</v>
      </c>
      <c r="B24" s="6">
        <v>822</v>
      </c>
      <c r="C24" s="6" t="s">
        <v>14</v>
      </c>
      <c r="D24" s="8">
        <v>10000</v>
      </c>
      <c r="E24" s="8">
        <f t="shared" si="0"/>
        <v>210000</v>
      </c>
      <c r="F24" s="23">
        <f t="shared" si="1"/>
        <v>130000</v>
      </c>
    </row>
    <row r="25" spans="1:6" x14ac:dyDescent="0.35">
      <c r="A25" s="31" t="s">
        <v>254</v>
      </c>
      <c r="B25" s="6">
        <v>819</v>
      </c>
      <c r="C25" s="6" t="s">
        <v>14</v>
      </c>
      <c r="D25" s="8">
        <v>20000</v>
      </c>
      <c r="E25" s="8">
        <f t="shared" si="0"/>
        <v>230000</v>
      </c>
      <c r="F25" s="23">
        <f t="shared" si="1"/>
        <v>110000</v>
      </c>
    </row>
    <row r="26" spans="1:6" x14ac:dyDescent="0.35">
      <c r="A26" s="22">
        <v>45547</v>
      </c>
      <c r="B26" s="6">
        <v>820</v>
      </c>
      <c r="C26" s="6" t="s">
        <v>14</v>
      </c>
      <c r="D26" s="8">
        <v>10000</v>
      </c>
      <c r="E26" s="8">
        <f t="shared" si="0"/>
        <v>240000</v>
      </c>
      <c r="F26" s="23">
        <f t="shared" si="1"/>
        <v>100000</v>
      </c>
    </row>
    <row r="27" spans="1:6" x14ac:dyDescent="0.35">
      <c r="A27" s="31" t="s">
        <v>255</v>
      </c>
      <c r="B27" s="6">
        <v>821</v>
      </c>
      <c r="C27" s="6" t="s">
        <v>14</v>
      </c>
      <c r="D27" s="8">
        <v>10000</v>
      </c>
      <c r="E27" s="8">
        <f t="shared" si="0"/>
        <v>250000</v>
      </c>
      <c r="F27" s="23">
        <f t="shared" si="1"/>
        <v>90000</v>
      </c>
    </row>
    <row r="28" spans="1:6" x14ac:dyDescent="0.35">
      <c r="A28" s="22">
        <v>45934</v>
      </c>
      <c r="B28" s="6">
        <v>824</v>
      </c>
      <c r="C28" s="6" t="s">
        <v>14</v>
      </c>
      <c r="D28" s="8">
        <v>10000</v>
      </c>
      <c r="E28" s="8">
        <f t="shared" si="0"/>
        <v>260000</v>
      </c>
      <c r="F28" s="23">
        <f t="shared" si="1"/>
        <v>80000</v>
      </c>
    </row>
    <row r="29" spans="1:6" x14ac:dyDescent="0.35">
      <c r="A29" s="22">
        <v>45875</v>
      </c>
      <c r="B29" s="6">
        <v>8900</v>
      </c>
      <c r="C29" s="6" t="s">
        <v>14</v>
      </c>
      <c r="D29" s="8">
        <v>10000</v>
      </c>
      <c r="E29" s="8">
        <f t="shared" si="0"/>
        <v>270000</v>
      </c>
      <c r="F29" s="23">
        <f t="shared" si="1"/>
        <v>70000</v>
      </c>
    </row>
    <row r="30" spans="1:6" x14ac:dyDescent="0.35">
      <c r="A30" s="22">
        <v>45813</v>
      </c>
      <c r="B30" s="6">
        <v>10313</v>
      </c>
      <c r="C30" s="6" t="s">
        <v>14</v>
      </c>
      <c r="D30" s="8">
        <v>10000</v>
      </c>
      <c r="E30" s="8">
        <f t="shared" si="0"/>
        <v>280000</v>
      </c>
      <c r="F30" s="23">
        <f t="shared" si="1"/>
        <v>60000</v>
      </c>
    </row>
    <row r="31" spans="1:6" x14ac:dyDescent="0.35">
      <c r="A31" s="31" t="s">
        <v>256</v>
      </c>
      <c r="B31" s="6">
        <v>12983</v>
      </c>
      <c r="C31" s="6" t="s">
        <v>14</v>
      </c>
      <c r="D31" s="8">
        <v>10000</v>
      </c>
      <c r="E31" s="8">
        <f t="shared" si="0"/>
        <v>290000</v>
      </c>
      <c r="F31" s="23">
        <f t="shared" si="1"/>
        <v>50000</v>
      </c>
    </row>
    <row r="32" spans="1:6" x14ac:dyDescent="0.35">
      <c r="A32" s="22">
        <v>45787</v>
      </c>
      <c r="B32" s="6">
        <v>13898</v>
      </c>
      <c r="C32" s="6" t="s">
        <v>14</v>
      </c>
      <c r="D32" s="8">
        <v>10000</v>
      </c>
      <c r="E32" s="8">
        <f t="shared" si="0"/>
        <v>300000</v>
      </c>
      <c r="F32" s="23">
        <f t="shared" si="1"/>
        <v>40000</v>
      </c>
    </row>
    <row r="33" spans="1:6" x14ac:dyDescent="0.35">
      <c r="A33" s="31" t="s">
        <v>184</v>
      </c>
      <c r="B33" s="6">
        <v>13008</v>
      </c>
      <c r="C33" s="6" t="s">
        <v>14</v>
      </c>
      <c r="D33" s="8">
        <v>10000</v>
      </c>
      <c r="E33" s="8">
        <f t="shared" si="0"/>
        <v>310000</v>
      </c>
      <c r="F33" s="23">
        <f t="shared" si="1"/>
        <v>30000</v>
      </c>
    </row>
    <row r="34" spans="1:6" x14ac:dyDescent="0.35">
      <c r="A34" s="31" t="s">
        <v>257</v>
      </c>
      <c r="B34" s="6">
        <v>12658</v>
      </c>
      <c r="C34" s="6" t="s">
        <v>14</v>
      </c>
      <c r="D34" s="8">
        <v>10000</v>
      </c>
      <c r="E34" s="8">
        <f t="shared" si="0"/>
        <v>320000</v>
      </c>
      <c r="F34" s="23">
        <f t="shared" si="1"/>
        <v>20000</v>
      </c>
    </row>
    <row r="35" spans="1:6" x14ac:dyDescent="0.35">
      <c r="A35" s="31" t="s">
        <v>159</v>
      </c>
      <c r="B35" s="6">
        <v>12599</v>
      </c>
      <c r="C35" s="6" t="s">
        <v>14</v>
      </c>
      <c r="D35" s="8">
        <v>10000</v>
      </c>
      <c r="E35" s="8">
        <f t="shared" si="0"/>
        <v>330000</v>
      </c>
      <c r="F35" s="23">
        <f t="shared" si="1"/>
        <v>10000</v>
      </c>
    </row>
    <row r="36" spans="1:6" x14ac:dyDescent="0.35">
      <c r="A36" s="25">
        <v>46298</v>
      </c>
      <c r="B36" s="26">
        <v>12800</v>
      </c>
      <c r="C36" s="26" t="s">
        <v>14</v>
      </c>
      <c r="D36" s="27">
        <v>10000</v>
      </c>
      <c r="E36" s="27">
        <f t="shared" si="0"/>
        <v>340000</v>
      </c>
      <c r="F36" s="28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7" workbookViewId="0">
      <selection activeCell="E40" sqref="E40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188</v>
      </c>
      <c r="B1" s="1"/>
      <c r="C1" s="1"/>
      <c r="D1" s="1"/>
      <c r="E1" s="1"/>
      <c r="F1" s="1"/>
    </row>
    <row r="2" spans="1:6" ht="18.5" x14ac:dyDescent="0.45">
      <c r="A2" s="1" t="s">
        <v>260</v>
      </c>
      <c r="C2" s="1"/>
      <c r="D2" s="1"/>
      <c r="E2" s="1"/>
      <c r="F2" s="1"/>
    </row>
    <row r="3" spans="1:6" ht="18.5" x14ac:dyDescent="0.45">
      <c r="A3" s="1" t="s">
        <v>261</v>
      </c>
      <c r="B3" s="1"/>
      <c r="C3" s="1"/>
      <c r="D3" s="1"/>
      <c r="E3" s="1"/>
      <c r="F3" s="1"/>
    </row>
    <row r="4" spans="1:6" ht="18.5" x14ac:dyDescent="0.45">
      <c r="A4" s="1" t="s">
        <v>624</v>
      </c>
      <c r="B4" s="1"/>
      <c r="C4" s="1"/>
      <c r="D4" s="1"/>
      <c r="E4" s="1"/>
      <c r="F4" s="1"/>
    </row>
    <row r="5" spans="1:6" ht="18.5" x14ac:dyDescent="0.45">
      <c r="A5" s="1" t="s">
        <v>262</v>
      </c>
      <c r="B5" s="1"/>
      <c r="C5" s="1"/>
      <c r="D5" s="1"/>
      <c r="E5" s="1"/>
      <c r="F5" s="1"/>
    </row>
    <row r="6" spans="1:6" ht="18.5" x14ac:dyDescent="0.45">
      <c r="A6" s="1" t="s">
        <v>189</v>
      </c>
      <c r="B6" s="1"/>
      <c r="C6" s="1"/>
      <c r="D6" s="1"/>
      <c r="E6" s="1" t="s">
        <v>62</v>
      </c>
      <c r="F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190</v>
      </c>
      <c r="B8" s="6">
        <v>4463</v>
      </c>
      <c r="C8" s="6" t="s">
        <v>35</v>
      </c>
      <c r="D8" s="8">
        <v>60000</v>
      </c>
      <c r="E8" s="8">
        <v>60000</v>
      </c>
      <c r="F8" s="23">
        <v>640000</v>
      </c>
    </row>
    <row r="9" spans="1:6" x14ac:dyDescent="0.35">
      <c r="A9" s="31" t="s">
        <v>118</v>
      </c>
      <c r="B9" s="6">
        <v>4464</v>
      </c>
      <c r="C9" s="6" t="s">
        <v>52</v>
      </c>
      <c r="D9" s="8">
        <v>30000</v>
      </c>
      <c r="E9" s="8">
        <f>SUM(E8+D9)</f>
        <v>90000</v>
      </c>
      <c r="F9" s="23">
        <f>F8-D9</f>
        <v>610000</v>
      </c>
    </row>
    <row r="10" spans="1:6" x14ac:dyDescent="0.35">
      <c r="A10" s="31" t="s">
        <v>143</v>
      </c>
      <c r="B10" s="6">
        <v>4629</v>
      </c>
      <c r="C10" s="6" t="s">
        <v>52</v>
      </c>
      <c r="D10" s="8">
        <v>10000</v>
      </c>
      <c r="E10" s="8">
        <f t="shared" ref="E10:E34" si="0">SUM(E9+D10)</f>
        <v>100000</v>
      </c>
      <c r="F10" s="23">
        <f t="shared" ref="F10:F34" si="1">F9-D10</f>
        <v>600000</v>
      </c>
    </row>
    <row r="11" spans="1:6" x14ac:dyDescent="0.35">
      <c r="A11" s="31" t="s">
        <v>191</v>
      </c>
      <c r="B11" s="6">
        <v>5881</v>
      </c>
      <c r="C11" s="6" t="s">
        <v>52</v>
      </c>
      <c r="D11" s="8">
        <v>10000</v>
      </c>
      <c r="E11" s="8">
        <f t="shared" si="0"/>
        <v>110000</v>
      </c>
      <c r="F11" s="23">
        <f t="shared" si="1"/>
        <v>590000</v>
      </c>
    </row>
    <row r="12" spans="1:6" x14ac:dyDescent="0.35">
      <c r="A12" s="31" t="s">
        <v>192</v>
      </c>
      <c r="B12" s="6">
        <v>6157</v>
      </c>
      <c r="C12" s="6" t="s">
        <v>52</v>
      </c>
      <c r="D12" s="8">
        <v>10000</v>
      </c>
      <c r="E12" s="8">
        <f t="shared" si="0"/>
        <v>120000</v>
      </c>
      <c r="F12" s="23">
        <f t="shared" si="1"/>
        <v>580000</v>
      </c>
    </row>
    <row r="13" spans="1:6" x14ac:dyDescent="0.35">
      <c r="A13" s="31" t="s">
        <v>193</v>
      </c>
      <c r="B13" s="6">
        <v>6481</v>
      </c>
      <c r="C13" s="6" t="s">
        <v>52</v>
      </c>
      <c r="D13" s="8">
        <v>10000</v>
      </c>
      <c r="E13" s="8">
        <f t="shared" si="0"/>
        <v>130000</v>
      </c>
      <c r="F13" s="23">
        <f t="shared" si="1"/>
        <v>570000</v>
      </c>
    </row>
    <row r="14" spans="1:6" x14ac:dyDescent="0.35">
      <c r="A14" s="31" t="s">
        <v>194</v>
      </c>
      <c r="B14" s="6">
        <v>7467</v>
      </c>
      <c r="C14" s="6" t="s">
        <v>52</v>
      </c>
      <c r="D14" s="8">
        <v>10000</v>
      </c>
      <c r="E14" s="8">
        <f t="shared" si="0"/>
        <v>140000</v>
      </c>
      <c r="F14" s="23">
        <f t="shared" si="1"/>
        <v>560000</v>
      </c>
    </row>
    <row r="15" spans="1:6" x14ac:dyDescent="0.35">
      <c r="A15" s="31" t="s">
        <v>152</v>
      </c>
      <c r="B15" s="6">
        <v>8004</v>
      </c>
      <c r="C15" s="6" t="s">
        <v>52</v>
      </c>
      <c r="D15" s="8">
        <v>10000</v>
      </c>
      <c r="E15" s="8">
        <f t="shared" si="0"/>
        <v>150000</v>
      </c>
      <c r="F15" s="23">
        <f t="shared" si="1"/>
        <v>550000</v>
      </c>
    </row>
    <row r="16" spans="1:6" x14ac:dyDescent="0.35">
      <c r="A16" s="31" t="s">
        <v>195</v>
      </c>
      <c r="B16" s="6">
        <v>8541</v>
      </c>
      <c r="C16" s="6" t="s">
        <v>52</v>
      </c>
      <c r="D16" s="8">
        <v>10000</v>
      </c>
      <c r="E16" s="8">
        <f t="shared" si="0"/>
        <v>160000</v>
      </c>
      <c r="F16" s="23">
        <f t="shared" si="1"/>
        <v>540000</v>
      </c>
    </row>
    <row r="17" spans="1:6" x14ac:dyDescent="0.35">
      <c r="A17" s="31" t="s">
        <v>196</v>
      </c>
      <c r="B17" s="6">
        <v>9606</v>
      </c>
      <c r="C17" s="6" t="s">
        <v>52</v>
      </c>
      <c r="D17" s="8">
        <v>15000</v>
      </c>
      <c r="E17" s="8">
        <f t="shared" si="0"/>
        <v>175000</v>
      </c>
      <c r="F17" s="23">
        <f t="shared" si="1"/>
        <v>525000</v>
      </c>
    </row>
    <row r="18" spans="1:6" x14ac:dyDescent="0.35">
      <c r="A18" s="22">
        <v>45604</v>
      </c>
      <c r="B18" s="6">
        <v>11061</v>
      </c>
      <c r="C18" s="6" t="s">
        <v>52</v>
      </c>
      <c r="D18" s="8">
        <v>15000</v>
      </c>
      <c r="E18" s="8">
        <f t="shared" si="0"/>
        <v>190000</v>
      </c>
      <c r="F18" s="23">
        <f t="shared" si="1"/>
        <v>510000</v>
      </c>
    </row>
    <row r="19" spans="1:6" x14ac:dyDescent="0.35">
      <c r="A19" s="22">
        <v>45391</v>
      </c>
      <c r="B19" s="6">
        <v>10508</v>
      </c>
      <c r="C19" s="6" t="s">
        <v>52</v>
      </c>
      <c r="D19" s="8">
        <v>10000</v>
      </c>
      <c r="E19" s="8">
        <f t="shared" si="0"/>
        <v>200000</v>
      </c>
      <c r="F19" s="23">
        <f t="shared" si="1"/>
        <v>500000</v>
      </c>
    </row>
    <row r="20" spans="1:6" x14ac:dyDescent="0.35">
      <c r="A20" s="31" t="s">
        <v>128</v>
      </c>
      <c r="B20" s="6">
        <v>11679</v>
      </c>
      <c r="C20" s="6" t="s">
        <v>14</v>
      </c>
      <c r="D20" s="8">
        <v>10000</v>
      </c>
      <c r="E20" s="8">
        <f t="shared" si="0"/>
        <v>210000</v>
      </c>
      <c r="F20" s="23">
        <f t="shared" si="1"/>
        <v>490000</v>
      </c>
    </row>
    <row r="21" spans="1:6" x14ac:dyDescent="0.35">
      <c r="A21" s="31" t="s">
        <v>197</v>
      </c>
      <c r="B21" s="6">
        <v>12153</v>
      </c>
      <c r="C21" s="6" t="s">
        <v>14</v>
      </c>
      <c r="D21" s="8">
        <v>10000</v>
      </c>
      <c r="E21" s="8">
        <f t="shared" si="0"/>
        <v>220000</v>
      </c>
      <c r="F21" s="23">
        <f t="shared" si="1"/>
        <v>480000</v>
      </c>
    </row>
    <row r="22" spans="1:6" x14ac:dyDescent="0.35">
      <c r="A22" s="31" t="s">
        <v>198</v>
      </c>
      <c r="B22" s="6">
        <v>12654</v>
      </c>
      <c r="C22" s="6" t="s">
        <v>14</v>
      </c>
      <c r="D22" s="8">
        <v>10000</v>
      </c>
      <c r="E22" s="8">
        <f t="shared" si="0"/>
        <v>230000</v>
      </c>
      <c r="F22" s="23">
        <f t="shared" si="1"/>
        <v>470000</v>
      </c>
    </row>
    <row r="23" spans="1:6" x14ac:dyDescent="0.35">
      <c r="A23" s="31" t="s">
        <v>199</v>
      </c>
      <c r="B23" s="6">
        <v>12075</v>
      </c>
      <c r="C23" s="6" t="s">
        <v>14</v>
      </c>
      <c r="D23" s="8">
        <v>10000</v>
      </c>
      <c r="E23" s="8">
        <f t="shared" si="0"/>
        <v>240000</v>
      </c>
      <c r="F23" s="23">
        <f t="shared" si="1"/>
        <v>460000</v>
      </c>
    </row>
    <row r="24" spans="1:6" x14ac:dyDescent="0.35">
      <c r="A24" s="22">
        <v>45993</v>
      </c>
      <c r="B24" s="6">
        <v>9370</v>
      </c>
      <c r="C24" s="6" t="s">
        <v>14</v>
      </c>
      <c r="D24" s="8">
        <v>10000</v>
      </c>
      <c r="E24" s="8">
        <f t="shared" si="0"/>
        <v>250000</v>
      </c>
      <c r="F24" s="23">
        <f t="shared" si="1"/>
        <v>450000</v>
      </c>
    </row>
    <row r="25" spans="1:6" x14ac:dyDescent="0.35">
      <c r="A25" s="31" t="s">
        <v>200</v>
      </c>
      <c r="B25" s="6">
        <v>10009</v>
      </c>
      <c r="C25" s="6" t="s">
        <v>14</v>
      </c>
      <c r="D25" s="8">
        <v>20000</v>
      </c>
      <c r="E25" s="8">
        <f t="shared" si="0"/>
        <v>270000</v>
      </c>
      <c r="F25" s="23">
        <f t="shared" si="1"/>
        <v>430000</v>
      </c>
    </row>
    <row r="26" spans="1:6" x14ac:dyDescent="0.35">
      <c r="A26" s="22">
        <v>45935</v>
      </c>
      <c r="B26" s="6">
        <v>10613</v>
      </c>
      <c r="C26" s="6" t="s">
        <v>14</v>
      </c>
      <c r="D26" s="8">
        <v>10000</v>
      </c>
      <c r="E26" s="8">
        <f t="shared" si="0"/>
        <v>280000</v>
      </c>
      <c r="F26" s="23">
        <f t="shared" si="1"/>
        <v>420000</v>
      </c>
    </row>
    <row r="27" spans="1:6" x14ac:dyDescent="0.35">
      <c r="A27" s="31" t="s">
        <v>201</v>
      </c>
      <c r="B27" s="6">
        <v>12400</v>
      </c>
      <c r="C27" s="6" t="s">
        <v>14</v>
      </c>
      <c r="D27" s="8">
        <v>10000</v>
      </c>
      <c r="E27" s="8">
        <f t="shared" si="0"/>
        <v>290000</v>
      </c>
      <c r="F27" s="23">
        <f t="shared" si="1"/>
        <v>410000</v>
      </c>
    </row>
    <row r="28" spans="1:6" x14ac:dyDescent="0.35">
      <c r="A28" s="22">
        <v>45785</v>
      </c>
      <c r="B28" s="6">
        <v>12402</v>
      </c>
      <c r="C28" s="6" t="s">
        <v>14</v>
      </c>
      <c r="D28" s="8">
        <v>10000</v>
      </c>
      <c r="E28" s="8">
        <f t="shared" si="0"/>
        <v>300000</v>
      </c>
      <c r="F28" s="23">
        <f t="shared" si="1"/>
        <v>400000</v>
      </c>
    </row>
    <row r="29" spans="1:6" x14ac:dyDescent="0.35">
      <c r="A29" s="31" t="s">
        <v>202</v>
      </c>
      <c r="B29" s="6">
        <v>13921</v>
      </c>
      <c r="C29" s="6" t="s">
        <v>14</v>
      </c>
      <c r="D29" s="8">
        <v>10000</v>
      </c>
      <c r="E29" s="8">
        <f t="shared" si="0"/>
        <v>310000</v>
      </c>
      <c r="F29" s="23">
        <f t="shared" si="1"/>
        <v>390000</v>
      </c>
    </row>
    <row r="30" spans="1:6" x14ac:dyDescent="0.35">
      <c r="A30" s="22" t="s">
        <v>203</v>
      </c>
      <c r="B30" s="6">
        <v>13790</v>
      </c>
      <c r="C30" s="6" t="s">
        <v>14</v>
      </c>
      <c r="D30" s="8">
        <v>10000</v>
      </c>
      <c r="E30" s="8">
        <f t="shared" si="0"/>
        <v>320000</v>
      </c>
      <c r="F30" s="23">
        <f t="shared" si="1"/>
        <v>380000</v>
      </c>
    </row>
    <row r="31" spans="1:6" x14ac:dyDescent="0.35">
      <c r="A31" s="31" t="s">
        <v>184</v>
      </c>
      <c r="B31" s="6">
        <v>13014</v>
      </c>
      <c r="C31" s="6" t="s">
        <v>14</v>
      </c>
      <c r="D31" s="8">
        <v>10000</v>
      </c>
      <c r="E31" s="8">
        <f t="shared" si="0"/>
        <v>330000</v>
      </c>
      <c r="F31" s="23">
        <f t="shared" si="1"/>
        <v>370000</v>
      </c>
    </row>
    <row r="32" spans="1:6" x14ac:dyDescent="0.35">
      <c r="A32" s="22" t="s">
        <v>185</v>
      </c>
      <c r="B32" s="6">
        <v>12651</v>
      </c>
      <c r="C32" s="6" t="s">
        <v>14</v>
      </c>
      <c r="D32" s="8">
        <v>10000</v>
      </c>
      <c r="E32" s="8">
        <f t="shared" si="0"/>
        <v>340000</v>
      </c>
      <c r="F32" s="23">
        <f t="shared" si="1"/>
        <v>360000</v>
      </c>
    </row>
    <row r="33" spans="1:6" x14ac:dyDescent="0.35">
      <c r="A33" s="22">
        <v>46024</v>
      </c>
      <c r="B33" s="6">
        <v>12305</v>
      </c>
      <c r="C33" s="6" t="s">
        <v>14</v>
      </c>
      <c r="D33" s="8">
        <v>10000</v>
      </c>
      <c r="E33" s="8">
        <f t="shared" si="0"/>
        <v>350000</v>
      </c>
      <c r="F33" s="23">
        <f t="shared" si="1"/>
        <v>350000</v>
      </c>
    </row>
    <row r="34" spans="1:6" x14ac:dyDescent="0.35">
      <c r="A34" s="32" t="s">
        <v>259</v>
      </c>
      <c r="B34" s="17">
        <v>12856</v>
      </c>
      <c r="C34" s="17" t="s">
        <v>52</v>
      </c>
      <c r="D34" s="18">
        <v>20000</v>
      </c>
      <c r="E34" s="8">
        <f t="shared" si="0"/>
        <v>370000</v>
      </c>
      <c r="F34" s="23">
        <f t="shared" si="1"/>
        <v>330000</v>
      </c>
    </row>
    <row r="35" spans="1:6" x14ac:dyDescent="0.35">
      <c r="A35" s="13">
        <v>46146</v>
      </c>
      <c r="B35">
        <v>13153</v>
      </c>
      <c r="C35" s="17" t="s">
        <v>52</v>
      </c>
      <c r="D35" s="8">
        <v>10000</v>
      </c>
      <c r="E35" s="8">
        <f t="shared" ref="E35:E38" si="2">SUM(E34+D35)</f>
        <v>380000</v>
      </c>
      <c r="F35" s="23">
        <f t="shared" ref="F35:F38" si="3">F34-D35</f>
        <v>320000</v>
      </c>
    </row>
    <row r="36" spans="1:6" x14ac:dyDescent="0.35">
      <c r="A36" t="s">
        <v>622</v>
      </c>
      <c r="B36">
        <v>13353</v>
      </c>
      <c r="C36" s="17" t="s">
        <v>52</v>
      </c>
      <c r="D36" s="8">
        <v>10000</v>
      </c>
      <c r="E36" s="8">
        <f t="shared" si="2"/>
        <v>390000</v>
      </c>
      <c r="F36" s="23">
        <f t="shared" si="3"/>
        <v>310000</v>
      </c>
    </row>
    <row r="37" spans="1:6" x14ac:dyDescent="0.35">
      <c r="A37" s="13">
        <v>46272</v>
      </c>
      <c r="B37">
        <v>1429</v>
      </c>
      <c r="C37" s="17" t="s">
        <v>52</v>
      </c>
      <c r="D37" s="8">
        <v>10000</v>
      </c>
      <c r="E37" s="8">
        <f t="shared" si="2"/>
        <v>400000</v>
      </c>
      <c r="F37" s="23">
        <f t="shared" si="3"/>
        <v>300000</v>
      </c>
    </row>
    <row r="38" spans="1:6" x14ac:dyDescent="0.35">
      <c r="A38" t="s">
        <v>623</v>
      </c>
      <c r="B38">
        <v>1846</v>
      </c>
      <c r="C38" s="17" t="s">
        <v>52</v>
      </c>
      <c r="D38" s="8">
        <v>10000</v>
      </c>
      <c r="E38" s="8">
        <f t="shared" si="2"/>
        <v>410000</v>
      </c>
      <c r="F38" s="23">
        <f t="shared" si="3"/>
        <v>290000</v>
      </c>
    </row>
    <row r="39" spans="1:6" x14ac:dyDescent="0.35">
      <c r="A39" s="13">
        <v>46305</v>
      </c>
      <c r="B39">
        <v>5018</v>
      </c>
      <c r="C39" t="s">
        <v>659</v>
      </c>
      <c r="D39" s="18">
        <v>10000</v>
      </c>
      <c r="E39" s="18">
        <f>E38+D39</f>
        <v>420000</v>
      </c>
      <c r="F39" s="18">
        <f>F38-D39</f>
        <v>280000</v>
      </c>
    </row>
    <row r="41" spans="1:6" x14ac:dyDescent="0.35">
      <c r="A41" s="13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3" workbookViewId="0">
      <selection activeCell="D46" sqref="D46"/>
    </sheetView>
  </sheetViews>
  <sheetFormatPr defaultRowHeight="14.5" x14ac:dyDescent="0.35"/>
  <cols>
    <col min="1" max="1" width="10.453125" bestFit="1" customWidth="1"/>
    <col min="3" max="3" width="15.179687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264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340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263</v>
      </c>
      <c r="B6" s="1"/>
      <c r="C6" s="1"/>
      <c r="D6" s="1" t="s">
        <v>265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19" t="s">
        <v>11</v>
      </c>
    </row>
    <row r="8" spans="1:6" x14ac:dyDescent="0.35">
      <c r="A8" s="13">
        <v>44753</v>
      </c>
      <c r="B8">
        <v>2471</v>
      </c>
      <c r="C8" t="s">
        <v>269</v>
      </c>
      <c r="D8" s="18">
        <v>50000</v>
      </c>
      <c r="E8" s="18">
        <v>50000</v>
      </c>
      <c r="F8" s="18">
        <v>550000</v>
      </c>
    </row>
    <row r="9" spans="1:6" x14ac:dyDescent="0.35">
      <c r="A9" t="s">
        <v>267</v>
      </c>
      <c r="B9">
        <v>2046</v>
      </c>
      <c r="C9" t="s">
        <v>52</v>
      </c>
      <c r="D9" s="18">
        <v>10000</v>
      </c>
      <c r="E9" s="18">
        <f>SUM(E8+D9)</f>
        <v>60000</v>
      </c>
      <c r="F9" s="18">
        <f>F8-D9</f>
        <v>540000</v>
      </c>
    </row>
    <row r="10" spans="1:6" x14ac:dyDescent="0.35">
      <c r="A10" t="s">
        <v>266</v>
      </c>
      <c r="B10">
        <v>2472</v>
      </c>
      <c r="C10" t="s">
        <v>270</v>
      </c>
      <c r="D10" s="18">
        <v>10000</v>
      </c>
      <c r="E10" s="18">
        <f t="shared" ref="E10:E40" si="0">SUM(E9+D10)</f>
        <v>70000</v>
      </c>
      <c r="F10" s="18">
        <f t="shared" ref="F10:F40" si="1">F9-D10</f>
        <v>530000</v>
      </c>
    </row>
    <row r="11" spans="1:6" x14ac:dyDescent="0.35">
      <c r="A11" t="s">
        <v>268</v>
      </c>
      <c r="B11">
        <v>1703</v>
      </c>
      <c r="C11" t="s">
        <v>52</v>
      </c>
      <c r="D11" s="18">
        <v>10000</v>
      </c>
      <c r="E11" s="18">
        <f t="shared" si="0"/>
        <v>80000</v>
      </c>
      <c r="F11" s="18">
        <f t="shared" si="1"/>
        <v>520000</v>
      </c>
    </row>
    <row r="12" spans="1:6" x14ac:dyDescent="0.35">
      <c r="A12" s="13">
        <v>45052</v>
      </c>
      <c r="B12">
        <v>331</v>
      </c>
      <c r="C12" t="s">
        <v>52</v>
      </c>
      <c r="D12" s="18">
        <v>20000</v>
      </c>
      <c r="E12" s="18">
        <f t="shared" si="0"/>
        <v>100000</v>
      </c>
      <c r="F12" s="18">
        <f t="shared" si="1"/>
        <v>500000</v>
      </c>
    </row>
    <row r="13" spans="1:6" x14ac:dyDescent="0.35">
      <c r="A13" s="13">
        <v>45146</v>
      </c>
      <c r="B13">
        <v>2281</v>
      </c>
      <c r="C13" t="s">
        <v>52</v>
      </c>
      <c r="D13" s="18">
        <v>20000</v>
      </c>
      <c r="E13" s="18">
        <f t="shared" si="0"/>
        <v>120000</v>
      </c>
      <c r="F13" s="18">
        <f t="shared" si="1"/>
        <v>480000</v>
      </c>
    </row>
    <row r="14" spans="1:6" x14ac:dyDescent="0.35">
      <c r="A14" t="s">
        <v>169</v>
      </c>
      <c r="B14">
        <v>3691</v>
      </c>
      <c r="C14" t="s">
        <v>52</v>
      </c>
      <c r="D14" s="18">
        <v>10000</v>
      </c>
      <c r="E14" s="18">
        <f t="shared" si="0"/>
        <v>130000</v>
      </c>
      <c r="F14" s="18">
        <f t="shared" si="1"/>
        <v>470000</v>
      </c>
    </row>
    <row r="15" spans="1:6" x14ac:dyDescent="0.35">
      <c r="A15" t="s">
        <v>143</v>
      </c>
      <c r="B15">
        <v>4961</v>
      </c>
      <c r="C15" t="s">
        <v>52</v>
      </c>
      <c r="D15" s="18">
        <v>10000</v>
      </c>
      <c r="E15" s="18">
        <f t="shared" si="0"/>
        <v>140000</v>
      </c>
      <c r="F15" s="18">
        <f t="shared" si="1"/>
        <v>460000</v>
      </c>
    </row>
    <row r="16" spans="1:6" x14ac:dyDescent="0.35">
      <c r="A16" s="13">
        <v>45242</v>
      </c>
      <c r="B16">
        <v>5482</v>
      </c>
      <c r="C16" t="s">
        <v>52</v>
      </c>
      <c r="D16" s="18">
        <v>20000</v>
      </c>
      <c r="E16" s="18">
        <f t="shared" si="0"/>
        <v>160000</v>
      </c>
      <c r="F16" s="18">
        <f t="shared" si="1"/>
        <v>440000</v>
      </c>
    </row>
    <row r="17" spans="1:6" x14ac:dyDescent="0.35">
      <c r="A17" t="s">
        <v>192</v>
      </c>
      <c r="B17">
        <v>6159</v>
      </c>
      <c r="C17" t="s">
        <v>271</v>
      </c>
      <c r="D17" s="18">
        <v>10000</v>
      </c>
      <c r="E17" s="18">
        <f t="shared" si="0"/>
        <v>170000</v>
      </c>
      <c r="F17" s="18">
        <f t="shared" si="1"/>
        <v>430000</v>
      </c>
    </row>
    <row r="18" spans="1:6" x14ac:dyDescent="0.35">
      <c r="A18" t="s">
        <v>119</v>
      </c>
      <c r="B18">
        <v>7144</v>
      </c>
      <c r="C18" t="s">
        <v>271</v>
      </c>
      <c r="D18" s="18">
        <v>30000</v>
      </c>
      <c r="E18" s="18">
        <f t="shared" si="0"/>
        <v>200000</v>
      </c>
      <c r="F18" s="18">
        <f t="shared" si="1"/>
        <v>400000</v>
      </c>
    </row>
    <row r="19" spans="1:6" x14ac:dyDescent="0.35">
      <c r="A19" s="13">
        <v>45568</v>
      </c>
      <c r="B19">
        <v>7255</v>
      </c>
      <c r="C19" t="s">
        <v>14</v>
      </c>
      <c r="D19" s="18">
        <v>10000</v>
      </c>
      <c r="E19" s="18">
        <f t="shared" si="0"/>
        <v>210000</v>
      </c>
      <c r="F19" s="18">
        <f t="shared" si="1"/>
        <v>390000</v>
      </c>
    </row>
    <row r="20" spans="1:6" x14ac:dyDescent="0.35">
      <c r="A20" s="13">
        <v>45356</v>
      </c>
      <c r="B20">
        <v>8190</v>
      </c>
      <c r="C20" t="s">
        <v>14</v>
      </c>
      <c r="D20" s="18">
        <v>10000</v>
      </c>
      <c r="E20" s="18">
        <f t="shared" si="0"/>
        <v>220000</v>
      </c>
      <c r="F20" s="18">
        <f t="shared" si="1"/>
        <v>380000</v>
      </c>
    </row>
    <row r="21" spans="1:6" x14ac:dyDescent="0.35">
      <c r="A21" s="13">
        <v>45542</v>
      </c>
      <c r="B21">
        <v>9464</v>
      </c>
      <c r="C21" t="s">
        <v>14</v>
      </c>
      <c r="D21" s="18">
        <v>10000</v>
      </c>
      <c r="E21" s="18">
        <f t="shared" si="0"/>
        <v>230000</v>
      </c>
      <c r="F21" s="18">
        <f t="shared" si="1"/>
        <v>370000</v>
      </c>
    </row>
    <row r="22" spans="1:6" x14ac:dyDescent="0.35">
      <c r="A22" s="13">
        <v>45391</v>
      </c>
      <c r="B22">
        <v>10510</v>
      </c>
      <c r="C22" t="s">
        <v>14</v>
      </c>
      <c r="D22" s="18">
        <v>20000</v>
      </c>
      <c r="E22" s="18">
        <f t="shared" si="0"/>
        <v>250000</v>
      </c>
      <c r="F22" s="18">
        <f t="shared" si="1"/>
        <v>350000</v>
      </c>
    </row>
    <row r="23" spans="1:6" x14ac:dyDescent="0.35">
      <c r="A23" t="s">
        <v>128</v>
      </c>
      <c r="B23">
        <v>11682</v>
      </c>
      <c r="C23" t="s">
        <v>14</v>
      </c>
      <c r="D23" s="18">
        <v>10000</v>
      </c>
      <c r="E23" s="18">
        <f t="shared" si="0"/>
        <v>260000</v>
      </c>
      <c r="F23" s="18">
        <f t="shared" si="1"/>
        <v>340000</v>
      </c>
    </row>
    <row r="24" spans="1:6" x14ac:dyDescent="0.35">
      <c r="A24" t="s">
        <v>197</v>
      </c>
      <c r="B24">
        <v>12151</v>
      </c>
      <c r="C24" t="s">
        <v>14</v>
      </c>
      <c r="D24" s="18">
        <v>10000</v>
      </c>
      <c r="E24" s="18">
        <f t="shared" si="0"/>
        <v>270000</v>
      </c>
      <c r="F24" s="18">
        <f t="shared" si="1"/>
        <v>330000</v>
      </c>
    </row>
    <row r="25" spans="1:6" x14ac:dyDescent="0.35">
      <c r="A25" t="s">
        <v>198</v>
      </c>
      <c r="B25">
        <v>12657</v>
      </c>
      <c r="C25" t="s">
        <v>14</v>
      </c>
      <c r="D25" s="18">
        <v>10000</v>
      </c>
      <c r="E25" s="18">
        <f t="shared" si="0"/>
        <v>280000</v>
      </c>
      <c r="F25" s="18">
        <f t="shared" si="1"/>
        <v>320000</v>
      </c>
    </row>
    <row r="26" spans="1:6" x14ac:dyDescent="0.35">
      <c r="A26" t="s">
        <v>199</v>
      </c>
      <c r="B26">
        <v>12077</v>
      </c>
      <c r="C26" t="s">
        <v>14</v>
      </c>
      <c r="D26" s="18">
        <v>10000</v>
      </c>
      <c r="E26" s="18">
        <f t="shared" si="0"/>
        <v>290000</v>
      </c>
      <c r="F26" s="18">
        <f t="shared" si="1"/>
        <v>310000</v>
      </c>
    </row>
    <row r="27" spans="1:6" x14ac:dyDescent="0.35">
      <c r="A27" s="13">
        <v>45993</v>
      </c>
      <c r="B27">
        <v>9371</v>
      </c>
      <c r="C27" t="s">
        <v>14</v>
      </c>
      <c r="D27" s="18">
        <v>10000</v>
      </c>
      <c r="E27" s="18">
        <f t="shared" si="0"/>
        <v>300000</v>
      </c>
      <c r="F27" s="18">
        <f t="shared" si="1"/>
        <v>300000</v>
      </c>
    </row>
    <row r="28" spans="1:6" x14ac:dyDescent="0.35">
      <c r="A28" t="s">
        <v>79</v>
      </c>
      <c r="B28">
        <v>9807</v>
      </c>
      <c r="C28" t="s">
        <v>14</v>
      </c>
      <c r="D28" s="18">
        <v>10000</v>
      </c>
      <c r="E28" s="18">
        <f t="shared" si="0"/>
        <v>310000</v>
      </c>
      <c r="F28" s="18">
        <f t="shared" si="1"/>
        <v>290000</v>
      </c>
    </row>
    <row r="29" spans="1:6" x14ac:dyDescent="0.35">
      <c r="A29" t="s">
        <v>200</v>
      </c>
      <c r="B29">
        <v>10031</v>
      </c>
      <c r="C29" t="s">
        <v>14</v>
      </c>
      <c r="D29" s="18">
        <v>10000</v>
      </c>
      <c r="E29" s="18">
        <f t="shared" si="0"/>
        <v>320000</v>
      </c>
      <c r="F29" s="18">
        <f t="shared" si="1"/>
        <v>280000</v>
      </c>
    </row>
    <row r="30" spans="1:6" x14ac:dyDescent="0.35">
      <c r="A30" t="s">
        <v>136</v>
      </c>
      <c r="B30">
        <v>10611</v>
      </c>
      <c r="C30" t="s">
        <v>14</v>
      </c>
      <c r="D30" s="18">
        <v>10000</v>
      </c>
      <c r="E30" s="18">
        <f t="shared" si="0"/>
        <v>330000</v>
      </c>
      <c r="F30" s="18">
        <f t="shared" si="1"/>
        <v>270000</v>
      </c>
    </row>
    <row r="31" spans="1:6" x14ac:dyDescent="0.35">
      <c r="A31" t="s">
        <v>180</v>
      </c>
      <c r="B31">
        <v>10611</v>
      </c>
      <c r="C31" t="s">
        <v>14</v>
      </c>
      <c r="D31" s="18">
        <v>10000</v>
      </c>
      <c r="E31" s="18">
        <f t="shared" si="0"/>
        <v>340000</v>
      </c>
      <c r="F31" s="18">
        <f t="shared" si="1"/>
        <v>260000</v>
      </c>
    </row>
    <row r="32" spans="1:6" x14ac:dyDescent="0.35">
      <c r="A32" t="s">
        <v>229</v>
      </c>
      <c r="B32">
        <v>12890</v>
      </c>
      <c r="C32" t="s">
        <v>14</v>
      </c>
      <c r="D32" s="18">
        <v>10000</v>
      </c>
      <c r="E32" s="18">
        <f t="shared" si="0"/>
        <v>350000</v>
      </c>
      <c r="F32" s="18">
        <f t="shared" si="1"/>
        <v>250000</v>
      </c>
    </row>
    <row r="33" spans="1:6" x14ac:dyDescent="0.35">
      <c r="A33" s="13">
        <v>45785</v>
      </c>
      <c r="B33">
        <v>12401</v>
      </c>
      <c r="C33" t="s">
        <v>14</v>
      </c>
      <c r="D33" s="18">
        <v>10000</v>
      </c>
      <c r="E33" s="18">
        <f t="shared" si="0"/>
        <v>360000</v>
      </c>
      <c r="F33" s="18">
        <f t="shared" si="1"/>
        <v>240000</v>
      </c>
    </row>
    <row r="34" spans="1:6" x14ac:dyDescent="0.35">
      <c r="A34" t="s">
        <v>182</v>
      </c>
      <c r="B34">
        <v>12756</v>
      </c>
      <c r="C34" t="s">
        <v>14</v>
      </c>
      <c r="D34" s="18">
        <v>10000</v>
      </c>
      <c r="E34" s="18">
        <f t="shared" si="0"/>
        <v>370000</v>
      </c>
      <c r="F34" s="18">
        <f t="shared" si="1"/>
        <v>230000</v>
      </c>
    </row>
    <row r="35" spans="1:6" x14ac:dyDescent="0.35">
      <c r="A35" t="s">
        <v>183</v>
      </c>
      <c r="B35">
        <v>13622</v>
      </c>
      <c r="C35" t="s">
        <v>14</v>
      </c>
      <c r="D35" s="18">
        <v>10000</v>
      </c>
      <c r="E35" s="18">
        <f t="shared" si="0"/>
        <v>380000</v>
      </c>
      <c r="F35" s="18">
        <f t="shared" si="1"/>
        <v>220000</v>
      </c>
    </row>
    <row r="36" spans="1:6" x14ac:dyDescent="0.35">
      <c r="A36" t="s">
        <v>184</v>
      </c>
      <c r="B36">
        <v>13015</v>
      </c>
      <c r="C36" t="s">
        <v>14</v>
      </c>
      <c r="D36" s="18">
        <v>10000</v>
      </c>
      <c r="E36" s="18">
        <f t="shared" si="0"/>
        <v>390000</v>
      </c>
      <c r="F36" s="18">
        <f t="shared" si="1"/>
        <v>210000</v>
      </c>
    </row>
    <row r="37" spans="1:6" x14ac:dyDescent="0.35">
      <c r="A37" t="s">
        <v>185</v>
      </c>
      <c r="B37">
        <v>12648</v>
      </c>
      <c r="C37" t="s">
        <v>14</v>
      </c>
      <c r="D37" s="18">
        <v>10000</v>
      </c>
      <c r="E37" s="18">
        <f t="shared" si="0"/>
        <v>400000</v>
      </c>
      <c r="F37" s="18">
        <f t="shared" si="1"/>
        <v>200000</v>
      </c>
    </row>
    <row r="38" spans="1:6" x14ac:dyDescent="0.35">
      <c r="A38" t="s">
        <v>272</v>
      </c>
      <c r="B38">
        <v>12206</v>
      </c>
      <c r="C38" t="s">
        <v>14</v>
      </c>
      <c r="D38" s="18">
        <v>10000</v>
      </c>
      <c r="E38" s="18">
        <f t="shared" si="0"/>
        <v>410000</v>
      </c>
      <c r="F38" s="18">
        <f t="shared" si="1"/>
        <v>190000</v>
      </c>
    </row>
    <row r="39" spans="1:6" x14ac:dyDescent="0.35">
      <c r="A39" t="s">
        <v>186</v>
      </c>
      <c r="B39">
        <v>12556</v>
      </c>
      <c r="C39" t="s">
        <v>14</v>
      </c>
      <c r="D39" s="18">
        <v>10000</v>
      </c>
      <c r="E39" s="18">
        <f t="shared" si="0"/>
        <v>420000</v>
      </c>
      <c r="F39" s="18">
        <f t="shared" si="1"/>
        <v>180000</v>
      </c>
    </row>
    <row r="40" spans="1:6" x14ac:dyDescent="0.35">
      <c r="A40" t="s">
        <v>258</v>
      </c>
      <c r="B40">
        <v>13953</v>
      </c>
      <c r="C40" t="s">
        <v>14</v>
      </c>
      <c r="D40" s="18">
        <v>10000</v>
      </c>
      <c r="E40" s="18">
        <f t="shared" si="0"/>
        <v>430000</v>
      </c>
      <c r="F40" s="18">
        <f t="shared" si="1"/>
        <v>170000</v>
      </c>
    </row>
    <row r="41" spans="1:6" x14ac:dyDescent="0.35">
      <c r="A41" t="s">
        <v>338</v>
      </c>
      <c r="B41">
        <v>13298</v>
      </c>
      <c r="C41" t="s">
        <v>52</v>
      </c>
      <c r="D41" s="18">
        <v>10000</v>
      </c>
      <c r="E41" s="18">
        <f>SUM(E40+D41)</f>
        <v>440000</v>
      </c>
      <c r="F41" s="18">
        <f t="shared" ref="F41:F46" si="2">F40-D41</f>
        <v>160000</v>
      </c>
    </row>
    <row r="42" spans="1:6" x14ac:dyDescent="0.35">
      <c r="A42" t="s">
        <v>394</v>
      </c>
      <c r="B42">
        <v>13370</v>
      </c>
      <c r="C42" t="s">
        <v>52</v>
      </c>
      <c r="D42" s="18">
        <v>10000</v>
      </c>
      <c r="E42" s="18">
        <f>SUM(E41+D42)</f>
        <v>450000</v>
      </c>
      <c r="F42" s="18">
        <f t="shared" si="2"/>
        <v>150000</v>
      </c>
    </row>
    <row r="43" spans="1:6" x14ac:dyDescent="0.35">
      <c r="A43" t="s">
        <v>516</v>
      </c>
      <c r="B43">
        <v>1306</v>
      </c>
      <c r="C43" t="s">
        <v>438</v>
      </c>
      <c r="D43" s="18">
        <v>10000</v>
      </c>
      <c r="E43" s="18">
        <f>E42+D43</f>
        <v>460000</v>
      </c>
      <c r="F43" s="18">
        <f t="shared" si="2"/>
        <v>140000</v>
      </c>
    </row>
    <row r="44" spans="1:6" x14ac:dyDescent="0.35">
      <c r="A44" t="s">
        <v>599</v>
      </c>
      <c r="B44">
        <v>1521</v>
      </c>
      <c r="C44" t="s">
        <v>438</v>
      </c>
      <c r="D44" s="18">
        <v>10000</v>
      </c>
      <c r="E44" s="18">
        <f>E43+D44</f>
        <v>470000</v>
      </c>
      <c r="F44" s="18">
        <f t="shared" si="2"/>
        <v>130000</v>
      </c>
    </row>
    <row r="45" spans="1:6" x14ac:dyDescent="0.35">
      <c r="A45" t="s">
        <v>613</v>
      </c>
      <c r="B45">
        <v>1837</v>
      </c>
      <c r="C45" t="s">
        <v>438</v>
      </c>
      <c r="D45" s="18">
        <v>10000</v>
      </c>
      <c r="E45" s="18">
        <f>E44+D45</f>
        <v>480000</v>
      </c>
      <c r="F45" s="18">
        <f t="shared" si="2"/>
        <v>120000</v>
      </c>
    </row>
    <row r="46" spans="1:6" x14ac:dyDescent="0.35">
      <c r="A46" t="s">
        <v>634</v>
      </c>
      <c r="B46">
        <v>2122</v>
      </c>
      <c r="C46" t="s">
        <v>438</v>
      </c>
      <c r="D46" s="18">
        <v>10000</v>
      </c>
      <c r="E46" s="18">
        <f>E45+D46</f>
        <v>490000</v>
      </c>
      <c r="F46" s="18">
        <f t="shared" si="2"/>
        <v>110000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37" workbookViewId="0">
      <selection activeCell="B47" sqref="B47"/>
    </sheetView>
  </sheetViews>
  <sheetFormatPr defaultRowHeight="14.5" x14ac:dyDescent="0.35"/>
  <cols>
    <col min="1" max="1" width="10.90625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264</v>
      </c>
      <c r="B1" s="1"/>
      <c r="C1" s="1"/>
      <c r="D1" s="1"/>
      <c r="E1" s="1"/>
    </row>
    <row r="2" spans="1:6" ht="18.5" x14ac:dyDescent="0.45">
      <c r="A2" s="1" t="s">
        <v>244</v>
      </c>
      <c r="C2" s="1"/>
      <c r="D2" s="1"/>
      <c r="E2" s="1"/>
    </row>
    <row r="3" spans="1:6" ht="18.5" x14ac:dyDescent="0.45">
      <c r="A3" s="1" t="s">
        <v>245</v>
      </c>
      <c r="B3" s="1"/>
      <c r="C3" s="1"/>
      <c r="D3" s="1"/>
      <c r="E3" s="1"/>
    </row>
    <row r="4" spans="1:6" ht="18.5" x14ac:dyDescent="0.45">
      <c r="A4" s="1" t="s">
        <v>341</v>
      </c>
      <c r="B4" s="1"/>
      <c r="C4" s="1"/>
      <c r="D4" s="1"/>
      <c r="E4" s="1"/>
    </row>
    <row r="5" spans="1:6" ht="18.5" x14ac:dyDescent="0.45">
      <c r="A5" s="1" t="s">
        <v>246</v>
      </c>
      <c r="B5" s="1"/>
      <c r="C5" s="1"/>
      <c r="D5" s="1"/>
      <c r="E5" s="1"/>
    </row>
    <row r="6" spans="1:6" ht="18.5" x14ac:dyDescent="0.45">
      <c r="A6" s="1" t="s">
        <v>273</v>
      </c>
      <c r="B6" s="1"/>
      <c r="C6" s="1"/>
      <c r="D6" s="1" t="s">
        <v>265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22">
        <v>44753</v>
      </c>
      <c r="B8" s="6">
        <v>2475</v>
      </c>
      <c r="C8" s="6" t="s">
        <v>269</v>
      </c>
      <c r="D8" s="8">
        <v>50000</v>
      </c>
      <c r="E8" s="8">
        <v>50000</v>
      </c>
      <c r="F8" s="23">
        <v>550000</v>
      </c>
    </row>
    <row r="9" spans="1:6" x14ac:dyDescent="0.35">
      <c r="A9" s="31" t="s">
        <v>267</v>
      </c>
      <c r="B9" s="6">
        <v>2476</v>
      </c>
      <c r="C9" s="6" t="s">
        <v>52</v>
      </c>
      <c r="D9" s="8">
        <v>10000</v>
      </c>
      <c r="E9" s="8">
        <f>SUM(E8+D9)</f>
        <v>60000</v>
      </c>
      <c r="F9" s="23">
        <f>F8-D9</f>
        <v>540000</v>
      </c>
    </row>
    <row r="10" spans="1:6" x14ac:dyDescent="0.35">
      <c r="A10" s="31" t="s">
        <v>266</v>
      </c>
      <c r="B10" s="6">
        <v>45</v>
      </c>
      <c r="C10" s="6" t="s">
        <v>270</v>
      </c>
      <c r="D10" s="8">
        <v>10000</v>
      </c>
      <c r="E10" s="8">
        <f t="shared" ref="E10:E40" si="0">SUM(E9+D10)</f>
        <v>70000</v>
      </c>
      <c r="F10" s="23">
        <f t="shared" ref="F10:F40" si="1">F9-D10</f>
        <v>530000</v>
      </c>
    </row>
    <row r="11" spans="1:6" x14ac:dyDescent="0.35">
      <c r="A11" s="31" t="s">
        <v>268</v>
      </c>
      <c r="B11" s="6">
        <v>1701</v>
      </c>
      <c r="C11" s="6" t="s">
        <v>52</v>
      </c>
      <c r="D11" s="8">
        <v>10000</v>
      </c>
      <c r="E11" s="8">
        <f t="shared" si="0"/>
        <v>80000</v>
      </c>
      <c r="F11" s="23">
        <f t="shared" si="1"/>
        <v>520000</v>
      </c>
    </row>
    <row r="12" spans="1:6" x14ac:dyDescent="0.35">
      <c r="A12" s="22">
        <v>45052</v>
      </c>
      <c r="B12" s="6">
        <v>332</v>
      </c>
      <c r="C12" s="6" t="s">
        <v>52</v>
      </c>
      <c r="D12" s="8">
        <v>20000</v>
      </c>
      <c r="E12" s="8">
        <f t="shared" si="0"/>
        <v>100000</v>
      </c>
      <c r="F12" s="23">
        <f t="shared" si="1"/>
        <v>500000</v>
      </c>
    </row>
    <row r="13" spans="1:6" x14ac:dyDescent="0.35">
      <c r="A13" s="22">
        <v>45146</v>
      </c>
      <c r="B13" s="6">
        <v>2285</v>
      </c>
      <c r="C13" s="6" t="s">
        <v>52</v>
      </c>
      <c r="D13" s="8">
        <v>20000</v>
      </c>
      <c r="E13" s="8">
        <f t="shared" si="0"/>
        <v>120000</v>
      </c>
      <c r="F13" s="23">
        <f t="shared" si="1"/>
        <v>480000</v>
      </c>
    </row>
    <row r="14" spans="1:6" x14ac:dyDescent="0.35">
      <c r="A14" s="31" t="s">
        <v>169</v>
      </c>
      <c r="B14" s="6">
        <v>3692</v>
      </c>
      <c r="C14" s="6" t="s">
        <v>52</v>
      </c>
      <c r="D14" s="8">
        <v>10000</v>
      </c>
      <c r="E14" s="8">
        <f t="shared" si="0"/>
        <v>130000</v>
      </c>
      <c r="F14" s="23">
        <f t="shared" si="1"/>
        <v>470000</v>
      </c>
    </row>
    <row r="15" spans="1:6" x14ac:dyDescent="0.35">
      <c r="A15" s="31" t="s">
        <v>143</v>
      </c>
      <c r="B15" s="6">
        <v>4960</v>
      </c>
      <c r="C15" s="6" t="s">
        <v>52</v>
      </c>
      <c r="D15" s="8">
        <v>10000</v>
      </c>
      <c r="E15" s="8">
        <f t="shared" si="0"/>
        <v>140000</v>
      </c>
      <c r="F15" s="23">
        <f t="shared" si="1"/>
        <v>460000</v>
      </c>
    </row>
    <row r="16" spans="1:6" x14ac:dyDescent="0.35">
      <c r="A16" s="22">
        <v>45242</v>
      </c>
      <c r="B16" s="6">
        <v>5481</v>
      </c>
      <c r="C16" s="6" t="s">
        <v>52</v>
      </c>
      <c r="D16" s="8">
        <v>20000</v>
      </c>
      <c r="E16" s="8">
        <f t="shared" si="0"/>
        <v>160000</v>
      </c>
      <c r="F16" s="23">
        <f t="shared" si="1"/>
        <v>440000</v>
      </c>
    </row>
    <row r="17" spans="1:6" x14ac:dyDescent="0.35">
      <c r="A17" s="31" t="s">
        <v>192</v>
      </c>
      <c r="B17" s="6">
        <v>6158</v>
      </c>
      <c r="C17" s="6" t="s">
        <v>271</v>
      </c>
      <c r="D17" s="8">
        <v>10000</v>
      </c>
      <c r="E17" s="8">
        <f t="shared" si="0"/>
        <v>170000</v>
      </c>
      <c r="F17" s="23">
        <f t="shared" si="1"/>
        <v>430000</v>
      </c>
    </row>
    <row r="18" spans="1:6" x14ac:dyDescent="0.35">
      <c r="A18" s="31" t="s">
        <v>119</v>
      </c>
      <c r="B18" s="6">
        <v>7145</v>
      </c>
      <c r="C18" s="6" t="s">
        <v>271</v>
      </c>
      <c r="D18" s="8">
        <v>30000</v>
      </c>
      <c r="E18" s="8">
        <f t="shared" si="0"/>
        <v>200000</v>
      </c>
      <c r="F18" s="23">
        <f t="shared" si="1"/>
        <v>400000</v>
      </c>
    </row>
    <row r="19" spans="1:6" x14ac:dyDescent="0.35">
      <c r="A19" s="22">
        <v>45568</v>
      </c>
      <c r="B19" s="6">
        <v>2630</v>
      </c>
      <c r="C19" s="6" t="s">
        <v>14</v>
      </c>
      <c r="D19" s="8">
        <v>10000</v>
      </c>
      <c r="E19" s="8">
        <f t="shared" si="0"/>
        <v>210000</v>
      </c>
      <c r="F19" s="23">
        <f t="shared" si="1"/>
        <v>390000</v>
      </c>
    </row>
    <row r="20" spans="1:6" x14ac:dyDescent="0.35">
      <c r="A20" s="22">
        <v>45356</v>
      </c>
      <c r="B20" s="6">
        <v>8874</v>
      </c>
      <c r="C20" s="6" t="s">
        <v>14</v>
      </c>
      <c r="D20" s="8">
        <v>10000</v>
      </c>
      <c r="E20" s="8">
        <f t="shared" si="0"/>
        <v>220000</v>
      </c>
      <c r="F20" s="23">
        <f t="shared" si="1"/>
        <v>380000</v>
      </c>
    </row>
    <row r="21" spans="1:6" x14ac:dyDescent="0.35">
      <c r="A21" s="22">
        <v>45542</v>
      </c>
      <c r="B21" s="6">
        <v>11088</v>
      </c>
      <c r="C21" s="6" t="s">
        <v>14</v>
      </c>
      <c r="D21" s="8">
        <v>10000</v>
      </c>
      <c r="E21" s="8">
        <f t="shared" si="0"/>
        <v>230000</v>
      </c>
      <c r="F21" s="23">
        <f t="shared" si="1"/>
        <v>370000</v>
      </c>
    </row>
    <row r="22" spans="1:6" x14ac:dyDescent="0.35">
      <c r="A22" s="22">
        <v>45391</v>
      </c>
      <c r="B22" s="6">
        <v>10511</v>
      </c>
      <c r="C22" s="6" t="s">
        <v>14</v>
      </c>
      <c r="D22" s="8">
        <v>20000</v>
      </c>
      <c r="E22" s="8">
        <f t="shared" si="0"/>
        <v>250000</v>
      </c>
      <c r="F22" s="23">
        <f t="shared" si="1"/>
        <v>350000</v>
      </c>
    </row>
    <row r="23" spans="1:6" x14ac:dyDescent="0.35">
      <c r="A23" s="31" t="s">
        <v>128</v>
      </c>
      <c r="B23" s="6">
        <v>16811</v>
      </c>
      <c r="C23" s="6" t="s">
        <v>14</v>
      </c>
      <c r="D23" s="8">
        <v>10000</v>
      </c>
      <c r="E23" s="8">
        <f t="shared" si="0"/>
        <v>260000</v>
      </c>
      <c r="F23" s="23">
        <f t="shared" si="1"/>
        <v>340000</v>
      </c>
    </row>
    <row r="24" spans="1:6" x14ac:dyDescent="0.35">
      <c r="A24" s="31" t="s">
        <v>197</v>
      </c>
      <c r="B24" s="6">
        <v>12152</v>
      </c>
      <c r="C24" s="6" t="s">
        <v>14</v>
      </c>
      <c r="D24" s="8">
        <v>10000</v>
      </c>
      <c r="E24" s="8">
        <f t="shared" si="0"/>
        <v>270000</v>
      </c>
      <c r="F24" s="23">
        <f t="shared" si="1"/>
        <v>330000</v>
      </c>
    </row>
    <row r="25" spans="1:6" x14ac:dyDescent="0.35">
      <c r="A25" s="31" t="s">
        <v>198</v>
      </c>
      <c r="B25" s="6">
        <v>12656</v>
      </c>
      <c r="C25" s="6" t="s">
        <v>14</v>
      </c>
      <c r="D25" s="8">
        <v>10000</v>
      </c>
      <c r="E25" s="8">
        <f t="shared" si="0"/>
        <v>280000</v>
      </c>
      <c r="F25" s="23">
        <f t="shared" si="1"/>
        <v>320000</v>
      </c>
    </row>
    <row r="26" spans="1:6" x14ac:dyDescent="0.35">
      <c r="A26" s="31" t="s">
        <v>199</v>
      </c>
      <c r="B26" s="6">
        <v>12078</v>
      </c>
      <c r="C26" s="6" t="s">
        <v>14</v>
      </c>
      <c r="D26" s="8">
        <v>10000</v>
      </c>
      <c r="E26" s="8">
        <f t="shared" si="0"/>
        <v>290000</v>
      </c>
      <c r="F26" s="23">
        <f t="shared" si="1"/>
        <v>310000</v>
      </c>
    </row>
    <row r="27" spans="1:6" x14ac:dyDescent="0.35">
      <c r="A27" s="22">
        <v>45993</v>
      </c>
      <c r="B27" s="6">
        <v>9372</v>
      </c>
      <c r="C27" s="6" t="s">
        <v>14</v>
      </c>
      <c r="D27" s="8">
        <v>10000</v>
      </c>
      <c r="E27" s="8">
        <f t="shared" si="0"/>
        <v>300000</v>
      </c>
      <c r="F27" s="23">
        <f t="shared" si="1"/>
        <v>300000</v>
      </c>
    </row>
    <row r="28" spans="1:6" x14ac:dyDescent="0.35">
      <c r="A28" s="31" t="s">
        <v>79</v>
      </c>
      <c r="B28" s="6">
        <v>9808</v>
      </c>
      <c r="C28" s="6" t="s">
        <v>14</v>
      </c>
      <c r="D28" s="8">
        <v>10000</v>
      </c>
      <c r="E28" s="8">
        <f t="shared" si="0"/>
        <v>310000</v>
      </c>
      <c r="F28" s="23">
        <f t="shared" si="1"/>
        <v>290000</v>
      </c>
    </row>
    <row r="29" spans="1:6" x14ac:dyDescent="0.35">
      <c r="A29" s="31" t="s">
        <v>200</v>
      </c>
      <c r="B29" s="6">
        <v>10030</v>
      </c>
      <c r="C29" s="6" t="s">
        <v>14</v>
      </c>
      <c r="D29" s="8">
        <v>10000</v>
      </c>
      <c r="E29" s="8">
        <f t="shared" si="0"/>
        <v>320000</v>
      </c>
      <c r="F29" s="23">
        <f t="shared" si="1"/>
        <v>280000</v>
      </c>
    </row>
    <row r="30" spans="1:6" x14ac:dyDescent="0.35">
      <c r="A30" s="31" t="s">
        <v>136</v>
      </c>
      <c r="B30" s="6">
        <v>10612</v>
      </c>
      <c r="C30" s="6" t="s">
        <v>14</v>
      </c>
      <c r="D30" s="8">
        <v>10000</v>
      </c>
      <c r="E30" s="8">
        <f t="shared" si="0"/>
        <v>330000</v>
      </c>
      <c r="F30" s="23">
        <f t="shared" si="1"/>
        <v>270000</v>
      </c>
    </row>
    <row r="31" spans="1:6" x14ac:dyDescent="0.35">
      <c r="A31" s="31" t="s">
        <v>180</v>
      </c>
      <c r="B31" s="6">
        <v>9982</v>
      </c>
      <c r="C31" s="6" t="s">
        <v>14</v>
      </c>
      <c r="D31" s="8">
        <v>10000</v>
      </c>
      <c r="E31" s="8">
        <f t="shared" si="0"/>
        <v>340000</v>
      </c>
      <c r="F31" s="23">
        <f t="shared" si="1"/>
        <v>260000</v>
      </c>
    </row>
    <row r="32" spans="1:6" x14ac:dyDescent="0.35">
      <c r="A32" s="31" t="s">
        <v>229</v>
      </c>
      <c r="B32" s="6">
        <v>12899</v>
      </c>
      <c r="C32" s="6" t="s">
        <v>14</v>
      </c>
      <c r="D32" s="8">
        <v>10000</v>
      </c>
      <c r="E32" s="8">
        <f t="shared" si="0"/>
        <v>350000</v>
      </c>
      <c r="F32" s="23">
        <f t="shared" si="1"/>
        <v>250000</v>
      </c>
    </row>
    <row r="33" spans="1:6" x14ac:dyDescent="0.35">
      <c r="A33" s="22">
        <v>45785</v>
      </c>
      <c r="B33" s="6">
        <v>12403</v>
      </c>
      <c r="C33" s="6" t="s">
        <v>14</v>
      </c>
      <c r="D33" s="8">
        <v>10000</v>
      </c>
      <c r="E33" s="8">
        <f t="shared" si="0"/>
        <v>360000</v>
      </c>
      <c r="F33" s="23">
        <f t="shared" si="1"/>
        <v>240000</v>
      </c>
    </row>
    <row r="34" spans="1:6" x14ac:dyDescent="0.35">
      <c r="A34" s="31" t="s">
        <v>182</v>
      </c>
      <c r="B34" s="6">
        <v>12753</v>
      </c>
      <c r="C34" s="6" t="s">
        <v>14</v>
      </c>
      <c r="D34" s="8">
        <v>10000</v>
      </c>
      <c r="E34" s="8">
        <f t="shared" si="0"/>
        <v>370000</v>
      </c>
      <c r="F34" s="23">
        <f t="shared" si="1"/>
        <v>230000</v>
      </c>
    </row>
    <row r="35" spans="1:6" x14ac:dyDescent="0.35">
      <c r="A35" s="31" t="s">
        <v>183</v>
      </c>
      <c r="B35" s="6">
        <v>12623</v>
      </c>
      <c r="C35" s="6" t="s">
        <v>14</v>
      </c>
      <c r="D35" s="8">
        <v>10000</v>
      </c>
      <c r="E35" s="8">
        <f t="shared" si="0"/>
        <v>380000</v>
      </c>
      <c r="F35" s="23">
        <f t="shared" si="1"/>
        <v>220000</v>
      </c>
    </row>
    <row r="36" spans="1:6" x14ac:dyDescent="0.35">
      <c r="A36" s="31" t="s">
        <v>184</v>
      </c>
      <c r="B36" s="6">
        <v>13016</v>
      </c>
      <c r="C36" s="6" t="s">
        <v>14</v>
      </c>
      <c r="D36" s="8">
        <v>10000</v>
      </c>
      <c r="E36" s="8">
        <f t="shared" si="0"/>
        <v>390000</v>
      </c>
      <c r="F36" s="23">
        <f t="shared" si="1"/>
        <v>210000</v>
      </c>
    </row>
    <row r="37" spans="1:6" x14ac:dyDescent="0.35">
      <c r="A37" s="31" t="s">
        <v>185</v>
      </c>
      <c r="B37" s="6">
        <v>12649</v>
      </c>
      <c r="C37" s="6" t="s">
        <v>14</v>
      </c>
      <c r="D37" s="8">
        <v>10000</v>
      </c>
      <c r="E37" s="8">
        <f t="shared" si="0"/>
        <v>400000</v>
      </c>
      <c r="F37" s="23">
        <f t="shared" si="1"/>
        <v>200000</v>
      </c>
    </row>
    <row r="38" spans="1:6" x14ac:dyDescent="0.35">
      <c r="A38" s="31" t="s">
        <v>272</v>
      </c>
      <c r="B38" s="6">
        <v>12207</v>
      </c>
      <c r="C38" s="6" t="s">
        <v>14</v>
      </c>
      <c r="D38" s="8">
        <v>10000</v>
      </c>
      <c r="E38" s="8">
        <f t="shared" si="0"/>
        <v>410000</v>
      </c>
      <c r="F38" s="23">
        <f t="shared" si="1"/>
        <v>190000</v>
      </c>
    </row>
    <row r="39" spans="1:6" x14ac:dyDescent="0.35">
      <c r="A39" s="31" t="s">
        <v>186</v>
      </c>
      <c r="B39" s="6">
        <v>12556</v>
      </c>
      <c r="C39" s="6" t="s">
        <v>14</v>
      </c>
      <c r="D39" s="8">
        <v>10000</v>
      </c>
      <c r="E39" s="8">
        <f t="shared" si="0"/>
        <v>420000</v>
      </c>
      <c r="F39" s="23">
        <f t="shared" si="1"/>
        <v>180000</v>
      </c>
    </row>
    <row r="40" spans="1:6" x14ac:dyDescent="0.35">
      <c r="A40" s="71" t="s">
        <v>258</v>
      </c>
      <c r="B40" s="26">
        <v>13952</v>
      </c>
      <c r="C40" s="26" t="s">
        <v>14</v>
      </c>
      <c r="D40" s="27">
        <v>10000</v>
      </c>
      <c r="E40" s="27">
        <f t="shared" si="0"/>
        <v>430000</v>
      </c>
      <c r="F40" s="28">
        <f t="shared" si="1"/>
        <v>170000</v>
      </c>
    </row>
    <row r="41" spans="1:6" x14ac:dyDescent="0.35">
      <c r="A41" s="71" t="s">
        <v>338</v>
      </c>
      <c r="B41" s="26">
        <v>13297</v>
      </c>
      <c r="C41" s="26" t="s">
        <v>14</v>
      </c>
      <c r="D41" s="27">
        <v>10000</v>
      </c>
      <c r="E41" s="27">
        <f>SUM(E40+D41)</f>
        <v>440000</v>
      </c>
      <c r="F41" s="28">
        <f t="shared" ref="F41:F46" si="2">F40-D41</f>
        <v>160000</v>
      </c>
    </row>
    <row r="42" spans="1:6" x14ac:dyDescent="0.35">
      <c r="A42" s="71" t="s">
        <v>394</v>
      </c>
      <c r="B42" s="26">
        <v>13371</v>
      </c>
      <c r="C42" s="26" t="s">
        <v>14</v>
      </c>
      <c r="D42" s="27">
        <v>10000</v>
      </c>
      <c r="E42" s="27">
        <f>SUM(E41+D42)</f>
        <v>450000</v>
      </c>
      <c r="F42" s="28">
        <f t="shared" si="2"/>
        <v>150000</v>
      </c>
    </row>
    <row r="43" spans="1:6" x14ac:dyDescent="0.35">
      <c r="A43" s="15" t="s">
        <v>516</v>
      </c>
      <c r="B43" s="15">
        <v>1307</v>
      </c>
      <c r="C43" s="15" t="s">
        <v>438</v>
      </c>
      <c r="D43" s="16">
        <v>10000</v>
      </c>
      <c r="E43" s="16">
        <f>E42+D43</f>
        <v>460000</v>
      </c>
      <c r="F43" s="16">
        <f t="shared" si="2"/>
        <v>140000</v>
      </c>
    </row>
    <row r="44" spans="1:6" x14ac:dyDescent="0.35">
      <c r="A44" s="15" t="s">
        <v>599</v>
      </c>
      <c r="B44" s="15">
        <v>1520</v>
      </c>
      <c r="C44" s="15" t="s">
        <v>438</v>
      </c>
      <c r="D44" s="16">
        <v>10000</v>
      </c>
      <c r="E44" s="16">
        <f>E43+D44</f>
        <v>470000</v>
      </c>
      <c r="F44" s="16">
        <f t="shared" si="2"/>
        <v>130000</v>
      </c>
    </row>
    <row r="45" spans="1:6" x14ac:dyDescent="0.35">
      <c r="A45" s="15" t="s">
        <v>613</v>
      </c>
      <c r="B45" s="15">
        <v>1836</v>
      </c>
      <c r="C45" s="15" t="s">
        <v>438</v>
      </c>
      <c r="D45" s="16">
        <v>10000</v>
      </c>
      <c r="E45" s="16">
        <f>E44+D45</f>
        <v>480000</v>
      </c>
      <c r="F45" s="16">
        <f t="shared" si="2"/>
        <v>120000</v>
      </c>
    </row>
    <row r="46" spans="1:6" x14ac:dyDescent="0.35">
      <c r="A46" s="15" t="s">
        <v>634</v>
      </c>
      <c r="B46" s="15">
        <v>2121</v>
      </c>
      <c r="C46" s="15" t="s">
        <v>438</v>
      </c>
      <c r="D46" s="16">
        <v>10000</v>
      </c>
      <c r="E46" s="16">
        <f>E45+D46</f>
        <v>490000</v>
      </c>
      <c r="F46" s="16">
        <f t="shared" si="2"/>
        <v>110000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sqref="A1:F7"/>
    </sheetView>
  </sheetViews>
  <sheetFormatPr defaultRowHeight="14.5" x14ac:dyDescent="0.35"/>
  <cols>
    <col min="1" max="1" width="11.26953125" customWidth="1"/>
    <col min="3" max="3" width="11.90625" customWidth="1"/>
    <col min="6" max="6" width="10.6328125" customWidth="1"/>
    <col min="15" max="15" width="13.36328125" customWidth="1"/>
  </cols>
  <sheetData>
    <row r="1" spans="1:15" ht="18.5" x14ac:dyDescent="0.45">
      <c r="A1" s="1" t="s">
        <v>317</v>
      </c>
      <c r="B1" s="1"/>
      <c r="C1" s="1"/>
      <c r="D1" s="1"/>
      <c r="E1" s="1"/>
    </row>
    <row r="2" spans="1:15" ht="18.5" x14ac:dyDescent="0.45">
      <c r="A2" s="1" t="s">
        <v>318</v>
      </c>
      <c r="C2" s="1"/>
      <c r="D2" s="1"/>
      <c r="E2" s="1"/>
    </row>
    <row r="3" spans="1:15" ht="18.5" x14ac:dyDescent="0.45">
      <c r="A3" s="1" t="s">
        <v>319</v>
      </c>
      <c r="B3" s="1"/>
      <c r="C3" s="1"/>
      <c r="D3" s="1"/>
      <c r="E3" s="1"/>
      <c r="K3" t="s">
        <v>401</v>
      </c>
    </row>
    <row r="4" spans="1:15" ht="18.5" x14ac:dyDescent="0.45">
      <c r="A4" s="1" t="s">
        <v>339</v>
      </c>
      <c r="B4" s="1"/>
      <c r="C4" s="1"/>
      <c r="D4" s="1"/>
      <c r="E4" s="1"/>
    </row>
    <row r="5" spans="1:15" ht="18.5" x14ac:dyDescent="0.45">
      <c r="A5" s="1" t="s">
        <v>320</v>
      </c>
      <c r="B5" s="1"/>
      <c r="C5" s="1"/>
      <c r="D5" s="1"/>
      <c r="E5" s="1"/>
    </row>
    <row r="6" spans="1:15" ht="18.5" x14ac:dyDescent="0.45">
      <c r="A6" s="1" t="s">
        <v>321</v>
      </c>
      <c r="B6" s="1"/>
      <c r="C6" s="1"/>
      <c r="D6" s="1" t="s">
        <v>322</v>
      </c>
      <c r="E6" s="1"/>
      <c r="J6" s="20" t="s">
        <v>6</v>
      </c>
      <c r="K6" s="21" t="s">
        <v>7</v>
      </c>
      <c r="L6" s="21" t="s">
        <v>8</v>
      </c>
      <c r="M6" s="19" t="s">
        <v>9</v>
      </c>
      <c r="N6" s="19" t="s">
        <v>10</v>
      </c>
      <c r="O6" s="19" t="s">
        <v>11</v>
      </c>
    </row>
    <row r="7" spans="1:15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19" t="s">
        <v>11</v>
      </c>
      <c r="J7" t="s">
        <v>399</v>
      </c>
      <c r="K7">
        <v>1484</v>
      </c>
      <c r="L7" t="s">
        <v>400</v>
      </c>
      <c r="M7">
        <v>5000</v>
      </c>
      <c r="N7">
        <v>5000</v>
      </c>
      <c r="O7" s="18">
        <v>420000</v>
      </c>
    </row>
    <row r="8" spans="1:15" x14ac:dyDescent="0.35">
      <c r="A8" t="s">
        <v>323</v>
      </c>
      <c r="B8">
        <v>1229</v>
      </c>
      <c r="C8" t="s">
        <v>331</v>
      </c>
      <c r="D8" s="18">
        <v>10000</v>
      </c>
      <c r="E8" s="18">
        <v>10000</v>
      </c>
      <c r="F8" s="18">
        <v>357500</v>
      </c>
    </row>
    <row r="9" spans="1:15" x14ac:dyDescent="0.35">
      <c r="A9" t="s">
        <v>324</v>
      </c>
      <c r="B9">
        <v>730</v>
      </c>
      <c r="C9" t="s">
        <v>35</v>
      </c>
      <c r="D9" s="18">
        <v>30000</v>
      </c>
      <c r="E9" s="18">
        <f>SUM(E8+D9)</f>
        <v>40000</v>
      </c>
      <c r="F9" s="18">
        <f>F8-D9</f>
        <v>327500</v>
      </c>
    </row>
    <row r="10" spans="1:15" x14ac:dyDescent="0.35">
      <c r="A10" s="13">
        <v>45112</v>
      </c>
      <c r="B10">
        <v>707</v>
      </c>
      <c r="C10" t="s">
        <v>331</v>
      </c>
      <c r="D10" s="18">
        <v>10000</v>
      </c>
      <c r="E10" s="18">
        <f t="shared" ref="E10:E25" si="0">SUM(E9+D10)</f>
        <v>50000</v>
      </c>
      <c r="F10" s="18">
        <f t="shared" ref="F10:F25" si="1">F9-D10</f>
        <v>317500</v>
      </c>
    </row>
    <row r="11" spans="1:15" x14ac:dyDescent="0.35">
      <c r="A11" t="s">
        <v>168</v>
      </c>
      <c r="B11">
        <v>3095</v>
      </c>
      <c r="C11" t="s">
        <v>331</v>
      </c>
      <c r="D11" s="18">
        <v>30000</v>
      </c>
      <c r="E11" s="18">
        <f t="shared" si="0"/>
        <v>80000</v>
      </c>
      <c r="F11" s="18">
        <f t="shared" si="1"/>
        <v>287500</v>
      </c>
    </row>
    <row r="12" spans="1:15" x14ac:dyDescent="0.35">
      <c r="A12" t="s">
        <v>325</v>
      </c>
      <c r="B12">
        <v>4576</v>
      </c>
      <c r="C12" t="s">
        <v>331</v>
      </c>
      <c r="D12" s="18">
        <v>20000</v>
      </c>
      <c r="E12" s="18">
        <f t="shared" si="0"/>
        <v>100000</v>
      </c>
      <c r="F12" s="18">
        <f t="shared" si="1"/>
        <v>267500</v>
      </c>
    </row>
    <row r="13" spans="1:15" x14ac:dyDescent="0.35">
      <c r="A13" t="s">
        <v>326</v>
      </c>
      <c r="B13">
        <v>5786</v>
      </c>
      <c r="C13" t="s">
        <v>331</v>
      </c>
      <c r="D13" s="18">
        <v>20000</v>
      </c>
      <c r="E13" s="18">
        <f t="shared" si="0"/>
        <v>120000</v>
      </c>
      <c r="F13" s="18">
        <f t="shared" si="1"/>
        <v>247500</v>
      </c>
    </row>
    <row r="14" spans="1:15" x14ac:dyDescent="0.35">
      <c r="A14" t="s">
        <v>327</v>
      </c>
      <c r="B14">
        <v>6791</v>
      </c>
      <c r="C14" t="s">
        <v>331</v>
      </c>
      <c r="D14" s="18">
        <v>20000</v>
      </c>
      <c r="E14" s="18">
        <f t="shared" si="0"/>
        <v>140000</v>
      </c>
      <c r="F14" s="18">
        <f t="shared" si="1"/>
        <v>227500</v>
      </c>
    </row>
    <row r="15" spans="1:15" x14ac:dyDescent="0.35">
      <c r="A15" t="s">
        <v>328</v>
      </c>
      <c r="B15">
        <v>8040</v>
      </c>
      <c r="C15" t="s">
        <v>331</v>
      </c>
      <c r="D15" s="18">
        <v>20000</v>
      </c>
      <c r="E15" s="18">
        <f t="shared" si="0"/>
        <v>160000</v>
      </c>
      <c r="F15" s="18">
        <f t="shared" si="1"/>
        <v>207500</v>
      </c>
    </row>
    <row r="16" spans="1:15" x14ac:dyDescent="0.35">
      <c r="A16" t="s">
        <v>329</v>
      </c>
      <c r="B16">
        <v>9251</v>
      </c>
      <c r="C16" t="s">
        <v>331</v>
      </c>
      <c r="D16" s="18">
        <v>20000</v>
      </c>
      <c r="E16" s="18">
        <f t="shared" si="0"/>
        <v>180000</v>
      </c>
      <c r="F16" s="18">
        <f t="shared" si="1"/>
        <v>187500</v>
      </c>
    </row>
    <row r="17" spans="1:6" x14ac:dyDescent="0.35">
      <c r="A17" t="s">
        <v>330</v>
      </c>
      <c r="B17">
        <v>10452</v>
      </c>
      <c r="C17" t="s">
        <v>331</v>
      </c>
      <c r="D17" s="18">
        <v>20000</v>
      </c>
      <c r="E17" s="18">
        <f t="shared" si="0"/>
        <v>200000</v>
      </c>
      <c r="F17" s="18">
        <f t="shared" si="1"/>
        <v>167500</v>
      </c>
    </row>
    <row r="18" spans="1:6" x14ac:dyDescent="0.35">
      <c r="A18" t="s">
        <v>177</v>
      </c>
      <c r="B18">
        <v>10381</v>
      </c>
      <c r="C18" t="s">
        <v>331</v>
      </c>
      <c r="D18" s="18">
        <v>20000</v>
      </c>
      <c r="E18" s="18">
        <f t="shared" si="0"/>
        <v>220000</v>
      </c>
      <c r="F18" s="18">
        <f t="shared" si="1"/>
        <v>147500</v>
      </c>
    </row>
    <row r="19" spans="1:6" x14ac:dyDescent="0.35">
      <c r="A19" t="s">
        <v>332</v>
      </c>
      <c r="B19">
        <v>12774</v>
      </c>
      <c r="C19" t="s">
        <v>331</v>
      </c>
      <c r="D19" s="18">
        <v>20000</v>
      </c>
      <c r="E19" s="18">
        <f t="shared" si="0"/>
        <v>240000</v>
      </c>
      <c r="F19" s="18">
        <f t="shared" si="1"/>
        <v>127500</v>
      </c>
    </row>
    <row r="20" spans="1:6" x14ac:dyDescent="0.35">
      <c r="A20" t="s">
        <v>333</v>
      </c>
      <c r="B20">
        <v>9518</v>
      </c>
      <c r="C20" t="s">
        <v>331</v>
      </c>
      <c r="D20" s="18">
        <v>20000</v>
      </c>
      <c r="E20" s="18">
        <f t="shared" si="0"/>
        <v>260000</v>
      </c>
      <c r="F20" s="18">
        <f t="shared" si="1"/>
        <v>107500</v>
      </c>
    </row>
    <row r="21" spans="1:6" x14ac:dyDescent="0.35">
      <c r="A21" t="s">
        <v>334</v>
      </c>
      <c r="B21">
        <v>10059</v>
      </c>
      <c r="C21" t="s">
        <v>331</v>
      </c>
      <c r="D21" s="18">
        <v>20000</v>
      </c>
      <c r="E21" s="18">
        <f t="shared" si="0"/>
        <v>280000</v>
      </c>
      <c r="F21" s="18">
        <f t="shared" si="1"/>
        <v>87500</v>
      </c>
    </row>
    <row r="22" spans="1:6" x14ac:dyDescent="0.35">
      <c r="A22" t="s">
        <v>335</v>
      </c>
      <c r="B22">
        <v>11892</v>
      </c>
      <c r="C22" t="s">
        <v>331</v>
      </c>
      <c r="D22" s="18">
        <v>20000</v>
      </c>
      <c r="E22" s="18">
        <f t="shared" si="0"/>
        <v>300000</v>
      </c>
      <c r="F22" s="18">
        <f t="shared" si="1"/>
        <v>67500</v>
      </c>
    </row>
    <row r="23" spans="1:6" x14ac:dyDescent="0.35">
      <c r="A23" t="s">
        <v>336</v>
      </c>
      <c r="B23">
        <v>12513</v>
      </c>
      <c r="C23" t="s">
        <v>331</v>
      </c>
      <c r="D23" s="18">
        <v>20000</v>
      </c>
      <c r="E23" s="18">
        <f t="shared" si="0"/>
        <v>320000</v>
      </c>
      <c r="F23" s="18">
        <f t="shared" si="1"/>
        <v>47500</v>
      </c>
    </row>
    <row r="24" spans="1:6" x14ac:dyDescent="0.35">
      <c r="A24" t="s">
        <v>337</v>
      </c>
      <c r="B24">
        <v>13583</v>
      </c>
      <c r="C24" t="s">
        <v>331</v>
      </c>
      <c r="D24" s="18">
        <v>20000</v>
      </c>
      <c r="E24" s="18">
        <f t="shared" si="0"/>
        <v>340000</v>
      </c>
      <c r="F24" s="18">
        <f t="shared" si="1"/>
        <v>27500</v>
      </c>
    </row>
    <row r="25" spans="1:6" x14ac:dyDescent="0.35">
      <c r="A25" s="13">
        <v>46024</v>
      </c>
      <c r="B25">
        <v>12304</v>
      </c>
      <c r="C25" t="s">
        <v>331</v>
      </c>
      <c r="D25" s="18">
        <v>27500</v>
      </c>
      <c r="E25" s="18">
        <f t="shared" si="0"/>
        <v>367500</v>
      </c>
      <c r="F25" s="18">
        <f t="shared" si="1"/>
        <v>0</v>
      </c>
    </row>
    <row r="26" spans="1:6" ht="18.5" x14ac:dyDescent="0.45">
      <c r="A26" s="73" t="s">
        <v>353</v>
      </c>
      <c r="B26" s="73"/>
      <c r="C26" s="73"/>
      <c r="D26" s="73"/>
      <c r="E26" s="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6" workbookViewId="0">
      <selection activeCell="C37" sqref="C37"/>
    </sheetView>
  </sheetViews>
  <sheetFormatPr defaultRowHeight="14.5" x14ac:dyDescent="0.35"/>
  <cols>
    <col min="1" max="1" width="10.54296875" customWidth="1"/>
    <col min="3" max="3" width="15.1796875" customWidth="1"/>
  </cols>
  <sheetData>
    <row r="1" spans="1:6" ht="18.5" x14ac:dyDescent="0.45">
      <c r="A1" s="1" t="s">
        <v>402</v>
      </c>
      <c r="B1" s="1"/>
      <c r="C1" s="1"/>
      <c r="D1" s="1"/>
      <c r="E1" s="1"/>
    </row>
    <row r="2" spans="1:6" ht="18.5" x14ac:dyDescent="0.45">
      <c r="A2" s="1" t="s">
        <v>403</v>
      </c>
      <c r="C2" s="1"/>
      <c r="D2" s="1"/>
      <c r="E2" s="1"/>
    </row>
    <row r="3" spans="1:6" ht="18.5" x14ac:dyDescent="0.45">
      <c r="A3" s="1" t="s">
        <v>404</v>
      </c>
      <c r="B3" s="1"/>
      <c r="C3" s="1"/>
      <c r="D3" s="1"/>
      <c r="E3" s="1"/>
    </row>
    <row r="4" spans="1:6" ht="18.5" x14ac:dyDescent="0.45">
      <c r="A4" s="1" t="s">
        <v>409</v>
      </c>
      <c r="B4" s="1"/>
      <c r="C4" s="1"/>
      <c r="D4" s="1"/>
      <c r="E4" s="1"/>
    </row>
    <row r="5" spans="1:6" ht="18.5" x14ac:dyDescent="0.45">
      <c r="A5" s="1" t="s">
        <v>405</v>
      </c>
      <c r="B5" s="1"/>
      <c r="C5" s="1"/>
      <c r="D5" s="1"/>
      <c r="E5" s="1"/>
    </row>
    <row r="6" spans="1:6" ht="18.5" x14ac:dyDescent="0.45">
      <c r="A6" s="1" t="s">
        <v>406</v>
      </c>
      <c r="B6" s="1"/>
      <c r="C6" s="1"/>
      <c r="D6" s="1" t="s">
        <v>407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19" t="s">
        <v>11</v>
      </c>
    </row>
    <row r="8" spans="1:6" x14ac:dyDescent="0.35">
      <c r="A8" t="s">
        <v>323</v>
      </c>
      <c r="B8">
        <v>1228</v>
      </c>
      <c r="C8" t="s">
        <v>14</v>
      </c>
      <c r="D8" s="18">
        <v>10000</v>
      </c>
      <c r="E8" s="18">
        <v>10000</v>
      </c>
      <c r="F8" s="18">
        <v>310000</v>
      </c>
    </row>
    <row r="9" spans="1:6" x14ac:dyDescent="0.35">
      <c r="A9" s="13">
        <v>44785</v>
      </c>
      <c r="B9">
        <v>34</v>
      </c>
      <c r="C9" t="s">
        <v>35</v>
      </c>
      <c r="D9" s="18">
        <v>20000</v>
      </c>
      <c r="E9" s="18">
        <f>E8+D9</f>
        <v>30000</v>
      </c>
      <c r="F9" s="18">
        <f>F8-D9</f>
        <v>290000</v>
      </c>
    </row>
    <row r="10" spans="1:6" x14ac:dyDescent="0.35">
      <c r="A10" t="s">
        <v>165</v>
      </c>
      <c r="B10">
        <v>35</v>
      </c>
      <c r="C10" t="s">
        <v>14</v>
      </c>
      <c r="D10" s="18">
        <v>10000</v>
      </c>
      <c r="E10" s="18">
        <f t="shared" ref="E10:E26" si="0">E9+D10</f>
        <v>40000</v>
      </c>
      <c r="F10" s="18">
        <f t="shared" ref="F10:F26" si="1">F9-D10</f>
        <v>280000</v>
      </c>
    </row>
    <row r="11" spans="1:6" x14ac:dyDescent="0.35">
      <c r="A11" t="s">
        <v>291</v>
      </c>
      <c r="B11">
        <v>702</v>
      </c>
      <c r="C11" t="s">
        <v>35</v>
      </c>
      <c r="D11" s="18">
        <v>10000</v>
      </c>
      <c r="E11" s="18">
        <f t="shared" si="0"/>
        <v>50000</v>
      </c>
      <c r="F11" s="18">
        <f t="shared" si="1"/>
        <v>270000</v>
      </c>
    </row>
    <row r="12" spans="1:6" x14ac:dyDescent="0.35">
      <c r="A12" s="13">
        <v>45112</v>
      </c>
      <c r="B12">
        <v>2804</v>
      </c>
      <c r="C12" t="s">
        <v>14</v>
      </c>
      <c r="D12" s="18">
        <v>20000</v>
      </c>
      <c r="E12" s="18">
        <f t="shared" si="0"/>
        <v>70000</v>
      </c>
      <c r="F12" s="18">
        <f t="shared" si="1"/>
        <v>250000</v>
      </c>
    </row>
    <row r="13" spans="1:6" x14ac:dyDescent="0.35">
      <c r="A13" t="s">
        <v>408</v>
      </c>
      <c r="B13">
        <v>3099</v>
      </c>
      <c r="C13" t="s">
        <v>14</v>
      </c>
      <c r="D13" s="18">
        <v>10000</v>
      </c>
      <c r="E13" s="18">
        <f t="shared" si="0"/>
        <v>80000</v>
      </c>
      <c r="F13" s="18">
        <f t="shared" si="1"/>
        <v>240000</v>
      </c>
    </row>
    <row r="14" spans="1:6" x14ac:dyDescent="0.35">
      <c r="A14" s="13">
        <v>45207</v>
      </c>
      <c r="B14">
        <v>3099</v>
      </c>
      <c r="C14" t="s">
        <v>14</v>
      </c>
      <c r="D14" s="18">
        <v>10000</v>
      </c>
      <c r="E14" s="18">
        <f t="shared" si="0"/>
        <v>90000</v>
      </c>
      <c r="F14" s="18">
        <f t="shared" si="1"/>
        <v>230000</v>
      </c>
    </row>
    <row r="15" spans="1:6" x14ac:dyDescent="0.35">
      <c r="A15" t="s">
        <v>325</v>
      </c>
      <c r="B15">
        <v>4575</v>
      </c>
      <c r="C15" t="s">
        <v>14</v>
      </c>
      <c r="D15" s="18">
        <v>20000</v>
      </c>
      <c r="E15" s="18">
        <f t="shared" si="0"/>
        <v>110000</v>
      </c>
      <c r="F15" s="18">
        <f t="shared" si="1"/>
        <v>210000</v>
      </c>
    </row>
    <row r="16" spans="1:6" x14ac:dyDescent="0.35">
      <c r="A16" s="13" t="s">
        <v>326</v>
      </c>
      <c r="B16">
        <v>5787</v>
      </c>
      <c r="C16" t="s">
        <v>14</v>
      </c>
      <c r="D16" s="18">
        <v>20000</v>
      </c>
      <c r="E16" s="18">
        <f t="shared" si="0"/>
        <v>130000</v>
      </c>
      <c r="F16" s="18">
        <f t="shared" si="1"/>
        <v>190000</v>
      </c>
    </row>
    <row r="17" spans="1:6" x14ac:dyDescent="0.35">
      <c r="A17" t="s">
        <v>327</v>
      </c>
      <c r="B17">
        <v>6792</v>
      </c>
      <c r="C17" t="s">
        <v>14</v>
      </c>
      <c r="D17" s="18">
        <v>20000</v>
      </c>
      <c r="E17" s="18">
        <f t="shared" si="0"/>
        <v>150000</v>
      </c>
      <c r="F17" s="18">
        <f t="shared" si="1"/>
        <v>170000</v>
      </c>
    </row>
    <row r="18" spans="1:6" x14ac:dyDescent="0.35">
      <c r="A18" s="13" t="s">
        <v>328</v>
      </c>
      <c r="B18">
        <v>8039</v>
      </c>
      <c r="C18" t="s">
        <v>14</v>
      </c>
      <c r="D18" s="18">
        <v>20000</v>
      </c>
      <c r="E18" s="18">
        <f t="shared" si="0"/>
        <v>170000</v>
      </c>
      <c r="F18" s="18">
        <f t="shared" si="1"/>
        <v>150000</v>
      </c>
    </row>
    <row r="19" spans="1:6" x14ac:dyDescent="0.35">
      <c r="A19" t="s">
        <v>329</v>
      </c>
      <c r="B19">
        <v>9252</v>
      </c>
      <c r="C19" t="s">
        <v>14</v>
      </c>
      <c r="D19" s="18">
        <v>20000</v>
      </c>
      <c r="E19" s="18">
        <f t="shared" si="0"/>
        <v>190000</v>
      </c>
      <c r="F19" s="18">
        <f t="shared" si="1"/>
        <v>130000</v>
      </c>
    </row>
    <row r="20" spans="1:6" x14ac:dyDescent="0.35">
      <c r="A20" s="13" t="s">
        <v>330</v>
      </c>
      <c r="B20">
        <v>10453</v>
      </c>
      <c r="C20" t="s">
        <v>14</v>
      </c>
      <c r="D20" s="18">
        <v>20000</v>
      </c>
      <c r="E20" s="18">
        <f t="shared" si="0"/>
        <v>210000</v>
      </c>
      <c r="F20" s="18">
        <f t="shared" si="1"/>
        <v>110000</v>
      </c>
    </row>
    <row r="21" spans="1:6" x14ac:dyDescent="0.35">
      <c r="A21" t="s">
        <v>177</v>
      </c>
      <c r="B21">
        <v>10382</v>
      </c>
      <c r="C21" t="s">
        <v>14</v>
      </c>
      <c r="D21" s="18">
        <v>20000</v>
      </c>
      <c r="E21" s="18">
        <f t="shared" si="0"/>
        <v>230000</v>
      </c>
      <c r="F21" s="18">
        <f t="shared" si="1"/>
        <v>90000</v>
      </c>
    </row>
    <row r="22" spans="1:6" x14ac:dyDescent="0.35">
      <c r="A22" s="13" t="s">
        <v>332</v>
      </c>
      <c r="B22">
        <v>12775</v>
      </c>
      <c r="C22" t="s">
        <v>14</v>
      </c>
      <c r="D22" s="18">
        <v>20000</v>
      </c>
      <c r="E22" s="18">
        <f t="shared" si="0"/>
        <v>250000</v>
      </c>
      <c r="F22" s="18">
        <f t="shared" si="1"/>
        <v>70000</v>
      </c>
    </row>
    <row r="23" spans="1:6" x14ac:dyDescent="0.35">
      <c r="A23" t="s">
        <v>333</v>
      </c>
      <c r="B23">
        <v>9519</v>
      </c>
      <c r="C23" t="s">
        <v>14</v>
      </c>
      <c r="D23" s="18">
        <v>20000</v>
      </c>
      <c r="E23" s="18">
        <f t="shared" si="0"/>
        <v>270000</v>
      </c>
      <c r="F23" s="18">
        <f t="shared" si="1"/>
        <v>50000</v>
      </c>
    </row>
    <row r="24" spans="1:6" x14ac:dyDescent="0.35">
      <c r="A24" s="13" t="s">
        <v>334</v>
      </c>
      <c r="B24">
        <v>10058</v>
      </c>
      <c r="C24" t="s">
        <v>14</v>
      </c>
      <c r="D24" s="18">
        <v>20000</v>
      </c>
      <c r="E24" s="18">
        <f t="shared" si="0"/>
        <v>290000</v>
      </c>
      <c r="F24" s="18">
        <f t="shared" si="1"/>
        <v>30000</v>
      </c>
    </row>
    <row r="25" spans="1:6" x14ac:dyDescent="0.35">
      <c r="A25" t="s">
        <v>335</v>
      </c>
      <c r="B25">
        <v>11891</v>
      </c>
      <c r="C25" t="s">
        <v>14</v>
      </c>
      <c r="D25" s="18">
        <v>20000</v>
      </c>
      <c r="E25" s="18">
        <f t="shared" si="0"/>
        <v>310000</v>
      </c>
      <c r="F25" s="18">
        <f t="shared" si="1"/>
        <v>10000</v>
      </c>
    </row>
    <row r="26" spans="1:6" x14ac:dyDescent="0.35">
      <c r="A26" s="13" t="s">
        <v>336</v>
      </c>
      <c r="B26">
        <v>12512</v>
      </c>
      <c r="C26" t="s">
        <v>14</v>
      </c>
      <c r="D26" s="18">
        <v>10000</v>
      </c>
      <c r="E26" s="18">
        <f t="shared" si="0"/>
        <v>320000</v>
      </c>
      <c r="F26" s="18">
        <f t="shared" si="1"/>
        <v>0</v>
      </c>
    </row>
    <row r="27" spans="1:6" ht="18.5" x14ac:dyDescent="0.45">
      <c r="A27" s="73"/>
      <c r="B27" s="73"/>
      <c r="C27" s="73"/>
      <c r="D27" s="73"/>
      <c r="E27" s="73"/>
      <c r="F27" s="73"/>
    </row>
    <row r="28" spans="1:6" ht="18.5" x14ac:dyDescent="0.45">
      <c r="A28" s="91" t="s">
        <v>353</v>
      </c>
      <c r="B28" s="91"/>
      <c r="C28" s="91"/>
    </row>
    <row r="29" spans="1:6" x14ac:dyDescent="0.35">
      <c r="A29" s="86">
        <v>46024</v>
      </c>
      <c r="B29" s="15">
        <v>5424</v>
      </c>
      <c r="C29" s="15" t="s">
        <v>595</v>
      </c>
      <c r="D29" s="16">
        <v>25000</v>
      </c>
      <c r="E29" s="15">
        <v>25000</v>
      </c>
      <c r="F29" s="15">
        <v>425000</v>
      </c>
    </row>
    <row r="30" spans="1:6" x14ac:dyDescent="0.35">
      <c r="A30" s="15" t="s">
        <v>605</v>
      </c>
      <c r="B30" s="15">
        <v>5939</v>
      </c>
      <c r="C30" s="15" t="s">
        <v>595</v>
      </c>
      <c r="D30" s="16">
        <v>10000</v>
      </c>
      <c r="E30" s="16">
        <f>E29+D30</f>
        <v>35000</v>
      </c>
      <c r="F30" s="16">
        <f>F29-D30</f>
        <v>415000</v>
      </c>
    </row>
    <row r="31" spans="1:6" x14ac:dyDescent="0.35">
      <c r="A31" s="15" t="s">
        <v>606</v>
      </c>
      <c r="B31" s="15">
        <v>1483</v>
      </c>
      <c r="C31" s="15" t="s">
        <v>595</v>
      </c>
      <c r="D31" s="16">
        <v>5000</v>
      </c>
      <c r="E31" s="16">
        <f>E30+D31</f>
        <v>40000</v>
      </c>
      <c r="F31" s="16">
        <f>F30-D31</f>
        <v>410000</v>
      </c>
    </row>
    <row r="32" spans="1:6" x14ac:dyDescent="0.35">
      <c r="A32" s="15" t="s">
        <v>607</v>
      </c>
      <c r="B32" s="15">
        <v>3707</v>
      </c>
      <c r="C32" s="15" t="s">
        <v>595</v>
      </c>
      <c r="D32" s="16">
        <v>10000</v>
      </c>
      <c r="E32" s="16">
        <f>E31+D32</f>
        <v>50000</v>
      </c>
      <c r="F32" s="16">
        <f>F31-D32</f>
        <v>400000</v>
      </c>
    </row>
    <row r="33" spans="1:6" x14ac:dyDescent="0.35">
      <c r="A33" s="15" t="s">
        <v>631</v>
      </c>
      <c r="B33" s="15">
        <v>2115</v>
      </c>
      <c r="C33" s="15" t="s">
        <v>595</v>
      </c>
      <c r="D33" s="16">
        <v>75000</v>
      </c>
      <c r="E33" s="16">
        <f>E32+D33</f>
        <v>125000</v>
      </c>
      <c r="F33" s="16">
        <f>F32-D33</f>
        <v>325000</v>
      </c>
    </row>
    <row r="34" spans="1:6" x14ac:dyDescent="0.35">
      <c r="D34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topLeftCell="A44" workbookViewId="0">
      <selection activeCell="B47" sqref="B47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162</v>
      </c>
      <c r="B1" s="1"/>
      <c r="C1" s="1"/>
      <c r="D1" s="1"/>
      <c r="E1" s="1"/>
    </row>
    <row r="2" spans="1:6" ht="18.5" x14ac:dyDescent="0.45">
      <c r="A2" s="1" t="s">
        <v>237</v>
      </c>
      <c r="C2" s="1"/>
      <c r="D2" s="1"/>
      <c r="E2" s="1"/>
    </row>
    <row r="3" spans="1:6" ht="18.5" x14ac:dyDescent="0.45">
      <c r="A3" s="1" t="s">
        <v>238</v>
      </c>
      <c r="B3" s="1"/>
      <c r="C3" s="1"/>
      <c r="D3" s="1"/>
      <c r="E3" s="1"/>
    </row>
    <row r="4" spans="1:6" ht="18.5" x14ac:dyDescent="0.45">
      <c r="A4" s="1" t="s">
        <v>239</v>
      </c>
      <c r="B4" s="1"/>
      <c r="C4" s="1"/>
      <c r="D4" s="1"/>
      <c r="E4" s="1"/>
    </row>
    <row r="5" spans="1:6" ht="18.5" x14ac:dyDescent="0.45">
      <c r="A5" s="1" t="s">
        <v>397</v>
      </c>
      <c r="B5" s="1"/>
      <c r="C5" s="1"/>
      <c r="D5" s="1"/>
      <c r="E5" s="1"/>
    </row>
    <row r="6" spans="1:6" ht="18.5" x14ac:dyDescent="0.45">
      <c r="A6" s="1" t="s">
        <v>163</v>
      </c>
      <c r="B6" s="1"/>
      <c r="C6" s="1"/>
      <c r="D6" s="1"/>
      <c r="E6" s="1" t="s">
        <v>5</v>
      </c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3" t="s">
        <v>164</v>
      </c>
      <c r="B8" s="15">
        <v>305</v>
      </c>
      <c r="C8" s="15" t="s">
        <v>173</v>
      </c>
      <c r="D8" s="16">
        <v>100000</v>
      </c>
      <c r="E8" s="16">
        <v>100000</v>
      </c>
      <c r="F8" s="35">
        <v>450000</v>
      </c>
    </row>
    <row r="9" spans="1:6" x14ac:dyDescent="0.35">
      <c r="A9" s="33" t="s">
        <v>165</v>
      </c>
      <c r="B9" s="15">
        <v>22</v>
      </c>
      <c r="C9" s="15" t="s">
        <v>52</v>
      </c>
      <c r="D9" s="16">
        <v>10000</v>
      </c>
      <c r="E9" s="16">
        <f>SUM(E8+D9)</f>
        <v>110000</v>
      </c>
      <c r="F9" s="35">
        <f>F8-D9</f>
        <v>440000</v>
      </c>
    </row>
    <row r="10" spans="1:6" x14ac:dyDescent="0.35">
      <c r="A10" s="34">
        <v>45203</v>
      </c>
      <c r="B10" s="15">
        <v>1074</v>
      </c>
      <c r="C10" s="15" t="s">
        <v>52</v>
      </c>
      <c r="D10" s="16">
        <v>10000</v>
      </c>
      <c r="E10" s="16">
        <f t="shared" ref="E10:E41" si="0">SUM(E9+D10)</f>
        <v>120000</v>
      </c>
      <c r="F10" s="35">
        <f t="shared" ref="F10:F41" si="1">F9-D10</f>
        <v>430000</v>
      </c>
    </row>
    <row r="11" spans="1:6" x14ac:dyDescent="0.35">
      <c r="A11" s="33" t="s">
        <v>166</v>
      </c>
      <c r="B11" s="15">
        <v>634</v>
      </c>
      <c r="C11" s="15" t="s">
        <v>52</v>
      </c>
      <c r="D11" s="16">
        <v>10000</v>
      </c>
      <c r="E11" s="16">
        <f t="shared" si="0"/>
        <v>130000</v>
      </c>
      <c r="F11" s="35">
        <f t="shared" si="1"/>
        <v>420000</v>
      </c>
    </row>
    <row r="12" spans="1:6" x14ac:dyDescent="0.35">
      <c r="A12" s="33" t="s">
        <v>167</v>
      </c>
      <c r="B12" s="15">
        <v>901</v>
      </c>
      <c r="C12" s="15" t="s">
        <v>52</v>
      </c>
      <c r="D12" s="16">
        <v>10000</v>
      </c>
      <c r="E12" s="16">
        <f t="shared" si="0"/>
        <v>140000</v>
      </c>
      <c r="F12" s="35">
        <f t="shared" si="1"/>
        <v>410000</v>
      </c>
    </row>
    <row r="13" spans="1:6" x14ac:dyDescent="0.35">
      <c r="A13" s="33" t="s">
        <v>168</v>
      </c>
      <c r="B13" s="15">
        <v>3082</v>
      </c>
      <c r="C13" s="15" t="s">
        <v>52</v>
      </c>
      <c r="D13" s="16">
        <v>20000</v>
      </c>
      <c r="E13" s="16">
        <f t="shared" si="0"/>
        <v>160000</v>
      </c>
      <c r="F13" s="35">
        <f t="shared" si="1"/>
        <v>390000</v>
      </c>
    </row>
    <row r="14" spans="1:6" x14ac:dyDescent="0.35">
      <c r="A14" s="34" t="s">
        <v>169</v>
      </c>
      <c r="B14" s="15">
        <v>3694</v>
      </c>
      <c r="C14" s="15" t="s">
        <v>52</v>
      </c>
      <c r="D14" s="16">
        <v>10000</v>
      </c>
      <c r="E14" s="16">
        <f t="shared" si="0"/>
        <v>170000</v>
      </c>
      <c r="F14" s="35">
        <f t="shared" si="1"/>
        <v>380000</v>
      </c>
    </row>
    <row r="15" spans="1:6" x14ac:dyDescent="0.35">
      <c r="A15" s="33" t="s">
        <v>19</v>
      </c>
      <c r="B15" s="15">
        <v>4375</v>
      </c>
      <c r="C15" s="15" t="s">
        <v>52</v>
      </c>
      <c r="D15" s="16">
        <v>10000</v>
      </c>
      <c r="E15" s="16">
        <f t="shared" si="0"/>
        <v>180000</v>
      </c>
      <c r="F15" s="35">
        <f t="shared" si="1"/>
        <v>370000</v>
      </c>
    </row>
    <row r="16" spans="1:6" x14ac:dyDescent="0.35">
      <c r="A16" s="33" t="s">
        <v>170</v>
      </c>
      <c r="B16" s="15">
        <v>5011</v>
      </c>
      <c r="C16" s="15" t="s">
        <v>52</v>
      </c>
      <c r="D16" s="16">
        <v>10000</v>
      </c>
      <c r="E16" s="16">
        <f t="shared" si="0"/>
        <v>190000</v>
      </c>
      <c r="F16" s="35">
        <f t="shared" si="1"/>
        <v>360000</v>
      </c>
    </row>
    <row r="17" spans="1:6" x14ac:dyDescent="0.35">
      <c r="A17" s="33" t="s">
        <v>171</v>
      </c>
      <c r="B17" s="15">
        <v>5629</v>
      </c>
      <c r="C17" s="15" t="s">
        <v>52</v>
      </c>
      <c r="D17" s="16">
        <v>10000</v>
      </c>
      <c r="E17" s="16">
        <f t="shared" si="0"/>
        <v>200000</v>
      </c>
      <c r="F17" s="35">
        <f t="shared" si="1"/>
        <v>350000</v>
      </c>
    </row>
    <row r="18" spans="1:6" x14ac:dyDescent="0.35">
      <c r="A18" s="33" t="s">
        <v>172</v>
      </c>
      <c r="B18" s="15">
        <v>6193</v>
      </c>
      <c r="C18" s="15" t="s">
        <v>52</v>
      </c>
      <c r="D18" s="16">
        <v>10000</v>
      </c>
      <c r="E18" s="16">
        <f t="shared" si="0"/>
        <v>210000</v>
      </c>
      <c r="F18" s="35">
        <f t="shared" si="1"/>
        <v>340000</v>
      </c>
    </row>
    <row r="19" spans="1:6" x14ac:dyDescent="0.35">
      <c r="A19" s="34">
        <v>45538</v>
      </c>
      <c r="B19" s="15">
        <v>6967</v>
      </c>
      <c r="C19" s="15" t="s">
        <v>52</v>
      </c>
      <c r="D19" s="16">
        <v>10000</v>
      </c>
      <c r="E19" s="16">
        <f t="shared" si="0"/>
        <v>220000</v>
      </c>
      <c r="F19" s="35">
        <f t="shared" si="1"/>
        <v>330000</v>
      </c>
    </row>
    <row r="20" spans="1:6" x14ac:dyDescent="0.35">
      <c r="A20" s="33" t="s">
        <v>174</v>
      </c>
      <c r="B20" s="15">
        <v>7629</v>
      </c>
      <c r="C20" s="15" t="s">
        <v>52</v>
      </c>
      <c r="D20" s="16">
        <v>10000</v>
      </c>
      <c r="E20" s="16">
        <f t="shared" si="0"/>
        <v>230000</v>
      </c>
      <c r="F20" s="35">
        <f t="shared" si="1"/>
        <v>320000</v>
      </c>
    </row>
    <row r="21" spans="1:6" x14ac:dyDescent="0.35">
      <c r="A21" s="33" t="s">
        <v>175</v>
      </c>
      <c r="B21" s="15">
        <v>8146</v>
      </c>
      <c r="C21" s="15" t="s">
        <v>52</v>
      </c>
      <c r="D21" s="16">
        <v>10000</v>
      </c>
      <c r="E21" s="16">
        <f t="shared" si="0"/>
        <v>240000</v>
      </c>
      <c r="F21" s="35">
        <f t="shared" si="1"/>
        <v>310000</v>
      </c>
    </row>
    <row r="22" spans="1:6" x14ac:dyDescent="0.35">
      <c r="A22" s="34">
        <v>45328</v>
      </c>
      <c r="B22" s="15">
        <v>8813</v>
      </c>
      <c r="C22" s="15" t="s">
        <v>52</v>
      </c>
      <c r="D22" s="16">
        <v>10000</v>
      </c>
      <c r="E22" s="16">
        <f t="shared" si="0"/>
        <v>250000</v>
      </c>
      <c r="F22" s="35">
        <f t="shared" si="1"/>
        <v>300000</v>
      </c>
    </row>
    <row r="23" spans="1:6" x14ac:dyDescent="0.35">
      <c r="A23" s="34">
        <v>45572</v>
      </c>
      <c r="B23" s="15">
        <v>9479</v>
      </c>
      <c r="C23" s="15" t="s">
        <v>52</v>
      </c>
      <c r="D23" s="16">
        <v>10000</v>
      </c>
      <c r="E23" s="16">
        <f t="shared" si="0"/>
        <v>260000</v>
      </c>
      <c r="F23" s="35">
        <f t="shared" si="1"/>
        <v>290000</v>
      </c>
    </row>
    <row r="24" spans="1:6" x14ac:dyDescent="0.35">
      <c r="A24" s="34">
        <v>45604</v>
      </c>
      <c r="B24" s="15">
        <v>11090</v>
      </c>
      <c r="C24" s="15" t="s">
        <v>52</v>
      </c>
      <c r="D24" s="16">
        <v>10000</v>
      </c>
      <c r="E24" s="16">
        <f t="shared" si="0"/>
        <v>270000</v>
      </c>
      <c r="F24" s="35">
        <f t="shared" si="1"/>
        <v>280000</v>
      </c>
    </row>
    <row r="25" spans="1:6" x14ac:dyDescent="0.35">
      <c r="A25" s="33" t="s">
        <v>176</v>
      </c>
      <c r="B25" s="15">
        <v>10768</v>
      </c>
      <c r="C25" s="15" t="s">
        <v>52</v>
      </c>
      <c r="D25" s="16">
        <v>10000</v>
      </c>
      <c r="E25" s="16">
        <f t="shared" si="0"/>
        <v>280000</v>
      </c>
      <c r="F25" s="35">
        <f t="shared" si="1"/>
        <v>270000</v>
      </c>
    </row>
    <row r="26" spans="1:6" x14ac:dyDescent="0.35">
      <c r="A26" s="33" t="s">
        <v>177</v>
      </c>
      <c r="B26" s="15">
        <v>10373</v>
      </c>
      <c r="C26" s="15" t="s">
        <v>52</v>
      </c>
      <c r="D26" s="16">
        <v>10000</v>
      </c>
      <c r="E26" s="16">
        <f t="shared" si="0"/>
        <v>290000</v>
      </c>
      <c r="F26" s="35">
        <f t="shared" si="1"/>
        <v>260000</v>
      </c>
    </row>
    <row r="27" spans="1:6" x14ac:dyDescent="0.35">
      <c r="A27" s="33" t="s">
        <v>178</v>
      </c>
      <c r="B27" s="15">
        <v>12539</v>
      </c>
      <c r="C27" s="15" t="s">
        <v>52</v>
      </c>
      <c r="D27" s="16">
        <v>10000</v>
      </c>
      <c r="E27" s="16">
        <f t="shared" si="0"/>
        <v>300000</v>
      </c>
      <c r="F27" s="35">
        <f t="shared" si="1"/>
        <v>250000</v>
      </c>
    </row>
    <row r="28" spans="1:6" x14ac:dyDescent="0.35">
      <c r="A28" s="34">
        <v>45778</v>
      </c>
      <c r="B28" s="15">
        <v>12912</v>
      </c>
      <c r="C28" s="15" t="s">
        <v>52</v>
      </c>
      <c r="D28" s="16">
        <v>10000</v>
      </c>
      <c r="E28" s="16">
        <f t="shared" si="0"/>
        <v>310000</v>
      </c>
      <c r="F28" s="35">
        <f t="shared" si="1"/>
        <v>240000</v>
      </c>
    </row>
    <row r="29" spans="1:6" x14ac:dyDescent="0.35">
      <c r="A29" s="33" t="s">
        <v>179</v>
      </c>
      <c r="B29" s="15">
        <v>9492</v>
      </c>
      <c r="C29" s="15" t="s">
        <v>52</v>
      </c>
      <c r="D29" s="16">
        <v>10000</v>
      </c>
      <c r="E29" s="16">
        <f t="shared" si="0"/>
        <v>320000</v>
      </c>
      <c r="F29" s="35">
        <f t="shared" si="1"/>
        <v>230000</v>
      </c>
    </row>
    <row r="30" spans="1:6" x14ac:dyDescent="0.35">
      <c r="A30" s="33" t="s">
        <v>79</v>
      </c>
      <c r="B30" s="15">
        <v>9805</v>
      </c>
      <c r="C30" s="15" t="s">
        <v>52</v>
      </c>
      <c r="D30" s="16">
        <v>10000</v>
      </c>
      <c r="E30" s="16">
        <f t="shared" si="0"/>
        <v>330000</v>
      </c>
      <c r="F30" s="35">
        <f t="shared" si="1"/>
        <v>220000</v>
      </c>
    </row>
    <row r="31" spans="1:6" x14ac:dyDescent="0.35">
      <c r="A31" s="34">
        <v>45966</v>
      </c>
      <c r="B31" s="15">
        <v>10917</v>
      </c>
      <c r="C31" s="15" t="s">
        <v>52</v>
      </c>
      <c r="D31" s="16">
        <v>10000</v>
      </c>
      <c r="E31" s="16">
        <f t="shared" si="0"/>
        <v>340000</v>
      </c>
      <c r="F31" s="35">
        <f t="shared" si="1"/>
        <v>210000</v>
      </c>
    </row>
    <row r="32" spans="1:6" x14ac:dyDescent="0.35">
      <c r="A32" s="33" t="s">
        <v>180</v>
      </c>
      <c r="B32" s="15">
        <v>9986</v>
      </c>
      <c r="C32" s="15" t="s">
        <v>52</v>
      </c>
      <c r="D32" s="16">
        <v>10000</v>
      </c>
      <c r="E32" s="16">
        <f t="shared" si="0"/>
        <v>350000</v>
      </c>
      <c r="F32" s="35">
        <f t="shared" si="1"/>
        <v>200000</v>
      </c>
    </row>
    <row r="33" spans="1:6" x14ac:dyDescent="0.35">
      <c r="A33" s="33" t="s">
        <v>181</v>
      </c>
      <c r="B33" s="15">
        <v>12897</v>
      </c>
      <c r="C33" s="15" t="s">
        <v>52</v>
      </c>
      <c r="D33" s="16">
        <v>10000</v>
      </c>
      <c r="E33" s="16">
        <f t="shared" si="0"/>
        <v>360000</v>
      </c>
      <c r="F33" s="35">
        <f t="shared" si="1"/>
        <v>190000</v>
      </c>
    </row>
    <row r="34" spans="1:6" x14ac:dyDescent="0.35">
      <c r="A34" s="34">
        <v>45785</v>
      </c>
      <c r="B34" s="15">
        <v>12405</v>
      </c>
      <c r="C34" s="15" t="s">
        <v>52</v>
      </c>
      <c r="D34" s="16">
        <v>10000</v>
      </c>
      <c r="E34" s="16">
        <f t="shared" si="0"/>
        <v>370000</v>
      </c>
      <c r="F34" s="35">
        <f t="shared" si="1"/>
        <v>180000</v>
      </c>
    </row>
    <row r="35" spans="1:6" x14ac:dyDescent="0.35">
      <c r="A35" s="33" t="s">
        <v>182</v>
      </c>
      <c r="B35" s="15">
        <v>12755</v>
      </c>
      <c r="C35" s="15" t="s">
        <v>52</v>
      </c>
      <c r="D35" s="16">
        <v>10000</v>
      </c>
      <c r="E35" s="16">
        <f t="shared" si="0"/>
        <v>380000</v>
      </c>
      <c r="F35" s="35">
        <f t="shared" si="1"/>
        <v>170000</v>
      </c>
    </row>
    <row r="36" spans="1:6" x14ac:dyDescent="0.35">
      <c r="A36" s="33" t="s">
        <v>183</v>
      </c>
      <c r="B36" s="15">
        <v>13625</v>
      </c>
      <c r="C36" s="15" t="s">
        <v>52</v>
      </c>
      <c r="D36" s="16">
        <v>10000</v>
      </c>
      <c r="E36" s="16">
        <f t="shared" si="0"/>
        <v>390000</v>
      </c>
      <c r="F36" s="35">
        <f t="shared" si="1"/>
        <v>160000</v>
      </c>
    </row>
    <row r="37" spans="1:6" x14ac:dyDescent="0.35">
      <c r="A37" s="33" t="s">
        <v>184</v>
      </c>
      <c r="B37" s="15">
        <v>13017</v>
      </c>
      <c r="C37" s="15" t="s">
        <v>52</v>
      </c>
      <c r="D37" s="16">
        <v>10000</v>
      </c>
      <c r="E37" s="16">
        <f t="shared" si="0"/>
        <v>400000</v>
      </c>
      <c r="F37" s="35">
        <f t="shared" si="1"/>
        <v>150000</v>
      </c>
    </row>
    <row r="38" spans="1:6" x14ac:dyDescent="0.35">
      <c r="A38" s="33" t="s">
        <v>185</v>
      </c>
      <c r="B38" s="15">
        <v>12653</v>
      </c>
      <c r="C38" s="15" t="s">
        <v>52</v>
      </c>
      <c r="D38" s="16">
        <v>10000</v>
      </c>
      <c r="E38" s="16">
        <f t="shared" si="0"/>
        <v>410000</v>
      </c>
      <c r="F38" s="35">
        <f t="shared" si="1"/>
        <v>140000</v>
      </c>
    </row>
    <row r="39" spans="1:6" x14ac:dyDescent="0.35">
      <c r="A39" s="33" t="s">
        <v>83</v>
      </c>
      <c r="B39" s="15">
        <v>12192</v>
      </c>
      <c r="C39" s="15" t="s">
        <v>52</v>
      </c>
      <c r="D39" s="16">
        <v>10000</v>
      </c>
      <c r="E39" s="16">
        <f t="shared" si="0"/>
        <v>420000</v>
      </c>
      <c r="F39" s="35">
        <f t="shared" si="1"/>
        <v>130000</v>
      </c>
    </row>
    <row r="40" spans="1:6" x14ac:dyDescent="0.35">
      <c r="A40" s="33" t="s">
        <v>186</v>
      </c>
      <c r="B40" s="15">
        <v>12558</v>
      </c>
      <c r="C40" s="15" t="s">
        <v>52</v>
      </c>
      <c r="D40" s="16">
        <v>10000</v>
      </c>
      <c r="E40" s="16">
        <f t="shared" si="0"/>
        <v>430000</v>
      </c>
      <c r="F40" s="35">
        <f t="shared" si="1"/>
        <v>120000</v>
      </c>
    </row>
    <row r="41" spans="1:6" x14ac:dyDescent="0.35">
      <c r="A41" s="29" t="s">
        <v>236</v>
      </c>
      <c r="B41" s="36">
        <v>12889</v>
      </c>
      <c r="C41" s="36" t="s">
        <v>52</v>
      </c>
      <c r="D41" s="37">
        <v>10000</v>
      </c>
      <c r="E41" s="37">
        <f t="shared" si="0"/>
        <v>440000</v>
      </c>
      <c r="F41" s="38">
        <f t="shared" si="1"/>
        <v>110000</v>
      </c>
    </row>
    <row r="42" spans="1:6" x14ac:dyDescent="0.35">
      <c r="A42" s="29" t="s">
        <v>338</v>
      </c>
      <c r="B42" s="36">
        <v>13299</v>
      </c>
      <c r="C42" s="36" t="s">
        <v>52</v>
      </c>
      <c r="D42" s="37">
        <v>10000</v>
      </c>
      <c r="E42" s="37">
        <f>SUM(E41+D42)</f>
        <v>450000</v>
      </c>
      <c r="F42" s="38">
        <f>F41-D42</f>
        <v>100000</v>
      </c>
    </row>
    <row r="43" spans="1:6" x14ac:dyDescent="0.35">
      <c r="A43" s="29" t="s">
        <v>394</v>
      </c>
      <c r="B43" s="36">
        <v>13369</v>
      </c>
      <c r="C43" s="36" t="s">
        <v>52</v>
      </c>
      <c r="D43" s="37">
        <v>10000</v>
      </c>
      <c r="E43" s="37">
        <f>SUM(E42+D43)</f>
        <v>460000</v>
      </c>
      <c r="F43" s="38">
        <f>F42-D43</f>
        <v>90000</v>
      </c>
    </row>
    <row r="44" spans="1:6" x14ac:dyDescent="0.35">
      <c r="A44" s="15" t="s">
        <v>517</v>
      </c>
      <c r="B44" s="15">
        <v>13698</v>
      </c>
      <c r="C44" s="15" t="s">
        <v>52</v>
      </c>
      <c r="D44" s="16">
        <v>10000</v>
      </c>
      <c r="E44" s="16">
        <f>E43+D44</f>
        <v>470000</v>
      </c>
      <c r="F44" s="16">
        <f>F43-D44</f>
        <v>80000</v>
      </c>
    </row>
    <row r="45" spans="1:6" x14ac:dyDescent="0.35">
      <c r="A45" s="15" t="s">
        <v>608</v>
      </c>
      <c r="B45" s="15">
        <v>1506</v>
      </c>
      <c r="C45" s="15" t="s">
        <v>52</v>
      </c>
      <c r="D45" s="16">
        <v>10000</v>
      </c>
      <c r="E45" s="16">
        <f>E44+D45</f>
        <v>480000</v>
      </c>
      <c r="F45" s="16">
        <f>F44-D45</f>
        <v>70000</v>
      </c>
    </row>
    <row r="46" spans="1:6" x14ac:dyDescent="0.35">
      <c r="A46" s="86">
        <v>46273</v>
      </c>
      <c r="B46" s="15">
        <v>1685</v>
      </c>
      <c r="C46" s="15" t="s">
        <v>52</v>
      </c>
      <c r="D46" s="16">
        <v>10000</v>
      </c>
      <c r="E46" s="16">
        <f>E45+D46</f>
        <v>490000</v>
      </c>
      <c r="F46" s="16">
        <f>F45-D46</f>
        <v>60000</v>
      </c>
    </row>
    <row r="47" spans="1:6" x14ac:dyDescent="0.35">
      <c r="A47" s="86">
        <v>46305</v>
      </c>
      <c r="B47" s="15">
        <v>5032</v>
      </c>
      <c r="C47" s="15" t="s">
        <v>52</v>
      </c>
      <c r="D47" s="16">
        <v>10000</v>
      </c>
      <c r="E47" s="16">
        <f>E46+D47</f>
        <v>500000</v>
      </c>
      <c r="F47" s="16">
        <f>F46-D47</f>
        <v>50000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D47" sqref="D47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162</v>
      </c>
      <c r="B1" s="1"/>
      <c r="C1" s="1"/>
      <c r="D1" s="1"/>
      <c r="E1" s="1"/>
    </row>
    <row r="2" spans="1:6" ht="18.5" x14ac:dyDescent="0.45">
      <c r="A2" s="1" t="s">
        <v>237</v>
      </c>
      <c r="C2" s="1"/>
      <c r="D2" s="1"/>
      <c r="E2" s="1"/>
    </row>
    <row r="3" spans="1:6" ht="18.5" x14ac:dyDescent="0.45">
      <c r="A3" s="1" t="s">
        <v>238</v>
      </c>
      <c r="B3" s="1"/>
      <c r="C3" s="1"/>
      <c r="D3" s="1"/>
      <c r="E3" s="1"/>
    </row>
    <row r="4" spans="1:6" ht="18.5" x14ac:dyDescent="0.45">
      <c r="A4" s="1" t="s">
        <v>239</v>
      </c>
      <c r="B4" s="1"/>
      <c r="C4" s="1"/>
      <c r="D4" s="1"/>
      <c r="E4" s="1"/>
    </row>
    <row r="5" spans="1:6" ht="18.5" x14ac:dyDescent="0.45">
      <c r="A5" s="1" t="s">
        <v>398</v>
      </c>
      <c r="B5" s="1"/>
      <c r="C5" s="1"/>
      <c r="D5" s="1"/>
      <c r="E5" s="1"/>
    </row>
    <row r="6" spans="1:6" ht="18.5" x14ac:dyDescent="0.45">
      <c r="A6" s="1" t="s">
        <v>187</v>
      </c>
      <c r="B6" s="1"/>
      <c r="C6" s="1"/>
      <c r="D6" s="1"/>
      <c r="E6" s="1" t="s">
        <v>5</v>
      </c>
    </row>
    <row r="7" spans="1:6" x14ac:dyDescent="0.35">
      <c r="A7" s="41" t="s">
        <v>6</v>
      </c>
      <c r="B7" s="42" t="s">
        <v>7</v>
      </c>
      <c r="C7" s="42" t="s">
        <v>8</v>
      </c>
      <c r="D7" s="39" t="s">
        <v>9</v>
      </c>
      <c r="E7" s="39" t="s">
        <v>10</v>
      </c>
      <c r="F7" s="40" t="s">
        <v>11</v>
      </c>
    </row>
    <row r="8" spans="1:6" x14ac:dyDescent="0.35">
      <c r="A8" s="33" t="s">
        <v>164</v>
      </c>
      <c r="B8" s="15">
        <v>306</v>
      </c>
      <c r="C8" s="15" t="s">
        <v>173</v>
      </c>
      <c r="D8" s="16">
        <v>100000</v>
      </c>
      <c r="E8" s="16">
        <v>100000</v>
      </c>
      <c r="F8" s="35">
        <v>450000</v>
      </c>
    </row>
    <row r="9" spans="1:6" x14ac:dyDescent="0.35">
      <c r="A9" s="33" t="s">
        <v>165</v>
      </c>
      <c r="B9" s="15">
        <v>23</v>
      </c>
      <c r="C9" s="15" t="s">
        <v>52</v>
      </c>
      <c r="D9" s="16">
        <v>10000</v>
      </c>
      <c r="E9" s="16">
        <f>SUM(E8+D9)</f>
        <v>110000</v>
      </c>
      <c r="F9" s="35">
        <f>F8-D9</f>
        <v>440000</v>
      </c>
    </row>
    <row r="10" spans="1:6" x14ac:dyDescent="0.35">
      <c r="A10" s="34">
        <v>45203</v>
      </c>
      <c r="B10" s="15">
        <v>1073</v>
      </c>
      <c r="C10" s="15" t="s">
        <v>52</v>
      </c>
      <c r="D10" s="16">
        <v>10000</v>
      </c>
      <c r="E10" s="16">
        <f t="shared" ref="E10:E41" si="0">SUM(E9+D10)</f>
        <v>120000</v>
      </c>
      <c r="F10" s="35">
        <f t="shared" ref="F10:F41" si="1">F9-D10</f>
        <v>430000</v>
      </c>
    </row>
    <row r="11" spans="1:6" x14ac:dyDescent="0.35">
      <c r="A11" s="33" t="s">
        <v>166</v>
      </c>
      <c r="B11" s="15">
        <v>635</v>
      </c>
      <c r="C11" s="15" t="s">
        <v>52</v>
      </c>
      <c r="D11" s="16">
        <v>10000</v>
      </c>
      <c r="E11" s="16">
        <f t="shared" si="0"/>
        <v>130000</v>
      </c>
      <c r="F11" s="35">
        <f t="shared" si="1"/>
        <v>420000</v>
      </c>
    </row>
    <row r="12" spans="1:6" x14ac:dyDescent="0.35">
      <c r="A12" s="33" t="s">
        <v>167</v>
      </c>
      <c r="B12" s="15">
        <v>902</v>
      </c>
      <c r="C12" s="15" t="s">
        <v>52</v>
      </c>
      <c r="D12" s="16">
        <v>10000</v>
      </c>
      <c r="E12" s="16">
        <f t="shared" si="0"/>
        <v>140000</v>
      </c>
      <c r="F12" s="35">
        <f t="shared" si="1"/>
        <v>410000</v>
      </c>
    </row>
    <row r="13" spans="1:6" x14ac:dyDescent="0.35">
      <c r="A13" s="33" t="s">
        <v>168</v>
      </c>
      <c r="B13" s="15">
        <v>3081</v>
      </c>
      <c r="C13" s="15" t="s">
        <v>52</v>
      </c>
      <c r="D13" s="16">
        <v>20000</v>
      </c>
      <c r="E13" s="16">
        <f t="shared" si="0"/>
        <v>160000</v>
      </c>
      <c r="F13" s="35">
        <f t="shared" si="1"/>
        <v>390000</v>
      </c>
    </row>
    <row r="14" spans="1:6" x14ac:dyDescent="0.35">
      <c r="A14" s="34" t="s">
        <v>169</v>
      </c>
      <c r="B14" s="15">
        <v>3693</v>
      </c>
      <c r="C14" s="15" t="s">
        <v>52</v>
      </c>
      <c r="D14" s="16">
        <v>10000</v>
      </c>
      <c r="E14" s="16">
        <f t="shared" si="0"/>
        <v>170000</v>
      </c>
      <c r="F14" s="35">
        <f t="shared" si="1"/>
        <v>380000</v>
      </c>
    </row>
    <row r="15" spans="1:6" x14ac:dyDescent="0.35">
      <c r="A15" s="33" t="s">
        <v>19</v>
      </c>
      <c r="B15" s="15">
        <v>4376</v>
      </c>
      <c r="C15" s="15" t="s">
        <v>52</v>
      </c>
      <c r="D15" s="16">
        <v>10000</v>
      </c>
      <c r="E15" s="16">
        <f t="shared" si="0"/>
        <v>180000</v>
      </c>
      <c r="F15" s="35">
        <f t="shared" si="1"/>
        <v>370000</v>
      </c>
    </row>
    <row r="16" spans="1:6" x14ac:dyDescent="0.35">
      <c r="A16" s="33" t="s">
        <v>170</v>
      </c>
      <c r="B16" s="15">
        <v>5010</v>
      </c>
      <c r="C16" s="15" t="s">
        <v>52</v>
      </c>
      <c r="D16" s="16">
        <v>10000</v>
      </c>
      <c r="E16" s="16">
        <f t="shared" si="0"/>
        <v>190000</v>
      </c>
      <c r="F16" s="35">
        <f t="shared" si="1"/>
        <v>360000</v>
      </c>
    </row>
    <row r="17" spans="1:6" x14ac:dyDescent="0.35">
      <c r="A17" s="33" t="s">
        <v>171</v>
      </c>
      <c r="B17" s="15">
        <v>5628</v>
      </c>
      <c r="C17" s="15" t="s">
        <v>52</v>
      </c>
      <c r="D17" s="16">
        <v>10000</v>
      </c>
      <c r="E17" s="16">
        <f t="shared" si="0"/>
        <v>200000</v>
      </c>
      <c r="F17" s="35">
        <f t="shared" si="1"/>
        <v>350000</v>
      </c>
    </row>
    <row r="18" spans="1:6" x14ac:dyDescent="0.35">
      <c r="A18" s="33" t="s">
        <v>172</v>
      </c>
      <c r="B18" s="15">
        <v>6194</v>
      </c>
      <c r="C18" s="15" t="s">
        <v>52</v>
      </c>
      <c r="D18" s="16">
        <v>10000</v>
      </c>
      <c r="E18" s="16">
        <f t="shared" si="0"/>
        <v>210000</v>
      </c>
      <c r="F18" s="35">
        <f t="shared" si="1"/>
        <v>340000</v>
      </c>
    </row>
    <row r="19" spans="1:6" x14ac:dyDescent="0.35">
      <c r="A19" s="34">
        <v>45538</v>
      </c>
      <c r="B19" s="15">
        <v>6968</v>
      </c>
      <c r="C19" s="15" t="s">
        <v>52</v>
      </c>
      <c r="D19" s="16">
        <v>10000</v>
      </c>
      <c r="E19" s="16">
        <f t="shared" si="0"/>
        <v>220000</v>
      </c>
      <c r="F19" s="35">
        <f t="shared" si="1"/>
        <v>330000</v>
      </c>
    </row>
    <row r="20" spans="1:6" x14ac:dyDescent="0.35">
      <c r="A20" s="33" t="s">
        <v>174</v>
      </c>
      <c r="B20" s="15">
        <v>7682</v>
      </c>
      <c r="C20" s="15" t="s">
        <v>52</v>
      </c>
      <c r="D20" s="16">
        <v>10000</v>
      </c>
      <c r="E20" s="16">
        <f t="shared" si="0"/>
        <v>230000</v>
      </c>
      <c r="F20" s="35">
        <f t="shared" si="1"/>
        <v>320000</v>
      </c>
    </row>
    <row r="21" spans="1:6" x14ac:dyDescent="0.35">
      <c r="A21" s="33" t="s">
        <v>175</v>
      </c>
      <c r="B21" s="15">
        <v>81415</v>
      </c>
      <c r="C21" s="15" t="s">
        <v>52</v>
      </c>
      <c r="D21" s="16">
        <v>10000</v>
      </c>
      <c r="E21" s="16">
        <f t="shared" si="0"/>
        <v>240000</v>
      </c>
      <c r="F21" s="35">
        <f t="shared" si="1"/>
        <v>310000</v>
      </c>
    </row>
    <row r="22" spans="1:6" x14ac:dyDescent="0.35">
      <c r="A22" s="34">
        <v>45328</v>
      </c>
      <c r="B22" s="15">
        <v>8814</v>
      </c>
      <c r="C22" s="15" t="s">
        <v>52</v>
      </c>
      <c r="D22" s="16">
        <v>10000</v>
      </c>
      <c r="E22" s="16">
        <f t="shared" si="0"/>
        <v>250000</v>
      </c>
      <c r="F22" s="35">
        <f t="shared" si="1"/>
        <v>300000</v>
      </c>
    </row>
    <row r="23" spans="1:6" x14ac:dyDescent="0.35">
      <c r="A23" s="34">
        <v>45572</v>
      </c>
      <c r="B23" s="15">
        <v>9480</v>
      </c>
      <c r="C23" s="15" t="s">
        <v>52</v>
      </c>
      <c r="D23" s="16">
        <v>10000</v>
      </c>
      <c r="E23" s="16">
        <f t="shared" si="0"/>
        <v>260000</v>
      </c>
      <c r="F23" s="35">
        <f t="shared" si="1"/>
        <v>290000</v>
      </c>
    </row>
    <row r="24" spans="1:6" x14ac:dyDescent="0.35">
      <c r="A24" s="34">
        <v>45604</v>
      </c>
      <c r="B24" s="15">
        <v>11089</v>
      </c>
      <c r="C24" s="15" t="s">
        <v>52</v>
      </c>
      <c r="D24" s="16">
        <v>10000</v>
      </c>
      <c r="E24" s="16">
        <f t="shared" si="0"/>
        <v>270000</v>
      </c>
      <c r="F24" s="35">
        <f t="shared" si="1"/>
        <v>280000</v>
      </c>
    </row>
    <row r="25" spans="1:6" x14ac:dyDescent="0.35">
      <c r="A25" s="33" t="s">
        <v>176</v>
      </c>
      <c r="B25" s="15">
        <v>10767</v>
      </c>
      <c r="C25" s="15" t="s">
        <v>52</v>
      </c>
      <c r="D25" s="16">
        <v>10000</v>
      </c>
      <c r="E25" s="16">
        <f t="shared" si="0"/>
        <v>280000</v>
      </c>
      <c r="F25" s="35">
        <f t="shared" si="1"/>
        <v>270000</v>
      </c>
    </row>
    <row r="26" spans="1:6" x14ac:dyDescent="0.35">
      <c r="A26" s="33" t="s">
        <v>177</v>
      </c>
      <c r="B26" s="15">
        <v>10372</v>
      </c>
      <c r="C26" s="15" t="s">
        <v>52</v>
      </c>
      <c r="D26" s="16">
        <v>10000</v>
      </c>
      <c r="E26" s="16">
        <f t="shared" si="0"/>
        <v>290000</v>
      </c>
      <c r="F26" s="35">
        <f t="shared" si="1"/>
        <v>260000</v>
      </c>
    </row>
    <row r="27" spans="1:6" x14ac:dyDescent="0.35">
      <c r="A27" s="33" t="s">
        <v>178</v>
      </c>
      <c r="B27" s="15">
        <v>12540</v>
      </c>
      <c r="C27" s="15" t="s">
        <v>52</v>
      </c>
      <c r="D27" s="16">
        <v>10000</v>
      </c>
      <c r="E27" s="16">
        <f t="shared" si="0"/>
        <v>300000</v>
      </c>
      <c r="F27" s="35">
        <f t="shared" si="1"/>
        <v>250000</v>
      </c>
    </row>
    <row r="28" spans="1:6" x14ac:dyDescent="0.35">
      <c r="A28" s="34">
        <v>45778</v>
      </c>
      <c r="B28" s="15">
        <v>12911</v>
      </c>
      <c r="C28" s="15" t="s">
        <v>52</v>
      </c>
      <c r="D28" s="16">
        <v>10000</v>
      </c>
      <c r="E28" s="16">
        <f t="shared" si="0"/>
        <v>310000</v>
      </c>
      <c r="F28" s="35">
        <f t="shared" si="1"/>
        <v>240000</v>
      </c>
    </row>
    <row r="29" spans="1:6" x14ac:dyDescent="0.35">
      <c r="A29" s="33" t="s">
        <v>179</v>
      </c>
      <c r="B29" s="15">
        <v>9493</v>
      </c>
      <c r="C29" s="15" t="s">
        <v>52</v>
      </c>
      <c r="D29" s="16">
        <v>10000</v>
      </c>
      <c r="E29" s="16">
        <f t="shared" si="0"/>
        <v>320000</v>
      </c>
      <c r="F29" s="35">
        <f t="shared" si="1"/>
        <v>230000</v>
      </c>
    </row>
    <row r="30" spans="1:6" x14ac:dyDescent="0.35">
      <c r="A30" s="33" t="s">
        <v>79</v>
      </c>
      <c r="B30" s="15">
        <v>9804</v>
      </c>
      <c r="C30" s="15" t="s">
        <v>52</v>
      </c>
      <c r="D30" s="16">
        <v>10000</v>
      </c>
      <c r="E30" s="16">
        <f t="shared" si="0"/>
        <v>330000</v>
      </c>
      <c r="F30" s="35">
        <f t="shared" si="1"/>
        <v>220000</v>
      </c>
    </row>
    <row r="31" spans="1:6" x14ac:dyDescent="0.35">
      <c r="A31" s="34">
        <v>45966</v>
      </c>
      <c r="B31" s="15">
        <v>10918</v>
      </c>
      <c r="C31" s="15" t="s">
        <v>52</v>
      </c>
      <c r="D31" s="16">
        <v>10000</v>
      </c>
      <c r="E31" s="16">
        <f t="shared" si="0"/>
        <v>340000</v>
      </c>
      <c r="F31" s="35">
        <f t="shared" si="1"/>
        <v>210000</v>
      </c>
    </row>
    <row r="32" spans="1:6" x14ac:dyDescent="0.35">
      <c r="A32" s="33" t="s">
        <v>180</v>
      </c>
      <c r="B32" s="15">
        <v>9985</v>
      </c>
      <c r="C32" s="15" t="s">
        <v>52</v>
      </c>
      <c r="D32" s="16">
        <v>10000</v>
      </c>
      <c r="E32" s="16">
        <f t="shared" si="0"/>
        <v>350000</v>
      </c>
      <c r="F32" s="35">
        <f t="shared" si="1"/>
        <v>200000</v>
      </c>
    </row>
    <row r="33" spans="1:6" x14ac:dyDescent="0.35">
      <c r="A33" s="33" t="s">
        <v>181</v>
      </c>
      <c r="B33" s="15">
        <v>12896</v>
      </c>
      <c r="C33" s="15" t="s">
        <v>52</v>
      </c>
      <c r="D33" s="16">
        <v>10000</v>
      </c>
      <c r="E33" s="16">
        <f t="shared" si="0"/>
        <v>360000</v>
      </c>
      <c r="F33" s="35">
        <f t="shared" si="1"/>
        <v>190000</v>
      </c>
    </row>
    <row r="34" spans="1:6" x14ac:dyDescent="0.35">
      <c r="A34" s="34">
        <v>45785</v>
      </c>
      <c r="B34" s="15">
        <v>12408</v>
      </c>
      <c r="C34" s="15" t="s">
        <v>52</v>
      </c>
      <c r="D34" s="16">
        <v>10000</v>
      </c>
      <c r="E34" s="16">
        <f t="shared" si="0"/>
        <v>370000</v>
      </c>
      <c r="F34" s="35">
        <f t="shared" si="1"/>
        <v>180000</v>
      </c>
    </row>
    <row r="35" spans="1:6" x14ac:dyDescent="0.35">
      <c r="A35" s="33" t="s">
        <v>182</v>
      </c>
      <c r="B35" s="15">
        <v>12754</v>
      </c>
      <c r="C35" s="15" t="s">
        <v>52</v>
      </c>
      <c r="D35" s="16">
        <v>10000</v>
      </c>
      <c r="E35" s="16">
        <f t="shared" si="0"/>
        <v>380000</v>
      </c>
      <c r="F35" s="35">
        <f t="shared" si="1"/>
        <v>170000</v>
      </c>
    </row>
    <row r="36" spans="1:6" x14ac:dyDescent="0.35">
      <c r="A36" s="33" t="s">
        <v>183</v>
      </c>
      <c r="B36" s="15">
        <v>13624</v>
      </c>
      <c r="C36" s="15" t="s">
        <v>52</v>
      </c>
      <c r="D36" s="16">
        <v>10000</v>
      </c>
      <c r="E36" s="16">
        <f t="shared" si="0"/>
        <v>390000</v>
      </c>
      <c r="F36" s="35">
        <f t="shared" si="1"/>
        <v>160000</v>
      </c>
    </row>
    <row r="37" spans="1:6" x14ac:dyDescent="0.35">
      <c r="A37" s="33" t="s">
        <v>184</v>
      </c>
      <c r="B37" s="15">
        <v>13018</v>
      </c>
      <c r="C37" s="15" t="s">
        <v>52</v>
      </c>
      <c r="D37" s="16">
        <v>10000</v>
      </c>
      <c r="E37" s="16">
        <f t="shared" si="0"/>
        <v>400000</v>
      </c>
      <c r="F37" s="35">
        <f t="shared" si="1"/>
        <v>150000</v>
      </c>
    </row>
    <row r="38" spans="1:6" x14ac:dyDescent="0.35">
      <c r="A38" s="33" t="s">
        <v>185</v>
      </c>
      <c r="B38" s="15">
        <v>12652</v>
      </c>
      <c r="C38" s="15" t="s">
        <v>52</v>
      </c>
      <c r="D38" s="16">
        <v>10000</v>
      </c>
      <c r="E38" s="16">
        <f t="shared" si="0"/>
        <v>410000</v>
      </c>
      <c r="F38" s="35">
        <f t="shared" si="1"/>
        <v>140000</v>
      </c>
    </row>
    <row r="39" spans="1:6" x14ac:dyDescent="0.35">
      <c r="A39" s="33" t="s">
        <v>83</v>
      </c>
      <c r="B39" s="15">
        <v>12193</v>
      </c>
      <c r="C39" s="15" t="s">
        <v>52</v>
      </c>
      <c r="D39" s="16">
        <v>10000</v>
      </c>
      <c r="E39" s="16">
        <f t="shared" si="0"/>
        <v>420000</v>
      </c>
      <c r="F39" s="35">
        <f t="shared" si="1"/>
        <v>130000</v>
      </c>
    </row>
    <row r="40" spans="1:6" x14ac:dyDescent="0.35">
      <c r="A40" s="33" t="s">
        <v>186</v>
      </c>
      <c r="B40" s="15">
        <v>12557</v>
      </c>
      <c r="C40" s="15" t="s">
        <v>52</v>
      </c>
      <c r="D40" s="16">
        <v>10000</v>
      </c>
      <c r="E40" s="16">
        <f t="shared" si="0"/>
        <v>430000</v>
      </c>
      <c r="F40" s="35">
        <f t="shared" si="1"/>
        <v>120000</v>
      </c>
    </row>
    <row r="41" spans="1:6" x14ac:dyDescent="0.35">
      <c r="A41" s="29" t="s">
        <v>236</v>
      </c>
      <c r="B41" s="36">
        <v>12888</v>
      </c>
      <c r="C41" s="36" t="s">
        <v>52</v>
      </c>
      <c r="D41" s="37">
        <v>10000</v>
      </c>
      <c r="E41" s="37">
        <f t="shared" si="0"/>
        <v>440000</v>
      </c>
      <c r="F41" s="38">
        <f t="shared" si="1"/>
        <v>110000</v>
      </c>
    </row>
    <row r="42" spans="1:6" x14ac:dyDescent="0.35">
      <c r="A42" s="29" t="s">
        <v>338</v>
      </c>
      <c r="B42" s="36">
        <v>13300</v>
      </c>
      <c r="C42" s="36" t="s">
        <v>52</v>
      </c>
      <c r="D42" s="37">
        <v>10000</v>
      </c>
      <c r="E42" s="37">
        <f>SUM(E41+D42)</f>
        <v>450000</v>
      </c>
      <c r="F42" s="38">
        <f>F41-D42</f>
        <v>100000</v>
      </c>
    </row>
    <row r="43" spans="1:6" x14ac:dyDescent="0.35">
      <c r="A43" s="29" t="s">
        <v>394</v>
      </c>
      <c r="B43" s="36">
        <v>13369</v>
      </c>
      <c r="C43" s="36" t="s">
        <v>52</v>
      </c>
      <c r="D43" s="37">
        <v>10000</v>
      </c>
      <c r="E43" s="37">
        <f>SUM(E42+D43)</f>
        <v>460000</v>
      </c>
      <c r="F43" s="38">
        <f>F42-D43</f>
        <v>90000</v>
      </c>
    </row>
    <row r="44" spans="1:6" x14ac:dyDescent="0.35">
      <c r="A44" s="15" t="s">
        <v>516</v>
      </c>
      <c r="B44" s="15">
        <v>13699</v>
      </c>
      <c r="C44" s="15" t="s">
        <v>52</v>
      </c>
      <c r="D44" s="16">
        <v>10000</v>
      </c>
      <c r="E44" s="16">
        <f>E43+D44</f>
        <v>470000</v>
      </c>
      <c r="F44" s="16">
        <f>F43-D44</f>
        <v>80000</v>
      </c>
    </row>
    <row r="45" spans="1:6" x14ac:dyDescent="0.35">
      <c r="A45" s="15" t="s">
        <v>608</v>
      </c>
      <c r="B45" s="15">
        <v>1505</v>
      </c>
      <c r="C45" s="15" t="s">
        <v>52</v>
      </c>
      <c r="D45" s="16">
        <v>10000</v>
      </c>
      <c r="E45" s="16">
        <f>E44+D45</f>
        <v>480000</v>
      </c>
      <c r="F45" s="16">
        <f>F44-D45</f>
        <v>70000</v>
      </c>
    </row>
    <row r="46" spans="1:6" x14ac:dyDescent="0.35">
      <c r="A46" s="86">
        <v>46273</v>
      </c>
      <c r="B46" s="15">
        <v>1687</v>
      </c>
      <c r="C46" s="15" t="s">
        <v>52</v>
      </c>
      <c r="D46" s="16">
        <v>10000</v>
      </c>
      <c r="E46" s="16">
        <f>E45+D46</f>
        <v>490000</v>
      </c>
      <c r="F46" s="16">
        <f>F45-D46</f>
        <v>60000</v>
      </c>
    </row>
    <row r="47" spans="1:6" x14ac:dyDescent="0.35">
      <c r="A47" s="86">
        <v>46305</v>
      </c>
      <c r="B47" s="15">
        <v>5031</v>
      </c>
      <c r="C47" s="15" t="s">
        <v>52</v>
      </c>
      <c r="D47" s="16">
        <v>10000</v>
      </c>
      <c r="E47" s="16">
        <f>E46+D47</f>
        <v>500000</v>
      </c>
      <c r="F47" s="16">
        <f>F46-D47</f>
        <v>50000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3" workbookViewId="0">
      <selection activeCell="L9" sqref="L9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284</v>
      </c>
      <c r="B1" s="1"/>
      <c r="C1" s="1"/>
      <c r="D1" s="1"/>
      <c r="E1" s="1"/>
    </row>
    <row r="2" spans="1:6" ht="18.5" x14ac:dyDescent="0.45">
      <c r="A2" s="1" t="s">
        <v>285</v>
      </c>
      <c r="C2" s="1"/>
      <c r="D2" s="1"/>
      <c r="E2" s="1"/>
    </row>
    <row r="3" spans="1:6" ht="18.5" x14ac:dyDescent="0.45">
      <c r="A3" s="1" t="s">
        <v>286</v>
      </c>
      <c r="B3" s="1"/>
      <c r="C3" s="1"/>
      <c r="D3" s="1"/>
      <c r="E3" s="1"/>
    </row>
    <row r="4" spans="1:6" ht="18.5" x14ac:dyDescent="0.45">
      <c r="A4" s="1" t="s">
        <v>287</v>
      </c>
      <c r="B4" s="1"/>
      <c r="C4" s="1"/>
      <c r="D4" s="1"/>
      <c r="E4" s="1"/>
    </row>
    <row r="5" spans="1:6" ht="18.5" x14ac:dyDescent="0.45">
      <c r="A5" s="1" t="s">
        <v>290</v>
      </c>
      <c r="B5" s="1"/>
      <c r="C5" s="1"/>
      <c r="D5" s="1"/>
      <c r="E5" s="1"/>
    </row>
    <row r="6" spans="1:6" ht="18.5" x14ac:dyDescent="0.45">
      <c r="A6" s="1" t="s">
        <v>288</v>
      </c>
      <c r="B6" s="1"/>
      <c r="C6" s="1"/>
      <c r="D6" s="1"/>
      <c r="E6" s="1" t="s">
        <v>289</v>
      </c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22">
        <v>44146</v>
      </c>
      <c r="B8" s="6">
        <v>479</v>
      </c>
      <c r="C8" s="6" t="s">
        <v>293</v>
      </c>
      <c r="D8" s="8">
        <v>120000</v>
      </c>
      <c r="E8" s="8">
        <v>120000</v>
      </c>
      <c r="F8" s="23">
        <v>300000</v>
      </c>
    </row>
    <row r="9" spans="1:6" x14ac:dyDescent="0.35">
      <c r="A9" s="22">
        <v>45266</v>
      </c>
      <c r="B9" s="6">
        <v>482</v>
      </c>
      <c r="C9" s="6" t="s">
        <v>52</v>
      </c>
      <c r="D9" s="8">
        <v>40000</v>
      </c>
      <c r="E9" s="8">
        <f>SUM(E8+D9)</f>
        <v>160000</v>
      </c>
      <c r="F9" s="23">
        <f>F8-D9</f>
        <v>260000</v>
      </c>
    </row>
    <row r="10" spans="1:6" x14ac:dyDescent="0.35">
      <c r="A10" s="22">
        <v>45266</v>
      </c>
      <c r="B10" s="6">
        <v>485</v>
      </c>
      <c r="C10" s="6" t="s">
        <v>52</v>
      </c>
      <c r="D10" s="8">
        <v>10000</v>
      </c>
      <c r="E10" s="8">
        <f t="shared" ref="E10:E16" si="0">SUM(E9+D10)</f>
        <v>170000</v>
      </c>
      <c r="F10" s="23">
        <f t="shared" ref="F10:F16" si="1">F9-D10</f>
        <v>250000</v>
      </c>
    </row>
    <row r="11" spans="1:6" x14ac:dyDescent="0.35">
      <c r="A11" s="31" t="s">
        <v>101</v>
      </c>
      <c r="B11" s="6">
        <v>528</v>
      </c>
      <c r="C11" s="6" t="s">
        <v>52</v>
      </c>
      <c r="D11" s="8">
        <v>50000</v>
      </c>
      <c r="E11" s="8">
        <f t="shared" si="0"/>
        <v>220000</v>
      </c>
      <c r="F11" s="23">
        <f t="shared" si="1"/>
        <v>200000</v>
      </c>
    </row>
    <row r="12" spans="1:6" x14ac:dyDescent="0.35">
      <c r="A12" s="31" t="s">
        <v>291</v>
      </c>
      <c r="B12" s="6">
        <v>4336</v>
      </c>
      <c r="C12" s="6" t="s">
        <v>52</v>
      </c>
      <c r="D12" s="8">
        <v>10000</v>
      </c>
      <c r="E12" s="8">
        <f t="shared" si="0"/>
        <v>230000</v>
      </c>
      <c r="F12" s="23">
        <f t="shared" si="1"/>
        <v>190000</v>
      </c>
    </row>
    <row r="13" spans="1:6" x14ac:dyDescent="0.35">
      <c r="A13" s="22">
        <v>45444</v>
      </c>
      <c r="B13" s="6">
        <v>8123</v>
      </c>
      <c r="C13" s="6" t="s">
        <v>52</v>
      </c>
      <c r="D13" s="8">
        <v>10000</v>
      </c>
      <c r="E13" s="8">
        <f t="shared" si="0"/>
        <v>240000</v>
      </c>
      <c r="F13" s="23">
        <f t="shared" si="1"/>
        <v>180000</v>
      </c>
    </row>
    <row r="14" spans="1:6" x14ac:dyDescent="0.35">
      <c r="A14" s="22">
        <v>45628</v>
      </c>
      <c r="B14" s="6">
        <v>7112</v>
      </c>
      <c r="C14" s="6" t="s">
        <v>52</v>
      </c>
      <c r="D14" s="8">
        <v>10000</v>
      </c>
      <c r="E14" s="8">
        <f t="shared" si="0"/>
        <v>250000</v>
      </c>
      <c r="F14" s="23">
        <f t="shared" si="1"/>
        <v>170000</v>
      </c>
    </row>
    <row r="15" spans="1:6" x14ac:dyDescent="0.35">
      <c r="A15" s="31" t="s">
        <v>120</v>
      </c>
      <c r="B15" s="6">
        <v>7391</v>
      </c>
      <c r="C15" s="6" t="s">
        <v>52</v>
      </c>
      <c r="D15" s="8">
        <v>10000</v>
      </c>
      <c r="E15" s="8">
        <f t="shared" si="0"/>
        <v>260000</v>
      </c>
      <c r="F15" s="23">
        <f t="shared" si="1"/>
        <v>160000</v>
      </c>
    </row>
    <row r="16" spans="1:6" x14ac:dyDescent="0.35">
      <c r="A16" s="71" t="s">
        <v>292</v>
      </c>
      <c r="B16" s="26">
        <v>8147</v>
      </c>
      <c r="C16" s="26" t="s">
        <v>52</v>
      </c>
      <c r="D16" s="27">
        <v>160000</v>
      </c>
      <c r="E16" s="27">
        <f t="shared" si="0"/>
        <v>420000</v>
      </c>
      <c r="F16" s="28">
        <f t="shared" si="1"/>
        <v>0</v>
      </c>
    </row>
    <row r="18" spans="1:8" ht="18.5" x14ac:dyDescent="0.45">
      <c r="A18" s="73" t="s">
        <v>294</v>
      </c>
      <c r="B18" s="73"/>
      <c r="C18" s="73"/>
      <c r="D18" s="73"/>
      <c r="E18" s="73"/>
      <c r="F18" s="73"/>
      <c r="G18" s="73"/>
      <c r="H18" s="73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opLeftCell="A2" workbookViewId="0">
      <selection activeCell="L12" sqref="L12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84</v>
      </c>
      <c r="B1" s="1"/>
      <c r="C1" s="1"/>
      <c r="D1" s="1"/>
      <c r="E1" s="1"/>
    </row>
    <row r="2" spans="1:6" ht="18.5" x14ac:dyDescent="0.45">
      <c r="A2" s="1" t="s">
        <v>85</v>
      </c>
      <c r="C2" s="1"/>
      <c r="D2" s="1"/>
      <c r="E2" s="1"/>
    </row>
    <row r="3" spans="1:6" ht="18.5" x14ac:dyDescent="0.45">
      <c r="A3" s="1" t="s">
        <v>86</v>
      </c>
      <c r="B3" s="1"/>
      <c r="C3" s="1"/>
      <c r="D3" s="1"/>
      <c r="E3" s="1"/>
    </row>
    <row r="4" spans="1:6" ht="18.5" x14ac:dyDescent="0.45">
      <c r="A4" s="1" t="s">
        <v>297</v>
      </c>
      <c r="B4" s="1"/>
      <c r="C4" s="1"/>
      <c r="D4" s="1"/>
      <c r="E4" s="1"/>
    </row>
    <row r="5" spans="1:6" ht="18.5" x14ac:dyDescent="0.45">
      <c r="A5" s="1" t="s">
        <v>87</v>
      </c>
      <c r="B5" s="1"/>
      <c r="C5" s="1"/>
      <c r="D5" s="1"/>
      <c r="E5" s="1"/>
    </row>
    <row r="6" spans="1:6" ht="18.5" x14ac:dyDescent="0.45">
      <c r="A6" s="1" t="s">
        <v>88</v>
      </c>
      <c r="B6" s="1"/>
      <c r="C6" s="1"/>
      <c r="D6" s="1" t="s">
        <v>89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22">
        <v>45665</v>
      </c>
      <c r="B8" s="6">
        <v>12339</v>
      </c>
      <c r="C8" s="6" t="s">
        <v>67</v>
      </c>
      <c r="D8" s="8">
        <v>60000</v>
      </c>
      <c r="E8" s="8">
        <v>60000</v>
      </c>
      <c r="F8" s="23">
        <v>690000</v>
      </c>
    </row>
    <row r="9" spans="1:6" x14ac:dyDescent="0.35">
      <c r="A9" s="22">
        <v>45847</v>
      </c>
      <c r="B9" s="6">
        <v>12648</v>
      </c>
      <c r="C9" s="6" t="s">
        <v>52</v>
      </c>
      <c r="D9" s="8">
        <v>10000</v>
      </c>
      <c r="E9" s="8">
        <f>SUM(E8+D9)</f>
        <v>70000</v>
      </c>
      <c r="F9" s="23">
        <f>F8-D9</f>
        <v>680000</v>
      </c>
    </row>
    <row r="10" spans="1:6" x14ac:dyDescent="0.35">
      <c r="A10" s="22">
        <v>45971</v>
      </c>
      <c r="B10" s="6">
        <v>13757</v>
      </c>
      <c r="C10" s="6" t="s">
        <v>52</v>
      </c>
      <c r="D10" s="8">
        <v>10000</v>
      </c>
      <c r="E10" s="8">
        <f t="shared" ref="E10:E13" si="0">SUM(E9+D10)</f>
        <v>80000</v>
      </c>
      <c r="F10" s="23">
        <f t="shared" ref="F10:F13" si="1">F9-D10</f>
        <v>670000</v>
      </c>
    </row>
    <row r="11" spans="1:6" x14ac:dyDescent="0.35">
      <c r="A11" s="22">
        <v>45880</v>
      </c>
      <c r="B11" s="6">
        <v>13465</v>
      </c>
      <c r="C11" s="6" t="s">
        <v>52</v>
      </c>
      <c r="D11" s="8">
        <v>10000</v>
      </c>
      <c r="E11" s="8">
        <f t="shared" si="0"/>
        <v>90000</v>
      </c>
      <c r="F11" s="23">
        <f t="shared" si="1"/>
        <v>660000</v>
      </c>
    </row>
    <row r="12" spans="1:6" x14ac:dyDescent="0.35">
      <c r="A12" s="22">
        <v>45850</v>
      </c>
      <c r="B12" s="6">
        <v>13300</v>
      </c>
      <c r="C12" s="6" t="s">
        <v>52</v>
      </c>
      <c r="D12" s="8">
        <v>10000</v>
      </c>
      <c r="E12" s="8">
        <f t="shared" si="0"/>
        <v>100000</v>
      </c>
      <c r="F12" s="23">
        <f t="shared" si="1"/>
        <v>650000</v>
      </c>
    </row>
    <row r="13" spans="1:6" x14ac:dyDescent="0.35">
      <c r="A13" s="25">
        <v>46205</v>
      </c>
      <c r="B13" s="26">
        <v>12372</v>
      </c>
      <c r="C13" s="26" t="s">
        <v>52</v>
      </c>
      <c r="D13" s="27">
        <v>10000</v>
      </c>
      <c r="E13" s="27">
        <f t="shared" si="0"/>
        <v>110000</v>
      </c>
      <c r="F13" s="28">
        <f t="shared" si="1"/>
        <v>640000</v>
      </c>
    </row>
    <row r="14" spans="1:6" x14ac:dyDescent="0.35">
      <c r="A14" s="25">
        <v>46207</v>
      </c>
      <c r="B14" s="26">
        <v>13170</v>
      </c>
      <c r="C14" s="26" t="s">
        <v>52</v>
      </c>
      <c r="D14" s="27">
        <v>10000</v>
      </c>
      <c r="E14" s="27">
        <f>SUM(E13+D14)</f>
        <v>120000</v>
      </c>
      <c r="F14" s="28">
        <f>F13-D14</f>
        <v>630000</v>
      </c>
    </row>
    <row r="15" spans="1:6" x14ac:dyDescent="0.35">
      <c r="A15" s="25">
        <v>46207</v>
      </c>
      <c r="B15" s="26">
        <v>13172</v>
      </c>
      <c r="C15" s="26" t="s">
        <v>52</v>
      </c>
      <c r="D15" s="27">
        <v>10000</v>
      </c>
      <c r="E15" s="27">
        <f>SUM(E14+D15)</f>
        <v>130000</v>
      </c>
      <c r="F15" s="28">
        <f>F14-D15</f>
        <v>620000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L5" sqref="L5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90</v>
      </c>
      <c r="B1" s="1"/>
      <c r="C1" s="1"/>
      <c r="D1" s="1"/>
      <c r="E1" s="1"/>
    </row>
    <row r="2" spans="1:6" ht="18.5" x14ac:dyDescent="0.45">
      <c r="A2" s="1" t="s">
        <v>91</v>
      </c>
      <c r="C2" s="1"/>
      <c r="D2" s="1"/>
      <c r="E2" s="1"/>
    </row>
    <row r="3" spans="1:6" ht="18.5" x14ac:dyDescent="0.45">
      <c r="A3" s="1" t="s">
        <v>92</v>
      </c>
      <c r="B3" s="1"/>
      <c r="C3" s="1"/>
      <c r="D3" s="1"/>
      <c r="E3" s="1"/>
    </row>
    <row r="4" spans="1:6" ht="18.5" x14ac:dyDescent="0.45">
      <c r="A4" s="1" t="s">
        <v>240</v>
      </c>
      <c r="B4" s="1"/>
      <c r="C4" s="1"/>
      <c r="D4" s="1"/>
      <c r="E4" s="1"/>
    </row>
    <row r="5" spans="1:6" ht="18.5" x14ac:dyDescent="0.45">
      <c r="A5" s="1" t="s">
        <v>93</v>
      </c>
      <c r="B5" s="1"/>
      <c r="C5" s="1"/>
      <c r="D5" s="1"/>
      <c r="E5" s="1"/>
    </row>
    <row r="6" spans="1:6" ht="18.5" x14ac:dyDescent="0.45">
      <c r="A6" s="1" t="s">
        <v>94</v>
      </c>
      <c r="B6" s="1"/>
      <c r="C6" s="1"/>
      <c r="D6" s="1" t="s">
        <v>89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22">
        <v>45665</v>
      </c>
      <c r="B8" s="6">
        <v>12342</v>
      </c>
      <c r="C8" s="6" t="s">
        <v>67</v>
      </c>
      <c r="D8" s="8">
        <v>60000</v>
      </c>
      <c r="E8" s="8">
        <v>60000</v>
      </c>
      <c r="F8" s="23">
        <v>690000</v>
      </c>
    </row>
    <row r="9" spans="1:6" x14ac:dyDescent="0.35">
      <c r="A9" s="22">
        <v>45666</v>
      </c>
      <c r="B9" s="6">
        <v>12645</v>
      </c>
      <c r="C9" s="6" t="s">
        <v>52</v>
      </c>
      <c r="D9" s="8">
        <v>10000</v>
      </c>
      <c r="E9" s="8">
        <f>SUM(E8+D9)</f>
        <v>70000</v>
      </c>
      <c r="F9" s="23">
        <f>F8-D9</f>
        <v>680000</v>
      </c>
    </row>
    <row r="10" spans="1:6" x14ac:dyDescent="0.35">
      <c r="A10" s="22">
        <v>45667</v>
      </c>
      <c r="B10" s="6">
        <v>13755</v>
      </c>
      <c r="C10" s="6" t="s">
        <v>52</v>
      </c>
      <c r="D10" s="8">
        <v>10000</v>
      </c>
      <c r="E10" s="8">
        <f t="shared" ref="E10:E14" si="0">SUM(E9+D10)</f>
        <v>80000</v>
      </c>
      <c r="F10" s="23">
        <f t="shared" ref="F10:F14" si="1">F9-D10</f>
        <v>670000</v>
      </c>
    </row>
    <row r="11" spans="1:6" x14ac:dyDescent="0.35">
      <c r="A11" s="22">
        <v>45880</v>
      </c>
      <c r="B11" s="6">
        <v>13467</v>
      </c>
      <c r="C11" s="6" t="s">
        <v>52</v>
      </c>
      <c r="D11" s="8">
        <v>10000</v>
      </c>
      <c r="E11" s="8">
        <f t="shared" si="0"/>
        <v>90000</v>
      </c>
      <c r="F11" s="23">
        <f t="shared" si="1"/>
        <v>660000</v>
      </c>
    </row>
    <row r="12" spans="1:6" x14ac:dyDescent="0.35">
      <c r="A12" s="22">
        <v>45850</v>
      </c>
      <c r="B12" s="6">
        <v>13297</v>
      </c>
      <c r="C12" s="6" t="s">
        <v>52</v>
      </c>
      <c r="D12" s="8">
        <v>10000</v>
      </c>
      <c r="E12" s="8">
        <f t="shared" si="0"/>
        <v>100000</v>
      </c>
      <c r="F12" s="23">
        <f t="shared" si="1"/>
        <v>650000</v>
      </c>
    </row>
    <row r="13" spans="1:6" x14ac:dyDescent="0.35">
      <c r="A13" s="22">
        <v>46205</v>
      </c>
      <c r="B13" s="6">
        <v>12378</v>
      </c>
      <c r="C13" s="6" t="s">
        <v>52</v>
      </c>
      <c r="D13" s="8">
        <v>10000</v>
      </c>
      <c r="E13" s="8">
        <f t="shared" si="0"/>
        <v>110000</v>
      </c>
      <c r="F13" s="23">
        <f t="shared" si="1"/>
        <v>640000</v>
      </c>
    </row>
    <row r="14" spans="1:6" x14ac:dyDescent="0.35">
      <c r="A14" s="29" t="s">
        <v>223</v>
      </c>
      <c r="B14" s="26">
        <v>12867</v>
      </c>
      <c r="C14" s="26" t="s">
        <v>52</v>
      </c>
      <c r="D14" s="27">
        <v>10000</v>
      </c>
      <c r="E14" s="27">
        <f t="shared" si="0"/>
        <v>120000</v>
      </c>
      <c r="F14" s="28">
        <f t="shared" si="1"/>
        <v>630000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51"/>
  <sheetViews>
    <sheetView topLeftCell="A37" workbookViewId="0">
      <selection activeCell="F51" sqref="F51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 16384:16384" ht="18.5" x14ac:dyDescent="0.45">
      <c r="A1" s="1" t="s">
        <v>29</v>
      </c>
      <c r="B1" s="1"/>
      <c r="C1" s="1"/>
      <c r="D1" s="1"/>
      <c r="E1" s="1"/>
    </row>
    <row r="2" spans="1:6 16384:16384" ht="18.5" x14ac:dyDescent="0.45">
      <c r="A2" s="1" t="s">
        <v>30</v>
      </c>
      <c r="C2" s="1"/>
      <c r="D2" s="1"/>
      <c r="E2" s="1"/>
    </row>
    <row r="3" spans="1:6 16384:16384" ht="18.5" x14ac:dyDescent="0.45">
      <c r="A3" s="1" t="s">
        <v>31</v>
      </c>
      <c r="B3" s="1"/>
      <c r="C3" s="1"/>
      <c r="D3" s="1"/>
      <c r="E3" s="1"/>
    </row>
    <row r="4" spans="1:6 16384:16384" ht="18.5" x14ac:dyDescent="0.45">
      <c r="A4" s="1" t="s">
        <v>602</v>
      </c>
      <c r="B4" s="1" t="s">
        <v>604</v>
      </c>
      <c r="C4" s="1"/>
      <c r="D4" s="1"/>
      <c r="E4" s="1"/>
      <c r="XFD4" t="s">
        <v>603</v>
      </c>
    </row>
    <row r="5" spans="1:6 16384:16384" ht="18.5" x14ac:dyDescent="0.45">
      <c r="A5" s="1" t="s">
        <v>32</v>
      </c>
      <c r="B5" s="1"/>
      <c r="C5" s="1"/>
      <c r="D5" s="1"/>
      <c r="E5" s="1"/>
    </row>
    <row r="6" spans="1:6 16384:16384" ht="18.5" x14ac:dyDescent="0.45">
      <c r="A6" s="1" t="s">
        <v>33</v>
      </c>
      <c r="B6" s="1"/>
      <c r="C6" s="1"/>
      <c r="D6" s="1" t="s">
        <v>34</v>
      </c>
      <c r="E6" s="1"/>
    </row>
    <row r="7" spans="1:6 16384:16384" x14ac:dyDescent="0.35">
      <c r="A7" s="52" t="s">
        <v>6</v>
      </c>
      <c r="B7" s="53" t="s">
        <v>7</v>
      </c>
      <c r="C7" s="53" t="s">
        <v>8</v>
      </c>
      <c r="D7" s="46" t="s">
        <v>9</v>
      </c>
      <c r="E7" s="46" t="s">
        <v>10</v>
      </c>
      <c r="F7" s="47" t="s">
        <v>11</v>
      </c>
    </row>
    <row r="8" spans="1:6 16384:16384" x14ac:dyDescent="0.35">
      <c r="A8" s="43">
        <v>44897</v>
      </c>
      <c r="B8" s="4">
        <v>462</v>
      </c>
      <c r="C8" s="4" t="s">
        <v>35</v>
      </c>
      <c r="D8" s="5">
        <v>158000</v>
      </c>
      <c r="E8" s="5">
        <v>158000</v>
      </c>
      <c r="F8" s="45">
        <v>492000</v>
      </c>
    </row>
    <row r="9" spans="1:6 16384:16384" x14ac:dyDescent="0.35">
      <c r="A9" s="44" t="s">
        <v>36</v>
      </c>
      <c r="B9" s="4">
        <v>314</v>
      </c>
      <c r="C9" s="4" t="s">
        <v>35</v>
      </c>
      <c r="D9" s="5">
        <v>20000</v>
      </c>
      <c r="E9" s="5">
        <f t="shared" ref="E9:E44" si="0">SUM(E8+D9)</f>
        <v>178000</v>
      </c>
      <c r="F9" s="45">
        <f t="shared" ref="F9:F44" si="1">F8-D9</f>
        <v>472000</v>
      </c>
    </row>
    <row r="10" spans="1:6 16384:16384" x14ac:dyDescent="0.35">
      <c r="A10" s="44" t="s">
        <v>13</v>
      </c>
      <c r="B10" s="4">
        <v>467</v>
      </c>
      <c r="C10" s="4" t="s">
        <v>14</v>
      </c>
      <c r="D10" s="5">
        <v>10000</v>
      </c>
      <c r="E10" s="5">
        <f t="shared" si="0"/>
        <v>188000</v>
      </c>
      <c r="F10" s="45">
        <f t="shared" si="1"/>
        <v>462000</v>
      </c>
    </row>
    <row r="11" spans="1:6 16384:16384" x14ac:dyDescent="0.35">
      <c r="A11" s="44" t="s">
        <v>15</v>
      </c>
      <c r="B11" s="4">
        <v>1207</v>
      </c>
      <c r="C11" s="4" t="s">
        <v>14</v>
      </c>
      <c r="D11" s="5">
        <v>10000</v>
      </c>
      <c r="E11" s="5">
        <f t="shared" si="0"/>
        <v>198000</v>
      </c>
      <c r="F11" s="45">
        <f t="shared" si="1"/>
        <v>452000</v>
      </c>
    </row>
    <row r="12" spans="1:6 16384:16384" x14ac:dyDescent="0.35">
      <c r="A12" s="43">
        <v>45052</v>
      </c>
      <c r="B12" s="4">
        <v>315</v>
      </c>
      <c r="C12" s="4" t="s">
        <v>14</v>
      </c>
      <c r="D12" s="5">
        <v>30000</v>
      </c>
      <c r="E12" s="5">
        <f t="shared" si="0"/>
        <v>228000</v>
      </c>
      <c r="F12" s="45">
        <f t="shared" si="1"/>
        <v>422000</v>
      </c>
    </row>
    <row r="13" spans="1:6 16384:16384" x14ac:dyDescent="0.35">
      <c r="A13" s="44" t="s">
        <v>16</v>
      </c>
      <c r="B13" s="4">
        <v>2925</v>
      </c>
      <c r="C13" s="4" t="s">
        <v>14</v>
      </c>
      <c r="D13" s="5">
        <v>10000</v>
      </c>
      <c r="E13" s="5">
        <f t="shared" si="0"/>
        <v>238000</v>
      </c>
      <c r="F13" s="45">
        <f t="shared" si="1"/>
        <v>412000</v>
      </c>
    </row>
    <row r="14" spans="1:6 16384:16384" x14ac:dyDescent="0.35">
      <c r="A14" s="44" t="s">
        <v>17</v>
      </c>
      <c r="B14" s="4">
        <v>3028</v>
      </c>
      <c r="C14" s="4" t="s">
        <v>14</v>
      </c>
      <c r="D14" s="5">
        <v>10000</v>
      </c>
      <c r="E14" s="5">
        <f t="shared" si="0"/>
        <v>248000</v>
      </c>
      <c r="F14" s="45">
        <f t="shared" si="1"/>
        <v>402000</v>
      </c>
    </row>
    <row r="15" spans="1:6 16384:16384" x14ac:dyDescent="0.35">
      <c r="A15" s="44" t="s">
        <v>18</v>
      </c>
      <c r="B15" s="4">
        <v>3789</v>
      </c>
      <c r="C15" s="4" t="s">
        <v>14</v>
      </c>
      <c r="D15" s="5">
        <v>15000</v>
      </c>
      <c r="E15" s="5">
        <f t="shared" si="0"/>
        <v>263000</v>
      </c>
      <c r="F15" s="45">
        <f t="shared" si="1"/>
        <v>387000</v>
      </c>
    </row>
    <row r="16" spans="1:6 16384:16384" x14ac:dyDescent="0.35">
      <c r="A16" s="44" t="s">
        <v>19</v>
      </c>
      <c r="B16" s="4">
        <v>4386</v>
      </c>
      <c r="C16" s="4" t="s">
        <v>14</v>
      </c>
      <c r="D16" s="5">
        <v>10000</v>
      </c>
      <c r="E16" s="5">
        <f t="shared" si="0"/>
        <v>273000</v>
      </c>
      <c r="F16" s="45">
        <f t="shared" si="1"/>
        <v>377000</v>
      </c>
    </row>
    <row r="17" spans="1:6" x14ac:dyDescent="0.35">
      <c r="A17" s="43">
        <v>45088</v>
      </c>
      <c r="B17" s="4">
        <v>4671</v>
      </c>
      <c r="C17" s="4" t="s">
        <v>14</v>
      </c>
      <c r="D17" s="5">
        <v>15000</v>
      </c>
      <c r="E17" s="5">
        <f t="shared" si="0"/>
        <v>288000</v>
      </c>
      <c r="F17" s="45">
        <f t="shared" si="1"/>
        <v>362000</v>
      </c>
    </row>
    <row r="18" spans="1:6" x14ac:dyDescent="0.35">
      <c r="A18" s="44" t="s">
        <v>20</v>
      </c>
      <c r="B18" s="4">
        <v>5722</v>
      </c>
      <c r="C18" s="4" t="s">
        <v>14</v>
      </c>
      <c r="D18" s="5">
        <v>10000</v>
      </c>
      <c r="E18" s="5">
        <f t="shared" si="0"/>
        <v>298000</v>
      </c>
      <c r="F18" s="45">
        <f t="shared" si="1"/>
        <v>352000</v>
      </c>
    </row>
    <row r="19" spans="1:6" x14ac:dyDescent="0.35">
      <c r="A19" s="44" t="s">
        <v>21</v>
      </c>
      <c r="B19" s="4">
        <v>6281</v>
      </c>
      <c r="C19" s="4" t="s">
        <v>14</v>
      </c>
      <c r="D19" s="5">
        <v>10000</v>
      </c>
      <c r="E19" s="5">
        <f t="shared" si="0"/>
        <v>308000</v>
      </c>
      <c r="F19" s="45">
        <f t="shared" si="1"/>
        <v>342000</v>
      </c>
    </row>
    <row r="20" spans="1:6" x14ac:dyDescent="0.35">
      <c r="A20" s="44" t="s">
        <v>22</v>
      </c>
      <c r="B20" s="4">
        <v>7165</v>
      </c>
      <c r="C20" s="4" t="s">
        <v>14</v>
      </c>
      <c r="D20" s="5">
        <v>10000</v>
      </c>
      <c r="E20" s="5">
        <f t="shared" si="0"/>
        <v>318000</v>
      </c>
      <c r="F20" s="45">
        <f t="shared" si="1"/>
        <v>332000</v>
      </c>
    </row>
    <row r="21" spans="1:6" x14ac:dyDescent="0.35">
      <c r="A21" s="44" t="s">
        <v>22</v>
      </c>
      <c r="B21" s="4">
        <v>7353</v>
      </c>
      <c r="C21" s="4" t="s">
        <v>14</v>
      </c>
      <c r="D21" s="5">
        <v>10000</v>
      </c>
      <c r="E21" s="5">
        <f t="shared" si="0"/>
        <v>328000</v>
      </c>
      <c r="F21" s="45">
        <f t="shared" si="1"/>
        <v>322000</v>
      </c>
    </row>
    <row r="22" spans="1:6" x14ac:dyDescent="0.35">
      <c r="A22" s="44" t="s">
        <v>24</v>
      </c>
      <c r="B22" s="4">
        <v>7910</v>
      </c>
      <c r="C22" s="4" t="s">
        <v>14</v>
      </c>
      <c r="D22" s="5">
        <v>10000</v>
      </c>
      <c r="E22" s="5">
        <f t="shared" si="0"/>
        <v>338000</v>
      </c>
      <c r="F22" s="45">
        <f t="shared" si="1"/>
        <v>312000</v>
      </c>
    </row>
    <row r="23" spans="1:6" x14ac:dyDescent="0.35">
      <c r="A23" s="44" t="s">
        <v>25</v>
      </c>
      <c r="B23" s="4">
        <v>8644</v>
      </c>
      <c r="C23" s="4" t="s">
        <v>14</v>
      </c>
      <c r="D23" s="5">
        <v>15000</v>
      </c>
      <c r="E23" s="5">
        <f t="shared" si="0"/>
        <v>353000</v>
      </c>
      <c r="F23" s="45">
        <f t="shared" si="1"/>
        <v>297000</v>
      </c>
    </row>
    <row r="24" spans="1:6" x14ac:dyDescent="0.35">
      <c r="A24" s="43">
        <v>45297</v>
      </c>
      <c r="B24" s="4">
        <v>8806</v>
      </c>
      <c r="C24" s="4" t="s">
        <v>14</v>
      </c>
      <c r="D24" s="5">
        <v>15000</v>
      </c>
      <c r="E24" s="5">
        <f t="shared" si="0"/>
        <v>368000</v>
      </c>
      <c r="F24" s="45">
        <f t="shared" si="1"/>
        <v>282000</v>
      </c>
    </row>
    <row r="25" spans="1:6" x14ac:dyDescent="0.35">
      <c r="A25" s="43">
        <v>45419</v>
      </c>
      <c r="B25" s="4">
        <v>9390</v>
      </c>
      <c r="C25" s="4" t="s">
        <v>14</v>
      </c>
      <c r="D25" s="5">
        <v>15000</v>
      </c>
      <c r="E25" s="5">
        <f t="shared" si="0"/>
        <v>383000</v>
      </c>
      <c r="F25" s="45">
        <f t="shared" si="1"/>
        <v>267000</v>
      </c>
    </row>
    <row r="26" spans="1:6" x14ac:dyDescent="0.35">
      <c r="A26" s="43">
        <v>45634</v>
      </c>
      <c r="B26" s="4">
        <v>320</v>
      </c>
      <c r="C26" s="4" t="s">
        <v>14</v>
      </c>
      <c r="D26" s="5">
        <v>10000</v>
      </c>
      <c r="E26" s="5">
        <f t="shared" si="0"/>
        <v>393000</v>
      </c>
      <c r="F26" s="45">
        <f t="shared" si="1"/>
        <v>257000</v>
      </c>
    </row>
    <row r="27" spans="1:6" x14ac:dyDescent="0.35">
      <c r="A27" s="43">
        <v>45391</v>
      </c>
      <c r="B27" s="4">
        <v>10513</v>
      </c>
      <c r="C27" s="4" t="s">
        <v>14</v>
      </c>
      <c r="D27" s="5">
        <v>10000</v>
      </c>
      <c r="E27" s="5">
        <f t="shared" si="0"/>
        <v>403000</v>
      </c>
      <c r="F27" s="45">
        <f t="shared" si="1"/>
        <v>247000</v>
      </c>
    </row>
    <row r="28" spans="1:6" x14ac:dyDescent="0.35">
      <c r="A28" s="44" t="s">
        <v>26</v>
      </c>
      <c r="B28" s="4">
        <v>11646</v>
      </c>
      <c r="C28" s="4" t="s">
        <v>14</v>
      </c>
      <c r="D28" s="5">
        <v>10000</v>
      </c>
      <c r="E28" s="5">
        <f t="shared" si="0"/>
        <v>413000</v>
      </c>
      <c r="F28" s="45">
        <f t="shared" si="1"/>
        <v>237000</v>
      </c>
    </row>
    <row r="29" spans="1:6" x14ac:dyDescent="0.35">
      <c r="A29" s="43">
        <v>45637</v>
      </c>
      <c r="B29" s="4">
        <v>10943</v>
      </c>
      <c r="C29" s="4" t="s">
        <v>14</v>
      </c>
      <c r="D29" s="5">
        <v>10000</v>
      </c>
      <c r="E29" s="5">
        <f t="shared" si="0"/>
        <v>423000</v>
      </c>
      <c r="F29" s="45">
        <f t="shared" si="1"/>
        <v>227000</v>
      </c>
    </row>
    <row r="30" spans="1:6" x14ac:dyDescent="0.35">
      <c r="A30" s="43">
        <v>45334</v>
      </c>
      <c r="B30" s="4">
        <v>12552</v>
      </c>
      <c r="C30" s="4" t="s">
        <v>14</v>
      </c>
      <c r="D30" s="5">
        <v>10000</v>
      </c>
      <c r="E30" s="5">
        <f t="shared" si="0"/>
        <v>433000</v>
      </c>
      <c r="F30" s="45">
        <f t="shared" si="1"/>
        <v>217000</v>
      </c>
    </row>
    <row r="31" spans="1:6" x14ac:dyDescent="0.35">
      <c r="A31" s="43">
        <v>45809</v>
      </c>
      <c r="B31" s="4">
        <v>12948</v>
      </c>
      <c r="C31" s="4" t="s">
        <v>14</v>
      </c>
      <c r="D31" s="5">
        <v>10000</v>
      </c>
      <c r="E31" s="5">
        <f t="shared" si="0"/>
        <v>443000</v>
      </c>
      <c r="F31" s="45">
        <f t="shared" si="1"/>
        <v>207000</v>
      </c>
    </row>
    <row r="32" spans="1:6" x14ac:dyDescent="0.35">
      <c r="A32" s="43">
        <v>45718</v>
      </c>
      <c r="B32" s="4">
        <v>9219</v>
      </c>
      <c r="C32" s="4" t="s">
        <v>14</v>
      </c>
      <c r="D32" s="5">
        <v>10000</v>
      </c>
      <c r="E32" s="5">
        <f t="shared" si="0"/>
        <v>453000</v>
      </c>
      <c r="F32" s="45">
        <f t="shared" si="1"/>
        <v>197000</v>
      </c>
    </row>
    <row r="33" spans="1:6" x14ac:dyDescent="0.35">
      <c r="A33" s="44" t="s">
        <v>28</v>
      </c>
      <c r="B33" s="4">
        <v>9757</v>
      </c>
      <c r="C33" s="4" t="s">
        <v>14</v>
      </c>
      <c r="D33" s="5">
        <v>10000</v>
      </c>
      <c r="E33" s="5">
        <f t="shared" si="0"/>
        <v>463000</v>
      </c>
      <c r="F33" s="45">
        <f t="shared" si="1"/>
        <v>187000</v>
      </c>
    </row>
    <row r="34" spans="1:6" x14ac:dyDescent="0.35">
      <c r="A34" s="43">
        <v>45873</v>
      </c>
      <c r="B34" s="4">
        <v>9979</v>
      </c>
      <c r="C34" s="4" t="s">
        <v>14</v>
      </c>
      <c r="D34" s="5">
        <v>10000</v>
      </c>
      <c r="E34" s="5">
        <f t="shared" si="0"/>
        <v>473000</v>
      </c>
      <c r="F34" s="45">
        <f t="shared" si="1"/>
        <v>177000</v>
      </c>
    </row>
    <row r="35" spans="1:6" x14ac:dyDescent="0.35">
      <c r="A35" s="43">
        <v>45782</v>
      </c>
      <c r="B35" s="4">
        <v>10342</v>
      </c>
      <c r="C35" s="4" t="s">
        <v>14</v>
      </c>
      <c r="D35" s="5">
        <v>10000</v>
      </c>
      <c r="E35" s="5">
        <f t="shared" si="0"/>
        <v>483000</v>
      </c>
      <c r="F35" s="45">
        <f t="shared" si="1"/>
        <v>167000</v>
      </c>
    </row>
    <row r="36" spans="1:6" x14ac:dyDescent="0.35">
      <c r="A36" s="43">
        <v>45722</v>
      </c>
      <c r="B36" s="4">
        <v>10440</v>
      </c>
      <c r="C36" s="4" t="s">
        <v>14</v>
      </c>
      <c r="D36" s="5">
        <v>10000</v>
      </c>
      <c r="E36" s="5">
        <f t="shared" si="0"/>
        <v>493000</v>
      </c>
      <c r="F36" s="45">
        <f t="shared" si="1"/>
        <v>157000</v>
      </c>
    </row>
    <row r="37" spans="1:6" x14ac:dyDescent="0.35">
      <c r="A37" s="43">
        <v>45876</v>
      </c>
      <c r="B37" s="4">
        <v>12821</v>
      </c>
      <c r="C37" s="4" t="s">
        <v>14</v>
      </c>
      <c r="D37" s="5">
        <v>10000</v>
      </c>
      <c r="E37" s="5">
        <f t="shared" si="0"/>
        <v>503000</v>
      </c>
      <c r="F37" s="45">
        <f t="shared" si="1"/>
        <v>147000</v>
      </c>
    </row>
    <row r="38" spans="1:6" x14ac:dyDescent="0.35">
      <c r="A38" s="43">
        <v>45816</v>
      </c>
      <c r="B38" s="4">
        <v>12423</v>
      </c>
      <c r="C38" s="4" t="s">
        <v>14</v>
      </c>
      <c r="D38" s="5">
        <v>10000</v>
      </c>
      <c r="E38" s="5">
        <f t="shared" si="0"/>
        <v>513000</v>
      </c>
      <c r="F38" s="45">
        <f t="shared" si="1"/>
        <v>137000</v>
      </c>
    </row>
    <row r="39" spans="1:6" x14ac:dyDescent="0.35">
      <c r="A39" s="43">
        <v>45786</v>
      </c>
      <c r="B39" s="4">
        <v>12623</v>
      </c>
      <c r="C39" s="4" t="s">
        <v>14</v>
      </c>
      <c r="D39" s="5">
        <v>10000</v>
      </c>
      <c r="E39" s="5">
        <f t="shared" si="0"/>
        <v>523000</v>
      </c>
      <c r="F39" s="45">
        <f t="shared" si="1"/>
        <v>127000</v>
      </c>
    </row>
    <row r="40" spans="1:6" x14ac:dyDescent="0.35">
      <c r="A40" s="43">
        <v>45698</v>
      </c>
      <c r="B40" s="4">
        <v>13862</v>
      </c>
      <c r="C40" s="4" t="s">
        <v>14</v>
      </c>
      <c r="D40" s="5">
        <v>10000</v>
      </c>
      <c r="E40" s="5">
        <f t="shared" si="0"/>
        <v>533000</v>
      </c>
      <c r="F40" s="45">
        <f t="shared" si="1"/>
        <v>117000</v>
      </c>
    </row>
    <row r="41" spans="1:6" x14ac:dyDescent="0.35">
      <c r="A41" s="43">
        <v>45727</v>
      </c>
      <c r="B41" s="4">
        <v>13423</v>
      </c>
      <c r="C41" s="4" t="s">
        <v>14</v>
      </c>
      <c r="D41" s="5">
        <v>10000</v>
      </c>
      <c r="E41" s="5">
        <f t="shared" si="0"/>
        <v>543000</v>
      </c>
      <c r="F41" s="45">
        <f t="shared" si="1"/>
        <v>107000</v>
      </c>
    </row>
    <row r="42" spans="1:6" x14ac:dyDescent="0.35">
      <c r="A42" s="43">
        <v>45820</v>
      </c>
      <c r="B42" s="4">
        <v>13286</v>
      </c>
      <c r="C42" s="4" t="s">
        <v>14</v>
      </c>
      <c r="D42" s="5">
        <v>10000</v>
      </c>
      <c r="E42" s="5">
        <f t="shared" si="0"/>
        <v>553000</v>
      </c>
      <c r="F42" s="45">
        <f t="shared" si="1"/>
        <v>97000</v>
      </c>
    </row>
    <row r="43" spans="1:6" x14ac:dyDescent="0.35">
      <c r="A43" s="43">
        <v>46204</v>
      </c>
      <c r="B43" s="4">
        <v>12016</v>
      </c>
      <c r="C43" s="4" t="s">
        <v>14</v>
      </c>
      <c r="D43" s="5">
        <v>10000</v>
      </c>
      <c r="E43" s="5">
        <f t="shared" si="0"/>
        <v>563000</v>
      </c>
      <c r="F43" s="45">
        <f t="shared" si="1"/>
        <v>87000</v>
      </c>
    </row>
    <row r="44" spans="1:6" x14ac:dyDescent="0.35">
      <c r="A44" s="48">
        <v>46144</v>
      </c>
      <c r="B44" s="49">
        <v>12338</v>
      </c>
      <c r="C44" s="49" t="s">
        <v>14</v>
      </c>
      <c r="D44" s="50">
        <v>10000</v>
      </c>
      <c r="E44" s="50">
        <f t="shared" si="0"/>
        <v>573000</v>
      </c>
      <c r="F44" s="51">
        <f t="shared" si="1"/>
        <v>77000</v>
      </c>
    </row>
    <row r="45" spans="1:6" x14ac:dyDescent="0.35">
      <c r="A45" s="15" t="s">
        <v>476</v>
      </c>
      <c r="B45" s="15">
        <v>12733</v>
      </c>
      <c r="C45" s="15" t="s">
        <v>14</v>
      </c>
      <c r="D45" s="5">
        <v>10000</v>
      </c>
      <c r="E45" s="5">
        <f t="shared" ref="E45:E50" si="2">E44+D45</f>
        <v>583000</v>
      </c>
      <c r="F45" s="5">
        <f t="shared" ref="F45:F50" si="3">F44-D45</f>
        <v>67000</v>
      </c>
    </row>
    <row r="46" spans="1:6" x14ac:dyDescent="0.35">
      <c r="A46" s="15" t="s">
        <v>477</v>
      </c>
      <c r="B46" s="15">
        <v>13201</v>
      </c>
      <c r="C46" s="15" t="s">
        <v>14</v>
      </c>
      <c r="D46" s="5">
        <v>10000</v>
      </c>
      <c r="E46" s="5">
        <f t="shared" si="2"/>
        <v>593000</v>
      </c>
      <c r="F46" s="5">
        <f t="shared" si="3"/>
        <v>57000</v>
      </c>
    </row>
    <row r="47" spans="1:6" x14ac:dyDescent="0.35">
      <c r="A47" s="15" t="s">
        <v>478</v>
      </c>
      <c r="B47" s="15">
        <v>13537</v>
      </c>
      <c r="C47" s="15" t="s">
        <v>14</v>
      </c>
      <c r="D47" s="5">
        <v>20000</v>
      </c>
      <c r="E47" s="5">
        <f t="shared" si="2"/>
        <v>613000</v>
      </c>
      <c r="F47" s="5">
        <f t="shared" si="3"/>
        <v>37000</v>
      </c>
    </row>
    <row r="48" spans="1:6" x14ac:dyDescent="0.35">
      <c r="A48" s="15" t="s">
        <v>601</v>
      </c>
      <c r="B48" s="15">
        <v>1564</v>
      </c>
      <c r="C48" s="15" t="s">
        <v>14</v>
      </c>
      <c r="D48" s="5">
        <v>10000</v>
      </c>
      <c r="E48" s="5">
        <f t="shared" si="2"/>
        <v>623000</v>
      </c>
      <c r="F48" s="5">
        <f t="shared" si="3"/>
        <v>27000</v>
      </c>
    </row>
    <row r="49" spans="1:6" x14ac:dyDescent="0.35">
      <c r="A49" s="15" t="s">
        <v>613</v>
      </c>
      <c r="B49" s="15">
        <v>1835</v>
      </c>
      <c r="C49" s="15" t="s">
        <v>14</v>
      </c>
      <c r="D49" s="5">
        <v>10000</v>
      </c>
      <c r="E49" s="5">
        <f t="shared" si="2"/>
        <v>633000</v>
      </c>
      <c r="F49" s="5">
        <f t="shared" si="3"/>
        <v>17000</v>
      </c>
    </row>
    <row r="50" spans="1:6" x14ac:dyDescent="0.35">
      <c r="A50" s="15" t="s">
        <v>626</v>
      </c>
      <c r="B50" s="15">
        <v>2069</v>
      </c>
      <c r="C50" s="15" t="s">
        <v>14</v>
      </c>
      <c r="D50" s="5">
        <v>10000</v>
      </c>
      <c r="E50" s="5">
        <f t="shared" si="2"/>
        <v>643000</v>
      </c>
      <c r="F50" s="5">
        <f t="shared" si="3"/>
        <v>7000</v>
      </c>
    </row>
    <row r="51" spans="1:6" x14ac:dyDescent="0.35">
      <c r="A51" s="15"/>
      <c r="B51" s="15"/>
      <c r="C51" s="15"/>
      <c r="D51" s="4"/>
      <c r="E51" s="4"/>
      <c r="F51" s="4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7"/>
  <sheetViews>
    <sheetView topLeftCell="A34" workbookViewId="0">
      <selection activeCell="A48" sqref="A48"/>
    </sheetView>
  </sheetViews>
  <sheetFormatPr defaultRowHeight="14.5" x14ac:dyDescent="0.35"/>
  <cols>
    <col min="1" max="1" width="9.453125" customWidth="1"/>
    <col min="3" max="3" width="12.36328125" customWidth="1"/>
    <col min="4" max="4" width="13" customWidth="1"/>
    <col min="5" max="5" width="10.90625" bestFit="1" customWidth="1"/>
    <col min="6" max="6" width="15.816406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3</v>
      </c>
      <c r="B4" s="1"/>
      <c r="C4" s="1"/>
      <c r="D4" s="1"/>
      <c r="E4" s="1"/>
      <c r="F4" s="1"/>
    </row>
    <row r="5" spans="1:6" ht="18.5" x14ac:dyDescent="0.45">
      <c r="A5" s="1" t="s">
        <v>4</v>
      </c>
      <c r="B5" s="1"/>
      <c r="C5" s="1"/>
      <c r="D5" s="1" t="s">
        <v>5</v>
      </c>
      <c r="E5" s="1"/>
      <c r="F5" s="1"/>
    </row>
    <row r="6" spans="1:6" x14ac:dyDescent="0.35">
      <c r="A6" s="67" t="s">
        <v>6</v>
      </c>
      <c r="B6" s="68" t="s">
        <v>7</v>
      </c>
      <c r="C6" s="68" t="s">
        <v>8</v>
      </c>
      <c r="D6" s="61" t="s">
        <v>9</v>
      </c>
      <c r="E6" s="61" t="s">
        <v>10</v>
      </c>
      <c r="F6" s="62" t="s">
        <v>11</v>
      </c>
    </row>
    <row r="7" spans="1:6" x14ac:dyDescent="0.35">
      <c r="A7" s="58">
        <v>43927</v>
      </c>
      <c r="B7" s="2">
        <v>464</v>
      </c>
      <c r="C7" s="2" t="s">
        <v>12</v>
      </c>
      <c r="D7" s="3">
        <v>160000</v>
      </c>
      <c r="E7" s="3">
        <v>160000</v>
      </c>
      <c r="F7" s="60">
        <v>390000</v>
      </c>
    </row>
    <row r="8" spans="1:6" x14ac:dyDescent="0.35">
      <c r="A8" s="58">
        <v>44806</v>
      </c>
      <c r="B8" s="2">
        <v>316</v>
      </c>
      <c r="C8" s="2" t="s">
        <v>12</v>
      </c>
      <c r="D8" s="3">
        <v>10000</v>
      </c>
      <c r="E8" s="3">
        <f t="shared" ref="E8:E43" si="0">SUM(E7+D8)</f>
        <v>170000</v>
      </c>
      <c r="F8" s="60">
        <f t="shared" ref="F8:F43" si="1">F7-D8</f>
        <v>380000</v>
      </c>
    </row>
    <row r="9" spans="1:6" x14ac:dyDescent="0.35">
      <c r="A9" s="59" t="s">
        <v>13</v>
      </c>
      <c r="B9" s="2">
        <v>465</v>
      </c>
      <c r="C9" s="2" t="s">
        <v>14</v>
      </c>
      <c r="D9" s="3">
        <v>10000</v>
      </c>
      <c r="E9" s="3">
        <f t="shared" si="0"/>
        <v>180000</v>
      </c>
      <c r="F9" s="60">
        <f t="shared" si="1"/>
        <v>370000</v>
      </c>
    </row>
    <row r="10" spans="1:6" x14ac:dyDescent="0.35">
      <c r="A10" s="59" t="s">
        <v>15</v>
      </c>
      <c r="B10" s="2">
        <v>1206</v>
      </c>
      <c r="C10" s="2" t="s">
        <v>14</v>
      </c>
      <c r="D10" s="3">
        <v>10000</v>
      </c>
      <c r="E10" s="3">
        <f t="shared" si="0"/>
        <v>190000</v>
      </c>
      <c r="F10" s="60">
        <f t="shared" si="1"/>
        <v>360000</v>
      </c>
    </row>
    <row r="11" spans="1:6" x14ac:dyDescent="0.35">
      <c r="A11" s="58">
        <v>45052</v>
      </c>
      <c r="B11" s="2">
        <v>317</v>
      </c>
      <c r="C11" s="2" t="s">
        <v>14</v>
      </c>
      <c r="D11" s="3">
        <v>30000</v>
      </c>
      <c r="E11" s="3">
        <f t="shared" si="0"/>
        <v>220000</v>
      </c>
      <c r="F11" s="60">
        <f t="shared" si="1"/>
        <v>330000</v>
      </c>
    </row>
    <row r="12" spans="1:6" x14ac:dyDescent="0.35">
      <c r="A12" s="59" t="s">
        <v>16</v>
      </c>
      <c r="B12" s="2">
        <v>2926</v>
      </c>
      <c r="C12" s="2" t="s">
        <v>14</v>
      </c>
      <c r="D12" s="3">
        <v>10000</v>
      </c>
      <c r="E12" s="3">
        <f t="shared" si="0"/>
        <v>230000</v>
      </c>
      <c r="F12" s="60">
        <f t="shared" si="1"/>
        <v>320000</v>
      </c>
    </row>
    <row r="13" spans="1:6" x14ac:dyDescent="0.35">
      <c r="A13" s="59" t="s">
        <v>17</v>
      </c>
      <c r="B13" s="2">
        <v>3029</v>
      </c>
      <c r="C13" s="2" t="s">
        <v>14</v>
      </c>
      <c r="D13" s="3">
        <v>10000</v>
      </c>
      <c r="E13" s="3">
        <f t="shared" si="0"/>
        <v>240000</v>
      </c>
      <c r="F13" s="60">
        <f t="shared" si="1"/>
        <v>310000</v>
      </c>
    </row>
    <row r="14" spans="1:6" x14ac:dyDescent="0.35">
      <c r="A14" s="59" t="s">
        <v>18</v>
      </c>
      <c r="B14" s="2">
        <v>3790</v>
      </c>
      <c r="C14" s="2" t="s">
        <v>14</v>
      </c>
      <c r="D14" s="3">
        <v>10000</v>
      </c>
      <c r="E14" s="3">
        <f t="shared" si="0"/>
        <v>250000</v>
      </c>
      <c r="F14" s="60">
        <f t="shared" si="1"/>
        <v>300000</v>
      </c>
    </row>
    <row r="15" spans="1:6" x14ac:dyDescent="0.35">
      <c r="A15" s="59" t="s">
        <v>19</v>
      </c>
      <c r="B15" s="2">
        <v>4387</v>
      </c>
      <c r="C15" s="2" t="s">
        <v>14</v>
      </c>
      <c r="D15" s="3">
        <v>10000</v>
      </c>
      <c r="E15" s="3">
        <f t="shared" si="0"/>
        <v>260000</v>
      </c>
      <c r="F15" s="60">
        <f t="shared" si="1"/>
        <v>290000</v>
      </c>
    </row>
    <row r="16" spans="1:6" x14ac:dyDescent="0.35">
      <c r="A16" s="58">
        <v>45088</v>
      </c>
      <c r="B16" s="2">
        <v>4672</v>
      </c>
      <c r="C16" s="2" t="s">
        <v>14</v>
      </c>
      <c r="D16" s="3">
        <v>10000</v>
      </c>
      <c r="E16" s="3">
        <f t="shared" si="0"/>
        <v>270000</v>
      </c>
      <c r="F16" s="60">
        <f t="shared" si="1"/>
        <v>280000</v>
      </c>
    </row>
    <row r="17" spans="1:6" x14ac:dyDescent="0.35">
      <c r="A17" s="59" t="s">
        <v>20</v>
      </c>
      <c r="B17" s="2">
        <v>5723</v>
      </c>
      <c r="C17" s="2" t="s">
        <v>14</v>
      </c>
      <c r="D17" s="3">
        <v>10000</v>
      </c>
      <c r="E17" s="3">
        <f t="shared" si="0"/>
        <v>280000</v>
      </c>
      <c r="F17" s="60">
        <f t="shared" si="1"/>
        <v>270000</v>
      </c>
    </row>
    <row r="18" spans="1:6" x14ac:dyDescent="0.35">
      <c r="A18" s="59" t="s">
        <v>21</v>
      </c>
      <c r="B18" s="2">
        <v>6280</v>
      </c>
      <c r="C18" s="2" t="s">
        <v>14</v>
      </c>
      <c r="D18" s="3">
        <v>10000</v>
      </c>
      <c r="E18" s="3">
        <f t="shared" si="0"/>
        <v>290000</v>
      </c>
      <c r="F18" s="60">
        <f t="shared" si="1"/>
        <v>260000</v>
      </c>
    </row>
    <row r="19" spans="1:6" x14ac:dyDescent="0.35">
      <c r="A19" s="59" t="s">
        <v>22</v>
      </c>
      <c r="B19" s="2">
        <v>7164</v>
      </c>
      <c r="C19" s="2" t="s">
        <v>14</v>
      </c>
      <c r="D19" s="3">
        <v>10000</v>
      </c>
      <c r="E19" s="3">
        <f t="shared" si="0"/>
        <v>300000</v>
      </c>
      <c r="F19" s="60">
        <f t="shared" si="1"/>
        <v>250000</v>
      </c>
    </row>
    <row r="20" spans="1:6" x14ac:dyDescent="0.35">
      <c r="A20" s="59" t="s">
        <v>23</v>
      </c>
      <c r="B20" s="2">
        <v>7354</v>
      </c>
      <c r="C20" s="2" t="s">
        <v>14</v>
      </c>
      <c r="D20" s="3">
        <v>10000</v>
      </c>
      <c r="E20" s="3">
        <f t="shared" si="0"/>
        <v>310000</v>
      </c>
      <c r="F20" s="60">
        <f t="shared" si="1"/>
        <v>240000</v>
      </c>
    </row>
    <row r="21" spans="1:6" x14ac:dyDescent="0.35">
      <c r="A21" s="59" t="s">
        <v>24</v>
      </c>
      <c r="B21" s="2">
        <v>7909</v>
      </c>
      <c r="C21" s="2" t="s">
        <v>14</v>
      </c>
      <c r="D21" s="3">
        <v>10000</v>
      </c>
      <c r="E21" s="3">
        <f t="shared" si="0"/>
        <v>320000</v>
      </c>
      <c r="F21" s="60">
        <f t="shared" si="1"/>
        <v>230000</v>
      </c>
    </row>
    <row r="22" spans="1:6" x14ac:dyDescent="0.35">
      <c r="A22" s="59" t="s">
        <v>25</v>
      </c>
      <c r="B22" s="2">
        <v>8645</v>
      </c>
      <c r="C22" s="2" t="s">
        <v>14</v>
      </c>
      <c r="D22" s="3">
        <v>10000</v>
      </c>
      <c r="E22" s="3">
        <f t="shared" si="0"/>
        <v>330000</v>
      </c>
      <c r="F22" s="60">
        <f t="shared" si="1"/>
        <v>220000</v>
      </c>
    </row>
    <row r="23" spans="1:6" x14ac:dyDescent="0.35">
      <c r="A23" s="58">
        <v>45297</v>
      </c>
      <c r="B23" s="2">
        <v>8807</v>
      </c>
      <c r="C23" s="2" t="s">
        <v>14</v>
      </c>
      <c r="D23" s="3">
        <v>10000</v>
      </c>
      <c r="E23" s="3">
        <f t="shared" si="0"/>
        <v>340000</v>
      </c>
      <c r="F23" s="60">
        <f t="shared" si="1"/>
        <v>210000</v>
      </c>
    </row>
    <row r="24" spans="1:6" x14ac:dyDescent="0.35">
      <c r="A24" s="58">
        <v>45419</v>
      </c>
      <c r="B24" s="2">
        <v>9391</v>
      </c>
      <c r="C24" s="2" t="s">
        <v>14</v>
      </c>
      <c r="D24" s="3">
        <v>10000</v>
      </c>
      <c r="E24" s="3">
        <f t="shared" si="0"/>
        <v>350000</v>
      </c>
      <c r="F24" s="60">
        <f t="shared" si="1"/>
        <v>200000</v>
      </c>
    </row>
    <row r="25" spans="1:6" x14ac:dyDescent="0.35">
      <c r="A25" s="58">
        <v>45634</v>
      </c>
      <c r="B25" s="2">
        <v>321</v>
      </c>
      <c r="C25" s="2" t="s">
        <v>14</v>
      </c>
      <c r="D25" s="3">
        <v>10000</v>
      </c>
      <c r="E25" s="3">
        <f t="shared" si="0"/>
        <v>360000</v>
      </c>
      <c r="F25" s="60">
        <f t="shared" si="1"/>
        <v>190000</v>
      </c>
    </row>
    <row r="26" spans="1:6" x14ac:dyDescent="0.35">
      <c r="A26" s="58">
        <v>45391</v>
      </c>
      <c r="B26" s="2">
        <v>10514</v>
      </c>
      <c r="C26" s="2" t="s">
        <v>14</v>
      </c>
      <c r="D26" s="3">
        <v>10000</v>
      </c>
      <c r="E26" s="3">
        <f t="shared" si="0"/>
        <v>370000</v>
      </c>
      <c r="F26" s="60">
        <f t="shared" si="1"/>
        <v>180000</v>
      </c>
    </row>
    <row r="27" spans="1:6" x14ac:dyDescent="0.35">
      <c r="A27" s="59" t="s">
        <v>26</v>
      </c>
      <c r="B27" s="2">
        <v>11647</v>
      </c>
      <c r="C27" s="2" t="s">
        <v>14</v>
      </c>
      <c r="D27" s="3">
        <v>10000</v>
      </c>
      <c r="E27" s="3">
        <f t="shared" si="0"/>
        <v>380000</v>
      </c>
      <c r="F27" s="60">
        <f t="shared" si="1"/>
        <v>170000</v>
      </c>
    </row>
    <row r="28" spans="1:6" x14ac:dyDescent="0.35">
      <c r="A28" s="58">
        <v>45637</v>
      </c>
      <c r="B28" s="2">
        <v>10944</v>
      </c>
      <c r="C28" s="2" t="s">
        <v>14</v>
      </c>
      <c r="D28" s="3">
        <v>10000</v>
      </c>
      <c r="E28" s="3">
        <f t="shared" si="0"/>
        <v>390000</v>
      </c>
      <c r="F28" s="60">
        <f t="shared" si="1"/>
        <v>160000</v>
      </c>
    </row>
    <row r="29" spans="1:6" x14ac:dyDescent="0.35">
      <c r="A29" s="58">
        <v>45334</v>
      </c>
      <c r="B29" s="2">
        <v>12553</v>
      </c>
      <c r="C29" s="2" t="s">
        <v>14</v>
      </c>
      <c r="D29" s="3">
        <v>10000</v>
      </c>
      <c r="E29" s="3">
        <f t="shared" si="0"/>
        <v>400000</v>
      </c>
      <c r="F29" s="60">
        <f t="shared" si="1"/>
        <v>150000</v>
      </c>
    </row>
    <row r="30" spans="1:6" x14ac:dyDescent="0.35">
      <c r="A30" s="59" t="s">
        <v>27</v>
      </c>
      <c r="B30" s="2">
        <v>12949</v>
      </c>
      <c r="C30" s="2" t="s">
        <v>14</v>
      </c>
      <c r="D30" s="3">
        <v>10000</v>
      </c>
      <c r="E30" s="3">
        <f t="shared" si="0"/>
        <v>410000</v>
      </c>
      <c r="F30" s="60">
        <f t="shared" si="1"/>
        <v>140000</v>
      </c>
    </row>
    <row r="31" spans="1:6" x14ac:dyDescent="0.35">
      <c r="A31" s="58">
        <v>45718</v>
      </c>
      <c r="B31" s="2">
        <v>9220</v>
      </c>
      <c r="C31" s="2" t="s">
        <v>14</v>
      </c>
      <c r="D31" s="3">
        <v>10000</v>
      </c>
      <c r="E31" s="3">
        <f t="shared" si="0"/>
        <v>420000</v>
      </c>
      <c r="F31" s="60">
        <f t="shared" si="1"/>
        <v>130000</v>
      </c>
    </row>
    <row r="32" spans="1:6" x14ac:dyDescent="0.35">
      <c r="A32" s="59" t="s">
        <v>28</v>
      </c>
      <c r="B32" s="2">
        <v>9758</v>
      </c>
      <c r="C32" s="2" t="s">
        <v>14</v>
      </c>
      <c r="D32" s="3">
        <v>10000</v>
      </c>
      <c r="E32" s="3">
        <f t="shared" si="0"/>
        <v>430000</v>
      </c>
      <c r="F32" s="60">
        <f t="shared" si="1"/>
        <v>120000</v>
      </c>
    </row>
    <row r="33" spans="1:6" x14ac:dyDescent="0.35">
      <c r="A33" s="58">
        <v>45873</v>
      </c>
      <c r="B33" s="2">
        <v>9973</v>
      </c>
      <c r="C33" s="2" t="s">
        <v>14</v>
      </c>
      <c r="D33" s="3">
        <v>10000</v>
      </c>
      <c r="E33" s="3">
        <f t="shared" si="0"/>
        <v>440000</v>
      </c>
      <c r="F33" s="60">
        <f t="shared" si="1"/>
        <v>110000</v>
      </c>
    </row>
    <row r="34" spans="1:6" x14ac:dyDescent="0.35">
      <c r="A34" s="58">
        <v>45782</v>
      </c>
      <c r="B34" s="2">
        <v>10341</v>
      </c>
      <c r="C34" s="2" t="s">
        <v>14</v>
      </c>
      <c r="D34" s="3">
        <v>10000</v>
      </c>
      <c r="E34" s="3">
        <f t="shared" si="0"/>
        <v>450000</v>
      </c>
      <c r="F34" s="60">
        <f t="shared" si="1"/>
        <v>100000</v>
      </c>
    </row>
    <row r="35" spans="1:6" x14ac:dyDescent="0.35">
      <c r="A35" s="58">
        <v>45722</v>
      </c>
      <c r="B35" s="2">
        <v>10349</v>
      </c>
      <c r="C35" s="2" t="s">
        <v>14</v>
      </c>
      <c r="D35" s="3">
        <v>10000</v>
      </c>
      <c r="E35" s="3">
        <f t="shared" si="0"/>
        <v>460000</v>
      </c>
      <c r="F35" s="60">
        <f t="shared" si="1"/>
        <v>90000</v>
      </c>
    </row>
    <row r="36" spans="1:6" x14ac:dyDescent="0.35">
      <c r="A36" s="58">
        <v>45876</v>
      </c>
      <c r="B36" s="2">
        <v>12820</v>
      </c>
      <c r="C36" s="2" t="s">
        <v>14</v>
      </c>
      <c r="D36" s="3">
        <v>10000</v>
      </c>
      <c r="E36" s="3">
        <f t="shared" si="0"/>
        <v>470000</v>
      </c>
      <c r="F36" s="60">
        <f t="shared" si="1"/>
        <v>80000</v>
      </c>
    </row>
    <row r="37" spans="1:6" x14ac:dyDescent="0.35">
      <c r="A37" s="58">
        <v>45816</v>
      </c>
      <c r="B37" s="2">
        <v>12424</v>
      </c>
      <c r="C37" s="2" t="s">
        <v>14</v>
      </c>
      <c r="D37" s="3">
        <v>10000</v>
      </c>
      <c r="E37" s="3">
        <f t="shared" si="0"/>
        <v>480000</v>
      </c>
      <c r="F37" s="60">
        <f t="shared" si="1"/>
        <v>70000</v>
      </c>
    </row>
    <row r="38" spans="1:6" x14ac:dyDescent="0.35">
      <c r="A38" s="58">
        <v>45786</v>
      </c>
      <c r="B38" s="2">
        <v>12624</v>
      </c>
      <c r="C38" s="2" t="s">
        <v>14</v>
      </c>
      <c r="D38" s="3">
        <v>10000</v>
      </c>
      <c r="E38" s="3">
        <f t="shared" si="0"/>
        <v>490000</v>
      </c>
      <c r="F38" s="60">
        <f t="shared" si="1"/>
        <v>60000</v>
      </c>
    </row>
    <row r="39" spans="1:6" x14ac:dyDescent="0.35">
      <c r="A39" s="58">
        <v>45698</v>
      </c>
      <c r="B39" s="2">
        <v>13853</v>
      </c>
      <c r="C39" s="2" t="s">
        <v>14</v>
      </c>
      <c r="D39" s="3">
        <v>10000</v>
      </c>
      <c r="E39" s="3">
        <f t="shared" si="0"/>
        <v>500000</v>
      </c>
      <c r="F39" s="60">
        <f t="shared" si="1"/>
        <v>50000</v>
      </c>
    </row>
    <row r="40" spans="1:6" x14ac:dyDescent="0.35">
      <c r="A40" s="58">
        <v>45727</v>
      </c>
      <c r="B40" s="2">
        <v>13424</v>
      </c>
      <c r="C40" s="2" t="s">
        <v>14</v>
      </c>
      <c r="D40" s="3">
        <v>10000</v>
      </c>
      <c r="E40" s="3">
        <f t="shared" si="0"/>
        <v>510000</v>
      </c>
      <c r="F40" s="60">
        <f t="shared" si="1"/>
        <v>40000</v>
      </c>
    </row>
    <row r="41" spans="1:6" x14ac:dyDescent="0.35">
      <c r="A41" s="58">
        <v>45820</v>
      </c>
      <c r="B41" s="2">
        <v>13287</v>
      </c>
      <c r="C41" s="2" t="s">
        <v>14</v>
      </c>
      <c r="D41" s="3">
        <v>10000</v>
      </c>
      <c r="E41" s="3">
        <f t="shared" si="0"/>
        <v>520000</v>
      </c>
      <c r="F41" s="60">
        <f t="shared" si="1"/>
        <v>30000</v>
      </c>
    </row>
    <row r="42" spans="1:6" x14ac:dyDescent="0.35">
      <c r="A42" s="58">
        <v>46204</v>
      </c>
      <c r="B42" s="2">
        <v>12015</v>
      </c>
      <c r="C42" s="2" t="s">
        <v>14</v>
      </c>
      <c r="D42" s="3">
        <v>10000</v>
      </c>
      <c r="E42" s="3">
        <f t="shared" si="0"/>
        <v>530000</v>
      </c>
      <c r="F42" s="60">
        <f t="shared" si="1"/>
        <v>20000</v>
      </c>
    </row>
    <row r="43" spans="1:6" x14ac:dyDescent="0.35">
      <c r="A43" s="63">
        <v>46144</v>
      </c>
      <c r="B43" s="64">
        <v>12237</v>
      </c>
      <c r="C43" s="64" t="s">
        <v>14</v>
      </c>
      <c r="D43" s="65">
        <v>10000</v>
      </c>
      <c r="E43" s="65">
        <f t="shared" si="0"/>
        <v>540000</v>
      </c>
      <c r="F43" s="66">
        <f t="shared" si="1"/>
        <v>10000</v>
      </c>
    </row>
    <row r="44" spans="1:6" x14ac:dyDescent="0.35">
      <c r="A44" s="13">
        <v>46115</v>
      </c>
      <c r="B44">
        <v>12734</v>
      </c>
      <c r="C44" s="64" t="s">
        <v>14</v>
      </c>
      <c r="D44" s="65">
        <v>10000</v>
      </c>
      <c r="E44" s="3">
        <f>SUM(E43+D44)</f>
        <v>550000</v>
      </c>
      <c r="F44" s="60">
        <f>F43-D44</f>
        <v>0</v>
      </c>
    </row>
    <row r="45" spans="1:6" x14ac:dyDescent="0.35">
      <c r="A45" s="13"/>
    </row>
    <row r="46" spans="1:6" ht="18.5" x14ac:dyDescent="0.45">
      <c r="A46" s="1" t="s">
        <v>614</v>
      </c>
      <c r="B46" s="1"/>
    </row>
    <row r="47" spans="1:6" x14ac:dyDescent="0.35">
      <c r="A47" s="15" t="s">
        <v>613</v>
      </c>
      <c r="B47" s="15">
        <v>1965</v>
      </c>
      <c r="C47" s="15" t="s">
        <v>615</v>
      </c>
      <c r="D47" s="15"/>
      <c r="E47" s="16">
        <v>200000</v>
      </c>
      <c r="F47" s="15" t="s">
        <v>616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7" workbookViewId="0">
      <selection activeCell="B44" sqref="B4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395</v>
      </c>
      <c r="B4" s="1"/>
      <c r="C4" s="1"/>
      <c r="D4" s="1"/>
      <c r="E4" s="1"/>
    </row>
    <row r="5" spans="1:6" ht="18.5" x14ac:dyDescent="0.45">
      <c r="A5" s="1" t="s">
        <v>140</v>
      </c>
      <c r="B5" s="1"/>
      <c r="C5" s="1"/>
      <c r="D5" s="1"/>
      <c r="E5" s="1"/>
    </row>
    <row r="6" spans="1:6" ht="18.5" x14ac:dyDescent="0.45">
      <c r="A6" s="1" t="s">
        <v>145</v>
      </c>
      <c r="B6" s="1"/>
      <c r="C6" s="1"/>
      <c r="D6" s="1" t="s">
        <v>34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7">
        <v>45175</v>
      </c>
      <c r="B8" s="6">
        <v>386</v>
      </c>
      <c r="C8" s="6" t="s">
        <v>67</v>
      </c>
      <c r="D8" s="8">
        <v>100000</v>
      </c>
      <c r="E8" s="8">
        <v>100000</v>
      </c>
      <c r="F8" s="23">
        <v>550000</v>
      </c>
    </row>
    <row r="9" spans="1:6" x14ac:dyDescent="0.35">
      <c r="A9" s="7">
        <v>45145</v>
      </c>
      <c r="B9" s="6">
        <v>2185</v>
      </c>
      <c r="C9" s="6" t="s">
        <v>52</v>
      </c>
      <c r="D9" s="8">
        <v>10000</v>
      </c>
      <c r="E9" s="8">
        <f>SUM(E8+D9)</f>
        <v>110000</v>
      </c>
      <c r="F9" s="23">
        <f>F8-D9</f>
        <v>540000</v>
      </c>
    </row>
    <row r="10" spans="1:6" x14ac:dyDescent="0.35">
      <c r="A10" s="7">
        <v>45177</v>
      </c>
      <c r="B10" s="6">
        <v>2300</v>
      </c>
      <c r="C10" s="6" t="s">
        <v>52</v>
      </c>
      <c r="D10" s="8">
        <v>10000</v>
      </c>
      <c r="E10" s="8">
        <f t="shared" ref="E10:E39" si="0">SUM(E9+D10)</f>
        <v>120000</v>
      </c>
      <c r="F10" s="23">
        <f t="shared" ref="F10:F39" si="1">F9-D10</f>
        <v>530000</v>
      </c>
    </row>
    <row r="11" spans="1:6" x14ac:dyDescent="0.35">
      <c r="A11" s="6" t="s">
        <v>142</v>
      </c>
      <c r="B11" s="6">
        <v>3752</v>
      </c>
      <c r="C11" s="6" t="s">
        <v>52</v>
      </c>
      <c r="D11" s="8">
        <v>10000</v>
      </c>
      <c r="E11" s="8">
        <f t="shared" si="0"/>
        <v>130000</v>
      </c>
      <c r="F11" s="23">
        <f t="shared" si="1"/>
        <v>520000</v>
      </c>
    </row>
    <row r="12" spans="1:6" x14ac:dyDescent="0.35">
      <c r="A12" s="7">
        <v>45209</v>
      </c>
      <c r="B12" s="6">
        <v>4163</v>
      </c>
      <c r="C12" s="6" t="s">
        <v>52</v>
      </c>
      <c r="D12" s="8">
        <v>10000</v>
      </c>
      <c r="E12" s="8">
        <f t="shared" si="0"/>
        <v>140000</v>
      </c>
      <c r="F12" s="23">
        <f t="shared" si="1"/>
        <v>510000</v>
      </c>
    </row>
    <row r="13" spans="1:6" x14ac:dyDescent="0.35">
      <c r="A13" s="6" t="s">
        <v>143</v>
      </c>
      <c r="B13" s="6">
        <v>4965</v>
      </c>
      <c r="C13" s="6" t="s">
        <v>52</v>
      </c>
      <c r="D13" s="8">
        <v>10000</v>
      </c>
      <c r="E13" s="8">
        <f t="shared" si="0"/>
        <v>150000</v>
      </c>
      <c r="F13" s="23">
        <f t="shared" si="1"/>
        <v>500000</v>
      </c>
    </row>
    <row r="14" spans="1:6" x14ac:dyDescent="0.35">
      <c r="A14" s="6" t="s">
        <v>144</v>
      </c>
      <c r="B14" s="6">
        <v>5556</v>
      </c>
      <c r="C14" s="6" t="s">
        <v>52</v>
      </c>
      <c r="D14" s="8">
        <v>10000</v>
      </c>
      <c r="E14" s="8">
        <f t="shared" si="0"/>
        <v>160000</v>
      </c>
      <c r="F14" s="23">
        <f t="shared" si="1"/>
        <v>490000</v>
      </c>
    </row>
    <row r="15" spans="1:6" x14ac:dyDescent="0.35">
      <c r="A15" s="7">
        <v>45445</v>
      </c>
      <c r="B15" s="6">
        <v>6550</v>
      </c>
      <c r="C15" s="6" t="s">
        <v>52</v>
      </c>
      <c r="D15" s="8">
        <v>10000</v>
      </c>
      <c r="E15" s="8">
        <f t="shared" si="0"/>
        <v>170000</v>
      </c>
      <c r="F15" s="23">
        <f t="shared" si="1"/>
        <v>480000</v>
      </c>
    </row>
    <row r="16" spans="1:6" x14ac:dyDescent="0.35">
      <c r="A16" s="7">
        <v>45599</v>
      </c>
      <c r="B16" s="6">
        <v>7276</v>
      </c>
      <c r="C16" s="6" t="s">
        <v>52</v>
      </c>
      <c r="D16" s="8">
        <v>20000</v>
      </c>
      <c r="E16" s="8">
        <f t="shared" si="0"/>
        <v>190000</v>
      </c>
      <c r="F16" s="23">
        <f t="shared" si="1"/>
        <v>460000</v>
      </c>
    </row>
    <row r="17" spans="1:6" x14ac:dyDescent="0.35">
      <c r="A17" s="7">
        <v>45447</v>
      </c>
      <c r="B17" s="6">
        <v>7710</v>
      </c>
      <c r="C17" s="6" t="s">
        <v>52</v>
      </c>
      <c r="D17" s="8">
        <v>10000</v>
      </c>
      <c r="E17" s="8">
        <f t="shared" si="0"/>
        <v>200000</v>
      </c>
      <c r="F17" s="23">
        <f t="shared" si="1"/>
        <v>450000</v>
      </c>
    </row>
    <row r="18" spans="1:6" x14ac:dyDescent="0.35">
      <c r="A18" s="7">
        <v>45478</v>
      </c>
      <c r="B18" s="6">
        <v>8344</v>
      </c>
      <c r="C18" s="6" t="s">
        <v>52</v>
      </c>
      <c r="D18" s="8">
        <v>10000</v>
      </c>
      <c r="E18" s="8">
        <f t="shared" si="0"/>
        <v>210000</v>
      </c>
      <c r="F18" s="23">
        <f t="shared" si="1"/>
        <v>440000</v>
      </c>
    </row>
    <row r="19" spans="1:6" x14ac:dyDescent="0.35">
      <c r="A19" s="7">
        <v>45510</v>
      </c>
      <c r="B19" s="6">
        <v>8890</v>
      </c>
      <c r="C19" s="6" t="s">
        <v>52</v>
      </c>
      <c r="D19" s="8">
        <v>10000</v>
      </c>
      <c r="E19" s="8">
        <f t="shared" si="0"/>
        <v>220000</v>
      </c>
      <c r="F19" s="23">
        <f t="shared" si="1"/>
        <v>430000</v>
      </c>
    </row>
    <row r="20" spans="1:6" x14ac:dyDescent="0.35">
      <c r="A20" s="7">
        <v>45572</v>
      </c>
      <c r="B20" s="6">
        <v>9493</v>
      </c>
      <c r="C20" s="6" t="s">
        <v>52</v>
      </c>
      <c r="D20" s="8">
        <v>10000</v>
      </c>
      <c r="E20" s="8">
        <f t="shared" si="0"/>
        <v>230000</v>
      </c>
      <c r="F20" s="23">
        <f t="shared" si="1"/>
        <v>420000</v>
      </c>
    </row>
    <row r="21" spans="1:6" x14ac:dyDescent="0.35">
      <c r="A21" s="7">
        <v>45360</v>
      </c>
      <c r="B21" s="6">
        <v>10489</v>
      </c>
      <c r="C21" s="6" t="s">
        <v>52</v>
      </c>
      <c r="D21" s="8">
        <v>20000</v>
      </c>
      <c r="E21" s="8">
        <f t="shared" si="0"/>
        <v>250000</v>
      </c>
      <c r="F21" s="23">
        <f t="shared" si="1"/>
        <v>400000</v>
      </c>
    </row>
    <row r="22" spans="1:6" x14ac:dyDescent="0.35">
      <c r="A22" s="7">
        <v>45332</v>
      </c>
      <c r="B22" s="6">
        <v>10186</v>
      </c>
      <c r="C22" s="6" t="s">
        <v>52</v>
      </c>
      <c r="D22" s="8">
        <v>10000</v>
      </c>
      <c r="E22" s="8">
        <f t="shared" si="0"/>
        <v>260000</v>
      </c>
      <c r="F22" s="23">
        <f t="shared" si="1"/>
        <v>390000</v>
      </c>
    </row>
    <row r="23" spans="1:6" x14ac:dyDescent="0.35">
      <c r="A23" s="7">
        <v>45607</v>
      </c>
      <c r="B23" s="6">
        <v>10915</v>
      </c>
      <c r="C23" s="6" t="s">
        <v>52</v>
      </c>
      <c r="D23" s="8">
        <v>10000</v>
      </c>
      <c r="E23" s="8">
        <f t="shared" si="0"/>
        <v>270000</v>
      </c>
      <c r="F23" s="23">
        <f t="shared" si="1"/>
        <v>380000</v>
      </c>
    </row>
    <row r="24" spans="1:6" x14ac:dyDescent="0.35">
      <c r="A24" s="7">
        <v>45363</v>
      </c>
      <c r="B24" s="6">
        <v>12563</v>
      </c>
      <c r="C24" s="6" t="s">
        <v>52</v>
      </c>
      <c r="D24" s="8">
        <v>10000</v>
      </c>
      <c r="E24" s="8">
        <f t="shared" si="0"/>
        <v>280000</v>
      </c>
      <c r="F24" s="23">
        <f t="shared" si="1"/>
        <v>370000</v>
      </c>
    </row>
    <row r="25" spans="1:6" x14ac:dyDescent="0.35">
      <c r="A25" s="7">
        <v>45839</v>
      </c>
      <c r="B25" s="6">
        <v>12952</v>
      </c>
      <c r="C25" s="6" t="s">
        <v>52</v>
      </c>
      <c r="D25" s="8">
        <v>10000</v>
      </c>
      <c r="E25" s="8">
        <f t="shared" si="0"/>
        <v>290000</v>
      </c>
      <c r="F25" s="23">
        <f t="shared" si="1"/>
        <v>360000</v>
      </c>
    </row>
    <row r="26" spans="1:6" x14ac:dyDescent="0.35">
      <c r="A26" s="7">
        <v>45932</v>
      </c>
      <c r="B26" s="6">
        <v>9314</v>
      </c>
      <c r="C26" s="6" t="s">
        <v>52</v>
      </c>
      <c r="D26" s="8">
        <v>10000</v>
      </c>
      <c r="E26" s="8">
        <f t="shared" si="0"/>
        <v>300000</v>
      </c>
      <c r="F26" s="23">
        <f t="shared" si="1"/>
        <v>350000</v>
      </c>
    </row>
    <row r="27" spans="1:6" x14ac:dyDescent="0.35">
      <c r="A27" s="7">
        <v>45872</v>
      </c>
      <c r="B27" s="6">
        <v>9645</v>
      </c>
      <c r="C27" s="6" t="s">
        <v>52</v>
      </c>
      <c r="D27" s="8">
        <v>10000</v>
      </c>
      <c r="E27" s="8">
        <f t="shared" si="0"/>
        <v>310000</v>
      </c>
      <c r="F27" s="23">
        <f t="shared" si="1"/>
        <v>340000</v>
      </c>
    </row>
    <row r="28" spans="1:6" x14ac:dyDescent="0.35">
      <c r="A28" s="7">
        <v>45904</v>
      </c>
      <c r="B28" s="6">
        <v>9988</v>
      </c>
      <c r="C28" s="6" t="s">
        <v>52</v>
      </c>
      <c r="D28" s="8">
        <v>10000</v>
      </c>
      <c r="E28" s="8">
        <f t="shared" si="0"/>
        <v>320000</v>
      </c>
      <c r="F28" s="23">
        <f t="shared" si="1"/>
        <v>330000</v>
      </c>
    </row>
    <row r="29" spans="1:6" x14ac:dyDescent="0.35">
      <c r="A29" s="7">
        <v>45905</v>
      </c>
      <c r="B29" s="6">
        <v>10385</v>
      </c>
      <c r="C29" s="6" t="s">
        <v>52</v>
      </c>
      <c r="D29" s="8">
        <v>10000</v>
      </c>
      <c r="E29" s="8">
        <f t="shared" si="0"/>
        <v>330000</v>
      </c>
      <c r="F29" s="23">
        <f t="shared" si="1"/>
        <v>320000</v>
      </c>
    </row>
    <row r="30" spans="1:6" x14ac:dyDescent="0.35">
      <c r="A30" s="7">
        <v>45967</v>
      </c>
      <c r="B30" s="6">
        <v>10268</v>
      </c>
      <c r="C30" s="6" t="s">
        <v>52</v>
      </c>
      <c r="D30" s="8">
        <v>10000</v>
      </c>
      <c r="E30" s="8">
        <f t="shared" si="0"/>
        <v>340000</v>
      </c>
      <c r="F30" s="23">
        <f t="shared" si="1"/>
        <v>310000</v>
      </c>
    </row>
    <row r="31" spans="1:6" x14ac:dyDescent="0.35">
      <c r="A31" s="6" t="s">
        <v>137</v>
      </c>
      <c r="B31" s="6">
        <v>12874</v>
      </c>
      <c r="C31" s="6" t="s">
        <v>52</v>
      </c>
      <c r="D31" s="8">
        <v>10000</v>
      </c>
      <c r="E31" s="8">
        <f t="shared" si="0"/>
        <v>350000</v>
      </c>
      <c r="F31" s="23">
        <f t="shared" si="1"/>
        <v>300000</v>
      </c>
    </row>
    <row r="32" spans="1:6" x14ac:dyDescent="0.35">
      <c r="A32" s="7">
        <v>45846</v>
      </c>
      <c r="B32" s="6">
        <v>12386</v>
      </c>
      <c r="C32" s="6" t="s">
        <v>52</v>
      </c>
      <c r="D32" s="8">
        <v>10000</v>
      </c>
      <c r="E32" s="8">
        <f t="shared" si="0"/>
        <v>360000</v>
      </c>
      <c r="F32" s="23">
        <f t="shared" si="1"/>
        <v>290000</v>
      </c>
    </row>
    <row r="33" spans="1:6" x14ac:dyDescent="0.35">
      <c r="A33" s="7">
        <v>45939</v>
      </c>
      <c r="B33" s="6">
        <v>12702</v>
      </c>
      <c r="C33" s="6" t="s">
        <v>52</v>
      </c>
      <c r="D33" s="8">
        <v>10000</v>
      </c>
      <c r="E33" s="8">
        <f t="shared" si="0"/>
        <v>370000</v>
      </c>
      <c r="F33" s="23">
        <f t="shared" si="1"/>
        <v>280000</v>
      </c>
    </row>
    <row r="34" spans="1:6" x14ac:dyDescent="0.35">
      <c r="A34" s="7">
        <v>45940</v>
      </c>
      <c r="B34" s="6">
        <v>13737</v>
      </c>
      <c r="C34" s="6" t="s">
        <v>52</v>
      </c>
      <c r="D34" s="8">
        <v>10000</v>
      </c>
      <c r="E34" s="8">
        <f t="shared" si="0"/>
        <v>380000</v>
      </c>
      <c r="F34" s="23">
        <f t="shared" si="1"/>
        <v>270000</v>
      </c>
    </row>
    <row r="35" spans="1:6" x14ac:dyDescent="0.35">
      <c r="A35" s="6" t="s">
        <v>138</v>
      </c>
      <c r="B35" s="6">
        <v>13371</v>
      </c>
      <c r="C35" s="6" t="s">
        <v>52</v>
      </c>
      <c r="D35" s="8">
        <v>10000</v>
      </c>
      <c r="E35" s="8">
        <f t="shared" si="0"/>
        <v>390000</v>
      </c>
      <c r="F35" s="23">
        <f t="shared" si="1"/>
        <v>260000</v>
      </c>
    </row>
    <row r="36" spans="1:6" x14ac:dyDescent="0.35">
      <c r="A36" s="7">
        <v>45942</v>
      </c>
      <c r="B36" s="6">
        <v>13146</v>
      </c>
      <c r="C36" s="6" t="s">
        <v>52</v>
      </c>
      <c r="D36" s="8">
        <v>10000</v>
      </c>
      <c r="E36" s="8">
        <f t="shared" si="0"/>
        <v>400000</v>
      </c>
      <c r="F36" s="23">
        <f t="shared" si="1"/>
        <v>250000</v>
      </c>
    </row>
    <row r="37" spans="1:6" x14ac:dyDescent="0.35">
      <c r="A37" s="6" t="s">
        <v>139</v>
      </c>
      <c r="B37" s="6">
        <v>12149</v>
      </c>
      <c r="C37" s="6" t="s">
        <v>52</v>
      </c>
      <c r="D37" s="8">
        <v>10000</v>
      </c>
      <c r="E37" s="8">
        <f t="shared" si="0"/>
        <v>410000</v>
      </c>
      <c r="F37" s="23">
        <f t="shared" si="1"/>
        <v>240000</v>
      </c>
    </row>
    <row r="38" spans="1:6" x14ac:dyDescent="0.35">
      <c r="A38" s="7">
        <v>46267</v>
      </c>
      <c r="B38" s="6">
        <v>12403</v>
      </c>
      <c r="C38" s="6" t="s">
        <v>52</v>
      </c>
      <c r="D38" s="8">
        <v>10000</v>
      </c>
      <c r="E38" s="8">
        <f t="shared" si="0"/>
        <v>420000</v>
      </c>
      <c r="F38" s="23">
        <f t="shared" si="1"/>
        <v>230000</v>
      </c>
    </row>
    <row r="39" spans="1:6" x14ac:dyDescent="0.35">
      <c r="A39" t="s">
        <v>241</v>
      </c>
      <c r="B39" s="17">
        <v>13911</v>
      </c>
      <c r="C39" s="6" t="s">
        <v>52</v>
      </c>
      <c r="D39" s="8">
        <v>10000</v>
      </c>
      <c r="E39" s="8">
        <f t="shared" si="0"/>
        <v>430000</v>
      </c>
      <c r="F39" s="23">
        <f t="shared" si="1"/>
        <v>220000</v>
      </c>
    </row>
    <row r="40" spans="1:6" x14ac:dyDescent="0.35">
      <c r="A40" s="13">
        <v>46207</v>
      </c>
      <c r="B40" s="26">
        <v>13164</v>
      </c>
      <c r="C40" s="6" t="s">
        <v>52</v>
      </c>
      <c r="D40" s="8">
        <v>10000</v>
      </c>
      <c r="E40" s="27">
        <f>SUM(E39+D40)</f>
        <v>440000</v>
      </c>
      <c r="F40" s="28">
        <f>F39-D40</f>
        <v>210000</v>
      </c>
    </row>
    <row r="41" spans="1:6" x14ac:dyDescent="0.35">
      <c r="A41" t="s">
        <v>394</v>
      </c>
      <c r="B41" s="26">
        <v>13365</v>
      </c>
      <c r="C41" s="26" t="s">
        <v>52</v>
      </c>
      <c r="D41" s="27">
        <v>10000</v>
      </c>
      <c r="E41" s="27">
        <f>SUM(E40+D41)</f>
        <v>450000</v>
      </c>
      <c r="F41" s="28">
        <f>F40-D41</f>
        <v>200000</v>
      </c>
    </row>
    <row r="42" spans="1:6" x14ac:dyDescent="0.35">
      <c r="A42" s="6" t="s">
        <v>515</v>
      </c>
      <c r="B42" s="6">
        <v>13663</v>
      </c>
      <c r="C42" s="6" t="s">
        <v>52</v>
      </c>
      <c r="D42" s="8">
        <v>10000</v>
      </c>
      <c r="E42" s="8">
        <f>E41+D42</f>
        <v>460000</v>
      </c>
      <c r="F42" s="8">
        <f>F41-D42</f>
        <v>190000</v>
      </c>
    </row>
    <row r="43" spans="1:6" x14ac:dyDescent="0.35">
      <c r="A43" s="6" t="s">
        <v>590</v>
      </c>
      <c r="B43" s="6">
        <v>1433</v>
      </c>
      <c r="C43" s="6" t="s">
        <v>438</v>
      </c>
      <c r="D43" s="8">
        <v>10000</v>
      </c>
      <c r="E43" s="8">
        <f>E42+D43</f>
        <v>470000</v>
      </c>
      <c r="F43" s="8">
        <f>F42-D43</f>
        <v>180000</v>
      </c>
    </row>
    <row r="44" spans="1:6" x14ac:dyDescent="0.35">
      <c r="A44" s="7">
        <v>46089</v>
      </c>
      <c r="B44" s="6">
        <v>1628</v>
      </c>
      <c r="C44" s="6" t="s">
        <v>438</v>
      </c>
      <c r="D44" s="8">
        <v>10000</v>
      </c>
      <c r="E44" s="8">
        <f>E43+D44</f>
        <v>480000</v>
      </c>
      <c r="F44" s="8">
        <f>F43-D44</f>
        <v>170000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9" workbookViewId="0">
      <selection activeCell="F46" sqref="F46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393</v>
      </c>
      <c r="B4" s="1"/>
      <c r="C4" s="1"/>
      <c r="D4" s="1"/>
      <c r="E4" s="1"/>
    </row>
    <row r="5" spans="1:6" ht="18.5" x14ac:dyDescent="0.45">
      <c r="A5" s="1" t="s">
        <v>140</v>
      </c>
      <c r="B5" s="1"/>
      <c r="C5" s="1"/>
      <c r="D5" s="1"/>
      <c r="E5" s="1"/>
    </row>
    <row r="6" spans="1:6" ht="18.5" x14ac:dyDescent="0.45">
      <c r="A6" s="1" t="s">
        <v>141</v>
      </c>
      <c r="B6" s="1"/>
      <c r="C6" s="1"/>
      <c r="D6" s="1" t="s">
        <v>34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7">
        <v>45175</v>
      </c>
      <c r="B8" s="6">
        <v>387</v>
      </c>
      <c r="C8" s="6" t="s">
        <v>67</v>
      </c>
      <c r="D8" s="8">
        <v>100000</v>
      </c>
      <c r="E8" s="8">
        <v>100000</v>
      </c>
      <c r="F8" s="23">
        <v>550000</v>
      </c>
    </row>
    <row r="9" spans="1:6" x14ac:dyDescent="0.35">
      <c r="A9" s="7">
        <v>45145</v>
      </c>
      <c r="B9" s="6">
        <v>2184</v>
      </c>
      <c r="C9" s="6" t="s">
        <v>52</v>
      </c>
      <c r="D9" s="8">
        <v>10000</v>
      </c>
      <c r="E9" s="8">
        <f>SUM(E8+D9)</f>
        <v>110000</v>
      </c>
      <c r="F9" s="23">
        <f>F8-D9</f>
        <v>540000</v>
      </c>
    </row>
    <row r="10" spans="1:6" x14ac:dyDescent="0.35">
      <c r="A10" s="7">
        <v>45177</v>
      </c>
      <c r="B10" s="6">
        <v>2301</v>
      </c>
      <c r="C10" s="6" t="s">
        <v>52</v>
      </c>
      <c r="D10" s="8">
        <v>10000</v>
      </c>
      <c r="E10" s="8">
        <f t="shared" ref="E10:E39" si="0">SUM(E9+D10)</f>
        <v>120000</v>
      </c>
      <c r="F10" s="23">
        <f t="shared" ref="F10:F39" si="1">F9-D10</f>
        <v>530000</v>
      </c>
    </row>
    <row r="11" spans="1:6" x14ac:dyDescent="0.35">
      <c r="A11" s="6" t="s">
        <v>142</v>
      </c>
      <c r="B11" s="6">
        <v>3751</v>
      </c>
      <c r="C11" s="6" t="s">
        <v>52</v>
      </c>
      <c r="D11" s="8">
        <v>10000</v>
      </c>
      <c r="E11" s="8">
        <f t="shared" si="0"/>
        <v>130000</v>
      </c>
      <c r="F11" s="23">
        <f t="shared" si="1"/>
        <v>520000</v>
      </c>
    </row>
    <row r="12" spans="1:6" x14ac:dyDescent="0.35">
      <c r="A12" s="7">
        <v>45209</v>
      </c>
      <c r="B12" s="6">
        <v>4162</v>
      </c>
      <c r="C12" s="6" t="s">
        <v>52</v>
      </c>
      <c r="D12" s="8">
        <v>10000</v>
      </c>
      <c r="E12" s="8">
        <f t="shared" si="0"/>
        <v>140000</v>
      </c>
      <c r="F12" s="23">
        <f t="shared" si="1"/>
        <v>510000</v>
      </c>
    </row>
    <row r="13" spans="1:6" x14ac:dyDescent="0.35">
      <c r="A13" s="6" t="s">
        <v>143</v>
      </c>
      <c r="B13" s="6">
        <v>4966</v>
      </c>
      <c r="C13" s="6" t="s">
        <v>52</v>
      </c>
      <c r="D13" s="8">
        <v>10000</v>
      </c>
      <c r="E13" s="8">
        <f t="shared" si="0"/>
        <v>150000</v>
      </c>
      <c r="F13" s="23">
        <f t="shared" si="1"/>
        <v>500000</v>
      </c>
    </row>
    <row r="14" spans="1:6" x14ac:dyDescent="0.35">
      <c r="A14" s="6" t="s">
        <v>144</v>
      </c>
      <c r="B14" s="6">
        <v>5555</v>
      </c>
      <c r="C14" s="6" t="s">
        <v>52</v>
      </c>
      <c r="D14" s="8">
        <v>10000</v>
      </c>
      <c r="E14" s="8">
        <f t="shared" si="0"/>
        <v>160000</v>
      </c>
      <c r="F14" s="23">
        <f t="shared" si="1"/>
        <v>490000</v>
      </c>
    </row>
    <row r="15" spans="1:6" x14ac:dyDescent="0.35">
      <c r="A15" s="7">
        <v>45445</v>
      </c>
      <c r="B15" s="6">
        <v>6549</v>
      </c>
      <c r="C15" s="6" t="s">
        <v>52</v>
      </c>
      <c r="D15" s="8">
        <v>10000</v>
      </c>
      <c r="E15" s="8">
        <f t="shared" si="0"/>
        <v>170000</v>
      </c>
      <c r="F15" s="23">
        <f t="shared" si="1"/>
        <v>480000</v>
      </c>
    </row>
    <row r="16" spans="1:6" x14ac:dyDescent="0.35">
      <c r="A16" s="7">
        <v>45599</v>
      </c>
      <c r="B16" s="6">
        <v>7277</v>
      </c>
      <c r="C16" s="6" t="s">
        <v>52</v>
      </c>
      <c r="D16" s="8">
        <v>20000</v>
      </c>
      <c r="E16" s="8">
        <f t="shared" si="0"/>
        <v>190000</v>
      </c>
      <c r="F16" s="23">
        <f t="shared" si="1"/>
        <v>460000</v>
      </c>
    </row>
    <row r="17" spans="1:6" x14ac:dyDescent="0.35">
      <c r="A17" s="7">
        <v>45447</v>
      </c>
      <c r="B17" s="6">
        <v>7709</v>
      </c>
      <c r="C17" s="6" t="s">
        <v>52</v>
      </c>
      <c r="D17" s="8">
        <v>10000</v>
      </c>
      <c r="E17" s="8">
        <f t="shared" si="0"/>
        <v>200000</v>
      </c>
      <c r="F17" s="23">
        <f t="shared" si="1"/>
        <v>450000</v>
      </c>
    </row>
    <row r="18" spans="1:6" x14ac:dyDescent="0.35">
      <c r="A18" s="7">
        <v>45905</v>
      </c>
      <c r="B18" s="6">
        <v>8345</v>
      </c>
      <c r="C18" s="6" t="s">
        <v>52</v>
      </c>
      <c r="D18" s="8">
        <v>10000</v>
      </c>
      <c r="E18" s="8">
        <f t="shared" si="0"/>
        <v>210000</v>
      </c>
      <c r="F18" s="23">
        <f t="shared" si="1"/>
        <v>440000</v>
      </c>
    </row>
    <row r="19" spans="1:6" x14ac:dyDescent="0.35">
      <c r="A19" s="7">
        <v>45510</v>
      </c>
      <c r="B19" s="6">
        <v>8894</v>
      </c>
      <c r="C19" s="6" t="s">
        <v>52</v>
      </c>
      <c r="D19" s="8">
        <v>10000</v>
      </c>
      <c r="E19" s="8">
        <f t="shared" si="0"/>
        <v>220000</v>
      </c>
      <c r="F19" s="23">
        <f t="shared" si="1"/>
        <v>430000</v>
      </c>
    </row>
    <row r="20" spans="1:6" x14ac:dyDescent="0.35">
      <c r="A20" s="7">
        <v>45572</v>
      </c>
      <c r="B20" s="6">
        <v>9494</v>
      </c>
      <c r="C20" s="6" t="s">
        <v>52</v>
      </c>
      <c r="D20" s="8">
        <v>10000</v>
      </c>
      <c r="E20" s="8">
        <f t="shared" si="0"/>
        <v>230000</v>
      </c>
      <c r="F20" s="23">
        <f t="shared" si="1"/>
        <v>420000</v>
      </c>
    </row>
    <row r="21" spans="1:6" x14ac:dyDescent="0.35">
      <c r="A21" s="7">
        <v>45360</v>
      </c>
      <c r="B21" s="6">
        <v>10490</v>
      </c>
      <c r="C21" s="6" t="s">
        <v>52</v>
      </c>
      <c r="D21" s="8">
        <v>20000</v>
      </c>
      <c r="E21" s="8">
        <f t="shared" si="0"/>
        <v>250000</v>
      </c>
      <c r="F21" s="23">
        <f t="shared" si="1"/>
        <v>400000</v>
      </c>
    </row>
    <row r="22" spans="1:6" x14ac:dyDescent="0.35">
      <c r="A22" s="7">
        <v>45332</v>
      </c>
      <c r="B22" s="6">
        <v>10185</v>
      </c>
      <c r="C22" s="6" t="s">
        <v>52</v>
      </c>
      <c r="D22" s="8">
        <v>10000</v>
      </c>
      <c r="E22" s="8">
        <f t="shared" si="0"/>
        <v>260000</v>
      </c>
      <c r="F22" s="23">
        <f t="shared" si="1"/>
        <v>390000</v>
      </c>
    </row>
    <row r="23" spans="1:6" x14ac:dyDescent="0.35">
      <c r="A23" s="7">
        <v>45607</v>
      </c>
      <c r="B23" s="6">
        <v>10914</v>
      </c>
      <c r="C23" s="6" t="s">
        <v>52</v>
      </c>
      <c r="D23" s="8">
        <v>10000</v>
      </c>
      <c r="E23" s="8">
        <f t="shared" si="0"/>
        <v>270000</v>
      </c>
      <c r="F23" s="23">
        <f t="shared" si="1"/>
        <v>380000</v>
      </c>
    </row>
    <row r="24" spans="1:6" x14ac:dyDescent="0.35">
      <c r="A24" s="7">
        <v>45363</v>
      </c>
      <c r="B24" s="6">
        <v>12562</v>
      </c>
      <c r="C24" s="6" t="s">
        <v>52</v>
      </c>
      <c r="D24" s="8">
        <v>10000</v>
      </c>
      <c r="E24" s="8">
        <f t="shared" si="0"/>
        <v>280000</v>
      </c>
      <c r="F24" s="23">
        <f t="shared" si="1"/>
        <v>370000</v>
      </c>
    </row>
    <row r="25" spans="1:6" x14ac:dyDescent="0.35">
      <c r="A25" s="7">
        <v>45839</v>
      </c>
      <c r="B25" s="6">
        <v>12953</v>
      </c>
      <c r="C25" s="6" t="s">
        <v>52</v>
      </c>
      <c r="D25" s="8">
        <v>10000</v>
      </c>
      <c r="E25" s="8">
        <f t="shared" si="0"/>
        <v>290000</v>
      </c>
      <c r="F25" s="23">
        <f t="shared" si="1"/>
        <v>360000</v>
      </c>
    </row>
    <row r="26" spans="1:6" x14ac:dyDescent="0.35">
      <c r="A26" s="7">
        <v>45932</v>
      </c>
      <c r="B26" s="6">
        <v>9313</v>
      </c>
      <c r="C26" s="6" t="s">
        <v>52</v>
      </c>
      <c r="D26" s="8">
        <v>10000</v>
      </c>
      <c r="E26" s="8">
        <f t="shared" si="0"/>
        <v>300000</v>
      </c>
      <c r="F26" s="23">
        <f t="shared" si="1"/>
        <v>350000</v>
      </c>
    </row>
    <row r="27" spans="1:6" x14ac:dyDescent="0.35">
      <c r="A27" s="7">
        <v>45872</v>
      </c>
      <c r="B27" s="6">
        <v>9644</v>
      </c>
      <c r="C27" s="6" t="s">
        <v>52</v>
      </c>
      <c r="D27" s="8">
        <v>10000</v>
      </c>
      <c r="E27" s="8">
        <f t="shared" si="0"/>
        <v>310000</v>
      </c>
      <c r="F27" s="23">
        <f t="shared" si="1"/>
        <v>340000</v>
      </c>
    </row>
    <row r="28" spans="1:6" x14ac:dyDescent="0.35">
      <c r="A28" s="7">
        <v>45904</v>
      </c>
      <c r="B28" s="6">
        <v>9989</v>
      </c>
      <c r="C28" s="6" t="s">
        <v>52</v>
      </c>
      <c r="D28" s="8">
        <v>10000</v>
      </c>
      <c r="E28" s="8">
        <f t="shared" si="0"/>
        <v>320000</v>
      </c>
      <c r="F28" s="23">
        <f t="shared" si="1"/>
        <v>330000</v>
      </c>
    </row>
    <row r="29" spans="1:6" x14ac:dyDescent="0.35">
      <c r="A29" s="7">
        <v>45905</v>
      </c>
      <c r="B29" s="6">
        <v>10384</v>
      </c>
      <c r="C29" s="6" t="s">
        <v>52</v>
      </c>
      <c r="D29" s="8">
        <v>10000</v>
      </c>
      <c r="E29" s="8">
        <f t="shared" si="0"/>
        <v>330000</v>
      </c>
      <c r="F29" s="23">
        <f t="shared" si="1"/>
        <v>320000</v>
      </c>
    </row>
    <row r="30" spans="1:6" x14ac:dyDescent="0.35">
      <c r="A30" s="7">
        <v>45967</v>
      </c>
      <c r="B30" s="6">
        <v>10269</v>
      </c>
      <c r="C30" s="6" t="s">
        <v>52</v>
      </c>
      <c r="D30" s="8">
        <v>10000</v>
      </c>
      <c r="E30" s="8">
        <f t="shared" si="0"/>
        <v>340000</v>
      </c>
      <c r="F30" s="23">
        <f t="shared" si="1"/>
        <v>310000</v>
      </c>
    </row>
    <row r="31" spans="1:6" x14ac:dyDescent="0.35">
      <c r="A31" s="6" t="s">
        <v>137</v>
      </c>
      <c r="B31" s="6">
        <v>12872</v>
      </c>
      <c r="C31" s="6" t="s">
        <v>52</v>
      </c>
      <c r="D31" s="8">
        <v>10000</v>
      </c>
      <c r="E31" s="8">
        <f t="shared" si="0"/>
        <v>350000</v>
      </c>
      <c r="F31" s="23">
        <f t="shared" si="1"/>
        <v>300000</v>
      </c>
    </row>
    <row r="32" spans="1:6" x14ac:dyDescent="0.35">
      <c r="A32" s="7">
        <v>45846</v>
      </c>
      <c r="B32" s="6">
        <v>12387</v>
      </c>
      <c r="C32" s="6" t="s">
        <v>52</v>
      </c>
      <c r="D32" s="8">
        <v>10000</v>
      </c>
      <c r="E32" s="8">
        <f t="shared" si="0"/>
        <v>360000</v>
      </c>
      <c r="F32" s="23">
        <f t="shared" si="1"/>
        <v>290000</v>
      </c>
    </row>
    <row r="33" spans="1:6" x14ac:dyDescent="0.35">
      <c r="A33" s="7">
        <v>45939</v>
      </c>
      <c r="B33" s="6">
        <v>12703</v>
      </c>
      <c r="C33" s="6" t="s">
        <v>52</v>
      </c>
      <c r="D33" s="8">
        <v>10000</v>
      </c>
      <c r="E33" s="8">
        <f t="shared" si="0"/>
        <v>370000</v>
      </c>
      <c r="F33" s="23">
        <f t="shared" si="1"/>
        <v>280000</v>
      </c>
    </row>
    <row r="34" spans="1:6" x14ac:dyDescent="0.35">
      <c r="A34" s="7">
        <v>45940</v>
      </c>
      <c r="B34" s="6">
        <v>13738</v>
      </c>
      <c r="C34" s="6" t="s">
        <v>52</v>
      </c>
      <c r="D34" s="8">
        <v>10000</v>
      </c>
      <c r="E34" s="8">
        <f t="shared" si="0"/>
        <v>380000</v>
      </c>
      <c r="F34" s="23">
        <f t="shared" si="1"/>
        <v>270000</v>
      </c>
    </row>
    <row r="35" spans="1:6" x14ac:dyDescent="0.35">
      <c r="A35" s="6" t="s">
        <v>138</v>
      </c>
      <c r="B35" s="6">
        <v>13372</v>
      </c>
      <c r="C35" s="6" t="s">
        <v>52</v>
      </c>
      <c r="D35" s="8">
        <v>10000</v>
      </c>
      <c r="E35" s="8">
        <f t="shared" si="0"/>
        <v>390000</v>
      </c>
      <c r="F35" s="23">
        <f t="shared" si="1"/>
        <v>260000</v>
      </c>
    </row>
    <row r="36" spans="1:6" x14ac:dyDescent="0.35">
      <c r="A36" s="7">
        <v>45942</v>
      </c>
      <c r="B36" s="6">
        <v>13145</v>
      </c>
      <c r="C36" s="6" t="s">
        <v>52</v>
      </c>
      <c r="D36" s="8">
        <v>10000</v>
      </c>
      <c r="E36" s="8">
        <f t="shared" si="0"/>
        <v>400000</v>
      </c>
      <c r="F36" s="23">
        <f t="shared" si="1"/>
        <v>250000</v>
      </c>
    </row>
    <row r="37" spans="1:6" x14ac:dyDescent="0.35">
      <c r="A37" s="6" t="s">
        <v>139</v>
      </c>
      <c r="B37" s="6">
        <v>12148</v>
      </c>
      <c r="C37" s="6" t="s">
        <v>52</v>
      </c>
      <c r="D37" s="8">
        <v>10000</v>
      </c>
      <c r="E37" s="8">
        <f t="shared" si="0"/>
        <v>410000</v>
      </c>
      <c r="F37" s="23">
        <f t="shared" si="1"/>
        <v>240000</v>
      </c>
    </row>
    <row r="38" spans="1:6" x14ac:dyDescent="0.35">
      <c r="A38" s="7">
        <v>46267</v>
      </c>
      <c r="B38" s="6">
        <v>12402</v>
      </c>
      <c r="C38" s="6" t="s">
        <v>52</v>
      </c>
      <c r="D38" s="8">
        <v>10000</v>
      </c>
      <c r="E38" s="8">
        <f t="shared" si="0"/>
        <v>420000</v>
      </c>
      <c r="F38" s="23">
        <f t="shared" si="1"/>
        <v>230000</v>
      </c>
    </row>
    <row r="39" spans="1:6" x14ac:dyDescent="0.35">
      <c r="A39" t="s">
        <v>241</v>
      </c>
      <c r="B39" s="17">
        <v>13912</v>
      </c>
      <c r="C39" s="6" t="s">
        <v>52</v>
      </c>
      <c r="D39" s="8">
        <v>10000</v>
      </c>
      <c r="E39" s="8">
        <f t="shared" si="0"/>
        <v>430000</v>
      </c>
      <c r="F39" s="23">
        <f t="shared" si="1"/>
        <v>220000</v>
      </c>
    </row>
    <row r="40" spans="1:6" x14ac:dyDescent="0.35">
      <c r="A40" s="13">
        <v>46207</v>
      </c>
      <c r="B40" s="26">
        <v>13163</v>
      </c>
      <c r="C40" s="26" t="s">
        <v>52</v>
      </c>
      <c r="D40" s="27">
        <v>10000</v>
      </c>
      <c r="E40" s="27">
        <f>SUM(E39+D40)</f>
        <v>440000</v>
      </c>
      <c r="F40" s="28">
        <f t="shared" ref="F40:F45" si="2">F39-D40</f>
        <v>210000</v>
      </c>
    </row>
    <row r="41" spans="1:6" x14ac:dyDescent="0.35">
      <c r="A41" s="15" t="s">
        <v>394</v>
      </c>
      <c r="B41" s="6">
        <v>13365</v>
      </c>
      <c r="C41" s="6" t="s">
        <v>52</v>
      </c>
      <c r="D41" s="8">
        <v>10000</v>
      </c>
      <c r="E41" s="8">
        <f>SUM(E40+D41)</f>
        <v>450000</v>
      </c>
      <c r="F41" s="8">
        <f t="shared" si="2"/>
        <v>200000</v>
      </c>
    </row>
    <row r="42" spans="1:6" x14ac:dyDescent="0.35">
      <c r="A42" s="6" t="s">
        <v>515</v>
      </c>
      <c r="B42" s="6">
        <v>13664</v>
      </c>
      <c r="C42" s="6" t="s">
        <v>52</v>
      </c>
      <c r="D42" s="8">
        <v>10000</v>
      </c>
      <c r="E42" s="8">
        <f>E41+D42</f>
        <v>460000</v>
      </c>
      <c r="F42" s="8">
        <f t="shared" si="2"/>
        <v>190000</v>
      </c>
    </row>
    <row r="43" spans="1:6" x14ac:dyDescent="0.35">
      <c r="A43" s="6" t="s">
        <v>590</v>
      </c>
      <c r="B43" s="6">
        <v>1435</v>
      </c>
      <c r="C43" s="6" t="s">
        <v>438</v>
      </c>
      <c r="D43" s="8">
        <v>10000</v>
      </c>
      <c r="E43" s="8">
        <f>E42+D43</f>
        <v>470000</v>
      </c>
      <c r="F43" s="8">
        <f t="shared" si="2"/>
        <v>180000</v>
      </c>
    </row>
    <row r="44" spans="1:6" x14ac:dyDescent="0.35">
      <c r="A44" s="7">
        <v>46089</v>
      </c>
      <c r="B44" s="6">
        <v>1630</v>
      </c>
      <c r="C44" s="6" t="s">
        <v>438</v>
      </c>
      <c r="D44" s="8">
        <v>10000</v>
      </c>
      <c r="E44" s="8">
        <f>E43+D44</f>
        <v>480000</v>
      </c>
      <c r="F44" s="8">
        <f t="shared" si="2"/>
        <v>170000</v>
      </c>
    </row>
    <row r="45" spans="1:6" x14ac:dyDescent="0.35">
      <c r="A45" t="s">
        <v>626</v>
      </c>
      <c r="B45" s="17">
        <v>2066</v>
      </c>
      <c r="C45" s="6" t="s">
        <v>438</v>
      </c>
      <c r="D45" s="8">
        <v>10000</v>
      </c>
      <c r="E45" s="18">
        <f>E44+D45</f>
        <v>490000</v>
      </c>
      <c r="F45" s="18">
        <f t="shared" si="2"/>
        <v>160000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I5" sqref="I5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131</v>
      </c>
      <c r="B1" s="1"/>
      <c r="C1" s="1"/>
      <c r="D1" s="1"/>
      <c r="E1" s="1"/>
    </row>
    <row r="2" spans="1:6" ht="18.5" x14ac:dyDescent="0.45">
      <c r="A2" s="1" t="s">
        <v>132</v>
      </c>
      <c r="C2" s="1"/>
      <c r="D2" s="1"/>
      <c r="E2" s="1"/>
    </row>
    <row r="3" spans="1:6" ht="18.5" x14ac:dyDescent="0.45">
      <c r="A3" s="1" t="s">
        <v>133</v>
      </c>
      <c r="B3" s="1"/>
      <c r="C3" s="1"/>
      <c r="D3" s="1"/>
      <c r="E3" s="1"/>
    </row>
    <row r="4" spans="1:6" ht="18.5" x14ac:dyDescent="0.45">
      <c r="A4" s="1" t="s">
        <v>396</v>
      </c>
      <c r="B4" s="1"/>
      <c r="C4" s="1"/>
      <c r="D4" s="1"/>
      <c r="E4" s="1"/>
    </row>
    <row r="5" spans="1:6" ht="18.5" x14ac:dyDescent="0.45">
      <c r="A5" s="1" t="s">
        <v>134</v>
      </c>
      <c r="B5" s="1"/>
      <c r="C5" s="1"/>
      <c r="D5" s="1"/>
      <c r="E5" s="1"/>
    </row>
    <row r="6" spans="1:6" ht="18.5" x14ac:dyDescent="0.45">
      <c r="A6" s="1" t="s">
        <v>135</v>
      </c>
      <c r="B6" s="1"/>
      <c r="C6" s="1"/>
      <c r="D6" s="1" t="s">
        <v>62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6" t="s">
        <v>136</v>
      </c>
      <c r="B8" s="6">
        <v>10614</v>
      </c>
      <c r="C8" s="6" t="s">
        <v>67</v>
      </c>
      <c r="D8" s="8">
        <v>150000</v>
      </c>
      <c r="E8" s="8">
        <v>150000</v>
      </c>
      <c r="F8" s="23">
        <v>550000</v>
      </c>
    </row>
    <row r="9" spans="1:6" x14ac:dyDescent="0.35">
      <c r="A9" s="7">
        <v>45967</v>
      </c>
      <c r="B9" s="6">
        <v>10270</v>
      </c>
      <c r="C9" s="6" t="s">
        <v>52</v>
      </c>
      <c r="D9" s="8">
        <v>10000</v>
      </c>
      <c r="E9" s="8">
        <f>SUM(E8+D9)</f>
        <v>160000</v>
      </c>
      <c r="F9" s="23">
        <f>F8-D9</f>
        <v>540000</v>
      </c>
    </row>
    <row r="10" spans="1:6" x14ac:dyDescent="0.35">
      <c r="A10" s="6" t="s">
        <v>137</v>
      </c>
      <c r="B10" s="6">
        <v>12873</v>
      </c>
      <c r="C10" s="6" t="s">
        <v>52</v>
      </c>
      <c r="D10" s="8">
        <v>10000</v>
      </c>
      <c r="E10" s="8">
        <f t="shared" ref="E10:E18" si="0">SUM(E9+D10)</f>
        <v>170000</v>
      </c>
      <c r="F10" s="23">
        <f t="shared" ref="F10:F18" si="1">F9-D10</f>
        <v>530000</v>
      </c>
    </row>
    <row r="11" spans="1:6" x14ac:dyDescent="0.35">
      <c r="A11" s="7">
        <v>45846</v>
      </c>
      <c r="B11" s="6">
        <v>12388</v>
      </c>
      <c r="C11" s="6" t="s">
        <v>52</v>
      </c>
      <c r="D11" s="8">
        <v>10000</v>
      </c>
      <c r="E11" s="8">
        <f t="shared" si="0"/>
        <v>180000</v>
      </c>
      <c r="F11" s="23">
        <f t="shared" si="1"/>
        <v>520000</v>
      </c>
    </row>
    <row r="12" spans="1:6" x14ac:dyDescent="0.35">
      <c r="A12" s="7">
        <v>45939</v>
      </c>
      <c r="B12" s="6">
        <v>12704</v>
      </c>
      <c r="C12" s="6" t="s">
        <v>52</v>
      </c>
      <c r="D12" s="8">
        <v>10000</v>
      </c>
      <c r="E12" s="8">
        <f t="shared" si="0"/>
        <v>190000</v>
      </c>
      <c r="F12" s="23">
        <f t="shared" si="1"/>
        <v>510000</v>
      </c>
    </row>
    <row r="13" spans="1:6" x14ac:dyDescent="0.35">
      <c r="A13" s="7">
        <v>45940</v>
      </c>
      <c r="B13" s="6">
        <v>13739</v>
      </c>
      <c r="C13" s="6" t="s">
        <v>52</v>
      </c>
      <c r="D13" s="8">
        <v>10000</v>
      </c>
      <c r="E13" s="8">
        <f t="shared" si="0"/>
        <v>200000</v>
      </c>
      <c r="F13" s="23">
        <f t="shared" si="1"/>
        <v>500000</v>
      </c>
    </row>
    <row r="14" spans="1:6" x14ac:dyDescent="0.35">
      <c r="A14" s="6" t="s">
        <v>138</v>
      </c>
      <c r="B14" s="6">
        <v>13373</v>
      </c>
      <c r="C14" s="6" t="s">
        <v>52</v>
      </c>
      <c r="D14" s="8">
        <v>10000</v>
      </c>
      <c r="E14" s="8">
        <f t="shared" si="0"/>
        <v>210000</v>
      </c>
      <c r="F14" s="23">
        <f t="shared" si="1"/>
        <v>490000</v>
      </c>
    </row>
    <row r="15" spans="1:6" x14ac:dyDescent="0.35">
      <c r="A15" s="7">
        <v>45942</v>
      </c>
      <c r="B15" s="6">
        <v>13147</v>
      </c>
      <c r="C15" s="6" t="s">
        <v>52</v>
      </c>
      <c r="D15" s="8">
        <v>10000</v>
      </c>
      <c r="E15" s="8">
        <f t="shared" si="0"/>
        <v>220000</v>
      </c>
      <c r="F15" s="23">
        <f t="shared" si="1"/>
        <v>480000</v>
      </c>
    </row>
    <row r="16" spans="1:6" x14ac:dyDescent="0.35">
      <c r="A16" s="6" t="s">
        <v>139</v>
      </c>
      <c r="B16" s="6">
        <v>12150</v>
      </c>
      <c r="C16" s="6" t="s">
        <v>52</v>
      </c>
      <c r="D16" s="8">
        <v>10000</v>
      </c>
      <c r="E16" s="8">
        <f t="shared" si="0"/>
        <v>230000</v>
      </c>
      <c r="F16" s="23">
        <f t="shared" si="1"/>
        <v>470000</v>
      </c>
    </row>
    <row r="17" spans="1:6" x14ac:dyDescent="0.35">
      <c r="A17" s="7">
        <v>46267</v>
      </c>
      <c r="B17" s="6">
        <v>12404</v>
      </c>
      <c r="C17" s="6" t="s">
        <v>52</v>
      </c>
      <c r="D17" s="8">
        <v>10000</v>
      </c>
      <c r="E17" s="8">
        <f t="shared" si="0"/>
        <v>240000</v>
      </c>
      <c r="F17" s="23">
        <f t="shared" si="1"/>
        <v>460000</v>
      </c>
    </row>
    <row r="18" spans="1:6" x14ac:dyDescent="0.35">
      <c r="A18" t="s">
        <v>241</v>
      </c>
      <c r="B18" s="17">
        <v>13913</v>
      </c>
      <c r="C18" s="6" t="s">
        <v>52</v>
      </c>
      <c r="D18" s="8">
        <v>10000</v>
      </c>
      <c r="E18" s="8">
        <f t="shared" si="0"/>
        <v>250000</v>
      </c>
      <c r="F18" s="23">
        <f t="shared" si="1"/>
        <v>450000</v>
      </c>
    </row>
    <row r="19" spans="1:6" x14ac:dyDescent="0.35">
      <c r="A19" s="13">
        <v>46207</v>
      </c>
      <c r="B19" s="26">
        <v>13162</v>
      </c>
      <c r="C19" s="6" t="s">
        <v>52</v>
      </c>
      <c r="D19" s="8">
        <v>10000</v>
      </c>
      <c r="E19" s="27">
        <f>SUM(E18+D19)</f>
        <v>260000</v>
      </c>
      <c r="F19" s="28">
        <f t="shared" ref="F19:F24" si="2">F18-D19</f>
        <v>440000</v>
      </c>
    </row>
    <row r="20" spans="1:6" x14ac:dyDescent="0.35">
      <c r="A20" t="s">
        <v>394</v>
      </c>
      <c r="B20" s="26">
        <v>13364</v>
      </c>
      <c r="C20" s="26" t="s">
        <v>52</v>
      </c>
      <c r="D20" s="27">
        <v>10000</v>
      </c>
      <c r="E20" s="27">
        <f>SUM(E19+D20)</f>
        <v>270000</v>
      </c>
      <c r="F20" s="28">
        <f t="shared" si="2"/>
        <v>430000</v>
      </c>
    </row>
    <row r="21" spans="1:6" x14ac:dyDescent="0.35">
      <c r="A21" s="6" t="s">
        <v>515</v>
      </c>
      <c r="B21" s="6">
        <v>13665</v>
      </c>
      <c r="C21" s="6" t="s">
        <v>52</v>
      </c>
      <c r="D21" s="8">
        <v>10000</v>
      </c>
      <c r="E21" s="8">
        <f>E20+D21</f>
        <v>280000</v>
      </c>
      <c r="F21" s="8">
        <f t="shared" si="2"/>
        <v>420000</v>
      </c>
    </row>
    <row r="22" spans="1:6" x14ac:dyDescent="0.35">
      <c r="A22" s="6" t="s">
        <v>590</v>
      </c>
      <c r="B22" s="6">
        <v>1434</v>
      </c>
      <c r="C22" s="6" t="s">
        <v>438</v>
      </c>
      <c r="D22" s="8">
        <v>10000</v>
      </c>
      <c r="E22" s="8">
        <f>E21+D22</f>
        <v>290000</v>
      </c>
      <c r="F22" s="8">
        <f t="shared" si="2"/>
        <v>410000</v>
      </c>
    </row>
    <row r="23" spans="1:6" x14ac:dyDescent="0.35">
      <c r="A23" s="7">
        <v>46089</v>
      </c>
      <c r="B23" s="6">
        <v>1629</v>
      </c>
      <c r="C23" s="6" t="s">
        <v>438</v>
      </c>
      <c r="D23" s="8">
        <v>10000</v>
      </c>
      <c r="E23" s="8">
        <f>E22+D23</f>
        <v>300000</v>
      </c>
      <c r="F23" s="8">
        <f t="shared" si="2"/>
        <v>400000</v>
      </c>
    </row>
    <row r="24" spans="1:6" x14ac:dyDescent="0.35">
      <c r="A24" t="s">
        <v>626</v>
      </c>
      <c r="B24" s="17">
        <v>2067</v>
      </c>
      <c r="C24" s="6" t="s">
        <v>438</v>
      </c>
      <c r="D24" s="8">
        <v>10000</v>
      </c>
      <c r="E24" s="18">
        <f>E23+D24</f>
        <v>310000</v>
      </c>
      <c r="F24" s="18">
        <f t="shared" si="2"/>
        <v>390000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F28" sqref="F28"/>
    </sheetView>
  </sheetViews>
  <sheetFormatPr defaultRowHeight="14.5" x14ac:dyDescent="0.35"/>
  <cols>
    <col min="1" max="1" width="10.36328125" customWidth="1"/>
    <col min="3" max="3" width="13.36328125" customWidth="1"/>
    <col min="4" max="4" width="15.81640625" bestFit="1" customWidth="1"/>
    <col min="5" max="5" width="10.453125" customWidth="1"/>
    <col min="6" max="6" width="13.453125" customWidth="1"/>
  </cols>
  <sheetData>
    <row r="1" spans="1:10" ht="18.5" x14ac:dyDescent="0.45">
      <c r="A1" s="1" t="s">
        <v>57</v>
      </c>
      <c r="B1" s="1"/>
      <c r="C1" s="1"/>
      <c r="D1" s="1"/>
      <c r="E1" s="1"/>
      <c r="F1" s="1"/>
    </row>
    <row r="2" spans="1:10" ht="18.5" x14ac:dyDescent="0.45">
      <c r="A2" s="1" t="s">
        <v>58</v>
      </c>
      <c r="C2" s="1"/>
      <c r="D2" s="1"/>
      <c r="E2" s="1"/>
      <c r="F2" s="1"/>
    </row>
    <row r="3" spans="1:10" ht="18.5" x14ac:dyDescent="0.45">
      <c r="A3" s="1" t="s">
        <v>59</v>
      </c>
      <c r="B3" s="1"/>
      <c r="C3" s="1"/>
      <c r="D3" s="1"/>
      <c r="E3" s="1"/>
      <c r="F3" s="1"/>
    </row>
    <row r="4" spans="1:10" ht="18.5" x14ac:dyDescent="0.45">
      <c r="A4" s="1" t="s">
        <v>354</v>
      </c>
      <c r="B4" s="1"/>
      <c r="C4" s="1"/>
      <c r="D4" s="1"/>
      <c r="E4" s="1"/>
      <c r="F4" s="1"/>
    </row>
    <row r="5" spans="1:10" ht="18.5" x14ac:dyDescent="0.45">
      <c r="A5" s="1" t="s">
        <v>60</v>
      </c>
      <c r="B5" s="1"/>
      <c r="C5" s="1"/>
      <c r="D5" s="1"/>
      <c r="E5" s="1"/>
      <c r="F5" s="1"/>
    </row>
    <row r="6" spans="1:10" ht="18.5" x14ac:dyDescent="0.45">
      <c r="A6" s="1" t="s">
        <v>61</v>
      </c>
      <c r="B6" s="1"/>
      <c r="C6" s="1"/>
      <c r="D6" s="1" t="s">
        <v>62</v>
      </c>
      <c r="E6" s="1"/>
      <c r="F6" s="1"/>
    </row>
    <row r="7" spans="1:10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10" ht="58" customHeight="1" x14ac:dyDescent="0.35">
      <c r="A8" s="69" t="s">
        <v>63</v>
      </c>
      <c r="B8" s="6" t="s">
        <v>64</v>
      </c>
      <c r="C8" s="6" t="s">
        <v>65</v>
      </c>
      <c r="D8" s="8">
        <v>15000</v>
      </c>
      <c r="E8" s="6">
        <v>15000</v>
      </c>
      <c r="F8" s="23">
        <v>685000</v>
      </c>
    </row>
    <row r="9" spans="1:10" x14ac:dyDescent="0.35">
      <c r="A9" s="70" t="s">
        <v>66</v>
      </c>
      <c r="B9" s="6">
        <v>9127</v>
      </c>
      <c r="C9" s="6" t="s">
        <v>67</v>
      </c>
      <c r="D9" s="8">
        <v>35000</v>
      </c>
      <c r="E9" s="8">
        <f>SUM(E8+D9)</f>
        <v>50000</v>
      </c>
      <c r="F9" s="23">
        <f>F8-D9</f>
        <v>650000</v>
      </c>
    </row>
    <row r="10" spans="1:10" x14ac:dyDescent="0.35">
      <c r="A10" s="22">
        <v>45902</v>
      </c>
      <c r="B10" s="6">
        <v>9280</v>
      </c>
      <c r="C10" s="6" t="s">
        <v>14</v>
      </c>
      <c r="D10" s="8">
        <v>10000</v>
      </c>
      <c r="E10" s="8">
        <f t="shared" ref="E10:E21" si="0">SUM(E9+D10)</f>
        <v>60000</v>
      </c>
      <c r="F10" s="23">
        <f t="shared" ref="F10:F21" si="1">F9-D10</f>
        <v>640000</v>
      </c>
      <c r="J10" s="11"/>
    </row>
    <row r="11" spans="1:10" x14ac:dyDescent="0.35">
      <c r="A11" s="22">
        <v>45903</v>
      </c>
      <c r="B11" s="6">
        <v>9682</v>
      </c>
      <c r="C11" s="6" t="s">
        <v>14</v>
      </c>
      <c r="D11" s="8">
        <v>10000</v>
      </c>
      <c r="E11" s="8">
        <f t="shared" si="0"/>
        <v>70000</v>
      </c>
      <c r="F11" s="23">
        <f t="shared" si="1"/>
        <v>630000</v>
      </c>
    </row>
    <row r="12" spans="1:10" x14ac:dyDescent="0.35">
      <c r="A12" s="22">
        <v>45965</v>
      </c>
      <c r="B12" s="6">
        <v>10107</v>
      </c>
      <c r="C12" s="6" t="s">
        <v>14</v>
      </c>
      <c r="D12" s="8">
        <v>10000</v>
      </c>
      <c r="E12" s="8">
        <f t="shared" si="0"/>
        <v>80000</v>
      </c>
      <c r="F12" s="23">
        <f t="shared" si="1"/>
        <v>620000</v>
      </c>
    </row>
    <row r="13" spans="1:10" x14ac:dyDescent="0.35">
      <c r="A13" s="22">
        <v>45996</v>
      </c>
      <c r="B13" s="6">
        <v>10455</v>
      </c>
      <c r="C13" s="6" t="s">
        <v>14</v>
      </c>
      <c r="D13" s="8">
        <v>10000</v>
      </c>
      <c r="E13" s="8">
        <f t="shared" si="0"/>
        <v>90000</v>
      </c>
      <c r="F13" s="23">
        <f t="shared" si="1"/>
        <v>610000</v>
      </c>
    </row>
    <row r="14" spans="1:10" x14ac:dyDescent="0.35">
      <c r="A14" s="22">
        <v>45814</v>
      </c>
      <c r="B14" s="6">
        <v>10480</v>
      </c>
      <c r="C14" s="6" t="s">
        <v>14</v>
      </c>
      <c r="D14" s="8">
        <v>10000</v>
      </c>
      <c r="E14" s="8">
        <f t="shared" si="0"/>
        <v>100000</v>
      </c>
      <c r="F14" s="23">
        <f t="shared" si="1"/>
        <v>600000</v>
      </c>
    </row>
    <row r="15" spans="1:10" x14ac:dyDescent="0.35">
      <c r="A15" s="22">
        <v>45907</v>
      </c>
      <c r="B15" s="6">
        <v>12837</v>
      </c>
      <c r="C15" s="6" t="s">
        <v>14</v>
      </c>
      <c r="D15" s="8">
        <v>10000</v>
      </c>
      <c r="E15" s="8">
        <f t="shared" si="0"/>
        <v>110000</v>
      </c>
      <c r="F15" s="23">
        <f t="shared" si="1"/>
        <v>590000</v>
      </c>
    </row>
    <row r="16" spans="1:10" x14ac:dyDescent="0.35">
      <c r="A16" s="22">
        <v>45665</v>
      </c>
      <c r="B16" s="6">
        <v>12337</v>
      </c>
      <c r="C16" s="6" t="s">
        <v>14</v>
      </c>
      <c r="D16" s="8">
        <v>10000</v>
      </c>
      <c r="E16" s="8">
        <f t="shared" si="0"/>
        <v>120000</v>
      </c>
      <c r="F16" s="23">
        <f t="shared" si="1"/>
        <v>580000</v>
      </c>
    </row>
    <row r="17" spans="1:6" x14ac:dyDescent="0.35">
      <c r="A17" s="22">
        <v>45847</v>
      </c>
      <c r="B17" s="6">
        <v>12631</v>
      </c>
      <c r="C17" s="6" t="s">
        <v>14</v>
      </c>
      <c r="D17" s="8">
        <v>10000</v>
      </c>
      <c r="E17" s="8">
        <f t="shared" si="0"/>
        <v>130000</v>
      </c>
      <c r="F17" s="23">
        <f t="shared" si="1"/>
        <v>570000</v>
      </c>
    </row>
    <row r="18" spans="1:6" x14ac:dyDescent="0.35">
      <c r="A18" s="22">
        <v>45787</v>
      </c>
      <c r="B18" s="6">
        <v>13894</v>
      </c>
      <c r="C18" s="6" t="s">
        <v>14</v>
      </c>
      <c r="D18" s="8">
        <v>10000</v>
      </c>
      <c r="E18" s="8">
        <f t="shared" si="0"/>
        <v>140000</v>
      </c>
      <c r="F18" s="23">
        <f t="shared" si="1"/>
        <v>560000</v>
      </c>
    </row>
    <row r="19" spans="1:6" x14ac:dyDescent="0.35">
      <c r="A19" s="22">
        <v>45972</v>
      </c>
      <c r="B19" s="6">
        <v>13341</v>
      </c>
      <c r="C19" s="6" t="s">
        <v>14</v>
      </c>
      <c r="D19" s="8">
        <v>10000</v>
      </c>
      <c r="E19" s="8">
        <f t="shared" si="0"/>
        <v>150000</v>
      </c>
      <c r="F19" s="23">
        <f t="shared" si="1"/>
        <v>550000</v>
      </c>
    </row>
    <row r="20" spans="1:6" x14ac:dyDescent="0.35">
      <c r="A20" s="22">
        <v>46143</v>
      </c>
      <c r="B20" s="6">
        <v>13900</v>
      </c>
      <c r="C20" s="6" t="s">
        <v>14</v>
      </c>
      <c r="D20" s="8">
        <v>20000</v>
      </c>
      <c r="E20" s="8">
        <f t="shared" si="0"/>
        <v>170000</v>
      </c>
      <c r="F20" s="23">
        <f t="shared" si="1"/>
        <v>530000</v>
      </c>
    </row>
    <row r="21" spans="1:6" x14ac:dyDescent="0.35">
      <c r="A21" s="25">
        <v>46205</v>
      </c>
      <c r="B21" s="26">
        <v>12366</v>
      </c>
      <c r="C21" s="26" t="s">
        <v>14</v>
      </c>
      <c r="D21" s="27">
        <v>10000</v>
      </c>
      <c r="E21" s="27">
        <f t="shared" si="0"/>
        <v>180000</v>
      </c>
      <c r="F21" s="28">
        <f t="shared" si="1"/>
        <v>520000</v>
      </c>
    </row>
    <row r="22" spans="1:6" x14ac:dyDescent="0.35">
      <c r="A22" s="25">
        <v>46146</v>
      </c>
      <c r="B22" s="26">
        <v>13148</v>
      </c>
      <c r="C22" s="26" t="s">
        <v>14</v>
      </c>
      <c r="D22" s="27">
        <v>10000</v>
      </c>
      <c r="E22" s="27">
        <f>SUM(E21+D22)</f>
        <v>190000</v>
      </c>
      <c r="F22" s="28">
        <f t="shared" ref="F22:F27" si="2">F21-D22</f>
        <v>510000</v>
      </c>
    </row>
    <row r="23" spans="1:6" x14ac:dyDescent="0.35">
      <c r="A23" s="25">
        <v>46360</v>
      </c>
      <c r="B23" s="26">
        <v>13257</v>
      </c>
      <c r="C23" s="26" t="s">
        <v>14</v>
      </c>
      <c r="D23" s="27">
        <v>10000</v>
      </c>
      <c r="E23" s="27">
        <f>SUM(E22+D23)</f>
        <v>200000</v>
      </c>
      <c r="F23" s="28">
        <f t="shared" si="2"/>
        <v>500000</v>
      </c>
    </row>
    <row r="24" spans="1:6" x14ac:dyDescent="0.35">
      <c r="A24" s="25">
        <v>46270</v>
      </c>
      <c r="B24" s="26">
        <v>12975</v>
      </c>
      <c r="C24" s="26" t="s">
        <v>14</v>
      </c>
      <c r="D24" s="27">
        <v>10000</v>
      </c>
      <c r="E24" s="27">
        <f>SUM(E23+D24)</f>
        <v>210000</v>
      </c>
      <c r="F24" s="28">
        <f t="shared" si="2"/>
        <v>490000</v>
      </c>
    </row>
    <row r="25" spans="1:6" x14ac:dyDescent="0.35">
      <c r="A25" t="s">
        <v>479</v>
      </c>
      <c r="B25">
        <v>18562</v>
      </c>
      <c r="C25" t="s">
        <v>14</v>
      </c>
      <c r="D25" s="18">
        <v>10000</v>
      </c>
      <c r="E25" s="18">
        <f>E24+D25</f>
        <v>220000</v>
      </c>
      <c r="F25" s="18">
        <f t="shared" si="2"/>
        <v>480000</v>
      </c>
    </row>
    <row r="26" spans="1:6" x14ac:dyDescent="0.35">
      <c r="A26" s="13">
        <v>46150</v>
      </c>
      <c r="B26">
        <v>1653</v>
      </c>
      <c r="C26" t="s">
        <v>632</v>
      </c>
      <c r="D26" s="18">
        <v>10000</v>
      </c>
      <c r="E26" s="18">
        <f>E25+D26</f>
        <v>230000</v>
      </c>
      <c r="F26" s="18">
        <f t="shared" si="2"/>
        <v>470000</v>
      </c>
    </row>
    <row r="27" spans="1:6" x14ac:dyDescent="0.35">
      <c r="A27" t="s">
        <v>631</v>
      </c>
      <c r="B27">
        <v>2117</v>
      </c>
      <c r="C27" t="s">
        <v>632</v>
      </c>
      <c r="D27" s="18">
        <v>20000</v>
      </c>
      <c r="E27" s="18">
        <f>E26+D27</f>
        <v>250000</v>
      </c>
      <c r="F27" s="18">
        <f t="shared" si="2"/>
        <v>450000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G2" sqref="G2"/>
    </sheetView>
  </sheetViews>
  <sheetFormatPr defaultRowHeight="14.5" x14ac:dyDescent="0.35"/>
  <cols>
    <col min="1" max="1" width="11" customWidth="1"/>
    <col min="3" max="3" width="16.54296875" customWidth="1"/>
    <col min="4" max="4" width="17" customWidth="1"/>
    <col min="5" max="5" width="18.54296875" customWidth="1"/>
    <col min="6" max="6" width="17.453125" customWidth="1"/>
    <col min="7" max="7" width="10.81640625" bestFit="1" customWidth="1"/>
  </cols>
  <sheetData>
    <row r="1" spans="1:7" ht="18.5" x14ac:dyDescent="0.45">
      <c r="A1" s="1" t="s">
        <v>443</v>
      </c>
      <c r="B1" s="1" t="s">
        <v>636</v>
      </c>
      <c r="C1" s="1"/>
      <c r="D1" s="1"/>
      <c r="E1" s="1" t="s">
        <v>648</v>
      </c>
      <c r="F1" s="108" t="s">
        <v>647</v>
      </c>
    </row>
    <row r="2" spans="1:7" ht="18.5" x14ac:dyDescent="0.45">
      <c r="A2" s="1" t="s">
        <v>519</v>
      </c>
      <c r="B2" s="1" t="s">
        <v>637</v>
      </c>
      <c r="C2" s="1"/>
      <c r="D2" s="1" t="s">
        <v>646</v>
      </c>
      <c r="E2" s="1" t="s">
        <v>649</v>
      </c>
      <c r="F2" s="109">
        <v>50000</v>
      </c>
    </row>
    <row r="3" spans="1:7" ht="18.5" x14ac:dyDescent="0.45">
      <c r="A3" s="1" t="s">
        <v>638</v>
      </c>
      <c r="B3" s="1"/>
      <c r="C3" s="1"/>
      <c r="D3" s="1"/>
      <c r="E3" s="1"/>
    </row>
    <row r="4" spans="1:7" ht="18.5" x14ac:dyDescent="0.45">
      <c r="A4" s="1" t="s">
        <v>635</v>
      </c>
      <c r="B4" s="1" t="s">
        <v>639</v>
      </c>
      <c r="C4" s="1"/>
      <c r="D4" s="1"/>
      <c r="E4" s="1"/>
    </row>
    <row r="5" spans="1:7" ht="18.5" x14ac:dyDescent="0.45">
      <c r="A5" s="1" t="s">
        <v>486</v>
      </c>
      <c r="B5" s="1" t="s">
        <v>642</v>
      </c>
      <c r="C5" s="1"/>
      <c r="D5" s="1"/>
      <c r="E5" s="1"/>
    </row>
    <row r="6" spans="1:7" ht="18.5" x14ac:dyDescent="0.45">
      <c r="A6" s="1" t="s">
        <v>447</v>
      </c>
      <c r="B6" s="1" t="s">
        <v>641</v>
      </c>
      <c r="C6" s="1"/>
      <c r="D6" s="1" t="s">
        <v>640</v>
      </c>
      <c r="E6" s="1"/>
    </row>
    <row r="7" spans="1:7" ht="21" x14ac:dyDescent="0.5">
      <c r="C7" s="110" t="s">
        <v>650</v>
      </c>
    </row>
    <row r="8" spans="1:7" ht="18.5" x14ac:dyDescent="0.45">
      <c r="A8" s="1" t="s">
        <v>651</v>
      </c>
      <c r="G8" s="1"/>
    </row>
    <row r="9" spans="1:7" ht="18.5" x14ac:dyDescent="0.45">
      <c r="A9" s="1" t="s">
        <v>652</v>
      </c>
    </row>
    <row r="10" spans="1:7" ht="18.5" x14ac:dyDescent="0.45">
      <c r="A10" s="1" t="s">
        <v>653</v>
      </c>
    </row>
    <row r="12" spans="1:7" ht="18.5" x14ac:dyDescent="0.45">
      <c r="A12" s="111" t="s">
        <v>525</v>
      </c>
      <c r="B12" s="111" t="s">
        <v>526</v>
      </c>
      <c r="C12" s="111" t="s">
        <v>527</v>
      </c>
      <c r="D12" s="111" t="s">
        <v>645</v>
      </c>
      <c r="E12" s="111" t="s">
        <v>529</v>
      </c>
      <c r="F12" s="111" t="s">
        <v>530</v>
      </c>
    </row>
    <row r="13" spans="1:7" ht="18.5" x14ac:dyDescent="0.45">
      <c r="A13" s="15" t="s">
        <v>643</v>
      </c>
      <c r="B13" s="15">
        <v>2137</v>
      </c>
      <c r="C13" s="15" t="s">
        <v>644</v>
      </c>
      <c r="D13" s="16">
        <v>500000</v>
      </c>
      <c r="E13" s="16">
        <v>500000</v>
      </c>
      <c r="F13" s="107" t="s">
        <v>596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16" sqref="F16"/>
    </sheetView>
  </sheetViews>
  <sheetFormatPr defaultRowHeight="14.5" x14ac:dyDescent="0.35"/>
  <cols>
    <col min="1" max="1" width="10.453125" bestFit="1" customWidth="1"/>
    <col min="3" max="3" width="12.08984375" customWidth="1"/>
  </cols>
  <sheetData>
    <row r="1" spans="1:6" ht="18.5" x14ac:dyDescent="0.45">
      <c r="A1" s="1" t="s">
        <v>344</v>
      </c>
      <c r="B1" s="1"/>
      <c r="C1" s="1"/>
      <c r="D1" s="1"/>
      <c r="E1" s="1"/>
    </row>
    <row r="2" spans="1:6" ht="18.5" x14ac:dyDescent="0.45">
      <c r="A2" s="1" t="s">
        <v>345</v>
      </c>
      <c r="C2" s="1"/>
      <c r="D2" s="1"/>
      <c r="E2" s="1"/>
    </row>
    <row r="3" spans="1:6" ht="18.5" x14ac:dyDescent="0.45">
      <c r="A3" s="1" t="s">
        <v>346</v>
      </c>
      <c r="B3" s="1"/>
      <c r="C3" s="1"/>
      <c r="D3" s="1"/>
      <c r="E3" s="1"/>
    </row>
    <row r="4" spans="1:6" ht="18.5" x14ac:dyDescent="0.45">
      <c r="A4" s="1" t="s">
        <v>350</v>
      </c>
      <c r="B4" s="1"/>
      <c r="C4" s="1"/>
      <c r="D4" s="1"/>
      <c r="E4" s="1"/>
    </row>
    <row r="5" spans="1:6" ht="18.5" x14ac:dyDescent="0.45">
      <c r="A5" s="1" t="s">
        <v>347</v>
      </c>
      <c r="B5" s="1"/>
      <c r="C5" s="1"/>
      <c r="D5" s="1"/>
      <c r="E5" s="1"/>
    </row>
    <row r="6" spans="1:6" ht="18.5" x14ac:dyDescent="0.45">
      <c r="A6" s="1" t="s">
        <v>348</v>
      </c>
      <c r="B6" s="1"/>
      <c r="C6" s="1"/>
      <c r="D6" s="1" t="s">
        <v>349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19" t="s">
        <v>11</v>
      </c>
    </row>
    <row r="8" spans="1:6" x14ac:dyDescent="0.35">
      <c r="A8" s="13">
        <v>44145</v>
      </c>
      <c r="B8">
        <v>178</v>
      </c>
      <c r="C8" t="s">
        <v>35</v>
      </c>
      <c r="D8" s="18">
        <v>300000</v>
      </c>
      <c r="E8" s="18">
        <v>300000</v>
      </c>
      <c r="F8" s="18">
        <v>50000</v>
      </c>
    </row>
    <row r="9" spans="1:6" x14ac:dyDescent="0.35">
      <c r="A9" t="s">
        <v>351</v>
      </c>
      <c r="B9">
        <v>179</v>
      </c>
      <c r="C9" t="s">
        <v>352</v>
      </c>
      <c r="D9" s="18">
        <v>35000</v>
      </c>
      <c r="E9" s="18">
        <f>SUM(E8+D9)</f>
        <v>335000</v>
      </c>
      <c r="F9" s="18">
        <f>F8-D9</f>
        <v>15000</v>
      </c>
    </row>
    <row r="10" spans="1:6" ht="18.5" x14ac:dyDescent="0.45">
      <c r="A10" s="73" t="s">
        <v>353</v>
      </c>
      <c r="B10" s="73"/>
      <c r="C10" s="73"/>
      <c r="D10" s="73"/>
      <c r="E10" s="73"/>
      <c r="F10" s="7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sqref="A1:F8"/>
    </sheetView>
  </sheetViews>
  <sheetFormatPr defaultRowHeight="14.5" x14ac:dyDescent="0.35"/>
  <cols>
    <col min="1" max="1" width="11.6328125" customWidth="1"/>
    <col min="2" max="2" width="14.26953125" customWidth="1"/>
    <col min="3" max="3" width="13.7265625" customWidth="1"/>
    <col min="4" max="4" width="12.26953125" customWidth="1"/>
    <col min="5" max="5" width="14.36328125" customWidth="1"/>
    <col min="6" max="6" width="12.81640625" customWidth="1"/>
  </cols>
  <sheetData>
    <row r="1" spans="1:6" ht="18.5" x14ac:dyDescent="0.45">
      <c r="A1" s="1" t="s">
        <v>443</v>
      </c>
      <c r="B1" s="1" t="s">
        <v>518</v>
      </c>
      <c r="C1" s="1"/>
      <c r="D1" s="1"/>
      <c r="E1" s="1"/>
    </row>
    <row r="2" spans="1:6" ht="18.5" x14ac:dyDescent="0.45">
      <c r="A2" s="1" t="s">
        <v>519</v>
      </c>
      <c r="B2" s="1" t="s">
        <v>520</v>
      </c>
      <c r="C2" s="1"/>
      <c r="D2" s="1"/>
      <c r="E2" s="1"/>
    </row>
    <row r="3" spans="1:6" ht="18.5" x14ac:dyDescent="0.45">
      <c r="A3" s="1" t="s">
        <v>467</v>
      </c>
      <c r="B3" s="1" t="s">
        <v>521</v>
      </c>
      <c r="C3" s="1"/>
      <c r="D3" s="1"/>
      <c r="E3" s="1"/>
    </row>
    <row r="4" spans="1:6" ht="18.5" x14ac:dyDescent="0.45">
      <c r="A4" s="1" t="s">
        <v>485</v>
      </c>
      <c r="B4" s="1" t="s">
        <v>522</v>
      </c>
      <c r="C4" s="1"/>
      <c r="D4" s="1"/>
      <c r="E4" s="1"/>
    </row>
    <row r="5" spans="1:6" ht="18.5" x14ac:dyDescent="0.45">
      <c r="A5" s="1" t="s">
        <v>523</v>
      </c>
      <c r="B5" s="1" t="s">
        <v>524</v>
      </c>
      <c r="C5" s="1"/>
      <c r="D5" s="1"/>
      <c r="E5" s="1"/>
    </row>
    <row r="6" spans="1:6" ht="18.5" x14ac:dyDescent="0.45">
      <c r="A6" s="1" t="s">
        <v>447</v>
      </c>
      <c r="B6" s="1">
        <v>5277</v>
      </c>
      <c r="C6" s="1"/>
      <c r="D6" s="1"/>
      <c r="E6" s="1"/>
    </row>
    <row r="8" spans="1:6" x14ac:dyDescent="0.35">
      <c r="A8" s="15" t="s">
        <v>525</v>
      </c>
      <c r="B8" s="15" t="s">
        <v>526</v>
      </c>
      <c r="C8" s="15" t="s">
        <v>527</v>
      </c>
      <c r="D8" s="15" t="s">
        <v>528</v>
      </c>
      <c r="E8" s="15" t="s">
        <v>529</v>
      </c>
      <c r="F8" s="15" t="s">
        <v>530</v>
      </c>
    </row>
    <row r="9" spans="1:6" x14ac:dyDescent="0.35">
      <c r="A9" s="86">
        <v>45176</v>
      </c>
      <c r="B9" s="15">
        <v>126</v>
      </c>
      <c r="C9" s="15" t="s">
        <v>531</v>
      </c>
      <c r="D9" s="16">
        <v>5000</v>
      </c>
      <c r="E9" s="16">
        <v>5000</v>
      </c>
      <c r="F9" s="16">
        <v>595000</v>
      </c>
    </row>
    <row r="10" spans="1:6" x14ac:dyDescent="0.35">
      <c r="A10" s="15" t="s">
        <v>532</v>
      </c>
      <c r="B10" s="15">
        <v>2827</v>
      </c>
      <c r="C10" s="15" t="s">
        <v>533</v>
      </c>
      <c r="D10" s="16">
        <v>105000</v>
      </c>
      <c r="E10" s="16">
        <f t="shared" ref="E10:E40" si="0">E9+D10</f>
        <v>110000</v>
      </c>
      <c r="F10" s="16">
        <f t="shared" ref="F10:F40" si="1">F9-D10</f>
        <v>490000</v>
      </c>
    </row>
    <row r="11" spans="1:6" x14ac:dyDescent="0.35">
      <c r="A11" s="15" t="s">
        <v>534</v>
      </c>
      <c r="B11" s="15">
        <v>3011</v>
      </c>
      <c r="C11" s="15" t="s">
        <v>535</v>
      </c>
      <c r="D11" s="16">
        <v>10000</v>
      </c>
      <c r="E11" s="16">
        <f t="shared" si="0"/>
        <v>120000</v>
      </c>
      <c r="F11" s="16">
        <f t="shared" si="1"/>
        <v>480000</v>
      </c>
    </row>
    <row r="12" spans="1:6" x14ac:dyDescent="0.35">
      <c r="A12" s="15" t="s">
        <v>536</v>
      </c>
      <c r="B12" s="15">
        <v>3663</v>
      </c>
      <c r="C12" s="15" t="s">
        <v>535</v>
      </c>
      <c r="D12" s="16">
        <v>10000</v>
      </c>
      <c r="E12" s="16">
        <f t="shared" si="0"/>
        <v>130000</v>
      </c>
      <c r="F12" s="16">
        <f t="shared" si="1"/>
        <v>470000</v>
      </c>
    </row>
    <row r="13" spans="1:6" x14ac:dyDescent="0.35">
      <c r="A13" s="15" t="s">
        <v>537</v>
      </c>
      <c r="B13" s="15">
        <v>9171</v>
      </c>
      <c r="C13" s="15" t="s">
        <v>535</v>
      </c>
      <c r="D13" s="16">
        <v>10000</v>
      </c>
      <c r="E13" s="16">
        <f t="shared" si="0"/>
        <v>140000</v>
      </c>
      <c r="F13" s="16">
        <f t="shared" si="1"/>
        <v>460000</v>
      </c>
    </row>
    <row r="14" spans="1:6" x14ac:dyDescent="0.35">
      <c r="A14" s="15" t="s">
        <v>538</v>
      </c>
      <c r="B14" s="15">
        <v>9172</v>
      </c>
      <c r="C14" s="15" t="s">
        <v>535</v>
      </c>
      <c r="D14" s="16">
        <v>10000</v>
      </c>
      <c r="E14" s="16">
        <f t="shared" si="0"/>
        <v>150000</v>
      </c>
      <c r="F14" s="16">
        <f t="shared" si="1"/>
        <v>450000</v>
      </c>
    </row>
    <row r="15" spans="1:6" x14ac:dyDescent="0.35">
      <c r="A15" s="15" t="s">
        <v>539</v>
      </c>
      <c r="B15" s="15">
        <v>9173</v>
      </c>
      <c r="C15" s="15" t="s">
        <v>535</v>
      </c>
      <c r="D15" s="16">
        <v>10000</v>
      </c>
      <c r="E15" s="16">
        <f t="shared" si="0"/>
        <v>160000</v>
      </c>
      <c r="F15" s="16">
        <f t="shared" si="1"/>
        <v>440000</v>
      </c>
    </row>
    <row r="16" spans="1:6" x14ac:dyDescent="0.35">
      <c r="A16" s="15" t="s">
        <v>540</v>
      </c>
      <c r="B16" s="15">
        <v>9174</v>
      </c>
      <c r="C16" s="15" t="s">
        <v>535</v>
      </c>
      <c r="D16" s="16">
        <v>10000</v>
      </c>
      <c r="E16" s="16">
        <f t="shared" si="0"/>
        <v>170000</v>
      </c>
      <c r="F16" s="16">
        <f t="shared" si="1"/>
        <v>430000</v>
      </c>
    </row>
    <row r="17" spans="1:6" x14ac:dyDescent="0.35">
      <c r="A17" s="86">
        <v>45445</v>
      </c>
      <c r="B17" s="15">
        <v>9175</v>
      </c>
      <c r="C17" s="15" t="s">
        <v>535</v>
      </c>
      <c r="D17" s="16">
        <v>10000</v>
      </c>
      <c r="E17" s="16">
        <f t="shared" si="0"/>
        <v>180000</v>
      </c>
      <c r="F17" s="16">
        <f t="shared" si="1"/>
        <v>420000</v>
      </c>
    </row>
    <row r="18" spans="1:6" x14ac:dyDescent="0.35">
      <c r="A18" s="15" t="s">
        <v>541</v>
      </c>
      <c r="B18" s="15">
        <v>9176</v>
      </c>
      <c r="C18" s="15" t="s">
        <v>535</v>
      </c>
      <c r="D18" s="16">
        <v>10000</v>
      </c>
      <c r="E18" s="16">
        <f t="shared" si="0"/>
        <v>190000</v>
      </c>
      <c r="F18" s="16">
        <f t="shared" si="1"/>
        <v>410000</v>
      </c>
    </row>
    <row r="19" spans="1:6" x14ac:dyDescent="0.35">
      <c r="A19" s="15" t="s">
        <v>542</v>
      </c>
      <c r="B19" s="15">
        <v>917</v>
      </c>
      <c r="C19" s="15" t="s">
        <v>535</v>
      </c>
      <c r="D19" s="16">
        <v>10000</v>
      </c>
      <c r="E19" s="16">
        <f t="shared" si="0"/>
        <v>200000</v>
      </c>
      <c r="F19" s="16">
        <f t="shared" si="1"/>
        <v>400000</v>
      </c>
    </row>
    <row r="20" spans="1:6" x14ac:dyDescent="0.35">
      <c r="A20" s="15" t="s">
        <v>543</v>
      </c>
      <c r="B20" s="15">
        <v>9177</v>
      </c>
      <c r="C20" s="15" t="s">
        <v>535</v>
      </c>
      <c r="D20" s="16">
        <v>10000</v>
      </c>
      <c r="E20" s="16">
        <f t="shared" si="0"/>
        <v>210000</v>
      </c>
      <c r="F20" s="16">
        <f t="shared" si="1"/>
        <v>390000</v>
      </c>
    </row>
    <row r="21" spans="1:6" x14ac:dyDescent="0.35">
      <c r="A21" s="15" t="s">
        <v>544</v>
      </c>
      <c r="B21" s="15">
        <v>9178</v>
      </c>
      <c r="C21" s="15" t="s">
        <v>535</v>
      </c>
      <c r="D21" s="16">
        <v>10000</v>
      </c>
      <c r="E21" s="16">
        <f t="shared" si="0"/>
        <v>220000</v>
      </c>
      <c r="F21" s="16">
        <f t="shared" si="1"/>
        <v>380000</v>
      </c>
    </row>
    <row r="22" spans="1:6" x14ac:dyDescent="0.35">
      <c r="A22" s="15" t="s">
        <v>545</v>
      </c>
      <c r="B22" s="15">
        <v>9343</v>
      </c>
      <c r="C22" s="15" t="s">
        <v>535</v>
      </c>
      <c r="D22" s="16">
        <v>10000</v>
      </c>
      <c r="E22" s="16">
        <f t="shared" si="0"/>
        <v>230000</v>
      </c>
      <c r="F22" s="16">
        <f t="shared" si="1"/>
        <v>370000</v>
      </c>
    </row>
    <row r="23" spans="1:6" x14ac:dyDescent="0.35">
      <c r="A23" s="15" t="s">
        <v>546</v>
      </c>
      <c r="B23" s="15">
        <v>9342</v>
      </c>
      <c r="C23" s="15" t="s">
        <v>535</v>
      </c>
      <c r="D23" s="16">
        <v>10000</v>
      </c>
      <c r="E23" s="16">
        <f t="shared" si="0"/>
        <v>240000</v>
      </c>
      <c r="F23" s="16">
        <f t="shared" si="1"/>
        <v>360000</v>
      </c>
    </row>
    <row r="24" spans="1:6" x14ac:dyDescent="0.35">
      <c r="A24" s="15" t="s">
        <v>547</v>
      </c>
      <c r="B24" s="15">
        <v>9343</v>
      </c>
      <c r="C24" s="15" t="s">
        <v>535</v>
      </c>
      <c r="D24" s="16">
        <v>10000</v>
      </c>
      <c r="E24" s="16">
        <f t="shared" si="0"/>
        <v>250000</v>
      </c>
      <c r="F24" s="16">
        <f t="shared" si="1"/>
        <v>350000</v>
      </c>
    </row>
    <row r="25" spans="1:6" x14ac:dyDescent="0.35">
      <c r="A25" s="15" t="s">
        <v>548</v>
      </c>
      <c r="B25" s="15">
        <v>9343</v>
      </c>
      <c r="C25" s="15" t="s">
        <v>535</v>
      </c>
      <c r="D25" s="16">
        <v>10000</v>
      </c>
      <c r="E25" s="16">
        <f t="shared" si="0"/>
        <v>260000</v>
      </c>
      <c r="F25" s="16">
        <f t="shared" si="1"/>
        <v>340000</v>
      </c>
    </row>
    <row r="26" spans="1:6" x14ac:dyDescent="0.35">
      <c r="A26" s="15" t="s">
        <v>549</v>
      </c>
      <c r="B26" s="15">
        <v>9343</v>
      </c>
      <c r="C26" s="15" t="s">
        <v>535</v>
      </c>
      <c r="D26" s="16">
        <v>10000</v>
      </c>
      <c r="E26" s="16">
        <f t="shared" si="0"/>
        <v>270000</v>
      </c>
      <c r="F26" s="16">
        <f t="shared" si="1"/>
        <v>330000</v>
      </c>
    </row>
    <row r="27" spans="1:6" x14ac:dyDescent="0.35">
      <c r="A27" s="15" t="s">
        <v>550</v>
      </c>
      <c r="B27" s="15">
        <v>12517</v>
      </c>
      <c r="C27" s="15" t="s">
        <v>535</v>
      </c>
      <c r="D27" s="16">
        <v>10000</v>
      </c>
      <c r="E27" s="16">
        <f t="shared" si="0"/>
        <v>280000</v>
      </c>
      <c r="F27" s="16">
        <f t="shared" si="1"/>
        <v>320000</v>
      </c>
    </row>
    <row r="28" spans="1:6" x14ac:dyDescent="0.35">
      <c r="A28" s="15" t="s">
        <v>551</v>
      </c>
      <c r="B28" s="15">
        <v>12517</v>
      </c>
      <c r="C28" s="15" t="s">
        <v>535</v>
      </c>
      <c r="D28" s="16">
        <v>10000</v>
      </c>
      <c r="E28" s="16">
        <f t="shared" si="0"/>
        <v>290000</v>
      </c>
      <c r="F28" s="16">
        <f t="shared" si="1"/>
        <v>310000</v>
      </c>
    </row>
    <row r="29" spans="1:6" x14ac:dyDescent="0.35">
      <c r="A29" s="15" t="s">
        <v>552</v>
      </c>
      <c r="B29" s="15">
        <v>12517</v>
      </c>
      <c r="C29" s="15" t="s">
        <v>535</v>
      </c>
      <c r="D29" s="16">
        <v>10000</v>
      </c>
      <c r="E29" s="16">
        <f t="shared" si="0"/>
        <v>300000</v>
      </c>
      <c r="F29" s="16">
        <f t="shared" si="1"/>
        <v>300000</v>
      </c>
    </row>
    <row r="30" spans="1:6" x14ac:dyDescent="0.35">
      <c r="A30" s="15" t="s">
        <v>553</v>
      </c>
      <c r="B30" s="15">
        <v>9972</v>
      </c>
      <c r="C30" s="15" t="s">
        <v>535</v>
      </c>
      <c r="D30" s="16">
        <v>10000</v>
      </c>
      <c r="E30" s="16">
        <f t="shared" si="0"/>
        <v>310000</v>
      </c>
      <c r="F30" s="16">
        <f t="shared" si="1"/>
        <v>290000</v>
      </c>
    </row>
    <row r="31" spans="1:6" x14ac:dyDescent="0.35">
      <c r="A31" s="15" t="s">
        <v>554</v>
      </c>
      <c r="B31" s="15">
        <v>12276</v>
      </c>
      <c r="C31" s="15" t="s">
        <v>535</v>
      </c>
      <c r="D31" s="16">
        <v>10000</v>
      </c>
      <c r="E31" s="16">
        <f t="shared" si="0"/>
        <v>320000</v>
      </c>
      <c r="F31" s="16">
        <f t="shared" si="1"/>
        <v>280000</v>
      </c>
    </row>
    <row r="32" spans="1:6" x14ac:dyDescent="0.35">
      <c r="A32" s="15" t="s">
        <v>555</v>
      </c>
      <c r="B32" s="15">
        <v>12516</v>
      </c>
      <c r="C32" s="15" t="s">
        <v>535</v>
      </c>
      <c r="D32" s="16">
        <v>10000</v>
      </c>
      <c r="E32" s="16">
        <f t="shared" si="0"/>
        <v>330000</v>
      </c>
      <c r="F32" s="16">
        <f t="shared" si="1"/>
        <v>270000</v>
      </c>
    </row>
    <row r="33" spans="1:6" x14ac:dyDescent="0.35">
      <c r="A33" s="15" t="s">
        <v>556</v>
      </c>
      <c r="B33" s="15">
        <v>12509</v>
      </c>
      <c r="C33" s="15" t="s">
        <v>535</v>
      </c>
      <c r="D33" s="16">
        <v>10000</v>
      </c>
      <c r="E33" s="16">
        <f t="shared" si="0"/>
        <v>340000</v>
      </c>
      <c r="F33" s="16">
        <f t="shared" si="1"/>
        <v>260000</v>
      </c>
    </row>
    <row r="34" spans="1:6" x14ac:dyDescent="0.35">
      <c r="A34" s="15" t="s">
        <v>557</v>
      </c>
      <c r="B34" s="15">
        <v>13063</v>
      </c>
      <c r="C34" s="15" t="s">
        <v>535</v>
      </c>
      <c r="D34" s="16">
        <v>10000</v>
      </c>
      <c r="E34" s="16">
        <f t="shared" si="0"/>
        <v>350000</v>
      </c>
      <c r="F34" s="16">
        <f t="shared" si="1"/>
        <v>250000</v>
      </c>
    </row>
    <row r="35" spans="1:6" x14ac:dyDescent="0.35">
      <c r="A35" s="15" t="s">
        <v>558</v>
      </c>
      <c r="B35" s="15">
        <v>13830</v>
      </c>
      <c r="C35" s="15" t="s">
        <v>535</v>
      </c>
      <c r="D35" s="16">
        <v>10000</v>
      </c>
      <c r="E35" s="16">
        <f t="shared" si="0"/>
        <v>360000</v>
      </c>
      <c r="F35" s="16">
        <f t="shared" si="1"/>
        <v>240000</v>
      </c>
    </row>
    <row r="36" spans="1:6" x14ac:dyDescent="0.35">
      <c r="A36" s="15" t="s">
        <v>559</v>
      </c>
      <c r="B36" s="15">
        <v>12251</v>
      </c>
      <c r="C36" s="15" t="s">
        <v>535</v>
      </c>
      <c r="D36" s="16">
        <v>10000</v>
      </c>
      <c r="E36" s="16">
        <f t="shared" si="0"/>
        <v>370000</v>
      </c>
      <c r="F36" s="16">
        <f t="shared" si="1"/>
        <v>230000</v>
      </c>
    </row>
    <row r="37" spans="1:6" x14ac:dyDescent="0.35">
      <c r="A37" s="15" t="s">
        <v>560</v>
      </c>
      <c r="B37" s="15">
        <v>13939</v>
      </c>
      <c r="C37" s="15" t="s">
        <v>535</v>
      </c>
      <c r="D37" s="16">
        <v>15000</v>
      </c>
      <c r="E37" s="16">
        <f t="shared" si="0"/>
        <v>385000</v>
      </c>
      <c r="F37" s="16">
        <f t="shared" si="1"/>
        <v>215000</v>
      </c>
    </row>
    <row r="38" spans="1:6" x14ac:dyDescent="0.35">
      <c r="A38" s="15" t="s">
        <v>561</v>
      </c>
      <c r="B38" s="15">
        <v>13069</v>
      </c>
      <c r="C38" s="15" t="s">
        <v>535</v>
      </c>
      <c r="D38" s="16">
        <v>10000</v>
      </c>
      <c r="E38" s="16">
        <f t="shared" si="0"/>
        <v>395000</v>
      </c>
      <c r="F38" s="16">
        <f t="shared" si="1"/>
        <v>205000</v>
      </c>
    </row>
    <row r="39" spans="1:6" x14ac:dyDescent="0.35">
      <c r="A39" s="15" t="s">
        <v>562</v>
      </c>
      <c r="B39" s="15">
        <v>13451</v>
      </c>
      <c r="C39" s="15" t="s">
        <v>535</v>
      </c>
      <c r="D39" s="16">
        <v>10000</v>
      </c>
      <c r="E39" s="16">
        <f t="shared" si="0"/>
        <v>405000</v>
      </c>
      <c r="F39" s="16">
        <f t="shared" si="1"/>
        <v>195000</v>
      </c>
    </row>
    <row r="40" spans="1:6" x14ac:dyDescent="0.35">
      <c r="A40" s="15" t="s">
        <v>563</v>
      </c>
      <c r="B40" s="15">
        <v>1319</v>
      </c>
      <c r="C40" s="15" t="s">
        <v>535</v>
      </c>
      <c r="D40" s="16">
        <v>10000</v>
      </c>
      <c r="E40" s="16">
        <f t="shared" si="0"/>
        <v>415000</v>
      </c>
      <c r="F40" s="16">
        <f t="shared" si="1"/>
        <v>185000</v>
      </c>
    </row>
    <row r="41" spans="1:6" x14ac:dyDescent="0.35">
      <c r="A41" s="15" t="s">
        <v>628</v>
      </c>
      <c r="B41" s="15">
        <v>1762</v>
      </c>
      <c r="C41" s="15" t="s">
        <v>535</v>
      </c>
      <c r="D41" s="16">
        <v>20000</v>
      </c>
      <c r="E41" s="16">
        <f>E40+D41</f>
        <v>435000</v>
      </c>
      <c r="F41" s="16">
        <f>F40-D41</f>
        <v>165000</v>
      </c>
    </row>
    <row r="42" spans="1:6" x14ac:dyDescent="0.35">
      <c r="A42" s="82" t="s">
        <v>629</v>
      </c>
      <c r="B42" s="82">
        <v>2098</v>
      </c>
      <c r="C42" s="15" t="s">
        <v>535</v>
      </c>
      <c r="D42" s="16">
        <v>10000</v>
      </c>
      <c r="E42" s="18">
        <f>E41+D42</f>
        <v>445000</v>
      </c>
      <c r="F42" s="18">
        <f>F41-D42</f>
        <v>155000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9" workbookViewId="0">
      <selection activeCell="F43" sqref="F43"/>
    </sheetView>
  </sheetViews>
  <sheetFormatPr defaultRowHeight="14.5" x14ac:dyDescent="0.35"/>
  <cols>
    <col min="1" max="1" width="10.6328125" customWidth="1"/>
    <col min="3" max="3" width="12.54296875" customWidth="1"/>
    <col min="4" max="4" width="10.54296875" customWidth="1"/>
    <col min="5" max="5" width="11.1796875" customWidth="1"/>
    <col min="6" max="6" width="14" customWidth="1"/>
  </cols>
  <sheetData>
    <row r="1" spans="1:6" ht="18.5" x14ac:dyDescent="0.45">
      <c r="A1" s="1" t="s">
        <v>443</v>
      </c>
      <c r="B1" s="1" t="s">
        <v>564</v>
      </c>
      <c r="C1" s="1"/>
      <c r="D1" s="1"/>
      <c r="E1" s="1"/>
      <c r="F1" s="1"/>
    </row>
    <row r="2" spans="1:6" ht="18.5" x14ac:dyDescent="0.45">
      <c r="A2" s="1" t="s">
        <v>519</v>
      </c>
      <c r="B2" s="1" t="s">
        <v>565</v>
      </c>
      <c r="C2" s="1"/>
      <c r="D2" s="1"/>
      <c r="E2" s="1"/>
      <c r="F2" s="1"/>
    </row>
    <row r="3" spans="1:6" ht="18.5" x14ac:dyDescent="0.45">
      <c r="A3" s="1" t="s">
        <v>467</v>
      </c>
      <c r="B3" s="1" t="s">
        <v>566</v>
      </c>
      <c r="C3" s="1"/>
      <c r="D3" s="1"/>
      <c r="E3" s="1"/>
      <c r="F3" s="1"/>
    </row>
    <row r="4" spans="1:6" ht="18.5" x14ac:dyDescent="0.45">
      <c r="A4" s="1" t="s">
        <v>485</v>
      </c>
      <c r="B4" s="1" t="s">
        <v>567</v>
      </c>
      <c r="C4" s="1"/>
      <c r="D4" s="1"/>
      <c r="E4" s="1"/>
      <c r="F4" s="1"/>
    </row>
    <row r="5" spans="1:6" ht="18.5" x14ac:dyDescent="0.45">
      <c r="A5" s="1" t="s">
        <v>523</v>
      </c>
      <c r="B5" s="1" t="s">
        <v>568</v>
      </c>
      <c r="C5" s="1"/>
      <c r="D5" s="1"/>
      <c r="E5" s="1"/>
      <c r="F5" s="1"/>
    </row>
    <row r="6" spans="1:6" ht="18.5" x14ac:dyDescent="0.45">
      <c r="A6" s="1" t="s">
        <v>447</v>
      </c>
      <c r="B6" s="1">
        <v>5278</v>
      </c>
      <c r="C6" s="1"/>
      <c r="D6" s="1" t="s">
        <v>630</v>
      </c>
      <c r="E6" s="1"/>
      <c r="F6" s="1"/>
    </row>
    <row r="8" spans="1:6" x14ac:dyDescent="0.35">
      <c r="A8" t="s">
        <v>525</v>
      </c>
      <c r="B8" t="s">
        <v>526</v>
      </c>
      <c r="C8" t="s">
        <v>527</v>
      </c>
      <c r="D8" t="s">
        <v>528</v>
      </c>
      <c r="E8" t="s">
        <v>529</v>
      </c>
      <c r="F8" t="s">
        <v>530</v>
      </c>
    </row>
    <row r="9" spans="1:6" x14ac:dyDescent="0.35">
      <c r="A9" s="13">
        <v>45176</v>
      </c>
      <c r="B9">
        <v>125</v>
      </c>
      <c r="C9" t="s">
        <v>569</v>
      </c>
      <c r="D9" s="18">
        <v>5000</v>
      </c>
      <c r="E9" s="18">
        <v>5000</v>
      </c>
      <c r="F9" s="18">
        <v>595000</v>
      </c>
    </row>
    <row r="10" spans="1:6" x14ac:dyDescent="0.35">
      <c r="A10" t="s">
        <v>532</v>
      </c>
      <c r="B10">
        <v>2826</v>
      </c>
      <c r="C10" t="s">
        <v>533</v>
      </c>
      <c r="D10" s="18">
        <v>105000</v>
      </c>
      <c r="E10" s="18">
        <f t="shared" ref="E10:E40" si="0">E9+D10</f>
        <v>110000</v>
      </c>
      <c r="F10" s="18">
        <f t="shared" ref="F10:F40" si="1">F9-D10</f>
        <v>490000</v>
      </c>
    </row>
    <row r="11" spans="1:6" x14ac:dyDescent="0.35">
      <c r="A11" t="s">
        <v>570</v>
      </c>
      <c r="B11">
        <v>3012</v>
      </c>
      <c r="C11" t="s">
        <v>438</v>
      </c>
      <c r="D11" s="18">
        <v>10000</v>
      </c>
      <c r="E11" s="18">
        <f t="shared" si="0"/>
        <v>120000</v>
      </c>
      <c r="F11" s="18">
        <f t="shared" si="1"/>
        <v>480000</v>
      </c>
    </row>
    <row r="12" spans="1:6" x14ac:dyDescent="0.35">
      <c r="A12" t="s">
        <v>536</v>
      </c>
      <c r="B12">
        <v>3664</v>
      </c>
      <c r="C12" t="s">
        <v>438</v>
      </c>
      <c r="D12" s="18">
        <v>10000</v>
      </c>
      <c r="E12" s="18">
        <f t="shared" si="0"/>
        <v>130000</v>
      </c>
      <c r="F12" s="18">
        <f t="shared" si="1"/>
        <v>470000</v>
      </c>
    </row>
    <row r="13" spans="1:6" x14ac:dyDescent="0.35">
      <c r="A13" t="s">
        <v>537</v>
      </c>
      <c r="B13">
        <v>9179</v>
      </c>
      <c r="C13" t="s">
        <v>438</v>
      </c>
      <c r="D13" s="18">
        <v>10000</v>
      </c>
      <c r="E13" s="18">
        <f t="shared" si="0"/>
        <v>140000</v>
      </c>
      <c r="F13" s="18">
        <f t="shared" si="1"/>
        <v>460000</v>
      </c>
    </row>
    <row r="14" spans="1:6" x14ac:dyDescent="0.35">
      <c r="A14" t="s">
        <v>538</v>
      </c>
      <c r="B14">
        <v>9180</v>
      </c>
      <c r="C14" t="s">
        <v>438</v>
      </c>
      <c r="D14" s="18">
        <v>10000</v>
      </c>
      <c r="E14" s="18">
        <f t="shared" si="0"/>
        <v>150000</v>
      </c>
      <c r="F14" s="18">
        <f t="shared" si="1"/>
        <v>450000</v>
      </c>
    </row>
    <row r="15" spans="1:6" x14ac:dyDescent="0.35">
      <c r="A15" t="s">
        <v>539</v>
      </c>
      <c r="B15">
        <v>9181</v>
      </c>
      <c r="C15" t="s">
        <v>438</v>
      </c>
      <c r="D15" s="18">
        <v>10000</v>
      </c>
      <c r="E15" s="18">
        <f t="shared" si="0"/>
        <v>160000</v>
      </c>
      <c r="F15" s="18">
        <f t="shared" si="1"/>
        <v>440000</v>
      </c>
    </row>
    <row r="16" spans="1:6" x14ac:dyDescent="0.35">
      <c r="A16" s="13">
        <v>45445</v>
      </c>
      <c r="B16">
        <v>9182</v>
      </c>
      <c r="C16" t="s">
        <v>438</v>
      </c>
      <c r="D16" s="18">
        <v>10000</v>
      </c>
      <c r="E16" s="18">
        <f t="shared" si="0"/>
        <v>170000</v>
      </c>
      <c r="F16" s="18">
        <f t="shared" si="1"/>
        <v>430000</v>
      </c>
    </row>
    <row r="17" spans="1:6" x14ac:dyDescent="0.35">
      <c r="A17" t="s">
        <v>571</v>
      </c>
      <c r="B17">
        <v>9183</v>
      </c>
      <c r="C17" t="s">
        <v>438</v>
      </c>
      <c r="D17" s="18">
        <v>10000</v>
      </c>
      <c r="E17" s="18">
        <f t="shared" si="0"/>
        <v>180000</v>
      </c>
      <c r="F17" s="18">
        <f t="shared" si="1"/>
        <v>420000</v>
      </c>
    </row>
    <row r="18" spans="1:6" x14ac:dyDescent="0.35">
      <c r="A18" t="s">
        <v>572</v>
      </c>
      <c r="B18">
        <v>9184</v>
      </c>
      <c r="C18" t="s">
        <v>438</v>
      </c>
      <c r="D18" s="18">
        <v>10000</v>
      </c>
      <c r="E18" s="18">
        <f t="shared" si="0"/>
        <v>190000</v>
      </c>
      <c r="F18" s="18">
        <f t="shared" si="1"/>
        <v>410000</v>
      </c>
    </row>
    <row r="19" spans="1:6" x14ac:dyDescent="0.35">
      <c r="A19" t="s">
        <v>541</v>
      </c>
      <c r="B19">
        <v>9185</v>
      </c>
      <c r="C19" t="s">
        <v>438</v>
      </c>
      <c r="D19" s="18">
        <v>10000</v>
      </c>
      <c r="E19" s="18">
        <f t="shared" si="0"/>
        <v>200000</v>
      </c>
      <c r="F19" s="18">
        <f t="shared" si="1"/>
        <v>400000</v>
      </c>
    </row>
    <row r="20" spans="1:6" x14ac:dyDescent="0.35">
      <c r="A20" t="s">
        <v>542</v>
      </c>
      <c r="B20">
        <v>3957</v>
      </c>
      <c r="C20" t="s">
        <v>438</v>
      </c>
      <c r="D20" s="18">
        <v>10000</v>
      </c>
      <c r="E20" s="18">
        <f t="shared" si="0"/>
        <v>210000</v>
      </c>
      <c r="F20" s="18">
        <f t="shared" si="1"/>
        <v>390000</v>
      </c>
    </row>
    <row r="21" spans="1:6" x14ac:dyDescent="0.35">
      <c r="A21" t="s">
        <v>573</v>
      </c>
      <c r="B21">
        <v>9136</v>
      </c>
      <c r="C21" t="s">
        <v>438</v>
      </c>
      <c r="D21" s="18">
        <v>10000</v>
      </c>
      <c r="E21" s="18">
        <f t="shared" si="0"/>
        <v>220000</v>
      </c>
      <c r="F21" s="18">
        <f t="shared" si="1"/>
        <v>380000</v>
      </c>
    </row>
    <row r="22" spans="1:6" x14ac:dyDescent="0.35">
      <c r="A22" t="s">
        <v>545</v>
      </c>
      <c r="B22">
        <v>9274</v>
      </c>
      <c r="C22" t="s">
        <v>438</v>
      </c>
      <c r="D22" s="18">
        <v>10000</v>
      </c>
      <c r="E22" s="18">
        <f t="shared" si="0"/>
        <v>230000</v>
      </c>
      <c r="F22" s="18">
        <f t="shared" si="1"/>
        <v>370000</v>
      </c>
    </row>
    <row r="23" spans="1:6" x14ac:dyDescent="0.35">
      <c r="A23" t="s">
        <v>546</v>
      </c>
      <c r="B23">
        <v>9649</v>
      </c>
      <c r="C23" t="s">
        <v>438</v>
      </c>
      <c r="D23" s="18">
        <v>10000</v>
      </c>
      <c r="E23" s="18">
        <f t="shared" si="0"/>
        <v>240000</v>
      </c>
      <c r="F23" s="18">
        <f t="shared" si="1"/>
        <v>360000</v>
      </c>
    </row>
    <row r="24" spans="1:6" x14ac:dyDescent="0.35">
      <c r="A24" t="s">
        <v>547</v>
      </c>
      <c r="B24">
        <v>9641</v>
      </c>
      <c r="C24" t="s">
        <v>438</v>
      </c>
      <c r="D24" s="18">
        <v>10000</v>
      </c>
      <c r="E24" s="18">
        <f t="shared" si="0"/>
        <v>250000</v>
      </c>
      <c r="F24" s="18">
        <f t="shared" si="1"/>
        <v>350000</v>
      </c>
    </row>
    <row r="25" spans="1:6" x14ac:dyDescent="0.35">
      <c r="A25" t="s">
        <v>574</v>
      </c>
      <c r="B25">
        <v>9344</v>
      </c>
      <c r="C25" t="s">
        <v>438</v>
      </c>
      <c r="D25" s="18">
        <v>10000</v>
      </c>
      <c r="E25" s="18">
        <f t="shared" si="0"/>
        <v>260000</v>
      </c>
      <c r="F25" s="18">
        <f t="shared" si="1"/>
        <v>340000</v>
      </c>
    </row>
    <row r="26" spans="1:6" x14ac:dyDescent="0.35">
      <c r="A26" t="s">
        <v>549</v>
      </c>
      <c r="B26">
        <v>9344</v>
      </c>
      <c r="C26" t="s">
        <v>438</v>
      </c>
      <c r="D26" s="18">
        <v>10000</v>
      </c>
      <c r="E26" s="18">
        <f t="shared" si="0"/>
        <v>270000</v>
      </c>
      <c r="F26" s="18">
        <f t="shared" si="1"/>
        <v>330000</v>
      </c>
    </row>
    <row r="27" spans="1:6" x14ac:dyDescent="0.35">
      <c r="A27" t="s">
        <v>550</v>
      </c>
      <c r="B27">
        <v>12514</v>
      </c>
      <c r="C27" t="s">
        <v>438</v>
      </c>
      <c r="D27" s="18">
        <v>10000</v>
      </c>
      <c r="E27" s="18">
        <f t="shared" si="0"/>
        <v>280000</v>
      </c>
      <c r="F27" s="18">
        <f t="shared" si="1"/>
        <v>320000</v>
      </c>
    </row>
    <row r="28" spans="1:6" x14ac:dyDescent="0.35">
      <c r="A28" t="s">
        <v>575</v>
      </c>
      <c r="B28">
        <v>12514</v>
      </c>
      <c r="C28" t="s">
        <v>438</v>
      </c>
      <c r="D28" s="18">
        <v>10000</v>
      </c>
      <c r="E28" s="18">
        <f t="shared" si="0"/>
        <v>290000</v>
      </c>
      <c r="F28" s="18">
        <f t="shared" si="1"/>
        <v>310000</v>
      </c>
    </row>
    <row r="29" spans="1:6" x14ac:dyDescent="0.35">
      <c r="A29" t="s">
        <v>552</v>
      </c>
      <c r="B29">
        <v>12514</v>
      </c>
      <c r="C29" t="s">
        <v>438</v>
      </c>
      <c r="D29" s="18">
        <v>10000</v>
      </c>
      <c r="E29" s="18">
        <f t="shared" si="0"/>
        <v>300000</v>
      </c>
      <c r="F29" s="18">
        <f t="shared" si="1"/>
        <v>300000</v>
      </c>
    </row>
    <row r="30" spans="1:6" x14ac:dyDescent="0.35">
      <c r="A30" t="s">
        <v>553</v>
      </c>
      <c r="B30">
        <v>9973</v>
      </c>
      <c r="C30" t="s">
        <v>438</v>
      </c>
      <c r="D30" s="18">
        <v>10000</v>
      </c>
      <c r="E30" s="18">
        <f t="shared" si="0"/>
        <v>310000</v>
      </c>
      <c r="F30" s="18">
        <f t="shared" si="1"/>
        <v>290000</v>
      </c>
    </row>
    <row r="31" spans="1:6" x14ac:dyDescent="0.35">
      <c r="A31" t="s">
        <v>554</v>
      </c>
      <c r="B31">
        <v>12277</v>
      </c>
      <c r="C31" t="s">
        <v>438</v>
      </c>
      <c r="D31" s="18">
        <v>10000</v>
      </c>
      <c r="E31" s="18">
        <f t="shared" si="0"/>
        <v>320000</v>
      </c>
      <c r="F31" s="18">
        <f t="shared" si="1"/>
        <v>280000</v>
      </c>
    </row>
    <row r="32" spans="1:6" x14ac:dyDescent="0.35">
      <c r="A32" t="s">
        <v>555</v>
      </c>
      <c r="B32">
        <v>12275</v>
      </c>
      <c r="C32" t="s">
        <v>438</v>
      </c>
      <c r="D32" s="18">
        <v>10000</v>
      </c>
      <c r="E32" s="18">
        <f t="shared" si="0"/>
        <v>330000</v>
      </c>
      <c r="F32" s="18">
        <f t="shared" si="1"/>
        <v>270000</v>
      </c>
    </row>
    <row r="33" spans="1:6" x14ac:dyDescent="0.35">
      <c r="A33" t="s">
        <v>576</v>
      </c>
      <c r="B33">
        <v>13591</v>
      </c>
      <c r="C33" t="s">
        <v>438</v>
      </c>
      <c r="D33" s="18">
        <v>10000</v>
      </c>
      <c r="E33" s="18">
        <f t="shared" si="0"/>
        <v>340000</v>
      </c>
      <c r="F33" s="18">
        <f t="shared" si="1"/>
        <v>260000</v>
      </c>
    </row>
    <row r="34" spans="1:6" x14ac:dyDescent="0.35">
      <c r="A34" t="s">
        <v>557</v>
      </c>
      <c r="B34">
        <v>13064</v>
      </c>
      <c r="C34" t="s">
        <v>438</v>
      </c>
      <c r="D34" s="18">
        <v>10000</v>
      </c>
      <c r="E34" s="18">
        <f t="shared" si="0"/>
        <v>350000</v>
      </c>
      <c r="F34" s="18">
        <f t="shared" si="1"/>
        <v>250000</v>
      </c>
    </row>
    <row r="35" spans="1:6" x14ac:dyDescent="0.35">
      <c r="A35" t="s">
        <v>558</v>
      </c>
      <c r="B35">
        <v>13331</v>
      </c>
      <c r="C35" t="s">
        <v>438</v>
      </c>
      <c r="D35" s="18">
        <v>10000</v>
      </c>
      <c r="E35" s="18">
        <f t="shared" si="0"/>
        <v>360000</v>
      </c>
      <c r="F35" s="18">
        <f t="shared" si="1"/>
        <v>240000</v>
      </c>
    </row>
    <row r="36" spans="1:6" x14ac:dyDescent="0.35">
      <c r="A36" t="s">
        <v>559</v>
      </c>
      <c r="B36">
        <v>12251</v>
      </c>
      <c r="C36" t="s">
        <v>438</v>
      </c>
      <c r="D36" s="18">
        <v>10000</v>
      </c>
      <c r="E36" s="18">
        <f t="shared" si="0"/>
        <v>370000</v>
      </c>
      <c r="F36" s="18">
        <f t="shared" si="1"/>
        <v>230000</v>
      </c>
    </row>
    <row r="37" spans="1:6" x14ac:dyDescent="0.35">
      <c r="A37" t="s">
        <v>560</v>
      </c>
      <c r="B37">
        <v>13939</v>
      </c>
      <c r="C37" t="s">
        <v>438</v>
      </c>
      <c r="D37" s="18">
        <v>15000</v>
      </c>
      <c r="E37" s="18">
        <f t="shared" si="0"/>
        <v>385000</v>
      </c>
      <c r="F37" s="18">
        <f t="shared" si="1"/>
        <v>215000</v>
      </c>
    </row>
    <row r="38" spans="1:6" x14ac:dyDescent="0.35">
      <c r="A38" t="s">
        <v>577</v>
      </c>
      <c r="B38">
        <v>13069</v>
      </c>
      <c r="C38" t="s">
        <v>438</v>
      </c>
      <c r="D38" s="18">
        <v>10000</v>
      </c>
      <c r="E38" s="18">
        <f t="shared" si="0"/>
        <v>395000</v>
      </c>
      <c r="F38" s="18">
        <f t="shared" si="1"/>
        <v>205000</v>
      </c>
    </row>
    <row r="39" spans="1:6" x14ac:dyDescent="0.35">
      <c r="A39" t="s">
        <v>578</v>
      </c>
      <c r="B39">
        <v>13452</v>
      </c>
      <c r="C39" t="s">
        <v>438</v>
      </c>
      <c r="D39" s="18">
        <v>10000</v>
      </c>
      <c r="E39" s="18">
        <f t="shared" si="0"/>
        <v>405000</v>
      </c>
      <c r="F39" s="18">
        <f t="shared" si="1"/>
        <v>195000</v>
      </c>
    </row>
    <row r="40" spans="1:6" x14ac:dyDescent="0.35">
      <c r="A40" t="s">
        <v>563</v>
      </c>
      <c r="B40">
        <v>1320</v>
      </c>
      <c r="C40" t="s">
        <v>438</v>
      </c>
      <c r="D40" s="18">
        <v>10000</v>
      </c>
      <c r="E40" s="18">
        <f t="shared" si="0"/>
        <v>415000</v>
      </c>
      <c r="F40" s="18">
        <f t="shared" si="1"/>
        <v>185000</v>
      </c>
    </row>
    <row r="41" spans="1:6" x14ac:dyDescent="0.35">
      <c r="A41" t="s">
        <v>628</v>
      </c>
      <c r="B41">
        <v>1761</v>
      </c>
      <c r="C41" t="s">
        <v>438</v>
      </c>
      <c r="D41" s="18">
        <v>20000</v>
      </c>
      <c r="E41" s="18">
        <f>E40+D41</f>
        <v>435000</v>
      </c>
      <c r="F41" s="18">
        <f>F40-D41</f>
        <v>165000</v>
      </c>
    </row>
    <row r="42" spans="1:6" x14ac:dyDescent="0.35">
      <c r="A42" t="s">
        <v>629</v>
      </c>
      <c r="B42">
        <v>2097</v>
      </c>
      <c r="C42" t="s">
        <v>438</v>
      </c>
      <c r="D42" s="18">
        <v>10000</v>
      </c>
      <c r="E42" s="18">
        <f>E41+D42</f>
        <v>445000</v>
      </c>
      <c r="F42" s="18">
        <f>F41-D42</f>
        <v>155000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16" sqref="F16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5.26953125" bestFit="1" customWidth="1"/>
  </cols>
  <sheetData>
    <row r="1" spans="1:7" ht="18.5" x14ac:dyDescent="0.45">
      <c r="A1" s="1" t="s">
        <v>37</v>
      </c>
      <c r="B1" s="1"/>
      <c r="C1" s="1"/>
      <c r="D1" s="1"/>
      <c r="E1" s="1"/>
      <c r="F1" s="1"/>
    </row>
    <row r="2" spans="1:7" ht="18.5" x14ac:dyDescent="0.45">
      <c r="A2" s="1" t="s">
        <v>38</v>
      </c>
      <c r="C2" s="1"/>
      <c r="D2" s="1"/>
      <c r="E2" s="1"/>
      <c r="F2" s="1"/>
    </row>
    <row r="3" spans="1:7" ht="18.5" x14ac:dyDescent="0.45">
      <c r="A3" s="1" t="s">
        <v>39</v>
      </c>
      <c r="B3" s="1"/>
      <c r="C3" s="1"/>
      <c r="D3" s="1"/>
      <c r="E3" s="1"/>
      <c r="F3" s="1"/>
    </row>
    <row r="4" spans="1:7" ht="18.5" x14ac:dyDescent="0.45">
      <c r="A4" s="1" t="s">
        <v>369</v>
      </c>
      <c r="B4" s="1"/>
      <c r="C4" s="1"/>
      <c r="D4" s="1"/>
      <c r="E4" s="1"/>
      <c r="F4" s="1"/>
    </row>
    <row r="5" spans="1:7" ht="18.5" x14ac:dyDescent="0.45">
      <c r="A5" s="1" t="s">
        <v>40</v>
      </c>
      <c r="B5" s="1"/>
      <c r="C5" s="1"/>
      <c r="D5" s="1"/>
      <c r="E5" s="1"/>
      <c r="F5" s="1"/>
    </row>
    <row r="6" spans="1:7" ht="18.5" x14ac:dyDescent="0.45">
      <c r="A6" s="1" t="s">
        <v>41</v>
      </c>
      <c r="B6" s="1"/>
      <c r="C6" s="1"/>
      <c r="D6" s="1" t="s">
        <v>42</v>
      </c>
      <c r="E6" s="1"/>
      <c r="F6" s="1"/>
    </row>
    <row r="7" spans="1:7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  <c r="G7" s="9"/>
    </row>
    <row r="8" spans="1:7" x14ac:dyDescent="0.35">
      <c r="A8" s="22">
        <v>46024</v>
      </c>
      <c r="B8" s="6">
        <v>856</v>
      </c>
      <c r="C8" s="6" t="s">
        <v>43</v>
      </c>
      <c r="D8" s="6">
        <v>5000</v>
      </c>
      <c r="E8" s="6">
        <v>5000</v>
      </c>
      <c r="F8" s="23">
        <v>745000</v>
      </c>
      <c r="G8" s="9"/>
    </row>
    <row r="9" spans="1:7" x14ac:dyDescent="0.35">
      <c r="A9" s="22">
        <v>46144</v>
      </c>
      <c r="B9" s="6">
        <v>12344</v>
      </c>
      <c r="C9" s="6" t="s">
        <v>44</v>
      </c>
      <c r="D9" s="8">
        <v>95000</v>
      </c>
      <c r="E9" s="8">
        <v>100000</v>
      </c>
      <c r="F9" s="23">
        <v>650000</v>
      </c>
      <c r="G9" s="9"/>
    </row>
    <row r="10" spans="1:7" x14ac:dyDescent="0.35">
      <c r="A10" s="25">
        <v>46145</v>
      </c>
      <c r="B10" s="26">
        <v>12745</v>
      </c>
      <c r="C10" s="26" t="s">
        <v>52</v>
      </c>
      <c r="D10" s="27">
        <v>10000</v>
      </c>
      <c r="E10" s="27">
        <v>110000</v>
      </c>
      <c r="F10" s="28">
        <v>640000</v>
      </c>
      <c r="G10" s="9"/>
    </row>
    <row r="11" spans="1:7" x14ac:dyDescent="0.35">
      <c r="A11" s="25">
        <v>46207</v>
      </c>
      <c r="B11" s="26">
        <v>13194</v>
      </c>
      <c r="C11" s="26" t="s">
        <v>52</v>
      </c>
      <c r="D11" s="27">
        <v>10000</v>
      </c>
      <c r="E11" s="27">
        <f>SUM(E10+Table15[[#This Row],[Amount Rec]])</f>
        <v>120000</v>
      </c>
      <c r="F11" s="28">
        <f>F10-Table15[[#This Row],[Amount Rec]]</f>
        <v>630000</v>
      </c>
    </row>
    <row r="12" spans="1:7" x14ac:dyDescent="0.35">
      <c r="A12" s="25">
        <v>46300</v>
      </c>
      <c r="B12" s="26">
        <v>13303</v>
      </c>
      <c r="C12" s="26" t="s">
        <v>52</v>
      </c>
      <c r="D12" s="27">
        <v>10000</v>
      </c>
      <c r="E12" s="27">
        <f>SUM(E11+Table15[[#This Row],[Amount Rec]])</f>
        <v>130000</v>
      </c>
      <c r="F12" s="28">
        <f>F11-Table15[[#This Row],[Amount Rec]]</f>
        <v>620000</v>
      </c>
    </row>
    <row r="13" spans="1:7" x14ac:dyDescent="0.35">
      <c r="A13" t="s">
        <v>484</v>
      </c>
      <c r="B13" s="9">
        <v>13574</v>
      </c>
      <c r="C13" s="9" t="s">
        <v>52</v>
      </c>
      <c r="D13" s="10">
        <v>10000</v>
      </c>
      <c r="E13" s="10">
        <f>E12+D13</f>
        <v>140000</v>
      </c>
      <c r="F13" s="10">
        <f>F12-D13</f>
        <v>610000</v>
      </c>
    </row>
    <row r="14" spans="1:7" x14ac:dyDescent="0.35">
      <c r="A14" t="s">
        <v>591</v>
      </c>
      <c r="B14" s="9">
        <v>1443</v>
      </c>
      <c r="C14" s="9" t="s">
        <v>438</v>
      </c>
      <c r="D14" s="10">
        <v>10000</v>
      </c>
      <c r="E14" s="10">
        <f>E13+D14</f>
        <v>150000</v>
      </c>
      <c r="F14" s="10">
        <f>F13-D14</f>
        <v>600000</v>
      </c>
    </row>
    <row r="15" spans="1:7" x14ac:dyDescent="0.35">
      <c r="A15" s="13">
        <v>46273</v>
      </c>
      <c r="B15">
        <v>1701</v>
      </c>
      <c r="C15" s="9" t="s">
        <v>438</v>
      </c>
      <c r="D15" s="10">
        <v>10000</v>
      </c>
      <c r="E15" s="18">
        <f>E14+D15</f>
        <v>160000</v>
      </c>
      <c r="F15" s="18">
        <f>F14-D15</f>
        <v>590000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0" sqref="G10"/>
    </sheetView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13" workbookViewId="0">
      <selection activeCell="B26" sqref="B26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146</v>
      </c>
      <c r="B1" s="1"/>
      <c r="C1" s="1"/>
      <c r="D1" s="1"/>
      <c r="E1" s="1"/>
    </row>
    <row r="2" spans="1:6" ht="18.5" x14ac:dyDescent="0.45">
      <c r="A2" s="1" t="s">
        <v>97</v>
      </c>
      <c r="B2" t="s">
        <v>581</v>
      </c>
      <c r="C2" s="1"/>
      <c r="D2" s="1"/>
      <c r="E2" s="1"/>
    </row>
    <row r="3" spans="1:6" ht="18.5" x14ac:dyDescent="0.45">
      <c r="A3" s="1" t="s">
        <v>579</v>
      </c>
      <c r="B3" t="s">
        <v>580</v>
      </c>
      <c r="C3" s="1"/>
      <c r="D3" s="1"/>
      <c r="E3" s="1"/>
    </row>
    <row r="4" spans="1:6" ht="18.5" x14ac:dyDescent="0.45">
      <c r="A4" s="1" t="s">
        <v>147</v>
      </c>
      <c r="B4" s="1" t="s">
        <v>582</v>
      </c>
      <c r="C4" s="1"/>
      <c r="D4" s="1"/>
      <c r="E4" s="1"/>
    </row>
    <row r="5" spans="1:6" ht="18.5" x14ac:dyDescent="0.45">
      <c r="A5" s="1" t="s">
        <v>148</v>
      </c>
      <c r="B5" s="1" t="s">
        <v>583</v>
      </c>
      <c r="C5" s="1"/>
      <c r="D5" s="1"/>
      <c r="E5" s="1"/>
    </row>
    <row r="6" spans="1:6" ht="18.5" x14ac:dyDescent="0.45">
      <c r="A6" s="1" t="s">
        <v>149</v>
      </c>
      <c r="B6" s="1"/>
      <c r="C6" s="1"/>
      <c r="D6" s="1" t="s">
        <v>117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150</v>
      </c>
      <c r="B8" s="6">
        <v>163</v>
      </c>
      <c r="C8" s="6" t="s">
        <v>160</v>
      </c>
      <c r="D8" s="6">
        <v>5000</v>
      </c>
      <c r="E8" s="6">
        <v>5000</v>
      </c>
      <c r="F8" s="23">
        <v>595000</v>
      </c>
    </row>
    <row r="9" spans="1:6" x14ac:dyDescent="0.35">
      <c r="A9" s="22">
        <v>45058</v>
      </c>
      <c r="B9" s="6">
        <v>5927</v>
      </c>
      <c r="C9" s="6" t="s">
        <v>161</v>
      </c>
      <c r="D9" s="6">
        <v>95000</v>
      </c>
      <c r="E9" s="6">
        <f>SUM(E8+D9)</f>
        <v>100000</v>
      </c>
      <c r="F9" s="23">
        <f>F8-D9</f>
        <v>500000</v>
      </c>
    </row>
    <row r="10" spans="1:6" x14ac:dyDescent="0.35">
      <c r="A10" s="31" t="s">
        <v>151</v>
      </c>
      <c r="B10" s="6">
        <v>6712</v>
      </c>
      <c r="C10" s="6" t="s">
        <v>52</v>
      </c>
      <c r="D10" s="8">
        <v>20000</v>
      </c>
      <c r="E10" s="6">
        <f t="shared" ref="E10:E21" si="0">SUM(E9+D10)</f>
        <v>120000</v>
      </c>
      <c r="F10" s="23">
        <f t="shared" ref="F10:F21" si="1">F9-D10</f>
        <v>480000</v>
      </c>
    </row>
    <row r="11" spans="1:6" x14ac:dyDescent="0.35">
      <c r="A11" s="31" t="s">
        <v>152</v>
      </c>
      <c r="B11" s="6">
        <v>7972</v>
      </c>
      <c r="C11" s="6" t="s">
        <v>52</v>
      </c>
      <c r="D11" s="8">
        <v>20000</v>
      </c>
      <c r="E11" s="6">
        <f t="shared" si="0"/>
        <v>140000</v>
      </c>
      <c r="F11" s="23">
        <f t="shared" si="1"/>
        <v>460000</v>
      </c>
    </row>
    <row r="12" spans="1:6" x14ac:dyDescent="0.35">
      <c r="A12" s="31" t="s">
        <v>75</v>
      </c>
      <c r="B12" s="6">
        <v>9294</v>
      </c>
      <c r="C12" s="6" t="s">
        <v>52</v>
      </c>
      <c r="D12" s="8">
        <v>20000</v>
      </c>
      <c r="E12" s="6">
        <f t="shared" si="0"/>
        <v>160000</v>
      </c>
      <c r="F12" s="23">
        <f t="shared" si="1"/>
        <v>440000</v>
      </c>
    </row>
    <row r="13" spans="1:6" x14ac:dyDescent="0.35">
      <c r="A13" s="31" t="s">
        <v>153</v>
      </c>
      <c r="B13" s="6">
        <v>10404</v>
      </c>
      <c r="C13" s="6" t="s">
        <v>52</v>
      </c>
      <c r="D13" s="8">
        <v>20000</v>
      </c>
      <c r="E13" s="6">
        <f t="shared" si="0"/>
        <v>180000</v>
      </c>
      <c r="F13" s="23">
        <f t="shared" si="1"/>
        <v>420000</v>
      </c>
    </row>
    <row r="14" spans="1:6" x14ac:dyDescent="0.35">
      <c r="A14" s="31" t="s">
        <v>154</v>
      </c>
      <c r="B14" s="6">
        <v>11505</v>
      </c>
      <c r="C14" s="6" t="s">
        <v>52</v>
      </c>
      <c r="D14" s="8">
        <v>20000</v>
      </c>
      <c r="E14" s="6">
        <f t="shared" si="0"/>
        <v>200000</v>
      </c>
      <c r="F14" s="23">
        <f t="shared" si="1"/>
        <v>400000</v>
      </c>
    </row>
    <row r="15" spans="1:6" x14ac:dyDescent="0.35">
      <c r="A15" s="22">
        <v>45718</v>
      </c>
      <c r="B15" s="6">
        <v>9202</v>
      </c>
      <c r="C15" s="6" t="s">
        <v>52</v>
      </c>
      <c r="D15" s="8">
        <v>20000</v>
      </c>
      <c r="E15" s="6">
        <f t="shared" si="0"/>
        <v>220000</v>
      </c>
      <c r="F15" s="23">
        <f t="shared" si="1"/>
        <v>380000</v>
      </c>
    </row>
    <row r="16" spans="1:6" x14ac:dyDescent="0.35">
      <c r="A16" s="22">
        <v>45934</v>
      </c>
      <c r="B16" s="6">
        <v>810</v>
      </c>
      <c r="C16" s="6" t="s">
        <v>52</v>
      </c>
      <c r="D16" s="8">
        <v>20000</v>
      </c>
      <c r="E16" s="6">
        <f t="shared" si="0"/>
        <v>240000</v>
      </c>
      <c r="F16" s="23">
        <f t="shared" si="1"/>
        <v>360000</v>
      </c>
    </row>
    <row r="17" spans="1:6" x14ac:dyDescent="0.35">
      <c r="A17" s="31" t="s">
        <v>155</v>
      </c>
      <c r="B17" s="6">
        <v>11833</v>
      </c>
      <c r="C17" s="6" t="s">
        <v>52</v>
      </c>
      <c r="D17" s="8">
        <v>20000</v>
      </c>
      <c r="E17" s="6">
        <f t="shared" si="0"/>
        <v>260000</v>
      </c>
      <c r="F17" s="23">
        <f t="shared" si="1"/>
        <v>340000</v>
      </c>
    </row>
    <row r="18" spans="1:6" x14ac:dyDescent="0.35">
      <c r="A18" s="31" t="s">
        <v>156</v>
      </c>
      <c r="B18" s="6">
        <v>12553</v>
      </c>
      <c r="C18" s="6" t="s">
        <v>52</v>
      </c>
      <c r="D18" s="8">
        <v>20000</v>
      </c>
      <c r="E18" s="6">
        <f t="shared" si="0"/>
        <v>280000</v>
      </c>
      <c r="F18" s="23">
        <f t="shared" si="1"/>
        <v>320000</v>
      </c>
    </row>
    <row r="19" spans="1:6" x14ac:dyDescent="0.35">
      <c r="A19" s="31" t="s">
        <v>157</v>
      </c>
      <c r="B19" s="6">
        <v>13588</v>
      </c>
      <c r="C19" s="6" t="s">
        <v>52</v>
      </c>
      <c r="D19" s="8">
        <v>20000</v>
      </c>
      <c r="E19" s="6">
        <f t="shared" si="0"/>
        <v>300000</v>
      </c>
      <c r="F19" s="23">
        <f t="shared" si="1"/>
        <v>300000</v>
      </c>
    </row>
    <row r="20" spans="1:6" x14ac:dyDescent="0.35">
      <c r="A20" s="31" t="s">
        <v>158</v>
      </c>
      <c r="B20" s="6">
        <v>13850</v>
      </c>
      <c r="C20" s="6" t="s">
        <v>52</v>
      </c>
      <c r="D20" s="8">
        <v>20000</v>
      </c>
      <c r="E20" s="6">
        <f t="shared" si="0"/>
        <v>320000</v>
      </c>
      <c r="F20" s="23">
        <f t="shared" si="1"/>
        <v>280000</v>
      </c>
    </row>
    <row r="21" spans="1:6" x14ac:dyDescent="0.35">
      <c r="A21" s="71" t="s">
        <v>159</v>
      </c>
      <c r="B21" s="26">
        <v>12707</v>
      </c>
      <c r="C21" s="26" t="s">
        <v>52</v>
      </c>
      <c r="D21" s="27">
        <v>20000</v>
      </c>
      <c r="E21" s="26">
        <f t="shared" si="0"/>
        <v>340000</v>
      </c>
      <c r="F21" s="28">
        <f t="shared" si="1"/>
        <v>260000</v>
      </c>
    </row>
    <row r="22" spans="1:6" x14ac:dyDescent="0.35">
      <c r="A22" s="6" t="s">
        <v>584</v>
      </c>
      <c r="B22" s="6">
        <v>13062</v>
      </c>
      <c r="C22" s="6" t="s">
        <v>52</v>
      </c>
      <c r="D22" s="8">
        <v>20000</v>
      </c>
      <c r="E22" s="8">
        <f>E21+D22</f>
        <v>360000</v>
      </c>
      <c r="F22" s="8">
        <f>F21-D22</f>
        <v>240000</v>
      </c>
    </row>
    <row r="23" spans="1:6" x14ac:dyDescent="0.35">
      <c r="A23" s="6" t="s">
        <v>585</v>
      </c>
      <c r="B23" s="6">
        <v>1328</v>
      </c>
      <c r="C23" s="6" t="s">
        <v>438</v>
      </c>
      <c r="D23" s="8">
        <v>20000</v>
      </c>
      <c r="E23" s="8">
        <f>E22+D23</f>
        <v>380000</v>
      </c>
      <c r="F23" s="8">
        <f>F22-D23</f>
        <v>220000</v>
      </c>
    </row>
    <row r="24" spans="1:6" x14ac:dyDescent="0.35">
      <c r="A24" s="6" t="s">
        <v>625</v>
      </c>
      <c r="B24" s="6">
        <v>1867</v>
      </c>
      <c r="C24" s="6" t="s">
        <v>438</v>
      </c>
      <c r="D24" s="8">
        <v>20000</v>
      </c>
      <c r="E24" s="8">
        <f>E23+D24</f>
        <v>400000</v>
      </c>
      <c r="F24" s="8">
        <f>F23-D24</f>
        <v>200000</v>
      </c>
    </row>
    <row r="25" spans="1:6" x14ac:dyDescent="0.35">
      <c r="A25" s="6" t="s">
        <v>626</v>
      </c>
      <c r="B25" s="6">
        <v>2040</v>
      </c>
      <c r="C25" s="6" t="s">
        <v>438</v>
      </c>
      <c r="D25" s="8">
        <v>10000</v>
      </c>
      <c r="E25" s="8">
        <f>E24+D25</f>
        <v>410000</v>
      </c>
      <c r="F25" s="8">
        <f>F24-D25</f>
        <v>190000</v>
      </c>
    </row>
    <row r="26" spans="1:6" x14ac:dyDescent="0.35">
      <c r="A26" s="6"/>
      <c r="B26" s="6"/>
      <c r="C26" s="6"/>
      <c r="D26" s="6"/>
      <c r="E26" s="6"/>
      <c r="F26" s="6"/>
    </row>
    <row r="27" spans="1:6" x14ac:dyDescent="0.35">
      <c r="A27" s="6"/>
      <c r="B27" s="6"/>
      <c r="C27" s="6"/>
      <c r="D27" s="6"/>
      <c r="E27" s="6"/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/>
      <c r="B29" s="6"/>
      <c r="C29" s="6"/>
      <c r="D29" s="6"/>
      <c r="E29" s="6"/>
      <c r="F29" s="6"/>
    </row>
    <row r="30" spans="1:6" x14ac:dyDescent="0.35">
      <c r="A30" s="6"/>
      <c r="B30" s="6"/>
      <c r="C30" s="6"/>
      <c r="D30" s="6"/>
      <c r="E30" s="6"/>
      <c r="F30" s="6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5" workbookViewId="0">
      <selection activeCell="A39" sqref="A39:F42"/>
    </sheetView>
  </sheetViews>
  <sheetFormatPr defaultRowHeight="14.5" x14ac:dyDescent="0.35"/>
  <cols>
    <col min="1" max="1" width="10.453125" bestFit="1" customWidth="1"/>
    <col min="3" max="3" width="14.26953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219</v>
      </c>
      <c r="B1" s="1"/>
      <c r="C1" s="1"/>
      <c r="D1" s="1"/>
      <c r="E1" s="1"/>
    </row>
    <row r="2" spans="1:6" ht="18.5" x14ac:dyDescent="0.45">
      <c r="A2" s="1" t="s">
        <v>205</v>
      </c>
      <c r="C2" s="1"/>
      <c r="D2" s="1"/>
      <c r="E2" s="1"/>
    </row>
    <row r="3" spans="1:6" ht="18.5" x14ac:dyDescent="0.45">
      <c r="A3" s="1" t="s">
        <v>220</v>
      </c>
      <c r="B3" s="1"/>
      <c r="C3" s="1"/>
      <c r="D3" s="1"/>
      <c r="E3" s="1"/>
    </row>
    <row r="4" spans="1:6" ht="18.5" x14ac:dyDescent="0.45">
      <c r="A4" s="1" t="s">
        <v>355</v>
      </c>
      <c r="B4" s="1"/>
      <c r="C4" s="1"/>
      <c r="D4" s="1"/>
      <c r="E4" s="1"/>
    </row>
    <row r="5" spans="1:6" ht="18.5" x14ac:dyDescent="0.45">
      <c r="A5" s="1" t="s">
        <v>207</v>
      </c>
      <c r="B5" s="1"/>
      <c r="C5" s="1"/>
      <c r="D5" s="1"/>
      <c r="E5" s="1"/>
    </row>
    <row r="6" spans="1:6" ht="18.5" x14ac:dyDescent="0.45">
      <c r="A6" s="1" t="s">
        <v>221</v>
      </c>
      <c r="B6" s="1"/>
      <c r="C6" s="1"/>
      <c r="D6" s="1" t="s">
        <v>117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208</v>
      </c>
      <c r="B8" s="6">
        <v>3778</v>
      </c>
      <c r="C8" s="6" t="s">
        <v>161</v>
      </c>
      <c r="D8" s="8">
        <v>100000</v>
      </c>
      <c r="E8" s="8">
        <v>100000</v>
      </c>
      <c r="F8" s="23">
        <v>500000</v>
      </c>
    </row>
    <row r="9" spans="1:6" x14ac:dyDescent="0.35">
      <c r="A9" s="22">
        <v>45058</v>
      </c>
      <c r="B9" s="6">
        <v>5304</v>
      </c>
      <c r="C9" s="6" t="s">
        <v>52</v>
      </c>
      <c r="D9" s="8">
        <v>14000</v>
      </c>
      <c r="E9" s="8">
        <f>SUM(E8+D9)</f>
        <v>114000</v>
      </c>
      <c r="F9" s="23">
        <f>F8-D9</f>
        <v>486000</v>
      </c>
    </row>
    <row r="10" spans="1:6" x14ac:dyDescent="0.35">
      <c r="A10" s="22">
        <v>45211</v>
      </c>
      <c r="B10" s="6">
        <v>5443</v>
      </c>
      <c r="C10" s="6" t="s">
        <v>52</v>
      </c>
      <c r="D10" s="8">
        <v>7000</v>
      </c>
      <c r="E10" s="8">
        <f t="shared" ref="E10:E36" si="0">SUM(E9+D10)</f>
        <v>121000</v>
      </c>
      <c r="F10" s="23">
        <f t="shared" ref="F10:F36" si="1">F9-D10</f>
        <v>479000</v>
      </c>
    </row>
    <row r="11" spans="1:6" x14ac:dyDescent="0.35">
      <c r="A11" s="31" t="s">
        <v>209</v>
      </c>
      <c r="B11" s="6">
        <v>6392</v>
      </c>
      <c r="C11" s="6" t="s">
        <v>52</v>
      </c>
      <c r="D11" s="8">
        <v>7000</v>
      </c>
      <c r="E11" s="8">
        <f t="shared" si="0"/>
        <v>128000</v>
      </c>
      <c r="F11" s="23">
        <f t="shared" si="1"/>
        <v>472000</v>
      </c>
    </row>
    <row r="12" spans="1:6" x14ac:dyDescent="0.35">
      <c r="A12" s="22">
        <v>45568</v>
      </c>
      <c r="B12" s="6">
        <v>7247</v>
      </c>
      <c r="C12" s="6" t="s">
        <v>52</v>
      </c>
      <c r="D12" s="8">
        <v>7000</v>
      </c>
      <c r="E12" s="8">
        <f t="shared" si="0"/>
        <v>135000</v>
      </c>
      <c r="F12" s="23">
        <f t="shared" si="1"/>
        <v>465000</v>
      </c>
    </row>
    <row r="13" spans="1:6" x14ac:dyDescent="0.35">
      <c r="A13" s="22">
        <v>45295</v>
      </c>
      <c r="B13" s="6">
        <v>7648</v>
      </c>
      <c r="C13" s="6" t="s">
        <v>52</v>
      </c>
      <c r="D13" s="8">
        <v>7000</v>
      </c>
      <c r="E13" s="8">
        <f t="shared" si="0"/>
        <v>142000</v>
      </c>
      <c r="F13" s="23">
        <f t="shared" si="1"/>
        <v>458000</v>
      </c>
    </row>
    <row r="14" spans="1:6" x14ac:dyDescent="0.35">
      <c r="A14" s="31" t="s">
        <v>210</v>
      </c>
      <c r="B14" s="6">
        <v>7861</v>
      </c>
      <c r="C14" s="6" t="s">
        <v>52</v>
      </c>
      <c r="D14" s="8">
        <v>7000</v>
      </c>
      <c r="E14" s="8">
        <f t="shared" si="0"/>
        <v>149000</v>
      </c>
      <c r="F14" s="23">
        <f t="shared" si="1"/>
        <v>451000</v>
      </c>
    </row>
    <row r="15" spans="1:6" x14ac:dyDescent="0.35">
      <c r="A15" s="22">
        <v>45417</v>
      </c>
      <c r="B15" s="6">
        <v>8265</v>
      </c>
      <c r="C15" s="6" t="s">
        <v>52</v>
      </c>
      <c r="D15" s="8">
        <v>7000</v>
      </c>
      <c r="E15" s="8">
        <f t="shared" si="0"/>
        <v>156000</v>
      </c>
      <c r="F15" s="23">
        <f t="shared" si="1"/>
        <v>444000</v>
      </c>
    </row>
    <row r="16" spans="1:6" x14ac:dyDescent="0.35">
      <c r="A16" s="22">
        <v>45602</v>
      </c>
      <c r="B16" s="6">
        <v>9017</v>
      </c>
      <c r="C16" s="6" t="s">
        <v>52</v>
      </c>
      <c r="D16" s="8">
        <v>7000</v>
      </c>
      <c r="E16" s="8">
        <f t="shared" si="0"/>
        <v>163000</v>
      </c>
      <c r="F16" s="23">
        <f t="shared" si="1"/>
        <v>437000</v>
      </c>
    </row>
    <row r="17" spans="1:6" x14ac:dyDescent="0.35">
      <c r="A17" s="31" t="s">
        <v>196</v>
      </c>
      <c r="B17" s="6">
        <v>9619</v>
      </c>
      <c r="C17" s="6" t="s">
        <v>52</v>
      </c>
      <c r="D17" s="8">
        <v>7000</v>
      </c>
      <c r="E17" s="8">
        <f t="shared" si="0"/>
        <v>170000</v>
      </c>
      <c r="F17" s="23">
        <f t="shared" si="1"/>
        <v>430000</v>
      </c>
    </row>
    <row r="18" spans="1:6" x14ac:dyDescent="0.35">
      <c r="A18" s="22">
        <v>45604</v>
      </c>
      <c r="B18" s="6">
        <v>11085</v>
      </c>
      <c r="C18" s="6" t="s">
        <v>52</v>
      </c>
      <c r="D18" s="8">
        <v>7000</v>
      </c>
      <c r="E18" s="8">
        <f t="shared" si="0"/>
        <v>177000</v>
      </c>
      <c r="F18" s="23">
        <f t="shared" si="1"/>
        <v>423000</v>
      </c>
    </row>
    <row r="19" spans="1:6" x14ac:dyDescent="0.35">
      <c r="A19" s="22">
        <v>45453</v>
      </c>
      <c r="B19" s="6">
        <v>11422</v>
      </c>
      <c r="C19" s="6" t="s">
        <v>52</v>
      </c>
      <c r="D19" s="8">
        <v>14000</v>
      </c>
      <c r="E19" s="8">
        <f t="shared" si="0"/>
        <v>191000</v>
      </c>
      <c r="F19" s="23">
        <f t="shared" si="1"/>
        <v>409000</v>
      </c>
    </row>
    <row r="20" spans="1:6" x14ac:dyDescent="0.35">
      <c r="A20" s="22">
        <v>45576</v>
      </c>
      <c r="B20" s="6">
        <v>11973</v>
      </c>
      <c r="C20" s="6" t="s">
        <v>52</v>
      </c>
      <c r="D20" s="8">
        <v>7000</v>
      </c>
      <c r="E20" s="8">
        <f t="shared" si="0"/>
        <v>198000</v>
      </c>
      <c r="F20" s="23">
        <f t="shared" si="1"/>
        <v>402000</v>
      </c>
    </row>
    <row r="21" spans="1:6" x14ac:dyDescent="0.35">
      <c r="A21" s="22">
        <v>45455</v>
      </c>
      <c r="B21" s="6">
        <v>12206</v>
      </c>
      <c r="C21" s="6" t="s">
        <v>52</v>
      </c>
      <c r="D21" s="8">
        <v>7000</v>
      </c>
      <c r="E21" s="8">
        <f t="shared" si="0"/>
        <v>205000</v>
      </c>
      <c r="F21" s="23">
        <f t="shared" si="1"/>
        <v>395000</v>
      </c>
    </row>
    <row r="22" spans="1:6" x14ac:dyDescent="0.35">
      <c r="A22" s="31" t="s">
        <v>213</v>
      </c>
      <c r="B22" s="6">
        <v>9053</v>
      </c>
      <c r="C22" s="6" t="s">
        <v>52</v>
      </c>
      <c r="D22" s="8">
        <v>7000</v>
      </c>
      <c r="E22" s="8">
        <f t="shared" si="0"/>
        <v>212000</v>
      </c>
      <c r="F22" s="23">
        <f t="shared" si="1"/>
        <v>388000</v>
      </c>
    </row>
    <row r="23" spans="1:6" x14ac:dyDescent="0.35">
      <c r="A23" s="22">
        <v>45902</v>
      </c>
      <c r="B23" s="6">
        <v>9290</v>
      </c>
      <c r="C23" s="6" t="s">
        <v>52</v>
      </c>
      <c r="D23" s="8">
        <v>7000</v>
      </c>
      <c r="E23" s="8">
        <f t="shared" si="0"/>
        <v>219000</v>
      </c>
      <c r="F23" s="23">
        <f t="shared" si="1"/>
        <v>381000</v>
      </c>
    </row>
    <row r="24" spans="1:6" x14ac:dyDescent="0.35">
      <c r="A24" s="22">
        <v>44962</v>
      </c>
      <c r="B24" s="6">
        <v>9594</v>
      </c>
      <c r="C24" s="6" t="s">
        <v>52</v>
      </c>
      <c r="D24" s="8">
        <v>7000</v>
      </c>
      <c r="E24" s="8">
        <f t="shared" si="0"/>
        <v>226000</v>
      </c>
      <c r="F24" s="23">
        <f t="shared" si="1"/>
        <v>374000</v>
      </c>
    </row>
    <row r="25" spans="1:6" x14ac:dyDescent="0.35">
      <c r="A25" s="22" t="s">
        <v>214</v>
      </c>
      <c r="B25" s="6">
        <v>10158</v>
      </c>
      <c r="C25" s="6" t="s">
        <v>52</v>
      </c>
      <c r="D25" s="8">
        <v>7000</v>
      </c>
      <c r="E25" s="8">
        <f t="shared" si="0"/>
        <v>233000</v>
      </c>
      <c r="F25" s="23">
        <f t="shared" si="1"/>
        <v>367000</v>
      </c>
    </row>
    <row r="26" spans="1:6" x14ac:dyDescent="0.35">
      <c r="A26" s="22">
        <v>45966</v>
      </c>
      <c r="B26" s="6">
        <v>10951</v>
      </c>
      <c r="C26" s="6" t="s">
        <v>52</v>
      </c>
      <c r="D26" s="8">
        <v>7000</v>
      </c>
      <c r="E26" s="8">
        <f t="shared" si="0"/>
        <v>240000</v>
      </c>
      <c r="F26" s="23">
        <f t="shared" si="1"/>
        <v>360000</v>
      </c>
    </row>
    <row r="27" spans="1:6" x14ac:dyDescent="0.35">
      <c r="A27" s="22">
        <v>45936</v>
      </c>
      <c r="B27" s="6">
        <v>10497</v>
      </c>
      <c r="C27" s="6" t="s">
        <v>52</v>
      </c>
      <c r="D27" s="8">
        <v>7000</v>
      </c>
      <c r="E27" s="8">
        <f t="shared" si="0"/>
        <v>247000</v>
      </c>
      <c r="F27" s="23">
        <f t="shared" si="1"/>
        <v>353000</v>
      </c>
    </row>
    <row r="28" spans="1:6" x14ac:dyDescent="0.35">
      <c r="A28" s="22">
        <v>45784</v>
      </c>
      <c r="B28" s="6">
        <v>12062</v>
      </c>
      <c r="C28" s="6" t="s">
        <v>52</v>
      </c>
      <c r="D28" s="8">
        <v>7000</v>
      </c>
      <c r="E28" s="8">
        <f t="shared" si="0"/>
        <v>254000</v>
      </c>
      <c r="F28" s="23">
        <f t="shared" si="1"/>
        <v>346000</v>
      </c>
    </row>
    <row r="29" spans="1:6" x14ac:dyDescent="0.35">
      <c r="A29" s="31" t="s">
        <v>215</v>
      </c>
      <c r="B29" s="6">
        <v>12926</v>
      </c>
      <c r="C29" s="6" t="s">
        <v>52</v>
      </c>
      <c r="D29" s="8">
        <v>7000</v>
      </c>
      <c r="E29" s="8">
        <f t="shared" si="0"/>
        <v>261000</v>
      </c>
      <c r="F29" s="23">
        <f t="shared" si="1"/>
        <v>339000</v>
      </c>
    </row>
    <row r="30" spans="1:6" x14ac:dyDescent="0.35">
      <c r="A30" s="31" t="s">
        <v>182</v>
      </c>
      <c r="B30" s="6">
        <v>12749</v>
      </c>
      <c r="C30" s="6" t="s">
        <v>52</v>
      </c>
      <c r="D30" s="8">
        <v>7000</v>
      </c>
      <c r="E30" s="8">
        <f t="shared" si="0"/>
        <v>268000</v>
      </c>
      <c r="F30" s="23">
        <f t="shared" si="1"/>
        <v>332000</v>
      </c>
    </row>
    <row r="31" spans="1:6" x14ac:dyDescent="0.35">
      <c r="A31" s="22">
        <v>46001</v>
      </c>
      <c r="B31" s="6">
        <v>13778</v>
      </c>
      <c r="C31" s="6" t="s">
        <v>52</v>
      </c>
      <c r="D31" s="8">
        <v>7000</v>
      </c>
      <c r="E31" s="8">
        <f t="shared" si="0"/>
        <v>275000</v>
      </c>
      <c r="F31" s="23">
        <f t="shared" si="1"/>
        <v>325000</v>
      </c>
    </row>
    <row r="32" spans="1:6" x14ac:dyDescent="0.35">
      <c r="A32" s="31" t="s">
        <v>216</v>
      </c>
      <c r="B32" s="6">
        <v>13084</v>
      </c>
      <c r="C32" s="6" t="s">
        <v>52</v>
      </c>
      <c r="D32" s="8">
        <v>7000</v>
      </c>
      <c r="E32" s="8">
        <f t="shared" si="0"/>
        <v>282000</v>
      </c>
      <c r="F32" s="23">
        <f t="shared" si="1"/>
        <v>318000</v>
      </c>
    </row>
    <row r="33" spans="1:6" x14ac:dyDescent="0.35">
      <c r="A33" s="31" t="s">
        <v>217</v>
      </c>
      <c r="B33" s="6">
        <v>12603</v>
      </c>
      <c r="C33" s="6" t="s">
        <v>52</v>
      </c>
      <c r="D33" s="8">
        <v>7000</v>
      </c>
      <c r="E33" s="8">
        <f t="shared" si="0"/>
        <v>289000</v>
      </c>
      <c r="F33" s="23">
        <f t="shared" si="1"/>
        <v>311000</v>
      </c>
    </row>
    <row r="34" spans="1:6" x14ac:dyDescent="0.35">
      <c r="A34" s="31" t="s">
        <v>222</v>
      </c>
      <c r="B34" s="6">
        <v>12185</v>
      </c>
      <c r="C34" s="6" t="s">
        <v>52</v>
      </c>
      <c r="D34" s="8">
        <v>7000</v>
      </c>
      <c r="E34" s="8">
        <f t="shared" si="0"/>
        <v>296000</v>
      </c>
      <c r="F34" s="23">
        <f t="shared" si="1"/>
        <v>304000</v>
      </c>
    </row>
    <row r="35" spans="1:6" x14ac:dyDescent="0.35">
      <c r="A35" s="31" t="s">
        <v>218</v>
      </c>
      <c r="B35" s="6">
        <v>12479</v>
      </c>
      <c r="C35" s="6" t="s">
        <v>52</v>
      </c>
      <c r="D35" s="8">
        <v>7000</v>
      </c>
      <c r="E35" s="8">
        <f t="shared" si="0"/>
        <v>303000</v>
      </c>
      <c r="F35" s="23">
        <f t="shared" si="1"/>
        <v>297000</v>
      </c>
    </row>
    <row r="36" spans="1:6" x14ac:dyDescent="0.35">
      <c r="A36" s="72" t="s">
        <v>242</v>
      </c>
      <c r="B36" s="17">
        <v>13924</v>
      </c>
      <c r="C36" s="6" t="s">
        <v>52</v>
      </c>
      <c r="D36" s="8">
        <v>7000</v>
      </c>
      <c r="E36" s="8">
        <f t="shared" si="0"/>
        <v>310000</v>
      </c>
      <c r="F36" s="23">
        <f t="shared" si="1"/>
        <v>290000</v>
      </c>
    </row>
    <row r="37" spans="1:6" x14ac:dyDescent="0.35">
      <c r="A37" s="25">
        <v>46146</v>
      </c>
      <c r="B37" s="26">
        <v>13123</v>
      </c>
      <c r="C37" s="6" t="s">
        <v>52</v>
      </c>
      <c r="D37" s="8">
        <v>7000</v>
      </c>
      <c r="E37" s="27">
        <f>SUM(E36+D37)</f>
        <v>317000</v>
      </c>
      <c r="F37" s="28">
        <f>F36-D37</f>
        <v>283000</v>
      </c>
    </row>
    <row r="38" spans="1:6" x14ac:dyDescent="0.35">
      <c r="A38" s="25">
        <v>46300</v>
      </c>
      <c r="B38" s="26">
        <v>13313</v>
      </c>
      <c r="C38" s="26" t="s">
        <v>52</v>
      </c>
      <c r="D38" s="27">
        <v>7000</v>
      </c>
      <c r="E38" s="27">
        <f>SUM(E37+D38)</f>
        <v>324000</v>
      </c>
      <c r="F38" s="28">
        <f>F37-D38</f>
        <v>276000</v>
      </c>
    </row>
    <row r="39" spans="1:6" x14ac:dyDescent="0.35">
      <c r="A39" s="6" t="s">
        <v>514</v>
      </c>
      <c r="B39" s="6">
        <v>13633</v>
      </c>
      <c r="C39" s="6" t="s">
        <v>52</v>
      </c>
      <c r="D39" s="8">
        <v>7000</v>
      </c>
      <c r="E39" s="8">
        <f>E38+D39</f>
        <v>331000</v>
      </c>
      <c r="F39" s="8">
        <f>F38-D39</f>
        <v>269000</v>
      </c>
    </row>
    <row r="40" spans="1:6" x14ac:dyDescent="0.35">
      <c r="A40" s="6" t="s">
        <v>597</v>
      </c>
      <c r="B40" s="6">
        <v>1465</v>
      </c>
      <c r="C40" s="6" t="s">
        <v>438</v>
      </c>
      <c r="D40" s="8">
        <v>7000</v>
      </c>
      <c r="E40" s="8">
        <f>E39+D40</f>
        <v>338000</v>
      </c>
      <c r="F40" s="8">
        <f>F39-D40</f>
        <v>262000</v>
      </c>
    </row>
    <row r="41" spans="1:6" x14ac:dyDescent="0.35">
      <c r="A41" s="6" t="s">
        <v>612</v>
      </c>
      <c r="B41" s="6">
        <v>1772</v>
      </c>
      <c r="C41" s="6" t="s">
        <v>438</v>
      </c>
      <c r="D41" s="8">
        <v>7000</v>
      </c>
      <c r="E41" s="8">
        <f>E40+D41</f>
        <v>345000</v>
      </c>
      <c r="F41" s="8">
        <f>F40-D41</f>
        <v>255000</v>
      </c>
    </row>
    <row r="42" spans="1:6" x14ac:dyDescent="0.35">
      <c r="A42" s="6"/>
      <c r="B42" s="6"/>
      <c r="C42" s="6"/>
      <c r="D42" s="6"/>
      <c r="E42" s="6"/>
      <c r="F42" s="6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9" workbookViewId="0">
      <selection activeCell="J36" sqref="J36"/>
    </sheetView>
  </sheetViews>
  <sheetFormatPr defaultRowHeight="14.5" x14ac:dyDescent="0.35"/>
  <cols>
    <col min="1" max="1" width="10.453125" customWidth="1"/>
    <col min="3" max="3" width="16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204</v>
      </c>
      <c r="B1" s="1"/>
      <c r="C1" s="1"/>
      <c r="D1" s="1"/>
      <c r="E1" s="1"/>
    </row>
    <row r="2" spans="1:6" ht="18.5" x14ac:dyDescent="0.45">
      <c r="A2" s="1" t="s">
        <v>205</v>
      </c>
      <c r="C2" s="1"/>
      <c r="D2" s="1"/>
      <c r="E2" s="1"/>
    </row>
    <row r="3" spans="1:6" ht="18.5" x14ac:dyDescent="0.45">
      <c r="A3" s="1" t="s">
        <v>206</v>
      </c>
      <c r="B3" s="1"/>
      <c r="C3" s="1"/>
      <c r="D3" s="1"/>
      <c r="E3" s="1"/>
    </row>
    <row r="4" spans="1:6" ht="18.5" x14ac:dyDescent="0.45">
      <c r="A4" s="1" t="s">
        <v>368</v>
      </c>
      <c r="B4" s="1"/>
      <c r="C4" s="1"/>
      <c r="D4" s="1"/>
      <c r="E4" s="1"/>
    </row>
    <row r="5" spans="1:6" ht="18.5" x14ac:dyDescent="0.45">
      <c r="A5" s="1" t="s">
        <v>207</v>
      </c>
      <c r="B5" s="1"/>
      <c r="C5" s="1"/>
      <c r="D5" s="1"/>
      <c r="E5" s="1"/>
    </row>
    <row r="6" spans="1:6" ht="18.5" x14ac:dyDescent="0.45">
      <c r="A6" s="1" t="s">
        <v>211</v>
      </c>
      <c r="B6" s="1"/>
      <c r="C6" s="1"/>
      <c r="D6" s="1" t="s">
        <v>117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208</v>
      </c>
      <c r="B8" s="6">
        <v>3775</v>
      </c>
      <c r="C8" s="6" t="s">
        <v>161</v>
      </c>
      <c r="D8" s="8">
        <v>100000</v>
      </c>
      <c r="E8" s="8">
        <v>100000</v>
      </c>
      <c r="F8" s="23">
        <v>500000</v>
      </c>
    </row>
    <row r="9" spans="1:6" x14ac:dyDescent="0.35">
      <c r="A9" s="22">
        <v>45058</v>
      </c>
      <c r="B9" s="6">
        <v>5305</v>
      </c>
      <c r="C9" s="6" t="s">
        <v>52</v>
      </c>
      <c r="D9" s="8">
        <v>7000</v>
      </c>
      <c r="E9" s="8">
        <f>SUM(E8+D9)</f>
        <v>107000</v>
      </c>
      <c r="F9" s="23">
        <f>F8-D9</f>
        <v>493000</v>
      </c>
    </row>
    <row r="10" spans="1:6" x14ac:dyDescent="0.35">
      <c r="A10" s="31" t="s">
        <v>209</v>
      </c>
      <c r="B10" s="6">
        <v>6395</v>
      </c>
      <c r="C10" s="6" t="s">
        <v>52</v>
      </c>
      <c r="D10" s="8">
        <v>14000</v>
      </c>
      <c r="E10" s="8">
        <f t="shared" ref="E10:E34" si="0">SUM(E9+D10)</f>
        <v>121000</v>
      </c>
      <c r="F10" s="23">
        <f t="shared" ref="F10:F34" si="1">F9-D10</f>
        <v>479000</v>
      </c>
    </row>
    <row r="11" spans="1:6" x14ac:dyDescent="0.35">
      <c r="A11" s="22">
        <v>45568</v>
      </c>
      <c r="B11" s="6">
        <v>7248</v>
      </c>
      <c r="C11" s="6" t="s">
        <v>212</v>
      </c>
      <c r="D11" s="8">
        <v>14000</v>
      </c>
      <c r="E11" s="8">
        <f t="shared" si="0"/>
        <v>135000</v>
      </c>
      <c r="F11" s="23">
        <f t="shared" si="1"/>
        <v>465000</v>
      </c>
    </row>
    <row r="12" spans="1:6" x14ac:dyDescent="0.35">
      <c r="A12" s="22">
        <v>45295</v>
      </c>
      <c r="B12" s="6">
        <v>7647</v>
      </c>
      <c r="C12" s="6" t="s">
        <v>52</v>
      </c>
      <c r="D12" s="8">
        <v>7000</v>
      </c>
      <c r="E12" s="8">
        <f t="shared" si="0"/>
        <v>142000</v>
      </c>
      <c r="F12" s="23">
        <f t="shared" si="1"/>
        <v>458000</v>
      </c>
    </row>
    <row r="13" spans="1:6" x14ac:dyDescent="0.35">
      <c r="A13" s="31" t="s">
        <v>210</v>
      </c>
      <c r="B13" s="6">
        <v>7862</v>
      </c>
      <c r="C13" s="6" t="s">
        <v>52</v>
      </c>
      <c r="D13" s="8">
        <v>7000</v>
      </c>
      <c r="E13" s="8">
        <f t="shared" si="0"/>
        <v>149000</v>
      </c>
      <c r="F13" s="23">
        <f t="shared" si="1"/>
        <v>451000</v>
      </c>
    </row>
    <row r="14" spans="1:6" x14ac:dyDescent="0.35">
      <c r="A14" s="31" t="s">
        <v>195</v>
      </c>
      <c r="B14" s="6">
        <v>8263</v>
      </c>
      <c r="C14" s="6" t="s">
        <v>52</v>
      </c>
      <c r="D14" s="8">
        <v>7000</v>
      </c>
      <c r="E14" s="8">
        <f t="shared" si="0"/>
        <v>156000</v>
      </c>
      <c r="F14" s="23">
        <f t="shared" si="1"/>
        <v>444000</v>
      </c>
    </row>
    <row r="15" spans="1:6" x14ac:dyDescent="0.35">
      <c r="A15" s="31" t="s">
        <v>196</v>
      </c>
      <c r="B15" s="6">
        <v>9617</v>
      </c>
      <c r="C15" s="6" t="s">
        <v>52</v>
      </c>
      <c r="D15" s="8">
        <v>14000</v>
      </c>
      <c r="E15" s="8">
        <f t="shared" si="0"/>
        <v>170000</v>
      </c>
      <c r="F15" s="23">
        <f t="shared" si="1"/>
        <v>430000</v>
      </c>
    </row>
    <row r="16" spans="1:6" x14ac:dyDescent="0.35">
      <c r="A16" s="22">
        <v>45604</v>
      </c>
      <c r="B16" s="6">
        <v>11084</v>
      </c>
      <c r="C16" s="6" t="s">
        <v>52</v>
      </c>
      <c r="D16" s="8">
        <v>7000</v>
      </c>
      <c r="E16" s="8">
        <f t="shared" si="0"/>
        <v>177000</v>
      </c>
      <c r="F16" s="23">
        <f t="shared" si="1"/>
        <v>423000</v>
      </c>
    </row>
    <row r="17" spans="1:6" x14ac:dyDescent="0.35">
      <c r="A17" s="22">
        <v>45453</v>
      </c>
      <c r="B17" s="6">
        <v>11421</v>
      </c>
      <c r="C17" s="6" t="s">
        <v>52</v>
      </c>
      <c r="D17" s="8">
        <v>14000</v>
      </c>
      <c r="E17" s="8">
        <f t="shared" si="0"/>
        <v>191000</v>
      </c>
      <c r="F17" s="23">
        <f t="shared" si="1"/>
        <v>409000</v>
      </c>
    </row>
    <row r="18" spans="1:6" x14ac:dyDescent="0.35">
      <c r="A18" s="22">
        <v>45576</v>
      </c>
      <c r="B18" s="6">
        <v>11971</v>
      </c>
      <c r="C18" s="6" t="s">
        <v>52</v>
      </c>
      <c r="D18" s="8">
        <v>7000</v>
      </c>
      <c r="E18" s="8">
        <f t="shared" si="0"/>
        <v>198000</v>
      </c>
      <c r="F18" s="23">
        <f t="shared" si="1"/>
        <v>402000</v>
      </c>
    </row>
    <row r="19" spans="1:6" x14ac:dyDescent="0.35">
      <c r="A19" s="22">
        <v>45455</v>
      </c>
      <c r="B19" s="6">
        <v>12205</v>
      </c>
      <c r="C19" s="6" t="s">
        <v>52</v>
      </c>
      <c r="D19" s="8">
        <v>7000</v>
      </c>
      <c r="E19" s="8">
        <f t="shared" si="0"/>
        <v>205000</v>
      </c>
      <c r="F19" s="23">
        <f t="shared" si="1"/>
        <v>395000</v>
      </c>
    </row>
    <row r="20" spans="1:6" x14ac:dyDescent="0.35">
      <c r="A20" s="31" t="s">
        <v>213</v>
      </c>
      <c r="B20" s="6">
        <v>9052</v>
      </c>
      <c r="C20" s="6" t="s">
        <v>52</v>
      </c>
      <c r="D20" s="8">
        <v>7000</v>
      </c>
      <c r="E20" s="8">
        <f t="shared" si="0"/>
        <v>212000</v>
      </c>
      <c r="F20" s="23">
        <f t="shared" si="1"/>
        <v>388000</v>
      </c>
    </row>
    <row r="21" spans="1:6" x14ac:dyDescent="0.35">
      <c r="A21" s="22">
        <v>45902</v>
      </c>
      <c r="B21" s="6">
        <v>9286</v>
      </c>
      <c r="C21" s="6" t="s">
        <v>52</v>
      </c>
      <c r="D21" s="8">
        <v>7000</v>
      </c>
      <c r="E21" s="8">
        <f t="shared" si="0"/>
        <v>219000</v>
      </c>
      <c r="F21" s="23">
        <f t="shared" si="1"/>
        <v>381000</v>
      </c>
    </row>
    <row r="22" spans="1:6" x14ac:dyDescent="0.35">
      <c r="A22" s="22">
        <v>45691</v>
      </c>
      <c r="B22" s="6">
        <v>9592</v>
      </c>
      <c r="C22" s="6" t="s">
        <v>52</v>
      </c>
      <c r="D22" s="8">
        <v>7000</v>
      </c>
      <c r="E22" s="8">
        <f t="shared" si="0"/>
        <v>226000</v>
      </c>
      <c r="F22" s="23">
        <f t="shared" si="1"/>
        <v>374000</v>
      </c>
    </row>
    <row r="23" spans="1:6" x14ac:dyDescent="0.35">
      <c r="A23" s="31" t="s">
        <v>214</v>
      </c>
      <c r="B23" s="6">
        <v>10159</v>
      </c>
      <c r="C23" s="6" t="s">
        <v>52</v>
      </c>
      <c r="D23" s="8">
        <v>7000</v>
      </c>
      <c r="E23" s="8">
        <f t="shared" si="0"/>
        <v>233000</v>
      </c>
      <c r="F23" s="23">
        <f t="shared" si="1"/>
        <v>367000</v>
      </c>
    </row>
    <row r="24" spans="1:6" x14ac:dyDescent="0.35">
      <c r="A24" s="22">
        <v>45966</v>
      </c>
      <c r="B24" s="6">
        <v>10933</v>
      </c>
      <c r="C24" s="6" t="s">
        <v>52</v>
      </c>
      <c r="D24" s="8">
        <v>7000</v>
      </c>
      <c r="E24" s="8">
        <f t="shared" si="0"/>
        <v>240000</v>
      </c>
      <c r="F24" s="23">
        <f t="shared" si="1"/>
        <v>360000</v>
      </c>
    </row>
    <row r="25" spans="1:6" x14ac:dyDescent="0.35">
      <c r="A25" s="22">
        <v>45936</v>
      </c>
      <c r="B25" s="6">
        <v>10499</v>
      </c>
      <c r="C25" s="6" t="s">
        <v>52</v>
      </c>
      <c r="D25" s="8">
        <v>7000</v>
      </c>
      <c r="E25" s="8">
        <f t="shared" si="0"/>
        <v>247000</v>
      </c>
      <c r="F25" s="23">
        <f t="shared" si="1"/>
        <v>353000</v>
      </c>
    </row>
    <row r="26" spans="1:6" x14ac:dyDescent="0.35">
      <c r="A26" s="22">
        <v>45784</v>
      </c>
      <c r="B26" s="6">
        <v>12063</v>
      </c>
      <c r="C26" s="6" t="s">
        <v>52</v>
      </c>
      <c r="D26" s="8">
        <v>7000</v>
      </c>
      <c r="E26" s="8">
        <f t="shared" si="0"/>
        <v>254000</v>
      </c>
      <c r="F26" s="23">
        <f t="shared" si="1"/>
        <v>346000</v>
      </c>
    </row>
    <row r="27" spans="1:6" x14ac:dyDescent="0.35">
      <c r="A27" s="31" t="s">
        <v>215</v>
      </c>
      <c r="B27" s="6">
        <v>12924</v>
      </c>
      <c r="C27" s="6" t="s">
        <v>52</v>
      </c>
      <c r="D27" s="8">
        <v>7000</v>
      </c>
      <c r="E27" s="8">
        <f t="shared" si="0"/>
        <v>261000</v>
      </c>
      <c r="F27" s="23">
        <f t="shared" si="1"/>
        <v>339000</v>
      </c>
    </row>
    <row r="28" spans="1:6" x14ac:dyDescent="0.35">
      <c r="A28" s="31" t="s">
        <v>182</v>
      </c>
      <c r="B28" s="6">
        <v>12750</v>
      </c>
      <c r="C28" s="6" t="s">
        <v>52</v>
      </c>
      <c r="D28" s="8">
        <v>7000</v>
      </c>
      <c r="E28" s="8">
        <f t="shared" si="0"/>
        <v>268000</v>
      </c>
      <c r="F28" s="23">
        <f t="shared" si="1"/>
        <v>332000</v>
      </c>
    </row>
    <row r="29" spans="1:6" x14ac:dyDescent="0.35">
      <c r="A29" s="22">
        <v>46001</v>
      </c>
      <c r="B29" s="6">
        <v>13780</v>
      </c>
      <c r="C29" s="6" t="s">
        <v>52</v>
      </c>
      <c r="D29" s="8">
        <v>7000</v>
      </c>
      <c r="E29" s="8">
        <f t="shared" si="0"/>
        <v>275000</v>
      </c>
      <c r="F29" s="23">
        <f t="shared" si="1"/>
        <v>325000</v>
      </c>
    </row>
    <row r="30" spans="1:6" x14ac:dyDescent="0.35">
      <c r="A30" s="31" t="s">
        <v>216</v>
      </c>
      <c r="B30" s="6">
        <v>13086</v>
      </c>
      <c r="C30" s="6" t="s">
        <v>52</v>
      </c>
      <c r="D30" s="8">
        <v>7000</v>
      </c>
      <c r="E30" s="8">
        <f t="shared" si="0"/>
        <v>282000</v>
      </c>
      <c r="F30" s="23">
        <f t="shared" si="1"/>
        <v>318000</v>
      </c>
    </row>
    <row r="31" spans="1:6" x14ac:dyDescent="0.35">
      <c r="A31" s="31" t="s">
        <v>217</v>
      </c>
      <c r="B31" s="6">
        <v>12602</v>
      </c>
      <c r="C31" s="6" t="s">
        <v>52</v>
      </c>
      <c r="D31" s="8">
        <v>7000</v>
      </c>
      <c r="E31" s="8">
        <f t="shared" si="0"/>
        <v>289000</v>
      </c>
      <c r="F31" s="23">
        <f t="shared" si="1"/>
        <v>311000</v>
      </c>
    </row>
    <row r="32" spans="1:6" x14ac:dyDescent="0.35">
      <c r="A32" s="31" t="s">
        <v>83</v>
      </c>
      <c r="B32" s="6">
        <v>12186</v>
      </c>
      <c r="C32" s="6" t="s">
        <v>52</v>
      </c>
      <c r="D32" s="8">
        <v>7000</v>
      </c>
      <c r="E32" s="8">
        <f t="shared" si="0"/>
        <v>296000</v>
      </c>
      <c r="F32" s="23">
        <f t="shared" si="1"/>
        <v>304000</v>
      </c>
    </row>
    <row r="33" spans="1:6" x14ac:dyDescent="0.35">
      <c r="A33" s="31" t="s">
        <v>218</v>
      </c>
      <c r="B33" s="6">
        <v>12478</v>
      </c>
      <c r="C33" s="6" t="s">
        <v>52</v>
      </c>
      <c r="D33" s="8">
        <v>7000</v>
      </c>
      <c r="E33" s="8">
        <f t="shared" si="0"/>
        <v>303000</v>
      </c>
      <c r="F33" s="23">
        <f t="shared" si="1"/>
        <v>297000</v>
      </c>
    </row>
    <row r="34" spans="1:6" x14ac:dyDescent="0.35">
      <c r="A34" s="72" t="s">
        <v>242</v>
      </c>
      <c r="B34" s="17">
        <v>13925</v>
      </c>
      <c r="C34" s="6" t="s">
        <v>52</v>
      </c>
      <c r="D34" s="8">
        <v>7000</v>
      </c>
      <c r="E34" s="8">
        <f t="shared" si="0"/>
        <v>310000</v>
      </c>
      <c r="F34" s="23">
        <f t="shared" si="1"/>
        <v>290000</v>
      </c>
    </row>
    <row r="35" spans="1:6" x14ac:dyDescent="0.35">
      <c r="A35" s="25">
        <v>46146</v>
      </c>
      <c r="B35" s="26">
        <v>13126</v>
      </c>
      <c r="C35" s="6" t="s">
        <v>52</v>
      </c>
      <c r="D35" s="8">
        <v>7000</v>
      </c>
      <c r="E35" s="27">
        <f>SUM(E34+D35)</f>
        <v>317000</v>
      </c>
      <c r="F35" s="28">
        <f>F34-D35</f>
        <v>283000</v>
      </c>
    </row>
    <row r="36" spans="1:6" x14ac:dyDescent="0.35">
      <c r="A36" s="25">
        <v>46300</v>
      </c>
      <c r="B36" s="26">
        <v>13211</v>
      </c>
      <c r="C36" s="26" t="s">
        <v>52</v>
      </c>
      <c r="D36" s="27">
        <v>7000</v>
      </c>
      <c r="E36" s="27">
        <f>SUM(E35+D36)</f>
        <v>324000</v>
      </c>
      <c r="F36" s="28">
        <f>F35-D36</f>
        <v>276000</v>
      </c>
    </row>
    <row r="37" spans="1:6" x14ac:dyDescent="0.35">
      <c r="A37" s="6" t="s">
        <v>514</v>
      </c>
      <c r="B37" s="6">
        <v>13631</v>
      </c>
      <c r="C37" s="6" t="s">
        <v>438</v>
      </c>
      <c r="D37" s="8">
        <v>7000</v>
      </c>
      <c r="E37" s="8">
        <f>E36+D37</f>
        <v>331000</v>
      </c>
      <c r="F37" s="8">
        <f>F36-D37</f>
        <v>269000</v>
      </c>
    </row>
    <row r="38" spans="1:6" x14ac:dyDescent="0.35">
      <c r="A38" s="6" t="s">
        <v>597</v>
      </c>
      <c r="B38" s="6">
        <v>1467</v>
      </c>
      <c r="C38" s="6" t="s">
        <v>438</v>
      </c>
      <c r="D38" s="8">
        <v>7000</v>
      </c>
      <c r="E38" s="8">
        <f>E37+D38</f>
        <v>338000</v>
      </c>
      <c r="F38" s="8">
        <f>F37-D38</f>
        <v>262000</v>
      </c>
    </row>
    <row r="39" spans="1:6" x14ac:dyDescent="0.35">
      <c r="A39" s="6" t="s">
        <v>612</v>
      </c>
      <c r="B39" s="6">
        <v>1773</v>
      </c>
      <c r="C39" s="6" t="s">
        <v>438</v>
      </c>
      <c r="D39" s="8">
        <v>7000</v>
      </c>
      <c r="E39" s="8">
        <f>E38+D39</f>
        <v>345000</v>
      </c>
      <c r="F39" s="8">
        <f>F38-D39</f>
        <v>255000</v>
      </c>
    </row>
    <row r="40" spans="1:6" x14ac:dyDescent="0.35">
      <c r="A40" s="9"/>
      <c r="B40" s="9"/>
      <c r="C40" s="9"/>
      <c r="D40" s="9"/>
      <c r="E40" s="9"/>
      <c r="F40" s="9"/>
    </row>
    <row r="41" spans="1:6" x14ac:dyDescent="0.35">
      <c r="A41" s="9"/>
      <c r="B41" s="9"/>
      <c r="C41" s="9"/>
      <c r="D41" s="9"/>
      <c r="E41" s="9"/>
      <c r="F41" s="9"/>
    </row>
    <row r="42" spans="1:6" x14ac:dyDescent="0.35">
      <c r="A42" s="9"/>
      <c r="B42" s="9"/>
      <c r="C42" s="9"/>
      <c r="D42" s="9"/>
      <c r="E42" s="9"/>
      <c r="F42" s="9"/>
    </row>
    <row r="43" spans="1:6" x14ac:dyDescent="0.35">
      <c r="A43" s="9"/>
      <c r="B43" s="9"/>
      <c r="C43" s="9"/>
      <c r="D43" s="9"/>
      <c r="E43" s="9"/>
      <c r="F43" s="9"/>
    </row>
    <row r="44" spans="1:6" x14ac:dyDescent="0.35">
      <c r="A44" s="9"/>
      <c r="B44" s="9"/>
      <c r="C44" s="9"/>
      <c r="D44" s="9"/>
      <c r="E44" s="9"/>
      <c r="F44" s="9"/>
    </row>
    <row r="45" spans="1:6" x14ac:dyDescent="0.35">
      <c r="A45" s="9"/>
      <c r="B45" s="9"/>
      <c r="C45" s="9"/>
      <c r="D45" s="9"/>
      <c r="E45" s="9"/>
      <c r="F45" s="9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21" workbookViewId="0">
      <selection activeCell="A28" sqref="A28:F29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5.81640625" bestFit="1" customWidth="1"/>
    <col min="6" max="6" width="13.453125" customWidth="1"/>
  </cols>
  <sheetData>
    <row r="1" spans="1:6" ht="18.5" x14ac:dyDescent="0.45">
      <c r="A1" s="1" t="s">
        <v>68</v>
      </c>
      <c r="B1" s="1"/>
      <c r="C1" s="1"/>
      <c r="D1" s="1"/>
      <c r="E1" s="1"/>
    </row>
    <row r="2" spans="1:6" ht="18.5" x14ac:dyDescent="0.45">
      <c r="A2" s="1" t="s">
        <v>69</v>
      </c>
      <c r="C2" s="1"/>
      <c r="D2" s="1"/>
      <c r="E2" s="1"/>
    </row>
    <row r="3" spans="1:6" ht="18.5" x14ac:dyDescent="0.45">
      <c r="A3" s="1" t="s">
        <v>70</v>
      </c>
      <c r="B3" s="1"/>
      <c r="C3" s="1"/>
      <c r="D3" s="1"/>
      <c r="E3" s="1"/>
    </row>
    <row r="4" spans="1:6" ht="18.5" x14ac:dyDescent="0.45">
      <c r="A4" s="1" t="s">
        <v>342</v>
      </c>
      <c r="B4" s="1"/>
      <c r="C4" s="1"/>
      <c r="D4" s="1"/>
      <c r="E4" s="1"/>
    </row>
    <row r="5" spans="1:6" ht="18.5" x14ac:dyDescent="0.45">
      <c r="A5" s="1" t="s">
        <v>71</v>
      </c>
      <c r="B5" s="1"/>
      <c r="C5" s="1"/>
      <c r="D5" s="1"/>
      <c r="E5" s="1"/>
    </row>
    <row r="6" spans="1:6" ht="18.5" x14ac:dyDescent="0.45">
      <c r="A6" s="1" t="s">
        <v>72</v>
      </c>
      <c r="B6" s="1"/>
      <c r="C6" s="1"/>
      <c r="D6" s="1" t="s">
        <v>62</v>
      </c>
      <c r="E6" s="1"/>
    </row>
    <row r="7" spans="1:6" x14ac:dyDescent="0.35">
      <c r="A7" s="2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7">
        <v>45478</v>
      </c>
      <c r="B8" s="6">
        <v>8308</v>
      </c>
      <c r="C8" s="6" t="s">
        <v>67</v>
      </c>
      <c r="D8" s="8">
        <v>140000</v>
      </c>
      <c r="E8" s="8">
        <v>140000</v>
      </c>
      <c r="F8" s="23">
        <v>560000</v>
      </c>
    </row>
    <row r="9" spans="1:6" x14ac:dyDescent="0.35">
      <c r="A9" s="12" t="s">
        <v>73</v>
      </c>
      <c r="B9" s="6">
        <v>180</v>
      </c>
      <c r="C9" s="6" t="s">
        <v>43</v>
      </c>
      <c r="D9" s="8">
        <v>10000</v>
      </c>
      <c r="E9" s="8">
        <f>SUM(E8+D9)</f>
        <v>150000</v>
      </c>
      <c r="F9" s="23">
        <f>F8-D9</f>
        <v>550000</v>
      </c>
    </row>
    <row r="10" spans="1:6" x14ac:dyDescent="0.35">
      <c r="A10" s="6" t="s">
        <v>74</v>
      </c>
      <c r="B10" s="6">
        <v>8665</v>
      </c>
      <c r="C10" s="6" t="s">
        <v>76</v>
      </c>
      <c r="D10" s="8">
        <v>50000</v>
      </c>
      <c r="E10" s="8">
        <f t="shared" ref="E10:E25" si="0">SUM(E9+D10)</f>
        <v>200000</v>
      </c>
      <c r="F10" s="23">
        <f t="shared" ref="F10:F25" si="1">F9-D10</f>
        <v>500000</v>
      </c>
    </row>
    <row r="11" spans="1:6" x14ac:dyDescent="0.35">
      <c r="A11" s="6" t="s">
        <v>75</v>
      </c>
      <c r="B11" s="6">
        <v>9295</v>
      </c>
      <c r="C11" s="6" t="s">
        <v>52</v>
      </c>
      <c r="D11" s="8">
        <v>10000</v>
      </c>
      <c r="E11" s="8">
        <f t="shared" si="0"/>
        <v>210000</v>
      </c>
      <c r="F11" s="23">
        <f t="shared" si="1"/>
        <v>490000</v>
      </c>
    </row>
    <row r="12" spans="1:6" x14ac:dyDescent="0.35">
      <c r="A12" s="6" t="s">
        <v>75</v>
      </c>
      <c r="B12" s="6">
        <v>10596</v>
      </c>
      <c r="C12" s="6" t="s">
        <v>52</v>
      </c>
      <c r="D12" s="8">
        <v>30000</v>
      </c>
      <c r="E12" s="8">
        <f t="shared" si="0"/>
        <v>240000</v>
      </c>
      <c r="F12" s="23">
        <f t="shared" si="1"/>
        <v>460000</v>
      </c>
    </row>
    <row r="13" spans="1:6" x14ac:dyDescent="0.35">
      <c r="A13" s="7">
        <v>45513</v>
      </c>
      <c r="B13" s="6">
        <v>10324</v>
      </c>
      <c r="C13" s="6" t="s">
        <v>52</v>
      </c>
      <c r="D13" s="8">
        <v>10000</v>
      </c>
      <c r="E13" s="8">
        <f t="shared" si="0"/>
        <v>250000</v>
      </c>
      <c r="F13" s="23">
        <f t="shared" si="1"/>
        <v>450000</v>
      </c>
    </row>
    <row r="14" spans="1:6" x14ac:dyDescent="0.35">
      <c r="A14" s="6" t="s">
        <v>77</v>
      </c>
      <c r="B14" s="6">
        <v>12284</v>
      </c>
      <c r="C14" s="6" t="s">
        <v>52</v>
      </c>
      <c r="D14" s="8">
        <v>20000</v>
      </c>
      <c r="E14" s="8">
        <f t="shared" si="0"/>
        <v>270000</v>
      </c>
      <c r="F14" s="23">
        <f t="shared" si="1"/>
        <v>430000</v>
      </c>
    </row>
    <row r="15" spans="1:6" x14ac:dyDescent="0.35">
      <c r="A15" s="7">
        <v>45992</v>
      </c>
      <c r="B15" s="6">
        <v>12020</v>
      </c>
      <c r="C15" s="6" t="s">
        <v>52</v>
      </c>
      <c r="D15" s="8">
        <v>10000</v>
      </c>
      <c r="E15" s="8">
        <f t="shared" si="0"/>
        <v>280000</v>
      </c>
      <c r="F15" s="23">
        <f t="shared" si="1"/>
        <v>420000</v>
      </c>
    </row>
    <row r="16" spans="1:6" x14ac:dyDescent="0.35">
      <c r="A16" s="6" t="s">
        <v>78</v>
      </c>
      <c r="B16" s="6">
        <v>9382</v>
      </c>
      <c r="C16" s="6" t="s">
        <v>52</v>
      </c>
      <c r="D16" s="8">
        <v>10000</v>
      </c>
      <c r="E16" s="8">
        <f t="shared" si="0"/>
        <v>290000</v>
      </c>
      <c r="F16" s="23">
        <f t="shared" si="1"/>
        <v>410000</v>
      </c>
    </row>
    <row r="17" spans="1:6" x14ac:dyDescent="0.35">
      <c r="A17" s="7" t="s">
        <v>79</v>
      </c>
      <c r="B17" s="6">
        <v>9793</v>
      </c>
      <c r="C17" s="6" t="s">
        <v>52</v>
      </c>
      <c r="D17" s="8">
        <v>10000</v>
      </c>
      <c r="E17" s="8">
        <f t="shared" si="0"/>
        <v>300000</v>
      </c>
      <c r="F17" s="23">
        <f t="shared" si="1"/>
        <v>400000</v>
      </c>
    </row>
    <row r="18" spans="1:6" x14ac:dyDescent="0.35">
      <c r="A18" s="6" t="s">
        <v>80</v>
      </c>
      <c r="B18" s="6">
        <v>10211</v>
      </c>
      <c r="C18" s="6" t="s">
        <v>52</v>
      </c>
      <c r="D18" s="8">
        <v>10000</v>
      </c>
      <c r="E18" s="8">
        <f t="shared" si="0"/>
        <v>310000</v>
      </c>
      <c r="F18" s="23">
        <f t="shared" si="1"/>
        <v>390000</v>
      </c>
    </row>
    <row r="19" spans="1:6" x14ac:dyDescent="0.35">
      <c r="A19" s="7">
        <v>45936</v>
      </c>
      <c r="B19" s="6">
        <v>10492</v>
      </c>
      <c r="C19" s="6" t="s">
        <v>52</v>
      </c>
      <c r="D19" s="8">
        <v>20000</v>
      </c>
      <c r="E19" s="8">
        <f t="shared" si="0"/>
        <v>330000</v>
      </c>
      <c r="F19" s="23">
        <f t="shared" si="1"/>
        <v>370000</v>
      </c>
    </row>
    <row r="20" spans="1:6" x14ac:dyDescent="0.35">
      <c r="A20" s="7">
        <v>45877</v>
      </c>
      <c r="B20" s="6">
        <v>12440</v>
      </c>
      <c r="C20" s="6" t="s">
        <v>52</v>
      </c>
      <c r="D20" s="8">
        <v>20000</v>
      </c>
      <c r="E20" s="8">
        <f t="shared" si="0"/>
        <v>350000</v>
      </c>
      <c r="F20" s="23">
        <f t="shared" si="1"/>
        <v>350000</v>
      </c>
    </row>
    <row r="21" spans="1:6" x14ac:dyDescent="0.35">
      <c r="A21" s="7" t="s">
        <v>81</v>
      </c>
      <c r="B21" s="6">
        <v>13634</v>
      </c>
      <c r="C21" s="6" t="s">
        <v>52</v>
      </c>
      <c r="D21" s="8">
        <v>10000</v>
      </c>
      <c r="E21" s="8">
        <f t="shared" si="0"/>
        <v>360000</v>
      </c>
      <c r="F21" s="23">
        <f t="shared" si="1"/>
        <v>340000</v>
      </c>
    </row>
    <row r="22" spans="1:6" x14ac:dyDescent="0.35">
      <c r="A22" s="7" t="s">
        <v>82</v>
      </c>
      <c r="B22" s="6">
        <v>13242</v>
      </c>
      <c r="C22" s="6" t="s">
        <v>52</v>
      </c>
      <c r="D22" s="8">
        <v>10000</v>
      </c>
      <c r="E22" s="8">
        <f t="shared" si="0"/>
        <v>370000</v>
      </c>
      <c r="F22" s="23">
        <f t="shared" si="1"/>
        <v>330000</v>
      </c>
    </row>
    <row r="23" spans="1:6" x14ac:dyDescent="0.35">
      <c r="A23" s="7" t="s">
        <v>83</v>
      </c>
      <c r="B23" s="6">
        <v>12189</v>
      </c>
      <c r="C23" s="6" t="s">
        <v>52</v>
      </c>
      <c r="D23" s="8">
        <v>10000</v>
      </c>
      <c r="E23" s="8">
        <f t="shared" si="0"/>
        <v>380000</v>
      </c>
      <c r="F23" s="23">
        <f t="shared" si="1"/>
        <v>320000</v>
      </c>
    </row>
    <row r="24" spans="1:6" x14ac:dyDescent="0.35">
      <c r="A24" s="7">
        <v>46205</v>
      </c>
      <c r="B24" s="6">
        <v>12372</v>
      </c>
      <c r="C24" s="6" t="s">
        <v>52</v>
      </c>
      <c r="D24" s="8">
        <v>10000</v>
      </c>
      <c r="E24" s="8">
        <f t="shared" si="0"/>
        <v>390000</v>
      </c>
      <c r="F24" s="23">
        <f t="shared" si="1"/>
        <v>310000</v>
      </c>
    </row>
    <row r="25" spans="1:6" x14ac:dyDescent="0.35">
      <c r="A25" s="13" t="s">
        <v>258</v>
      </c>
      <c r="B25" s="17">
        <v>1395</v>
      </c>
      <c r="C25" s="17" t="s">
        <v>52</v>
      </c>
      <c r="D25" s="8">
        <v>10000</v>
      </c>
      <c r="E25" s="8">
        <f t="shared" si="0"/>
        <v>400000</v>
      </c>
      <c r="F25" s="23">
        <f t="shared" si="1"/>
        <v>300000</v>
      </c>
    </row>
    <row r="26" spans="1:6" x14ac:dyDescent="0.35">
      <c r="A26" s="75" t="s">
        <v>343</v>
      </c>
      <c r="B26" s="26">
        <v>13013</v>
      </c>
      <c r="C26" s="17" t="s">
        <v>52</v>
      </c>
      <c r="D26" s="8">
        <v>10000</v>
      </c>
      <c r="E26" s="27">
        <f>SUM(E25+D26)</f>
        <v>410000</v>
      </c>
      <c r="F26" s="28">
        <f>F25-D26</f>
        <v>290000</v>
      </c>
    </row>
    <row r="27" spans="1:6" x14ac:dyDescent="0.35">
      <c r="A27" t="s">
        <v>441</v>
      </c>
      <c r="B27">
        <v>13444</v>
      </c>
      <c r="C27" s="17" t="s">
        <v>52</v>
      </c>
      <c r="D27" s="27">
        <v>10000</v>
      </c>
      <c r="E27" s="27">
        <f>SUM(E26+D27)</f>
        <v>420000</v>
      </c>
      <c r="F27" s="28">
        <f>F26-D27</f>
        <v>280000</v>
      </c>
    </row>
    <row r="28" spans="1:6" x14ac:dyDescent="0.35">
      <c r="A28" s="6" t="s">
        <v>609</v>
      </c>
      <c r="B28" s="6">
        <v>1338</v>
      </c>
      <c r="C28" s="6" t="s">
        <v>52</v>
      </c>
      <c r="D28" s="8">
        <v>10000</v>
      </c>
      <c r="E28" s="8">
        <f>E27+D28</f>
        <v>430000</v>
      </c>
      <c r="F28" s="8">
        <f>F27-D28</f>
        <v>270000</v>
      </c>
    </row>
    <row r="29" spans="1:6" x14ac:dyDescent="0.35">
      <c r="A29" s="7">
        <v>46273</v>
      </c>
      <c r="B29" s="6">
        <v>1691</v>
      </c>
      <c r="C29" s="6" t="s">
        <v>52</v>
      </c>
      <c r="D29" s="8">
        <v>20000</v>
      </c>
      <c r="E29" s="8">
        <f>E28+D29</f>
        <v>450000</v>
      </c>
      <c r="F29" s="8">
        <f>F28-D29</f>
        <v>250000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9" workbookViewId="0">
      <selection activeCell="F41" sqref="F41"/>
    </sheetView>
  </sheetViews>
  <sheetFormatPr defaultRowHeight="14.5" x14ac:dyDescent="0.35"/>
  <cols>
    <col min="1" max="1" width="11.6328125" customWidth="1"/>
    <col min="3" max="3" width="12.7265625" customWidth="1"/>
    <col min="6" max="6" width="10.7265625" customWidth="1"/>
  </cols>
  <sheetData>
    <row r="1" spans="1:6" ht="18.5" x14ac:dyDescent="0.45">
      <c r="A1" s="1" t="s">
        <v>410</v>
      </c>
      <c r="B1" s="1"/>
      <c r="C1" s="1"/>
      <c r="D1" s="1"/>
      <c r="E1" s="1"/>
    </row>
    <row r="2" spans="1:6" ht="18.5" x14ac:dyDescent="0.45">
      <c r="A2" s="1" t="s">
        <v>411</v>
      </c>
      <c r="C2" s="1"/>
      <c r="D2" s="1"/>
      <c r="E2" s="1"/>
    </row>
    <row r="3" spans="1:6" ht="18.5" x14ac:dyDescent="0.45">
      <c r="A3" s="1" t="s">
        <v>412</v>
      </c>
      <c r="B3" s="1"/>
      <c r="C3" s="1"/>
      <c r="D3" s="1"/>
      <c r="E3" s="1"/>
    </row>
    <row r="4" spans="1:6" ht="18.5" x14ac:dyDescent="0.45">
      <c r="A4" s="1" t="s">
        <v>415</v>
      </c>
      <c r="B4" s="1"/>
      <c r="C4" s="1"/>
      <c r="D4" s="1"/>
      <c r="E4" s="1"/>
    </row>
    <row r="5" spans="1:6" ht="18.5" x14ac:dyDescent="0.45">
      <c r="A5" s="1" t="s">
        <v>413</v>
      </c>
      <c r="B5" s="1"/>
      <c r="C5" s="1"/>
      <c r="D5" s="1"/>
      <c r="E5" s="1"/>
    </row>
    <row r="6" spans="1:6" ht="18.5" x14ac:dyDescent="0.45">
      <c r="A6" s="1" t="s">
        <v>414</v>
      </c>
      <c r="B6" s="1"/>
      <c r="C6" s="1"/>
      <c r="D6" s="1" t="s">
        <v>117</v>
      </c>
      <c r="E6" s="1"/>
    </row>
    <row r="7" spans="1:6" ht="18.5" x14ac:dyDescent="0.45">
      <c r="A7" s="87" t="s">
        <v>6</v>
      </c>
      <c r="B7" s="87" t="s">
        <v>7</v>
      </c>
      <c r="C7" s="87" t="s">
        <v>8</v>
      </c>
      <c r="D7" s="88" t="s">
        <v>9</v>
      </c>
      <c r="E7" s="88" t="s">
        <v>10</v>
      </c>
      <c r="F7" s="89" t="s">
        <v>11</v>
      </c>
    </row>
    <row r="8" spans="1:6" x14ac:dyDescent="0.35">
      <c r="A8" s="4" t="s">
        <v>416</v>
      </c>
      <c r="B8" s="4">
        <v>2138</v>
      </c>
      <c r="C8" s="4" t="s">
        <v>67</v>
      </c>
      <c r="D8" s="5">
        <v>110000</v>
      </c>
      <c r="E8" s="5">
        <v>110000</v>
      </c>
      <c r="F8" s="5">
        <v>490000</v>
      </c>
    </row>
    <row r="9" spans="1:6" x14ac:dyDescent="0.35">
      <c r="A9" s="90">
        <v>45233</v>
      </c>
      <c r="B9" s="4">
        <v>2139</v>
      </c>
      <c r="C9" s="4" t="s">
        <v>14</v>
      </c>
      <c r="D9" s="5">
        <v>10000</v>
      </c>
      <c r="E9" s="5">
        <f>E8+D9</f>
        <v>120000</v>
      </c>
      <c r="F9" s="5">
        <f>F8-D9</f>
        <v>480000</v>
      </c>
    </row>
    <row r="10" spans="1:6" x14ac:dyDescent="0.35">
      <c r="A10" s="4" t="s">
        <v>417</v>
      </c>
      <c r="B10" s="4">
        <v>8</v>
      </c>
      <c r="C10" s="4" t="s">
        <v>43</v>
      </c>
      <c r="D10" s="5">
        <v>10000</v>
      </c>
      <c r="E10" s="5">
        <f t="shared" ref="E10:E37" si="0">E9+D10</f>
        <v>130000</v>
      </c>
      <c r="F10" s="5">
        <f t="shared" ref="F10:F37" si="1">F9-D10</f>
        <v>470000</v>
      </c>
    </row>
    <row r="11" spans="1:6" x14ac:dyDescent="0.35">
      <c r="A11" s="90">
        <v>45143</v>
      </c>
      <c r="B11" s="4">
        <v>728</v>
      </c>
      <c r="C11" s="4" t="s">
        <v>14</v>
      </c>
      <c r="D11" s="5">
        <v>10000</v>
      </c>
      <c r="E11" s="5">
        <f t="shared" si="0"/>
        <v>140000</v>
      </c>
      <c r="F11" s="5">
        <f t="shared" si="1"/>
        <v>460000</v>
      </c>
    </row>
    <row r="12" spans="1:6" x14ac:dyDescent="0.35">
      <c r="A12" s="90">
        <v>45143</v>
      </c>
      <c r="B12" s="4">
        <v>729</v>
      </c>
      <c r="C12" s="4" t="s">
        <v>14</v>
      </c>
      <c r="D12" s="5">
        <v>10000</v>
      </c>
      <c r="E12" s="5">
        <f t="shared" si="0"/>
        <v>150000</v>
      </c>
      <c r="F12" s="5">
        <f t="shared" si="1"/>
        <v>450000</v>
      </c>
    </row>
    <row r="13" spans="1:6" x14ac:dyDescent="0.35">
      <c r="A13" s="4" t="s">
        <v>418</v>
      </c>
      <c r="B13" s="4">
        <v>2067</v>
      </c>
      <c r="C13" s="4" t="s">
        <v>14</v>
      </c>
      <c r="D13" s="5">
        <v>10000</v>
      </c>
      <c r="E13" s="5">
        <f t="shared" si="0"/>
        <v>160000</v>
      </c>
      <c r="F13" s="5">
        <f t="shared" si="1"/>
        <v>440000</v>
      </c>
    </row>
    <row r="14" spans="1:6" x14ac:dyDescent="0.35">
      <c r="A14" s="90" t="s">
        <v>419</v>
      </c>
      <c r="B14" s="4">
        <v>2905</v>
      </c>
      <c r="C14" s="4" t="s">
        <v>14</v>
      </c>
      <c r="D14" s="5">
        <v>10000</v>
      </c>
      <c r="E14" s="5">
        <f t="shared" si="0"/>
        <v>170000</v>
      </c>
      <c r="F14" s="5">
        <f t="shared" si="1"/>
        <v>430000</v>
      </c>
    </row>
    <row r="15" spans="1:6" x14ac:dyDescent="0.35">
      <c r="A15" s="4" t="s">
        <v>420</v>
      </c>
      <c r="B15" s="4">
        <v>2487</v>
      </c>
      <c r="C15" s="4" t="s">
        <v>14</v>
      </c>
      <c r="D15" s="5">
        <v>10000</v>
      </c>
      <c r="E15" s="5">
        <f t="shared" si="0"/>
        <v>180000</v>
      </c>
      <c r="F15" s="5">
        <f t="shared" si="1"/>
        <v>420000</v>
      </c>
    </row>
    <row r="16" spans="1:6" x14ac:dyDescent="0.35">
      <c r="A16" s="90" t="s">
        <v>421</v>
      </c>
      <c r="B16" s="4">
        <v>3748</v>
      </c>
      <c r="C16" s="4" t="s">
        <v>14</v>
      </c>
      <c r="D16" s="5">
        <v>10000</v>
      </c>
      <c r="E16" s="5">
        <f t="shared" si="0"/>
        <v>190000</v>
      </c>
      <c r="F16" s="5">
        <f t="shared" si="1"/>
        <v>410000</v>
      </c>
    </row>
    <row r="17" spans="1:6" x14ac:dyDescent="0.35">
      <c r="A17" s="4" t="s">
        <v>422</v>
      </c>
      <c r="B17" s="4">
        <v>4908</v>
      </c>
      <c r="C17" s="4" t="s">
        <v>14</v>
      </c>
      <c r="D17" s="5">
        <v>10000</v>
      </c>
      <c r="E17" s="5">
        <f t="shared" si="0"/>
        <v>200000</v>
      </c>
      <c r="F17" s="5">
        <f t="shared" si="1"/>
        <v>400000</v>
      </c>
    </row>
    <row r="18" spans="1:6" x14ac:dyDescent="0.35">
      <c r="A18" s="90" t="s">
        <v>423</v>
      </c>
      <c r="B18" s="4">
        <v>5545</v>
      </c>
      <c r="C18" s="4" t="s">
        <v>14</v>
      </c>
      <c r="D18" s="5">
        <v>20000</v>
      </c>
      <c r="E18" s="5">
        <f t="shared" si="0"/>
        <v>220000</v>
      </c>
      <c r="F18" s="5">
        <f t="shared" si="1"/>
        <v>380000</v>
      </c>
    </row>
    <row r="19" spans="1:6" x14ac:dyDescent="0.35">
      <c r="A19" s="90">
        <v>45536</v>
      </c>
      <c r="B19" s="4">
        <v>6048</v>
      </c>
      <c r="C19" s="4" t="s">
        <v>14</v>
      </c>
      <c r="D19" s="5">
        <v>10000</v>
      </c>
      <c r="E19" s="5">
        <f t="shared" si="0"/>
        <v>230000</v>
      </c>
      <c r="F19" s="5">
        <f t="shared" si="1"/>
        <v>370000</v>
      </c>
    </row>
    <row r="20" spans="1:6" x14ac:dyDescent="0.35">
      <c r="A20" s="90" t="s">
        <v>424</v>
      </c>
      <c r="B20" s="4">
        <v>7187</v>
      </c>
      <c r="C20" s="4" t="s">
        <v>14</v>
      </c>
      <c r="D20" s="5">
        <v>10000</v>
      </c>
      <c r="E20" s="5">
        <f t="shared" si="0"/>
        <v>240000</v>
      </c>
      <c r="F20" s="5">
        <f t="shared" si="1"/>
        <v>360000</v>
      </c>
    </row>
    <row r="21" spans="1:6" x14ac:dyDescent="0.35">
      <c r="A21" s="90">
        <v>45415</v>
      </c>
      <c r="B21" s="4">
        <v>6868</v>
      </c>
      <c r="C21" s="4" t="s">
        <v>14</v>
      </c>
      <c r="D21" s="5">
        <v>10000</v>
      </c>
      <c r="E21" s="5">
        <f t="shared" si="0"/>
        <v>250000</v>
      </c>
      <c r="F21" s="5">
        <f t="shared" si="1"/>
        <v>350000</v>
      </c>
    </row>
    <row r="22" spans="1:6" x14ac:dyDescent="0.35">
      <c r="A22" s="90" t="s">
        <v>425</v>
      </c>
      <c r="B22" s="4">
        <v>7830</v>
      </c>
      <c r="C22" s="4" t="s">
        <v>14</v>
      </c>
      <c r="D22" s="5">
        <v>10000</v>
      </c>
      <c r="E22" s="5">
        <f t="shared" si="0"/>
        <v>260000</v>
      </c>
      <c r="F22" s="5">
        <f t="shared" si="1"/>
        <v>340000</v>
      </c>
    </row>
    <row r="23" spans="1:6" x14ac:dyDescent="0.35">
      <c r="A23" s="90" t="s">
        <v>426</v>
      </c>
      <c r="B23" s="4">
        <v>8580</v>
      </c>
      <c r="C23" s="4" t="s">
        <v>14</v>
      </c>
      <c r="D23" s="5">
        <v>10000</v>
      </c>
      <c r="E23" s="5">
        <f t="shared" si="0"/>
        <v>270000</v>
      </c>
      <c r="F23" s="5">
        <f t="shared" si="1"/>
        <v>330000</v>
      </c>
    </row>
    <row r="24" spans="1:6" x14ac:dyDescent="0.35">
      <c r="A24" s="90" t="s">
        <v>427</v>
      </c>
      <c r="B24" s="4">
        <v>9147</v>
      </c>
      <c r="C24" s="4" t="s">
        <v>14</v>
      </c>
      <c r="D24" s="5">
        <v>10000</v>
      </c>
      <c r="E24" s="5">
        <f t="shared" si="0"/>
        <v>280000</v>
      </c>
      <c r="F24" s="5">
        <f t="shared" si="1"/>
        <v>320000</v>
      </c>
    </row>
    <row r="25" spans="1:6" x14ac:dyDescent="0.35">
      <c r="A25" s="90" t="s">
        <v>428</v>
      </c>
      <c r="B25" s="4">
        <v>10465</v>
      </c>
      <c r="C25" s="4" t="s">
        <v>14</v>
      </c>
      <c r="D25" s="5">
        <v>20000</v>
      </c>
      <c r="E25" s="5">
        <f t="shared" si="0"/>
        <v>300000</v>
      </c>
      <c r="F25" s="5">
        <f t="shared" si="1"/>
        <v>300000</v>
      </c>
    </row>
    <row r="26" spans="1:6" x14ac:dyDescent="0.35">
      <c r="A26" s="90">
        <v>45778</v>
      </c>
      <c r="B26" s="4">
        <v>12903</v>
      </c>
      <c r="C26" s="4" t="s">
        <v>14</v>
      </c>
      <c r="D26" s="5">
        <v>30000</v>
      </c>
      <c r="E26" s="5">
        <f t="shared" si="0"/>
        <v>330000</v>
      </c>
      <c r="F26" s="5">
        <f t="shared" si="1"/>
        <v>270000</v>
      </c>
    </row>
    <row r="27" spans="1:6" x14ac:dyDescent="0.35">
      <c r="A27" s="90">
        <v>45903</v>
      </c>
      <c r="B27" s="4">
        <v>9663</v>
      </c>
      <c r="C27" s="4" t="s">
        <v>14</v>
      </c>
      <c r="D27" s="5">
        <v>20000</v>
      </c>
      <c r="E27" s="5">
        <f t="shared" si="0"/>
        <v>350000</v>
      </c>
      <c r="F27" s="5">
        <f t="shared" si="1"/>
        <v>250000</v>
      </c>
    </row>
    <row r="28" spans="1:6" x14ac:dyDescent="0.35">
      <c r="A28" s="90" t="s">
        <v>429</v>
      </c>
      <c r="B28" s="4">
        <v>10219</v>
      </c>
      <c r="C28" s="4" t="s">
        <v>14</v>
      </c>
      <c r="D28" s="5">
        <v>20000</v>
      </c>
      <c r="E28" s="5">
        <f t="shared" si="0"/>
        <v>370000</v>
      </c>
      <c r="F28" s="5">
        <f t="shared" si="1"/>
        <v>230000</v>
      </c>
    </row>
    <row r="29" spans="1:6" x14ac:dyDescent="0.35">
      <c r="A29" s="90" t="s">
        <v>335</v>
      </c>
      <c r="B29" s="4">
        <v>10263</v>
      </c>
      <c r="C29" s="4" t="s">
        <v>14</v>
      </c>
      <c r="D29" s="5">
        <v>20000</v>
      </c>
      <c r="E29" s="5">
        <f t="shared" si="0"/>
        <v>390000</v>
      </c>
      <c r="F29" s="5">
        <f t="shared" si="1"/>
        <v>210000</v>
      </c>
    </row>
    <row r="30" spans="1:6" x14ac:dyDescent="0.35">
      <c r="A30" s="90" t="s">
        <v>336</v>
      </c>
      <c r="B30" s="4">
        <v>12501</v>
      </c>
      <c r="C30" s="4" t="s">
        <v>14</v>
      </c>
      <c r="D30" s="5">
        <v>20000</v>
      </c>
      <c r="E30" s="5">
        <f t="shared" si="0"/>
        <v>410000</v>
      </c>
      <c r="F30" s="5">
        <f t="shared" si="1"/>
        <v>190000</v>
      </c>
    </row>
    <row r="31" spans="1:6" x14ac:dyDescent="0.35">
      <c r="A31" s="90">
        <v>45787</v>
      </c>
      <c r="B31" s="4">
        <v>13899</v>
      </c>
      <c r="C31" s="4" t="s">
        <v>14</v>
      </c>
      <c r="D31" s="5">
        <v>20000</v>
      </c>
      <c r="E31" s="5">
        <f t="shared" si="0"/>
        <v>430000</v>
      </c>
      <c r="F31" s="5">
        <f t="shared" si="1"/>
        <v>170000</v>
      </c>
    </row>
    <row r="32" spans="1:6" x14ac:dyDescent="0.35">
      <c r="A32" s="90" t="s">
        <v>430</v>
      </c>
      <c r="B32" s="4">
        <v>13079</v>
      </c>
      <c r="C32" s="4" t="s">
        <v>14</v>
      </c>
      <c r="D32" s="5">
        <v>10000</v>
      </c>
      <c r="E32" s="5">
        <f t="shared" si="0"/>
        <v>440000</v>
      </c>
      <c r="F32" s="5">
        <f t="shared" si="1"/>
        <v>160000</v>
      </c>
    </row>
    <row r="33" spans="1:6" x14ac:dyDescent="0.35">
      <c r="A33" s="90" t="s">
        <v>431</v>
      </c>
      <c r="B33" s="4">
        <v>13839</v>
      </c>
      <c r="C33" s="4" t="s">
        <v>14</v>
      </c>
      <c r="D33" s="5">
        <v>10000</v>
      </c>
      <c r="E33" s="5">
        <f t="shared" si="0"/>
        <v>450000</v>
      </c>
      <c r="F33" s="5">
        <f t="shared" si="1"/>
        <v>150000</v>
      </c>
    </row>
    <row r="34" spans="1:6" x14ac:dyDescent="0.35">
      <c r="A34" s="90" t="s">
        <v>432</v>
      </c>
      <c r="B34" s="4">
        <v>12291</v>
      </c>
      <c r="C34" s="4" t="s">
        <v>14</v>
      </c>
      <c r="D34" s="5">
        <v>10000</v>
      </c>
      <c r="E34" s="5">
        <f t="shared" si="0"/>
        <v>460000</v>
      </c>
      <c r="F34" s="5">
        <f t="shared" si="1"/>
        <v>140000</v>
      </c>
    </row>
    <row r="35" spans="1:6" x14ac:dyDescent="0.35">
      <c r="A35" s="90">
        <v>46025</v>
      </c>
      <c r="B35" s="4">
        <v>12708</v>
      </c>
      <c r="C35" s="4" t="s">
        <v>14</v>
      </c>
      <c r="D35" s="5">
        <v>20000</v>
      </c>
      <c r="E35" s="5">
        <f t="shared" si="0"/>
        <v>480000</v>
      </c>
      <c r="F35" s="5">
        <f t="shared" si="1"/>
        <v>120000</v>
      </c>
    </row>
    <row r="36" spans="1:6" x14ac:dyDescent="0.35">
      <c r="A36" s="90" t="s">
        <v>433</v>
      </c>
      <c r="B36" s="4">
        <v>13047</v>
      </c>
      <c r="C36" s="4" t="s">
        <v>14</v>
      </c>
      <c r="D36" s="5">
        <v>10000</v>
      </c>
      <c r="E36" s="5">
        <f t="shared" si="0"/>
        <v>490000</v>
      </c>
      <c r="F36" s="5">
        <f t="shared" si="1"/>
        <v>110000</v>
      </c>
    </row>
    <row r="37" spans="1:6" x14ac:dyDescent="0.35">
      <c r="A37" s="90" t="s">
        <v>399</v>
      </c>
      <c r="B37" s="4">
        <v>134000</v>
      </c>
      <c r="C37" s="4" t="s">
        <v>14</v>
      </c>
      <c r="D37" s="5">
        <v>10000</v>
      </c>
      <c r="E37" s="5">
        <f t="shared" si="0"/>
        <v>500000</v>
      </c>
      <c r="F37" s="5">
        <f t="shared" si="1"/>
        <v>100000</v>
      </c>
    </row>
    <row r="38" spans="1:6" x14ac:dyDescent="0.35">
      <c r="A38" s="86">
        <v>46149</v>
      </c>
      <c r="B38" s="4">
        <v>1402</v>
      </c>
      <c r="C38" s="4" t="s">
        <v>14</v>
      </c>
      <c r="D38" s="5">
        <v>20000</v>
      </c>
      <c r="E38" s="16">
        <f>E37+D38</f>
        <v>520000</v>
      </c>
      <c r="F38" s="16">
        <f>F37-D38</f>
        <v>80000</v>
      </c>
    </row>
    <row r="39" spans="1:6" x14ac:dyDescent="0.35">
      <c r="A39" s="90" t="s">
        <v>617</v>
      </c>
      <c r="B39" s="4">
        <v>1832</v>
      </c>
      <c r="C39" s="4" t="s">
        <v>14</v>
      </c>
      <c r="D39" s="5">
        <v>10000</v>
      </c>
      <c r="E39" s="16">
        <f>E38+D39</f>
        <v>530000</v>
      </c>
      <c r="F39" s="16">
        <f>F38-D39</f>
        <v>70000</v>
      </c>
    </row>
    <row r="40" spans="1:6" x14ac:dyDescent="0.35">
      <c r="A40" s="105" t="s">
        <v>626</v>
      </c>
      <c r="B40" s="106">
        <v>2042</v>
      </c>
      <c r="C40" s="106" t="s">
        <v>627</v>
      </c>
      <c r="D40" s="18">
        <v>10000</v>
      </c>
      <c r="E40" s="18">
        <f>E39+D40</f>
        <v>540000</v>
      </c>
      <c r="F40" s="18">
        <f>F39-D40</f>
        <v>60000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11" workbookViewId="0">
      <selection activeCell="C18" sqref="C18"/>
    </sheetView>
  </sheetViews>
  <sheetFormatPr defaultRowHeight="14.5" x14ac:dyDescent="0.35"/>
  <cols>
    <col min="1" max="1" width="9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103</v>
      </c>
      <c r="B1" s="1"/>
      <c r="C1" s="1"/>
      <c r="D1" s="1"/>
      <c r="E1" s="1"/>
    </row>
    <row r="2" spans="1:6" ht="18.5" x14ac:dyDescent="0.45">
      <c r="A2" s="1" t="s">
        <v>104</v>
      </c>
      <c r="C2" s="1"/>
      <c r="D2" s="1"/>
      <c r="E2" s="1"/>
    </row>
    <row r="3" spans="1:6" ht="18.5" x14ac:dyDescent="0.45">
      <c r="A3" s="1" t="s">
        <v>105</v>
      </c>
      <c r="B3" s="1"/>
      <c r="C3" s="1"/>
      <c r="D3" s="1"/>
      <c r="E3" s="1"/>
    </row>
    <row r="4" spans="1:6" ht="18.5" x14ac:dyDescent="0.45">
      <c r="A4" s="1" t="s">
        <v>372</v>
      </c>
      <c r="B4" s="1"/>
      <c r="C4" s="1"/>
      <c r="D4" s="1"/>
      <c r="E4" s="1"/>
    </row>
    <row r="5" spans="1:6" ht="18.5" x14ac:dyDescent="0.45">
      <c r="A5" s="1" t="s">
        <v>106</v>
      </c>
      <c r="B5" s="1"/>
      <c r="C5" s="1"/>
      <c r="D5" s="1"/>
      <c r="E5" s="1"/>
    </row>
    <row r="6" spans="1:6" ht="18.5" x14ac:dyDescent="0.45">
      <c r="A6" s="1" t="s">
        <v>107</v>
      </c>
      <c r="B6" s="1"/>
      <c r="C6" s="1"/>
      <c r="D6" s="1" t="s">
        <v>108</v>
      </c>
      <c r="E6" s="1"/>
    </row>
    <row r="7" spans="1:6" x14ac:dyDescent="0.35">
      <c r="A7" s="41" t="s">
        <v>6</v>
      </c>
      <c r="B7" s="42" t="s">
        <v>7</v>
      </c>
      <c r="C7" s="42" t="s">
        <v>8</v>
      </c>
      <c r="D7" s="39" t="s">
        <v>9</v>
      </c>
      <c r="E7" s="39" t="s">
        <v>10</v>
      </c>
      <c r="F7" s="40" t="s">
        <v>11</v>
      </c>
    </row>
    <row r="8" spans="1:6" x14ac:dyDescent="0.35">
      <c r="A8" s="33" t="s">
        <v>109</v>
      </c>
      <c r="B8" s="15">
        <v>13560</v>
      </c>
      <c r="C8" s="15" t="s">
        <v>44</v>
      </c>
      <c r="D8" s="16">
        <v>200000</v>
      </c>
      <c r="E8" s="16">
        <v>200000</v>
      </c>
      <c r="F8" s="35">
        <v>700000</v>
      </c>
    </row>
    <row r="9" spans="1:6" x14ac:dyDescent="0.35">
      <c r="A9" s="34">
        <v>45759</v>
      </c>
      <c r="B9" s="15">
        <v>13278</v>
      </c>
      <c r="C9" s="15" t="s">
        <v>52</v>
      </c>
      <c r="D9" s="16">
        <v>15000</v>
      </c>
      <c r="E9" s="16">
        <v>215000</v>
      </c>
      <c r="F9" s="35">
        <v>685000</v>
      </c>
    </row>
    <row r="10" spans="1:6" x14ac:dyDescent="0.35">
      <c r="A10" s="33" t="s">
        <v>110</v>
      </c>
      <c r="B10" s="15">
        <v>13871</v>
      </c>
      <c r="C10" s="15" t="s">
        <v>52</v>
      </c>
      <c r="D10" s="16">
        <v>50000</v>
      </c>
      <c r="E10" s="16">
        <v>265000</v>
      </c>
      <c r="F10" s="35">
        <v>635000</v>
      </c>
    </row>
    <row r="11" spans="1:6" x14ac:dyDescent="0.35">
      <c r="A11" s="29" t="s">
        <v>111</v>
      </c>
      <c r="B11" s="36">
        <v>12391</v>
      </c>
      <c r="C11" s="36" t="s">
        <v>52</v>
      </c>
      <c r="D11" s="37">
        <v>15000</v>
      </c>
      <c r="E11" s="37">
        <v>280000</v>
      </c>
      <c r="F11" s="38">
        <v>620000</v>
      </c>
    </row>
    <row r="12" spans="1:6" x14ac:dyDescent="0.35">
      <c r="A12" s="74">
        <v>46116</v>
      </c>
      <c r="B12" s="36">
        <v>13117</v>
      </c>
      <c r="C12" s="36" t="s">
        <v>52</v>
      </c>
      <c r="D12" s="37">
        <v>30000</v>
      </c>
      <c r="E12" s="37">
        <f>SUM(E11+Table19[[#This Row],[Amount Rec]])</f>
        <v>310000</v>
      </c>
      <c r="F12" s="38">
        <f>F11-Table19[[#This Row],[Amount Rec]]</f>
        <v>590000</v>
      </c>
    </row>
    <row r="13" spans="1:6" x14ac:dyDescent="0.35">
      <c r="A13" s="74">
        <v>46331</v>
      </c>
      <c r="B13" s="36">
        <v>13332</v>
      </c>
      <c r="C13" s="36" t="s">
        <v>52</v>
      </c>
      <c r="D13" s="37">
        <v>15000</v>
      </c>
      <c r="E13" s="37">
        <f>SUM(E12+Table19[[#This Row],[Amount Rec]])</f>
        <v>325000</v>
      </c>
      <c r="F13" s="38">
        <f>F12-Table19[[#This Row],[Amount Rec]]</f>
        <v>575000</v>
      </c>
    </row>
    <row r="14" spans="1:6" x14ac:dyDescent="0.35">
      <c r="A14" t="s">
        <v>442</v>
      </c>
      <c r="B14">
        <v>13553</v>
      </c>
      <c r="C14" t="s">
        <v>52</v>
      </c>
      <c r="D14" s="18">
        <v>15000</v>
      </c>
      <c r="E14" s="18">
        <f>E13+D14</f>
        <v>340000</v>
      </c>
      <c r="F14" s="18">
        <f>F13-D14</f>
        <v>560000</v>
      </c>
    </row>
    <row r="15" spans="1:6" x14ac:dyDescent="0.35">
      <c r="A15" t="s">
        <v>590</v>
      </c>
      <c r="B15">
        <v>1426</v>
      </c>
      <c r="C15" t="s">
        <v>438</v>
      </c>
      <c r="D15" s="18">
        <v>15000</v>
      </c>
      <c r="E15" s="18">
        <f>E14+D15</f>
        <v>355000</v>
      </c>
      <c r="F15" s="18">
        <f>F14-D15</f>
        <v>545000</v>
      </c>
    </row>
    <row r="16" spans="1:6" x14ac:dyDescent="0.35">
      <c r="A16" s="13">
        <v>46303</v>
      </c>
      <c r="B16">
        <v>1716</v>
      </c>
      <c r="C16" t="s">
        <v>438</v>
      </c>
      <c r="D16" s="18">
        <v>15000</v>
      </c>
      <c r="E16" s="18">
        <v>370000</v>
      </c>
      <c r="F16" s="18">
        <f>F15-D16</f>
        <v>530000</v>
      </c>
    </row>
    <row r="17" spans="1:6" x14ac:dyDescent="0.35">
      <c r="A17" s="13">
        <v>46212</v>
      </c>
      <c r="B17">
        <v>1934</v>
      </c>
      <c r="C17" t="s">
        <v>438</v>
      </c>
      <c r="D17" s="18">
        <v>15000</v>
      </c>
      <c r="E17" s="18">
        <f>E16+D17</f>
        <v>385000</v>
      </c>
      <c r="F17" s="18">
        <f>F16-D17</f>
        <v>515000</v>
      </c>
    </row>
    <row r="18" spans="1:6" x14ac:dyDescent="0.35">
      <c r="A18" s="13">
        <v>46275</v>
      </c>
      <c r="B18">
        <v>2198</v>
      </c>
      <c r="C18" t="s">
        <v>438</v>
      </c>
      <c r="D18" s="18">
        <v>15000</v>
      </c>
      <c r="E18" s="18">
        <f>E17+D18</f>
        <v>400000</v>
      </c>
      <c r="F18" s="18">
        <f>F17-D18</f>
        <v>500000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21" workbookViewId="0">
      <selection activeCell="F30" sqref="F30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112</v>
      </c>
      <c r="B1" s="1"/>
      <c r="C1" s="1"/>
      <c r="D1" s="1"/>
      <c r="E1" s="1"/>
    </row>
    <row r="2" spans="1:6" ht="18.5" x14ac:dyDescent="0.45">
      <c r="A2" s="1" t="s">
        <v>113</v>
      </c>
      <c r="C2" s="1"/>
      <c r="D2" s="1"/>
      <c r="E2" s="1"/>
    </row>
    <row r="3" spans="1:6" ht="18.5" x14ac:dyDescent="0.45">
      <c r="A3" s="1" t="s">
        <v>114</v>
      </c>
      <c r="B3" s="1"/>
      <c r="C3" s="1"/>
      <c r="D3" s="1"/>
      <c r="E3" s="1"/>
    </row>
    <row r="4" spans="1:6" ht="18.5" x14ac:dyDescent="0.45">
      <c r="A4" s="1" t="s">
        <v>592</v>
      </c>
      <c r="B4" s="1" t="s">
        <v>593</v>
      </c>
      <c r="C4" s="1"/>
      <c r="D4" s="1"/>
      <c r="E4" s="1"/>
    </row>
    <row r="5" spans="1:6" ht="18.5" x14ac:dyDescent="0.45">
      <c r="A5" s="1" t="s">
        <v>115</v>
      </c>
      <c r="B5" s="1"/>
      <c r="C5" s="1"/>
      <c r="D5" s="1"/>
      <c r="E5" s="1"/>
    </row>
    <row r="6" spans="1:6" ht="18.5" x14ac:dyDescent="0.45">
      <c r="A6" s="1" t="s">
        <v>116</v>
      </c>
      <c r="B6" s="1"/>
      <c r="C6" s="1"/>
      <c r="D6" s="1" t="s">
        <v>117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118</v>
      </c>
      <c r="B8" s="6">
        <v>4463</v>
      </c>
      <c r="C8" s="6" t="s">
        <v>67</v>
      </c>
      <c r="D8" s="8">
        <v>100000</v>
      </c>
      <c r="E8" s="8">
        <v>100000</v>
      </c>
      <c r="F8" s="23">
        <v>500000</v>
      </c>
    </row>
    <row r="9" spans="1:6" x14ac:dyDescent="0.35">
      <c r="A9" s="31" t="s">
        <v>118</v>
      </c>
      <c r="B9" s="6">
        <v>4467</v>
      </c>
      <c r="C9" s="6" t="s">
        <v>52</v>
      </c>
      <c r="D9" s="6">
        <v>7500</v>
      </c>
      <c r="E9" s="8">
        <f>SUM(E8+D9)</f>
        <v>107500</v>
      </c>
      <c r="F9" s="23">
        <f>F8-D9</f>
        <v>492500</v>
      </c>
    </row>
    <row r="10" spans="1:6" x14ac:dyDescent="0.35">
      <c r="A10" s="22">
        <v>45057</v>
      </c>
      <c r="B10" s="6">
        <v>4662</v>
      </c>
      <c r="C10" s="6" t="s">
        <v>52</v>
      </c>
      <c r="D10" s="6">
        <v>7500</v>
      </c>
      <c r="E10" s="8">
        <f t="shared" ref="E10:E22" si="0">SUM(E9+D10)</f>
        <v>115000</v>
      </c>
      <c r="F10" s="23">
        <f t="shared" ref="F10:F22" si="1">F9-D10</f>
        <v>485000</v>
      </c>
    </row>
    <row r="11" spans="1:6" x14ac:dyDescent="0.35">
      <c r="A11" s="22">
        <v>45150</v>
      </c>
      <c r="B11" s="6">
        <v>5376</v>
      </c>
      <c r="C11" s="6" t="s">
        <v>52</v>
      </c>
      <c r="D11" s="6">
        <v>7500</v>
      </c>
      <c r="E11" s="8">
        <f t="shared" si="0"/>
        <v>122500</v>
      </c>
      <c r="F11" s="23">
        <f t="shared" si="1"/>
        <v>477500</v>
      </c>
    </row>
    <row r="12" spans="1:6" x14ac:dyDescent="0.35">
      <c r="A12" s="22">
        <v>45536</v>
      </c>
      <c r="B12" s="6">
        <v>8051</v>
      </c>
      <c r="C12" s="6" t="s">
        <v>52</v>
      </c>
      <c r="D12" s="6">
        <v>7500</v>
      </c>
      <c r="E12" s="8">
        <f t="shared" si="0"/>
        <v>130000</v>
      </c>
      <c r="F12" s="23">
        <f t="shared" si="1"/>
        <v>470000</v>
      </c>
    </row>
    <row r="13" spans="1:6" x14ac:dyDescent="0.35">
      <c r="A13" s="31" t="s">
        <v>119</v>
      </c>
      <c r="B13" s="6">
        <v>7146</v>
      </c>
      <c r="C13" s="6" t="s">
        <v>52</v>
      </c>
      <c r="D13" s="6">
        <v>7500</v>
      </c>
      <c r="E13" s="8">
        <f t="shared" si="0"/>
        <v>137500</v>
      </c>
      <c r="F13" s="23">
        <f t="shared" si="1"/>
        <v>462500</v>
      </c>
    </row>
    <row r="14" spans="1:6" x14ac:dyDescent="0.35">
      <c r="A14" s="31" t="s">
        <v>120</v>
      </c>
      <c r="B14" s="6">
        <v>7399</v>
      </c>
      <c r="C14" s="6" t="s">
        <v>52</v>
      </c>
      <c r="D14" s="6">
        <v>7500</v>
      </c>
      <c r="E14" s="8">
        <f t="shared" si="0"/>
        <v>145000</v>
      </c>
      <c r="F14" s="23">
        <f t="shared" si="1"/>
        <v>455000</v>
      </c>
    </row>
    <row r="15" spans="1:6" x14ac:dyDescent="0.35">
      <c r="A15" s="31" t="s">
        <v>121</v>
      </c>
      <c r="B15" s="6">
        <v>12468</v>
      </c>
      <c r="C15" s="6" t="s">
        <v>52</v>
      </c>
      <c r="D15" s="8">
        <v>45000</v>
      </c>
      <c r="E15" s="8">
        <f t="shared" si="0"/>
        <v>190000</v>
      </c>
      <c r="F15" s="23">
        <f t="shared" si="1"/>
        <v>410000</v>
      </c>
    </row>
    <row r="16" spans="1:6" x14ac:dyDescent="0.35">
      <c r="A16" s="22">
        <v>45938</v>
      </c>
      <c r="B16" s="6">
        <v>12469</v>
      </c>
      <c r="C16" s="6" t="s">
        <v>52</v>
      </c>
      <c r="D16" s="8">
        <v>50000</v>
      </c>
      <c r="E16" s="8">
        <f t="shared" si="0"/>
        <v>240000</v>
      </c>
      <c r="F16" s="23">
        <f t="shared" si="1"/>
        <v>360000</v>
      </c>
    </row>
    <row r="17" spans="1:6" x14ac:dyDescent="0.35">
      <c r="A17" s="22">
        <v>45970</v>
      </c>
      <c r="B17" s="6">
        <v>12711</v>
      </c>
      <c r="C17" s="6" t="s">
        <v>52</v>
      </c>
      <c r="D17" s="6">
        <v>7500</v>
      </c>
      <c r="E17" s="8">
        <f t="shared" si="0"/>
        <v>247500</v>
      </c>
      <c r="F17" s="23">
        <f t="shared" si="1"/>
        <v>352500</v>
      </c>
    </row>
    <row r="18" spans="1:6" x14ac:dyDescent="0.35">
      <c r="A18" s="22">
        <v>45971</v>
      </c>
      <c r="B18" s="6">
        <v>13760</v>
      </c>
      <c r="C18" s="6" t="s">
        <v>52</v>
      </c>
      <c r="D18" s="6">
        <v>7500</v>
      </c>
      <c r="E18" s="8">
        <f t="shared" si="0"/>
        <v>255000</v>
      </c>
      <c r="F18" s="23">
        <f t="shared" si="1"/>
        <v>345000</v>
      </c>
    </row>
    <row r="19" spans="1:6" x14ac:dyDescent="0.35">
      <c r="A19" s="22">
        <v>45972</v>
      </c>
      <c r="B19" s="6">
        <v>12392</v>
      </c>
      <c r="C19" s="6" t="s">
        <v>52</v>
      </c>
      <c r="D19" s="6">
        <v>7500</v>
      </c>
      <c r="E19" s="8">
        <f t="shared" si="0"/>
        <v>262500</v>
      </c>
      <c r="F19" s="23">
        <f t="shared" si="1"/>
        <v>337500</v>
      </c>
    </row>
    <row r="20" spans="1:6" x14ac:dyDescent="0.35">
      <c r="A20" s="22">
        <v>45973</v>
      </c>
      <c r="B20" s="6">
        <v>13157</v>
      </c>
      <c r="C20" s="6" t="s">
        <v>52</v>
      </c>
      <c r="D20" s="6">
        <v>7500</v>
      </c>
      <c r="E20" s="8">
        <f t="shared" si="0"/>
        <v>270000</v>
      </c>
      <c r="F20" s="23">
        <f t="shared" si="1"/>
        <v>330000</v>
      </c>
    </row>
    <row r="21" spans="1:6" x14ac:dyDescent="0.35">
      <c r="A21" s="31" t="s">
        <v>122</v>
      </c>
      <c r="B21" s="6">
        <v>12112</v>
      </c>
      <c r="C21" s="6" t="s">
        <v>52</v>
      </c>
      <c r="D21" s="6">
        <v>7500</v>
      </c>
      <c r="E21" s="8">
        <f t="shared" si="0"/>
        <v>277500</v>
      </c>
      <c r="F21" s="23">
        <f t="shared" si="1"/>
        <v>322500</v>
      </c>
    </row>
    <row r="22" spans="1:6" x14ac:dyDescent="0.35">
      <c r="A22" s="25">
        <v>46358</v>
      </c>
      <c r="B22" s="26">
        <v>12445</v>
      </c>
      <c r="C22" s="26" t="s">
        <v>52</v>
      </c>
      <c r="D22" s="26">
        <v>7500</v>
      </c>
      <c r="E22" s="27">
        <f t="shared" si="0"/>
        <v>285000</v>
      </c>
      <c r="F22" s="28">
        <f t="shared" si="1"/>
        <v>315000</v>
      </c>
    </row>
    <row r="23" spans="1:6" x14ac:dyDescent="0.35">
      <c r="A23" s="25" t="s">
        <v>434</v>
      </c>
      <c r="B23" s="26">
        <v>12828</v>
      </c>
      <c r="C23" s="26" t="s">
        <v>52</v>
      </c>
      <c r="D23" s="26">
        <v>7500</v>
      </c>
      <c r="E23" s="27">
        <f>E22+Table20[[#This Row],[Amount Rec]]</f>
        <v>292500</v>
      </c>
      <c r="F23" s="28">
        <f>F22-Table20[[#This Row],[Amount Rec]]</f>
        <v>307500</v>
      </c>
    </row>
    <row r="24" spans="1:6" x14ac:dyDescent="0.35">
      <c r="A24" s="25" t="s">
        <v>435</v>
      </c>
      <c r="B24" s="26">
        <v>13213</v>
      </c>
      <c r="C24" s="26" t="s">
        <v>52</v>
      </c>
      <c r="D24" s="26">
        <v>7500</v>
      </c>
      <c r="E24" s="27">
        <f>E23+Table20[[#This Row],[Amount Rec]]</f>
        <v>300000</v>
      </c>
      <c r="F24" s="28">
        <f>F23-Table20[[#This Row],[Amount Rec]]</f>
        <v>300000</v>
      </c>
    </row>
    <row r="25" spans="1:6" x14ac:dyDescent="0.35">
      <c r="A25" s="25" t="s">
        <v>436</v>
      </c>
      <c r="B25" s="26">
        <v>13345</v>
      </c>
      <c r="C25" s="26" t="s">
        <v>52</v>
      </c>
      <c r="D25" s="26">
        <v>7500</v>
      </c>
      <c r="E25" s="27">
        <f>E24+Table20[[#This Row],[Amount Rec]]</f>
        <v>307500</v>
      </c>
      <c r="F25" s="28">
        <f>F24-Table20[[#This Row],[Amount Rec]]</f>
        <v>292500</v>
      </c>
    </row>
    <row r="26" spans="1:6" x14ac:dyDescent="0.35">
      <c r="A26" t="s">
        <v>514</v>
      </c>
      <c r="B26" s="9">
        <v>13627</v>
      </c>
      <c r="C26" t="s">
        <v>52</v>
      </c>
      <c r="D26" s="9">
        <v>7500</v>
      </c>
      <c r="E26" s="10">
        <f>E25+D26</f>
        <v>315000</v>
      </c>
      <c r="F26" s="10">
        <f>F25-D26</f>
        <v>285000</v>
      </c>
    </row>
    <row r="27" spans="1:6" x14ac:dyDescent="0.35">
      <c r="A27" t="s">
        <v>591</v>
      </c>
      <c r="B27">
        <v>1455</v>
      </c>
      <c r="C27" t="s">
        <v>52</v>
      </c>
      <c r="D27" s="10">
        <v>7500</v>
      </c>
      <c r="E27" s="10">
        <f>E26+D27</f>
        <v>322500</v>
      </c>
      <c r="F27" s="10">
        <f>F26-D27</f>
        <v>277500</v>
      </c>
    </row>
    <row r="28" spans="1:6" x14ac:dyDescent="0.35">
      <c r="A28" s="13">
        <v>46364</v>
      </c>
      <c r="B28">
        <v>1743</v>
      </c>
      <c r="C28" t="s">
        <v>52</v>
      </c>
      <c r="D28" s="10">
        <v>7500</v>
      </c>
      <c r="E28" s="18">
        <f>E27+D28</f>
        <v>330000</v>
      </c>
      <c r="F28" s="18">
        <f>F27-D28</f>
        <v>270000</v>
      </c>
    </row>
    <row r="29" spans="1:6" x14ac:dyDescent="0.35">
      <c r="A29" s="13">
        <v>46365</v>
      </c>
      <c r="B29">
        <v>1993</v>
      </c>
      <c r="C29" t="s">
        <v>52</v>
      </c>
      <c r="D29" s="10">
        <v>7500</v>
      </c>
      <c r="E29" s="18">
        <f>E28+D29</f>
        <v>337500</v>
      </c>
      <c r="F29" s="18">
        <f>F28-D29</f>
        <v>262500</v>
      </c>
    </row>
  </sheetData>
  <pageMargins left="0.7" right="0.7" top="0.75" bottom="0.75" header="0.3" footer="0.3"/>
  <ignoredErrors>
    <ignoredError sqref="E8:F8 E23:E25 F23:F25" calculatedColumn="1"/>
  </ignoredErrors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3" workbookViewId="0">
      <selection activeCell="F44" sqref="F44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126</v>
      </c>
      <c r="B1" s="1"/>
      <c r="C1" s="1"/>
      <c r="D1" s="1"/>
      <c r="E1" s="1"/>
    </row>
    <row r="2" spans="1:6" ht="18.5" x14ac:dyDescent="0.45">
      <c r="A2" s="1" t="s">
        <v>97</v>
      </c>
      <c r="C2" s="1"/>
      <c r="D2" s="1"/>
      <c r="E2" s="1"/>
    </row>
    <row r="3" spans="1:6" ht="18.5" x14ac:dyDescent="0.45">
      <c r="A3" s="1" t="s">
        <v>439</v>
      </c>
      <c r="B3" s="85" t="s">
        <v>440</v>
      </c>
      <c r="C3" s="73"/>
      <c r="D3" s="1"/>
      <c r="E3" s="1"/>
    </row>
    <row r="4" spans="1:6" ht="18.5" x14ac:dyDescent="0.45">
      <c r="A4" s="1" t="s">
        <v>125</v>
      </c>
      <c r="B4" s="1"/>
      <c r="C4" s="1"/>
      <c r="D4" s="1"/>
      <c r="E4" s="1"/>
    </row>
    <row r="5" spans="1:6" ht="18.5" x14ac:dyDescent="0.45">
      <c r="A5" s="1" t="s">
        <v>124</v>
      </c>
      <c r="B5" s="1"/>
      <c r="C5" s="1"/>
      <c r="D5" s="1"/>
      <c r="E5" s="1"/>
    </row>
    <row r="6" spans="1:6" ht="18.5" x14ac:dyDescent="0.45">
      <c r="A6" s="1" t="s">
        <v>123</v>
      </c>
      <c r="B6" s="1"/>
      <c r="C6" s="1"/>
      <c r="D6" s="1" t="s">
        <v>117</v>
      </c>
      <c r="E6" s="1"/>
    </row>
    <row r="7" spans="1:6" x14ac:dyDescent="0.35">
      <c r="A7" s="30" t="s">
        <v>6</v>
      </c>
      <c r="B7" s="21" t="s">
        <v>7</v>
      </c>
      <c r="C7" s="21" t="s">
        <v>8</v>
      </c>
      <c r="D7" s="19" t="s">
        <v>9</v>
      </c>
      <c r="E7" s="19" t="s">
        <v>10</v>
      </c>
      <c r="F7" s="24" t="s">
        <v>11</v>
      </c>
    </row>
    <row r="8" spans="1:6" x14ac:dyDescent="0.35">
      <c r="A8" s="31" t="s">
        <v>118</v>
      </c>
      <c r="B8" s="6">
        <v>4470</v>
      </c>
      <c r="C8" s="6" t="s">
        <v>67</v>
      </c>
      <c r="D8" s="8">
        <v>100000</v>
      </c>
      <c r="E8" s="8">
        <v>100000</v>
      </c>
      <c r="F8" s="23">
        <v>500000</v>
      </c>
    </row>
    <row r="9" spans="1:6" x14ac:dyDescent="0.35">
      <c r="A9" s="31" t="s">
        <v>118</v>
      </c>
      <c r="B9" s="6">
        <v>4468</v>
      </c>
      <c r="C9" s="6" t="s">
        <v>52</v>
      </c>
      <c r="D9" s="6">
        <v>7500</v>
      </c>
      <c r="E9" s="8">
        <f>SUM(E8+D9)</f>
        <v>107500</v>
      </c>
      <c r="F9" s="23">
        <f>F8-D9</f>
        <v>492500</v>
      </c>
    </row>
    <row r="10" spans="1:6" x14ac:dyDescent="0.35">
      <c r="A10" s="22">
        <v>45057</v>
      </c>
      <c r="B10" s="6">
        <v>4661</v>
      </c>
      <c r="C10" s="6" t="s">
        <v>52</v>
      </c>
      <c r="D10" s="6">
        <v>7500</v>
      </c>
      <c r="E10" s="8">
        <f t="shared" ref="E10:E36" si="0">SUM(E9+D10)</f>
        <v>115000</v>
      </c>
      <c r="F10" s="23">
        <f t="shared" ref="F10:F36" si="1">F9-D10</f>
        <v>485000</v>
      </c>
    </row>
    <row r="11" spans="1:6" x14ac:dyDescent="0.35">
      <c r="A11" s="22">
        <v>45089</v>
      </c>
      <c r="B11" s="6">
        <v>5326</v>
      </c>
      <c r="C11" s="6" t="s">
        <v>52</v>
      </c>
      <c r="D11" s="6">
        <v>7500</v>
      </c>
      <c r="E11" s="8">
        <f t="shared" si="0"/>
        <v>122500</v>
      </c>
      <c r="F11" s="23">
        <f t="shared" si="1"/>
        <v>477500</v>
      </c>
    </row>
    <row r="12" spans="1:6" x14ac:dyDescent="0.35">
      <c r="A12" s="22">
        <v>45474</v>
      </c>
      <c r="B12" s="6">
        <v>5989</v>
      </c>
      <c r="C12" s="6" t="s">
        <v>52</v>
      </c>
      <c r="D12" s="6">
        <v>7500</v>
      </c>
      <c r="E12" s="8">
        <f t="shared" si="0"/>
        <v>130000</v>
      </c>
      <c r="F12" s="23">
        <f t="shared" si="1"/>
        <v>470000</v>
      </c>
    </row>
    <row r="13" spans="1:6" x14ac:dyDescent="0.35">
      <c r="A13" s="22">
        <v>45506</v>
      </c>
      <c r="B13" s="6">
        <v>6575</v>
      </c>
      <c r="C13" s="6" t="s">
        <v>52</v>
      </c>
      <c r="D13" s="6">
        <v>7500</v>
      </c>
      <c r="E13" s="8">
        <f t="shared" si="0"/>
        <v>137500</v>
      </c>
      <c r="F13" s="23">
        <f t="shared" si="1"/>
        <v>462500</v>
      </c>
    </row>
    <row r="14" spans="1:6" x14ac:dyDescent="0.35">
      <c r="A14" s="22">
        <v>45476</v>
      </c>
      <c r="B14" s="6">
        <v>6936</v>
      </c>
      <c r="C14" s="6" t="s">
        <v>52</v>
      </c>
      <c r="D14" s="6">
        <v>7500</v>
      </c>
      <c r="E14" s="8">
        <f t="shared" si="0"/>
        <v>145000</v>
      </c>
      <c r="F14" s="23">
        <f t="shared" si="1"/>
        <v>455000</v>
      </c>
    </row>
    <row r="15" spans="1:6" x14ac:dyDescent="0.35">
      <c r="A15" s="22">
        <v>45539</v>
      </c>
      <c r="B15" s="6">
        <v>7772</v>
      </c>
      <c r="C15" s="6" t="s">
        <v>52</v>
      </c>
      <c r="D15" s="6">
        <v>7500</v>
      </c>
      <c r="E15" s="8">
        <f t="shared" si="0"/>
        <v>152500</v>
      </c>
      <c r="F15" s="23">
        <f t="shared" si="1"/>
        <v>447500</v>
      </c>
    </row>
    <row r="16" spans="1:6" x14ac:dyDescent="0.35">
      <c r="A16" s="22">
        <v>45509</v>
      </c>
      <c r="B16" s="6">
        <v>8323</v>
      </c>
      <c r="C16" s="6" t="s">
        <v>52</v>
      </c>
      <c r="D16" s="6">
        <v>7500</v>
      </c>
      <c r="E16" s="8">
        <f t="shared" si="0"/>
        <v>160000</v>
      </c>
      <c r="F16" s="23">
        <f t="shared" si="1"/>
        <v>440000</v>
      </c>
    </row>
    <row r="17" spans="1:6" x14ac:dyDescent="0.35">
      <c r="A17" s="22">
        <v>45541</v>
      </c>
      <c r="B17" s="6">
        <v>8927</v>
      </c>
      <c r="C17" s="6" t="s">
        <v>52</v>
      </c>
      <c r="D17" s="6">
        <v>7500</v>
      </c>
      <c r="E17" s="8">
        <f t="shared" si="0"/>
        <v>167500</v>
      </c>
      <c r="F17" s="23">
        <f t="shared" si="1"/>
        <v>432500</v>
      </c>
    </row>
    <row r="18" spans="1:6" x14ac:dyDescent="0.35">
      <c r="A18" s="22">
        <v>45511</v>
      </c>
      <c r="B18" s="6">
        <v>9449</v>
      </c>
      <c r="C18" s="6" t="s">
        <v>52</v>
      </c>
      <c r="D18" s="6">
        <v>7500</v>
      </c>
      <c r="E18" s="8">
        <f t="shared" si="0"/>
        <v>175000</v>
      </c>
      <c r="F18" s="23">
        <f t="shared" si="1"/>
        <v>425000</v>
      </c>
    </row>
    <row r="19" spans="1:6" x14ac:dyDescent="0.35">
      <c r="A19" s="22">
        <v>45604</v>
      </c>
      <c r="B19" s="6">
        <v>11674</v>
      </c>
      <c r="C19" s="6" t="s">
        <v>52</v>
      </c>
      <c r="D19" s="6">
        <v>7500</v>
      </c>
      <c r="E19" s="8">
        <f t="shared" si="0"/>
        <v>182500</v>
      </c>
      <c r="F19" s="23">
        <f t="shared" si="1"/>
        <v>417500</v>
      </c>
    </row>
    <row r="20" spans="1:6" x14ac:dyDescent="0.35">
      <c r="A20" s="31" t="s">
        <v>127</v>
      </c>
      <c r="B20" s="6">
        <v>11675</v>
      </c>
      <c r="C20" s="6" t="s">
        <v>52</v>
      </c>
      <c r="D20" s="6">
        <v>7500</v>
      </c>
      <c r="E20" s="8">
        <f t="shared" si="0"/>
        <v>190000</v>
      </c>
      <c r="F20" s="23">
        <f t="shared" si="1"/>
        <v>410000</v>
      </c>
    </row>
    <row r="21" spans="1:6" x14ac:dyDescent="0.35">
      <c r="A21" s="31" t="s">
        <v>128</v>
      </c>
      <c r="B21" s="6">
        <v>11676</v>
      </c>
      <c r="C21" s="6" t="s">
        <v>52</v>
      </c>
      <c r="D21" s="6">
        <v>7500</v>
      </c>
      <c r="E21" s="8">
        <f t="shared" si="0"/>
        <v>197500</v>
      </c>
      <c r="F21" s="23">
        <f t="shared" si="1"/>
        <v>402500</v>
      </c>
    </row>
    <row r="22" spans="1:6" x14ac:dyDescent="0.35">
      <c r="A22" s="22">
        <v>45637</v>
      </c>
      <c r="B22" s="6">
        <v>10147</v>
      </c>
      <c r="C22" s="6" t="s">
        <v>52</v>
      </c>
      <c r="D22" s="6">
        <v>7500</v>
      </c>
      <c r="E22" s="8">
        <f t="shared" si="0"/>
        <v>205000</v>
      </c>
      <c r="F22" s="23">
        <f t="shared" si="1"/>
        <v>395000</v>
      </c>
    </row>
    <row r="23" spans="1:6" x14ac:dyDescent="0.35">
      <c r="A23" s="22">
        <v>45608</v>
      </c>
      <c r="B23" s="6">
        <v>10147</v>
      </c>
      <c r="C23" s="6" t="s">
        <v>52</v>
      </c>
      <c r="D23" s="6">
        <v>7500</v>
      </c>
      <c r="E23" s="8">
        <f t="shared" si="0"/>
        <v>212500</v>
      </c>
      <c r="F23" s="23">
        <f t="shared" si="1"/>
        <v>387500</v>
      </c>
    </row>
    <row r="24" spans="1:6" x14ac:dyDescent="0.35">
      <c r="A24" s="22">
        <v>45992</v>
      </c>
      <c r="B24" s="6">
        <v>10147</v>
      </c>
      <c r="C24" s="6" t="s">
        <v>52</v>
      </c>
      <c r="D24" s="8">
        <v>15000</v>
      </c>
      <c r="E24" s="8">
        <f t="shared" si="0"/>
        <v>227500</v>
      </c>
      <c r="F24" s="23">
        <f t="shared" si="1"/>
        <v>372500</v>
      </c>
    </row>
    <row r="25" spans="1:6" x14ac:dyDescent="0.35">
      <c r="A25" s="22">
        <v>45994</v>
      </c>
      <c r="B25" s="6">
        <v>10147</v>
      </c>
      <c r="C25" s="6" t="s">
        <v>52</v>
      </c>
      <c r="D25" s="6">
        <v>7500</v>
      </c>
      <c r="E25" s="8">
        <f t="shared" si="0"/>
        <v>235000</v>
      </c>
      <c r="F25" s="23">
        <f t="shared" si="1"/>
        <v>365000</v>
      </c>
    </row>
    <row r="26" spans="1:6" x14ac:dyDescent="0.35">
      <c r="A26" s="22">
        <v>45995</v>
      </c>
      <c r="B26" s="6">
        <v>10149</v>
      </c>
      <c r="C26" s="6" t="s">
        <v>52</v>
      </c>
      <c r="D26" s="6">
        <v>7500</v>
      </c>
      <c r="E26" s="8">
        <f t="shared" si="0"/>
        <v>242500</v>
      </c>
      <c r="F26" s="23">
        <f t="shared" si="1"/>
        <v>357500</v>
      </c>
    </row>
    <row r="27" spans="1:6" x14ac:dyDescent="0.35">
      <c r="A27" s="22">
        <v>45721</v>
      </c>
      <c r="B27" s="6">
        <v>12470</v>
      </c>
      <c r="C27" s="6" t="s">
        <v>52</v>
      </c>
      <c r="D27" s="6">
        <v>7500</v>
      </c>
      <c r="E27" s="8">
        <f t="shared" si="0"/>
        <v>250000</v>
      </c>
      <c r="F27" s="23">
        <f t="shared" si="1"/>
        <v>350000</v>
      </c>
    </row>
    <row r="28" spans="1:6" x14ac:dyDescent="0.35">
      <c r="A28" s="31" t="s">
        <v>129</v>
      </c>
      <c r="B28" s="6">
        <v>9937</v>
      </c>
      <c r="C28" s="6" t="s">
        <v>52</v>
      </c>
      <c r="D28" s="6">
        <v>7500</v>
      </c>
      <c r="E28" s="8">
        <f t="shared" si="0"/>
        <v>257500</v>
      </c>
      <c r="F28" s="23">
        <f t="shared" si="1"/>
        <v>342500</v>
      </c>
    </row>
    <row r="29" spans="1:6" x14ac:dyDescent="0.35">
      <c r="A29" s="22">
        <v>45937</v>
      </c>
      <c r="B29" s="6">
        <v>12857</v>
      </c>
      <c r="C29" s="6" t="s">
        <v>52</v>
      </c>
      <c r="D29" s="6">
        <v>7500</v>
      </c>
      <c r="E29" s="8">
        <f t="shared" si="0"/>
        <v>265000</v>
      </c>
      <c r="F29" s="23">
        <f t="shared" si="1"/>
        <v>335000</v>
      </c>
    </row>
    <row r="30" spans="1:6" x14ac:dyDescent="0.35">
      <c r="A30" s="22">
        <v>45938</v>
      </c>
      <c r="B30" s="6">
        <v>124751</v>
      </c>
      <c r="C30" s="6" t="s">
        <v>52</v>
      </c>
      <c r="D30" s="6">
        <v>7500</v>
      </c>
      <c r="E30" s="8">
        <f t="shared" si="0"/>
        <v>272500</v>
      </c>
      <c r="F30" s="23">
        <f t="shared" si="1"/>
        <v>327500</v>
      </c>
    </row>
    <row r="31" spans="1:6" x14ac:dyDescent="0.35">
      <c r="A31" s="22">
        <v>45970</v>
      </c>
      <c r="B31" s="6">
        <v>12712</v>
      </c>
      <c r="C31" s="6" t="s">
        <v>52</v>
      </c>
      <c r="D31" s="6">
        <v>7500</v>
      </c>
      <c r="E31" s="8">
        <f t="shared" si="0"/>
        <v>280000</v>
      </c>
      <c r="F31" s="23">
        <f t="shared" si="1"/>
        <v>320000</v>
      </c>
    </row>
    <row r="32" spans="1:6" x14ac:dyDescent="0.35">
      <c r="A32" s="22">
        <v>45971</v>
      </c>
      <c r="B32" s="6">
        <v>13759</v>
      </c>
      <c r="C32" s="6" t="s">
        <v>52</v>
      </c>
      <c r="D32" s="6">
        <v>7500</v>
      </c>
      <c r="E32" s="8">
        <f t="shared" si="0"/>
        <v>287500</v>
      </c>
      <c r="F32" s="23">
        <f t="shared" si="1"/>
        <v>312500</v>
      </c>
    </row>
    <row r="33" spans="1:6" x14ac:dyDescent="0.35">
      <c r="A33" s="31" t="s">
        <v>130</v>
      </c>
      <c r="B33" s="6">
        <v>13393</v>
      </c>
      <c r="C33" s="6" t="s">
        <v>52</v>
      </c>
      <c r="D33" s="6">
        <v>7500</v>
      </c>
      <c r="E33" s="8">
        <f t="shared" si="0"/>
        <v>295000</v>
      </c>
      <c r="F33" s="23">
        <f t="shared" si="1"/>
        <v>305000</v>
      </c>
    </row>
    <row r="34" spans="1:6" x14ac:dyDescent="0.35">
      <c r="A34" s="22">
        <v>45973</v>
      </c>
      <c r="B34" s="6">
        <v>13158</v>
      </c>
      <c r="C34" s="6" t="s">
        <v>52</v>
      </c>
      <c r="D34" s="6">
        <v>7500</v>
      </c>
      <c r="E34" s="8">
        <f t="shared" si="0"/>
        <v>302500</v>
      </c>
      <c r="F34" s="23">
        <f t="shared" si="1"/>
        <v>297500</v>
      </c>
    </row>
    <row r="35" spans="1:6" x14ac:dyDescent="0.35">
      <c r="A35" s="31" t="s">
        <v>122</v>
      </c>
      <c r="B35" s="6">
        <v>12113</v>
      </c>
      <c r="C35" s="6" t="s">
        <v>52</v>
      </c>
      <c r="D35" s="6">
        <v>7500</v>
      </c>
      <c r="E35" s="8">
        <f t="shared" si="0"/>
        <v>310000</v>
      </c>
      <c r="F35" s="23">
        <f t="shared" si="1"/>
        <v>290000</v>
      </c>
    </row>
    <row r="36" spans="1:6" x14ac:dyDescent="0.35">
      <c r="A36" s="25">
        <v>46358</v>
      </c>
      <c r="B36" s="26">
        <v>12444</v>
      </c>
      <c r="C36" s="26" t="s">
        <v>52</v>
      </c>
      <c r="D36" s="26">
        <v>7500</v>
      </c>
      <c r="E36" s="27">
        <f t="shared" si="0"/>
        <v>317500</v>
      </c>
      <c r="F36" s="28">
        <f t="shared" si="1"/>
        <v>282500</v>
      </c>
    </row>
    <row r="37" spans="1:6" x14ac:dyDescent="0.35">
      <c r="A37" s="6" t="s">
        <v>434</v>
      </c>
      <c r="B37" s="6">
        <v>12829</v>
      </c>
      <c r="C37" s="6" t="s">
        <v>52</v>
      </c>
      <c r="D37" s="8">
        <v>7500</v>
      </c>
      <c r="E37" s="8">
        <f t="shared" ref="E37:E43" si="2">E36+D37</f>
        <v>325000</v>
      </c>
      <c r="F37" s="8">
        <f t="shared" ref="F37:F43" si="3">F36-D37</f>
        <v>275000</v>
      </c>
    </row>
    <row r="38" spans="1:6" x14ac:dyDescent="0.35">
      <c r="A38" s="6" t="s">
        <v>437</v>
      </c>
      <c r="B38" s="6">
        <v>13214</v>
      </c>
      <c r="C38" s="6" t="s">
        <v>438</v>
      </c>
      <c r="D38" s="8">
        <v>7500</v>
      </c>
      <c r="E38" s="8">
        <f t="shared" si="2"/>
        <v>332500</v>
      </c>
      <c r="F38" s="8">
        <f t="shared" si="3"/>
        <v>267500</v>
      </c>
    </row>
    <row r="39" spans="1:6" x14ac:dyDescent="0.35">
      <c r="A39" s="6" t="s">
        <v>436</v>
      </c>
      <c r="B39" s="6">
        <v>13346</v>
      </c>
      <c r="C39" s="6" t="s">
        <v>438</v>
      </c>
      <c r="D39" s="8">
        <v>7500</v>
      </c>
      <c r="E39" s="8">
        <f t="shared" si="2"/>
        <v>340000</v>
      </c>
      <c r="F39" s="8">
        <f t="shared" si="3"/>
        <v>260000</v>
      </c>
    </row>
    <row r="40" spans="1:6" x14ac:dyDescent="0.35">
      <c r="A40" s="6" t="s">
        <v>514</v>
      </c>
      <c r="B40" s="6">
        <v>13628</v>
      </c>
      <c r="C40" s="6" t="s">
        <v>438</v>
      </c>
      <c r="D40" s="8">
        <v>7500</v>
      </c>
      <c r="E40" s="8">
        <f t="shared" si="2"/>
        <v>347500</v>
      </c>
      <c r="F40" s="8">
        <f t="shared" si="3"/>
        <v>252500</v>
      </c>
    </row>
    <row r="41" spans="1:6" x14ac:dyDescent="0.35">
      <c r="A41" s="6" t="s">
        <v>591</v>
      </c>
      <c r="B41" s="6">
        <v>1454</v>
      </c>
      <c r="C41" s="6" t="s">
        <v>438</v>
      </c>
      <c r="D41" s="8">
        <v>7500</v>
      </c>
      <c r="E41" s="8">
        <f t="shared" si="2"/>
        <v>355000</v>
      </c>
      <c r="F41" s="8">
        <f t="shared" si="3"/>
        <v>245000</v>
      </c>
    </row>
    <row r="42" spans="1:6" x14ac:dyDescent="0.35">
      <c r="A42" s="104">
        <v>46246</v>
      </c>
      <c r="B42" s="6">
        <v>1742</v>
      </c>
      <c r="C42" s="6" t="s">
        <v>438</v>
      </c>
      <c r="D42" s="6">
        <v>7500</v>
      </c>
      <c r="E42" s="8">
        <f t="shared" si="2"/>
        <v>362500</v>
      </c>
      <c r="F42" s="8">
        <f t="shared" si="3"/>
        <v>237500</v>
      </c>
    </row>
    <row r="43" spans="1:6" x14ac:dyDescent="0.35">
      <c r="A43" s="7">
        <v>46365</v>
      </c>
      <c r="B43" s="6">
        <v>1994</v>
      </c>
      <c r="C43" s="6" t="s">
        <v>438</v>
      </c>
      <c r="D43" s="6">
        <v>7500</v>
      </c>
      <c r="E43" s="8">
        <f t="shared" si="2"/>
        <v>370000</v>
      </c>
      <c r="F43" s="8">
        <f t="shared" si="3"/>
        <v>230000</v>
      </c>
    </row>
    <row r="44" spans="1:6" x14ac:dyDescent="0.35">
      <c r="A44" s="6"/>
      <c r="B44" s="6"/>
      <c r="C44" s="6"/>
      <c r="D44" s="6"/>
      <c r="E44" s="6"/>
      <c r="F44" s="6"/>
    </row>
    <row r="45" spans="1:6" x14ac:dyDescent="0.35">
      <c r="A45" s="6"/>
      <c r="B45" s="6"/>
      <c r="C45" s="6"/>
      <c r="D45" s="6"/>
      <c r="E45" s="6"/>
      <c r="F45" s="6"/>
    </row>
    <row r="46" spans="1:6" x14ac:dyDescent="0.35">
      <c r="A46" s="6"/>
      <c r="B46" s="6"/>
      <c r="C46" s="6"/>
      <c r="D46" s="6"/>
      <c r="E46" s="6"/>
      <c r="F46" s="6"/>
    </row>
    <row r="47" spans="1:6" x14ac:dyDescent="0.35">
      <c r="A47" s="6"/>
      <c r="B47" s="6"/>
      <c r="C47" s="6"/>
      <c r="D47" s="6"/>
      <c r="E47" s="6"/>
      <c r="F47" s="6"/>
    </row>
    <row r="48" spans="1:6" x14ac:dyDescent="0.35">
      <c r="A48" s="6"/>
      <c r="B48" s="6"/>
      <c r="C48" s="6"/>
      <c r="D48" s="6"/>
      <c r="E48" s="6"/>
      <c r="F48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40" workbookViewId="0">
      <selection activeCell="G49" sqref="G49"/>
    </sheetView>
  </sheetViews>
  <sheetFormatPr defaultRowHeight="14.5" x14ac:dyDescent="0.35"/>
  <cols>
    <col min="1" max="1" width="10.453125" bestFit="1" customWidth="1"/>
    <col min="3" max="3" width="11.81640625" customWidth="1"/>
    <col min="6" max="6" width="10.90625" customWidth="1"/>
  </cols>
  <sheetData>
    <row r="1" spans="1:6" ht="18.5" x14ac:dyDescent="0.45">
      <c r="A1" s="1" t="s">
        <v>371</v>
      </c>
      <c r="B1" s="1"/>
      <c r="C1" s="1"/>
      <c r="D1" s="1"/>
      <c r="E1" s="1"/>
    </row>
    <row r="2" spans="1:6" ht="18.5" x14ac:dyDescent="0.45">
      <c r="A2" s="1" t="s">
        <v>307</v>
      </c>
      <c r="C2" s="1"/>
      <c r="D2" s="1"/>
      <c r="E2" s="1"/>
    </row>
    <row r="3" spans="1:6" ht="18.5" x14ac:dyDescent="0.45">
      <c r="A3" s="1" t="s">
        <v>125</v>
      </c>
      <c r="B3" s="1"/>
      <c r="C3" s="1"/>
      <c r="D3" s="1"/>
      <c r="E3" s="1"/>
    </row>
    <row r="4" spans="1:6" ht="18.5" x14ac:dyDescent="0.45">
      <c r="A4" s="1" t="s">
        <v>311</v>
      </c>
      <c r="B4" s="1" t="s">
        <v>598</v>
      </c>
      <c r="C4" s="1"/>
      <c r="D4" s="1"/>
      <c r="E4" s="1"/>
    </row>
    <row r="5" spans="1:6" ht="18.5" x14ac:dyDescent="0.45">
      <c r="A5" s="1" t="s">
        <v>308</v>
      </c>
      <c r="B5" s="1"/>
      <c r="C5" s="1"/>
      <c r="D5" s="1"/>
      <c r="E5" s="1"/>
    </row>
    <row r="6" spans="1:6" ht="18.5" x14ac:dyDescent="0.45">
      <c r="A6" s="1" t="s">
        <v>309</v>
      </c>
      <c r="B6" s="1"/>
      <c r="C6" s="1"/>
      <c r="D6" s="1" t="s">
        <v>310</v>
      </c>
      <c r="E6" s="1"/>
    </row>
    <row r="7" spans="1:6" x14ac:dyDescent="0.35">
      <c r="A7" s="77" t="s">
        <v>6</v>
      </c>
      <c r="B7" s="78" t="s">
        <v>7</v>
      </c>
      <c r="C7" s="78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6" t="s">
        <v>166</v>
      </c>
      <c r="B8" s="6">
        <v>214</v>
      </c>
      <c r="C8" s="6" t="s">
        <v>43</v>
      </c>
      <c r="D8" s="8">
        <v>5000</v>
      </c>
      <c r="E8" s="8">
        <v>5000</v>
      </c>
      <c r="F8" s="8">
        <v>645000</v>
      </c>
    </row>
    <row r="9" spans="1:6" x14ac:dyDescent="0.35">
      <c r="A9" s="6" t="s">
        <v>312</v>
      </c>
      <c r="B9" s="6">
        <v>151</v>
      </c>
      <c r="C9" s="6" t="s">
        <v>67</v>
      </c>
      <c r="D9" s="8">
        <v>45000</v>
      </c>
      <c r="E9" s="8">
        <f>SUM(E8+D9)</f>
        <v>50000</v>
      </c>
      <c r="F9" s="8">
        <f>F8-D9</f>
        <v>600000</v>
      </c>
    </row>
    <row r="10" spans="1:6" x14ac:dyDescent="0.35">
      <c r="A10" s="7">
        <v>44991</v>
      </c>
      <c r="B10" s="6">
        <v>243</v>
      </c>
      <c r="C10" s="6" t="s">
        <v>52</v>
      </c>
      <c r="D10" s="8">
        <v>25000</v>
      </c>
      <c r="E10" s="8">
        <f t="shared" ref="E10:E44" si="0">SUM(E9+D10)</f>
        <v>75000</v>
      </c>
      <c r="F10" s="8">
        <f t="shared" ref="F10:F44" si="1">F9-D10</f>
        <v>575000</v>
      </c>
    </row>
    <row r="11" spans="1:6" x14ac:dyDescent="0.35">
      <c r="A11" s="6" t="s">
        <v>313</v>
      </c>
      <c r="B11" s="6">
        <v>2821</v>
      </c>
      <c r="C11" s="6" t="s">
        <v>52</v>
      </c>
      <c r="D11" s="8">
        <v>10000</v>
      </c>
      <c r="E11" s="8">
        <f t="shared" si="0"/>
        <v>85000</v>
      </c>
      <c r="F11" s="8">
        <f t="shared" si="1"/>
        <v>565000</v>
      </c>
    </row>
    <row r="12" spans="1:6" x14ac:dyDescent="0.35">
      <c r="A12" s="7">
        <v>45268</v>
      </c>
      <c r="B12" s="6">
        <v>2401</v>
      </c>
      <c r="C12" s="6" t="s">
        <v>52</v>
      </c>
      <c r="D12" s="8">
        <v>10000</v>
      </c>
      <c r="E12" s="8">
        <f t="shared" si="0"/>
        <v>95000</v>
      </c>
      <c r="F12" s="8">
        <f t="shared" si="1"/>
        <v>555000</v>
      </c>
    </row>
    <row r="13" spans="1:6" x14ac:dyDescent="0.35">
      <c r="A13" s="7">
        <v>45269</v>
      </c>
      <c r="B13" s="6">
        <v>3567</v>
      </c>
      <c r="C13" s="6" t="s">
        <v>52</v>
      </c>
      <c r="D13" s="8">
        <v>10000</v>
      </c>
      <c r="E13" s="8">
        <f t="shared" si="0"/>
        <v>105000</v>
      </c>
      <c r="F13" s="8">
        <f t="shared" si="1"/>
        <v>545000</v>
      </c>
    </row>
    <row r="14" spans="1:6" x14ac:dyDescent="0.35">
      <c r="A14" s="7">
        <v>45148</v>
      </c>
      <c r="B14" s="6">
        <v>4075</v>
      </c>
      <c r="C14" s="6" t="s">
        <v>52</v>
      </c>
      <c r="D14" s="8">
        <v>10000</v>
      </c>
      <c r="E14" s="8">
        <f t="shared" si="0"/>
        <v>115000</v>
      </c>
      <c r="F14" s="8">
        <f t="shared" si="1"/>
        <v>535000</v>
      </c>
    </row>
    <row r="15" spans="1:6" x14ac:dyDescent="0.35">
      <c r="A15" s="7">
        <v>45149</v>
      </c>
      <c r="B15" s="6">
        <v>4707</v>
      </c>
      <c r="C15" s="6" t="s">
        <v>52</v>
      </c>
      <c r="D15" s="8">
        <v>10000</v>
      </c>
      <c r="E15" s="8">
        <f t="shared" si="0"/>
        <v>125000</v>
      </c>
      <c r="F15" s="8">
        <f t="shared" si="1"/>
        <v>525000</v>
      </c>
    </row>
    <row r="16" spans="1:6" x14ac:dyDescent="0.35">
      <c r="A16" s="7">
        <v>45211</v>
      </c>
      <c r="B16" s="6">
        <v>5449</v>
      </c>
      <c r="C16" s="6" t="s">
        <v>52</v>
      </c>
      <c r="D16" s="8">
        <v>10000</v>
      </c>
      <c r="E16" s="8">
        <f t="shared" si="0"/>
        <v>135000</v>
      </c>
      <c r="F16" s="8">
        <f t="shared" si="1"/>
        <v>515000</v>
      </c>
    </row>
    <row r="17" spans="1:6" x14ac:dyDescent="0.35">
      <c r="A17" s="7">
        <v>45505</v>
      </c>
      <c r="B17" s="6">
        <v>6020</v>
      </c>
      <c r="C17" s="6" t="s">
        <v>52</v>
      </c>
      <c r="D17" s="8">
        <v>10000</v>
      </c>
      <c r="E17" s="8">
        <f t="shared" si="0"/>
        <v>145000</v>
      </c>
      <c r="F17" s="8">
        <f t="shared" si="1"/>
        <v>505000</v>
      </c>
    </row>
    <row r="18" spans="1:6" x14ac:dyDescent="0.35">
      <c r="A18" s="7">
        <v>45567</v>
      </c>
      <c r="B18" s="6">
        <v>7011</v>
      </c>
      <c r="C18" s="6" t="s">
        <v>52</v>
      </c>
      <c r="D18" s="8">
        <v>10000</v>
      </c>
      <c r="E18" s="8">
        <f t="shared" si="0"/>
        <v>155000</v>
      </c>
      <c r="F18" s="8">
        <f t="shared" si="1"/>
        <v>495000</v>
      </c>
    </row>
    <row r="19" spans="1:6" x14ac:dyDescent="0.35">
      <c r="A19" s="7">
        <v>45507</v>
      </c>
      <c r="B19" s="6">
        <v>6942</v>
      </c>
      <c r="C19" s="6" t="s">
        <v>52</v>
      </c>
      <c r="D19" s="8">
        <v>10000</v>
      </c>
      <c r="E19" s="8">
        <f t="shared" si="0"/>
        <v>165000</v>
      </c>
      <c r="F19" s="8">
        <f t="shared" si="1"/>
        <v>485000</v>
      </c>
    </row>
    <row r="20" spans="1:6" x14ac:dyDescent="0.35">
      <c r="A20" s="7">
        <v>45416</v>
      </c>
      <c r="B20" s="6">
        <v>7685</v>
      </c>
      <c r="C20" s="6" t="s">
        <v>52</v>
      </c>
      <c r="D20" s="8">
        <v>10000</v>
      </c>
      <c r="E20" s="8">
        <f t="shared" si="0"/>
        <v>175000</v>
      </c>
      <c r="F20" s="8">
        <f t="shared" si="1"/>
        <v>475000</v>
      </c>
    </row>
    <row r="21" spans="1:6" x14ac:dyDescent="0.35">
      <c r="A21" s="7">
        <v>45874</v>
      </c>
      <c r="B21" s="6">
        <v>8318</v>
      </c>
      <c r="C21" s="6" t="s">
        <v>52</v>
      </c>
      <c r="D21" s="8">
        <v>10000</v>
      </c>
      <c r="E21" s="8">
        <f t="shared" si="0"/>
        <v>185000</v>
      </c>
      <c r="F21" s="8">
        <f t="shared" si="1"/>
        <v>465000</v>
      </c>
    </row>
    <row r="22" spans="1:6" x14ac:dyDescent="0.35">
      <c r="A22" s="7">
        <v>45783</v>
      </c>
      <c r="B22" s="6">
        <v>8852</v>
      </c>
      <c r="C22" s="6" t="s">
        <v>52</v>
      </c>
      <c r="D22" s="8">
        <v>10000</v>
      </c>
      <c r="E22" s="8">
        <f t="shared" si="0"/>
        <v>195000</v>
      </c>
      <c r="F22" s="8">
        <f t="shared" si="1"/>
        <v>455000</v>
      </c>
    </row>
    <row r="23" spans="1:6" x14ac:dyDescent="0.35">
      <c r="A23" s="7">
        <v>45754</v>
      </c>
      <c r="B23" s="6">
        <v>9369</v>
      </c>
      <c r="C23" s="6" t="s">
        <v>52</v>
      </c>
      <c r="D23" s="8">
        <v>10000</v>
      </c>
      <c r="E23" s="8">
        <f t="shared" si="0"/>
        <v>205000</v>
      </c>
      <c r="F23" s="8">
        <f t="shared" si="1"/>
        <v>445000</v>
      </c>
    </row>
    <row r="24" spans="1:6" x14ac:dyDescent="0.35">
      <c r="A24" s="7">
        <v>45908</v>
      </c>
      <c r="B24" s="6">
        <v>11009</v>
      </c>
      <c r="C24" s="6" t="s">
        <v>52</v>
      </c>
      <c r="D24" s="8">
        <v>10000</v>
      </c>
      <c r="E24" s="8">
        <f t="shared" si="0"/>
        <v>215000</v>
      </c>
      <c r="F24" s="8">
        <f t="shared" si="1"/>
        <v>435000</v>
      </c>
    </row>
    <row r="25" spans="1:6" x14ac:dyDescent="0.35">
      <c r="A25" s="7">
        <v>45482</v>
      </c>
      <c r="B25" s="6">
        <v>10570</v>
      </c>
      <c r="C25" s="6" t="s">
        <v>52</v>
      </c>
      <c r="D25" s="8">
        <v>10000</v>
      </c>
      <c r="E25" s="8">
        <f t="shared" si="0"/>
        <v>225000</v>
      </c>
      <c r="F25" s="8">
        <f t="shared" si="1"/>
        <v>425000</v>
      </c>
    </row>
    <row r="26" spans="1:6" x14ac:dyDescent="0.35">
      <c r="A26" s="7">
        <v>45514</v>
      </c>
      <c r="B26" s="6">
        <v>11313</v>
      </c>
      <c r="C26" s="6" t="s">
        <v>52</v>
      </c>
      <c r="D26" s="8">
        <v>10000</v>
      </c>
      <c r="E26" s="8">
        <f t="shared" si="0"/>
        <v>235000</v>
      </c>
      <c r="F26" s="8">
        <f t="shared" si="1"/>
        <v>415000</v>
      </c>
    </row>
    <row r="27" spans="1:6" x14ac:dyDescent="0.35">
      <c r="A27" s="7">
        <v>45576</v>
      </c>
      <c r="B27" s="6">
        <v>11965</v>
      </c>
      <c r="C27" s="6" t="s">
        <v>52</v>
      </c>
      <c r="D27" s="8">
        <v>10000</v>
      </c>
      <c r="E27" s="8">
        <f t="shared" si="0"/>
        <v>245000</v>
      </c>
      <c r="F27" s="8">
        <f t="shared" si="1"/>
        <v>405000</v>
      </c>
    </row>
    <row r="28" spans="1:6" x14ac:dyDescent="0.35">
      <c r="A28" s="7">
        <v>45577</v>
      </c>
      <c r="B28" s="6">
        <v>12293</v>
      </c>
      <c r="C28" s="6" t="s">
        <v>52</v>
      </c>
      <c r="D28" s="8">
        <v>10000</v>
      </c>
      <c r="E28" s="8">
        <f t="shared" si="0"/>
        <v>255000</v>
      </c>
      <c r="F28" s="8">
        <f t="shared" si="1"/>
        <v>395000</v>
      </c>
    </row>
    <row r="29" spans="1:6" x14ac:dyDescent="0.35">
      <c r="A29" s="7">
        <v>45931</v>
      </c>
      <c r="B29" s="6">
        <v>12992</v>
      </c>
      <c r="C29" s="6" t="s">
        <v>52</v>
      </c>
      <c r="D29" s="8">
        <v>10000</v>
      </c>
      <c r="E29" s="8">
        <f t="shared" si="0"/>
        <v>265000</v>
      </c>
      <c r="F29" s="8">
        <f t="shared" si="1"/>
        <v>385000</v>
      </c>
    </row>
    <row r="30" spans="1:6" x14ac:dyDescent="0.35">
      <c r="A30" s="7">
        <v>45932</v>
      </c>
      <c r="B30" s="6">
        <v>9316</v>
      </c>
      <c r="C30" s="6" t="s">
        <v>52</v>
      </c>
      <c r="D30" s="8">
        <v>10000</v>
      </c>
      <c r="E30" s="8">
        <f t="shared" si="0"/>
        <v>275000</v>
      </c>
      <c r="F30" s="8">
        <f t="shared" si="1"/>
        <v>375000</v>
      </c>
    </row>
    <row r="31" spans="1:6" x14ac:dyDescent="0.35">
      <c r="A31" s="7">
        <v>45903</v>
      </c>
      <c r="B31" s="6">
        <v>9692</v>
      </c>
      <c r="C31" s="6" t="s">
        <v>52</v>
      </c>
      <c r="D31" s="8">
        <v>10000</v>
      </c>
      <c r="E31" s="8">
        <f t="shared" si="0"/>
        <v>285000</v>
      </c>
      <c r="F31" s="8">
        <f t="shared" si="1"/>
        <v>365000</v>
      </c>
    </row>
    <row r="32" spans="1:6" x14ac:dyDescent="0.35">
      <c r="A32" s="6" t="s">
        <v>214</v>
      </c>
      <c r="B32" s="6">
        <v>10169</v>
      </c>
      <c r="C32" s="6" t="s">
        <v>52</v>
      </c>
      <c r="D32" s="8">
        <v>10000</v>
      </c>
      <c r="E32" s="8">
        <f t="shared" si="0"/>
        <v>295000</v>
      </c>
      <c r="F32" s="8">
        <f t="shared" si="1"/>
        <v>355000</v>
      </c>
    </row>
    <row r="33" spans="1:6" x14ac:dyDescent="0.35">
      <c r="A33" s="6" t="s">
        <v>314</v>
      </c>
      <c r="B33" s="6">
        <v>10662</v>
      </c>
      <c r="C33" s="6" t="s">
        <v>52</v>
      </c>
      <c r="D33" s="8">
        <v>10000</v>
      </c>
      <c r="E33" s="8">
        <f t="shared" si="0"/>
        <v>305000</v>
      </c>
      <c r="F33" s="8">
        <f t="shared" si="1"/>
        <v>345000</v>
      </c>
    </row>
    <row r="34" spans="1:6" x14ac:dyDescent="0.35">
      <c r="A34" s="6" t="s">
        <v>129</v>
      </c>
      <c r="B34" s="6">
        <v>9913</v>
      </c>
      <c r="C34" s="6" t="s">
        <v>52</v>
      </c>
      <c r="D34" s="8">
        <v>10000</v>
      </c>
      <c r="E34" s="8">
        <f t="shared" si="0"/>
        <v>315000</v>
      </c>
      <c r="F34" s="8">
        <f t="shared" si="1"/>
        <v>335000</v>
      </c>
    </row>
    <row r="35" spans="1:6" x14ac:dyDescent="0.35">
      <c r="A35" s="6" t="s">
        <v>315</v>
      </c>
      <c r="B35" s="6">
        <v>12259</v>
      </c>
      <c r="C35" s="6" t="s">
        <v>52</v>
      </c>
      <c r="D35" s="8">
        <v>10000</v>
      </c>
      <c r="E35" s="8">
        <f t="shared" si="0"/>
        <v>325000</v>
      </c>
      <c r="F35" s="8">
        <f t="shared" si="1"/>
        <v>325000</v>
      </c>
    </row>
    <row r="36" spans="1:6" x14ac:dyDescent="0.35">
      <c r="A36" s="7">
        <v>45999</v>
      </c>
      <c r="B36" s="6">
        <v>12901</v>
      </c>
      <c r="C36" s="6" t="s">
        <v>52</v>
      </c>
      <c r="D36" s="8">
        <v>10000</v>
      </c>
      <c r="E36" s="8">
        <f t="shared" si="0"/>
        <v>335000</v>
      </c>
      <c r="F36" s="8">
        <f t="shared" si="1"/>
        <v>315000</v>
      </c>
    </row>
    <row r="37" spans="1:6" x14ac:dyDescent="0.35">
      <c r="A37" s="7">
        <v>46000</v>
      </c>
      <c r="B37" s="6">
        <v>13770</v>
      </c>
      <c r="C37" s="6" t="s">
        <v>52</v>
      </c>
      <c r="D37" s="8">
        <v>10000</v>
      </c>
      <c r="E37" s="8">
        <f t="shared" si="0"/>
        <v>345000</v>
      </c>
      <c r="F37" s="8">
        <f t="shared" si="1"/>
        <v>305000</v>
      </c>
    </row>
    <row r="38" spans="1:6" x14ac:dyDescent="0.35">
      <c r="A38" s="7">
        <v>45971</v>
      </c>
      <c r="B38" s="6">
        <v>13770</v>
      </c>
      <c r="C38" s="6" t="s">
        <v>52</v>
      </c>
      <c r="D38" s="8">
        <v>10000</v>
      </c>
      <c r="E38" s="8">
        <f t="shared" si="0"/>
        <v>355000</v>
      </c>
      <c r="F38" s="8">
        <f t="shared" si="1"/>
        <v>295000</v>
      </c>
    </row>
    <row r="39" spans="1:6" x14ac:dyDescent="0.35">
      <c r="A39" s="6" t="s">
        <v>316</v>
      </c>
      <c r="B39" s="6">
        <v>13042</v>
      </c>
      <c r="C39" s="6" t="s">
        <v>52</v>
      </c>
      <c r="D39" s="8">
        <v>10000</v>
      </c>
      <c r="E39" s="8">
        <f t="shared" si="0"/>
        <v>365000</v>
      </c>
      <c r="F39" s="8">
        <f t="shared" si="1"/>
        <v>285000</v>
      </c>
    </row>
    <row r="40" spans="1:6" x14ac:dyDescent="0.35">
      <c r="A40" s="7">
        <v>46296</v>
      </c>
      <c r="B40" s="6">
        <v>12070</v>
      </c>
      <c r="C40" s="6" t="s">
        <v>52</v>
      </c>
      <c r="D40" s="8">
        <v>10000</v>
      </c>
      <c r="E40" s="8">
        <f t="shared" si="0"/>
        <v>375000</v>
      </c>
      <c r="F40" s="8">
        <f t="shared" si="1"/>
        <v>275000</v>
      </c>
    </row>
    <row r="41" spans="1:6" x14ac:dyDescent="0.35">
      <c r="A41" s="7">
        <v>46297</v>
      </c>
      <c r="B41" s="6">
        <v>12432</v>
      </c>
      <c r="C41" s="6" t="s">
        <v>52</v>
      </c>
      <c r="D41" s="8">
        <v>10000</v>
      </c>
      <c r="E41" s="8">
        <f t="shared" si="0"/>
        <v>385000</v>
      </c>
      <c r="F41" s="8">
        <f t="shared" si="1"/>
        <v>265000</v>
      </c>
    </row>
    <row r="42" spans="1:6" x14ac:dyDescent="0.35">
      <c r="A42" s="7">
        <v>46298</v>
      </c>
      <c r="B42" s="6">
        <v>12185</v>
      </c>
      <c r="C42" s="6" t="s">
        <v>52</v>
      </c>
      <c r="D42" s="8">
        <v>10000</v>
      </c>
      <c r="E42" s="8">
        <f t="shared" si="0"/>
        <v>395000</v>
      </c>
      <c r="F42" s="8">
        <f t="shared" si="1"/>
        <v>255000</v>
      </c>
    </row>
    <row r="43" spans="1:6" x14ac:dyDescent="0.35">
      <c r="A43" s="7">
        <v>46269</v>
      </c>
      <c r="B43" s="6">
        <v>13191</v>
      </c>
      <c r="C43" s="6" t="s">
        <v>52</v>
      </c>
      <c r="D43" s="8">
        <v>10000</v>
      </c>
      <c r="E43" s="8">
        <f t="shared" si="0"/>
        <v>405000</v>
      </c>
      <c r="F43" s="8">
        <f t="shared" si="1"/>
        <v>245000</v>
      </c>
    </row>
    <row r="44" spans="1:6" x14ac:dyDescent="0.35">
      <c r="A44" t="s">
        <v>370</v>
      </c>
      <c r="B44" s="17">
        <v>23357</v>
      </c>
      <c r="C44" s="6" t="s">
        <v>52</v>
      </c>
      <c r="D44" s="8">
        <v>10000</v>
      </c>
      <c r="E44" s="8">
        <f t="shared" si="0"/>
        <v>415000</v>
      </c>
      <c r="F44" s="8">
        <f t="shared" si="1"/>
        <v>235000</v>
      </c>
    </row>
    <row r="45" spans="1:6" x14ac:dyDescent="0.35">
      <c r="A45" t="s">
        <v>484</v>
      </c>
      <c r="B45" s="17">
        <v>13579</v>
      </c>
      <c r="C45" s="17" t="s">
        <v>52</v>
      </c>
      <c r="D45" s="10">
        <v>10000</v>
      </c>
      <c r="E45" s="10">
        <f>E44+D45</f>
        <v>425000</v>
      </c>
      <c r="F45" s="10">
        <f>F44-D45</f>
        <v>225000</v>
      </c>
    </row>
    <row r="46" spans="1:6" x14ac:dyDescent="0.35">
      <c r="A46" t="s">
        <v>597</v>
      </c>
      <c r="B46" s="17">
        <v>1461</v>
      </c>
      <c r="C46" s="17" t="s">
        <v>52</v>
      </c>
      <c r="D46" s="10">
        <v>10000</v>
      </c>
      <c r="E46" s="10">
        <f>E45+D46</f>
        <v>435000</v>
      </c>
      <c r="F46" s="10">
        <f>F45-D46</f>
        <v>215000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opLeftCell="A5" workbookViewId="0">
      <selection activeCell="D5" sqref="D5"/>
    </sheetView>
  </sheetViews>
  <sheetFormatPr defaultRowHeight="14.5" x14ac:dyDescent="0.35"/>
  <cols>
    <col min="3" max="3" width="12.6328125" customWidth="1"/>
    <col min="6" max="6" width="11" customWidth="1"/>
  </cols>
  <sheetData>
    <row r="1" spans="1:6" x14ac:dyDescent="0.35">
      <c r="A1" t="s">
        <v>443</v>
      </c>
    </row>
    <row r="2" spans="1:6" x14ac:dyDescent="0.35">
      <c r="A2" t="s">
        <v>444</v>
      </c>
    </row>
    <row r="3" spans="1:6" x14ac:dyDescent="0.35">
      <c r="A3" t="s">
        <v>445</v>
      </c>
    </row>
    <row r="4" spans="1:6" x14ac:dyDescent="0.35">
      <c r="A4" t="s">
        <v>446</v>
      </c>
    </row>
    <row r="5" spans="1:6" x14ac:dyDescent="0.35">
      <c r="A5" t="s">
        <v>439</v>
      </c>
    </row>
    <row r="6" spans="1:6" x14ac:dyDescent="0.35">
      <c r="A6" t="s">
        <v>447</v>
      </c>
    </row>
    <row r="8" spans="1:6" x14ac:dyDescent="0.35">
      <c r="A8" s="77" t="s">
        <v>6</v>
      </c>
      <c r="B8" s="78" t="s">
        <v>7</v>
      </c>
      <c r="C8" s="78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448</v>
      </c>
      <c r="B9">
        <v>1709</v>
      </c>
      <c r="C9" t="s">
        <v>463</v>
      </c>
      <c r="D9" s="18">
        <v>184000</v>
      </c>
      <c r="E9" s="18">
        <v>184000</v>
      </c>
      <c r="F9" s="18">
        <v>156000</v>
      </c>
    </row>
    <row r="10" spans="1:6" x14ac:dyDescent="0.35">
      <c r="A10" t="s">
        <v>449</v>
      </c>
      <c r="B10">
        <v>1707</v>
      </c>
      <c r="C10" t="s">
        <v>464</v>
      </c>
      <c r="D10" s="18">
        <v>10000</v>
      </c>
      <c r="E10" s="18">
        <f t="shared" ref="E10:E23" si="0">E9+D10</f>
        <v>194000</v>
      </c>
      <c r="F10" s="18">
        <f t="shared" ref="F10:F23" si="1">F9-D10</f>
        <v>146000</v>
      </c>
    </row>
    <row r="11" spans="1:6" x14ac:dyDescent="0.35">
      <c r="A11" t="s">
        <v>450</v>
      </c>
      <c r="B11">
        <v>735</v>
      </c>
      <c r="C11" t="s">
        <v>464</v>
      </c>
      <c r="D11" s="18">
        <v>10000</v>
      </c>
      <c r="E11" s="18">
        <f t="shared" si="0"/>
        <v>204000</v>
      </c>
      <c r="F11" s="18">
        <f t="shared" si="1"/>
        <v>136000</v>
      </c>
    </row>
    <row r="12" spans="1:6" x14ac:dyDescent="0.35">
      <c r="A12" t="s">
        <v>451</v>
      </c>
      <c r="B12">
        <v>240</v>
      </c>
      <c r="C12" t="s">
        <v>464</v>
      </c>
      <c r="D12" s="18">
        <v>10000</v>
      </c>
      <c r="E12" s="18">
        <f t="shared" si="0"/>
        <v>214000</v>
      </c>
      <c r="F12" s="18">
        <f t="shared" si="1"/>
        <v>126000</v>
      </c>
    </row>
    <row r="13" spans="1:6" x14ac:dyDescent="0.35">
      <c r="A13" t="s">
        <v>452</v>
      </c>
      <c r="B13">
        <v>2120</v>
      </c>
      <c r="C13" t="s">
        <v>464</v>
      </c>
      <c r="D13" s="18">
        <v>10000</v>
      </c>
      <c r="E13" s="18">
        <f t="shared" si="0"/>
        <v>224000</v>
      </c>
      <c r="F13" s="18">
        <f t="shared" si="1"/>
        <v>116000</v>
      </c>
    </row>
    <row r="14" spans="1:6" x14ac:dyDescent="0.35">
      <c r="A14" t="s">
        <v>453</v>
      </c>
      <c r="B14">
        <v>2572</v>
      </c>
      <c r="C14" t="s">
        <v>464</v>
      </c>
      <c r="D14" s="18">
        <v>10000</v>
      </c>
      <c r="E14" s="18">
        <f t="shared" si="0"/>
        <v>234000</v>
      </c>
      <c r="F14" s="18">
        <f t="shared" si="1"/>
        <v>106000</v>
      </c>
    </row>
    <row r="15" spans="1:6" x14ac:dyDescent="0.35">
      <c r="A15" t="s">
        <v>454</v>
      </c>
      <c r="B15">
        <v>3396</v>
      </c>
      <c r="C15" t="s">
        <v>464</v>
      </c>
      <c r="D15" s="18">
        <v>10000</v>
      </c>
      <c r="E15" s="18">
        <f t="shared" si="0"/>
        <v>244000</v>
      </c>
      <c r="F15" s="18">
        <f t="shared" si="1"/>
        <v>96000</v>
      </c>
    </row>
    <row r="16" spans="1:6" x14ac:dyDescent="0.35">
      <c r="A16" t="s">
        <v>455</v>
      </c>
      <c r="B16">
        <v>4069</v>
      </c>
      <c r="C16" t="s">
        <v>464</v>
      </c>
      <c r="D16" s="18">
        <v>10000</v>
      </c>
      <c r="E16" s="18">
        <f t="shared" si="0"/>
        <v>254000</v>
      </c>
      <c r="F16" s="18">
        <f t="shared" si="1"/>
        <v>86000</v>
      </c>
    </row>
    <row r="17" spans="1:6" x14ac:dyDescent="0.35">
      <c r="A17" t="s">
        <v>456</v>
      </c>
      <c r="B17">
        <v>4889</v>
      </c>
      <c r="C17" t="s">
        <v>464</v>
      </c>
      <c r="D17" s="18">
        <v>10000</v>
      </c>
      <c r="E17" s="18">
        <f t="shared" si="0"/>
        <v>264000</v>
      </c>
      <c r="F17" s="18">
        <f t="shared" si="1"/>
        <v>76000</v>
      </c>
    </row>
    <row r="18" spans="1:6" x14ac:dyDescent="0.35">
      <c r="A18" t="s">
        <v>457</v>
      </c>
      <c r="B18">
        <v>5638</v>
      </c>
      <c r="C18" t="s">
        <v>464</v>
      </c>
      <c r="D18" s="18">
        <v>10000</v>
      </c>
      <c r="E18" s="18">
        <f t="shared" si="0"/>
        <v>274000</v>
      </c>
      <c r="F18" s="18">
        <f t="shared" si="1"/>
        <v>66000</v>
      </c>
    </row>
    <row r="19" spans="1:6" x14ac:dyDescent="0.35">
      <c r="A19" t="s">
        <v>458</v>
      </c>
      <c r="B19">
        <v>6173</v>
      </c>
      <c r="C19" t="s">
        <v>464</v>
      </c>
      <c r="D19" s="18">
        <v>10000</v>
      </c>
      <c r="E19" s="18">
        <f t="shared" si="0"/>
        <v>284000</v>
      </c>
      <c r="F19" s="18">
        <f t="shared" si="1"/>
        <v>56000</v>
      </c>
    </row>
    <row r="20" spans="1:6" x14ac:dyDescent="0.35">
      <c r="A20" t="s">
        <v>459</v>
      </c>
      <c r="B20">
        <v>7295</v>
      </c>
      <c r="C20" t="s">
        <v>464</v>
      </c>
      <c r="D20" s="18">
        <v>20000</v>
      </c>
      <c r="E20" s="18">
        <f t="shared" si="0"/>
        <v>304000</v>
      </c>
      <c r="F20" s="18">
        <f t="shared" si="1"/>
        <v>36000</v>
      </c>
    </row>
    <row r="21" spans="1:6" x14ac:dyDescent="0.35">
      <c r="A21" t="s">
        <v>460</v>
      </c>
      <c r="B21">
        <v>8300</v>
      </c>
      <c r="C21" t="s">
        <v>464</v>
      </c>
      <c r="D21" s="18">
        <v>15000</v>
      </c>
      <c r="E21" s="18">
        <f t="shared" si="0"/>
        <v>319000</v>
      </c>
      <c r="F21" s="18">
        <f t="shared" si="1"/>
        <v>21000</v>
      </c>
    </row>
    <row r="22" spans="1:6" x14ac:dyDescent="0.35">
      <c r="A22" t="s">
        <v>461</v>
      </c>
      <c r="B22">
        <v>9843</v>
      </c>
      <c r="C22" t="s">
        <v>464</v>
      </c>
      <c r="D22" s="18">
        <v>10000</v>
      </c>
      <c r="E22" s="18">
        <f t="shared" si="0"/>
        <v>329000</v>
      </c>
      <c r="F22" s="18">
        <f t="shared" si="1"/>
        <v>11000</v>
      </c>
    </row>
    <row r="23" spans="1:6" x14ac:dyDescent="0.35">
      <c r="A23" t="s">
        <v>462</v>
      </c>
      <c r="B23">
        <v>9777</v>
      </c>
      <c r="C23" t="s">
        <v>464</v>
      </c>
      <c r="D23" s="18">
        <v>11000</v>
      </c>
      <c r="E23" s="18">
        <f t="shared" si="0"/>
        <v>340000</v>
      </c>
      <c r="F23" s="18">
        <f t="shared" si="1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465</v>
      </c>
    </row>
    <row r="2" spans="1:6" x14ac:dyDescent="0.35">
      <c r="A2" t="s">
        <v>466</v>
      </c>
    </row>
    <row r="3" spans="1:6" x14ac:dyDescent="0.35">
      <c r="A3" t="s">
        <v>467</v>
      </c>
    </row>
    <row r="4" spans="1:6" x14ac:dyDescent="0.35">
      <c r="A4" t="s">
        <v>468</v>
      </c>
    </row>
    <row r="5" spans="1:6" x14ac:dyDescent="0.35">
      <c r="A5" t="s">
        <v>469</v>
      </c>
    </row>
    <row r="6" spans="1:6" x14ac:dyDescent="0.35">
      <c r="A6" t="s">
        <v>470</v>
      </c>
    </row>
    <row r="8" spans="1:6" x14ac:dyDescent="0.35">
      <c r="A8" s="77" t="s">
        <v>6</v>
      </c>
      <c r="B8" s="78" t="s">
        <v>7</v>
      </c>
      <c r="C8" s="78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471</v>
      </c>
      <c r="B9">
        <v>376</v>
      </c>
      <c r="C9" t="s">
        <v>474</v>
      </c>
      <c r="D9" s="18">
        <v>184000</v>
      </c>
      <c r="E9" s="18">
        <v>184000</v>
      </c>
      <c r="F9" s="18">
        <v>156000</v>
      </c>
    </row>
    <row r="10" spans="1:6" x14ac:dyDescent="0.35">
      <c r="A10" t="s">
        <v>472</v>
      </c>
      <c r="B10">
        <v>1706</v>
      </c>
      <c r="C10" t="s">
        <v>475</v>
      </c>
      <c r="D10" s="18">
        <v>10000</v>
      </c>
      <c r="E10" s="18">
        <f t="shared" ref="E10:E22" si="0">E9+D10</f>
        <v>194000</v>
      </c>
      <c r="F10" s="18">
        <f t="shared" ref="F10:F22" si="1">F9-D10</f>
        <v>146000</v>
      </c>
    </row>
    <row r="11" spans="1:6" x14ac:dyDescent="0.35">
      <c r="A11" t="s">
        <v>450</v>
      </c>
      <c r="B11">
        <v>734</v>
      </c>
      <c r="C11" t="s">
        <v>475</v>
      </c>
      <c r="D11" s="18">
        <v>10000</v>
      </c>
      <c r="E11" s="18">
        <f t="shared" si="0"/>
        <v>204000</v>
      </c>
      <c r="F11" s="18">
        <f t="shared" si="1"/>
        <v>136000</v>
      </c>
    </row>
    <row r="12" spans="1:6" x14ac:dyDescent="0.35">
      <c r="A12" t="s">
        <v>451</v>
      </c>
      <c r="B12">
        <v>238</v>
      </c>
      <c r="C12" t="s">
        <v>475</v>
      </c>
      <c r="D12" s="18">
        <v>10000</v>
      </c>
      <c r="E12" s="18">
        <f t="shared" si="0"/>
        <v>214000</v>
      </c>
      <c r="F12" s="18">
        <f t="shared" si="1"/>
        <v>126000</v>
      </c>
    </row>
    <row r="13" spans="1:6" x14ac:dyDescent="0.35">
      <c r="A13" t="s">
        <v>452</v>
      </c>
      <c r="B13">
        <v>2121</v>
      </c>
      <c r="C13" t="s">
        <v>475</v>
      </c>
      <c r="D13" s="18">
        <v>10000</v>
      </c>
      <c r="E13" s="18">
        <f t="shared" si="0"/>
        <v>224000</v>
      </c>
      <c r="F13" s="18">
        <f t="shared" si="1"/>
        <v>116000</v>
      </c>
    </row>
    <row r="14" spans="1:6" x14ac:dyDescent="0.35">
      <c r="A14" t="s">
        <v>453</v>
      </c>
      <c r="B14">
        <v>2573</v>
      </c>
      <c r="C14" t="s">
        <v>475</v>
      </c>
      <c r="D14" s="18">
        <v>10000</v>
      </c>
      <c r="E14" s="18">
        <f t="shared" si="0"/>
        <v>234000</v>
      </c>
      <c r="F14" s="18">
        <f t="shared" si="1"/>
        <v>106000</v>
      </c>
    </row>
    <row r="15" spans="1:6" x14ac:dyDescent="0.35">
      <c r="A15" t="s">
        <v>454</v>
      </c>
      <c r="B15">
        <v>3397</v>
      </c>
      <c r="C15" t="s">
        <v>475</v>
      </c>
      <c r="D15" s="18">
        <v>10000</v>
      </c>
      <c r="E15" s="18">
        <f t="shared" si="0"/>
        <v>244000</v>
      </c>
      <c r="F15" s="18">
        <f t="shared" si="1"/>
        <v>96000</v>
      </c>
    </row>
    <row r="16" spans="1:6" x14ac:dyDescent="0.35">
      <c r="A16" t="s">
        <v>455</v>
      </c>
      <c r="B16">
        <v>4068</v>
      </c>
      <c r="C16" t="s">
        <v>475</v>
      </c>
      <c r="D16" s="18">
        <v>10000</v>
      </c>
      <c r="E16" s="18">
        <f t="shared" si="0"/>
        <v>254000</v>
      </c>
      <c r="F16" s="18">
        <f t="shared" si="1"/>
        <v>86000</v>
      </c>
    </row>
    <row r="17" spans="1:6" x14ac:dyDescent="0.35">
      <c r="A17" t="s">
        <v>456</v>
      </c>
      <c r="B17">
        <v>4690</v>
      </c>
      <c r="C17" t="s">
        <v>475</v>
      </c>
      <c r="D17" s="18">
        <v>10000</v>
      </c>
      <c r="E17" s="18">
        <f t="shared" si="0"/>
        <v>264000</v>
      </c>
      <c r="F17" s="18">
        <f t="shared" si="1"/>
        <v>76000</v>
      </c>
    </row>
    <row r="18" spans="1:6" x14ac:dyDescent="0.35">
      <c r="A18" t="s">
        <v>457</v>
      </c>
      <c r="B18">
        <v>5639</v>
      </c>
      <c r="C18" t="s">
        <v>475</v>
      </c>
      <c r="D18" s="18">
        <v>10000</v>
      </c>
      <c r="E18" s="18">
        <f t="shared" si="0"/>
        <v>274000</v>
      </c>
      <c r="F18" s="18">
        <f t="shared" si="1"/>
        <v>66000</v>
      </c>
    </row>
    <row r="19" spans="1:6" x14ac:dyDescent="0.35">
      <c r="A19" t="s">
        <v>458</v>
      </c>
      <c r="B19">
        <v>6174</v>
      </c>
      <c r="C19" t="s">
        <v>475</v>
      </c>
      <c r="D19" s="18">
        <v>10000</v>
      </c>
      <c r="E19" s="18">
        <f t="shared" si="0"/>
        <v>284000</v>
      </c>
      <c r="F19" s="18">
        <f t="shared" si="1"/>
        <v>56000</v>
      </c>
    </row>
    <row r="20" spans="1:6" x14ac:dyDescent="0.35">
      <c r="A20" t="s">
        <v>459</v>
      </c>
      <c r="B20">
        <v>7296</v>
      </c>
      <c r="C20" t="s">
        <v>475</v>
      </c>
      <c r="D20" s="18">
        <v>20000</v>
      </c>
      <c r="E20" s="18">
        <f t="shared" si="0"/>
        <v>304000</v>
      </c>
      <c r="F20" s="18">
        <f t="shared" si="1"/>
        <v>36000</v>
      </c>
    </row>
    <row r="21" spans="1:6" x14ac:dyDescent="0.35">
      <c r="A21" t="s">
        <v>473</v>
      </c>
      <c r="B21">
        <v>8301</v>
      </c>
      <c r="C21" t="s">
        <v>475</v>
      </c>
      <c r="D21" s="18">
        <v>15000</v>
      </c>
      <c r="E21" s="18">
        <f t="shared" si="0"/>
        <v>319000</v>
      </c>
      <c r="F21" s="18">
        <f t="shared" si="1"/>
        <v>21000</v>
      </c>
    </row>
    <row r="22" spans="1:6" x14ac:dyDescent="0.35">
      <c r="A22" t="s">
        <v>462</v>
      </c>
      <c r="B22">
        <v>9778</v>
      </c>
      <c r="C22" t="s">
        <v>475</v>
      </c>
      <c r="D22" s="18">
        <v>14000</v>
      </c>
      <c r="E22" s="18">
        <f t="shared" si="0"/>
        <v>333000</v>
      </c>
      <c r="F22" s="18">
        <f t="shared" si="1"/>
        <v>7000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25" workbookViewId="0">
      <selection activeCell="E38" sqref="E38"/>
    </sheetView>
  </sheetViews>
  <sheetFormatPr defaultRowHeight="14.5" x14ac:dyDescent="0.35"/>
  <sheetData>
    <row r="1" spans="1:6" x14ac:dyDescent="0.35">
      <c r="A1" t="s">
        <v>443</v>
      </c>
      <c r="B1" t="s">
        <v>511</v>
      </c>
    </row>
    <row r="2" spans="1:6" x14ac:dyDescent="0.35">
      <c r="A2" t="s">
        <v>444</v>
      </c>
      <c r="B2" t="s">
        <v>512</v>
      </c>
    </row>
    <row r="3" spans="1:6" x14ac:dyDescent="0.35">
      <c r="A3" t="s">
        <v>467</v>
      </c>
      <c r="B3" t="s">
        <v>513</v>
      </c>
    </row>
    <row r="4" spans="1:6" x14ac:dyDescent="0.35">
      <c r="A4" t="s">
        <v>485</v>
      </c>
    </row>
    <row r="5" spans="1:6" x14ac:dyDescent="0.35">
      <c r="A5" t="s">
        <v>486</v>
      </c>
      <c r="B5" t="s">
        <v>488</v>
      </c>
    </row>
    <row r="6" spans="1:6" x14ac:dyDescent="0.35">
      <c r="A6" t="s">
        <v>487</v>
      </c>
      <c r="B6">
        <v>5207</v>
      </c>
    </row>
    <row r="8" spans="1:6" x14ac:dyDescent="0.35">
      <c r="A8" s="77" t="s">
        <v>6</v>
      </c>
      <c r="B8" s="78" t="s">
        <v>7</v>
      </c>
      <c r="C8" s="78" t="s">
        <v>8</v>
      </c>
      <c r="D8" s="6" t="s">
        <v>9</v>
      </c>
      <c r="E8" s="6" t="s">
        <v>10</v>
      </c>
      <c r="F8" s="6" t="s">
        <v>11</v>
      </c>
    </row>
    <row r="9" spans="1:6" x14ac:dyDescent="0.35">
      <c r="A9" t="s">
        <v>489</v>
      </c>
      <c r="B9">
        <v>301</v>
      </c>
      <c r="C9" t="s">
        <v>499</v>
      </c>
      <c r="D9" s="18">
        <v>170000</v>
      </c>
      <c r="E9" s="18">
        <v>170000</v>
      </c>
      <c r="F9" s="18">
        <v>230000</v>
      </c>
    </row>
    <row r="10" spans="1:6" x14ac:dyDescent="0.35">
      <c r="A10" t="s">
        <v>490</v>
      </c>
      <c r="B10">
        <v>2197</v>
      </c>
      <c r="C10" t="s">
        <v>438</v>
      </c>
      <c r="D10" s="18">
        <v>20000</v>
      </c>
      <c r="E10" s="18">
        <f t="shared" ref="E10:E31" si="0">E9+D10</f>
        <v>190000</v>
      </c>
      <c r="F10" s="18">
        <f t="shared" ref="F10:F31" si="1">F9-D10</f>
        <v>210000</v>
      </c>
    </row>
    <row r="11" spans="1:6" x14ac:dyDescent="0.35">
      <c r="A11" t="s">
        <v>491</v>
      </c>
      <c r="B11">
        <v>302</v>
      </c>
      <c r="C11" t="s">
        <v>438</v>
      </c>
      <c r="D11" s="18">
        <v>10000</v>
      </c>
      <c r="E11" s="18">
        <f t="shared" si="0"/>
        <v>200000</v>
      </c>
      <c r="F11" s="18">
        <f t="shared" si="1"/>
        <v>200000</v>
      </c>
    </row>
    <row r="12" spans="1:6" x14ac:dyDescent="0.35">
      <c r="A12" t="s">
        <v>492</v>
      </c>
      <c r="B12">
        <v>1497</v>
      </c>
      <c r="C12" t="s">
        <v>438</v>
      </c>
      <c r="D12" s="18">
        <v>10000</v>
      </c>
      <c r="E12" s="18">
        <f t="shared" si="0"/>
        <v>210000</v>
      </c>
      <c r="F12" s="18">
        <f t="shared" si="1"/>
        <v>190000</v>
      </c>
    </row>
    <row r="13" spans="1:6" x14ac:dyDescent="0.35">
      <c r="A13" t="s">
        <v>493</v>
      </c>
      <c r="B13">
        <v>1498</v>
      </c>
      <c r="C13" t="s">
        <v>438</v>
      </c>
      <c r="D13" s="18">
        <v>10000</v>
      </c>
      <c r="E13" s="18">
        <f t="shared" si="0"/>
        <v>220000</v>
      </c>
      <c r="F13" s="18">
        <f t="shared" si="1"/>
        <v>180000</v>
      </c>
    </row>
    <row r="14" spans="1:6" x14ac:dyDescent="0.35">
      <c r="A14" t="s">
        <v>494</v>
      </c>
      <c r="B14">
        <v>936</v>
      </c>
      <c r="C14" t="s">
        <v>438</v>
      </c>
      <c r="D14" s="18">
        <v>10000</v>
      </c>
      <c r="E14" s="18">
        <f t="shared" si="0"/>
        <v>230000</v>
      </c>
      <c r="F14" s="18">
        <f t="shared" si="1"/>
        <v>170000</v>
      </c>
    </row>
    <row r="15" spans="1:6" x14ac:dyDescent="0.35">
      <c r="A15" t="s">
        <v>495</v>
      </c>
      <c r="B15">
        <v>2163</v>
      </c>
      <c r="C15" t="s">
        <v>438</v>
      </c>
      <c r="D15" s="18">
        <v>10000</v>
      </c>
      <c r="E15" s="18">
        <f t="shared" si="0"/>
        <v>240000</v>
      </c>
      <c r="F15" s="18">
        <f t="shared" si="1"/>
        <v>160000</v>
      </c>
    </row>
    <row r="16" spans="1:6" x14ac:dyDescent="0.35">
      <c r="A16" t="s">
        <v>496</v>
      </c>
      <c r="B16">
        <v>3375</v>
      </c>
      <c r="C16" t="s">
        <v>438</v>
      </c>
      <c r="D16" s="18">
        <v>10000</v>
      </c>
      <c r="E16" s="18">
        <f t="shared" si="0"/>
        <v>250000</v>
      </c>
      <c r="F16" s="18">
        <f t="shared" si="1"/>
        <v>150000</v>
      </c>
    </row>
    <row r="17" spans="1:6" x14ac:dyDescent="0.35">
      <c r="A17" t="s">
        <v>496</v>
      </c>
      <c r="B17">
        <v>3376</v>
      </c>
      <c r="C17" t="s">
        <v>438</v>
      </c>
      <c r="D17" s="18">
        <v>10000</v>
      </c>
      <c r="E17" s="18">
        <f t="shared" si="0"/>
        <v>260000</v>
      </c>
      <c r="F17" s="18">
        <f t="shared" si="1"/>
        <v>140000</v>
      </c>
    </row>
    <row r="18" spans="1:6" x14ac:dyDescent="0.35">
      <c r="A18" t="s">
        <v>497</v>
      </c>
      <c r="B18">
        <v>4511</v>
      </c>
      <c r="C18" t="s">
        <v>438</v>
      </c>
      <c r="D18" s="18">
        <v>10000</v>
      </c>
      <c r="E18" s="18">
        <f t="shared" si="0"/>
        <v>270000</v>
      </c>
      <c r="F18" s="18">
        <f t="shared" si="1"/>
        <v>130000</v>
      </c>
    </row>
    <row r="19" spans="1:6" x14ac:dyDescent="0.35">
      <c r="A19" t="s">
        <v>498</v>
      </c>
      <c r="B19">
        <v>5109</v>
      </c>
      <c r="C19" t="s">
        <v>438</v>
      </c>
      <c r="D19" s="18">
        <v>10000</v>
      </c>
      <c r="E19" s="18">
        <f t="shared" si="0"/>
        <v>280000</v>
      </c>
      <c r="F19" s="18">
        <f t="shared" si="1"/>
        <v>120000</v>
      </c>
    </row>
    <row r="20" spans="1:6" x14ac:dyDescent="0.35">
      <c r="A20" t="s">
        <v>457</v>
      </c>
      <c r="B20">
        <v>5674</v>
      </c>
      <c r="C20" t="s">
        <v>438</v>
      </c>
      <c r="D20" s="18">
        <v>10000</v>
      </c>
      <c r="E20" s="18">
        <f t="shared" si="0"/>
        <v>290000</v>
      </c>
      <c r="F20" s="18">
        <f t="shared" si="1"/>
        <v>110000</v>
      </c>
    </row>
    <row r="21" spans="1:6" x14ac:dyDescent="0.35">
      <c r="A21" t="s">
        <v>500</v>
      </c>
      <c r="B21">
        <v>6319</v>
      </c>
      <c r="C21" t="s">
        <v>438</v>
      </c>
      <c r="D21" s="18">
        <v>10000</v>
      </c>
      <c r="E21" s="18">
        <f t="shared" si="0"/>
        <v>300000</v>
      </c>
      <c r="F21" s="18">
        <f t="shared" si="1"/>
        <v>100000</v>
      </c>
    </row>
    <row r="22" spans="1:6" x14ac:dyDescent="0.35">
      <c r="A22" t="s">
        <v>501</v>
      </c>
      <c r="B22">
        <v>6576</v>
      </c>
      <c r="C22" t="s">
        <v>438</v>
      </c>
      <c r="D22" s="18">
        <v>10000</v>
      </c>
      <c r="E22" s="18">
        <f t="shared" si="0"/>
        <v>310000</v>
      </c>
      <c r="F22" s="18">
        <f t="shared" si="1"/>
        <v>90000</v>
      </c>
    </row>
    <row r="23" spans="1:6" x14ac:dyDescent="0.35">
      <c r="A23" t="s">
        <v>502</v>
      </c>
      <c r="B23">
        <v>7254</v>
      </c>
      <c r="C23" t="s">
        <v>438</v>
      </c>
      <c r="D23" s="18">
        <v>10000</v>
      </c>
      <c r="E23" s="18">
        <f t="shared" si="0"/>
        <v>320000</v>
      </c>
      <c r="F23" s="18">
        <f t="shared" si="1"/>
        <v>80000</v>
      </c>
    </row>
    <row r="24" spans="1:6" x14ac:dyDescent="0.35">
      <c r="A24" t="s">
        <v>503</v>
      </c>
      <c r="B24">
        <v>7789</v>
      </c>
      <c r="C24" t="s">
        <v>438</v>
      </c>
      <c r="D24" s="18">
        <v>10000</v>
      </c>
      <c r="E24" s="18">
        <f t="shared" si="0"/>
        <v>330000</v>
      </c>
      <c r="F24" s="18">
        <f t="shared" si="1"/>
        <v>70000</v>
      </c>
    </row>
    <row r="25" spans="1:6" x14ac:dyDescent="0.35">
      <c r="A25" t="s">
        <v>504</v>
      </c>
      <c r="B25">
        <v>8389</v>
      </c>
      <c r="C25" t="s">
        <v>438</v>
      </c>
      <c r="D25" s="18">
        <v>10000</v>
      </c>
      <c r="E25" s="18">
        <f t="shared" si="0"/>
        <v>340000</v>
      </c>
      <c r="F25" s="18">
        <f t="shared" si="1"/>
        <v>60000</v>
      </c>
    </row>
    <row r="26" spans="1:6" x14ac:dyDescent="0.35">
      <c r="A26" t="s">
        <v>505</v>
      </c>
      <c r="B26">
        <v>9005</v>
      </c>
      <c r="C26" t="s">
        <v>438</v>
      </c>
      <c r="D26" s="18">
        <v>10000</v>
      </c>
      <c r="E26" s="18">
        <f t="shared" si="0"/>
        <v>350000</v>
      </c>
      <c r="F26" s="18">
        <f t="shared" si="1"/>
        <v>50000</v>
      </c>
    </row>
    <row r="27" spans="1:6" x14ac:dyDescent="0.35">
      <c r="A27" t="s">
        <v>506</v>
      </c>
      <c r="B27">
        <v>9628</v>
      </c>
      <c r="C27" t="s">
        <v>438</v>
      </c>
      <c r="D27" s="18">
        <v>10000</v>
      </c>
      <c r="E27" s="18">
        <f t="shared" si="0"/>
        <v>360000</v>
      </c>
      <c r="F27" s="18">
        <f t="shared" si="1"/>
        <v>40000</v>
      </c>
    </row>
    <row r="28" spans="1:6" x14ac:dyDescent="0.35">
      <c r="A28" t="s">
        <v>507</v>
      </c>
      <c r="B28">
        <v>65</v>
      </c>
      <c r="C28" t="s">
        <v>438</v>
      </c>
      <c r="D28" s="18">
        <v>10000</v>
      </c>
      <c r="E28" s="18">
        <f t="shared" si="0"/>
        <v>370000</v>
      </c>
      <c r="F28" s="18">
        <f t="shared" si="1"/>
        <v>30000</v>
      </c>
    </row>
    <row r="29" spans="1:6" x14ac:dyDescent="0.35">
      <c r="A29" t="s">
        <v>508</v>
      </c>
      <c r="B29">
        <v>317</v>
      </c>
      <c r="C29" t="s">
        <v>438</v>
      </c>
      <c r="D29" s="18">
        <v>10000</v>
      </c>
      <c r="E29" s="18">
        <f t="shared" si="0"/>
        <v>380000</v>
      </c>
      <c r="F29" s="18">
        <f t="shared" si="1"/>
        <v>20000</v>
      </c>
    </row>
    <row r="30" spans="1:6" x14ac:dyDescent="0.35">
      <c r="A30" t="s">
        <v>509</v>
      </c>
      <c r="B30">
        <v>11699</v>
      </c>
      <c r="C30" t="s">
        <v>438</v>
      </c>
      <c r="D30" s="18">
        <v>10000</v>
      </c>
      <c r="E30" s="18">
        <f t="shared" si="0"/>
        <v>390000</v>
      </c>
      <c r="F30" s="18">
        <f t="shared" si="1"/>
        <v>10000</v>
      </c>
    </row>
    <row r="31" spans="1:6" x14ac:dyDescent="0.35">
      <c r="A31" t="s">
        <v>510</v>
      </c>
      <c r="B31">
        <v>11994</v>
      </c>
      <c r="C31" t="s">
        <v>438</v>
      </c>
      <c r="D31" s="18">
        <v>10000</v>
      </c>
      <c r="E31" s="18">
        <f t="shared" si="0"/>
        <v>400000</v>
      </c>
      <c r="F31" s="18">
        <f t="shared" si="1"/>
        <v>0</v>
      </c>
    </row>
    <row r="35" spans="2:2" x14ac:dyDescent="0.35">
      <c r="B35" t="s">
        <v>600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L-5201</vt:lpstr>
      <vt:lpstr>L-5204</vt:lpstr>
      <vt:lpstr>L-5205</vt:lpstr>
      <vt:lpstr>L-5206</vt:lpstr>
      <vt:lpstr>L-5209</vt:lpstr>
      <vt:lpstr>L-5280</vt:lpstr>
      <vt:lpstr>L5219</vt:lpstr>
      <vt:lpstr>L-5216</vt:lpstr>
      <vt:lpstr>L-5215</vt:lpstr>
      <vt:lpstr>L-5221</vt:lpstr>
      <vt:lpstr>L-5225</vt:lpstr>
      <vt:lpstr>L-5226</vt:lpstr>
      <vt:lpstr>L-5227</vt:lpstr>
      <vt:lpstr>L-5241</vt:lpstr>
      <vt:lpstr>L-5242</vt:lpstr>
      <vt:lpstr>L-5248</vt:lpstr>
      <vt:lpstr>L-5249</vt:lpstr>
      <vt:lpstr>L-5251</vt:lpstr>
      <vt:lpstr>L-5253</vt:lpstr>
      <vt:lpstr>L-5254</vt:lpstr>
      <vt:lpstr>L-5261</vt:lpstr>
      <vt:lpstr>L-5262</vt:lpstr>
      <vt:lpstr>L-5268</vt:lpstr>
      <vt:lpstr>L-5269</vt:lpstr>
      <vt:lpstr>L-5270</vt:lpstr>
      <vt:lpstr>L-5273</vt:lpstr>
      <vt:lpstr>L-5272</vt:lpstr>
      <vt:lpstr>L-5274</vt:lpstr>
      <vt:lpstr>L-5277</vt:lpstr>
      <vt:lpstr>L-5278</vt:lpstr>
      <vt:lpstr>L-5279</vt:lpstr>
      <vt:lpstr>L</vt:lpstr>
      <vt:lpstr>L-5286</vt:lpstr>
      <vt:lpstr>L-5289</vt:lpstr>
      <vt:lpstr>L-5290</vt:lpstr>
      <vt:lpstr>L-5293</vt:lpstr>
      <vt:lpstr>L-5292</vt:lpstr>
      <vt:lpstr>L-5296</vt:lpstr>
      <vt:lpstr>L-5297</vt:lpstr>
      <vt:lpstr>L-5298</vt:lpstr>
      <vt:lpstr>L-5299</vt:lpstr>
      <vt:lpstr>L-5294</vt:lpstr>
      <vt:lpstr>L-5295</vt:lpstr>
      <vt:lpstr>L-5207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2026-02-22T00:13:27Z</dcterms:created>
  <dcterms:modified xsi:type="dcterms:W3CDTF">2026-10-11T15:30:38Z</dcterms:modified>
</cp:coreProperties>
</file>