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36" activeTab="45"/>
  </bookViews>
  <sheets>
    <sheet name="L-5100" sheetId="33" r:id="rId1"/>
    <sheet name="L-5108" sheetId="31" r:id="rId2"/>
    <sheet name="L-5109" sheetId="32" r:id="rId3"/>
    <sheet name="L-5115" sheetId="17" r:id="rId4"/>
    <sheet name="L-5116" sheetId="15" r:id="rId5"/>
    <sheet name="L-5118" sheetId="5" r:id="rId6"/>
    <sheet name="L-5120" sheetId="38" r:id="rId7"/>
    <sheet name="L-5127" sheetId="21" r:id="rId8"/>
    <sheet name="L-5123-B" sheetId="56" r:id="rId9"/>
    <sheet name="L-5129" sheetId="27" r:id="rId10"/>
    <sheet name="L-5136" sheetId="28" r:id="rId11"/>
    <sheet name="L-5137" sheetId="19" r:id="rId12"/>
    <sheet name="L-5138" sheetId="55" r:id="rId13"/>
    <sheet name="L-5140" sheetId="1" r:id="rId14"/>
    <sheet name="L-5141" sheetId="25" r:id="rId15"/>
    <sheet name="L-5142" sheetId="26" r:id="rId16"/>
    <sheet name="L-5143" sheetId="18" r:id="rId17"/>
    <sheet name="L-5149" sheetId="7" r:id="rId18"/>
    <sheet name="L-5151" sheetId="9" r:id="rId19"/>
    <sheet name="L-5156" sheetId="43" r:id="rId20"/>
    <sheet name="L-5155" sheetId="6" r:id="rId21"/>
    <sheet name="L-5157" sheetId="4" r:id="rId22"/>
    <sheet name="L-5160" sheetId="11" r:id="rId23"/>
    <sheet name="L-5179" sheetId="40" r:id="rId24"/>
    <sheet name="L-5132" sheetId="42" r:id="rId25"/>
    <sheet name="L-5131" sheetId="57" r:id="rId26"/>
    <sheet name="L-5165" sheetId="22" r:id="rId27"/>
    <sheet name="L-5174" sheetId="34" r:id="rId28"/>
    <sheet name="L-5177" sheetId="23" r:id="rId29"/>
    <sheet name="L-5175" sheetId="20" r:id="rId30"/>
    <sheet name="L-5176" sheetId="24" r:id="rId31"/>
    <sheet name="L-5184" sheetId="2" r:id="rId32"/>
    <sheet name="L-5188" sheetId="52" r:id="rId33"/>
    <sheet name="L-5189" sheetId="3" r:id="rId34"/>
    <sheet name="L-5190" sheetId="50" r:id="rId35"/>
    <sheet name="L-5192" sheetId="36" r:id="rId36"/>
    <sheet name="L-5122-A" sheetId="41" r:id="rId37"/>
    <sheet name="L-5193" sheetId="35" r:id="rId38"/>
    <sheet name="L-5200" sheetId="13" r:id="rId39"/>
    <sheet name="L-5194" sheetId="37" r:id="rId40"/>
    <sheet name="L-5102" sheetId="44" r:id="rId41"/>
    <sheet name="L-5101" sheetId="45" r:id="rId42"/>
    <sheet name="L-5104" sheetId="46" r:id="rId43"/>
    <sheet name="L-5103" sheetId="47" r:id="rId44"/>
    <sheet name="L-5147" sheetId="48" r:id="rId45"/>
    <sheet name="L-5168" sheetId="49" r:id="rId46"/>
    <sheet name="L-5105" sheetId="54" r:id="rId47"/>
    <sheet name="L-5171" sheetId="51" r:id="rId48"/>
    <sheet name="L-5180" sheetId="53" r:id="rId49"/>
    <sheet name="L-5199" sheetId="14" r:id="rId5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49" l="1"/>
  <c r="F52" i="35" l="1"/>
  <c r="E52" i="35"/>
  <c r="F52" i="36"/>
  <c r="E52" i="36"/>
  <c r="F52" i="37"/>
  <c r="E52" i="37"/>
  <c r="E48" i="18" l="1"/>
  <c r="F23" i="51"/>
  <c r="F22" i="51"/>
  <c r="E23" i="51"/>
  <c r="E22" i="51"/>
  <c r="F24" i="56"/>
  <c r="E24" i="56"/>
  <c r="F23" i="56"/>
  <c r="E23" i="56"/>
  <c r="F22" i="56"/>
  <c r="E22" i="56"/>
  <c r="F21" i="56"/>
  <c r="E21" i="56"/>
  <c r="F20" i="56"/>
  <c r="E20" i="56"/>
  <c r="E19" i="56"/>
  <c r="F19" i="56"/>
  <c r="F18" i="56"/>
  <c r="F43" i="55"/>
  <c r="E43" i="55"/>
  <c r="F47" i="18"/>
  <c r="E47" i="18"/>
  <c r="F48" i="1"/>
  <c r="E48" i="1"/>
  <c r="F51" i="35"/>
  <c r="E51" i="35"/>
  <c r="F51" i="36"/>
  <c r="E51" i="36"/>
  <c r="F51" i="37"/>
  <c r="E51" i="37"/>
  <c r="F12" i="4"/>
  <c r="E12" i="4"/>
  <c r="F11" i="4"/>
  <c r="E11" i="4"/>
  <c r="F50" i="3"/>
  <c r="E50" i="3"/>
  <c r="F39" i="17"/>
  <c r="F38" i="17"/>
  <c r="E39" i="17"/>
  <c r="E38" i="17"/>
  <c r="F39" i="5"/>
  <c r="E39" i="5"/>
  <c r="F19" i="20"/>
  <c r="E19" i="20"/>
  <c r="E12" i="22"/>
  <c r="E13" i="22" s="1"/>
  <c r="E14" i="22" s="1"/>
  <c r="E15" i="22" s="1"/>
  <c r="F12" i="22"/>
  <c r="F13" i="22" s="1"/>
  <c r="F14" i="22" s="1"/>
  <c r="F15" i="22" s="1"/>
  <c r="F31" i="54"/>
  <c r="F30" i="54"/>
  <c r="F29" i="54"/>
  <c r="F28" i="54"/>
  <c r="F27" i="54"/>
  <c r="F26" i="54"/>
  <c r="F25" i="54"/>
  <c r="F24" i="54"/>
  <c r="F23" i="54"/>
  <c r="F22" i="54"/>
  <c r="F21" i="54"/>
  <c r="F20" i="54"/>
  <c r="F19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F18" i="54"/>
  <c r="F17" i="54"/>
  <c r="F16" i="54"/>
  <c r="F15" i="54"/>
  <c r="F14" i="54"/>
  <c r="F13" i="54"/>
  <c r="F12" i="54"/>
  <c r="F11" i="54"/>
  <c r="F10" i="54"/>
  <c r="F9" i="54"/>
  <c r="E18" i="54"/>
  <c r="E17" i="54"/>
  <c r="E16" i="54"/>
  <c r="E15" i="54"/>
  <c r="E14" i="54"/>
  <c r="E13" i="54"/>
  <c r="E12" i="54"/>
  <c r="E11" i="54"/>
  <c r="E10" i="54"/>
  <c r="E9" i="54"/>
  <c r="F23" i="49"/>
  <c r="F22" i="49"/>
  <c r="F21" i="49"/>
  <c r="F20" i="49"/>
  <c r="F19" i="49"/>
  <c r="F18" i="49"/>
  <c r="F17" i="49"/>
  <c r="F16" i="49"/>
  <c r="F15" i="49"/>
  <c r="F14" i="49"/>
  <c r="E23" i="49"/>
  <c r="E22" i="49"/>
  <c r="E21" i="49"/>
  <c r="E20" i="49"/>
  <c r="E19" i="49"/>
  <c r="E18" i="49"/>
  <c r="E17" i="49"/>
  <c r="E16" i="49"/>
  <c r="E15" i="49"/>
  <c r="E14" i="49"/>
  <c r="F50" i="27"/>
  <c r="F49" i="27"/>
  <c r="F48" i="27"/>
  <c r="F47" i="27"/>
  <c r="F46" i="27"/>
  <c r="F45" i="27"/>
  <c r="F44" i="27"/>
  <c r="F43" i="27"/>
  <c r="F42" i="27"/>
  <c r="F41" i="27"/>
  <c r="E50" i="27"/>
  <c r="E49" i="27"/>
  <c r="E48" i="27"/>
  <c r="E47" i="27"/>
  <c r="E46" i="27"/>
  <c r="E45" i="27"/>
  <c r="E44" i="27"/>
  <c r="E43" i="27"/>
  <c r="E42" i="27"/>
  <c r="E41" i="27"/>
  <c r="F40" i="27"/>
  <c r="E40" i="27"/>
  <c r="F39" i="27"/>
  <c r="F38" i="27"/>
  <c r="F37" i="27"/>
  <c r="F36" i="27"/>
  <c r="F35" i="27"/>
  <c r="F34" i="27"/>
  <c r="F33" i="27"/>
  <c r="E39" i="27"/>
  <c r="E38" i="27"/>
  <c r="E37" i="27"/>
  <c r="E36" i="27"/>
  <c r="E35" i="27"/>
  <c r="E34" i="27"/>
  <c r="E33" i="27"/>
  <c r="F50" i="36"/>
  <c r="E50" i="36"/>
  <c r="F49" i="36"/>
  <c r="E49" i="36"/>
  <c r="F48" i="36"/>
  <c r="E48" i="36"/>
  <c r="F50" i="35"/>
  <c r="E50" i="35"/>
  <c r="F49" i="35"/>
  <c r="E49" i="35"/>
  <c r="F48" i="35"/>
  <c r="E48" i="35"/>
  <c r="F50" i="37"/>
  <c r="E50" i="37"/>
  <c r="F49" i="37"/>
  <c r="E49" i="37"/>
  <c r="F48" i="37"/>
  <c r="E48" i="37"/>
  <c r="F39" i="15"/>
  <c r="E39" i="15"/>
  <c r="F38" i="15"/>
  <c r="E38" i="15"/>
  <c r="F39" i="13"/>
  <c r="E39" i="13"/>
  <c r="F38" i="13"/>
  <c r="E38" i="13"/>
  <c r="F23" i="31"/>
  <c r="F24" i="31" s="1"/>
  <c r="F25" i="31" s="1"/>
  <c r="F26" i="31" s="1"/>
  <c r="F27" i="31" s="1"/>
  <c r="F28" i="31" s="1"/>
  <c r="F29" i="31" s="1"/>
  <c r="F30" i="31" s="1"/>
  <c r="F31" i="31" s="1"/>
  <c r="F32" i="31" s="1"/>
  <c r="E23" i="31"/>
  <c r="E24" i="31" s="1"/>
  <c r="E25" i="31" s="1"/>
  <c r="E26" i="31" s="1"/>
  <c r="E27" i="31" s="1"/>
  <c r="E28" i="31" s="1"/>
  <c r="E29" i="31" s="1"/>
  <c r="E30" i="31" s="1"/>
  <c r="E31" i="31" s="1"/>
  <c r="E32" i="31" s="1"/>
  <c r="F33" i="38" l="1"/>
  <c r="E33" i="38"/>
  <c r="F39" i="34"/>
  <c r="F38" i="34"/>
  <c r="F37" i="34"/>
  <c r="F36" i="34"/>
  <c r="E39" i="34"/>
  <c r="E38" i="34"/>
  <c r="E37" i="34"/>
  <c r="E36" i="34"/>
  <c r="F21" i="51"/>
  <c r="F20" i="51"/>
  <c r="F19" i="51"/>
  <c r="F18" i="51"/>
  <c r="F17" i="51"/>
  <c r="F16" i="51"/>
  <c r="F15" i="51"/>
  <c r="E21" i="51"/>
  <c r="E20" i="51"/>
  <c r="E19" i="51"/>
  <c r="E18" i="51"/>
  <c r="E17" i="51"/>
  <c r="E16" i="51"/>
  <c r="E15" i="51"/>
  <c r="F13" i="9"/>
  <c r="E13" i="9"/>
  <c r="F18" i="20"/>
  <c r="E18" i="20"/>
  <c r="F19" i="7"/>
  <c r="E19" i="7"/>
  <c r="F45" i="53"/>
  <c r="F44" i="53"/>
  <c r="F43" i="53"/>
  <c r="F42" i="53"/>
  <c r="F41" i="53"/>
  <c r="F40" i="53"/>
  <c r="F39" i="53"/>
  <c r="F38" i="53"/>
  <c r="F37" i="53"/>
  <c r="F36" i="53"/>
  <c r="F35" i="53"/>
  <c r="F34" i="53"/>
  <c r="F33" i="53"/>
  <c r="F32" i="53"/>
  <c r="F31" i="53"/>
  <c r="F30" i="53"/>
  <c r="F29" i="53"/>
  <c r="F28" i="53"/>
  <c r="F27" i="53"/>
  <c r="F26" i="53"/>
  <c r="F25" i="53"/>
  <c r="F24" i="53"/>
  <c r="F23" i="53"/>
  <c r="F22" i="53"/>
  <c r="F21" i="53"/>
  <c r="F20" i="53"/>
  <c r="F19" i="53"/>
  <c r="F18" i="53"/>
  <c r="F17" i="53"/>
  <c r="F16" i="53"/>
  <c r="F15" i="53"/>
  <c r="F14" i="53"/>
  <c r="F13" i="53"/>
  <c r="F12" i="53"/>
  <c r="F11" i="53"/>
  <c r="F10" i="53"/>
  <c r="E45" i="53"/>
  <c r="E44" i="53"/>
  <c r="E43" i="53"/>
  <c r="E42" i="53"/>
  <c r="E41" i="53"/>
  <c r="E40" i="53"/>
  <c r="E39" i="53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F49" i="3"/>
  <c r="E49" i="3"/>
  <c r="F38" i="5"/>
  <c r="E38" i="5"/>
  <c r="F37" i="15"/>
  <c r="F36" i="15"/>
  <c r="E37" i="15"/>
  <c r="E36" i="15"/>
  <c r="F37" i="17"/>
  <c r="F36" i="17"/>
  <c r="E37" i="17"/>
  <c r="E36" i="17"/>
  <c r="F37" i="13"/>
  <c r="F36" i="13"/>
  <c r="E37" i="13"/>
  <c r="E36" i="13"/>
  <c r="F12" i="52"/>
  <c r="F11" i="52"/>
  <c r="F10" i="52"/>
  <c r="E12" i="52"/>
  <c r="E11" i="52"/>
  <c r="E10" i="52"/>
  <c r="F47" i="1"/>
  <c r="E47" i="1"/>
  <c r="F17" i="20"/>
  <c r="E17" i="20"/>
  <c r="F16" i="45"/>
  <c r="F15" i="45"/>
  <c r="F14" i="45"/>
  <c r="F13" i="45"/>
  <c r="F12" i="45"/>
  <c r="F11" i="45"/>
  <c r="F10" i="45"/>
  <c r="E16" i="45"/>
  <c r="E15" i="45"/>
  <c r="E14" i="45"/>
  <c r="E13" i="45"/>
  <c r="E12" i="45"/>
  <c r="E11" i="45"/>
  <c r="E10" i="45"/>
  <c r="F42" i="19"/>
  <c r="E42" i="19"/>
  <c r="F12" i="9"/>
  <c r="E12" i="9"/>
  <c r="F10" i="2"/>
  <c r="E10" i="2"/>
  <c r="F18" i="7"/>
  <c r="E18" i="7"/>
  <c r="F48" i="3"/>
  <c r="E48" i="3"/>
  <c r="F46" i="1"/>
  <c r="E46" i="1"/>
  <c r="F24" i="33"/>
  <c r="E23" i="11"/>
  <c r="F23" i="11"/>
  <c r="E41" i="19"/>
  <c r="F41" i="19"/>
  <c r="E10" i="42" l="1"/>
  <c r="F9" i="42"/>
  <c r="E9" i="42"/>
  <c r="E46" i="3"/>
  <c r="E47" i="3" s="1"/>
  <c r="F46" i="3"/>
  <c r="F47" i="3" s="1"/>
  <c r="F11" i="9" l="1"/>
  <c r="E11" i="9"/>
  <c r="E16" i="20"/>
  <c r="F16" i="20"/>
  <c r="E43" i="18"/>
  <c r="F43" i="18"/>
  <c r="F37" i="5"/>
  <c r="E37" i="5"/>
  <c r="F22" i="40"/>
  <c r="F23" i="40" s="1"/>
  <c r="F24" i="40" s="1"/>
  <c r="F25" i="40" s="1"/>
  <c r="F26" i="40" s="1"/>
  <c r="F27" i="40" s="1"/>
  <c r="F28" i="40" s="1"/>
  <c r="F29" i="40" s="1"/>
  <c r="F30" i="40" s="1"/>
  <c r="F31" i="40" s="1"/>
  <c r="F32" i="40" s="1"/>
  <c r="F33" i="40" s="1"/>
  <c r="F34" i="40" s="1"/>
  <c r="E22" i="40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F10" i="40"/>
  <c r="F11" i="40" s="1"/>
  <c r="F12" i="40" s="1"/>
  <c r="F13" i="40" s="1"/>
  <c r="F14" i="40" s="1"/>
  <c r="F15" i="40" s="1"/>
  <c r="F16" i="40" s="1"/>
  <c r="F17" i="40" s="1"/>
  <c r="F18" i="40" s="1"/>
  <c r="F19" i="40" s="1"/>
  <c r="F20" i="40" s="1"/>
  <c r="F21" i="40" s="1"/>
  <c r="E10" i="40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F9" i="40"/>
  <c r="E9" i="40"/>
  <c r="F19" i="38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E19" i="38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F10" i="38"/>
  <c r="F11" i="38" s="1"/>
  <c r="F12" i="38" s="1"/>
  <c r="F13" i="38" s="1"/>
  <c r="F14" i="38" s="1"/>
  <c r="F15" i="38" s="1"/>
  <c r="F16" i="38" s="1"/>
  <c r="F17" i="38" s="1"/>
  <c r="F18" i="38" s="1"/>
  <c r="E10" i="38"/>
  <c r="E11" i="38" s="1"/>
  <c r="E12" i="38" s="1"/>
  <c r="E13" i="38" s="1"/>
  <c r="E14" i="38" s="1"/>
  <c r="E15" i="38" s="1"/>
  <c r="E16" i="38" s="1"/>
  <c r="E17" i="38" s="1"/>
  <c r="E18" i="38" s="1"/>
  <c r="F9" i="38"/>
  <c r="E9" i="38"/>
  <c r="E17" i="7"/>
  <c r="F17" i="7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F9" i="37"/>
  <c r="F10" i="37" s="1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F25" i="37" s="1"/>
  <c r="F26" i="37" s="1"/>
  <c r="F27" i="37" s="1"/>
  <c r="F28" i="37" s="1"/>
  <c r="F29" i="37" s="1"/>
  <c r="F30" i="37" s="1"/>
  <c r="F31" i="37" s="1"/>
  <c r="F32" i="37" s="1"/>
  <c r="F33" i="37" s="1"/>
  <c r="F34" i="37" s="1"/>
  <c r="F35" i="37" s="1"/>
  <c r="F36" i="37" s="1"/>
  <c r="F37" i="37" s="1"/>
  <c r="F38" i="37" s="1"/>
  <c r="F39" i="37" s="1"/>
  <c r="F40" i="37" s="1"/>
  <c r="F41" i="37" s="1"/>
  <c r="F42" i="37" s="1"/>
  <c r="F43" i="37" s="1"/>
  <c r="F44" i="37" s="1"/>
  <c r="F45" i="37" s="1"/>
  <c r="F46" i="37" s="1"/>
  <c r="F47" i="37" s="1"/>
  <c r="E9" i="37"/>
  <c r="F10" i="36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45" i="36" s="1"/>
  <c r="F46" i="36" s="1"/>
  <c r="F47" i="36" s="1"/>
  <c r="E10" i="36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F9" i="36"/>
  <c r="E9" i="36"/>
  <c r="F43" i="35"/>
  <c r="F44" i="35" s="1"/>
  <c r="F45" i="35" s="1"/>
  <c r="F46" i="35" s="1"/>
  <c r="F47" i="35" s="1"/>
  <c r="E43" i="35"/>
  <c r="E44" i="35" s="1"/>
  <c r="E45" i="35" s="1"/>
  <c r="E46" i="35" s="1"/>
  <c r="E47" i="35" s="1"/>
  <c r="F19" i="35"/>
  <c r="F20" i="35" s="1"/>
  <c r="F21" i="35" s="1"/>
  <c r="F22" i="35" s="1"/>
  <c r="F23" i="35" s="1"/>
  <c r="F24" i="35" s="1"/>
  <c r="F25" i="35" s="1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E19" i="35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F10" i="35"/>
  <c r="F11" i="35" s="1"/>
  <c r="F12" i="35" s="1"/>
  <c r="F13" i="35" s="1"/>
  <c r="F14" i="35" s="1"/>
  <c r="F15" i="35" s="1"/>
  <c r="F16" i="35" s="1"/>
  <c r="F17" i="35" s="1"/>
  <c r="F18" i="35" s="1"/>
  <c r="E10" i="35"/>
  <c r="E11" i="35" s="1"/>
  <c r="E12" i="35" s="1"/>
  <c r="E13" i="35" s="1"/>
  <c r="E14" i="35" s="1"/>
  <c r="E15" i="35" s="1"/>
  <c r="E16" i="35" s="1"/>
  <c r="E17" i="35" s="1"/>
  <c r="E18" i="35" s="1"/>
  <c r="F9" i="35"/>
  <c r="E9" i="35"/>
  <c r="F10" i="4"/>
  <c r="E10" i="4"/>
  <c r="E22" i="11"/>
  <c r="F22" i="11"/>
  <c r="F26" i="34"/>
  <c r="F27" i="34" s="1"/>
  <c r="F28" i="34" s="1"/>
  <c r="F29" i="34" s="1"/>
  <c r="F30" i="34" s="1"/>
  <c r="F31" i="34" s="1"/>
  <c r="F32" i="34" s="1"/>
  <c r="F33" i="34" s="1"/>
  <c r="F34" i="34" s="1"/>
  <c r="F35" i="34" s="1"/>
  <c r="E26" i="34"/>
  <c r="E27" i="34" s="1"/>
  <c r="E28" i="34" s="1"/>
  <c r="E29" i="34" s="1"/>
  <c r="E30" i="34" s="1"/>
  <c r="E31" i="34" s="1"/>
  <c r="E32" i="34" s="1"/>
  <c r="E33" i="34" s="1"/>
  <c r="E34" i="34" s="1"/>
  <c r="E35" i="34" s="1"/>
  <c r="F17" i="34"/>
  <c r="F18" i="34" s="1"/>
  <c r="F19" i="34" s="1"/>
  <c r="F20" i="34" s="1"/>
  <c r="F21" i="34" s="1"/>
  <c r="F22" i="34" s="1"/>
  <c r="F23" i="34" s="1"/>
  <c r="F24" i="34" s="1"/>
  <c r="F25" i="34" s="1"/>
  <c r="E17" i="34"/>
  <c r="E18" i="34"/>
  <c r="E19" i="34" s="1"/>
  <c r="E20" i="34" s="1"/>
  <c r="E21" i="34" s="1"/>
  <c r="E22" i="34" s="1"/>
  <c r="E23" i="34" s="1"/>
  <c r="E24" i="34" s="1"/>
  <c r="E25" i="34" s="1"/>
  <c r="F16" i="34"/>
  <c r="E16" i="34"/>
  <c r="E40" i="19"/>
  <c r="F40" i="19"/>
  <c r="F19" i="33"/>
  <c r="F20" i="33" s="1"/>
  <c r="F21" i="33" s="1"/>
  <c r="F22" i="33" s="1"/>
  <c r="F23" i="33" s="1"/>
  <c r="F10" i="33"/>
  <c r="F11" i="33" s="1"/>
  <c r="F12" i="33" s="1"/>
  <c r="F13" i="33" s="1"/>
  <c r="F14" i="33" s="1"/>
  <c r="F15" i="33" s="1"/>
  <c r="F16" i="33" s="1"/>
  <c r="F17" i="33" s="1"/>
  <c r="F18" i="33" s="1"/>
  <c r="E10" i="33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F9" i="33"/>
  <c r="E9" i="33"/>
  <c r="F19" i="32"/>
  <c r="E19" i="32"/>
  <c r="F10" i="32"/>
  <c r="F11" i="32"/>
  <c r="F12" i="32"/>
  <c r="F13" i="32"/>
  <c r="F14" i="32" s="1"/>
  <c r="F15" i="32" s="1"/>
  <c r="F16" i="32" s="1"/>
  <c r="F17" i="32" s="1"/>
  <c r="F18" i="32" s="1"/>
  <c r="E10" i="32"/>
  <c r="E11" i="32"/>
  <c r="E12" i="32"/>
  <c r="E13" i="32"/>
  <c r="E14" i="32" s="1"/>
  <c r="E15" i="32" s="1"/>
  <c r="E16" i="32" s="1"/>
  <c r="E17" i="32" s="1"/>
  <c r="E18" i="32" s="1"/>
  <c r="F9" i="32"/>
  <c r="E9" i="32"/>
  <c r="F9" i="31"/>
  <c r="F10" i="31" s="1"/>
  <c r="F11" i="31" s="1"/>
  <c r="F12" i="31" s="1"/>
  <c r="F13" i="31" s="1"/>
  <c r="F14" i="31" s="1"/>
  <c r="F15" i="31" s="1"/>
  <c r="F16" i="31" s="1"/>
  <c r="F17" i="31" s="1"/>
  <c r="F18" i="31" s="1"/>
  <c r="F19" i="31" s="1"/>
  <c r="E9" i="31"/>
  <c r="E10" i="31" s="1"/>
  <c r="E11" i="31" s="1"/>
  <c r="E12" i="31" s="1"/>
  <c r="E13" i="31" s="1"/>
  <c r="E14" i="31" s="1"/>
  <c r="E15" i="31" s="1"/>
  <c r="E16" i="31" s="1"/>
  <c r="E17" i="31" s="1"/>
  <c r="E18" i="31" s="1"/>
  <c r="E19" i="31" s="1"/>
  <c r="E15" i="20"/>
  <c r="F15" i="20"/>
  <c r="F15" i="28"/>
  <c r="F16" i="28" s="1"/>
  <c r="F17" i="28" s="1"/>
  <c r="E15" i="28"/>
  <c r="E16" i="28" s="1"/>
  <c r="E17" i="28" s="1"/>
  <c r="F14" i="28"/>
  <c r="E14" i="28"/>
  <c r="F10" i="27"/>
  <c r="F11" i="27"/>
  <c r="F12" i="27"/>
  <c r="F13" i="27"/>
  <c r="F14" i="27" s="1"/>
  <c r="F15" i="27" s="1"/>
  <c r="F16" i="27" s="1"/>
  <c r="F17" i="27" s="1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F9" i="27"/>
  <c r="E9" i="27"/>
  <c r="F9" i="26"/>
  <c r="E9" i="26"/>
  <c r="F9" i="25"/>
  <c r="E9" i="25"/>
  <c r="F10" i="24"/>
  <c r="F11" i="24" s="1"/>
  <c r="E10" i="24"/>
  <c r="E11" i="24" s="1"/>
  <c r="F10" i="22"/>
  <c r="F11" i="22" s="1"/>
  <c r="E10" i="22"/>
  <c r="E11" i="22" s="1"/>
  <c r="F9" i="22"/>
  <c r="E9" i="22"/>
  <c r="E35" i="15"/>
  <c r="F35" i="15"/>
  <c r="E35" i="17"/>
  <c r="F35" i="17"/>
  <c r="E35" i="13"/>
  <c r="F35" i="13"/>
  <c r="E33" i="14"/>
  <c r="E34" i="14" s="1"/>
  <c r="E35" i="14" s="1"/>
  <c r="E36" i="14" s="1"/>
  <c r="E37" i="14" s="1"/>
  <c r="F33" i="14"/>
  <c r="F34" i="14" s="1"/>
  <c r="F35" i="14" s="1"/>
  <c r="F36" i="14" s="1"/>
  <c r="F37" i="14" s="1"/>
  <c r="F19" i="21"/>
  <c r="F20" i="21" s="1"/>
  <c r="F21" i="21" s="1"/>
  <c r="F22" i="21" s="1"/>
  <c r="F23" i="21" s="1"/>
  <c r="F24" i="21" s="1"/>
  <c r="F25" i="21" s="1"/>
  <c r="F26" i="21" s="1"/>
  <c r="F27" i="21" s="1"/>
  <c r="E19" i="21"/>
  <c r="E20" i="21" s="1"/>
  <c r="E21" i="21" s="1"/>
  <c r="E22" i="21" s="1"/>
  <c r="E23" i="21" s="1"/>
  <c r="E24" i="21" s="1"/>
  <c r="E25" i="21" s="1"/>
  <c r="E26" i="21" s="1"/>
  <c r="E27" i="21" s="1"/>
  <c r="F10" i="21"/>
  <c r="F11" i="21" s="1"/>
  <c r="F12" i="21" s="1"/>
  <c r="F13" i="21" s="1"/>
  <c r="F14" i="21" s="1"/>
  <c r="F15" i="21" s="1"/>
  <c r="F16" i="21" s="1"/>
  <c r="F17" i="21" s="1"/>
  <c r="F18" i="21" s="1"/>
  <c r="E10" i="21"/>
  <c r="E11" i="21"/>
  <c r="E12" i="21" s="1"/>
  <c r="E13" i="21" s="1"/>
  <c r="E14" i="21" s="1"/>
  <c r="E15" i="21" s="1"/>
  <c r="E16" i="21" s="1"/>
  <c r="E17" i="21" s="1"/>
  <c r="E18" i="21" s="1"/>
  <c r="F9" i="21"/>
  <c r="E9" i="21"/>
  <c r="F21" i="11"/>
  <c r="E21" i="11"/>
  <c r="F9" i="20"/>
  <c r="F10" i="20" s="1"/>
  <c r="F11" i="20" s="1"/>
  <c r="F12" i="20" s="1"/>
  <c r="F13" i="20" s="1"/>
  <c r="F14" i="20" s="1"/>
  <c r="E9" i="20"/>
  <c r="E10" i="20" s="1"/>
  <c r="E11" i="20" s="1"/>
  <c r="E12" i="20" s="1"/>
  <c r="E13" i="20" s="1"/>
  <c r="E14" i="20" s="1"/>
  <c r="F10" i="19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9" i="19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F10" i="18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E10" i="18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F9" i="18"/>
  <c r="E9" i="18"/>
  <c r="F18" i="17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E18" i="17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F9" i="17"/>
  <c r="F10" i="17" s="1"/>
  <c r="F11" i="17" s="1"/>
  <c r="F12" i="17" s="1"/>
  <c r="F13" i="17" s="1"/>
  <c r="F14" i="17" s="1"/>
  <c r="F15" i="17" s="1"/>
  <c r="F16" i="17" s="1"/>
  <c r="F17" i="17" s="1"/>
  <c r="E9" i="17"/>
  <c r="E10" i="17" s="1"/>
  <c r="E11" i="17" s="1"/>
  <c r="E12" i="17" s="1"/>
  <c r="E13" i="17" s="1"/>
  <c r="E14" i="17" s="1"/>
  <c r="E15" i="17" s="1"/>
  <c r="E16" i="17" s="1"/>
  <c r="E17" i="17" s="1"/>
  <c r="F8" i="17"/>
  <c r="E8" i="17"/>
  <c r="F18" i="15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E18" i="15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F9" i="15"/>
  <c r="F10" i="15" s="1"/>
  <c r="F11" i="15" s="1"/>
  <c r="F12" i="15" s="1"/>
  <c r="F13" i="15" s="1"/>
  <c r="F14" i="15" s="1"/>
  <c r="F15" i="15" s="1"/>
  <c r="F16" i="15" s="1"/>
  <c r="F17" i="15" s="1"/>
  <c r="E9" i="15"/>
  <c r="E10" i="15"/>
  <c r="E11" i="15" s="1"/>
  <c r="E12" i="15" s="1"/>
  <c r="E13" i="15" s="1"/>
  <c r="E14" i="15" s="1"/>
  <c r="E15" i="15" s="1"/>
  <c r="E16" i="15" s="1"/>
  <c r="E17" i="15" s="1"/>
  <c r="F8" i="15"/>
  <c r="E8" i="15"/>
  <c r="F18" i="14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E18" i="14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F9" i="14"/>
  <c r="F10" i="14" s="1"/>
  <c r="F11" i="14" s="1"/>
  <c r="F12" i="14" s="1"/>
  <c r="F13" i="14" s="1"/>
  <c r="F14" i="14" s="1"/>
  <c r="F15" i="14" s="1"/>
  <c r="F16" i="14" s="1"/>
  <c r="F17" i="14" s="1"/>
  <c r="E9" i="14"/>
  <c r="E10" i="14"/>
  <c r="E11" i="14" s="1"/>
  <c r="E12" i="14" s="1"/>
  <c r="E13" i="14" s="1"/>
  <c r="E14" i="14" s="1"/>
  <c r="E15" i="14" s="1"/>
  <c r="E16" i="14" s="1"/>
  <c r="E17" i="14" s="1"/>
  <c r="F8" i="14"/>
  <c r="E8" i="14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8" i="13"/>
  <c r="F34" i="13"/>
  <c r="F8" i="13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F9" i="7"/>
  <c r="F10" i="7" s="1"/>
  <c r="F11" i="7" s="1"/>
  <c r="F12" i="7" s="1"/>
  <c r="F13" i="7" s="1"/>
  <c r="F14" i="7" s="1"/>
  <c r="F15" i="7" s="1"/>
  <c r="F16" i="7" s="1"/>
  <c r="E9" i="7"/>
  <c r="E10" i="7" s="1"/>
  <c r="E11" i="7" s="1"/>
  <c r="E12" i="7" s="1"/>
  <c r="E13" i="7" s="1"/>
  <c r="E14" i="7" s="1"/>
  <c r="E15" i="7" s="1"/>
  <c r="E16" i="7" s="1"/>
  <c r="F42" i="6"/>
  <c r="F43" i="6" s="1"/>
  <c r="E42" i="6"/>
  <c r="E43" i="6" s="1"/>
  <c r="F33" i="6"/>
  <c r="F34" i="6" s="1"/>
  <c r="F35" i="6" s="1"/>
  <c r="F36" i="6" s="1"/>
  <c r="F37" i="6" s="1"/>
  <c r="F38" i="6" s="1"/>
  <c r="F39" i="6" s="1"/>
  <c r="F40" i="6" s="1"/>
  <c r="F41" i="6" s="1"/>
  <c r="E33" i="6"/>
  <c r="E34" i="6" s="1"/>
  <c r="E35" i="6" s="1"/>
  <c r="E36" i="6" s="1"/>
  <c r="E37" i="6" s="1"/>
  <c r="E38" i="6" s="1"/>
  <c r="E39" i="6" s="1"/>
  <c r="E40" i="6" s="1"/>
  <c r="E41" i="6" s="1"/>
  <c r="F8" i="6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E8" i="6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F10" i="5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9" i="5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</calcChain>
</file>

<file path=xl/sharedStrings.xml><?xml version="1.0" encoding="utf-8"?>
<sst xmlns="http://schemas.openxmlformats.org/spreadsheetml/2006/main" count="2304" uniqueCount="819">
  <si>
    <t>Date</t>
  </si>
  <si>
    <t>R.NO</t>
  </si>
  <si>
    <t>Description</t>
  </si>
  <si>
    <t>Amount Rec</t>
  </si>
  <si>
    <t>Total Rec</t>
  </si>
  <si>
    <t>Amount Due</t>
  </si>
  <si>
    <t>Adj Rehman</t>
  </si>
  <si>
    <t>Instalment</t>
  </si>
  <si>
    <t>Name : Sajid</t>
  </si>
  <si>
    <t>Father Name : Shoukat Ali</t>
  </si>
  <si>
    <t>CNIC # 42401-6193502-1</t>
  </si>
  <si>
    <t>Contact # 0314-2226784</t>
  </si>
  <si>
    <t>Plot No : L-5140</t>
  </si>
  <si>
    <t>Cost : 550,000</t>
  </si>
  <si>
    <t>29/9/2022</t>
  </si>
  <si>
    <t>Token</t>
  </si>
  <si>
    <t>Booking</t>
  </si>
  <si>
    <t>15/11/2022</t>
  </si>
  <si>
    <t>13/3/2023</t>
  </si>
  <si>
    <t>15/5/2023</t>
  </si>
  <si>
    <t>18/7/203</t>
  </si>
  <si>
    <t>21/8/2023</t>
  </si>
  <si>
    <t>18/9/2023</t>
  </si>
  <si>
    <t>16/11/2023</t>
  </si>
  <si>
    <t>14/12/2023</t>
  </si>
  <si>
    <t>15/1/2024</t>
  </si>
  <si>
    <t>13/2/2024</t>
  </si>
  <si>
    <t>15/4/2024</t>
  </si>
  <si>
    <t>15/5/2024</t>
  </si>
  <si>
    <t>21/6/2024</t>
  </si>
  <si>
    <t>20/7/2024</t>
  </si>
  <si>
    <t>19/8/2024</t>
  </si>
  <si>
    <t>23/9/2024</t>
  </si>
  <si>
    <t>25/10/2024</t>
  </si>
  <si>
    <t>25/11/2024</t>
  </si>
  <si>
    <t>26/12/2024</t>
  </si>
  <si>
    <t>24/1/2025</t>
  </si>
  <si>
    <t>28/2/2025</t>
  </si>
  <si>
    <t>19/5/2025</t>
  </si>
  <si>
    <t>26/6/2025</t>
  </si>
  <si>
    <t>26/7/2025</t>
  </si>
  <si>
    <t>25/8/2025</t>
  </si>
  <si>
    <t>29/9/2025</t>
  </si>
  <si>
    <t>30/10/2025</t>
  </si>
  <si>
    <t>29/12/2025</t>
  </si>
  <si>
    <t>Name : Muhammad Waseem</t>
  </si>
  <si>
    <t>Father Name : Muhammad Ramzan</t>
  </si>
  <si>
    <t>CNIC # 32103-9898808-3</t>
  </si>
  <si>
    <t>Contact # 03250403053</t>
  </si>
  <si>
    <t>Plot No : L-5184</t>
  </si>
  <si>
    <t>Cost : 800,000</t>
  </si>
  <si>
    <t>25/1/2026</t>
  </si>
  <si>
    <t>instalment</t>
  </si>
  <si>
    <t>Name : Muhammad Shakeel</t>
  </si>
  <si>
    <t>Father Name : Ghulam Mustafa</t>
  </si>
  <si>
    <t>CNIC # 42401-6503888-1</t>
  </si>
  <si>
    <t>Contact # 03170200217</t>
  </si>
  <si>
    <t>Plot No : L-5189</t>
  </si>
  <si>
    <t>Cost : 600,000</t>
  </si>
  <si>
    <t>Adj</t>
  </si>
  <si>
    <t>13/5/2023</t>
  </si>
  <si>
    <t>14/9/2023</t>
  </si>
  <si>
    <t>14/10/2023</t>
  </si>
  <si>
    <t>19/11/2023</t>
  </si>
  <si>
    <t>17/8/2024</t>
  </si>
  <si>
    <t>19/10/2024</t>
  </si>
  <si>
    <t>18/11/2024</t>
  </si>
  <si>
    <t>16/12/2024</t>
  </si>
  <si>
    <t>14/1/2025</t>
  </si>
  <si>
    <t>19/2/2025</t>
  </si>
  <si>
    <t>16/3/2025</t>
  </si>
  <si>
    <t>13/4/2025</t>
  </si>
  <si>
    <t>13/7/2025</t>
  </si>
  <si>
    <t>14/9/2025</t>
  </si>
  <si>
    <t>Plot No : L-5157</t>
  </si>
  <si>
    <t>Name : Ali Asghar</t>
  </si>
  <si>
    <t>Father Name : Nazeer Ahmed</t>
  </si>
  <si>
    <t>CNIC # 42401-1332376-9</t>
  </si>
  <si>
    <t>Contact # 03122385854</t>
  </si>
  <si>
    <t>13/1/2026</t>
  </si>
  <si>
    <t>Name : Muhammad Saeed</t>
  </si>
  <si>
    <t>Father Name : Noor Muhammad</t>
  </si>
  <si>
    <t>CNIC # 42000-7459183-1</t>
  </si>
  <si>
    <t>Contact # 03456148745</t>
  </si>
  <si>
    <t>Plot No : L-5118</t>
  </si>
  <si>
    <t>28/2/2023</t>
  </si>
  <si>
    <t>14/6/2023</t>
  </si>
  <si>
    <t>Res Booking</t>
  </si>
  <si>
    <t>intalment</t>
  </si>
  <si>
    <t>Name : Nadeem</t>
  </si>
  <si>
    <t>Father Name : M.Ashraf</t>
  </si>
  <si>
    <t>CNIC # 42201-3503669-7</t>
  </si>
  <si>
    <t>Contact # 03143506152</t>
  </si>
  <si>
    <t>Plot No : L-5155</t>
  </si>
  <si>
    <t>Cost :490,000</t>
  </si>
  <si>
    <t>19/8/2022</t>
  </si>
  <si>
    <t>22/1/2023</t>
  </si>
  <si>
    <t>Adj Reh</t>
  </si>
  <si>
    <t>Name :Erum Naz</t>
  </si>
  <si>
    <t>Father Name : Muhammad Baksh</t>
  </si>
  <si>
    <t>CNIC # 42401-0728833-4</t>
  </si>
  <si>
    <t>Contact # 03160707072</t>
  </si>
  <si>
    <t>Plot No : L-5149</t>
  </si>
  <si>
    <t>Cost :500,000</t>
  </si>
  <si>
    <t>22/2/2025</t>
  </si>
  <si>
    <t>14/11/2025</t>
  </si>
  <si>
    <t>17/11/2025</t>
  </si>
  <si>
    <t>14/1/2026</t>
  </si>
  <si>
    <t>Name : Adnan Ali</t>
  </si>
  <si>
    <t>Father Name : Muhammad Naseer</t>
  </si>
  <si>
    <t>CNIC # 42101-1619927-9</t>
  </si>
  <si>
    <t>Contact # 03143793436</t>
  </si>
  <si>
    <t>Plot No : L-5151</t>
  </si>
  <si>
    <t>booking</t>
  </si>
  <si>
    <t>Development full final</t>
  </si>
  <si>
    <t>nill</t>
  </si>
  <si>
    <t>Name : Siraj uddin</t>
  </si>
  <si>
    <t>Father Name : Abdul Raheem</t>
  </si>
  <si>
    <t>CNIC # 42401-179044-1</t>
  </si>
  <si>
    <t>Contact # 0311-0298117</t>
  </si>
  <si>
    <t>Plot No : L-5160</t>
  </si>
  <si>
    <t>22/11/2024</t>
  </si>
  <si>
    <t>18/3/2025</t>
  </si>
  <si>
    <t>15/7/2025</t>
  </si>
  <si>
    <t>24/9/2025</t>
  </si>
  <si>
    <t>20/10/2025</t>
  </si>
  <si>
    <t>15/11/2025</t>
  </si>
  <si>
    <t>25/12/2025</t>
  </si>
  <si>
    <t>Res booking</t>
  </si>
  <si>
    <t>29/1/2026</t>
  </si>
  <si>
    <t>18/2/2026</t>
  </si>
  <si>
    <t>Father Name : Abdul Rahim</t>
  </si>
  <si>
    <t>CNIC # 31202-5508626-5</t>
  </si>
  <si>
    <t>Contact # 03002078754</t>
  </si>
  <si>
    <t>Plot No : L-5200</t>
  </si>
  <si>
    <t>19/9/2022</t>
  </si>
  <si>
    <t>23/9/2022</t>
  </si>
  <si>
    <t>28/11/2022</t>
  </si>
  <si>
    <t>22/2/2023</t>
  </si>
  <si>
    <t>25/7/2023</t>
  </si>
  <si>
    <t>24/8/203</t>
  </si>
  <si>
    <t>26/9/2023</t>
  </si>
  <si>
    <t>25/10/2023</t>
  </si>
  <si>
    <t>25/11/2023</t>
  </si>
  <si>
    <t>Adjustment</t>
  </si>
  <si>
    <t>25/12/2023</t>
  </si>
  <si>
    <t>24/1/2024</t>
  </si>
  <si>
    <t>24/2/2024</t>
  </si>
  <si>
    <t>24/4//2024</t>
  </si>
  <si>
    <t>27/5/2024</t>
  </si>
  <si>
    <t>29/8/2024</t>
  </si>
  <si>
    <t>25/9/2024</t>
  </si>
  <si>
    <t>15/10/2024</t>
  </si>
  <si>
    <t>28/4/2025</t>
  </si>
  <si>
    <t>25/7/2025</t>
  </si>
  <si>
    <t>25/9/2025</t>
  </si>
  <si>
    <t>23/11/2025</t>
  </si>
  <si>
    <t>24/12/2025</t>
  </si>
  <si>
    <t>26/1/2026</t>
  </si>
  <si>
    <t>Adj Dec24,jan,feb,may,june,oct25</t>
  </si>
  <si>
    <t>Plot No : L-5199</t>
  </si>
  <si>
    <t>24/8/2023</t>
  </si>
  <si>
    <t>24/4/2024</t>
  </si>
  <si>
    <t>Adj dec24,jan,feb,may,june,oct25</t>
  </si>
  <si>
    <t>Plot No : L-5116</t>
  </si>
  <si>
    <t>22/9/2022</t>
  </si>
  <si>
    <t>26/11/2023</t>
  </si>
  <si>
    <t>instament</t>
  </si>
  <si>
    <t>Adj dec24,jan,feb,may,june,0ct25</t>
  </si>
  <si>
    <t>Plot No : L-5115</t>
  </si>
  <si>
    <t>23/9/2023</t>
  </si>
  <si>
    <t>28/12/2022</t>
  </si>
  <si>
    <t>22/2/20232062</t>
  </si>
  <si>
    <t>Name : Muhammad Kaleem</t>
  </si>
  <si>
    <t>Father Name : Abdul Hameed</t>
  </si>
  <si>
    <t>CNIC # 31302-2328687-3</t>
  </si>
  <si>
    <t>Contact # 03122742692</t>
  </si>
  <si>
    <t>Plot No : L-5143</t>
  </si>
  <si>
    <t>Cost : 450,000</t>
  </si>
  <si>
    <t>30/8/2022</t>
  </si>
  <si>
    <t>Sobho</t>
  </si>
  <si>
    <t>22/3/2024</t>
  </si>
  <si>
    <t>19/9/2024</t>
  </si>
  <si>
    <t>31/10/2024</t>
  </si>
  <si>
    <t>27/11/2024</t>
  </si>
  <si>
    <t>13/9/2025</t>
  </si>
  <si>
    <t>16/2/2026</t>
  </si>
  <si>
    <t>Name : Muhammad Tufail</t>
  </si>
  <si>
    <t>Father Name : Muhammad  Rafique</t>
  </si>
  <si>
    <t>Contact # 03152432216</t>
  </si>
  <si>
    <t>Plot No : L-5137</t>
  </si>
  <si>
    <t>20/9/2022</t>
  </si>
  <si>
    <t>21/9/2023</t>
  </si>
  <si>
    <t>15/3/2023</t>
  </si>
  <si>
    <t>17/4/2023</t>
  </si>
  <si>
    <t>25/9/2023</t>
  </si>
  <si>
    <t>28/11/2023</t>
  </si>
  <si>
    <t>23/1/2024</t>
  </si>
  <si>
    <t>16/2/2024</t>
  </si>
  <si>
    <t>19/3/2024</t>
  </si>
  <si>
    <t>22/4/2024</t>
  </si>
  <si>
    <t>23/6/2024</t>
  </si>
  <si>
    <t>16/8/2024</t>
  </si>
  <si>
    <t>16/10/2024</t>
  </si>
  <si>
    <t>17/12/2024</t>
  </si>
  <si>
    <t>17/1/2025</t>
  </si>
  <si>
    <t>16/4/2025</t>
  </si>
  <si>
    <t>17/5/2025</t>
  </si>
  <si>
    <t>13/6/2025</t>
  </si>
  <si>
    <t>18/12/2025</t>
  </si>
  <si>
    <t>16/1/2026</t>
  </si>
  <si>
    <t>Name : Kousar Parveen</t>
  </si>
  <si>
    <t>Father Name : Kheir-ud-din</t>
  </si>
  <si>
    <t>CNIC # 42401-2668929-4</t>
  </si>
  <si>
    <t>Contact # 03138274006</t>
  </si>
  <si>
    <t>Plot No : L-5175</t>
  </si>
  <si>
    <t>Cost : 650,000</t>
  </si>
  <si>
    <t>13/10/2025</t>
  </si>
  <si>
    <t>15/12/2025</t>
  </si>
  <si>
    <t>15/3/2026</t>
  </si>
  <si>
    <t>16/3/2026</t>
  </si>
  <si>
    <t>20/3/2026</t>
  </si>
  <si>
    <t>Name : Muhammad Fuzail</t>
  </si>
  <si>
    <t>Father Name : Muhammad  Kamil</t>
  </si>
  <si>
    <t>CNIC # 42401-7370327-7</t>
  </si>
  <si>
    <t>Contact # 03153036155</t>
  </si>
  <si>
    <t>Plot No : L-5127</t>
  </si>
  <si>
    <t>Cost : 300,000</t>
  </si>
  <si>
    <t>Code Num;CLB0962216</t>
  </si>
  <si>
    <t>22/6/2021</t>
  </si>
  <si>
    <t>17/11/2022</t>
  </si>
  <si>
    <t>18/12/2022</t>
  </si>
  <si>
    <t>14/5/2023</t>
  </si>
  <si>
    <t>28/5/2023</t>
  </si>
  <si>
    <t>28/6/2023</t>
  </si>
  <si>
    <t>27/7/2023</t>
  </si>
  <si>
    <t>27/8/2023</t>
  </si>
  <si>
    <t>24/9/2023</t>
  </si>
  <si>
    <t>22/10/2023</t>
  </si>
  <si>
    <t>Adv  2 ins</t>
  </si>
  <si>
    <t>75000 +20,000</t>
  </si>
  <si>
    <t>ins Reh</t>
  </si>
  <si>
    <t>ins rehm</t>
  </si>
  <si>
    <t>ins reh</t>
  </si>
  <si>
    <t>24/12/2023</t>
  </si>
  <si>
    <t>21/1/2024</t>
  </si>
  <si>
    <t>25/2/2024</t>
  </si>
  <si>
    <t>Development</t>
  </si>
  <si>
    <t>Nill</t>
  </si>
  <si>
    <t>FULL PAID</t>
  </si>
  <si>
    <t>Code Num;BVN8965712</t>
  </si>
  <si>
    <t>10/7/2023</t>
  </si>
  <si>
    <t>Name : M.Ashiq</t>
  </si>
  <si>
    <t xml:space="preserve">Father Name : </t>
  </si>
  <si>
    <t>CNIC # 42401-4519242-8</t>
  </si>
  <si>
    <t>Contact # 03003615760</t>
  </si>
  <si>
    <t>Code Num;</t>
  </si>
  <si>
    <t>20/10/2022</t>
  </si>
  <si>
    <t>25/2/2023</t>
  </si>
  <si>
    <t>23/5/2024</t>
  </si>
  <si>
    <t>AL Reh Adjustment</t>
  </si>
  <si>
    <t>Name : M.Usman</t>
  </si>
  <si>
    <t>Father Name : M,Iqbal</t>
  </si>
  <si>
    <t>CNIC # 36104-8481762-9</t>
  </si>
  <si>
    <t>Contact # 03002632928</t>
  </si>
  <si>
    <t>Plot No : L-5177</t>
  </si>
  <si>
    <t>28/8/2022</t>
  </si>
  <si>
    <t>13/11/22-14/12/20</t>
  </si>
  <si>
    <t>Full Paid</t>
  </si>
  <si>
    <t>DEVELOPMENT CONTINUE</t>
  </si>
  <si>
    <t>Code Num;CQW8873849</t>
  </si>
  <si>
    <t>Name : M.Nadeem</t>
  </si>
  <si>
    <t>Father Name : M.Ishaq</t>
  </si>
  <si>
    <t>CNIC # 361004-2362643-5</t>
  </si>
  <si>
    <t>Contact # 03009258294</t>
  </si>
  <si>
    <t>Plot No : L-5176</t>
  </si>
  <si>
    <t>Code Num;CQW8873850</t>
  </si>
  <si>
    <t>26/3/2023</t>
  </si>
  <si>
    <t>Innstalment</t>
  </si>
  <si>
    <t>instal Rehman</t>
  </si>
  <si>
    <t>FULL PAID CASH FILE</t>
  </si>
  <si>
    <t>Plot No : L-5165</t>
  </si>
  <si>
    <t>Name :Imtiyaz Ahmed</t>
  </si>
  <si>
    <t>Father Name : Muhammad Ilyas</t>
  </si>
  <si>
    <t>CNIC # 42401-1981515-3</t>
  </si>
  <si>
    <t>Contact #03152240064</t>
  </si>
  <si>
    <t>Plot No : L-5141</t>
  </si>
  <si>
    <t>Code Num;CQW8873867</t>
  </si>
  <si>
    <t>28/8/2023</t>
  </si>
  <si>
    <t xml:space="preserve"> DEVELOPMENT AND INSTALLMENT BOTH CLEAR</t>
  </si>
  <si>
    <t>Name :Syed Arsalan Ahmed</t>
  </si>
  <si>
    <t>Father Name : Syed irshad Ahmed</t>
  </si>
  <si>
    <t>CNIC # 42401-2913589-5</t>
  </si>
  <si>
    <t>Contact #03212862467</t>
  </si>
  <si>
    <t>Plot No : L-5142</t>
  </si>
  <si>
    <t>Code Num;CQW8873866</t>
  </si>
  <si>
    <t>30/1/2023</t>
  </si>
  <si>
    <t>20/4/2023</t>
  </si>
  <si>
    <t>16/9/2023</t>
  </si>
  <si>
    <t>20/3/2024</t>
  </si>
  <si>
    <t>13/5/2024</t>
  </si>
  <si>
    <t>15/8/2024</t>
  </si>
  <si>
    <t>14/10/1014</t>
  </si>
  <si>
    <t>Adv Adj Reh</t>
  </si>
  <si>
    <t>ins sobho</t>
  </si>
  <si>
    <t>Name :Muhammad Naveed</t>
  </si>
  <si>
    <t>Father Name : M. Makhdoom</t>
  </si>
  <si>
    <t>CNIC # 42401-1724931-7</t>
  </si>
  <si>
    <t>Contact #0321381537</t>
  </si>
  <si>
    <t>Plot No : L-5129</t>
  </si>
  <si>
    <t>Cost : 350,000</t>
  </si>
  <si>
    <t>INSTALLMENT CLEAR</t>
  </si>
  <si>
    <t>Code Num;CEW0660259</t>
  </si>
  <si>
    <t>Father Name : Sadiq Hussain</t>
  </si>
  <si>
    <t>CNIC # 32302-3802203-7</t>
  </si>
  <si>
    <t>Plot No : L-5136</t>
  </si>
  <si>
    <t>THIS FILE IS TRANSFER TO;</t>
  </si>
  <si>
    <t>DETAIL OF TRANSFFER</t>
  </si>
  <si>
    <t>Name :Muhammad Saleem</t>
  </si>
  <si>
    <t>Name :Akhlaq Ahmed</t>
  </si>
  <si>
    <t>Father Name : Mushtaq Ahmed</t>
  </si>
  <si>
    <t>CNIC # 34201-7192340-3</t>
  </si>
  <si>
    <t>Contact #03343809057</t>
  </si>
  <si>
    <t>15/11/2020</t>
  </si>
  <si>
    <t>15/8/2022</t>
  </si>
  <si>
    <t>15/12/2023</t>
  </si>
  <si>
    <t>ins Sobho</t>
  </si>
  <si>
    <t>Adj reh</t>
  </si>
  <si>
    <t>instalmnt</t>
  </si>
  <si>
    <t>par pay</t>
  </si>
  <si>
    <t>INSTALLMENT FULL PAID</t>
  </si>
  <si>
    <t>DVELOPMENT CONTINUE</t>
  </si>
  <si>
    <t>13/4/2026</t>
  </si>
  <si>
    <t>Code Num;Ckk1340394</t>
  </si>
  <si>
    <t>Name :Muhammad Ramzan</t>
  </si>
  <si>
    <t>Father Name : Gulzari</t>
  </si>
  <si>
    <t>CNIC # 45402-4249487-5</t>
  </si>
  <si>
    <t>Contact #</t>
  </si>
  <si>
    <t>Plot No : L-5108</t>
  </si>
  <si>
    <t>Cost : 400,000</t>
  </si>
  <si>
    <t>Code Num;CRR4432551</t>
  </si>
  <si>
    <t>26/8/2022</t>
  </si>
  <si>
    <t>Installment</t>
  </si>
  <si>
    <t>26/9/2022</t>
  </si>
  <si>
    <t>14/1/2023</t>
  </si>
  <si>
    <t>INS AL reh</t>
  </si>
  <si>
    <t>17/12/2022</t>
  </si>
  <si>
    <t>23/2/2023</t>
  </si>
  <si>
    <t>29/8/2023</t>
  </si>
  <si>
    <t>Name :Jamil</t>
  </si>
  <si>
    <t>Father Name : Munir</t>
  </si>
  <si>
    <t xml:space="preserve">CNIC # </t>
  </si>
  <si>
    <t>Plot No : L-5109</t>
  </si>
  <si>
    <t>Code Num;CQG5221622</t>
  </si>
  <si>
    <t>ins Rehman</t>
  </si>
  <si>
    <t>sobho</t>
  </si>
  <si>
    <t>Name :Nadeem Akhtar</t>
  </si>
  <si>
    <t>Father Name : M.Labal Shah</t>
  </si>
  <si>
    <t>CNIC # 42401-3627447-3</t>
  </si>
  <si>
    <t>Contact #03102533382</t>
  </si>
  <si>
    <t>Plot No : L-5100</t>
  </si>
  <si>
    <t>Code Num;CQM6523690</t>
  </si>
  <si>
    <t>22/8/2022</t>
  </si>
  <si>
    <t>15/4/2022</t>
  </si>
  <si>
    <t>20/5/2024</t>
  </si>
  <si>
    <t>23/10/2023</t>
  </si>
  <si>
    <t>Adj REH</t>
  </si>
  <si>
    <t>14/3/2026</t>
  </si>
  <si>
    <t>Code Num;CTH3458398</t>
  </si>
  <si>
    <t>16/4/2026</t>
  </si>
  <si>
    <t>Name :Sher Muhammad</t>
  </si>
  <si>
    <t>Father Name : Muhammad Ishaq</t>
  </si>
  <si>
    <t>CNIC # 42401-1711582-3</t>
  </si>
  <si>
    <t>Contact #03462232613</t>
  </si>
  <si>
    <t>Plot No : L-5174</t>
  </si>
  <si>
    <t>Cost : 480,000</t>
  </si>
  <si>
    <t>THIS FILE IS TRANSFERRED TO</t>
  </si>
  <si>
    <t>DETAILS OF TRANSFERRED</t>
  </si>
  <si>
    <t>Name :Jawaid</t>
  </si>
  <si>
    <t>Father Name : Faiz Rasool</t>
  </si>
  <si>
    <t>CNIC # 42101-6783769-7</t>
  </si>
  <si>
    <t>Contact #03182045729</t>
  </si>
  <si>
    <t>Code Num;BVW6009097</t>
  </si>
  <si>
    <t>15/3/2022</t>
  </si>
  <si>
    <t>15/4/2023</t>
  </si>
  <si>
    <t>17/5/2023</t>
  </si>
  <si>
    <t>17/6/2023</t>
  </si>
  <si>
    <t>13/7/2023</t>
  </si>
  <si>
    <t>30/3/2024</t>
  </si>
  <si>
    <t>14/6/2024</t>
  </si>
  <si>
    <t>17/9/2025</t>
  </si>
  <si>
    <t>21/10/2025</t>
  </si>
  <si>
    <t>18/11/2025</t>
  </si>
  <si>
    <t>20/12/2025</t>
  </si>
  <si>
    <t>Code Num;BFX6038631</t>
  </si>
  <si>
    <t>28/4/2026</t>
  </si>
  <si>
    <t>Name :Zafar Iqbal</t>
  </si>
  <si>
    <t>Father Name : Abdul Ghaffar</t>
  </si>
  <si>
    <t>CNIC # 42201-04471115-9</t>
  </si>
  <si>
    <t>Contact #03032184803</t>
  </si>
  <si>
    <t>Plot No : L-5193</t>
  </si>
  <si>
    <t>Code Num;CGZ1180954</t>
  </si>
  <si>
    <t xml:space="preserve">Token </t>
  </si>
  <si>
    <t>installment</t>
  </si>
  <si>
    <t>Name :Syed Zubair Hussain</t>
  </si>
  <si>
    <t>Father Name : Syed Iftikhar Hussain</t>
  </si>
  <si>
    <t>CNIC # 42101-0229971-3</t>
  </si>
  <si>
    <t>Contact #03122730641</t>
  </si>
  <si>
    <t>Plot No : L-5192</t>
  </si>
  <si>
    <t>Code Num;CKH3897087</t>
  </si>
  <si>
    <t>Name :Ahmed Faraz  Ali</t>
  </si>
  <si>
    <t>Father Name : Ijaz Ali</t>
  </si>
  <si>
    <t>CNIC # 36203-53555597-7</t>
  </si>
  <si>
    <t>Contact #03319831417</t>
  </si>
  <si>
    <t>Plot No : L-5194</t>
  </si>
  <si>
    <t>Code Num;CKJ0190466</t>
  </si>
  <si>
    <t>Code Num;CPK4419055</t>
  </si>
  <si>
    <t>Name :Mehmood Shah</t>
  </si>
  <si>
    <t>Father Name : Aitbar Shah</t>
  </si>
  <si>
    <t>CNIC # 42401-8466386-7</t>
  </si>
  <si>
    <t>Contact #03458122658</t>
  </si>
  <si>
    <t>Code Num;CMK8439125</t>
  </si>
  <si>
    <t>21/3/2023</t>
  </si>
  <si>
    <t>29/4/2023</t>
  </si>
  <si>
    <t>18/6/2023</t>
  </si>
  <si>
    <t>31/7/2023</t>
  </si>
  <si>
    <t>16/1/2024</t>
  </si>
  <si>
    <t>Sobho Adj</t>
  </si>
  <si>
    <t>Adj  Rehman</t>
  </si>
  <si>
    <t>28/3/2024</t>
  </si>
  <si>
    <t>30/4/2024</t>
  </si>
  <si>
    <t>29/5/2024</t>
  </si>
  <si>
    <t>13/8/2024</t>
  </si>
  <si>
    <t>30/9/2024</t>
  </si>
  <si>
    <t>23/3/2025</t>
  </si>
  <si>
    <t>15/1/2026</t>
  </si>
  <si>
    <t>Plot No : L-5120</t>
  </si>
  <si>
    <t>20/8/2022</t>
  </si>
  <si>
    <t>29/1/2022</t>
  </si>
  <si>
    <t>29/6/2023</t>
  </si>
  <si>
    <t>5/2/22024</t>
  </si>
  <si>
    <t>RES Booking</t>
  </si>
  <si>
    <t>20/2/2025</t>
  </si>
  <si>
    <t>15/9/2025</t>
  </si>
  <si>
    <t>Name :Fazal Wahid</t>
  </si>
  <si>
    <t>Father Name : Musafar Shah</t>
  </si>
  <si>
    <t>CNIC # 42101-7134457-3</t>
  </si>
  <si>
    <t>Contact #03212266555</t>
  </si>
  <si>
    <t>Plot No : L-5179</t>
  </si>
  <si>
    <t>Cost : 500,000</t>
  </si>
  <si>
    <t>Installment and developmnt both clear</t>
  </si>
  <si>
    <t>Code Num;BNN5283489</t>
  </si>
  <si>
    <t>Code Num;CMN5031159</t>
  </si>
  <si>
    <t>Code Num;CBN7396422</t>
  </si>
  <si>
    <t>Code Num;CQA5869277</t>
  </si>
  <si>
    <t>13/5/2026</t>
  </si>
  <si>
    <t>Code Num;CUE1390179</t>
  </si>
  <si>
    <t>Name :Muhammad Noman</t>
  </si>
  <si>
    <t>Father Name : Orangzaib</t>
  </si>
  <si>
    <t>CNIC # 32403-89111981</t>
  </si>
  <si>
    <t>THIS FILE IS TRANSFERRED TO;</t>
  </si>
  <si>
    <t>DETAIL OF TRANSFERRED</t>
  </si>
  <si>
    <t>Name :Rehana</t>
  </si>
  <si>
    <t>Father Name : Muhammad Shakeel</t>
  </si>
  <si>
    <t>CNIC # 42401-6661241-6</t>
  </si>
  <si>
    <t>Contact #03170200217</t>
  </si>
  <si>
    <t>ALL Amount given to AL REHMAN BUILDER</t>
  </si>
  <si>
    <t>Developmnt</t>
  </si>
  <si>
    <t>both full paid</t>
  </si>
  <si>
    <t>CLEAR</t>
  </si>
  <si>
    <t>Code Num;CCE31731441</t>
  </si>
  <si>
    <t>Name :Zubair Ahmed</t>
  </si>
  <si>
    <t>Father Name : Ejaz Ahmed</t>
  </si>
  <si>
    <t>CNIC # 42401-5516576-1</t>
  </si>
  <si>
    <t>Plot No : L-5132</t>
  </si>
  <si>
    <t>24/8/2022</t>
  </si>
  <si>
    <t>30/5/2022</t>
  </si>
  <si>
    <t>18/4/2026</t>
  </si>
  <si>
    <t>15/5/2026</t>
  </si>
  <si>
    <t>INSTALLMENT AND DEVELOPMENT BOTH CLEAR</t>
  </si>
  <si>
    <t>Code Num;BCR52556058</t>
  </si>
  <si>
    <t>16/5/2026</t>
  </si>
  <si>
    <t>17/5/2026</t>
  </si>
  <si>
    <t>NAME:</t>
  </si>
  <si>
    <t>F\NAME:</t>
  </si>
  <si>
    <t>CNIC:</t>
  </si>
  <si>
    <t>CONTACT NO:</t>
  </si>
  <si>
    <t>CODE:</t>
  </si>
  <si>
    <t>PLOT NO:</t>
  </si>
  <si>
    <t>FOZIA SEHAR</t>
  </si>
  <si>
    <t>M.ASLAM</t>
  </si>
  <si>
    <t>42201-0100960-8</t>
  </si>
  <si>
    <t>0341-2159343</t>
  </si>
  <si>
    <t>BVD4334483</t>
  </si>
  <si>
    <t>07\02\023</t>
  </si>
  <si>
    <t>REHMAN ADJUSTMENT</t>
  </si>
  <si>
    <t>NIL</t>
  </si>
  <si>
    <t>20\05\026</t>
  </si>
  <si>
    <t>CUT8550706</t>
  </si>
  <si>
    <t>8\6\026</t>
  </si>
  <si>
    <t>9\6\26</t>
  </si>
  <si>
    <t>1\6\26</t>
  </si>
  <si>
    <t>CPJ7941564</t>
  </si>
  <si>
    <t>10\6\26</t>
  </si>
  <si>
    <t>13\6\26</t>
  </si>
  <si>
    <t>CODE :</t>
  </si>
  <si>
    <t>PLOT NO</t>
  </si>
  <si>
    <t>CQP133153</t>
  </si>
  <si>
    <t>NARGIS</t>
  </si>
  <si>
    <t>SHAKEEL AHMAD</t>
  </si>
  <si>
    <t>0322-3798475</t>
  </si>
  <si>
    <t>42301-0975889-8</t>
  </si>
  <si>
    <t>15\6\25</t>
  </si>
  <si>
    <t>RESIDENTIAL BOOKING</t>
  </si>
  <si>
    <t>COST</t>
  </si>
  <si>
    <t>CMU8513028</t>
  </si>
  <si>
    <t>10\9\22</t>
  </si>
  <si>
    <t>26\12\22</t>
  </si>
  <si>
    <t>21\3\23</t>
  </si>
  <si>
    <t>27\3\23</t>
  </si>
  <si>
    <t>8\5\23</t>
  </si>
  <si>
    <t>7\6\23</t>
  </si>
  <si>
    <t>24\8\23</t>
  </si>
  <si>
    <t>INSTALLMENT</t>
  </si>
  <si>
    <t>REHMAN ADJUSTENT</t>
  </si>
  <si>
    <t>PARTIAL PAYMENT</t>
  </si>
  <si>
    <t>SHAIKH AHMAD</t>
  </si>
  <si>
    <t>0322-3798275</t>
  </si>
  <si>
    <t>42301-5901686-5</t>
  </si>
  <si>
    <t>14\6\26</t>
  </si>
  <si>
    <t>DEVELOPMENT</t>
  </si>
  <si>
    <t>NAME :</t>
  </si>
  <si>
    <t>CODE N0:</t>
  </si>
  <si>
    <t>MUHAMMAD HANIF</t>
  </si>
  <si>
    <t>ABDUL RASEED</t>
  </si>
  <si>
    <t>0345-8114045</t>
  </si>
  <si>
    <t>42401-8897537-7</t>
  </si>
  <si>
    <t>CMR3496830</t>
  </si>
  <si>
    <t>17\6\25</t>
  </si>
  <si>
    <t>CSB4394204</t>
  </si>
  <si>
    <t>RESIDENTAIL BOOKING</t>
  </si>
  <si>
    <t>NILL</t>
  </si>
  <si>
    <t>DEVELOPMENT CONTNUE</t>
  </si>
  <si>
    <t>22\8\22</t>
  </si>
  <si>
    <t>FULL PAYMENT GIVEN TO AL-REHMAN</t>
  </si>
  <si>
    <t>MUHAMMAD SARWAR</t>
  </si>
  <si>
    <t>DIN MUHAMMAD</t>
  </si>
  <si>
    <t>42401-7753618-9</t>
  </si>
  <si>
    <t>DEVELOPMENT COUNTINUE</t>
  </si>
  <si>
    <t>CODE NO:</t>
  </si>
  <si>
    <t>19\8\22</t>
  </si>
  <si>
    <t>CNIC NO:</t>
  </si>
  <si>
    <t>MAZAR IQBAL</t>
  </si>
  <si>
    <t>CHIRAGE U DIN</t>
  </si>
  <si>
    <t>0303-2200486</t>
  </si>
  <si>
    <t>42101-7589513-5</t>
  </si>
  <si>
    <t>8\5\22</t>
  </si>
  <si>
    <t>ADJUSTMENT ALL AMOUNT PIAD TO AL-REHMAN BUILDERS</t>
  </si>
  <si>
    <t>AQQ3044906</t>
  </si>
  <si>
    <t xml:space="preserve">ALL AMOUNT GIVEN TO AL REHMAN </t>
  </si>
  <si>
    <t xml:space="preserve">GUL NAZ </t>
  </si>
  <si>
    <t>BARKAT ALI</t>
  </si>
  <si>
    <t>44103-8764625-6</t>
  </si>
  <si>
    <t>28\6\26</t>
  </si>
  <si>
    <t>MUHAMMAD WASEEM</t>
  </si>
  <si>
    <t>MUHAMMAD RAMAZAN</t>
  </si>
  <si>
    <t>0325-0403053</t>
  </si>
  <si>
    <t>32103-9898808-3</t>
  </si>
  <si>
    <t>25\1\26</t>
  </si>
  <si>
    <t>6\2\26</t>
  </si>
  <si>
    <t>29\6\26</t>
  </si>
  <si>
    <t>#######</t>
  </si>
  <si>
    <t>BOOKING</t>
  </si>
  <si>
    <t>1\5\26</t>
  </si>
  <si>
    <t>2\6\26</t>
  </si>
  <si>
    <t>3\7\026</t>
  </si>
  <si>
    <t>5\7\026</t>
  </si>
  <si>
    <t>CONTACT NJO:</t>
  </si>
  <si>
    <t>CRT5075599</t>
  </si>
  <si>
    <t>2\10\22</t>
  </si>
  <si>
    <t>3\10\22</t>
  </si>
  <si>
    <t>25\10\22</t>
  </si>
  <si>
    <t>22\2\23</t>
  </si>
  <si>
    <t>1\4\23</t>
  </si>
  <si>
    <t>17\5\23</t>
  </si>
  <si>
    <t>18\6\23</t>
  </si>
  <si>
    <t>9\7\23</t>
  </si>
  <si>
    <t>11\8\23</t>
  </si>
  <si>
    <t>12\9\23</t>
  </si>
  <si>
    <t>6\10\23</t>
  </si>
  <si>
    <t>TOKEN</t>
  </si>
  <si>
    <t>8\11\23</t>
  </si>
  <si>
    <t>15\12\23</t>
  </si>
  <si>
    <t>3\1\24</t>
  </si>
  <si>
    <t>7\2\24</t>
  </si>
  <si>
    <t>7\3\24</t>
  </si>
  <si>
    <t>16\4\24</t>
  </si>
  <si>
    <t>15\5\24</t>
  </si>
  <si>
    <t>10\6\24</t>
  </si>
  <si>
    <t>11\7\24</t>
  </si>
  <si>
    <t>4\9\24</t>
  </si>
  <si>
    <t>14\10\24</t>
  </si>
  <si>
    <t>10\11\24</t>
  </si>
  <si>
    <t>15\1\25</t>
  </si>
  <si>
    <t>15\5\25</t>
  </si>
  <si>
    <t>16\6\25</t>
  </si>
  <si>
    <t>11\7\25</t>
  </si>
  <si>
    <t>12\8\25</t>
  </si>
  <si>
    <t>22\9\25</t>
  </si>
  <si>
    <t>14\10\25</t>
  </si>
  <si>
    <t>9\11\25</t>
  </si>
  <si>
    <t>12\12\25</t>
  </si>
  <si>
    <t>16\2\26</t>
  </si>
  <si>
    <t>21\4\26</t>
  </si>
  <si>
    <t>24\3\26</t>
  </si>
  <si>
    <t>16\5\26</t>
  </si>
  <si>
    <t>5\7\26</t>
  </si>
  <si>
    <t>WAHEED MURAD</t>
  </si>
  <si>
    <t>SHAMS U DIN</t>
  </si>
  <si>
    <t>0305-2560126</t>
  </si>
  <si>
    <t>10\7\26</t>
  </si>
  <si>
    <t>12\7\26</t>
  </si>
  <si>
    <t>14\7\26</t>
  </si>
  <si>
    <t>CONTACT NO:03332839493</t>
  </si>
  <si>
    <t>10\1\26</t>
  </si>
  <si>
    <t>development</t>
  </si>
  <si>
    <t>18\1\26</t>
  </si>
  <si>
    <t>26\2\26</t>
  </si>
  <si>
    <t>25\3\26</t>
  </si>
  <si>
    <t>25\4\26</t>
  </si>
  <si>
    <t>24\5\2026</t>
  </si>
  <si>
    <t>25\6\26</t>
  </si>
  <si>
    <t>26\7\26</t>
  </si>
  <si>
    <t>21\2\2026</t>
  </si>
  <si>
    <t>23\5\2026</t>
  </si>
  <si>
    <t>26/7/26</t>
  </si>
  <si>
    <t>28/7/26</t>
  </si>
  <si>
    <t>DEVELOPMENT CONTINUE#</t>
  </si>
  <si>
    <t>20/11/24</t>
  </si>
  <si>
    <t>13/1/25</t>
  </si>
  <si>
    <t>16/11/25</t>
  </si>
  <si>
    <t>17/1/26</t>
  </si>
  <si>
    <t>13/4/26</t>
  </si>
  <si>
    <t>29/7/26</t>
  </si>
  <si>
    <t>0315-2421525</t>
  </si>
  <si>
    <t>13/7/26</t>
  </si>
  <si>
    <t>17/3/25</t>
  </si>
  <si>
    <t>29/4/25</t>
  </si>
  <si>
    <t>22/5/25</t>
  </si>
  <si>
    <t>14/7/26</t>
  </si>
  <si>
    <t>14/8/26</t>
  </si>
  <si>
    <t>CODE:CNX2107984</t>
  </si>
  <si>
    <t>15/8/26</t>
  </si>
  <si>
    <t>22/10/25</t>
  </si>
  <si>
    <t>25/11/25</t>
  </si>
  <si>
    <t>15/6/26</t>
  </si>
  <si>
    <t>15/7/26</t>
  </si>
  <si>
    <t>Plot No : L-5105</t>
  </si>
  <si>
    <t>Name : MUHAMMAD YASEEN</t>
  </si>
  <si>
    <t xml:space="preserve">Father Name : NOOR MUHAMMAD </t>
  </si>
  <si>
    <t>CNIC # 42501-1581666-9</t>
  </si>
  <si>
    <t>Contact # 0314-0301363</t>
  </si>
  <si>
    <t>CODE NO#CES3888681</t>
  </si>
  <si>
    <t>16/10/24</t>
  </si>
  <si>
    <t>20/10/24</t>
  </si>
  <si>
    <t>16/12/24</t>
  </si>
  <si>
    <t>14/3/25</t>
  </si>
  <si>
    <t>16/7/25</t>
  </si>
  <si>
    <t xml:space="preserve">BOOKING TOKEN </t>
  </si>
  <si>
    <t xml:space="preserve">BOOKING AMOUNT </t>
  </si>
  <si>
    <t xml:space="preserve">INSTALLMENT </t>
  </si>
  <si>
    <t>14/11/25</t>
  </si>
  <si>
    <t>15/12/25</t>
  </si>
  <si>
    <t>16/1/26</t>
  </si>
  <si>
    <t>19/1/26</t>
  </si>
  <si>
    <t>28/2/26</t>
  </si>
  <si>
    <t>19/4/26</t>
  </si>
  <si>
    <t>16/5/26</t>
  </si>
  <si>
    <t>17/6/26</t>
  </si>
  <si>
    <t>16/8/26</t>
  </si>
  <si>
    <t>20/8/26</t>
  </si>
  <si>
    <t>CODE NO # bwh8453023</t>
  </si>
  <si>
    <t>16/7/26</t>
  </si>
  <si>
    <t>24/8/26</t>
  </si>
  <si>
    <t>27/8/26</t>
  </si>
  <si>
    <t>60,000S</t>
  </si>
  <si>
    <t>DATE</t>
  </si>
  <si>
    <t>R. NO.</t>
  </si>
  <si>
    <t>DESCRIPTION</t>
  </si>
  <si>
    <t>AMOUNT RECEIVED</t>
  </si>
  <si>
    <t>TOTAL RECEIVED</t>
  </si>
  <si>
    <t>AMOUNT DUE</t>
  </si>
  <si>
    <t>Receipt</t>
  </si>
  <si>
    <t>15/12/23</t>
  </si>
  <si>
    <t>21/1/24</t>
  </si>
  <si>
    <t>24/1/24</t>
  </si>
  <si>
    <t>16/10/23</t>
  </si>
  <si>
    <t>16/4/24</t>
  </si>
  <si>
    <t xml:space="preserve">Name :MUHAMMAD JUNAID </t>
  </si>
  <si>
    <t xml:space="preserve">Father Name : GHULAM RASOOL </t>
  </si>
  <si>
    <t>CNIC #42201-82810979</t>
  </si>
  <si>
    <t>Plot No : L-5138</t>
  </si>
  <si>
    <t>Code Num;CFF0015347</t>
  </si>
  <si>
    <t>20/10/22</t>
  </si>
  <si>
    <t>21/9/22</t>
  </si>
  <si>
    <t>10,000</t>
  </si>
  <si>
    <t>210,000</t>
  </si>
  <si>
    <t>220,000</t>
  </si>
  <si>
    <t>200,000</t>
  </si>
  <si>
    <t>31/07/24</t>
  </si>
  <si>
    <t>230,000</t>
  </si>
  <si>
    <t>260,000</t>
  </si>
  <si>
    <t>21/09/24</t>
  </si>
  <si>
    <t>240,000</t>
  </si>
  <si>
    <t>250,000</t>
  </si>
  <si>
    <t>26/10/24</t>
  </si>
  <si>
    <t>21/01/25</t>
  </si>
  <si>
    <t>9084</t>
  </si>
  <si>
    <t>270,000</t>
  </si>
  <si>
    <t>22/02/25</t>
  </si>
  <si>
    <t>280,000</t>
  </si>
  <si>
    <t>21/03/25</t>
  </si>
  <si>
    <t>9863</t>
  </si>
  <si>
    <t>290,000</t>
  </si>
  <si>
    <t>23/04/25</t>
  </si>
  <si>
    <t>300,000</t>
  </si>
  <si>
    <t>190,000</t>
  </si>
  <si>
    <t>16/05/25</t>
  </si>
  <si>
    <t>10811</t>
  </si>
  <si>
    <t>310,000</t>
  </si>
  <si>
    <t>180,000</t>
  </si>
  <si>
    <t>21/06/25</t>
  </si>
  <si>
    <t>12001</t>
  </si>
  <si>
    <t>320,000</t>
  </si>
  <si>
    <t>170,000</t>
  </si>
  <si>
    <t>27/07/25</t>
  </si>
  <si>
    <t>1208</t>
  </si>
  <si>
    <t>330,000</t>
  </si>
  <si>
    <t>160,000</t>
  </si>
  <si>
    <t>29/08/25</t>
  </si>
  <si>
    <t>13224</t>
  </si>
  <si>
    <t>340,000</t>
  </si>
  <si>
    <t>150,000</t>
  </si>
  <si>
    <t>31/09/25</t>
  </si>
  <si>
    <t>12540</t>
  </si>
  <si>
    <t>350,000</t>
  </si>
  <si>
    <t>140,000</t>
  </si>
  <si>
    <t>28/09/25</t>
  </si>
  <si>
    <t>13229</t>
  </si>
  <si>
    <t>420,000</t>
  </si>
  <si>
    <t>20/10/25</t>
  </si>
  <si>
    <t>13848</t>
  </si>
  <si>
    <t>430,000</t>
  </si>
  <si>
    <t>130,000</t>
  </si>
  <si>
    <t>23/01/26</t>
  </si>
  <si>
    <t>440,000</t>
  </si>
  <si>
    <t>16/03/26</t>
  </si>
  <si>
    <t>12890</t>
  </si>
  <si>
    <t>450,000</t>
  </si>
  <si>
    <t>100,000</t>
  </si>
  <si>
    <t>29/04/26</t>
  </si>
  <si>
    <t>13086</t>
  </si>
  <si>
    <t>460,000</t>
  </si>
  <si>
    <t>90,000</t>
  </si>
  <si>
    <t>25/05/26</t>
  </si>
  <si>
    <t>13466</t>
  </si>
  <si>
    <t>470,000</t>
  </si>
  <si>
    <t>80,000</t>
  </si>
  <si>
    <t>21/06/26</t>
  </si>
  <si>
    <t>1337</t>
  </si>
  <si>
    <t>480,000</t>
  </si>
  <si>
    <t>70,000</t>
  </si>
  <si>
    <t>20/07/26</t>
  </si>
  <si>
    <t>1551</t>
  </si>
  <si>
    <t>60,000</t>
  </si>
  <si>
    <t>14/5/24</t>
  </si>
  <si>
    <t>22/2/25</t>
  </si>
  <si>
    <t>26/8/26</t>
  </si>
  <si>
    <t xml:space="preserve">DEVELOPMENT </t>
  </si>
  <si>
    <t>15/9/26</t>
  </si>
  <si>
    <t>17/9/26</t>
  </si>
  <si>
    <t>Contact #0311-2067909</t>
  </si>
  <si>
    <t>Plot No : L-5123-(B)</t>
  </si>
  <si>
    <t>Cost : 150,000</t>
  </si>
  <si>
    <t>DEATAILS OF  TRANSFERRED</t>
  </si>
  <si>
    <t xml:space="preserve">DEVELOPMENT CONTINUE </t>
  </si>
  <si>
    <t xml:space="preserve">Name :RAIS AHMED </t>
  </si>
  <si>
    <t>Father Name : ASMATULLAH</t>
  </si>
  <si>
    <t>CNIC # 42401-5854532-9</t>
  </si>
  <si>
    <t xml:space="preserve">NAME OF FIRST ALLOTTE# HUSNA </t>
  </si>
  <si>
    <t xml:space="preserve">W/O# SHAKEEL </t>
  </si>
  <si>
    <t>CNIC NO# 42401-4132385-0</t>
  </si>
  <si>
    <t>27/12/25</t>
  </si>
  <si>
    <t>21/1/26</t>
  </si>
  <si>
    <t>21/4/26</t>
  </si>
  <si>
    <t>23/5/26</t>
  </si>
  <si>
    <t>20/9/26</t>
  </si>
  <si>
    <t>14/9/26</t>
  </si>
  <si>
    <t>Plot No : L-5131</t>
  </si>
  <si>
    <t>Name :SHAFAQAT ALI</t>
  </si>
  <si>
    <t>Father Name : MUHAMMAD BOOTA</t>
  </si>
  <si>
    <t>CNIC # 42401-0697752-7</t>
  </si>
  <si>
    <t>Contact #0370-1657812</t>
  </si>
  <si>
    <t>Code Num;CTF5977637</t>
  </si>
  <si>
    <t>NOMINNE</t>
  </si>
  <si>
    <t>29/9/26</t>
  </si>
  <si>
    <t xml:space="preserve">NAME </t>
  </si>
  <si>
    <t>W/O</t>
  </si>
  <si>
    <t>CNIC NO</t>
  </si>
  <si>
    <t>AQEELA BIBI</t>
  </si>
  <si>
    <t>SHAFAQAT ALI</t>
  </si>
  <si>
    <t>CONTACT: 0370-1657812</t>
  </si>
  <si>
    <t>CONTACT #</t>
  </si>
  <si>
    <t>DEALER # USMAN</t>
  </si>
  <si>
    <t>COMMISSION # 40,000</t>
  </si>
  <si>
    <t>CODE NO#BNJ6551818</t>
  </si>
  <si>
    <t>30/9/26</t>
  </si>
  <si>
    <t>10\10\26</t>
  </si>
  <si>
    <t xml:space="preserve"> DEVOLOPMENT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</si>
</sst>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B7B7B7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0" xfId="0" applyNumberFormat="1"/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/>
    <xf numFmtId="0" fontId="0" fillId="0" borderId="2" xfId="0" applyBorder="1"/>
    <xf numFmtId="0" fontId="5" fillId="0" borderId="0" xfId="0" applyFont="1"/>
    <xf numFmtId="0" fontId="0" fillId="0" borderId="2" xfId="0" applyBorder="1" applyAlignment="1">
      <alignment horizontal="left" vertical="top"/>
    </xf>
    <xf numFmtId="0" fontId="0" fillId="0" borderId="3" xfId="0" applyBorder="1"/>
    <xf numFmtId="14" fontId="0" fillId="0" borderId="3" xfId="0" applyNumberFormat="1" applyBorder="1"/>
    <xf numFmtId="3" fontId="0" fillId="0" borderId="4" xfId="0" applyNumberFormat="1" applyBorder="1"/>
    <xf numFmtId="0" fontId="1" fillId="0" borderId="6" xfId="0" applyFont="1" applyBorder="1"/>
    <xf numFmtId="0" fontId="1" fillId="0" borderId="7" xfId="0" applyFont="1" applyBorder="1"/>
    <xf numFmtId="14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12" xfId="0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0" borderId="3" xfId="0" applyNumberFormat="1" applyBorder="1" applyAlignment="1">
      <alignment horizontal="left"/>
    </xf>
    <xf numFmtId="14" fontId="0" fillId="0" borderId="13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3" fontId="0" fillId="0" borderId="4" xfId="0" applyNumberFormat="1" applyBorder="1" applyAlignment="1">
      <alignment horizontal="left" vertical="top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4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Alignment="1">
      <alignment wrapText="1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0" borderId="8" xfId="0" applyBorder="1"/>
    <xf numFmtId="0" fontId="0" fillId="0" borderId="2" xfId="0" applyBorder="1" applyAlignment="1">
      <alignment horizontal="left"/>
    </xf>
    <xf numFmtId="14" fontId="7" fillId="0" borderId="0" xfId="0" applyNumberFormat="1" applyFont="1"/>
    <xf numFmtId="3" fontId="7" fillId="0" borderId="0" xfId="0" applyNumberFormat="1" applyFont="1"/>
    <xf numFmtId="0" fontId="9" fillId="0" borderId="0" xfId="0" applyFont="1"/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0" fillId="0" borderId="0" xfId="0" applyFont="1"/>
    <xf numFmtId="0" fontId="0" fillId="0" borderId="9" xfId="0" applyBorder="1" applyAlignment="1">
      <alignment horizontal="left" vertical="top"/>
    </xf>
    <xf numFmtId="3" fontId="0" fillId="0" borderId="9" xfId="0" applyNumberFormat="1" applyBorder="1" applyAlignment="1">
      <alignment horizontal="left" vertical="top"/>
    </xf>
    <xf numFmtId="3" fontId="0" fillId="0" borderId="10" xfId="0" applyNumberFormat="1" applyBorder="1" applyAlignment="1">
      <alignment horizontal="left" vertical="top"/>
    </xf>
    <xf numFmtId="0" fontId="1" fillId="0" borderId="0" xfId="0" applyFont="1"/>
    <xf numFmtId="3" fontId="1" fillId="0" borderId="0" xfId="0" applyNumberFormat="1" applyFont="1"/>
    <xf numFmtId="14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2" fillId="8" borderId="0" xfId="0" applyFont="1" applyFill="1"/>
    <xf numFmtId="0" fontId="0" fillId="8" borderId="0" xfId="0" applyFill="1"/>
    <xf numFmtId="0" fontId="1" fillId="6" borderId="1" xfId="0" applyFon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8" borderId="0" xfId="0" applyFont="1" applyFill="1"/>
    <xf numFmtId="0" fontId="11" fillId="0" borderId="0" xfId="0" applyFont="1"/>
    <xf numFmtId="3" fontId="2" fillId="0" borderId="1" xfId="0" applyNumberFormat="1" applyFont="1" applyBorder="1"/>
  </cellXfs>
  <cellStyles count="1">
    <cellStyle name="Normal" xfId="0" builtinId="0"/>
  </cellStyles>
  <dxfs count="162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19" formatCode="m/d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19" formatCode="m/d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9" formatCode="m/d/yyyy"/>
      <alignment horizontal="left" vertical="bottom" textRotation="0" wrapText="0" indent="0" justifyLastLine="0" shrinkToFit="0" readingOrder="0"/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6:F35" totalsRowShown="0" headerRowDxfId="161" headerRowBorderDxfId="160" tableBorderDxfId="159" totalsRowBorderDxfId="158">
  <autoFilter ref="A6:F35"/>
  <tableColumns count="6">
    <tableColumn id="1" name="Date" dataDxfId="157"/>
    <tableColumn id="2" name="R.NO" dataDxfId="156"/>
    <tableColumn id="3" name="Description" dataDxfId="155"/>
    <tableColumn id="4" name="Amount Rec" dataDxfId="154"/>
    <tableColumn id="5" name="Total Rec" dataDxfId="153">
      <calculatedColumnFormula>SUM(E6+D7)</calculatedColumnFormula>
    </tableColumn>
    <tableColumn id="6" name="Amount Due" dataDxfId="152">
      <calculatedColumnFormula>F6-D7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6:F35" totalsRowShown="0" headerRowDxfId="151" headerRowBorderDxfId="150" tableBorderDxfId="149" totalsRowBorderDxfId="148">
  <autoFilter ref="A6:F35"/>
  <tableColumns count="6">
    <tableColumn id="1" name="Date" dataDxfId="147"/>
    <tableColumn id="2" name="R.NO" dataDxfId="146"/>
    <tableColumn id="3" name="Description" dataDxfId="145"/>
    <tableColumn id="4" name="Amount Rec" dataDxfId="144"/>
    <tableColumn id="5" name="Total Rec" dataDxfId="143">
      <calculatedColumnFormula>SUM(E6+D7)</calculatedColumnFormula>
    </tableColumn>
    <tableColumn id="6" name="Amount Due" dataDxfId="142">
      <calculatedColumnFormula>F6-D7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3:A14" insertRow="1" insertRowShift="1" totalsRowShown="0" headerRowDxfId="141" dataDxfId="139" headerRowBorderDxfId="140" tableBorderDxfId="138" totalsRowBorderDxfId="137">
  <autoFilter ref="A13:A14"/>
  <tableColumns count="1">
    <tableColumn id="1" name="10/7/2023" dataDxfId="1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7" name="Table17" displayName="Table17" ref="A7:F31" totalsRowShown="0" headerRowDxfId="135" headerRowBorderDxfId="134" tableBorderDxfId="133">
  <autoFilter ref="A7:F31"/>
  <tableColumns count="6">
    <tableColumn id="1" name="Date"/>
    <tableColumn id="2" name="R.NO"/>
    <tableColumn id="3" name="Description"/>
    <tableColumn id="4" name="Amount Rec"/>
    <tableColumn id="5" name="Total Rec"/>
    <tableColumn id="6" name="Amount D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6" name="Table16" displayName="Table16" ref="A7:F41" totalsRowShown="0" headerRowDxfId="132" headerRowBorderDxfId="131" tableBorderDxfId="130" totalsRowBorderDxfId="129">
  <autoFilter ref="A7:F41"/>
  <tableColumns count="6">
    <tableColumn id="1" name="Date" dataDxfId="128"/>
    <tableColumn id="2" name="R.NO" dataDxfId="127"/>
    <tableColumn id="3" name="Description" dataDxfId="126"/>
    <tableColumn id="4" name="Amount Rec" dataDxfId="125"/>
    <tableColumn id="5" name="Total Rec" dataDxfId="124">
      <calculatedColumnFormula>SUM(E7+D8)</calculatedColumnFormula>
    </tableColumn>
    <tableColumn id="6" name="Amount Due" dataDxfId="123">
      <calculatedColumnFormula>F7-D8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7:F45" totalsRowShown="0" headerRowDxfId="122" dataDxfId="120" headerRowBorderDxfId="121" tableBorderDxfId="119">
  <autoFilter ref="A7:F45"/>
  <tableColumns count="6">
    <tableColumn id="1" name="Date" dataDxfId="118"/>
    <tableColumn id="2" name="R.NO" dataDxfId="117"/>
    <tableColumn id="3" name="Description" dataDxfId="116"/>
    <tableColumn id="4" name="Amount Rec" dataDxfId="115"/>
    <tableColumn id="5" name="Total Rec" dataDxfId="114">
      <calculatedColumnFormula>SUM(E7+D8)</calculatedColumnFormula>
    </tableColumn>
    <tableColumn id="6" name="Amount Due" dataDxfId="113">
      <calculatedColumnFormula>F7-D8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5" name="Table5" displayName="Table5" ref="A7:F43" totalsRowShown="0" headerRowDxfId="112" headerRowBorderDxfId="111" tableBorderDxfId="110">
  <autoFilter ref="A7:F43"/>
  <tableColumns count="6">
    <tableColumn id="1" name="Date" dataDxfId="109"/>
    <tableColumn id="2" name="R.NO"/>
    <tableColumn id="3" name="Description"/>
    <tableColumn id="4" name="Amount Rec" dataDxfId="108"/>
    <tableColumn id="5" name="Total Rec" dataDxfId="107">
      <calculatedColumnFormula>SUM(E7+D8)</calculatedColumnFormula>
    </tableColumn>
    <tableColumn id="6" name="Amount Due" dataDxfId="106">
      <calculatedColumnFormula>F7-D8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Table6" displayName="Table6" ref="A7:F17" totalsRowShown="0" headerRowDxfId="105" headerRowBorderDxfId="104" tableBorderDxfId="103" totalsRowBorderDxfId="102">
  <autoFilter ref="A7:F17"/>
  <tableColumns count="6">
    <tableColumn id="1" name="Date" dataDxfId="101"/>
    <tableColumn id="2" name="R.NO" dataDxfId="100"/>
    <tableColumn id="3" name="Description" dataDxfId="99"/>
    <tableColumn id="4" name="Amount Rec" dataDxfId="98"/>
    <tableColumn id="5" name="Total Rec" dataDxfId="97">
      <calculatedColumnFormula>SUM(E7+D8)</calculatedColumnFormula>
    </tableColumn>
    <tableColumn id="6" name="Amount Due" dataDxfId="96">
      <calculatedColumnFormula>F7-D8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7" name="Table7" displayName="Table7" ref="A7:F11" totalsRowShown="0" headerRowDxfId="95" headerRowBorderDxfId="94" tableBorderDxfId="93">
  <autoFilter ref="A7:F11"/>
  <tableColumns count="6">
    <tableColumn id="1" name="Date" dataDxfId="92"/>
    <tableColumn id="2" name="R.NO"/>
    <tableColumn id="3" name="Description"/>
    <tableColumn id="4" name="Amount Rec" dataDxfId="91"/>
    <tableColumn id="5" name="Total Rec" dataDxfId="90"/>
    <tableColumn id="6" name="Amount D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Table8" displayName="Table8" ref="A6:F43" totalsRowShown="0" headerRowDxfId="89" headerRowBorderDxfId="88" tableBorderDxfId="87" totalsRowBorderDxfId="86">
  <autoFilter ref="A6:F43"/>
  <tableColumns count="6">
    <tableColumn id="1" name="Date" dataDxfId="85"/>
    <tableColumn id="2" name="R.NO" dataDxfId="84"/>
    <tableColumn id="3" name="Description" dataDxfId="83"/>
    <tableColumn id="4" name="Amount Rec" dataDxfId="82"/>
    <tableColumn id="5" name="Total Rec" dataDxfId="81">
      <calculatedColumnFormula>SUM(E6+D7)</calculatedColumnFormula>
    </tableColumn>
    <tableColumn id="6" name="Amount Due" dataDxfId="80">
      <calculatedColumnFormula>F6-D7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Table9" displayName="Table9" ref="A7:F10" totalsRowShown="0" headerRowDxfId="79" headerRowBorderDxfId="78" tableBorderDxfId="77" totalsRowBorderDxfId="76">
  <autoFilter ref="A7:F10"/>
  <tableColumns count="6">
    <tableColumn id="1" name="Date"/>
    <tableColumn id="2" name="R.NO" dataDxfId="75"/>
    <tableColumn id="3" name="Description" dataDxfId="74"/>
    <tableColumn id="4" name="Amount Rec" dataDxfId="73"/>
    <tableColumn id="5" name="Total Rec" dataDxfId="72"/>
    <tableColumn id="6" name="Amount Due" dataDxfId="7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Table10" displayName="Table10" ref="A7:F23" totalsRowShown="0" headerRowDxfId="70" headerRowBorderDxfId="69" tableBorderDxfId="68">
  <autoFilter ref="A7:F23"/>
  <tableColumns count="6">
    <tableColumn id="1" name="Date" dataDxfId="67"/>
    <tableColumn id="2" name="R.NO" dataDxfId="66"/>
    <tableColumn id="3" name="Description" dataDxfId="65"/>
    <tableColumn id="4" name="Amount Rec" dataDxfId="64"/>
    <tableColumn id="5" name="Total Rec" dataDxfId="63">
      <calculatedColumnFormula>SUM(E7+D8)</calculatedColumnFormula>
    </tableColumn>
    <tableColumn id="6" name="Amount Due" dataDxfId="62">
      <calculatedColumnFormula>F7-D8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8" name="Table18" displayName="Table18" ref="A7:F15" totalsRowShown="0" headerRowDxfId="61" headerRowBorderDxfId="60" tableBorderDxfId="59" totalsRowBorderDxfId="58">
  <autoFilter ref="A7:F15"/>
  <tableColumns count="6">
    <tableColumn id="1" name="Date"/>
    <tableColumn id="2" name="R.NO" dataDxfId="57"/>
    <tableColumn id="3" name="Description" dataDxfId="56"/>
    <tableColumn id="4" name="Amount Rec" dataDxfId="55"/>
    <tableColumn id="5" name="Total Rec" dataDxfId="54">
      <calculatedColumnFormula>SUM(E7+D8)</calculatedColumnFormula>
    </tableColumn>
    <tableColumn id="6" name="Amount Due" dataDxfId="53">
      <calculatedColumnFormula>F7-D8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9" name="Table19" displayName="Table19" ref="A7:F9" totalsRowShown="0" headerRowDxfId="52" headerRowBorderDxfId="51">
  <autoFilter ref="A7:F9"/>
  <tableColumns count="6">
    <tableColumn id="1" name="Date"/>
    <tableColumn id="2" name="R.NO"/>
    <tableColumn id="3" name="Description"/>
    <tableColumn id="4" name="Amount Rec" dataDxfId="50"/>
    <tableColumn id="5" name="Total Rec" dataDxfId="49"/>
    <tableColumn id="6" name="Amount D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1" name="Table11" displayName="Table11" ref="A7:F16" totalsRowShown="0" headerRowDxfId="48" headerRowBorderDxfId="47" tableBorderDxfId="46" totalsRowBorderDxfId="45">
  <autoFilter ref="A7:F16"/>
  <tableColumns count="6">
    <tableColumn id="1" name="Date" dataDxfId="44"/>
    <tableColumn id="2" name="R.NO" dataDxfId="43"/>
    <tableColumn id="3" name="Description" dataDxfId="42"/>
    <tableColumn id="4" name="Amount Rec" dataDxfId="41"/>
    <tableColumn id="5" name="Total Rec" dataDxfId="40">
      <calculatedColumnFormula>SUM(E7+D8)</calculatedColumnFormula>
    </tableColumn>
    <tableColumn id="6" name="Amount Due" dataDxfId="39">
      <calculatedColumnFormula>F7-D8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2" name="Table12" displayName="Table12" ref="A7:F9" totalsRowShown="0" headerRowDxfId="38" headerRowBorderDxfId="37" tableBorderDxfId="36" totalsRowBorderDxfId="35">
  <autoFilter ref="A7:F9"/>
  <tableColumns count="6">
    <tableColumn id="1" name="Date"/>
    <tableColumn id="2" name="R.NO" dataDxfId="34"/>
    <tableColumn id="3" name="Description" dataDxfId="33"/>
    <tableColumn id="4" name="Amount Rec" dataDxfId="32"/>
    <tableColumn id="5" name="Total Rec" dataDxfId="31"/>
    <tableColumn id="6" name="Amount Due" dataDxfId="3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3" name="Table13" displayName="Table13" ref="A7:F47" totalsRowShown="0" headerRowDxfId="29" headerRowBorderDxfId="28" tableBorderDxfId="27" totalsRowBorderDxfId="26">
  <autoFilter ref="A7:F47"/>
  <tableColumns count="6">
    <tableColumn id="1" name="Date" dataDxfId="25"/>
    <tableColumn id="2" name="R.NO" dataDxfId="24"/>
    <tableColumn id="3" name="Description" dataDxfId="23"/>
    <tableColumn id="4" name="Amount Rec" dataDxfId="22"/>
    <tableColumn id="5" name="Total Rec" dataDxfId="21">
      <calculatedColumnFormula>SUM(E7+D8)</calculatedColumnFormula>
    </tableColumn>
    <tableColumn id="6" name="Amount Due" dataDxfId="20">
      <calculatedColumnFormula>F7-D8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5" name="Table15" displayName="Table15" ref="A6:F35" totalsRowShown="0" headerRowDxfId="19" headerRowBorderDxfId="18" tableBorderDxfId="17" totalsRowBorderDxfId="16">
  <autoFilter ref="A6:F35"/>
  <tableColumns count="6">
    <tableColumn id="1" name="Date" dataDxfId="15"/>
    <tableColumn id="2" name="R.NO" dataDxfId="14"/>
    <tableColumn id="3" name="Description" dataDxfId="13"/>
    <tableColumn id="4" name="Amount Rec" dataDxfId="12"/>
    <tableColumn id="5" name="Total Rec" dataDxfId="11">
      <calculatedColumnFormula>SUM(E6+D7)</calculatedColumnFormula>
    </tableColumn>
    <tableColumn id="6" name="Amount Due" dataDxfId="10">
      <calculatedColumnFormula>F6-D7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4" name="Table14" displayName="Table14" ref="A6:F33" totalsRowShown="0" headerRowDxfId="9" headerRowBorderDxfId="8" tableBorderDxfId="7" totalsRowBorderDxfId="6">
  <autoFilter ref="A6:F33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SUM(E6+D7)</calculatedColumnFormula>
    </tableColumn>
    <tableColumn id="6" name="Amount Due" dataDxfId="0">
      <calculatedColumnFormula>F6-D7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L1" sqref="L1"/>
    </sheetView>
  </sheetViews>
  <sheetFormatPr defaultRowHeight="14.5" x14ac:dyDescent="0.35"/>
  <cols>
    <col min="1" max="1" width="10.453125" bestFit="1" customWidth="1"/>
    <col min="3" max="3" width="10.36328125" customWidth="1"/>
    <col min="6" max="6" width="11.7265625" customWidth="1"/>
  </cols>
  <sheetData>
    <row r="1" spans="1:6" ht="18.5" x14ac:dyDescent="0.45">
      <c r="A1" s="1" t="s">
        <v>356</v>
      </c>
      <c r="B1" s="1"/>
      <c r="C1" s="1"/>
      <c r="D1" s="1"/>
      <c r="E1" s="1"/>
      <c r="F1" s="1"/>
    </row>
    <row r="2" spans="1:6" ht="18.5" x14ac:dyDescent="0.45">
      <c r="A2" s="1" t="s">
        <v>357</v>
      </c>
      <c r="C2" s="1"/>
      <c r="D2" s="1"/>
      <c r="E2" s="1"/>
      <c r="F2" s="1"/>
    </row>
    <row r="3" spans="1:6" ht="18.5" x14ac:dyDescent="0.45">
      <c r="A3" s="1" t="s">
        <v>358</v>
      </c>
      <c r="B3" s="1"/>
      <c r="C3" s="1"/>
      <c r="D3" s="1"/>
      <c r="E3" s="1"/>
      <c r="F3" s="1"/>
    </row>
    <row r="4" spans="1:6" ht="18.5" x14ac:dyDescent="0.45">
      <c r="A4" s="1" t="s">
        <v>361</v>
      </c>
      <c r="B4" s="1"/>
      <c r="C4" s="1"/>
      <c r="D4" s="1"/>
      <c r="E4" s="1"/>
      <c r="F4" s="1"/>
    </row>
    <row r="5" spans="1:6" ht="18.5" x14ac:dyDescent="0.45">
      <c r="A5" s="1" t="s">
        <v>359</v>
      </c>
      <c r="B5" s="1"/>
      <c r="C5" s="1"/>
      <c r="D5" s="1"/>
      <c r="E5" s="1"/>
      <c r="F5" s="1"/>
    </row>
    <row r="6" spans="1:6" ht="18.5" x14ac:dyDescent="0.45">
      <c r="A6" s="1" t="s">
        <v>360</v>
      </c>
      <c r="B6" s="1"/>
      <c r="C6" s="1"/>
      <c r="D6" s="1" t="s">
        <v>178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362</v>
      </c>
      <c r="B8">
        <v>927</v>
      </c>
      <c r="C8" t="s">
        <v>16</v>
      </c>
      <c r="D8" s="16">
        <v>100000</v>
      </c>
      <c r="E8" s="16">
        <v>100000</v>
      </c>
      <c r="F8" s="16">
        <v>350000</v>
      </c>
    </row>
    <row r="9" spans="1:6" x14ac:dyDescent="0.35">
      <c r="A9" t="s">
        <v>363</v>
      </c>
      <c r="B9">
        <v>364</v>
      </c>
      <c r="C9" t="s">
        <v>366</v>
      </c>
      <c r="D9" s="16">
        <v>40000</v>
      </c>
      <c r="E9" s="16">
        <f>SUM(E8+D9)</f>
        <v>140000</v>
      </c>
      <c r="F9" s="16">
        <f>F8-D9</f>
        <v>310000</v>
      </c>
    </row>
    <row r="10" spans="1:6" x14ac:dyDescent="0.35">
      <c r="A10" s="21">
        <v>45172</v>
      </c>
      <c r="B10">
        <v>365</v>
      </c>
      <c r="C10" t="s">
        <v>342</v>
      </c>
      <c r="D10" s="16">
        <v>10000</v>
      </c>
      <c r="E10" s="16">
        <f t="shared" ref="E10:E24" si="0">SUM(E9+D10)</f>
        <v>150000</v>
      </c>
      <c r="F10" s="16">
        <f t="shared" ref="F10:F24" si="1">F9-D10</f>
        <v>300000</v>
      </c>
    </row>
    <row r="11" spans="1:6" x14ac:dyDescent="0.35">
      <c r="A11" s="21">
        <v>45144</v>
      </c>
      <c r="B11">
        <v>369</v>
      </c>
      <c r="C11" t="s">
        <v>342</v>
      </c>
      <c r="D11" s="16">
        <v>10000</v>
      </c>
      <c r="E11" s="16">
        <f t="shared" si="0"/>
        <v>160000</v>
      </c>
      <c r="F11" s="16">
        <f t="shared" si="1"/>
        <v>290000</v>
      </c>
    </row>
    <row r="12" spans="1:6" x14ac:dyDescent="0.35">
      <c r="A12" s="21">
        <v>45084</v>
      </c>
      <c r="B12">
        <v>2151</v>
      </c>
      <c r="C12" t="s">
        <v>342</v>
      </c>
      <c r="D12" s="16">
        <v>10000</v>
      </c>
      <c r="E12" s="16">
        <f t="shared" si="0"/>
        <v>170000</v>
      </c>
      <c r="F12" s="16">
        <f t="shared" si="1"/>
        <v>280000</v>
      </c>
    </row>
    <row r="13" spans="1:6" x14ac:dyDescent="0.35">
      <c r="A13" t="s">
        <v>364</v>
      </c>
      <c r="B13">
        <v>8656</v>
      </c>
      <c r="C13" t="s">
        <v>342</v>
      </c>
      <c r="D13" s="16">
        <v>60000</v>
      </c>
      <c r="E13" s="16">
        <f t="shared" si="0"/>
        <v>230000</v>
      </c>
      <c r="F13" s="16">
        <f t="shared" si="1"/>
        <v>220000</v>
      </c>
    </row>
    <row r="14" spans="1:6" x14ac:dyDescent="0.35">
      <c r="A14" t="s">
        <v>365</v>
      </c>
      <c r="B14">
        <v>4487</v>
      </c>
      <c r="C14" t="s">
        <v>342</v>
      </c>
      <c r="D14" s="16">
        <v>20000</v>
      </c>
      <c r="E14" s="16">
        <f t="shared" si="0"/>
        <v>250000</v>
      </c>
      <c r="F14" s="16">
        <f t="shared" si="1"/>
        <v>200000</v>
      </c>
    </row>
    <row r="15" spans="1:6" x14ac:dyDescent="0.35">
      <c r="A15" s="21">
        <v>45333</v>
      </c>
      <c r="B15">
        <v>11563</v>
      </c>
      <c r="C15" t="s">
        <v>342</v>
      </c>
      <c r="D15" s="16">
        <v>20000</v>
      </c>
      <c r="E15" s="16">
        <f t="shared" si="0"/>
        <v>270000</v>
      </c>
      <c r="F15" s="16">
        <f t="shared" si="1"/>
        <v>180000</v>
      </c>
    </row>
    <row r="16" spans="1:6" x14ac:dyDescent="0.35">
      <c r="A16" s="21">
        <v>45334</v>
      </c>
      <c r="B16">
        <v>12547</v>
      </c>
      <c r="C16" t="s">
        <v>342</v>
      </c>
      <c r="D16" s="16">
        <v>20000</v>
      </c>
      <c r="E16" s="16">
        <f t="shared" si="0"/>
        <v>290000</v>
      </c>
      <c r="F16" s="16">
        <f t="shared" si="1"/>
        <v>160000</v>
      </c>
    </row>
    <row r="17" spans="1:6" x14ac:dyDescent="0.35">
      <c r="A17" s="21">
        <v>46001</v>
      </c>
      <c r="B17">
        <v>13788</v>
      </c>
      <c r="C17" t="s">
        <v>342</v>
      </c>
      <c r="D17" s="16">
        <v>40000</v>
      </c>
      <c r="E17" s="16">
        <f t="shared" si="0"/>
        <v>330000</v>
      </c>
      <c r="F17" s="16">
        <f t="shared" si="1"/>
        <v>120000</v>
      </c>
    </row>
    <row r="18" spans="1:6" x14ac:dyDescent="0.35">
      <c r="A18" s="21">
        <v>45972</v>
      </c>
      <c r="B18">
        <v>13334</v>
      </c>
      <c r="C18" t="s">
        <v>342</v>
      </c>
      <c r="D18" s="16">
        <v>10000</v>
      </c>
      <c r="E18" s="16">
        <f t="shared" si="0"/>
        <v>340000</v>
      </c>
      <c r="F18" s="16">
        <f t="shared" si="1"/>
        <v>110000</v>
      </c>
    </row>
    <row r="19" spans="1:6" x14ac:dyDescent="0.35">
      <c r="A19" s="21">
        <v>45942</v>
      </c>
      <c r="B19">
        <v>13155</v>
      </c>
      <c r="C19" t="s">
        <v>342</v>
      </c>
      <c r="D19" s="16">
        <v>10000</v>
      </c>
      <c r="E19" s="16">
        <f t="shared" si="0"/>
        <v>350000</v>
      </c>
      <c r="F19" s="16">
        <f t="shared" si="1"/>
        <v>100000</v>
      </c>
    </row>
    <row r="20" spans="1:6" x14ac:dyDescent="0.35">
      <c r="A20" s="21">
        <v>46357</v>
      </c>
      <c r="B20">
        <v>12099</v>
      </c>
      <c r="C20" t="s">
        <v>342</v>
      </c>
      <c r="D20" s="16">
        <v>10000</v>
      </c>
      <c r="E20" s="16">
        <f t="shared" si="0"/>
        <v>360000</v>
      </c>
      <c r="F20" s="16">
        <f t="shared" si="1"/>
        <v>90000</v>
      </c>
    </row>
    <row r="21" spans="1:6" x14ac:dyDescent="0.35">
      <c r="A21" s="21">
        <v>46083</v>
      </c>
      <c r="B21">
        <v>12430</v>
      </c>
      <c r="C21" t="s">
        <v>342</v>
      </c>
      <c r="D21" s="16">
        <v>10000</v>
      </c>
      <c r="E21" s="16">
        <f t="shared" si="0"/>
        <v>370000</v>
      </c>
      <c r="F21" s="16">
        <f t="shared" si="1"/>
        <v>80000</v>
      </c>
    </row>
    <row r="22" spans="1:6" x14ac:dyDescent="0.35">
      <c r="A22" t="s">
        <v>367</v>
      </c>
      <c r="B22">
        <v>12857</v>
      </c>
      <c r="C22" t="s">
        <v>342</v>
      </c>
      <c r="D22" s="16">
        <v>10000</v>
      </c>
      <c r="E22" s="16">
        <f t="shared" si="0"/>
        <v>380000</v>
      </c>
      <c r="F22" s="16">
        <f t="shared" si="1"/>
        <v>70000</v>
      </c>
    </row>
    <row r="23" spans="1:6" x14ac:dyDescent="0.35">
      <c r="A23" t="s">
        <v>332</v>
      </c>
      <c r="B23">
        <v>13278</v>
      </c>
      <c r="C23" t="s">
        <v>342</v>
      </c>
      <c r="D23" s="16">
        <v>10000</v>
      </c>
      <c r="E23" s="16">
        <f t="shared" si="0"/>
        <v>390000</v>
      </c>
      <c r="F23" s="16">
        <f t="shared" si="1"/>
        <v>60000</v>
      </c>
    </row>
    <row r="24" spans="1:6" x14ac:dyDescent="0.35">
      <c r="A24" t="s">
        <v>482</v>
      </c>
      <c r="B24">
        <v>12407</v>
      </c>
      <c r="C24" t="s">
        <v>342</v>
      </c>
      <c r="D24" s="16">
        <v>10000</v>
      </c>
      <c r="E24" s="16">
        <f t="shared" si="0"/>
        <v>400000</v>
      </c>
      <c r="F24" s="16">
        <f t="shared" si="1"/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6" workbookViewId="0">
      <selection activeCell="F33" sqref="A33:F33"/>
    </sheetView>
  </sheetViews>
  <sheetFormatPr defaultRowHeight="14.5" x14ac:dyDescent="0.35"/>
  <cols>
    <col min="1" max="1" width="10.08984375" customWidth="1"/>
    <col min="3" max="3" width="13.81640625" customWidth="1"/>
    <col min="6" max="6" width="12.08984375" customWidth="1"/>
  </cols>
  <sheetData>
    <row r="1" spans="1:6" ht="18.5" x14ac:dyDescent="0.45">
      <c r="A1" s="1" t="s">
        <v>334</v>
      </c>
      <c r="B1" s="1"/>
      <c r="C1" s="1"/>
      <c r="D1" s="1"/>
      <c r="E1" s="1"/>
      <c r="F1" s="1"/>
    </row>
    <row r="2" spans="1:6" ht="18.5" x14ac:dyDescent="0.45">
      <c r="A2" s="1" t="s">
        <v>335</v>
      </c>
      <c r="C2" s="1"/>
      <c r="D2" s="1"/>
      <c r="E2" s="1"/>
      <c r="F2" s="1"/>
    </row>
    <row r="3" spans="1:6" ht="18.5" x14ac:dyDescent="0.45">
      <c r="A3" s="1" t="s">
        <v>336</v>
      </c>
      <c r="B3" s="1"/>
      <c r="C3" s="1"/>
      <c r="D3" s="1"/>
      <c r="E3" s="1"/>
      <c r="F3" s="1"/>
    </row>
    <row r="4" spans="1:6" ht="18.5" x14ac:dyDescent="0.45">
      <c r="A4" s="1" t="s">
        <v>340</v>
      </c>
      <c r="B4" s="1"/>
      <c r="C4" s="1"/>
      <c r="D4" s="1"/>
      <c r="E4" s="1"/>
      <c r="F4" s="1"/>
    </row>
    <row r="5" spans="1:6" ht="18.5" x14ac:dyDescent="0.45">
      <c r="A5" s="1" t="s">
        <v>337</v>
      </c>
      <c r="B5" s="1" t="s">
        <v>644</v>
      </c>
      <c r="C5" s="1"/>
      <c r="D5" s="1"/>
      <c r="E5" s="1"/>
      <c r="F5" s="1"/>
    </row>
    <row r="6" spans="1:6" ht="18.5" x14ac:dyDescent="0.45">
      <c r="A6" s="1" t="s">
        <v>338</v>
      </c>
      <c r="B6" s="1"/>
      <c r="C6" s="1"/>
      <c r="D6" s="1" t="s">
        <v>339</v>
      </c>
      <c r="F6" s="1"/>
    </row>
    <row r="7" spans="1:6" x14ac:dyDescent="0.35">
      <c r="A7" s="96" t="s">
        <v>0</v>
      </c>
      <c r="B7" s="96" t="s">
        <v>1</v>
      </c>
      <c r="C7" s="96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1" t="s">
        <v>341</v>
      </c>
      <c r="B8" s="9">
        <v>1288</v>
      </c>
      <c r="C8" s="11" t="s">
        <v>342</v>
      </c>
      <c r="D8" s="12">
        <v>10000</v>
      </c>
      <c r="E8" s="12">
        <v>10000</v>
      </c>
      <c r="F8" s="12">
        <v>155000</v>
      </c>
    </row>
    <row r="9" spans="1:6" x14ac:dyDescent="0.35">
      <c r="A9" s="11" t="s">
        <v>343</v>
      </c>
      <c r="B9" s="9">
        <v>1372</v>
      </c>
      <c r="C9" s="11" t="s">
        <v>342</v>
      </c>
      <c r="D9" s="12">
        <v>10000</v>
      </c>
      <c r="E9" s="12">
        <f>SUM(E8+D9)</f>
        <v>20000</v>
      </c>
      <c r="F9" s="12">
        <f>F8-D9</f>
        <v>145000</v>
      </c>
    </row>
    <row r="10" spans="1:6" x14ac:dyDescent="0.35">
      <c r="A10" s="11" t="s">
        <v>344</v>
      </c>
      <c r="B10" s="9">
        <v>2079</v>
      </c>
      <c r="C10" s="11" t="s">
        <v>345</v>
      </c>
      <c r="D10" s="12">
        <v>10000</v>
      </c>
      <c r="E10" s="12">
        <f>SUM(E9+D10)</f>
        <v>30000</v>
      </c>
      <c r="F10" s="12">
        <f>F9-D10</f>
        <v>135000</v>
      </c>
    </row>
    <row r="11" spans="1:6" x14ac:dyDescent="0.35">
      <c r="A11" s="11" t="s">
        <v>346</v>
      </c>
      <c r="B11" s="9">
        <v>2078</v>
      </c>
      <c r="C11" s="11" t="s">
        <v>345</v>
      </c>
      <c r="D11" s="12">
        <v>10000</v>
      </c>
      <c r="E11" s="12">
        <f t="shared" ref="E11:E19" si="0">SUM(E10+D11)</f>
        <v>40000</v>
      </c>
      <c r="F11" s="12">
        <f t="shared" ref="F11:F19" si="1">F10-D11</f>
        <v>125000</v>
      </c>
    </row>
    <row r="12" spans="1:6" x14ac:dyDescent="0.35">
      <c r="A12" s="11" t="s">
        <v>346</v>
      </c>
      <c r="B12" s="9">
        <v>2077</v>
      </c>
      <c r="C12" s="11" t="s">
        <v>326</v>
      </c>
      <c r="D12" s="12">
        <v>10000</v>
      </c>
      <c r="E12" s="12">
        <f t="shared" si="0"/>
        <v>50000</v>
      </c>
      <c r="F12" s="12">
        <f t="shared" si="1"/>
        <v>115000</v>
      </c>
    </row>
    <row r="13" spans="1:6" x14ac:dyDescent="0.35">
      <c r="A13" s="11" t="s">
        <v>347</v>
      </c>
      <c r="B13" s="9">
        <v>2080</v>
      </c>
      <c r="C13" s="11" t="s">
        <v>342</v>
      </c>
      <c r="D13" s="12">
        <v>10000</v>
      </c>
      <c r="E13" s="12">
        <f t="shared" si="0"/>
        <v>60000</v>
      </c>
      <c r="F13" s="12">
        <f t="shared" si="1"/>
        <v>105000</v>
      </c>
    </row>
    <row r="14" spans="1:6" x14ac:dyDescent="0.35">
      <c r="A14" s="11" t="s">
        <v>60</v>
      </c>
      <c r="B14" s="9">
        <v>1547</v>
      </c>
      <c r="C14" s="11" t="s">
        <v>342</v>
      </c>
      <c r="D14" s="12">
        <v>30000</v>
      </c>
      <c r="E14" s="12">
        <f t="shared" si="0"/>
        <v>90000</v>
      </c>
      <c r="F14" s="12">
        <f t="shared" si="1"/>
        <v>75000</v>
      </c>
    </row>
    <row r="15" spans="1:6" x14ac:dyDescent="0.35">
      <c r="A15" s="95">
        <v>45267</v>
      </c>
      <c r="B15" s="9">
        <v>2738</v>
      </c>
      <c r="C15" s="11" t="s">
        <v>342</v>
      </c>
      <c r="D15" s="12">
        <v>20000</v>
      </c>
      <c r="E15" s="12">
        <f t="shared" si="0"/>
        <v>110000</v>
      </c>
      <c r="F15" s="12">
        <f t="shared" si="1"/>
        <v>55000</v>
      </c>
    </row>
    <row r="16" spans="1:6" x14ac:dyDescent="0.35">
      <c r="A16" s="11" t="s">
        <v>348</v>
      </c>
      <c r="B16" s="9">
        <v>3304</v>
      </c>
      <c r="C16" s="11" t="s">
        <v>342</v>
      </c>
      <c r="D16" s="12">
        <v>10000</v>
      </c>
      <c r="E16" s="12">
        <f t="shared" si="0"/>
        <v>120000</v>
      </c>
      <c r="F16" s="12">
        <f t="shared" si="1"/>
        <v>45000</v>
      </c>
    </row>
    <row r="17" spans="1:6" x14ac:dyDescent="0.35">
      <c r="A17" s="95">
        <v>45026</v>
      </c>
      <c r="B17" s="9">
        <v>4001</v>
      </c>
      <c r="C17" s="11" t="s">
        <v>342</v>
      </c>
      <c r="D17" s="12">
        <v>10000</v>
      </c>
      <c r="E17" s="12">
        <f t="shared" si="0"/>
        <v>130000</v>
      </c>
      <c r="F17" s="12">
        <f t="shared" si="1"/>
        <v>35000</v>
      </c>
    </row>
    <row r="18" spans="1:6" x14ac:dyDescent="0.35">
      <c r="A18" s="95">
        <v>45088</v>
      </c>
      <c r="B18" s="9">
        <v>4669</v>
      </c>
      <c r="C18" s="11" t="s">
        <v>342</v>
      </c>
      <c r="D18" s="12">
        <v>20000</v>
      </c>
      <c r="E18" s="12">
        <f t="shared" si="0"/>
        <v>150000</v>
      </c>
      <c r="F18" s="12">
        <f t="shared" si="1"/>
        <v>15000</v>
      </c>
    </row>
    <row r="19" spans="1:6" x14ac:dyDescent="0.35">
      <c r="A19" s="11" t="s">
        <v>325</v>
      </c>
      <c r="B19" s="9">
        <v>5590</v>
      </c>
      <c r="C19" s="11" t="s">
        <v>342</v>
      </c>
      <c r="D19" s="12">
        <v>15000</v>
      </c>
      <c r="E19" s="12">
        <f t="shared" si="0"/>
        <v>165000</v>
      </c>
      <c r="F19" s="12">
        <f t="shared" si="1"/>
        <v>0</v>
      </c>
    </row>
    <row r="21" spans="1:6" x14ac:dyDescent="0.35">
      <c r="A21" s="93" t="s">
        <v>637</v>
      </c>
      <c r="B21" s="93"/>
      <c r="C21" s="93"/>
    </row>
    <row r="22" spans="1:6" x14ac:dyDescent="0.35">
      <c r="A22" s="9" t="s">
        <v>638</v>
      </c>
      <c r="B22" s="9">
        <v>253</v>
      </c>
      <c r="C22" s="11" t="s">
        <v>530</v>
      </c>
      <c r="D22" s="12">
        <v>10000</v>
      </c>
      <c r="E22" s="12">
        <v>10000</v>
      </c>
      <c r="F22" s="12">
        <v>440000</v>
      </c>
    </row>
    <row r="23" spans="1:6" x14ac:dyDescent="0.35">
      <c r="A23" s="9" t="s">
        <v>639</v>
      </c>
      <c r="B23" s="9">
        <v>583</v>
      </c>
      <c r="C23" s="11" t="s">
        <v>530</v>
      </c>
      <c r="D23" s="12">
        <v>10000</v>
      </c>
      <c r="E23" s="12">
        <f t="shared" ref="E23:E32" si="2">E22+D23</f>
        <v>20000</v>
      </c>
      <c r="F23" s="12">
        <f t="shared" ref="F23:F32" si="3">F22-D23</f>
        <v>430000</v>
      </c>
    </row>
    <row r="24" spans="1:6" x14ac:dyDescent="0.35">
      <c r="A24" s="97">
        <v>45811</v>
      </c>
      <c r="B24" s="9">
        <v>982</v>
      </c>
      <c r="C24" s="11" t="s">
        <v>530</v>
      </c>
      <c r="D24" s="12">
        <v>20000</v>
      </c>
      <c r="E24" s="12">
        <f t="shared" si="2"/>
        <v>40000</v>
      </c>
      <c r="F24" s="12">
        <f t="shared" si="3"/>
        <v>410000</v>
      </c>
    </row>
    <row r="25" spans="1:6" x14ac:dyDescent="0.35">
      <c r="A25" s="97">
        <v>45935</v>
      </c>
      <c r="B25" s="9">
        <v>755</v>
      </c>
      <c r="C25" s="11" t="s">
        <v>530</v>
      </c>
      <c r="D25" s="12">
        <v>20000</v>
      </c>
      <c r="E25" s="12">
        <f t="shared" si="2"/>
        <v>60000</v>
      </c>
      <c r="F25" s="12">
        <f t="shared" si="3"/>
        <v>390000</v>
      </c>
    </row>
    <row r="26" spans="1:6" x14ac:dyDescent="0.35">
      <c r="A26" s="97">
        <v>45723</v>
      </c>
      <c r="B26" s="9">
        <v>3016</v>
      </c>
      <c r="C26" s="11" t="s">
        <v>530</v>
      </c>
      <c r="D26" s="12">
        <v>20000</v>
      </c>
      <c r="E26" s="12">
        <f t="shared" si="2"/>
        <v>80000</v>
      </c>
      <c r="F26" s="12">
        <f t="shared" si="3"/>
        <v>370000</v>
      </c>
    </row>
    <row r="27" spans="1:6" x14ac:dyDescent="0.35">
      <c r="A27" s="97">
        <v>45878</v>
      </c>
      <c r="B27" s="9">
        <v>3497</v>
      </c>
      <c r="C27" s="11" t="s">
        <v>530</v>
      </c>
      <c r="D27" s="12">
        <v>20000</v>
      </c>
      <c r="E27" s="12">
        <f t="shared" si="2"/>
        <v>100000</v>
      </c>
      <c r="F27" s="12">
        <f t="shared" si="3"/>
        <v>350000</v>
      </c>
    </row>
    <row r="28" spans="1:6" x14ac:dyDescent="0.35">
      <c r="A28" s="9" t="s">
        <v>640</v>
      </c>
      <c r="B28" s="9">
        <v>3815</v>
      </c>
      <c r="C28" s="11" t="s">
        <v>530</v>
      </c>
      <c r="D28" s="12">
        <v>20000</v>
      </c>
      <c r="E28" s="12">
        <f t="shared" si="2"/>
        <v>120000</v>
      </c>
      <c r="F28" s="12">
        <f t="shared" si="3"/>
        <v>330000</v>
      </c>
    </row>
    <row r="29" spans="1:6" x14ac:dyDescent="0.35">
      <c r="A29" s="9" t="s">
        <v>641</v>
      </c>
      <c r="B29" s="9">
        <v>5315</v>
      </c>
      <c r="C29" s="11" t="s">
        <v>530</v>
      </c>
      <c r="D29" s="12">
        <v>20000</v>
      </c>
      <c r="E29" s="12">
        <f t="shared" si="2"/>
        <v>140000</v>
      </c>
      <c r="F29" s="12">
        <f t="shared" si="3"/>
        <v>310000</v>
      </c>
    </row>
    <row r="30" spans="1:6" x14ac:dyDescent="0.35">
      <c r="A30" s="97">
        <v>46206</v>
      </c>
      <c r="B30" s="9">
        <v>5664</v>
      </c>
      <c r="C30" s="11" t="s">
        <v>530</v>
      </c>
      <c r="D30" s="12">
        <v>20000</v>
      </c>
      <c r="E30" s="12">
        <f t="shared" si="2"/>
        <v>160000</v>
      </c>
      <c r="F30" s="12">
        <f t="shared" si="3"/>
        <v>290000</v>
      </c>
    </row>
    <row r="31" spans="1:6" x14ac:dyDescent="0.35">
      <c r="A31" s="9" t="s">
        <v>642</v>
      </c>
      <c r="B31" s="9">
        <v>5934</v>
      </c>
      <c r="C31" s="11" t="s">
        <v>530</v>
      </c>
      <c r="D31" s="12">
        <v>10000</v>
      </c>
      <c r="E31" s="12">
        <f t="shared" si="2"/>
        <v>170000</v>
      </c>
      <c r="F31" s="12">
        <f t="shared" si="3"/>
        <v>280000</v>
      </c>
    </row>
    <row r="32" spans="1:6" x14ac:dyDescent="0.35">
      <c r="A32" s="9" t="s">
        <v>643</v>
      </c>
      <c r="B32" s="9">
        <v>3711</v>
      </c>
      <c r="C32" s="11" t="s">
        <v>530</v>
      </c>
      <c r="D32" s="12">
        <v>30000</v>
      </c>
      <c r="E32" s="12">
        <f t="shared" si="2"/>
        <v>200000</v>
      </c>
      <c r="F32" s="12">
        <f t="shared" si="3"/>
        <v>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6" workbookViewId="0">
      <selection activeCell="I9" sqref="I9"/>
    </sheetView>
  </sheetViews>
  <sheetFormatPr defaultRowHeight="14.5" x14ac:dyDescent="0.35"/>
  <cols>
    <col min="1" max="1" width="10.6328125" customWidth="1"/>
    <col min="3" max="3" width="14.6328125" customWidth="1"/>
    <col min="6" max="6" width="11" customWidth="1"/>
  </cols>
  <sheetData>
    <row r="1" spans="1:6" ht="18.5" x14ac:dyDescent="0.45">
      <c r="A1" s="1" t="s">
        <v>349</v>
      </c>
      <c r="B1" s="1"/>
      <c r="C1" s="1"/>
      <c r="D1" s="1"/>
      <c r="E1" s="1"/>
      <c r="F1" s="1"/>
    </row>
    <row r="2" spans="1:6" ht="18.5" x14ac:dyDescent="0.45">
      <c r="A2" s="1" t="s">
        <v>350</v>
      </c>
      <c r="C2" s="1"/>
      <c r="D2" s="1"/>
      <c r="E2" s="1"/>
      <c r="F2" s="1"/>
    </row>
    <row r="3" spans="1:6" ht="18.5" x14ac:dyDescent="0.45">
      <c r="A3" s="1" t="s">
        <v>351</v>
      </c>
      <c r="B3" s="1"/>
      <c r="C3" s="1"/>
      <c r="D3" s="1"/>
      <c r="E3" s="1"/>
      <c r="F3" s="1"/>
    </row>
    <row r="4" spans="1:6" ht="18.5" x14ac:dyDescent="0.45">
      <c r="A4" s="1" t="s">
        <v>353</v>
      </c>
      <c r="B4" s="1"/>
      <c r="C4" s="1"/>
      <c r="D4" s="1"/>
      <c r="E4" s="1"/>
      <c r="F4" s="1"/>
    </row>
    <row r="5" spans="1:6" ht="18.5" x14ac:dyDescent="0.45">
      <c r="A5" s="1" t="s">
        <v>337</v>
      </c>
      <c r="B5" s="1"/>
      <c r="C5" s="1"/>
      <c r="D5" s="1"/>
      <c r="E5" s="1"/>
      <c r="F5" s="1"/>
    </row>
    <row r="6" spans="1:6" ht="18.5" x14ac:dyDescent="0.45">
      <c r="A6" s="1" t="s">
        <v>352</v>
      </c>
      <c r="B6" s="1"/>
      <c r="C6" s="1"/>
      <c r="D6" s="1" t="s">
        <v>339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341</v>
      </c>
      <c r="B8">
        <v>1289</v>
      </c>
      <c r="C8" t="s">
        <v>342</v>
      </c>
      <c r="D8" s="16">
        <v>10000</v>
      </c>
      <c r="E8" s="16">
        <v>10000</v>
      </c>
      <c r="F8" s="16">
        <v>155000</v>
      </c>
    </row>
    <row r="9" spans="1:6" x14ac:dyDescent="0.35">
      <c r="A9" t="s">
        <v>343</v>
      </c>
      <c r="B9">
        <v>1371</v>
      </c>
      <c r="C9" t="s">
        <v>342</v>
      </c>
      <c r="D9" s="16">
        <v>10000</v>
      </c>
      <c r="E9" s="16">
        <f>SUM(E8+D9)</f>
        <v>20000</v>
      </c>
      <c r="F9" s="16">
        <f>F8-D9</f>
        <v>145000</v>
      </c>
    </row>
    <row r="10" spans="1:6" x14ac:dyDescent="0.35">
      <c r="A10" t="s">
        <v>346</v>
      </c>
      <c r="B10">
        <v>2075</v>
      </c>
      <c r="C10" t="s">
        <v>354</v>
      </c>
      <c r="D10" s="16">
        <v>10000</v>
      </c>
      <c r="E10" s="16">
        <f t="shared" ref="E10:E19" si="0">SUM(E9+D10)</f>
        <v>30000</v>
      </c>
      <c r="F10" s="16">
        <f t="shared" ref="F10:F19" si="1">F9-D10</f>
        <v>135000</v>
      </c>
    </row>
    <row r="11" spans="1:6" x14ac:dyDescent="0.35">
      <c r="A11" t="s">
        <v>346</v>
      </c>
      <c r="B11">
        <v>2074</v>
      </c>
      <c r="C11" t="s">
        <v>354</v>
      </c>
      <c r="D11" s="16">
        <v>10000</v>
      </c>
      <c r="E11" s="16">
        <f t="shared" si="0"/>
        <v>40000</v>
      </c>
      <c r="F11" s="16">
        <f t="shared" si="1"/>
        <v>125000</v>
      </c>
    </row>
    <row r="12" spans="1:6" x14ac:dyDescent="0.35">
      <c r="A12" t="s">
        <v>344</v>
      </c>
      <c r="B12">
        <v>2076</v>
      </c>
      <c r="C12" t="s">
        <v>354</v>
      </c>
      <c r="D12" s="16">
        <v>10000</v>
      </c>
      <c r="E12" s="16">
        <f t="shared" si="0"/>
        <v>50000</v>
      </c>
      <c r="F12" s="16">
        <f t="shared" si="1"/>
        <v>115000</v>
      </c>
    </row>
    <row r="13" spans="1:6" x14ac:dyDescent="0.35">
      <c r="A13" t="s">
        <v>347</v>
      </c>
      <c r="B13">
        <v>2081</v>
      </c>
      <c r="C13" t="s">
        <v>355</v>
      </c>
      <c r="D13" s="16">
        <v>10000</v>
      </c>
      <c r="E13" s="16">
        <f t="shared" si="0"/>
        <v>60000</v>
      </c>
      <c r="F13" s="16">
        <f t="shared" si="1"/>
        <v>105000</v>
      </c>
    </row>
    <row r="14" spans="1:6" x14ac:dyDescent="0.35">
      <c r="A14" t="s">
        <v>60</v>
      </c>
      <c r="B14">
        <v>1548</v>
      </c>
      <c r="C14" t="s">
        <v>342</v>
      </c>
      <c r="D14" s="16">
        <v>30000</v>
      </c>
      <c r="E14" s="16">
        <f t="shared" si="0"/>
        <v>90000</v>
      </c>
      <c r="F14" s="16">
        <f t="shared" si="1"/>
        <v>75000</v>
      </c>
    </row>
    <row r="15" spans="1:6" x14ac:dyDescent="0.35">
      <c r="A15" s="21">
        <v>45267</v>
      </c>
      <c r="B15">
        <v>2739</v>
      </c>
      <c r="C15" t="s">
        <v>342</v>
      </c>
      <c r="D15" s="16">
        <v>20000</v>
      </c>
      <c r="E15" s="16">
        <f t="shared" si="0"/>
        <v>110000</v>
      </c>
      <c r="F15" s="16">
        <f t="shared" si="1"/>
        <v>55000</v>
      </c>
    </row>
    <row r="16" spans="1:6" x14ac:dyDescent="0.35">
      <c r="A16" t="s">
        <v>348</v>
      </c>
      <c r="B16">
        <v>3305</v>
      </c>
      <c r="C16" t="s">
        <v>342</v>
      </c>
      <c r="D16" s="16">
        <v>10000</v>
      </c>
      <c r="E16" s="16">
        <f t="shared" si="0"/>
        <v>120000</v>
      </c>
      <c r="F16" s="16">
        <f t="shared" si="1"/>
        <v>45000</v>
      </c>
    </row>
    <row r="17" spans="1:6" x14ac:dyDescent="0.35">
      <c r="A17" s="21">
        <v>45026</v>
      </c>
      <c r="B17">
        <v>4002</v>
      </c>
      <c r="C17" t="s">
        <v>342</v>
      </c>
      <c r="D17" s="16">
        <v>10000</v>
      </c>
      <c r="E17" s="16">
        <f t="shared" si="0"/>
        <v>130000</v>
      </c>
      <c r="F17" s="16">
        <f t="shared" si="1"/>
        <v>35000</v>
      </c>
    </row>
    <row r="18" spans="1:6" x14ac:dyDescent="0.35">
      <c r="A18" s="21">
        <v>45088</v>
      </c>
      <c r="B18">
        <v>4670</v>
      </c>
      <c r="C18" t="s">
        <v>342</v>
      </c>
      <c r="D18" s="16">
        <v>20000</v>
      </c>
      <c r="E18" s="16">
        <f t="shared" si="0"/>
        <v>150000</v>
      </c>
      <c r="F18" s="16">
        <f t="shared" si="1"/>
        <v>15000</v>
      </c>
    </row>
    <row r="19" spans="1:6" x14ac:dyDescent="0.35">
      <c r="A19" t="s">
        <v>325</v>
      </c>
      <c r="B19">
        <v>5589</v>
      </c>
      <c r="C19" t="s">
        <v>342</v>
      </c>
      <c r="D19" s="16">
        <v>15000</v>
      </c>
      <c r="E19" s="16">
        <f t="shared" si="0"/>
        <v>165000</v>
      </c>
      <c r="F19" s="16">
        <f t="shared" si="1"/>
        <v>0</v>
      </c>
    </row>
    <row r="20" spans="1:6" ht="15.5" x14ac:dyDescent="0.35">
      <c r="A20" s="74" t="s">
        <v>311</v>
      </c>
      <c r="B20" s="74"/>
      <c r="C20" s="74"/>
      <c r="D20" s="74"/>
      <c r="E20" s="74"/>
      <c r="F20" s="74"/>
    </row>
    <row r="21" spans="1:6" ht="18.5" x14ac:dyDescent="0.45">
      <c r="A21" s="73" t="s">
        <v>269</v>
      </c>
      <c r="B21" s="73"/>
      <c r="C21" s="73"/>
      <c r="D21" s="73"/>
      <c r="E21" s="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33" workbookViewId="0">
      <selection activeCell="F40" sqref="F40"/>
    </sheetView>
  </sheetViews>
  <sheetFormatPr defaultRowHeight="14.5" x14ac:dyDescent="0.35"/>
  <cols>
    <col min="1" max="1" width="10.453125" customWidth="1"/>
    <col min="3" max="3" width="27.26953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169</v>
      </c>
      <c r="B5" s="1"/>
      <c r="C5" s="1"/>
      <c r="D5" s="1" t="s">
        <v>58</v>
      </c>
      <c r="F5" s="1"/>
    </row>
    <row r="6" spans="1:6" x14ac:dyDescent="0.35">
      <c r="A6" s="35" t="s">
        <v>0</v>
      </c>
      <c r="B6" s="36" t="s">
        <v>1</v>
      </c>
      <c r="C6" s="36" t="s">
        <v>2</v>
      </c>
      <c r="D6" s="28" t="s">
        <v>3</v>
      </c>
      <c r="E6" s="28" t="s">
        <v>4</v>
      </c>
      <c r="F6" s="29" t="s">
        <v>5</v>
      </c>
    </row>
    <row r="7" spans="1:6" x14ac:dyDescent="0.35">
      <c r="A7" s="25" t="s">
        <v>135</v>
      </c>
      <c r="B7" s="11">
        <v>30</v>
      </c>
      <c r="C7" s="11" t="s">
        <v>15</v>
      </c>
      <c r="D7" s="12">
        <v>10000</v>
      </c>
      <c r="E7" s="12">
        <v>10000</v>
      </c>
      <c r="F7" s="27">
        <v>590000</v>
      </c>
    </row>
    <row r="8" spans="1:6" x14ac:dyDescent="0.35">
      <c r="A8" s="25" t="s">
        <v>170</v>
      </c>
      <c r="B8" s="11">
        <v>1285</v>
      </c>
      <c r="C8" s="11" t="s">
        <v>128</v>
      </c>
      <c r="D8" s="12">
        <v>140000</v>
      </c>
      <c r="E8" s="12">
        <f>SUM(E7+D8)</f>
        <v>150000</v>
      </c>
      <c r="F8" s="27">
        <f>F7-D8</f>
        <v>450000</v>
      </c>
    </row>
    <row r="9" spans="1:6" x14ac:dyDescent="0.35">
      <c r="A9" s="25" t="s">
        <v>171</v>
      </c>
      <c r="B9" s="11">
        <v>2061</v>
      </c>
      <c r="C9" s="11" t="s">
        <v>6</v>
      </c>
      <c r="D9" s="12">
        <v>50000</v>
      </c>
      <c r="E9" s="12">
        <f t="shared" ref="E9:E34" si="0">SUM(E8+D9)</f>
        <v>200000</v>
      </c>
      <c r="F9" s="27">
        <f t="shared" ref="F9:F34" si="1">F8-D9</f>
        <v>400000</v>
      </c>
    </row>
    <row r="10" spans="1:6" x14ac:dyDescent="0.35">
      <c r="A10" s="25" t="s">
        <v>172</v>
      </c>
      <c r="B10" s="11">
        <v>2062</v>
      </c>
      <c r="C10" s="11" t="s">
        <v>52</v>
      </c>
      <c r="D10" s="12">
        <v>10000</v>
      </c>
      <c r="E10" s="12">
        <f t="shared" si="0"/>
        <v>210000</v>
      </c>
      <c r="F10" s="27">
        <f t="shared" si="1"/>
        <v>390000</v>
      </c>
    </row>
    <row r="11" spans="1:6" x14ac:dyDescent="0.35">
      <c r="A11" s="26">
        <v>45203</v>
      </c>
      <c r="B11" s="11">
        <v>1085</v>
      </c>
      <c r="C11" s="11" t="s">
        <v>52</v>
      </c>
      <c r="D11" s="12">
        <v>10000</v>
      </c>
      <c r="E11" s="12">
        <f t="shared" si="0"/>
        <v>220000</v>
      </c>
      <c r="F11" s="27">
        <f t="shared" si="1"/>
        <v>380000</v>
      </c>
    </row>
    <row r="12" spans="1:6" x14ac:dyDescent="0.35">
      <c r="A12" s="25" t="s">
        <v>86</v>
      </c>
      <c r="B12" s="11">
        <v>536</v>
      </c>
      <c r="C12" s="11" t="s">
        <v>52</v>
      </c>
      <c r="D12" s="12">
        <v>20000</v>
      </c>
      <c r="E12" s="12">
        <f t="shared" si="0"/>
        <v>240000</v>
      </c>
      <c r="F12" s="27">
        <f t="shared" si="1"/>
        <v>360000</v>
      </c>
    </row>
    <row r="13" spans="1:6" x14ac:dyDescent="0.35">
      <c r="A13" s="26" t="s">
        <v>139</v>
      </c>
      <c r="B13" s="11">
        <v>2951</v>
      </c>
      <c r="C13" s="11" t="s">
        <v>52</v>
      </c>
      <c r="D13" s="12">
        <v>10000</v>
      </c>
      <c r="E13" s="12">
        <f t="shared" si="0"/>
        <v>250000</v>
      </c>
      <c r="F13" s="27">
        <f t="shared" si="1"/>
        <v>350000</v>
      </c>
    </row>
    <row r="14" spans="1:6" x14ac:dyDescent="0.35">
      <c r="A14" s="25" t="s">
        <v>161</v>
      </c>
      <c r="B14" s="11">
        <v>3183</v>
      </c>
      <c r="C14" s="11" t="s">
        <v>52</v>
      </c>
      <c r="D14" s="12">
        <v>10000</v>
      </c>
      <c r="E14" s="12">
        <f t="shared" si="0"/>
        <v>260000</v>
      </c>
      <c r="F14" s="27">
        <f t="shared" si="1"/>
        <v>340000</v>
      </c>
    </row>
    <row r="15" spans="1:6" x14ac:dyDescent="0.35">
      <c r="A15" s="26" t="s">
        <v>141</v>
      </c>
      <c r="B15" s="11">
        <v>6402</v>
      </c>
      <c r="C15" s="11" t="s">
        <v>52</v>
      </c>
      <c r="D15" s="12">
        <v>10000</v>
      </c>
      <c r="E15" s="12">
        <f t="shared" si="0"/>
        <v>270000</v>
      </c>
      <c r="F15" s="27">
        <f t="shared" si="1"/>
        <v>330000</v>
      </c>
    </row>
    <row r="16" spans="1:6" x14ac:dyDescent="0.35">
      <c r="A16" s="25" t="s">
        <v>142</v>
      </c>
      <c r="B16" s="11">
        <v>4507</v>
      </c>
      <c r="C16" s="11" t="s">
        <v>52</v>
      </c>
      <c r="D16" s="12">
        <v>10000</v>
      </c>
      <c r="E16" s="12">
        <f t="shared" si="0"/>
        <v>280000</v>
      </c>
      <c r="F16" s="27">
        <f t="shared" si="1"/>
        <v>320000</v>
      </c>
    </row>
    <row r="17" spans="1:6" x14ac:dyDescent="0.35">
      <c r="A17" s="26" t="s">
        <v>143</v>
      </c>
      <c r="B17" s="11">
        <v>5116</v>
      </c>
      <c r="C17" s="11" t="s">
        <v>52</v>
      </c>
      <c r="D17" s="12">
        <v>10000</v>
      </c>
      <c r="E17" s="12">
        <f t="shared" si="0"/>
        <v>290000</v>
      </c>
      <c r="F17" s="27">
        <f t="shared" si="1"/>
        <v>310000</v>
      </c>
    </row>
    <row r="18" spans="1:6" x14ac:dyDescent="0.35">
      <c r="A18" s="25" t="s">
        <v>145</v>
      </c>
      <c r="B18" s="11">
        <v>5794</v>
      </c>
      <c r="C18" s="11" t="s">
        <v>52</v>
      </c>
      <c r="D18" s="12">
        <v>10000</v>
      </c>
      <c r="E18" s="12">
        <f t="shared" si="0"/>
        <v>300000</v>
      </c>
      <c r="F18" s="27">
        <f t="shared" si="1"/>
        <v>300000</v>
      </c>
    </row>
    <row r="19" spans="1:6" x14ac:dyDescent="0.35">
      <c r="A19" s="26" t="s">
        <v>146</v>
      </c>
      <c r="B19" s="11">
        <v>401</v>
      </c>
      <c r="C19" s="11" t="s">
        <v>52</v>
      </c>
      <c r="D19" s="12">
        <v>10000</v>
      </c>
      <c r="E19" s="12">
        <f t="shared" si="0"/>
        <v>310000</v>
      </c>
      <c r="F19" s="27">
        <f t="shared" si="1"/>
        <v>290000</v>
      </c>
    </row>
    <row r="20" spans="1:6" x14ac:dyDescent="0.35">
      <c r="A20" s="25" t="s">
        <v>147</v>
      </c>
      <c r="B20" s="11">
        <v>11691</v>
      </c>
      <c r="C20" s="11" t="s">
        <v>52</v>
      </c>
      <c r="D20" s="12">
        <v>10000</v>
      </c>
      <c r="E20" s="12">
        <f t="shared" si="0"/>
        <v>320000</v>
      </c>
      <c r="F20" s="27">
        <f t="shared" si="1"/>
        <v>280000</v>
      </c>
    </row>
    <row r="21" spans="1:6" x14ac:dyDescent="0.35">
      <c r="A21" s="26" t="s">
        <v>162</v>
      </c>
      <c r="B21" s="11">
        <v>11692</v>
      </c>
      <c r="C21" s="11" t="s">
        <v>52</v>
      </c>
      <c r="D21" s="12">
        <v>10000</v>
      </c>
      <c r="E21" s="12">
        <f t="shared" si="0"/>
        <v>330000</v>
      </c>
      <c r="F21" s="27">
        <f t="shared" si="1"/>
        <v>270000</v>
      </c>
    </row>
    <row r="22" spans="1:6" x14ac:dyDescent="0.35">
      <c r="A22" s="25" t="s">
        <v>149</v>
      </c>
      <c r="B22" s="11">
        <v>11691</v>
      </c>
      <c r="C22" s="11" t="s">
        <v>52</v>
      </c>
      <c r="D22" s="12">
        <v>10000</v>
      </c>
      <c r="E22" s="12">
        <f t="shared" si="0"/>
        <v>340000</v>
      </c>
      <c r="F22" s="27">
        <f t="shared" si="1"/>
        <v>260000</v>
      </c>
    </row>
    <row r="23" spans="1:6" x14ac:dyDescent="0.35">
      <c r="A23" s="26" t="s">
        <v>29</v>
      </c>
      <c r="B23" s="11">
        <v>11691</v>
      </c>
      <c r="C23" s="11" t="s">
        <v>52</v>
      </c>
      <c r="D23" s="12">
        <v>10000</v>
      </c>
      <c r="E23" s="12">
        <f t="shared" si="0"/>
        <v>350000</v>
      </c>
      <c r="F23" s="27">
        <f t="shared" si="1"/>
        <v>250000</v>
      </c>
    </row>
    <row r="24" spans="1:6" x14ac:dyDescent="0.35">
      <c r="A24" s="25" t="s">
        <v>150</v>
      </c>
      <c r="B24" s="11">
        <v>11691</v>
      </c>
      <c r="C24" s="11" t="s">
        <v>52</v>
      </c>
      <c r="D24" s="12">
        <v>10000</v>
      </c>
      <c r="E24" s="12">
        <f t="shared" si="0"/>
        <v>360000</v>
      </c>
      <c r="F24" s="27">
        <f t="shared" si="1"/>
        <v>240000</v>
      </c>
    </row>
    <row r="25" spans="1:6" x14ac:dyDescent="0.35">
      <c r="A25" s="26" t="s">
        <v>151</v>
      </c>
      <c r="B25" s="11">
        <v>11691</v>
      </c>
      <c r="C25" s="11" t="s">
        <v>52</v>
      </c>
      <c r="D25" s="12">
        <v>15000</v>
      </c>
      <c r="E25" s="12">
        <f t="shared" si="0"/>
        <v>375000</v>
      </c>
      <c r="F25" s="27">
        <f t="shared" si="1"/>
        <v>225000</v>
      </c>
    </row>
    <row r="26" spans="1:6" x14ac:dyDescent="0.35">
      <c r="A26" s="25" t="s">
        <v>152</v>
      </c>
      <c r="B26" s="11">
        <v>11696</v>
      </c>
      <c r="C26" s="11" t="s">
        <v>52</v>
      </c>
      <c r="D26" s="12">
        <v>10000</v>
      </c>
      <c r="E26" s="12">
        <f t="shared" si="0"/>
        <v>385000</v>
      </c>
      <c r="F26" s="27">
        <f t="shared" si="1"/>
        <v>215000</v>
      </c>
    </row>
    <row r="27" spans="1:6" x14ac:dyDescent="0.35">
      <c r="A27" s="26" t="s">
        <v>153</v>
      </c>
      <c r="B27" s="11">
        <v>10072</v>
      </c>
      <c r="C27" s="11" t="s">
        <v>52</v>
      </c>
      <c r="D27" s="12">
        <v>10000</v>
      </c>
      <c r="E27" s="12">
        <f t="shared" si="0"/>
        <v>395000</v>
      </c>
      <c r="F27" s="27">
        <f t="shared" si="1"/>
        <v>205000</v>
      </c>
    </row>
    <row r="28" spans="1:6" x14ac:dyDescent="0.35">
      <c r="A28" s="25" t="s">
        <v>154</v>
      </c>
      <c r="B28" s="11">
        <v>12291</v>
      </c>
      <c r="C28" s="11" t="s">
        <v>52</v>
      </c>
      <c r="D28" s="12">
        <v>10000</v>
      </c>
      <c r="E28" s="12">
        <f t="shared" si="0"/>
        <v>405000</v>
      </c>
      <c r="F28" s="27">
        <f t="shared" si="1"/>
        <v>195000</v>
      </c>
    </row>
    <row r="29" spans="1:6" x14ac:dyDescent="0.35">
      <c r="A29" s="26" t="s">
        <v>41</v>
      </c>
      <c r="B29" s="11">
        <v>12521</v>
      </c>
      <c r="C29" s="11" t="s">
        <v>52</v>
      </c>
      <c r="D29" s="12">
        <v>10000</v>
      </c>
      <c r="E29" s="12">
        <f t="shared" si="0"/>
        <v>415000</v>
      </c>
      <c r="F29" s="27">
        <f t="shared" si="1"/>
        <v>185000</v>
      </c>
    </row>
    <row r="30" spans="1:6" x14ac:dyDescent="0.35">
      <c r="A30" s="25" t="s">
        <v>155</v>
      </c>
      <c r="B30" s="11">
        <v>13991</v>
      </c>
      <c r="C30" s="11" t="s">
        <v>52</v>
      </c>
      <c r="D30" s="12">
        <v>10000</v>
      </c>
      <c r="E30" s="12">
        <f t="shared" si="0"/>
        <v>425000</v>
      </c>
      <c r="F30" s="27">
        <f t="shared" si="1"/>
        <v>175000</v>
      </c>
    </row>
    <row r="31" spans="1:6" x14ac:dyDescent="0.35">
      <c r="A31" s="26" t="s">
        <v>156</v>
      </c>
      <c r="B31" s="11">
        <v>13070</v>
      </c>
      <c r="C31" s="11" t="s">
        <v>52</v>
      </c>
      <c r="D31" s="12">
        <v>10000</v>
      </c>
      <c r="E31" s="12">
        <f t="shared" si="0"/>
        <v>435000</v>
      </c>
      <c r="F31" s="27">
        <f t="shared" si="1"/>
        <v>165000</v>
      </c>
    </row>
    <row r="32" spans="1:6" x14ac:dyDescent="0.35">
      <c r="A32" s="25" t="s">
        <v>157</v>
      </c>
      <c r="B32" s="11">
        <v>13821</v>
      </c>
      <c r="C32" s="11" t="s">
        <v>52</v>
      </c>
      <c r="D32" s="12">
        <v>10000</v>
      </c>
      <c r="E32" s="12">
        <f t="shared" si="0"/>
        <v>445000</v>
      </c>
      <c r="F32" s="27">
        <f t="shared" si="1"/>
        <v>155000</v>
      </c>
    </row>
    <row r="33" spans="1:6" x14ac:dyDescent="0.35">
      <c r="A33" s="26" t="s">
        <v>158</v>
      </c>
      <c r="B33" s="11">
        <v>12270</v>
      </c>
      <c r="C33" s="11" t="s">
        <v>52</v>
      </c>
      <c r="D33" s="12">
        <v>10000</v>
      </c>
      <c r="E33" s="12">
        <f t="shared" si="0"/>
        <v>455000</v>
      </c>
      <c r="F33" s="27">
        <f t="shared" si="1"/>
        <v>145000</v>
      </c>
    </row>
    <row r="34" spans="1:6" x14ac:dyDescent="0.35">
      <c r="A34" s="30">
        <v>46115</v>
      </c>
      <c r="B34" s="31">
        <v>12735</v>
      </c>
      <c r="C34" s="31" t="s">
        <v>159</v>
      </c>
      <c r="D34" s="32">
        <v>60000</v>
      </c>
      <c r="E34" s="32">
        <f t="shared" si="0"/>
        <v>515000</v>
      </c>
      <c r="F34" s="33">
        <f t="shared" si="1"/>
        <v>85000</v>
      </c>
    </row>
    <row r="35" spans="1:6" x14ac:dyDescent="0.35">
      <c r="A35" s="30">
        <v>46057</v>
      </c>
      <c r="B35" s="31">
        <v>13101</v>
      </c>
      <c r="C35" s="31" t="s">
        <v>52</v>
      </c>
      <c r="D35" s="32">
        <v>10000</v>
      </c>
      <c r="E35" s="32">
        <f>SUM(E34+D35)</f>
        <v>525000</v>
      </c>
      <c r="F35" s="33">
        <f>F34-D35</f>
        <v>75000</v>
      </c>
    </row>
    <row r="36" spans="1:6" x14ac:dyDescent="0.35">
      <c r="A36" t="s">
        <v>573</v>
      </c>
      <c r="B36">
        <v>12903</v>
      </c>
      <c r="C36" t="s">
        <v>52</v>
      </c>
      <c r="D36" s="16">
        <v>10000</v>
      </c>
      <c r="E36" s="16">
        <f>E35+D36</f>
        <v>535000</v>
      </c>
      <c r="F36" s="16">
        <f>F35-D36</f>
        <v>65000</v>
      </c>
    </row>
    <row r="37" spans="1:6" x14ac:dyDescent="0.35">
      <c r="A37" t="s">
        <v>574</v>
      </c>
      <c r="B37">
        <v>13497</v>
      </c>
      <c r="C37" t="s">
        <v>52</v>
      </c>
      <c r="D37" s="16">
        <v>10000</v>
      </c>
      <c r="E37" s="16">
        <f>E36+D37</f>
        <v>545000</v>
      </c>
      <c r="F37" s="16">
        <f>F36-D37</f>
        <v>55000</v>
      </c>
    </row>
    <row r="38" spans="1:6" x14ac:dyDescent="0.35">
      <c r="A38" s="21">
        <v>46088</v>
      </c>
      <c r="B38">
        <v>1368</v>
      </c>
      <c r="D38" s="16">
        <v>10000</v>
      </c>
      <c r="E38" s="16">
        <f>E37+D38</f>
        <v>555000</v>
      </c>
      <c r="F38" s="16">
        <f>F37-D38</f>
        <v>45000</v>
      </c>
    </row>
    <row r="39" spans="1:6" x14ac:dyDescent="0.35">
      <c r="A39" s="21">
        <v>46120</v>
      </c>
      <c r="B39">
        <v>1637</v>
      </c>
      <c r="D39" s="16">
        <v>10000</v>
      </c>
      <c r="E39" s="16">
        <f>E38+D39</f>
        <v>565000</v>
      </c>
      <c r="F39" s="16">
        <f>F38-D39</f>
        <v>35000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5" workbookViewId="0">
      <selection activeCell="A36" sqref="A36:F39"/>
    </sheetView>
  </sheetViews>
  <sheetFormatPr defaultRowHeight="14.5" x14ac:dyDescent="0.35"/>
  <cols>
    <col min="1" max="1" width="9.453125" bestFit="1" customWidth="1"/>
    <col min="3" max="3" width="25.0898437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164</v>
      </c>
      <c r="B5" s="1"/>
      <c r="C5" s="1"/>
      <c r="D5" s="1" t="s">
        <v>13</v>
      </c>
      <c r="F5" s="1"/>
    </row>
    <row r="6" spans="1:6" x14ac:dyDescent="0.35">
      <c r="A6" s="35" t="s">
        <v>0</v>
      </c>
      <c r="B6" s="36" t="s">
        <v>1</v>
      </c>
      <c r="C6" s="36" t="s">
        <v>2</v>
      </c>
      <c r="D6" s="28" t="s">
        <v>3</v>
      </c>
      <c r="E6" s="28" t="s">
        <v>4</v>
      </c>
      <c r="F6" s="29" t="s">
        <v>5</v>
      </c>
    </row>
    <row r="7" spans="1:6" x14ac:dyDescent="0.35">
      <c r="A7" s="25" t="s">
        <v>165</v>
      </c>
      <c r="B7" s="11">
        <v>36</v>
      </c>
      <c r="C7" s="11" t="s">
        <v>15</v>
      </c>
      <c r="D7" s="12">
        <v>10000</v>
      </c>
      <c r="E7" s="12">
        <v>10000</v>
      </c>
      <c r="F7" s="27">
        <v>540000</v>
      </c>
    </row>
    <row r="8" spans="1:6" x14ac:dyDescent="0.35">
      <c r="A8" s="25" t="s">
        <v>136</v>
      </c>
      <c r="B8" s="11">
        <v>1286</v>
      </c>
      <c r="C8" s="11" t="s">
        <v>87</v>
      </c>
      <c r="D8" s="12">
        <v>110000</v>
      </c>
      <c r="E8" s="12">
        <f>SUM(E7+D8)</f>
        <v>120000</v>
      </c>
      <c r="F8" s="27">
        <f>F7-D8</f>
        <v>430000</v>
      </c>
    </row>
    <row r="9" spans="1:6" x14ac:dyDescent="0.35">
      <c r="A9" s="25" t="s">
        <v>137</v>
      </c>
      <c r="B9" s="11">
        <v>2063</v>
      </c>
      <c r="C9" s="11" t="s">
        <v>6</v>
      </c>
      <c r="D9" s="12">
        <v>50000</v>
      </c>
      <c r="E9" s="12">
        <f t="shared" ref="E9:E34" si="0">SUM(E8+D9)</f>
        <v>170000</v>
      </c>
      <c r="F9" s="27">
        <f t="shared" ref="F9:F34" si="1">F8-D9</f>
        <v>380000</v>
      </c>
    </row>
    <row r="10" spans="1:6" x14ac:dyDescent="0.35">
      <c r="A10" s="25" t="s">
        <v>138</v>
      </c>
      <c r="B10" s="11">
        <v>2064</v>
      </c>
      <c r="C10" s="11" t="s">
        <v>167</v>
      </c>
      <c r="D10" s="12">
        <v>10000</v>
      </c>
      <c r="E10" s="12">
        <f t="shared" si="0"/>
        <v>180000</v>
      </c>
      <c r="F10" s="27">
        <f t="shared" si="1"/>
        <v>370000</v>
      </c>
    </row>
    <row r="11" spans="1:6" x14ac:dyDescent="0.35">
      <c r="A11" s="26">
        <v>45203</v>
      </c>
      <c r="B11" s="11">
        <v>1083</v>
      </c>
      <c r="C11" s="11" t="s">
        <v>167</v>
      </c>
      <c r="D11" s="12">
        <v>10000</v>
      </c>
      <c r="E11" s="12">
        <f t="shared" si="0"/>
        <v>190000</v>
      </c>
      <c r="F11" s="27">
        <f t="shared" si="1"/>
        <v>360000</v>
      </c>
    </row>
    <row r="12" spans="1:6" x14ac:dyDescent="0.35">
      <c r="A12" s="25" t="s">
        <v>86</v>
      </c>
      <c r="B12" s="11">
        <v>537</v>
      </c>
      <c r="C12" s="11" t="s">
        <v>167</v>
      </c>
      <c r="D12" s="12">
        <v>20000</v>
      </c>
      <c r="E12" s="12">
        <f t="shared" si="0"/>
        <v>210000</v>
      </c>
      <c r="F12" s="27">
        <f t="shared" si="1"/>
        <v>340000</v>
      </c>
    </row>
    <row r="13" spans="1:6" x14ac:dyDescent="0.35">
      <c r="A13" s="25" t="s">
        <v>139</v>
      </c>
      <c r="B13" s="11">
        <v>2952</v>
      </c>
      <c r="C13" s="11" t="s">
        <v>167</v>
      </c>
      <c r="D13" s="12">
        <v>10000</v>
      </c>
      <c r="E13" s="12">
        <f t="shared" si="0"/>
        <v>220000</v>
      </c>
      <c r="F13" s="27">
        <f t="shared" si="1"/>
        <v>330000</v>
      </c>
    </row>
    <row r="14" spans="1:6" x14ac:dyDescent="0.35">
      <c r="A14" s="25" t="s">
        <v>161</v>
      </c>
      <c r="B14" s="11">
        <v>3184</v>
      </c>
      <c r="C14" s="11" t="s">
        <v>167</v>
      </c>
      <c r="D14" s="12">
        <v>10000</v>
      </c>
      <c r="E14" s="12">
        <f t="shared" si="0"/>
        <v>230000</v>
      </c>
      <c r="F14" s="27">
        <f t="shared" si="1"/>
        <v>320000</v>
      </c>
    </row>
    <row r="15" spans="1:6" x14ac:dyDescent="0.35">
      <c r="A15" s="25" t="s">
        <v>141</v>
      </c>
      <c r="B15" s="11">
        <v>6403</v>
      </c>
      <c r="C15" s="11" t="s">
        <v>167</v>
      </c>
      <c r="D15" s="12">
        <v>10000</v>
      </c>
      <c r="E15" s="12">
        <f t="shared" si="0"/>
        <v>240000</v>
      </c>
      <c r="F15" s="27">
        <f t="shared" si="1"/>
        <v>310000</v>
      </c>
    </row>
    <row r="16" spans="1:6" x14ac:dyDescent="0.35">
      <c r="A16" s="25" t="s">
        <v>142</v>
      </c>
      <c r="B16" s="11">
        <v>4508</v>
      </c>
      <c r="C16" s="11" t="s">
        <v>167</v>
      </c>
      <c r="D16" s="12">
        <v>10000</v>
      </c>
      <c r="E16" s="12">
        <f t="shared" si="0"/>
        <v>250000</v>
      </c>
      <c r="F16" s="27">
        <f t="shared" si="1"/>
        <v>300000</v>
      </c>
    </row>
    <row r="17" spans="1:6" x14ac:dyDescent="0.35">
      <c r="A17" s="25" t="s">
        <v>166</v>
      </c>
      <c r="B17" s="11">
        <v>5117</v>
      </c>
      <c r="C17" s="11" t="s">
        <v>167</v>
      </c>
      <c r="D17" s="12">
        <v>10000</v>
      </c>
      <c r="E17" s="12">
        <f t="shared" si="0"/>
        <v>260000</v>
      </c>
      <c r="F17" s="27">
        <f t="shared" si="1"/>
        <v>290000</v>
      </c>
    </row>
    <row r="18" spans="1:6" x14ac:dyDescent="0.35">
      <c r="A18" s="25" t="s">
        <v>145</v>
      </c>
      <c r="B18" s="11">
        <v>5795</v>
      </c>
      <c r="C18" s="11" t="s">
        <v>167</v>
      </c>
      <c r="D18" s="12">
        <v>10000</v>
      </c>
      <c r="E18" s="12">
        <f t="shared" si="0"/>
        <v>270000</v>
      </c>
      <c r="F18" s="27">
        <f t="shared" si="1"/>
        <v>280000</v>
      </c>
    </row>
    <row r="19" spans="1:6" x14ac:dyDescent="0.35">
      <c r="A19" s="25" t="s">
        <v>146</v>
      </c>
      <c r="B19" s="11">
        <v>6404</v>
      </c>
      <c r="C19" s="11" t="s">
        <v>167</v>
      </c>
      <c r="D19" s="12">
        <v>10000</v>
      </c>
      <c r="E19" s="12">
        <f t="shared" si="0"/>
        <v>280000</v>
      </c>
      <c r="F19" s="27">
        <f t="shared" si="1"/>
        <v>270000</v>
      </c>
    </row>
    <row r="20" spans="1:6" x14ac:dyDescent="0.35">
      <c r="A20" s="25" t="s">
        <v>147</v>
      </c>
      <c r="B20" s="11">
        <v>11692</v>
      </c>
      <c r="C20" s="11" t="s">
        <v>167</v>
      </c>
      <c r="D20" s="12">
        <v>10000</v>
      </c>
      <c r="E20" s="12">
        <f t="shared" si="0"/>
        <v>290000</v>
      </c>
      <c r="F20" s="27">
        <f t="shared" si="1"/>
        <v>260000</v>
      </c>
    </row>
    <row r="21" spans="1:6" x14ac:dyDescent="0.35">
      <c r="A21" s="25" t="s">
        <v>162</v>
      </c>
      <c r="B21" s="11">
        <v>11692</v>
      </c>
      <c r="C21" s="11" t="s">
        <v>167</v>
      </c>
      <c r="D21" s="12">
        <v>10000</v>
      </c>
      <c r="E21" s="12">
        <f t="shared" si="0"/>
        <v>300000</v>
      </c>
      <c r="F21" s="27">
        <f t="shared" si="1"/>
        <v>250000</v>
      </c>
    </row>
    <row r="22" spans="1:6" x14ac:dyDescent="0.35">
      <c r="A22" s="25" t="s">
        <v>149</v>
      </c>
      <c r="B22" s="11">
        <v>11692</v>
      </c>
      <c r="C22" s="11" t="s">
        <v>167</v>
      </c>
      <c r="D22" s="12">
        <v>10000</v>
      </c>
      <c r="E22" s="12">
        <f t="shared" si="0"/>
        <v>310000</v>
      </c>
      <c r="F22" s="27">
        <f t="shared" si="1"/>
        <v>240000</v>
      </c>
    </row>
    <row r="23" spans="1:6" x14ac:dyDescent="0.35">
      <c r="A23" s="25" t="s">
        <v>29</v>
      </c>
      <c r="B23" s="11">
        <v>11692</v>
      </c>
      <c r="C23" s="11" t="s">
        <v>167</v>
      </c>
      <c r="D23" s="12">
        <v>10000</v>
      </c>
      <c r="E23" s="12">
        <f t="shared" si="0"/>
        <v>320000</v>
      </c>
      <c r="F23" s="27">
        <f t="shared" si="1"/>
        <v>230000</v>
      </c>
    </row>
    <row r="24" spans="1:6" x14ac:dyDescent="0.35">
      <c r="A24" s="25" t="s">
        <v>150</v>
      </c>
      <c r="B24" s="11">
        <v>11692</v>
      </c>
      <c r="C24" s="11" t="s">
        <v>167</v>
      </c>
      <c r="D24" s="12">
        <v>10000</v>
      </c>
      <c r="E24" s="12">
        <f t="shared" si="0"/>
        <v>330000</v>
      </c>
      <c r="F24" s="27">
        <f t="shared" si="1"/>
        <v>220000</v>
      </c>
    </row>
    <row r="25" spans="1:6" x14ac:dyDescent="0.35">
      <c r="A25" s="25" t="s">
        <v>151</v>
      </c>
      <c r="B25" s="11">
        <v>11692</v>
      </c>
      <c r="C25" s="11" t="s">
        <v>167</v>
      </c>
      <c r="D25" s="12">
        <v>15000</v>
      </c>
      <c r="E25" s="12">
        <f t="shared" si="0"/>
        <v>345000</v>
      </c>
      <c r="F25" s="27">
        <f t="shared" si="1"/>
        <v>205000</v>
      </c>
    </row>
    <row r="26" spans="1:6" x14ac:dyDescent="0.35">
      <c r="A26" s="25" t="s">
        <v>152</v>
      </c>
      <c r="B26" s="11">
        <v>11695</v>
      </c>
      <c r="C26" s="11" t="s">
        <v>167</v>
      </c>
      <c r="D26" s="12">
        <v>10000</v>
      </c>
      <c r="E26" s="12">
        <f t="shared" si="0"/>
        <v>355000</v>
      </c>
      <c r="F26" s="27">
        <f t="shared" si="1"/>
        <v>195000</v>
      </c>
    </row>
    <row r="27" spans="1:6" x14ac:dyDescent="0.35">
      <c r="A27" s="25" t="s">
        <v>153</v>
      </c>
      <c r="B27" s="11">
        <v>10073</v>
      </c>
      <c r="C27" s="11" t="s">
        <v>167</v>
      </c>
      <c r="D27" s="12">
        <v>10000</v>
      </c>
      <c r="E27" s="12">
        <f t="shared" si="0"/>
        <v>365000</v>
      </c>
      <c r="F27" s="27">
        <f t="shared" si="1"/>
        <v>185000</v>
      </c>
    </row>
    <row r="28" spans="1:6" x14ac:dyDescent="0.35">
      <c r="A28" s="25" t="s">
        <v>154</v>
      </c>
      <c r="B28" s="11">
        <v>12292</v>
      </c>
      <c r="C28" s="11" t="s">
        <v>167</v>
      </c>
      <c r="D28" s="12">
        <v>10000</v>
      </c>
      <c r="E28" s="12">
        <f t="shared" si="0"/>
        <v>375000</v>
      </c>
      <c r="F28" s="27">
        <f t="shared" si="1"/>
        <v>175000</v>
      </c>
    </row>
    <row r="29" spans="1:6" x14ac:dyDescent="0.35">
      <c r="A29" s="25" t="s">
        <v>41</v>
      </c>
      <c r="B29" s="11">
        <v>12522</v>
      </c>
      <c r="C29" s="11" t="s">
        <v>167</v>
      </c>
      <c r="D29" s="12">
        <v>10000</v>
      </c>
      <c r="E29" s="12">
        <f t="shared" si="0"/>
        <v>385000</v>
      </c>
      <c r="F29" s="27">
        <f t="shared" si="1"/>
        <v>165000</v>
      </c>
    </row>
    <row r="30" spans="1:6" x14ac:dyDescent="0.35">
      <c r="A30" s="25" t="s">
        <v>155</v>
      </c>
      <c r="B30" s="11">
        <v>13992</v>
      </c>
      <c r="C30" s="11" t="s">
        <v>167</v>
      </c>
      <c r="D30" s="12">
        <v>10000</v>
      </c>
      <c r="E30" s="12">
        <f t="shared" si="0"/>
        <v>395000</v>
      </c>
      <c r="F30" s="27">
        <f t="shared" si="1"/>
        <v>155000</v>
      </c>
    </row>
    <row r="31" spans="1:6" x14ac:dyDescent="0.35">
      <c r="A31" s="25" t="s">
        <v>156</v>
      </c>
      <c r="B31" s="11">
        <v>13071</v>
      </c>
      <c r="C31" s="11" t="s">
        <v>167</v>
      </c>
      <c r="D31" s="12">
        <v>10000</v>
      </c>
      <c r="E31" s="12">
        <f t="shared" si="0"/>
        <v>405000</v>
      </c>
      <c r="F31" s="27">
        <f t="shared" si="1"/>
        <v>145000</v>
      </c>
    </row>
    <row r="32" spans="1:6" x14ac:dyDescent="0.35">
      <c r="A32" s="25" t="s">
        <v>157</v>
      </c>
      <c r="B32" s="11">
        <v>13071</v>
      </c>
      <c r="C32" s="11" t="s">
        <v>167</v>
      </c>
      <c r="D32" s="12">
        <v>10000</v>
      </c>
      <c r="E32" s="12">
        <f t="shared" si="0"/>
        <v>415000</v>
      </c>
      <c r="F32" s="27">
        <f t="shared" si="1"/>
        <v>135000</v>
      </c>
    </row>
    <row r="33" spans="1:6" x14ac:dyDescent="0.35">
      <c r="A33" s="25" t="s">
        <v>158</v>
      </c>
      <c r="B33" s="11">
        <v>12271</v>
      </c>
      <c r="C33" s="11" t="s">
        <v>167</v>
      </c>
      <c r="D33" s="12">
        <v>10000</v>
      </c>
      <c r="E33" s="12">
        <f t="shared" si="0"/>
        <v>425000</v>
      </c>
      <c r="F33" s="27">
        <f t="shared" si="1"/>
        <v>125000</v>
      </c>
    </row>
    <row r="34" spans="1:6" x14ac:dyDescent="0.35">
      <c r="A34" s="30">
        <v>46115</v>
      </c>
      <c r="B34" s="31">
        <v>12736</v>
      </c>
      <c r="C34" s="31" t="s">
        <v>168</v>
      </c>
      <c r="D34" s="32">
        <v>60000</v>
      </c>
      <c r="E34" s="32">
        <f t="shared" si="0"/>
        <v>485000</v>
      </c>
      <c r="F34" s="33">
        <f t="shared" si="1"/>
        <v>65000</v>
      </c>
    </row>
    <row r="35" spans="1:6" x14ac:dyDescent="0.35">
      <c r="A35" s="30">
        <v>46057</v>
      </c>
      <c r="B35" s="31">
        <v>13102</v>
      </c>
      <c r="C35" s="31" t="s">
        <v>167</v>
      </c>
      <c r="D35" s="32">
        <v>10000</v>
      </c>
      <c r="E35" s="32">
        <f>SUM(E34+D35)</f>
        <v>495000</v>
      </c>
      <c r="F35" s="33">
        <f>F34-D35</f>
        <v>55000</v>
      </c>
    </row>
    <row r="36" spans="1:6" x14ac:dyDescent="0.35">
      <c r="A36" s="11" t="s">
        <v>573</v>
      </c>
      <c r="B36" s="11">
        <v>12904</v>
      </c>
      <c r="C36" s="11" t="s">
        <v>167</v>
      </c>
      <c r="D36" s="12">
        <v>10000</v>
      </c>
      <c r="E36" s="12">
        <f>E35+D36</f>
        <v>505000</v>
      </c>
      <c r="F36" s="12">
        <f>F35-D36</f>
        <v>45000</v>
      </c>
    </row>
    <row r="37" spans="1:6" x14ac:dyDescent="0.35">
      <c r="A37" s="11" t="s">
        <v>574</v>
      </c>
      <c r="B37" s="11">
        <v>13498</v>
      </c>
      <c r="C37" s="11" t="s">
        <v>52</v>
      </c>
      <c r="D37" s="12">
        <v>10000</v>
      </c>
      <c r="E37" s="12">
        <f>E36+D37</f>
        <v>515000</v>
      </c>
      <c r="F37" s="12">
        <f>F36-D37</f>
        <v>35000</v>
      </c>
    </row>
    <row r="38" spans="1:6" x14ac:dyDescent="0.35">
      <c r="A38" s="95">
        <v>46088</v>
      </c>
      <c r="B38" s="11">
        <v>1369</v>
      </c>
      <c r="C38" s="11" t="s">
        <v>52</v>
      </c>
      <c r="D38" s="12">
        <v>10000</v>
      </c>
      <c r="E38" s="12">
        <f>E37+D38</f>
        <v>525000</v>
      </c>
      <c r="F38" s="12">
        <f>F37-D38</f>
        <v>25000</v>
      </c>
    </row>
    <row r="39" spans="1:6" x14ac:dyDescent="0.35">
      <c r="A39" s="95">
        <v>46120</v>
      </c>
      <c r="B39" s="11">
        <v>1638</v>
      </c>
      <c r="C39" s="11" t="s">
        <v>52</v>
      </c>
      <c r="D39" s="12">
        <v>10000</v>
      </c>
      <c r="E39" s="12">
        <f>E38+D39</f>
        <v>535000</v>
      </c>
      <c r="F39" s="12">
        <f>F38-D39</f>
        <v>15000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G40" sqref="G40"/>
    </sheetView>
  </sheetViews>
  <sheetFormatPr defaultRowHeight="14.5" x14ac:dyDescent="0.35"/>
  <cols>
    <col min="1" max="1" width="11.453125" customWidth="1"/>
    <col min="3" max="3" width="10.36328125" bestFit="1" customWidth="1"/>
    <col min="4" max="4" width="15.81640625" bestFit="1" customWidth="1"/>
    <col min="6" max="6" width="11.453125" bestFit="1" customWidth="1"/>
  </cols>
  <sheetData>
    <row r="1" spans="1:6" ht="18.5" x14ac:dyDescent="0.45">
      <c r="A1" s="1" t="s">
        <v>80</v>
      </c>
      <c r="B1" s="1"/>
      <c r="C1" s="1"/>
      <c r="D1" s="1"/>
      <c r="E1" s="1"/>
      <c r="F1" s="1"/>
    </row>
    <row r="2" spans="1:6" ht="18.5" x14ac:dyDescent="0.45">
      <c r="A2" s="1" t="s">
        <v>81</v>
      </c>
      <c r="C2" s="1"/>
      <c r="D2" s="1"/>
      <c r="E2" s="1"/>
      <c r="F2" s="1"/>
    </row>
    <row r="3" spans="1:6" ht="18.5" x14ac:dyDescent="0.45">
      <c r="A3" s="1" t="s">
        <v>82</v>
      </c>
      <c r="B3" s="1"/>
      <c r="C3" s="1"/>
      <c r="D3" s="1"/>
      <c r="E3" s="1"/>
      <c r="F3" s="1"/>
    </row>
    <row r="4" spans="1:6" ht="18.5" x14ac:dyDescent="0.45">
      <c r="A4" s="1" t="s">
        <v>452</v>
      </c>
      <c r="B4" s="1"/>
      <c r="C4" s="1"/>
      <c r="D4" s="1"/>
      <c r="E4" s="1"/>
      <c r="F4" s="1"/>
    </row>
    <row r="5" spans="1:6" ht="18.5" x14ac:dyDescent="0.45">
      <c r="A5" s="1" t="s">
        <v>83</v>
      </c>
      <c r="B5" s="1"/>
      <c r="C5" s="1"/>
      <c r="D5" s="1"/>
      <c r="E5" s="1"/>
      <c r="F5" s="1"/>
    </row>
    <row r="6" spans="1:6" ht="18.5" x14ac:dyDescent="0.45">
      <c r="A6" s="1" t="s">
        <v>84</v>
      </c>
      <c r="B6" s="1"/>
      <c r="C6" s="1"/>
      <c r="D6" s="1" t="s">
        <v>58</v>
      </c>
      <c r="F6" s="1"/>
    </row>
    <row r="7" spans="1:6" x14ac:dyDescent="0.3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13" t="s">
        <v>85</v>
      </c>
      <c r="B8" s="13">
        <v>219</v>
      </c>
      <c r="C8" s="13" t="s">
        <v>87</v>
      </c>
      <c r="D8" s="14">
        <v>110000</v>
      </c>
      <c r="E8" s="14">
        <v>110000</v>
      </c>
      <c r="F8" s="14">
        <v>490000</v>
      </c>
    </row>
    <row r="9" spans="1:6" x14ac:dyDescent="0.35">
      <c r="A9" s="13" t="s">
        <v>85</v>
      </c>
      <c r="B9" s="13">
        <v>219</v>
      </c>
      <c r="C9" s="13" t="s">
        <v>15</v>
      </c>
      <c r="D9" s="14">
        <v>10000</v>
      </c>
      <c r="E9" s="14">
        <f>SUM(E8+D9)</f>
        <v>120000</v>
      </c>
      <c r="F9" s="14">
        <f>F8-D9</f>
        <v>480000</v>
      </c>
    </row>
    <row r="10" spans="1:6" x14ac:dyDescent="0.35">
      <c r="A10" s="15">
        <v>45203</v>
      </c>
      <c r="B10" s="13">
        <v>1903</v>
      </c>
      <c r="C10" s="13" t="s">
        <v>88</v>
      </c>
      <c r="D10" s="14">
        <v>10000</v>
      </c>
      <c r="E10" s="14">
        <f t="shared" ref="E10:E37" si="0">SUM(E9+D10)</f>
        <v>130000</v>
      </c>
      <c r="F10" s="14">
        <f t="shared" ref="F10:F37" si="1">F9-D10</f>
        <v>470000</v>
      </c>
    </row>
    <row r="11" spans="1:6" x14ac:dyDescent="0.35">
      <c r="A11" s="15">
        <v>45204</v>
      </c>
      <c r="B11" s="13">
        <v>791</v>
      </c>
      <c r="C11" s="13" t="s">
        <v>88</v>
      </c>
      <c r="D11" s="14">
        <v>10000</v>
      </c>
      <c r="E11" s="14">
        <f t="shared" si="0"/>
        <v>140000</v>
      </c>
      <c r="F11" s="14">
        <f t="shared" si="1"/>
        <v>460000</v>
      </c>
    </row>
    <row r="12" spans="1:6" x14ac:dyDescent="0.35">
      <c r="A12" s="13" t="s">
        <v>86</v>
      </c>
      <c r="B12" s="13">
        <v>532</v>
      </c>
      <c r="C12" s="13" t="s">
        <v>88</v>
      </c>
      <c r="D12" s="14">
        <v>10000</v>
      </c>
      <c r="E12" s="14">
        <f t="shared" si="0"/>
        <v>150000</v>
      </c>
      <c r="F12" s="14">
        <f t="shared" si="1"/>
        <v>450000</v>
      </c>
    </row>
    <row r="13" spans="1:6" x14ac:dyDescent="0.35">
      <c r="A13" s="38" t="s">
        <v>251</v>
      </c>
      <c r="B13" s="13">
        <v>2670</v>
      </c>
      <c r="C13" s="13" t="s">
        <v>88</v>
      </c>
      <c r="D13" s="14">
        <v>10000</v>
      </c>
      <c r="E13" s="14">
        <f t="shared" si="0"/>
        <v>160000</v>
      </c>
      <c r="F13" s="14">
        <f t="shared" si="1"/>
        <v>440000</v>
      </c>
    </row>
    <row r="14" spans="1:6" x14ac:dyDescent="0.35">
      <c r="A14" s="39"/>
      <c r="B14" s="13">
        <v>3553</v>
      </c>
      <c r="C14" s="13" t="s">
        <v>88</v>
      </c>
      <c r="D14" s="14">
        <v>10000</v>
      </c>
      <c r="E14" s="14">
        <f t="shared" si="0"/>
        <v>170000</v>
      </c>
      <c r="F14" s="14">
        <f t="shared" si="1"/>
        <v>430000</v>
      </c>
    </row>
    <row r="15" spans="1:6" x14ac:dyDescent="0.35">
      <c r="A15" s="15">
        <v>45239</v>
      </c>
      <c r="B15" s="13">
        <v>4183</v>
      </c>
      <c r="C15" s="13" t="s">
        <v>88</v>
      </c>
      <c r="D15" s="14">
        <v>20000</v>
      </c>
      <c r="E15" s="14">
        <f t="shared" si="0"/>
        <v>190000</v>
      </c>
      <c r="F15" s="14">
        <f t="shared" si="1"/>
        <v>410000</v>
      </c>
    </row>
    <row r="16" spans="1:6" x14ac:dyDescent="0.35">
      <c r="A16" s="15">
        <v>45209</v>
      </c>
      <c r="B16" s="13">
        <v>4786</v>
      </c>
      <c r="C16" s="13" t="s">
        <v>88</v>
      </c>
      <c r="D16" s="14">
        <v>10000</v>
      </c>
      <c r="E16" s="14">
        <f t="shared" si="0"/>
        <v>200000</v>
      </c>
      <c r="F16" s="14">
        <f t="shared" si="1"/>
        <v>400000</v>
      </c>
    </row>
    <row r="17" spans="1:6" x14ac:dyDescent="0.35">
      <c r="A17" s="15">
        <v>45210</v>
      </c>
      <c r="B17" s="13">
        <v>6045</v>
      </c>
      <c r="C17" s="13" t="s">
        <v>88</v>
      </c>
      <c r="D17" s="14">
        <v>20000</v>
      </c>
      <c r="E17" s="14">
        <f t="shared" si="0"/>
        <v>220000</v>
      </c>
      <c r="F17" s="14">
        <f t="shared" si="1"/>
        <v>380000</v>
      </c>
    </row>
    <row r="18" spans="1:6" x14ac:dyDescent="0.35">
      <c r="A18" s="15">
        <v>45536</v>
      </c>
      <c r="B18" s="13">
        <v>6946</v>
      </c>
      <c r="C18" s="13" t="s">
        <v>88</v>
      </c>
      <c r="D18" s="14">
        <v>20000</v>
      </c>
      <c r="E18" s="14">
        <f t="shared" si="0"/>
        <v>240000</v>
      </c>
      <c r="F18" s="14">
        <f t="shared" si="1"/>
        <v>360000</v>
      </c>
    </row>
    <row r="19" spans="1:6" x14ac:dyDescent="0.35">
      <c r="A19" s="15">
        <v>45507</v>
      </c>
      <c r="B19" s="13">
        <v>8382</v>
      </c>
      <c r="C19" s="13" t="s">
        <v>88</v>
      </c>
      <c r="D19" s="14">
        <v>20000</v>
      </c>
      <c r="E19" s="14">
        <f t="shared" si="0"/>
        <v>260000</v>
      </c>
      <c r="F19" s="14">
        <f t="shared" si="1"/>
        <v>340000</v>
      </c>
    </row>
    <row r="20" spans="1:6" x14ac:dyDescent="0.35">
      <c r="A20" s="15">
        <v>45570</v>
      </c>
      <c r="B20" s="13">
        <v>9487</v>
      </c>
      <c r="C20" s="13" t="s">
        <v>88</v>
      </c>
      <c r="D20" s="14">
        <v>20000</v>
      </c>
      <c r="E20" s="14">
        <f t="shared" si="0"/>
        <v>280000</v>
      </c>
      <c r="F20" s="14">
        <f t="shared" si="1"/>
        <v>320000</v>
      </c>
    </row>
    <row r="21" spans="1:6" x14ac:dyDescent="0.35">
      <c r="A21" s="15">
        <v>45572</v>
      </c>
      <c r="B21" s="13">
        <v>10557</v>
      </c>
      <c r="C21" s="13" t="s">
        <v>88</v>
      </c>
      <c r="D21" s="14">
        <v>20000</v>
      </c>
      <c r="E21" s="14">
        <f t="shared" si="0"/>
        <v>300000</v>
      </c>
      <c r="F21" s="14">
        <f t="shared" si="1"/>
        <v>300000</v>
      </c>
    </row>
    <row r="22" spans="1:6" x14ac:dyDescent="0.35">
      <c r="A22" s="15">
        <v>45452</v>
      </c>
      <c r="B22" s="13">
        <v>11367</v>
      </c>
      <c r="C22" s="13" t="s">
        <v>88</v>
      </c>
      <c r="D22" s="14">
        <v>10000</v>
      </c>
      <c r="E22" s="14">
        <f t="shared" si="0"/>
        <v>310000</v>
      </c>
      <c r="F22" s="14">
        <f t="shared" si="1"/>
        <v>290000</v>
      </c>
    </row>
    <row r="23" spans="1:6" x14ac:dyDescent="0.35">
      <c r="A23" s="15">
        <v>45575</v>
      </c>
      <c r="B23" s="13">
        <v>11993</v>
      </c>
      <c r="C23" s="13" t="s">
        <v>88</v>
      </c>
      <c r="D23" s="14">
        <v>10000</v>
      </c>
      <c r="E23" s="14">
        <f t="shared" si="0"/>
        <v>320000</v>
      </c>
      <c r="F23" s="14">
        <f t="shared" si="1"/>
        <v>280000</v>
      </c>
    </row>
    <row r="24" spans="1:6" x14ac:dyDescent="0.35">
      <c r="A24" s="15">
        <v>45576</v>
      </c>
      <c r="B24" s="13">
        <v>12299</v>
      </c>
      <c r="C24" s="13" t="s">
        <v>88</v>
      </c>
      <c r="D24" s="14">
        <v>10000</v>
      </c>
      <c r="E24" s="14">
        <f t="shared" si="0"/>
        <v>330000</v>
      </c>
      <c r="F24" s="14">
        <f t="shared" si="1"/>
        <v>270000</v>
      </c>
    </row>
    <row r="25" spans="1:6" x14ac:dyDescent="0.35">
      <c r="A25" s="15">
        <v>45577</v>
      </c>
      <c r="B25" s="13">
        <v>12994</v>
      </c>
      <c r="C25" s="13" t="s">
        <v>88</v>
      </c>
      <c r="D25" s="14">
        <v>10000</v>
      </c>
      <c r="E25" s="14">
        <f t="shared" si="0"/>
        <v>340000</v>
      </c>
      <c r="F25" s="14">
        <f t="shared" si="1"/>
        <v>260000</v>
      </c>
    </row>
    <row r="26" spans="1:6" x14ac:dyDescent="0.35">
      <c r="A26" s="15">
        <v>45931</v>
      </c>
      <c r="B26" s="13">
        <v>9303</v>
      </c>
      <c r="C26" s="13" t="s">
        <v>88</v>
      </c>
      <c r="D26" s="14">
        <v>10000</v>
      </c>
      <c r="E26" s="14">
        <f t="shared" si="0"/>
        <v>350000</v>
      </c>
      <c r="F26" s="14">
        <f t="shared" si="1"/>
        <v>250000</v>
      </c>
    </row>
    <row r="27" spans="1:6" x14ac:dyDescent="0.35">
      <c r="A27" s="15">
        <v>45902</v>
      </c>
      <c r="B27" s="13">
        <v>9965</v>
      </c>
      <c r="C27" s="13" t="s">
        <v>88</v>
      </c>
      <c r="D27" s="14">
        <v>20000</v>
      </c>
      <c r="E27" s="14">
        <f t="shared" si="0"/>
        <v>370000</v>
      </c>
      <c r="F27" s="14">
        <f t="shared" si="1"/>
        <v>230000</v>
      </c>
    </row>
    <row r="28" spans="1:6" x14ac:dyDescent="0.35">
      <c r="A28" s="15">
        <v>45842</v>
      </c>
      <c r="B28" s="13">
        <v>10354</v>
      </c>
      <c r="C28" s="13" t="s">
        <v>88</v>
      </c>
      <c r="D28" s="14">
        <v>10000</v>
      </c>
      <c r="E28" s="14">
        <f t="shared" si="0"/>
        <v>380000</v>
      </c>
      <c r="F28" s="14">
        <f t="shared" si="1"/>
        <v>220000</v>
      </c>
    </row>
    <row r="29" spans="1:6" x14ac:dyDescent="0.35">
      <c r="A29" s="15">
        <v>45813</v>
      </c>
      <c r="B29" s="13">
        <v>12136</v>
      </c>
      <c r="C29" s="13" t="s">
        <v>88</v>
      </c>
      <c r="D29" s="14">
        <v>20000</v>
      </c>
      <c r="E29" s="14">
        <f t="shared" si="0"/>
        <v>400000</v>
      </c>
      <c r="F29" s="14">
        <f t="shared" si="1"/>
        <v>200000</v>
      </c>
    </row>
    <row r="30" spans="1:6" x14ac:dyDescent="0.35">
      <c r="A30" s="15">
        <v>45937</v>
      </c>
      <c r="B30" s="13">
        <v>12667</v>
      </c>
      <c r="C30" s="13" t="s">
        <v>88</v>
      </c>
      <c r="D30" s="14">
        <v>20000</v>
      </c>
      <c r="E30" s="14">
        <f t="shared" si="0"/>
        <v>420000</v>
      </c>
      <c r="F30" s="14">
        <f t="shared" si="1"/>
        <v>180000</v>
      </c>
    </row>
    <row r="31" spans="1:6" x14ac:dyDescent="0.35">
      <c r="A31" s="15">
        <v>45847</v>
      </c>
      <c r="B31" s="13">
        <v>13743</v>
      </c>
      <c r="C31" s="13" t="s">
        <v>88</v>
      </c>
      <c r="D31" s="14">
        <v>10000</v>
      </c>
      <c r="E31" s="14">
        <f t="shared" si="0"/>
        <v>430000</v>
      </c>
      <c r="F31" s="14">
        <f t="shared" si="1"/>
        <v>170000</v>
      </c>
    </row>
    <row r="32" spans="1:6" x14ac:dyDescent="0.35">
      <c r="A32" s="15">
        <v>45940</v>
      </c>
      <c r="B32" s="13">
        <v>13486</v>
      </c>
      <c r="C32" s="13" t="s">
        <v>88</v>
      </c>
      <c r="D32" s="14">
        <v>10000</v>
      </c>
      <c r="E32" s="14">
        <f t="shared" si="0"/>
        <v>440000</v>
      </c>
      <c r="F32" s="14">
        <f t="shared" si="1"/>
        <v>160000</v>
      </c>
    </row>
    <row r="33" spans="1:6" x14ac:dyDescent="0.35">
      <c r="A33" s="15">
        <v>45911</v>
      </c>
      <c r="B33" s="13">
        <v>12021</v>
      </c>
      <c r="C33" s="13" t="s">
        <v>88</v>
      </c>
      <c r="D33" s="14">
        <v>20000</v>
      </c>
      <c r="E33" s="14">
        <f t="shared" si="0"/>
        <v>460000</v>
      </c>
      <c r="F33" s="14">
        <f t="shared" si="1"/>
        <v>140000</v>
      </c>
    </row>
    <row r="34" spans="1:6" x14ac:dyDescent="0.35">
      <c r="A34" s="15">
        <v>46204</v>
      </c>
      <c r="B34" s="13">
        <v>12417</v>
      </c>
      <c r="C34" s="13" t="s">
        <v>88</v>
      </c>
      <c r="D34" s="14">
        <v>10000</v>
      </c>
      <c r="E34" s="14">
        <f t="shared" si="0"/>
        <v>470000</v>
      </c>
      <c r="F34" s="14">
        <f t="shared" si="1"/>
        <v>130000</v>
      </c>
    </row>
    <row r="35" spans="1:6" x14ac:dyDescent="0.35">
      <c r="A35" s="15">
        <v>46267</v>
      </c>
      <c r="B35" s="13">
        <v>12417</v>
      </c>
      <c r="C35" s="13" t="s">
        <v>7</v>
      </c>
      <c r="D35" s="14">
        <v>10000</v>
      </c>
      <c r="E35" s="14">
        <f t="shared" si="0"/>
        <v>480000</v>
      </c>
      <c r="F35" s="14">
        <f t="shared" si="1"/>
        <v>120000</v>
      </c>
    </row>
    <row r="36" spans="1:6" x14ac:dyDescent="0.35">
      <c r="A36" s="15">
        <v>46177</v>
      </c>
      <c r="B36" s="13">
        <v>13158</v>
      </c>
      <c r="C36" s="13" t="s">
        <v>7</v>
      </c>
      <c r="D36" s="14">
        <v>10000</v>
      </c>
      <c r="E36" s="14">
        <f t="shared" si="0"/>
        <v>490000</v>
      </c>
      <c r="F36" s="14">
        <f t="shared" si="1"/>
        <v>110000</v>
      </c>
    </row>
    <row r="37" spans="1:6" x14ac:dyDescent="0.35">
      <c r="A37" s="21">
        <v>46239</v>
      </c>
      <c r="B37" s="79">
        <v>12958</v>
      </c>
      <c r="C37" s="13" t="s">
        <v>7</v>
      </c>
      <c r="D37" s="14">
        <v>10000</v>
      </c>
      <c r="E37" s="14">
        <f t="shared" si="0"/>
        <v>500000</v>
      </c>
      <c r="F37" s="14">
        <f t="shared" si="1"/>
        <v>100000</v>
      </c>
    </row>
    <row r="38" spans="1:6" x14ac:dyDescent="0.35">
      <c r="A38" t="s">
        <v>575</v>
      </c>
      <c r="B38" s="79">
        <v>1373</v>
      </c>
      <c r="C38" s="79" t="s">
        <v>7</v>
      </c>
      <c r="D38" s="75">
        <v>20000</v>
      </c>
      <c r="E38" s="75">
        <f>E37+D38</f>
        <v>520000</v>
      </c>
      <c r="F38" s="75">
        <f>F37-D38</f>
        <v>80000</v>
      </c>
    </row>
    <row r="39" spans="1:6" x14ac:dyDescent="0.35">
      <c r="A39" s="21">
        <v>46181</v>
      </c>
      <c r="B39" s="79">
        <v>1662</v>
      </c>
      <c r="C39" s="79" t="s">
        <v>7</v>
      </c>
      <c r="D39" s="16">
        <v>10000</v>
      </c>
      <c r="E39" s="16">
        <f>E38+D39</f>
        <v>530000</v>
      </c>
      <c r="F39" s="16">
        <f>F38-D39</f>
        <v>70000</v>
      </c>
    </row>
    <row r="40" spans="1:6" x14ac:dyDescent="0.35">
      <c r="A40" s="21">
        <v>46243</v>
      </c>
      <c r="B40" s="79">
        <v>1941</v>
      </c>
      <c r="C40" s="79" t="s">
        <v>7</v>
      </c>
      <c r="D40" s="16">
        <v>10000</v>
      </c>
      <c r="E40" s="16">
        <v>540000</v>
      </c>
      <c r="F40" t="s">
        <v>685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A7" sqref="A7:F7"/>
    </sheetView>
  </sheetViews>
  <sheetFormatPr defaultRowHeight="14.5" x14ac:dyDescent="0.35"/>
  <cols>
    <col min="1" max="1" width="11" customWidth="1"/>
    <col min="3" max="3" width="12.36328125" customWidth="1"/>
    <col min="6" max="6" width="11.6328125" customWidth="1"/>
  </cols>
  <sheetData>
    <row r="1" spans="1:6" ht="18.5" x14ac:dyDescent="0.45">
      <c r="A1" s="1" t="s">
        <v>417</v>
      </c>
      <c r="B1" s="1"/>
      <c r="C1" s="1"/>
      <c r="D1" s="1"/>
      <c r="E1" s="1"/>
      <c r="F1" s="1"/>
    </row>
    <row r="2" spans="1:6" ht="18.5" x14ac:dyDescent="0.45">
      <c r="A2" s="1" t="s">
        <v>418</v>
      </c>
      <c r="C2" s="1"/>
      <c r="D2" s="1"/>
      <c r="E2" s="1"/>
      <c r="F2" s="1"/>
    </row>
    <row r="3" spans="1:6" ht="18.5" x14ac:dyDescent="0.45">
      <c r="A3" s="1" t="s">
        <v>419</v>
      </c>
      <c r="B3" s="1"/>
      <c r="C3" s="1"/>
      <c r="D3" s="1"/>
      <c r="E3" s="1"/>
      <c r="F3" s="1"/>
    </row>
    <row r="4" spans="1:6" ht="18.5" x14ac:dyDescent="0.45">
      <c r="A4" s="1" t="s">
        <v>421</v>
      </c>
      <c r="B4" s="1"/>
      <c r="C4" s="1"/>
      <c r="D4" s="1"/>
      <c r="E4" s="1"/>
      <c r="F4" s="1"/>
    </row>
    <row r="5" spans="1:6" ht="18.5" x14ac:dyDescent="0.45">
      <c r="A5" s="1" t="s">
        <v>420</v>
      </c>
      <c r="B5" s="1"/>
      <c r="C5" s="1"/>
      <c r="D5" s="1"/>
      <c r="E5" s="1"/>
      <c r="F5" s="1"/>
    </row>
    <row r="6" spans="1:6" ht="18.5" x14ac:dyDescent="0.45">
      <c r="A6" s="1" t="s">
        <v>436</v>
      </c>
      <c r="B6" s="1"/>
      <c r="C6" s="1"/>
      <c r="D6" s="1" t="s">
        <v>13</v>
      </c>
      <c r="F6" s="1"/>
    </row>
    <row r="7" spans="1:6" x14ac:dyDescent="0.35">
      <c r="A7" s="83" t="s">
        <v>0</v>
      </c>
      <c r="B7" s="84" t="s">
        <v>1</v>
      </c>
      <c r="C7" s="84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11" t="s">
        <v>191</v>
      </c>
      <c r="B8" s="11">
        <v>1640</v>
      </c>
      <c r="C8" s="11" t="s">
        <v>427</v>
      </c>
      <c r="D8" s="12">
        <v>120000</v>
      </c>
      <c r="E8" s="12">
        <v>120000</v>
      </c>
      <c r="F8" s="12">
        <v>430000</v>
      </c>
    </row>
    <row r="9" spans="1:6" x14ac:dyDescent="0.35">
      <c r="A9" s="11" t="s">
        <v>344</v>
      </c>
      <c r="B9" s="11">
        <v>1641</v>
      </c>
      <c r="C9" s="11" t="s">
        <v>428</v>
      </c>
      <c r="D9" s="12">
        <v>50000</v>
      </c>
      <c r="E9" s="12">
        <f>SUM(E8+D9)</f>
        <v>170000</v>
      </c>
      <c r="F9" s="12">
        <f>F8-D9</f>
        <v>380000</v>
      </c>
    </row>
    <row r="10" spans="1:6" x14ac:dyDescent="0.35">
      <c r="A10" s="11" t="s">
        <v>422</v>
      </c>
      <c r="B10" s="11">
        <v>370</v>
      </c>
      <c r="C10" s="11" t="s">
        <v>342</v>
      </c>
      <c r="D10" s="12">
        <v>10000</v>
      </c>
      <c r="E10" s="12">
        <f t="shared" ref="E10:E32" si="0">SUM(E9+D10)</f>
        <v>180000</v>
      </c>
      <c r="F10" s="12">
        <f t="shared" ref="F10:F32" si="1">F9-D10</f>
        <v>370000</v>
      </c>
    </row>
    <row r="11" spans="1:6" x14ac:dyDescent="0.35">
      <c r="A11" s="11" t="s">
        <v>423</v>
      </c>
      <c r="B11" s="11">
        <v>1352</v>
      </c>
      <c r="C11" s="11" t="s">
        <v>342</v>
      </c>
      <c r="D11" s="12">
        <v>10000</v>
      </c>
      <c r="E11" s="12">
        <f t="shared" si="0"/>
        <v>190000</v>
      </c>
      <c r="F11" s="12">
        <f t="shared" si="1"/>
        <v>360000</v>
      </c>
    </row>
    <row r="12" spans="1:6" x14ac:dyDescent="0.35">
      <c r="A12" s="11" t="s">
        <v>424</v>
      </c>
      <c r="B12" s="11">
        <v>926</v>
      </c>
      <c r="C12" s="11" t="s">
        <v>342</v>
      </c>
      <c r="D12" s="12">
        <v>20000</v>
      </c>
      <c r="E12" s="12">
        <f t="shared" si="0"/>
        <v>210000</v>
      </c>
      <c r="F12" s="12">
        <f t="shared" si="1"/>
        <v>340000</v>
      </c>
    </row>
    <row r="13" spans="1:6" x14ac:dyDescent="0.35">
      <c r="A13" s="11" t="s">
        <v>425</v>
      </c>
      <c r="B13" s="11">
        <v>2570</v>
      </c>
      <c r="C13" s="11" t="s">
        <v>342</v>
      </c>
      <c r="D13" s="12">
        <v>10000</v>
      </c>
      <c r="E13" s="12">
        <f t="shared" si="0"/>
        <v>220000</v>
      </c>
      <c r="F13" s="12">
        <f t="shared" si="1"/>
        <v>330000</v>
      </c>
    </row>
    <row r="14" spans="1:6" x14ac:dyDescent="0.35">
      <c r="A14" s="11" t="s">
        <v>236</v>
      </c>
      <c r="B14" s="11">
        <v>3275</v>
      </c>
      <c r="C14" s="11" t="s">
        <v>342</v>
      </c>
      <c r="D14" s="12">
        <v>10000</v>
      </c>
      <c r="E14" s="12">
        <f t="shared" si="0"/>
        <v>230000</v>
      </c>
      <c r="F14" s="12">
        <f t="shared" si="1"/>
        <v>320000</v>
      </c>
    </row>
    <row r="15" spans="1:6" x14ac:dyDescent="0.35">
      <c r="A15" s="95">
        <v>44967</v>
      </c>
      <c r="B15" s="11">
        <v>250</v>
      </c>
      <c r="C15" s="11" t="s">
        <v>342</v>
      </c>
      <c r="D15" s="12">
        <v>10000</v>
      </c>
      <c r="E15" s="12">
        <f t="shared" si="0"/>
        <v>240000</v>
      </c>
      <c r="F15" s="12">
        <f t="shared" si="1"/>
        <v>310000</v>
      </c>
    </row>
    <row r="16" spans="1:6" x14ac:dyDescent="0.35">
      <c r="A16" s="95">
        <v>44996</v>
      </c>
      <c r="B16" s="11">
        <v>4611</v>
      </c>
      <c r="C16" s="11" t="s">
        <v>342</v>
      </c>
      <c r="D16" s="12">
        <v>10000</v>
      </c>
      <c r="E16" s="12">
        <f t="shared" si="0"/>
        <v>250000</v>
      </c>
      <c r="F16" s="12">
        <f t="shared" si="1"/>
        <v>300000</v>
      </c>
    </row>
    <row r="17" spans="1:6" x14ac:dyDescent="0.35">
      <c r="A17" s="95">
        <v>45119</v>
      </c>
      <c r="B17" s="11">
        <v>5349</v>
      </c>
      <c r="C17" s="11" t="s">
        <v>342</v>
      </c>
      <c r="D17" s="12">
        <v>10000</v>
      </c>
      <c r="E17" s="12">
        <f t="shared" si="0"/>
        <v>260000</v>
      </c>
      <c r="F17" s="12">
        <f t="shared" si="1"/>
        <v>290000</v>
      </c>
    </row>
    <row r="18" spans="1:6" x14ac:dyDescent="0.35">
      <c r="A18" s="11" t="s">
        <v>426</v>
      </c>
      <c r="B18" s="11">
        <v>6254</v>
      </c>
      <c r="C18" s="11" t="s">
        <v>342</v>
      </c>
      <c r="D18" s="12">
        <v>10000</v>
      </c>
      <c r="E18" s="12">
        <f t="shared" si="0"/>
        <v>270000</v>
      </c>
      <c r="F18" s="12">
        <f t="shared" si="1"/>
        <v>280000</v>
      </c>
    </row>
    <row r="19" spans="1:6" x14ac:dyDescent="0.35">
      <c r="A19" s="11" t="s">
        <v>429</v>
      </c>
      <c r="B19" s="11">
        <v>7600</v>
      </c>
      <c r="C19" s="11" t="s">
        <v>342</v>
      </c>
      <c r="D19" s="12">
        <v>20000</v>
      </c>
      <c r="E19" s="12">
        <f t="shared" si="0"/>
        <v>290000</v>
      </c>
      <c r="F19" s="12">
        <f t="shared" si="1"/>
        <v>260000</v>
      </c>
    </row>
    <row r="20" spans="1:6" x14ac:dyDescent="0.35">
      <c r="A20" s="11" t="s">
        <v>430</v>
      </c>
      <c r="B20" s="11">
        <v>8176</v>
      </c>
      <c r="C20" s="11" t="s">
        <v>342</v>
      </c>
      <c r="D20" s="12">
        <v>10000</v>
      </c>
      <c r="E20" s="12">
        <f t="shared" si="0"/>
        <v>300000</v>
      </c>
      <c r="F20" s="12">
        <f t="shared" si="1"/>
        <v>250000</v>
      </c>
    </row>
    <row r="21" spans="1:6" x14ac:dyDescent="0.35">
      <c r="A21" s="11" t="s">
        <v>431</v>
      </c>
      <c r="B21" s="11">
        <v>8764</v>
      </c>
      <c r="C21" s="11" t="s">
        <v>342</v>
      </c>
      <c r="D21" s="12">
        <v>10000</v>
      </c>
      <c r="E21" s="12">
        <f t="shared" si="0"/>
        <v>310000</v>
      </c>
      <c r="F21" s="12">
        <f t="shared" si="1"/>
        <v>240000</v>
      </c>
    </row>
    <row r="22" spans="1:6" x14ac:dyDescent="0.35">
      <c r="A22" s="95">
        <v>45298</v>
      </c>
      <c r="B22" s="11">
        <v>9358</v>
      </c>
      <c r="C22" s="11" t="s">
        <v>342</v>
      </c>
      <c r="D22" s="12">
        <v>10000</v>
      </c>
      <c r="E22" s="12">
        <f t="shared" si="0"/>
        <v>320000</v>
      </c>
      <c r="F22" s="12">
        <f t="shared" si="1"/>
        <v>230000</v>
      </c>
    </row>
    <row r="23" spans="1:6" x14ac:dyDescent="0.35">
      <c r="A23" s="11" t="s">
        <v>432</v>
      </c>
      <c r="B23" s="11">
        <v>11105</v>
      </c>
      <c r="C23" s="11" t="s">
        <v>342</v>
      </c>
      <c r="D23" s="12">
        <v>20000</v>
      </c>
      <c r="E23" s="12">
        <f t="shared" si="0"/>
        <v>340000</v>
      </c>
      <c r="F23" s="12">
        <f t="shared" si="1"/>
        <v>210000</v>
      </c>
    </row>
    <row r="24" spans="1:6" x14ac:dyDescent="0.35">
      <c r="A24" s="11" t="s">
        <v>433</v>
      </c>
      <c r="B24" s="11">
        <v>10168</v>
      </c>
      <c r="C24" s="11" t="s">
        <v>342</v>
      </c>
      <c r="D24" s="12">
        <v>10000</v>
      </c>
      <c r="E24" s="12">
        <f t="shared" si="0"/>
        <v>350000</v>
      </c>
      <c r="F24" s="12">
        <f t="shared" si="1"/>
        <v>200000</v>
      </c>
    </row>
    <row r="25" spans="1:6" x14ac:dyDescent="0.35">
      <c r="A25" s="95">
        <v>45484</v>
      </c>
      <c r="B25" s="11">
        <v>11920</v>
      </c>
      <c r="C25" s="11" t="s">
        <v>342</v>
      </c>
      <c r="D25" s="12">
        <v>10000</v>
      </c>
      <c r="E25" s="12">
        <f t="shared" si="0"/>
        <v>360000</v>
      </c>
      <c r="F25" s="12">
        <f t="shared" si="1"/>
        <v>190000</v>
      </c>
    </row>
    <row r="26" spans="1:6" x14ac:dyDescent="0.35">
      <c r="A26" s="95">
        <v>45394</v>
      </c>
      <c r="B26" s="11">
        <v>12572</v>
      </c>
      <c r="C26" s="11" t="s">
        <v>342</v>
      </c>
      <c r="D26" s="12">
        <v>10000</v>
      </c>
      <c r="E26" s="12">
        <f t="shared" si="0"/>
        <v>370000</v>
      </c>
      <c r="F26" s="12">
        <f t="shared" si="1"/>
        <v>180000</v>
      </c>
    </row>
    <row r="27" spans="1:6" x14ac:dyDescent="0.35">
      <c r="A27" s="95">
        <v>45718</v>
      </c>
      <c r="B27" s="11">
        <v>9214</v>
      </c>
      <c r="C27" s="11" t="s">
        <v>342</v>
      </c>
      <c r="D27" s="12">
        <v>10000</v>
      </c>
      <c r="E27" s="12">
        <f t="shared" si="0"/>
        <v>380000</v>
      </c>
      <c r="F27" s="12">
        <f t="shared" si="1"/>
        <v>170000</v>
      </c>
    </row>
    <row r="28" spans="1:6" x14ac:dyDescent="0.35">
      <c r="A28" s="11" t="s">
        <v>434</v>
      </c>
      <c r="B28" s="11">
        <v>9933</v>
      </c>
      <c r="C28" s="11" t="s">
        <v>342</v>
      </c>
      <c r="D28" s="12">
        <v>20000</v>
      </c>
      <c r="E28" s="12">
        <f t="shared" si="0"/>
        <v>400000</v>
      </c>
      <c r="F28" s="12">
        <f t="shared" si="1"/>
        <v>150000</v>
      </c>
    </row>
    <row r="29" spans="1:6" x14ac:dyDescent="0.35">
      <c r="A29" s="95">
        <v>45999</v>
      </c>
      <c r="B29" s="11">
        <v>12911</v>
      </c>
      <c r="C29" s="11" t="s">
        <v>342</v>
      </c>
      <c r="D29" s="12">
        <v>20000</v>
      </c>
      <c r="E29" s="12">
        <f t="shared" si="0"/>
        <v>420000</v>
      </c>
      <c r="F29" s="12">
        <f t="shared" si="1"/>
        <v>130000</v>
      </c>
    </row>
    <row r="30" spans="1:6" x14ac:dyDescent="0.35">
      <c r="A30" s="95">
        <v>45910</v>
      </c>
      <c r="B30" s="11">
        <v>13726</v>
      </c>
      <c r="C30" s="11" t="s">
        <v>342</v>
      </c>
      <c r="D30" s="12">
        <v>20000</v>
      </c>
      <c r="E30" s="12">
        <f t="shared" si="0"/>
        <v>440000</v>
      </c>
      <c r="F30" s="12">
        <f t="shared" si="1"/>
        <v>110000</v>
      </c>
    </row>
    <row r="31" spans="1:6" x14ac:dyDescent="0.35">
      <c r="A31" s="11" t="s">
        <v>435</v>
      </c>
      <c r="B31" s="11">
        <v>12140</v>
      </c>
      <c r="C31" s="11" t="s">
        <v>342</v>
      </c>
      <c r="D31" s="12">
        <v>29700</v>
      </c>
      <c r="E31" s="12">
        <f t="shared" si="0"/>
        <v>469700</v>
      </c>
      <c r="F31" s="12">
        <f t="shared" si="1"/>
        <v>80300</v>
      </c>
    </row>
    <row r="32" spans="1:6" x14ac:dyDescent="0.35">
      <c r="A32" s="95">
        <v>46147</v>
      </c>
      <c r="B32" s="11">
        <v>12940</v>
      </c>
      <c r="C32" s="11" t="s">
        <v>342</v>
      </c>
      <c r="D32" s="12">
        <v>30000</v>
      </c>
      <c r="E32" s="12">
        <f t="shared" si="0"/>
        <v>499700</v>
      </c>
      <c r="F32" s="12">
        <f t="shared" si="1"/>
        <v>50300</v>
      </c>
    </row>
    <row r="33" spans="1:6" x14ac:dyDescent="0.35">
      <c r="A33" s="11" t="s">
        <v>636</v>
      </c>
      <c r="B33" s="11">
        <v>1605</v>
      </c>
      <c r="C33" s="11" t="s">
        <v>342</v>
      </c>
      <c r="D33" s="12">
        <v>20000</v>
      </c>
      <c r="E33" s="12">
        <f>E32+D33</f>
        <v>519700</v>
      </c>
      <c r="F33" s="12">
        <f>F32-D33</f>
        <v>30300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D4" sqref="D4"/>
    </sheetView>
  </sheetViews>
  <sheetFormatPr defaultRowHeight="14.5" x14ac:dyDescent="0.35"/>
  <cols>
    <col min="1" max="1" width="9.453125" bestFit="1" customWidth="1"/>
    <col min="3" max="3" width="12.453125" customWidth="1"/>
    <col min="4" max="4" width="13" customWidth="1"/>
    <col min="5" max="5" width="10.453125" customWidth="1"/>
    <col min="6" max="6" width="14" customWidth="1"/>
  </cols>
  <sheetData>
    <row r="1" spans="1:6" ht="18.5" x14ac:dyDescent="0.45">
      <c r="A1" s="1" t="s">
        <v>222</v>
      </c>
      <c r="B1" s="1"/>
      <c r="C1" s="1"/>
      <c r="D1" s="1"/>
      <c r="E1" s="1"/>
      <c r="F1" s="1"/>
    </row>
    <row r="2" spans="1:6" ht="18.5" x14ac:dyDescent="0.45">
      <c r="A2" s="1" t="s">
        <v>223</v>
      </c>
      <c r="C2" s="1"/>
      <c r="D2" s="1"/>
      <c r="E2" s="1"/>
      <c r="F2" s="1"/>
    </row>
    <row r="3" spans="1:6" ht="18.5" x14ac:dyDescent="0.45">
      <c r="A3" s="1" t="s">
        <v>224</v>
      </c>
      <c r="B3" s="1"/>
      <c r="C3" s="1"/>
      <c r="D3" s="1"/>
      <c r="E3" s="1"/>
      <c r="F3" s="1"/>
    </row>
    <row r="4" spans="1:6" ht="18.5" x14ac:dyDescent="0.45">
      <c r="A4" s="1" t="s">
        <v>228</v>
      </c>
      <c r="B4" s="1"/>
      <c r="C4" s="1"/>
      <c r="D4" s="1"/>
      <c r="E4" s="1"/>
      <c r="F4" s="1"/>
    </row>
    <row r="5" spans="1:6" ht="18.5" x14ac:dyDescent="0.45">
      <c r="A5" s="1" t="s">
        <v>225</v>
      </c>
      <c r="B5" s="1"/>
      <c r="C5" s="1"/>
      <c r="D5" s="1"/>
      <c r="E5" s="1"/>
      <c r="F5" s="1"/>
    </row>
    <row r="6" spans="1:6" ht="18.5" x14ac:dyDescent="0.45">
      <c r="A6" s="1" t="s">
        <v>226</v>
      </c>
      <c r="B6" s="1"/>
      <c r="C6" s="1"/>
      <c r="D6" s="1" t="s">
        <v>227</v>
      </c>
      <c r="F6" s="1"/>
    </row>
    <row r="7" spans="1:6" x14ac:dyDescent="0.35">
      <c r="A7" s="55" t="s">
        <v>0</v>
      </c>
      <c r="B7" s="55" t="s">
        <v>1</v>
      </c>
      <c r="C7" s="55" t="s">
        <v>2</v>
      </c>
      <c r="D7" s="55" t="s">
        <v>3</v>
      </c>
      <c r="E7" s="55" t="s">
        <v>4</v>
      </c>
      <c r="F7" s="55" t="s">
        <v>5</v>
      </c>
    </row>
    <row r="8" spans="1:6" x14ac:dyDescent="0.35">
      <c r="A8" t="s">
        <v>229</v>
      </c>
      <c r="B8">
        <v>1452</v>
      </c>
      <c r="C8" t="s">
        <v>239</v>
      </c>
      <c r="D8" s="16" t="s">
        <v>240</v>
      </c>
      <c r="E8" s="16">
        <v>95000</v>
      </c>
      <c r="F8" s="16">
        <v>205000</v>
      </c>
    </row>
    <row r="9" spans="1:6" x14ac:dyDescent="0.35">
      <c r="A9" t="s">
        <v>230</v>
      </c>
      <c r="B9">
        <v>2029</v>
      </c>
      <c r="C9" t="s">
        <v>241</v>
      </c>
      <c r="D9" s="16">
        <v>10000</v>
      </c>
      <c r="E9" s="16">
        <f>SUM(E8+D9)</f>
        <v>105000</v>
      </c>
      <c r="F9" s="16">
        <f>F8-D9</f>
        <v>195000</v>
      </c>
    </row>
    <row r="10" spans="1:6" x14ac:dyDescent="0.35">
      <c r="A10" t="s">
        <v>231</v>
      </c>
      <c r="B10">
        <v>2030</v>
      </c>
      <c r="C10" t="s">
        <v>242</v>
      </c>
      <c r="D10" s="16">
        <v>10000</v>
      </c>
      <c r="E10" s="16">
        <f t="shared" ref="E10:E27" si="0">SUM(E9+D10)</f>
        <v>115000</v>
      </c>
      <c r="F10" s="16">
        <f t="shared" ref="F10:F27" si="1">F9-D10</f>
        <v>185000</v>
      </c>
    </row>
    <row r="11" spans="1:6" x14ac:dyDescent="0.35">
      <c r="A11" s="21">
        <v>45171</v>
      </c>
      <c r="B11">
        <v>2031</v>
      </c>
      <c r="C11" t="s">
        <v>243</v>
      </c>
      <c r="D11" s="16">
        <v>10000</v>
      </c>
      <c r="E11" s="16">
        <f t="shared" si="0"/>
        <v>125000</v>
      </c>
      <c r="F11" s="16">
        <f t="shared" si="1"/>
        <v>175000</v>
      </c>
    </row>
    <row r="12" spans="1:6" x14ac:dyDescent="0.35">
      <c r="A12" t="s">
        <v>232</v>
      </c>
      <c r="B12">
        <v>1572</v>
      </c>
      <c r="C12" t="s">
        <v>52</v>
      </c>
      <c r="D12" s="16">
        <v>20000</v>
      </c>
      <c r="E12" s="16">
        <f t="shared" si="0"/>
        <v>145000</v>
      </c>
      <c r="F12" s="16">
        <f t="shared" si="1"/>
        <v>155000</v>
      </c>
    </row>
    <row r="13" spans="1:6" x14ac:dyDescent="0.35">
      <c r="A13" t="s">
        <v>233</v>
      </c>
      <c r="B13">
        <v>186</v>
      </c>
      <c r="C13" t="s">
        <v>52</v>
      </c>
      <c r="D13" s="16">
        <v>20000</v>
      </c>
      <c r="E13" s="16">
        <f t="shared" si="0"/>
        <v>165000</v>
      </c>
      <c r="F13" s="16">
        <f t="shared" si="1"/>
        <v>135000</v>
      </c>
    </row>
    <row r="14" spans="1:6" x14ac:dyDescent="0.35">
      <c r="A14" t="s">
        <v>234</v>
      </c>
      <c r="B14">
        <v>2101</v>
      </c>
      <c r="C14" t="s">
        <v>52</v>
      </c>
      <c r="D14" s="16">
        <v>10000</v>
      </c>
      <c r="E14" s="16">
        <f t="shared" si="0"/>
        <v>175000</v>
      </c>
      <c r="F14" s="16">
        <f t="shared" si="1"/>
        <v>125000</v>
      </c>
    </row>
    <row r="15" spans="1:6" x14ac:dyDescent="0.35">
      <c r="A15" t="s">
        <v>235</v>
      </c>
      <c r="B15">
        <v>2516</v>
      </c>
      <c r="C15" t="s">
        <v>52</v>
      </c>
      <c r="D15" s="16">
        <v>10000</v>
      </c>
      <c r="E15" s="16">
        <f t="shared" si="0"/>
        <v>185000</v>
      </c>
      <c r="F15" s="16">
        <f t="shared" si="1"/>
        <v>115000</v>
      </c>
    </row>
    <row r="16" spans="1:6" x14ac:dyDescent="0.35">
      <c r="A16" t="s">
        <v>236</v>
      </c>
      <c r="B16">
        <v>3251</v>
      </c>
      <c r="C16" t="s">
        <v>52</v>
      </c>
      <c r="D16" s="16">
        <v>10000</v>
      </c>
      <c r="E16" s="16">
        <f t="shared" si="0"/>
        <v>195000</v>
      </c>
      <c r="F16" s="16">
        <f t="shared" si="1"/>
        <v>105000</v>
      </c>
    </row>
    <row r="17" spans="1:6" x14ac:dyDescent="0.35">
      <c r="A17" t="s">
        <v>237</v>
      </c>
      <c r="B17">
        <v>3878</v>
      </c>
      <c r="C17" t="s">
        <v>52</v>
      </c>
      <c r="D17" s="16">
        <v>10000</v>
      </c>
      <c r="E17" s="16">
        <f t="shared" si="0"/>
        <v>205000</v>
      </c>
      <c r="F17" s="16">
        <f t="shared" si="1"/>
        <v>95000</v>
      </c>
    </row>
    <row r="18" spans="1:6" x14ac:dyDescent="0.35">
      <c r="A18" t="s">
        <v>238</v>
      </c>
      <c r="B18">
        <v>4462</v>
      </c>
      <c r="C18" t="s">
        <v>52</v>
      </c>
      <c r="D18" s="16">
        <v>10000</v>
      </c>
      <c r="E18" s="16">
        <f t="shared" si="0"/>
        <v>215000</v>
      </c>
      <c r="F18" s="16">
        <f t="shared" si="1"/>
        <v>85000</v>
      </c>
    </row>
    <row r="19" spans="1:6" x14ac:dyDescent="0.35">
      <c r="A19" t="s">
        <v>166</v>
      </c>
      <c r="B19">
        <v>5141</v>
      </c>
      <c r="C19" t="s">
        <v>52</v>
      </c>
      <c r="D19" s="16">
        <v>10000</v>
      </c>
      <c r="E19" s="16">
        <f t="shared" si="0"/>
        <v>225000</v>
      </c>
      <c r="F19" s="16">
        <f t="shared" si="1"/>
        <v>75000</v>
      </c>
    </row>
    <row r="20" spans="1:6" x14ac:dyDescent="0.35">
      <c r="A20" t="s">
        <v>244</v>
      </c>
      <c r="B20">
        <v>5783</v>
      </c>
      <c r="C20" t="s">
        <v>52</v>
      </c>
      <c r="D20" s="16">
        <v>10000</v>
      </c>
      <c r="E20" s="16">
        <f t="shared" si="0"/>
        <v>235000</v>
      </c>
      <c r="F20" s="16">
        <f t="shared" si="1"/>
        <v>65000</v>
      </c>
    </row>
    <row r="21" spans="1:6" x14ac:dyDescent="0.35">
      <c r="A21" t="s">
        <v>245</v>
      </c>
      <c r="B21">
        <v>6360</v>
      </c>
      <c r="C21" t="s">
        <v>52</v>
      </c>
      <c r="D21" s="16">
        <v>10000</v>
      </c>
      <c r="E21" s="16">
        <f t="shared" si="0"/>
        <v>245000</v>
      </c>
      <c r="F21" s="16">
        <f t="shared" si="1"/>
        <v>55000</v>
      </c>
    </row>
    <row r="22" spans="1:6" x14ac:dyDescent="0.35">
      <c r="A22" t="s">
        <v>246</v>
      </c>
      <c r="B22">
        <v>6787</v>
      </c>
      <c r="C22" t="s">
        <v>52</v>
      </c>
      <c r="D22" s="16">
        <v>10000</v>
      </c>
      <c r="E22" s="16">
        <f t="shared" si="0"/>
        <v>255000</v>
      </c>
      <c r="F22" s="16">
        <f t="shared" si="1"/>
        <v>45000</v>
      </c>
    </row>
    <row r="23" spans="1:6" x14ac:dyDescent="0.35">
      <c r="A23" s="21">
        <v>45568</v>
      </c>
      <c r="B23">
        <v>7211</v>
      </c>
      <c r="C23" t="s">
        <v>52</v>
      </c>
      <c r="D23" s="16">
        <v>10000</v>
      </c>
      <c r="E23" s="16">
        <f t="shared" si="0"/>
        <v>265000</v>
      </c>
      <c r="F23" s="16">
        <f t="shared" si="1"/>
        <v>35000</v>
      </c>
    </row>
    <row r="24" spans="1:6" x14ac:dyDescent="0.35">
      <c r="A24" s="21">
        <v>45477</v>
      </c>
      <c r="B24">
        <v>7748</v>
      </c>
      <c r="C24" t="s">
        <v>52</v>
      </c>
      <c r="D24" s="16">
        <v>10000</v>
      </c>
      <c r="E24" s="16">
        <f t="shared" si="0"/>
        <v>275000</v>
      </c>
      <c r="F24" s="16">
        <f t="shared" si="1"/>
        <v>25000</v>
      </c>
    </row>
    <row r="25" spans="1:6" x14ac:dyDescent="0.35">
      <c r="A25" s="21">
        <v>45417</v>
      </c>
      <c r="B25">
        <v>8255</v>
      </c>
      <c r="C25" t="s">
        <v>52</v>
      </c>
      <c r="D25" s="16">
        <v>10000</v>
      </c>
      <c r="E25" s="16">
        <f t="shared" si="0"/>
        <v>285000</v>
      </c>
      <c r="F25" s="16">
        <f t="shared" si="1"/>
        <v>15000</v>
      </c>
    </row>
    <row r="26" spans="1:6" x14ac:dyDescent="0.35">
      <c r="A26" s="21">
        <v>45541</v>
      </c>
      <c r="B26">
        <v>8932</v>
      </c>
      <c r="C26" t="s">
        <v>52</v>
      </c>
      <c r="D26" s="16">
        <v>10000</v>
      </c>
      <c r="E26" s="16">
        <f t="shared" si="0"/>
        <v>295000</v>
      </c>
      <c r="F26" s="16">
        <f t="shared" si="1"/>
        <v>5000</v>
      </c>
    </row>
    <row r="27" spans="1:6" x14ac:dyDescent="0.35">
      <c r="A27" s="21">
        <v>45480</v>
      </c>
      <c r="B27">
        <v>9424</v>
      </c>
      <c r="C27" t="s">
        <v>52</v>
      </c>
      <c r="D27" s="16">
        <v>5000</v>
      </c>
      <c r="E27" s="16">
        <f t="shared" si="0"/>
        <v>300000</v>
      </c>
      <c r="F27" s="16">
        <f t="shared" si="1"/>
        <v>0</v>
      </c>
    </row>
    <row r="29" spans="1:6" x14ac:dyDescent="0.35">
      <c r="A29" s="21">
        <v>45902</v>
      </c>
      <c r="B29">
        <v>932</v>
      </c>
      <c r="C29" t="s">
        <v>247</v>
      </c>
      <c r="D29" s="16">
        <v>245000</v>
      </c>
      <c r="E29" s="16">
        <v>245000</v>
      </c>
      <c r="F29" t="s">
        <v>248</v>
      </c>
    </row>
    <row r="31" spans="1:6" ht="21" x14ac:dyDescent="0.5">
      <c r="B31" s="23" t="s">
        <v>249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5" workbookViewId="0">
      <selection activeCell="C20" sqref="C20"/>
    </sheetView>
  </sheetViews>
  <sheetFormatPr defaultRowHeight="14.5" x14ac:dyDescent="0.35"/>
  <cols>
    <col min="1" max="1" width="10.26953125" customWidth="1"/>
    <col min="2" max="2" width="10.08984375" customWidth="1"/>
    <col min="3" max="3" width="15.26953125" customWidth="1"/>
    <col min="4" max="4" width="13.7265625" customWidth="1"/>
    <col min="5" max="5" width="13.453125" customWidth="1"/>
    <col min="6" max="6" width="14.1796875" customWidth="1"/>
  </cols>
  <sheetData>
    <row r="1" spans="1:6" ht="18.5" x14ac:dyDescent="0.45">
      <c r="A1" s="1" t="s">
        <v>786</v>
      </c>
      <c r="B1" s="1"/>
      <c r="C1" s="1"/>
      <c r="D1" s="1"/>
      <c r="E1" s="1"/>
      <c r="F1" s="1"/>
    </row>
    <row r="2" spans="1:6" ht="18.5" x14ac:dyDescent="0.45">
      <c r="A2" s="1" t="s">
        <v>787</v>
      </c>
      <c r="C2" s="1"/>
      <c r="D2" s="1"/>
      <c r="E2" s="1"/>
      <c r="F2" s="1"/>
    </row>
    <row r="3" spans="1:6" ht="18.5" x14ac:dyDescent="0.45">
      <c r="A3" s="1" t="s">
        <v>788</v>
      </c>
      <c r="B3" s="1"/>
      <c r="C3" s="1"/>
      <c r="D3" s="1"/>
      <c r="E3" s="1"/>
      <c r="F3" s="1"/>
    </row>
    <row r="4" spans="1:6" ht="18.5" x14ac:dyDescent="0.45">
      <c r="A4" s="1" t="s">
        <v>256</v>
      </c>
      <c r="B4" s="1"/>
      <c r="C4" s="1"/>
      <c r="D4" s="1"/>
      <c r="E4" s="1"/>
      <c r="F4" s="1"/>
    </row>
    <row r="5" spans="1:6" ht="18.5" x14ac:dyDescent="0.45">
      <c r="A5" s="1" t="s">
        <v>337</v>
      </c>
      <c r="B5" s="1"/>
      <c r="C5" s="1"/>
      <c r="D5" s="1"/>
      <c r="E5" s="1"/>
      <c r="F5" s="1"/>
    </row>
    <row r="6" spans="1:6" ht="18.5" x14ac:dyDescent="0.45">
      <c r="A6" s="1" t="s">
        <v>782</v>
      </c>
      <c r="B6" s="1"/>
      <c r="C6" s="1"/>
      <c r="D6" s="1" t="s">
        <v>783</v>
      </c>
      <c r="F6" s="1"/>
    </row>
    <row r="7" spans="1:6" ht="18.5" x14ac:dyDescent="0.45">
      <c r="A7" s="1"/>
      <c r="B7" s="107" t="s">
        <v>784</v>
      </c>
      <c r="C7" s="107"/>
      <c r="D7" s="108"/>
    </row>
    <row r="8" spans="1:6" ht="18.5" x14ac:dyDescent="0.45">
      <c r="A8" s="1" t="s">
        <v>789</v>
      </c>
    </row>
    <row r="9" spans="1:6" ht="18.5" x14ac:dyDescent="0.45">
      <c r="A9" s="1" t="s">
        <v>790</v>
      </c>
    </row>
    <row r="10" spans="1:6" ht="18.5" x14ac:dyDescent="0.45">
      <c r="A10" s="1" t="s">
        <v>781</v>
      </c>
    </row>
    <row r="11" spans="1:6" ht="18.5" x14ac:dyDescent="0.45">
      <c r="A11" s="1" t="s">
        <v>791</v>
      </c>
    </row>
    <row r="12" spans="1:6" x14ac:dyDescent="0.35">
      <c r="A12" s="77" t="s">
        <v>0</v>
      </c>
      <c r="B12" s="77" t="s">
        <v>1</v>
      </c>
      <c r="C12" s="77" t="s">
        <v>2</v>
      </c>
      <c r="D12" s="3" t="s">
        <v>3</v>
      </c>
      <c r="E12" s="3" t="s">
        <v>4</v>
      </c>
      <c r="F12" s="3" t="s">
        <v>5</v>
      </c>
    </row>
    <row r="13" spans="1:6" x14ac:dyDescent="0.35">
      <c r="A13" s="95">
        <v>45849</v>
      </c>
      <c r="B13" s="11">
        <v>13456</v>
      </c>
      <c r="C13" s="11" t="s">
        <v>572</v>
      </c>
      <c r="D13" s="12">
        <v>150000</v>
      </c>
      <c r="E13" s="12">
        <v>150000</v>
      </c>
      <c r="F13" s="11" t="s">
        <v>541</v>
      </c>
    </row>
    <row r="15" spans="1:6" ht="18.5" x14ac:dyDescent="0.45">
      <c r="A15" s="109" t="s">
        <v>785</v>
      </c>
      <c r="B15" s="109"/>
      <c r="C15" s="109"/>
    </row>
    <row r="16" spans="1:6" x14ac:dyDescent="0.35">
      <c r="A16" s="77" t="s">
        <v>0</v>
      </c>
      <c r="B16" s="77" t="s">
        <v>1</v>
      </c>
      <c r="C16" s="77" t="s">
        <v>2</v>
      </c>
      <c r="D16" s="3" t="s">
        <v>3</v>
      </c>
      <c r="E16" s="3" t="s">
        <v>4</v>
      </c>
      <c r="F16" s="3" t="s">
        <v>5</v>
      </c>
    </row>
    <row r="17" spans="1:6" x14ac:dyDescent="0.35">
      <c r="A17" s="21">
        <v>45849</v>
      </c>
      <c r="E17" s="16"/>
      <c r="F17" s="16">
        <v>225000</v>
      </c>
    </row>
    <row r="18" spans="1:6" x14ac:dyDescent="0.35">
      <c r="A18" s="95">
        <v>45787</v>
      </c>
      <c r="B18" s="11">
        <v>3254</v>
      </c>
      <c r="C18" s="11" t="s">
        <v>778</v>
      </c>
      <c r="D18" s="12">
        <v>20000</v>
      </c>
      <c r="E18" s="12">
        <v>20000</v>
      </c>
      <c r="F18" s="12">
        <f t="shared" ref="F18:F24" si="0">F17-D18</f>
        <v>205000</v>
      </c>
    </row>
    <row r="19" spans="1:6" x14ac:dyDescent="0.35">
      <c r="A19" s="11" t="s">
        <v>792</v>
      </c>
      <c r="B19" s="11">
        <v>5161</v>
      </c>
      <c r="C19" s="11" t="s">
        <v>778</v>
      </c>
      <c r="D19" s="12">
        <v>10000</v>
      </c>
      <c r="E19" s="12">
        <f t="shared" ref="E19:E24" si="1">E18+D19</f>
        <v>30000</v>
      </c>
      <c r="F19" s="12">
        <f t="shared" si="0"/>
        <v>195000</v>
      </c>
    </row>
    <row r="20" spans="1:6" x14ac:dyDescent="0.35">
      <c r="A20" s="95" t="s">
        <v>793</v>
      </c>
      <c r="B20" s="11">
        <v>5354</v>
      </c>
      <c r="C20" s="11" t="s">
        <v>778</v>
      </c>
      <c r="D20" s="12">
        <v>5000</v>
      </c>
      <c r="E20" s="12">
        <f t="shared" si="1"/>
        <v>35000</v>
      </c>
      <c r="F20" s="12">
        <f t="shared" si="0"/>
        <v>190000</v>
      </c>
    </row>
    <row r="21" spans="1:6" x14ac:dyDescent="0.35">
      <c r="A21" s="95">
        <v>46269</v>
      </c>
      <c r="B21" s="11">
        <v>5890</v>
      </c>
      <c r="C21" s="11" t="s">
        <v>778</v>
      </c>
      <c r="D21" s="12">
        <v>5000</v>
      </c>
      <c r="E21" s="12">
        <f t="shared" si="1"/>
        <v>40000</v>
      </c>
      <c r="F21" s="12">
        <f t="shared" si="0"/>
        <v>185000</v>
      </c>
    </row>
    <row r="22" spans="1:6" x14ac:dyDescent="0.35">
      <c r="A22" s="11" t="s">
        <v>794</v>
      </c>
      <c r="B22" s="11">
        <v>5998</v>
      </c>
      <c r="C22" s="11" t="s">
        <v>778</v>
      </c>
      <c r="D22" s="12">
        <v>5000</v>
      </c>
      <c r="E22" s="12">
        <f t="shared" si="1"/>
        <v>45000</v>
      </c>
      <c r="F22" s="12">
        <f t="shared" si="0"/>
        <v>180000</v>
      </c>
    </row>
    <row r="23" spans="1:6" x14ac:dyDescent="0.35">
      <c r="A23" s="95" t="s">
        <v>795</v>
      </c>
      <c r="B23" s="11">
        <v>1533</v>
      </c>
      <c r="C23" s="11" t="s">
        <v>778</v>
      </c>
      <c r="D23" s="12">
        <v>5000</v>
      </c>
      <c r="E23" s="12">
        <f t="shared" si="1"/>
        <v>50000</v>
      </c>
      <c r="F23" s="12">
        <f t="shared" si="0"/>
        <v>175000</v>
      </c>
    </row>
    <row r="24" spans="1:6" x14ac:dyDescent="0.35">
      <c r="A24" s="95" t="s">
        <v>796</v>
      </c>
      <c r="B24" s="11">
        <v>2116</v>
      </c>
      <c r="C24" s="11" t="s">
        <v>778</v>
      </c>
      <c r="D24" s="12">
        <v>15000</v>
      </c>
      <c r="E24" s="12">
        <f t="shared" si="1"/>
        <v>65000</v>
      </c>
      <c r="F24" s="12">
        <f t="shared" si="0"/>
        <v>160000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sqref="A1:F7"/>
    </sheetView>
  </sheetViews>
  <sheetFormatPr defaultRowHeight="14.5" x14ac:dyDescent="0.35"/>
  <cols>
    <col min="1" max="1" width="11.1796875" customWidth="1"/>
    <col min="3" max="3" width="12.453125" customWidth="1"/>
    <col min="4" max="4" width="9.54296875" customWidth="1"/>
    <col min="6" max="6" width="11.36328125" customWidth="1"/>
  </cols>
  <sheetData>
    <row r="1" spans="1:6" ht="18.5" x14ac:dyDescent="0.45">
      <c r="A1" s="1" t="s">
        <v>305</v>
      </c>
      <c r="B1" s="1"/>
      <c r="C1" s="1"/>
      <c r="D1" s="1"/>
      <c r="E1" s="1"/>
      <c r="F1" s="1"/>
    </row>
    <row r="2" spans="1:6" ht="18.5" x14ac:dyDescent="0.45">
      <c r="A2" s="1" t="s">
        <v>306</v>
      </c>
      <c r="C2" s="1"/>
      <c r="D2" s="1"/>
      <c r="E2" s="1"/>
      <c r="F2" s="1"/>
    </row>
    <row r="3" spans="1:6" ht="18.5" x14ac:dyDescent="0.45">
      <c r="A3" s="1" t="s">
        <v>307</v>
      </c>
      <c r="B3" s="1"/>
      <c r="C3" s="1"/>
      <c r="D3" s="1"/>
      <c r="E3" s="1"/>
      <c r="F3" s="1"/>
    </row>
    <row r="4" spans="1:6" ht="18.5" x14ac:dyDescent="0.45">
      <c r="A4" s="1" t="s">
        <v>312</v>
      </c>
      <c r="B4" s="1"/>
      <c r="C4" s="1"/>
      <c r="D4" s="1"/>
      <c r="E4" s="1"/>
      <c r="F4" s="1"/>
    </row>
    <row r="5" spans="1:6" ht="18.5" x14ac:dyDescent="0.45">
      <c r="A5" s="1" t="s">
        <v>308</v>
      </c>
      <c r="B5" s="1"/>
      <c r="C5" s="1"/>
      <c r="D5" s="1"/>
      <c r="E5" s="1"/>
      <c r="F5" s="1"/>
    </row>
    <row r="6" spans="1:6" ht="18.5" x14ac:dyDescent="0.45">
      <c r="A6" s="1" t="s">
        <v>309</v>
      </c>
      <c r="B6" s="1"/>
      <c r="C6" s="1"/>
      <c r="D6" s="1" t="s">
        <v>310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2" t="s">
        <v>296</v>
      </c>
      <c r="B8" s="2">
        <v>450</v>
      </c>
      <c r="C8" s="2" t="s">
        <v>303</v>
      </c>
      <c r="D8" s="75">
        <v>140000</v>
      </c>
      <c r="E8" s="75">
        <v>140000</v>
      </c>
      <c r="F8" s="75">
        <v>210000</v>
      </c>
    </row>
    <row r="9" spans="1:6" x14ac:dyDescent="0.35">
      <c r="A9" s="2" t="s">
        <v>138</v>
      </c>
      <c r="B9" s="2">
        <v>451</v>
      </c>
      <c r="C9" s="2" t="s">
        <v>304</v>
      </c>
      <c r="D9" s="75">
        <v>10000</v>
      </c>
      <c r="E9" s="75">
        <f>SUM(E8+D9)</f>
        <v>150000</v>
      </c>
      <c r="F9" s="75">
        <f>F8-D9</f>
        <v>200000</v>
      </c>
    </row>
    <row r="10" spans="1:6" x14ac:dyDescent="0.35">
      <c r="A10" s="2" t="s">
        <v>193</v>
      </c>
      <c r="B10" s="2">
        <v>2400</v>
      </c>
      <c r="C10" s="2" t="s">
        <v>52</v>
      </c>
      <c r="D10" s="75">
        <v>10000</v>
      </c>
      <c r="E10" s="75">
        <f t="shared" ref="E10:E29" si="0">SUM(E9+D10)</f>
        <v>160000</v>
      </c>
      <c r="F10" s="75">
        <f t="shared" ref="F10:F29" si="1">F9-D10</f>
        <v>190000</v>
      </c>
    </row>
    <row r="11" spans="1:6" x14ac:dyDescent="0.35">
      <c r="A11" s="2" t="s">
        <v>297</v>
      </c>
      <c r="B11" s="2">
        <v>1294</v>
      </c>
      <c r="C11" s="2" t="s">
        <v>52</v>
      </c>
      <c r="D11" s="75">
        <v>10000</v>
      </c>
      <c r="E11" s="75">
        <f t="shared" si="0"/>
        <v>170000</v>
      </c>
      <c r="F11" s="75">
        <f t="shared" si="1"/>
        <v>180000</v>
      </c>
    </row>
    <row r="12" spans="1:6" x14ac:dyDescent="0.35">
      <c r="A12" s="76">
        <v>45082</v>
      </c>
      <c r="B12" s="2">
        <v>1477</v>
      </c>
      <c r="C12" s="2" t="s">
        <v>52</v>
      </c>
      <c r="D12" s="75">
        <v>10000</v>
      </c>
      <c r="E12" s="75">
        <f t="shared" si="0"/>
        <v>180000</v>
      </c>
      <c r="F12" s="75">
        <f t="shared" si="1"/>
        <v>170000</v>
      </c>
    </row>
    <row r="13" spans="1:6" x14ac:dyDescent="0.35">
      <c r="A13" s="2" t="s">
        <v>86</v>
      </c>
      <c r="B13" s="2">
        <v>529</v>
      </c>
      <c r="C13" s="2" t="s">
        <v>52</v>
      </c>
      <c r="D13" s="75">
        <v>10000</v>
      </c>
      <c r="E13" s="75">
        <f t="shared" si="0"/>
        <v>190000</v>
      </c>
      <c r="F13" s="75">
        <f t="shared" si="1"/>
        <v>160000</v>
      </c>
    </row>
    <row r="14" spans="1:6" x14ac:dyDescent="0.35">
      <c r="A14" s="76">
        <v>45206</v>
      </c>
      <c r="B14" s="2">
        <v>2662</v>
      </c>
      <c r="C14" s="2" t="s">
        <v>52</v>
      </c>
      <c r="D14" s="75">
        <v>10000</v>
      </c>
      <c r="E14" s="75">
        <f t="shared" si="0"/>
        <v>200000</v>
      </c>
      <c r="F14" s="75">
        <f t="shared" si="1"/>
        <v>150000</v>
      </c>
    </row>
    <row r="15" spans="1:6" x14ac:dyDescent="0.35">
      <c r="A15" s="76">
        <v>45238</v>
      </c>
      <c r="B15" s="2">
        <v>2859</v>
      </c>
      <c r="C15" s="2" t="s">
        <v>52</v>
      </c>
      <c r="D15" s="75">
        <v>10000</v>
      </c>
      <c r="E15" s="75">
        <f t="shared" si="0"/>
        <v>210000</v>
      </c>
      <c r="F15" s="75">
        <f t="shared" si="1"/>
        <v>140000</v>
      </c>
    </row>
    <row r="16" spans="1:6" x14ac:dyDescent="0.35">
      <c r="A16" s="2" t="s">
        <v>298</v>
      </c>
      <c r="B16" s="2">
        <v>3643</v>
      </c>
      <c r="C16" s="2" t="s">
        <v>52</v>
      </c>
      <c r="D16" s="75">
        <v>10000</v>
      </c>
      <c r="E16" s="75">
        <f t="shared" si="0"/>
        <v>220000</v>
      </c>
      <c r="F16" s="75">
        <f t="shared" si="1"/>
        <v>130000</v>
      </c>
    </row>
    <row r="17" spans="1:6" x14ac:dyDescent="0.35">
      <c r="A17" s="76">
        <v>45179</v>
      </c>
      <c r="B17" s="2">
        <v>4135</v>
      </c>
      <c r="C17" s="2" t="s">
        <v>52</v>
      </c>
      <c r="D17" s="75">
        <v>10000</v>
      </c>
      <c r="E17" s="75">
        <f t="shared" si="0"/>
        <v>230000</v>
      </c>
      <c r="F17" s="75">
        <f t="shared" si="1"/>
        <v>120000</v>
      </c>
    </row>
    <row r="18" spans="1:6" x14ac:dyDescent="0.35">
      <c r="A18" s="76">
        <v>45149</v>
      </c>
      <c r="B18" s="2">
        <v>4717</v>
      </c>
      <c r="C18" s="2" t="s">
        <v>52</v>
      </c>
      <c r="D18" s="75">
        <v>10000</v>
      </c>
      <c r="E18" s="75">
        <f t="shared" si="0"/>
        <v>240000</v>
      </c>
      <c r="F18" s="75">
        <f t="shared" si="1"/>
        <v>110000</v>
      </c>
    </row>
    <row r="19" spans="1:6" x14ac:dyDescent="0.35">
      <c r="A19" s="76">
        <v>45272</v>
      </c>
      <c r="B19" s="2">
        <v>5506</v>
      </c>
      <c r="C19" s="2" t="s">
        <v>52</v>
      </c>
      <c r="D19" s="75">
        <v>10000</v>
      </c>
      <c r="E19" s="75">
        <f t="shared" si="0"/>
        <v>250000</v>
      </c>
      <c r="F19" s="75">
        <f t="shared" si="1"/>
        <v>100000</v>
      </c>
    </row>
    <row r="20" spans="1:6" x14ac:dyDescent="0.35">
      <c r="A20" s="76">
        <v>45597</v>
      </c>
      <c r="B20" s="2">
        <v>6110</v>
      </c>
      <c r="C20" s="2" t="s">
        <v>52</v>
      </c>
      <c r="D20" s="75">
        <v>10000</v>
      </c>
      <c r="E20" s="75">
        <f t="shared" si="0"/>
        <v>260000</v>
      </c>
      <c r="F20" s="75">
        <f t="shared" si="1"/>
        <v>90000</v>
      </c>
    </row>
    <row r="21" spans="1:6" x14ac:dyDescent="0.35">
      <c r="A21" s="76">
        <v>45567</v>
      </c>
      <c r="B21" s="2">
        <v>7014</v>
      </c>
      <c r="C21" s="2" t="s">
        <v>52</v>
      </c>
      <c r="D21" s="75">
        <v>10000</v>
      </c>
      <c r="E21" s="75">
        <f t="shared" si="0"/>
        <v>270000</v>
      </c>
      <c r="F21" s="75">
        <f t="shared" si="1"/>
        <v>80000</v>
      </c>
    </row>
    <row r="22" spans="1:6" x14ac:dyDescent="0.35">
      <c r="A22" s="2" t="s">
        <v>299</v>
      </c>
      <c r="B22" s="2">
        <v>7485</v>
      </c>
      <c r="C22" s="2" t="s">
        <v>52</v>
      </c>
      <c r="D22" s="75">
        <v>10000</v>
      </c>
      <c r="E22" s="75">
        <f t="shared" si="0"/>
        <v>280000</v>
      </c>
      <c r="F22" s="75">
        <f t="shared" si="1"/>
        <v>70000</v>
      </c>
    </row>
    <row r="23" spans="1:6" x14ac:dyDescent="0.35">
      <c r="A23" s="2" t="s">
        <v>27</v>
      </c>
      <c r="B23" s="2">
        <v>7854</v>
      </c>
      <c r="C23" s="2" t="s">
        <v>52</v>
      </c>
      <c r="D23" s="75">
        <v>10000</v>
      </c>
      <c r="E23" s="75">
        <f t="shared" si="0"/>
        <v>290000</v>
      </c>
      <c r="F23" s="75">
        <f t="shared" si="1"/>
        <v>60000</v>
      </c>
    </row>
    <row r="24" spans="1:6" x14ac:dyDescent="0.35">
      <c r="A24" s="2" t="s">
        <v>300</v>
      </c>
      <c r="B24" s="2">
        <v>8481</v>
      </c>
      <c r="C24" s="2" t="s">
        <v>52</v>
      </c>
      <c r="D24" s="75">
        <v>10000</v>
      </c>
      <c r="E24" s="75">
        <f t="shared" si="0"/>
        <v>300000</v>
      </c>
      <c r="F24" s="75">
        <f t="shared" si="1"/>
        <v>50000</v>
      </c>
    </row>
    <row r="25" spans="1:6" x14ac:dyDescent="0.35">
      <c r="A25" s="76">
        <v>45602</v>
      </c>
      <c r="B25" s="2">
        <v>9007</v>
      </c>
      <c r="C25" s="2" t="s">
        <v>52</v>
      </c>
      <c r="D25" s="75">
        <v>10000</v>
      </c>
      <c r="E25" s="75">
        <f t="shared" si="0"/>
        <v>310000</v>
      </c>
      <c r="F25" s="75">
        <f t="shared" si="1"/>
        <v>40000</v>
      </c>
    </row>
    <row r="26" spans="1:6" x14ac:dyDescent="0.35">
      <c r="A26" s="76">
        <v>45511</v>
      </c>
      <c r="B26" s="2">
        <v>9448</v>
      </c>
      <c r="C26" s="2" t="s">
        <v>52</v>
      </c>
      <c r="D26" s="75">
        <v>10000</v>
      </c>
      <c r="E26" s="75">
        <f t="shared" si="0"/>
        <v>320000</v>
      </c>
      <c r="F26" s="75">
        <f t="shared" si="1"/>
        <v>30000</v>
      </c>
    </row>
    <row r="27" spans="1:6" x14ac:dyDescent="0.35">
      <c r="A27" s="2" t="s">
        <v>301</v>
      </c>
      <c r="B27" s="2">
        <v>1136</v>
      </c>
      <c r="C27" s="2" t="s">
        <v>52</v>
      </c>
      <c r="D27" s="75">
        <v>10000</v>
      </c>
      <c r="E27" s="75">
        <f t="shared" si="0"/>
        <v>330000</v>
      </c>
      <c r="F27" s="75">
        <f t="shared" si="1"/>
        <v>20000</v>
      </c>
    </row>
    <row r="28" spans="1:6" x14ac:dyDescent="0.35">
      <c r="A28" s="76">
        <v>45605</v>
      </c>
      <c r="B28" s="2">
        <v>10692</v>
      </c>
      <c r="C28" s="2" t="s">
        <v>52</v>
      </c>
      <c r="D28" s="75">
        <v>10000</v>
      </c>
      <c r="E28" s="75">
        <f t="shared" si="0"/>
        <v>340000</v>
      </c>
      <c r="F28" s="75">
        <f t="shared" si="1"/>
        <v>10000</v>
      </c>
    </row>
    <row r="29" spans="1:6" x14ac:dyDescent="0.35">
      <c r="A29" s="2" t="s">
        <v>302</v>
      </c>
      <c r="B29" s="2">
        <v>11662</v>
      </c>
      <c r="C29" s="2" t="s">
        <v>52</v>
      </c>
      <c r="D29" s="75">
        <v>10000</v>
      </c>
      <c r="E29" s="75">
        <f t="shared" si="0"/>
        <v>350000</v>
      </c>
      <c r="F29" s="75">
        <f t="shared" si="1"/>
        <v>0</v>
      </c>
    </row>
    <row r="30" spans="1:6" ht="15.5" x14ac:dyDescent="0.35">
      <c r="A30" s="74" t="s">
        <v>311</v>
      </c>
      <c r="B30" s="74"/>
      <c r="C30" s="74"/>
      <c r="D30" s="74"/>
    </row>
    <row r="31" spans="1:6" ht="18.5" x14ac:dyDescent="0.45">
      <c r="A31" s="1" t="s">
        <v>269</v>
      </c>
      <c r="B31" s="1"/>
      <c r="C31" s="1"/>
      <c r="D31" s="73"/>
      <c r="E31" s="73"/>
    </row>
    <row r="32" spans="1:6" x14ac:dyDescent="0.35">
      <c r="A32" s="15">
        <v>45839</v>
      </c>
      <c r="B32" s="13">
        <v>559</v>
      </c>
      <c r="C32" s="13" t="s">
        <v>625</v>
      </c>
      <c r="D32" s="14">
        <v>5000</v>
      </c>
      <c r="E32" s="11">
        <v>5000</v>
      </c>
      <c r="F32" s="11">
        <v>445000</v>
      </c>
    </row>
    <row r="33" spans="1:6" x14ac:dyDescent="0.35">
      <c r="A33" s="15">
        <v>45963</v>
      </c>
      <c r="B33" s="13">
        <v>943</v>
      </c>
      <c r="C33" s="13" t="s">
        <v>625</v>
      </c>
      <c r="D33" s="12">
        <v>5000</v>
      </c>
      <c r="E33" s="12">
        <f t="shared" ref="E33:E40" si="2">E32+D33</f>
        <v>10000</v>
      </c>
      <c r="F33" s="12">
        <f t="shared" ref="F33:F40" si="3">F32-D33</f>
        <v>440000</v>
      </c>
    </row>
    <row r="34" spans="1:6" x14ac:dyDescent="0.35">
      <c r="A34" s="13" t="s">
        <v>646</v>
      </c>
      <c r="B34" s="13">
        <v>100</v>
      </c>
      <c r="C34" s="13" t="s">
        <v>625</v>
      </c>
      <c r="D34" s="12">
        <v>5000</v>
      </c>
      <c r="E34" s="12">
        <f t="shared" si="2"/>
        <v>15000</v>
      </c>
      <c r="F34" s="12">
        <f t="shared" si="3"/>
        <v>435000</v>
      </c>
    </row>
    <row r="35" spans="1:6" x14ac:dyDescent="0.35">
      <c r="A35" s="13" t="s">
        <v>647</v>
      </c>
      <c r="B35" s="13">
        <v>747</v>
      </c>
      <c r="C35" s="13" t="s">
        <v>625</v>
      </c>
      <c r="D35" s="12">
        <v>5000</v>
      </c>
      <c r="E35" s="12">
        <f t="shared" si="2"/>
        <v>20000</v>
      </c>
      <c r="F35" s="12">
        <f t="shared" si="3"/>
        <v>430000</v>
      </c>
    </row>
    <row r="36" spans="1:6" x14ac:dyDescent="0.35">
      <c r="A36" s="13" t="s">
        <v>648</v>
      </c>
      <c r="B36" s="13">
        <v>779</v>
      </c>
      <c r="C36" s="13" t="s">
        <v>625</v>
      </c>
      <c r="D36" s="12">
        <v>5000</v>
      </c>
      <c r="E36" s="12">
        <f t="shared" si="2"/>
        <v>25000</v>
      </c>
      <c r="F36" s="12">
        <f t="shared" si="3"/>
        <v>425000</v>
      </c>
    </row>
    <row r="37" spans="1:6" x14ac:dyDescent="0.35">
      <c r="A37" s="15">
        <v>45876</v>
      </c>
      <c r="B37" s="13">
        <v>3033</v>
      </c>
      <c r="C37" s="13" t="s">
        <v>625</v>
      </c>
      <c r="D37" s="12">
        <v>5000</v>
      </c>
      <c r="E37" s="12">
        <f t="shared" si="2"/>
        <v>30000</v>
      </c>
      <c r="F37" s="12">
        <f t="shared" si="3"/>
        <v>420000</v>
      </c>
    </row>
    <row r="38" spans="1:6" x14ac:dyDescent="0.35">
      <c r="A38" s="15">
        <v>45877</v>
      </c>
      <c r="B38" s="13">
        <v>3912</v>
      </c>
      <c r="C38" s="13" t="s">
        <v>625</v>
      </c>
      <c r="D38" s="12">
        <v>5000</v>
      </c>
      <c r="E38" s="12">
        <f t="shared" si="2"/>
        <v>35000</v>
      </c>
      <c r="F38" s="12">
        <f t="shared" si="3"/>
        <v>415000</v>
      </c>
    </row>
    <row r="39" spans="1:6" x14ac:dyDescent="0.35">
      <c r="A39" s="15">
        <v>45970</v>
      </c>
      <c r="B39" s="13">
        <v>3508</v>
      </c>
      <c r="C39" s="13" t="s">
        <v>625</v>
      </c>
      <c r="D39" s="12">
        <v>5000</v>
      </c>
      <c r="E39" s="12">
        <f t="shared" si="2"/>
        <v>40000</v>
      </c>
      <c r="F39" s="12">
        <f t="shared" si="3"/>
        <v>410000</v>
      </c>
    </row>
    <row r="40" spans="1:6" x14ac:dyDescent="0.35">
      <c r="A40" s="15">
        <v>45910</v>
      </c>
      <c r="B40" s="13">
        <v>3278</v>
      </c>
      <c r="C40" s="13" t="s">
        <v>625</v>
      </c>
      <c r="D40" s="12">
        <v>5000</v>
      </c>
      <c r="E40" s="12">
        <f t="shared" si="2"/>
        <v>45000</v>
      </c>
      <c r="F40" s="12">
        <f t="shared" si="3"/>
        <v>405000</v>
      </c>
    </row>
    <row r="41" spans="1:6" x14ac:dyDescent="0.35">
      <c r="A41" s="95">
        <v>45880</v>
      </c>
      <c r="B41" s="13">
        <v>3640</v>
      </c>
      <c r="C41" s="13" t="s">
        <v>625</v>
      </c>
      <c r="D41" s="12">
        <v>5000</v>
      </c>
      <c r="E41" s="12">
        <f t="shared" ref="E41:E50" si="4">E40+D41</f>
        <v>50000</v>
      </c>
      <c r="F41" s="12">
        <f t="shared" ref="F41:F50" si="5">F40-D41</f>
        <v>400000</v>
      </c>
    </row>
    <row r="42" spans="1:6" x14ac:dyDescent="0.35">
      <c r="A42" s="95">
        <v>45973</v>
      </c>
      <c r="B42" s="13">
        <v>5055</v>
      </c>
      <c r="C42" s="13" t="s">
        <v>625</v>
      </c>
      <c r="D42" s="12">
        <v>5000</v>
      </c>
      <c r="E42" s="12">
        <f t="shared" si="4"/>
        <v>55000</v>
      </c>
      <c r="F42" s="12">
        <f t="shared" si="5"/>
        <v>395000</v>
      </c>
    </row>
    <row r="43" spans="1:6" x14ac:dyDescent="0.35">
      <c r="A43" s="95">
        <v>46327</v>
      </c>
      <c r="B43" s="13">
        <v>5261</v>
      </c>
      <c r="C43" s="13" t="s">
        <v>625</v>
      </c>
      <c r="D43" s="12">
        <v>5000</v>
      </c>
      <c r="E43" s="12">
        <f t="shared" si="4"/>
        <v>60000</v>
      </c>
      <c r="F43" s="12">
        <f t="shared" si="5"/>
        <v>390000</v>
      </c>
    </row>
    <row r="44" spans="1:6" x14ac:dyDescent="0.35">
      <c r="A44" s="95">
        <v>46297</v>
      </c>
      <c r="B44" s="13">
        <v>5473</v>
      </c>
      <c r="C44" s="13" t="s">
        <v>625</v>
      </c>
      <c r="D44" s="12">
        <v>5000</v>
      </c>
      <c r="E44" s="12">
        <f t="shared" si="4"/>
        <v>65000</v>
      </c>
      <c r="F44" s="12">
        <f t="shared" si="5"/>
        <v>385000</v>
      </c>
    </row>
    <row r="45" spans="1:6" x14ac:dyDescent="0.35">
      <c r="A45" s="95">
        <v>46329</v>
      </c>
      <c r="B45" s="13">
        <v>5692</v>
      </c>
      <c r="C45" s="13" t="s">
        <v>625</v>
      </c>
      <c r="D45" s="12">
        <v>5000</v>
      </c>
      <c r="E45" s="12">
        <f t="shared" si="4"/>
        <v>70000</v>
      </c>
      <c r="F45" s="12">
        <f t="shared" si="5"/>
        <v>380000</v>
      </c>
    </row>
    <row r="46" spans="1:6" x14ac:dyDescent="0.35">
      <c r="A46" s="95">
        <v>46330</v>
      </c>
      <c r="B46" s="13">
        <v>5906</v>
      </c>
      <c r="C46" s="13" t="s">
        <v>625</v>
      </c>
      <c r="D46" s="12">
        <v>5000</v>
      </c>
      <c r="E46" s="12">
        <f t="shared" si="4"/>
        <v>75000</v>
      </c>
      <c r="F46" s="12">
        <f t="shared" si="5"/>
        <v>375000</v>
      </c>
    </row>
    <row r="47" spans="1:6" x14ac:dyDescent="0.35">
      <c r="A47" s="95">
        <v>45996</v>
      </c>
      <c r="B47" s="13">
        <v>1451</v>
      </c>
      <c r="C47" s="13" t="s">
        <v>625</v>
      </c>
      <c r="D47" s="12">
        <v>5000</v>
      </c>
      <c r="E47" s="12">
        <f t="shared" si="4"/>
        <v>80000</v>
      </c>
      <c r="F47" s="12">
        <f t="shared" si="5"/>
        <v>370000</v>
      </c>
    </row>
    <row r="48" spans="1:6" x14ac:dyDescent="0.35">
      <c r="A48" s="95">
        <v>46332</v>
      </c>
      <c r="B48" s="13">
        <v>1619</v>
      </c>
      <c r="C48" s="13" t="s">
        <v>625</v>
      </c>
      <c r="D48" s="12">
        <v>5000</v>
      </c>
      <c r="E48" s="12">
        <f t="shared" si="4"/>
        <v>85000</v>
      </c>
      <c r="F48" s="12">
        <f t="shared" si="5"/>
        <v>365000</v>
      </c>
    </row>
    <row r="49" spans="1:6" x14ac:dyDescent="0.35">
      <c r="A49" s="11" t="s">
        <v>649</v>
      </c>
      <c r="B49" s="13">
        <v>1839</v>
      </c>
      <c r="C49" s="13" t="s">
        <v>625</v>
      </c>
      <c r="D49" s="12">
        <v>5000</v>
      </c>
      <c r="E49" s="12">
        <f t="shared" si="4"/>
        <v>90000</v>
      </c>
      <c r="F49" s="12">
        <f t="shared" si="5"/>
        <v>360000</v>
      </c>
    </row>
    <row r="50" spans="1:6" x14ac:dyDescent="0.35">
      <c r="A50" s="11" t="s">
        <v>650</v>
      </c>
      <c r="B50" s="13">
        <v>1914</v>
      </c>
      <c r="C50" s="13" t="s">
        <v>625</v>
      </c>
      <c r="D50" s="12">
        <v>5000</v>
      </c>
      <c r="E50" s="12">
        <f t="shared" si="4"/>
        <v>95000</v>
      </c>
      <c r="F50" s="12">
        <f t="shared" si="5"/>
        <v>355000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5" workbookViewId="0">
      <selection activeCell="F21" sqref="F21"/>
    </sheetView>
  </sheetViews>
  <sheetFormatPr defaultRowHeight="14.5" x14ac:dyDescent="0.35"/>
  <cols>
    <col min="1" max="1" width="12" customWidth="1"/>
    <col min="6" max="6" width="10.81640625" customWidth="1"/>
  </cols>
  <sheetData>
    <row r="1" spans="1:6" ht="18.5" x14ac:dyDescent="0.45">
      <c r="A1" s="1" t="s">
        <v>318</v>
      </c>
      <c r="B1" s="1"/>
      <c r="C1" s="1"/>
      <c r="D1" s="1"/>
      <c r="E1" s="1"/>
      <c r="F1" s="1"/>
    </row>
    <row r="2" spans="1:6" ht="18.5" x14ac:dyDescent="0.45">
      <c r="A2" s="1" t="s">
        <v>313</v>
      </c>
      <c r="C2" s="1"/>
      <c r="D2" s="1"/>
      <c r="E2" s="1"/>
      <c r="F2" s="1"/>
    </row>
    <row r="3" spans="1:6" ht="18.5" x14ac:dyDescent="0.45">
      <c r="A3" s="1" t="s">
        <v>314</v>
      </c>
      <c r="B3" s="1"/>
      <c r="C3" s="1"/>
      <c r="D3" s="1"/>
      <c r="E3" s="1"/>
      <c r="F3" s="1"/>
    </row>
    <row r="4" spans="1:6" ht="18.5" x14ac:dyDescent="0.45">
      <c r="A4" s="1" t="s">
        <v>315</v>
      </c>
      <c r="B4" s="1"/>
      <c r="C4" s="1"/>
      <c r="D4" s="1" t="s">
        <v>310</v>
      </c>
      <c r="F4" s="1"/>
    </row>
    <row r="5" spans="1:6" ht="18.5" x14ac:dyDescent="0.45">
      <c r="A5" s="1" t="s">
        <v>316</v>
      </c>
      <c r="B5" s="1"/>
      <c r="C5" s="1"/>
      <c r="D5" s="1"/>
      <c r="E5" s="1"/>
      <c r="F5" s="1"/>
    </row>
    <row r="6" spans="1:6" ht="18.5" x14ac:dyDescent="0.45">
      <c r="A6" s="1" t="s">
        <v>317</v>
      </c>
      <c r="B6" s="1"/>
      <c r="C6" s="1"/>
      <c r="D6" s="1"/>
      <c r="F6" s="1"/>
    </row>
    <row r="7" spans="1:6" ht="18.5" x14ac:dyDescent="0.45">
      <c r="A7" s="1" t="s">
        <v>319</v>
      </c>
      <c r="B7" s="1"/>
      <c r="C7" s="1"/>
      <c r="D7" s="1"/>
      <c r="E7" s="1"/>
      <c r="F7" s="4"/>
    </row>
    <row r="8" spans="1:6" ht="18.5" x14ac:dyDescent="0.45">
      <c r="A8" s="1" t="s">
        <v>320</v>
      </c>
      <c r="C8" s="1"/>
      <c r="D8" s="1"/>
      <c r="E8" s="1"/>
    </row>
    <row r="9" spans="1:6" ht="18.5" x14ac:dyDescent="0.45">
      <c r="A9" s="1" t="s">
        <v>321</v>
      </c>
      <c r="B9" s="1"/>
      <c r="C9" s="1"/>
      <c r="D9" s="1"/>
      <c r="E9" s="1"/>
    </row>
    <row r="10" spans="1:6" ht="18.5" x14ac:dyDescent="0.45">
      <c r="A10" s="1" t="s">
        <v>453</v>
      </c>
      <c r="B10" s="1"/>
      <c r="C10" s="1"/>
      <c r="D10" s="1"/>
      <c r="E10" s="1"/>
    </row>
    <row r="11" spans="1:6" ht="18.5" x14ac:dyDescent="0.45">
      <c r="A11" s="1" t="s">
        <v>322</v>
      </c>
      <c r="B11" s="1"/>
      <c r="C11" s="1"/>
      <c r="D11" s="1"/>
    </row>
    <row r="12" spans="1:6" x14ac:dyDescent="0.35">
      <c r="A12" s="50" t="s">
        <v>0</v>
      </c>
      <c r="B12" s="43" t="s">
        <v>1</v>
      </c>
      <c r="C12" s="43" t="s">
        <v>2</v>
      </c>
      <c r="D12" s="41" t="s">
        <v>3</v>
      </c>
      <c r="E12" s="41" t="s">
        <v>4</v>
      </c>
      <c r="F12" s="42" t="s">
        <v>5</v>
      </c>
    </row>
    <row r="13" spans="1:6" x14ac:dyDescent="0.35">
      <c r="A13" t="s">
        <v>323</v>
      </c>
      <c r="B13">
        <v>2694</v>
      </c>
      <c r="C13" t="s">
        <v>97</v>
      </c>
      <c r="D13" s="16">
        <v>210000</v>
      </c>
      <c r="E13" s="16">
        <v>210000</v>
      </c>
      <c r="F13" s="16">
        <v>140000</v>
      </c>
    </row>
    <row r="14" spans="1:6" x14ac:dyDescent="0.35">
      <c r="A14" t="s">
        <v>324</v>
      </c>
      <c r="B14">
        <v>2695</v>
      </c>
      <c r="C14" t="s">
        <v>326</v>
      </c>
      <c r="D14" s="16">
        <v>10000</v>
      </c>
      <c r="E14" s="16">
        <f>SUM(E13+D14)</f>
        <v>220000</v>
      </c>
      <c r="F14" s="16">
        <f>F13-D14</f>
        <v>130000</v>
      </c>
    </row>
    <row r="15" spans="1:6" x14ac:dyDescent="0.35">
      <c r="A15" t="s">
        <v>325</v>
      </c>
      <c r="B15">
        <v>2696</v>
      </c>
      <c r="C15" t="s">
        <v>327</v>
      </c>
      <c r="D15" s="16">
        <v>20000</v>
      </c>
      <c r="E15" s="16">
        <f t="shared" ref="E15:E17" si="0">SUM(E14+D15)</f>
        <v>240000</v>
      </c>
      <c r="F15" s="16">
        <f t="shared" ref="F15:F17" si="1">F14-D15</f>
        <v>110000</v>
      </c>
    </row>
    <row r="16" spans="1:6" x14ac:dyDescent="0.35">
      <c r="A16" s="76">
        <v>45049</v>
      </c>
      <c r="B16" s="2">
        <v>2657</v>
      </c>
      <c r="C16" s="2" t="s">
        <v>328</v>
      </c>
      <c r="D16" s="75">
        <v>10000</v>
      </c>
      <c r="E16" s="75">
        <f t="shared" si="0"/>
        <v>250000</v>
      </c>
      <c r="F16" s="75">
        <f t="shared" si="1"/>
        <v>100000</v>
      </c>
    </row>
    <row r="17" spans="1:6" x14ac:dyDescent="0.35">
      <c r="A17" s="76">
        <v>45084</v>
      </c>
      <c r="B17" s="2">
        <v>2142</v>
      </c>
      <c r="C17" s="2" t="s">
        <v>329</v>
      </c>
      <c r="D17" s="75">
        <v>100000</v>
      </c>
      <c r="E17" s="75">
        <f t="shared" si="0"/>
        <v>350000</v>
      </c>
      <c r="F17" s="75">
        <f t="shared" si="1"/>
        <v>0</v>
      </c>
    </row>
    <row r="18" spans="1:6" x14ac:dyDescent="0.35">
      <c r="A18" t="s">
        <v>330</v>
      </c>
    </row>
    <row r="19" spans="1:6" x14ac:dyDescent="0.35">
      <c r="A19" t="s">
        <v>331</v>
      </c>
    </row>
    <row r="20" spans="1:6" x14ac:dyDescent="0.35">
      <c r="A20" t="s">
        <v>529</v>
      </c>
      <c r="B20">
        <v>1642</v>
      </c>
      <c r="C20" t="s">
        <v>530</v>
      </c>
      <c r="D20" s="16">
        <v>150000</v>
      </c>
      <c r="E20" s="16">
        <v>245000</v>
      </c>
      <c r="F20" t="s">
        <v>496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sqref="A1:E6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187</v>
      </c>
      <c r="B1" s="1"/>
      <c r="C1" s="1"/>
      <c r="D1" s="1"/>
      <c r="E1" s="1"/>
      <c r="F1" s="1"/>
    </row>
    <row r="2" spans="1:6" ht="18.5" x14ac:dyDescent="0.45">
      <c r="A2" s="1" t="s">
        <v>188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368</v>
      </c>
      <c r="B4" s="1"/>
      <c r="C4" s="1"/>
      <c r="D4" s="1"/>
      <c r="E4" s="1"/>
      <c r="F4" s="1"/>
    </row>
    <row r="5" spans="1:6" ht="18.5" x14ac:dyDescent="0.45">
      <c r="A5" s="1" t="s">
        <v>189</v>
      </c>
      <c r="B5" s="1"/>
      <c r="C5" s="1"/>
      <c r="D5" s="1"/>
      <c r="E5" s="1"/>
      <c r="F5" s="1"/>
    </row>
    <row r="6" spans="1:6" ht="18.5" x14ac:dyDescent="0.45">
      <c r="A6" s="1" t="s">
        <v>190</v>
      </c>
      <c r="B6" s="1"/>
      <c r="C6" s="1"/>
      <c r="D6" s="1" t="s">
        <v>58</v>
      </c>
      <c r="F6" s="1"/>
    </row>
    <row r="7" spans="1:6" x14ac:dyDescent="0.35">
      <c r="A7" s="57" t="s">
        <v>0</v>
      </c>
      <c r="B7" s="58" t="s">
        <v>1</v>
      </c>
      <c r="C7" s="58" t="s">
        <v>2</v>
      </c>
      <c r="D7" s="55" t="s">
        <v>3</v>
      </c>
      <c r="E7" s="55" t="s">
        <v>4</v>
      </c>
      <c r="F7" s="56" t="s">
        <v>5</v>
      </c>
    </row>
    <row r="8" spans="1:6" x14ac:dyDescent="0.35">
      <c r="A8" s="44" t="s">
        <v>191</v>
      </c>
      <c r="B8" s="13">
        <v>33</v>
      </c>
      <c r="C8" s="13" t="s">
        <v>15</v>
      </c>
      <c r="D8" s="14">
        <v>10000</v>
      </c>
      <c r="E8" s="14">
        <v>10000</v>
      </c>
      <c r="F8" s="45">
        <v>590000</v>
      </c>
    </row>
    <row r="9" spans="1:6" x14ac:dyDescent="0.35">
      <c r="A9" s="44" t="s">
        <v>192</v>
      </c>
      <c r="B9" s="13">
        <v>1264</v>
      </c>
      <c r="C9" s="13" t="s">
        <v>113</v>
      </c>
      <c r="D9" s="14">
        <v>140000</v>
      </c>
      <c r="E9" s="14">
        <f>SUM(E8+D9)</f>
        <v>150000</v>
      </c>
      <c r="F9" s="45">
        <f>F8-D9</f>
        <v>450000</v>
      </c>
    </row>
    <row r="10" spans="1:6" x14ac:dyDescent="0.35">
      <c r="A10" s="44" t="s">
        <v>193</v>
      </c>
      <c r="B10" s="13">
        <v>2398</v>
      </c>
      <c r="C10" s="13" t="s">
        <v>52</v>
      </c>
      <c r="D10" s="14">
        <v>20000</v>
      </c>
      <c r="E10" s="14">
        <f t="shared" ref="E10:E39" si="0">SUM(E9+D10)</f>
        <v>170000</v>
      </c>
      <c r="F10" s="45">
        <f t="shared" ref="F10:F39" si="1">F9-D10</f>
        <v>430000</v>
      </c>
    </row>
    <row r="11" spans="1:6" x14ac:dyDescent="0.35">
      <c r="A11" s="44" t="s">
        <v>194</v>
      </c>
      <c r="B11" s="13">
        <v>1193</v>
      </c>
      <c r="C11" s="13" t="s">
        <v>52</v>
      </c>
      <c r="D11" s="14">
        <v>10000</v>
      </c>
      <c r="E11" s="14">
        <f t="shared" si="0"/>
        <v>180000</v>
      </c>
      <c r="F11" s="45">
        <f t="shared" si="1"/>
        <v>420000</v>
      </c>
    </row>
    <row r="12" spans="1:6" x14ac:dyDescent="0.35">
      <c r="A12" s="37">
        <v>45235</v>
      </c>
      <c r="B12" s="13">
        <v>800</v>
      </c>
      <c r="C12" s="13" t="s">
        <v>52</v>
      </c>
      <c r="D12" s="14">
        <v>10000</v>
      </c>
      <c r="E12" s="14">
        <f t="shared" si="0"/>
        <v>190000</v>
      </c>
      <c r="F12" s="45">
        <f t="shared" si="1"/>
        <v>410000</v>
      </c>
    </row>
    <row r="13" spans="1:6" x14ac:dyDescent="0.35">
      <c r="A13" s="37">
        <v>45266</v>
      </c>
      <c r="B13" s="13">
        <v>505</v>
      </c>
      <c r="C13" s="13" t="s">
        <v>52</v>
      </c>
      <c r="D13" s="14">
        <v>10000</v>
      </c>
      <c r="E13" s="14">
        <f t="shared" si="0"/>
        <v>200000</v>
      </c>
      <c r="F13" s="45">
        <f t="shared" si="1"/>
        <v>400000</v>
      </c>
    </row>
    <row r="14" spans="1:6" x14ac:dyDescent="0.35">
      <c r="A14" s="44" t="s">
        <v>195</v>
      </c>
      <c r="B14" s="13">
        <v>3909</v>
      </c>
      <c r="C14" s="13" t="s">
        <v>52</v>
      </c>
      <c r="D14" s="14">
        <v>20000</v>
      </c>
      <c r="E14" s="14">
        <f t="shared" si="0"/>
        <v>220000</v>
      </c>
      <c r="F14" s="45">
        <f t="shared" si="1"/>
        <v>380000</v>
      </c>
    </row>
    <row r="15" spans="1:6" x14ac:dyDescent="0.35">
      <c r="A15" s="44" t="s">
        <v>196</v>
      </c>
      <c r="B15" s="13">
        <v>5184</v>
      </c>
      <c r="C15" s="13" t="s">
        <v>52</v>
      </c>
      <c r="D15" s="14">
        <v>50000</v>
      </c>
      <c r="E15" s="14">
        <f t="shared" si="0"/>
        <v>270000</v>
      </c>
      <c r="F15" s="45">
        <f t="shared" si="1"/>
        <v>330000</v>
      </c>
    </row>
    <row r="16" spans="1:6" x14ac:dyDescent="0.35">
      <c r="A16" s="37">
        <v>44997</v>
      </c>
      <c r="B16" s="13">
        <v>5367</v>
      </c>
      <c r="C16" s="13" t="s">
        <v>52</v>
      </c>
      <c r="D16" s="14">
        <v>15000</v>
      </c>
      <c r="E16" s="14">
        <f t="shared" si="0"/>
        <v>285000</v>
      </c>
      <c r="F16" s="45">
        <f t="shared" si="1"/>
        <v>315000</v>
      </c>
    </row>
    <row r="17" spans="1:6" x14ac:dyDescent="0.35">
      <c r="A17" s="44" t="s">
        <v>197</v>
      </c>
      <c r="B17" s="13">
        <v>8385</v>
      </c>
      <c r="C17" s="13" t="s">
        <v>52</v>
      </c>
      <c r="D17" s="14">
        <v>10000</v>
      </c>
      <c r="E17" s="14">
        <f t="shared" si="0"/>
        <v>295000</v>
      </c>
      <c r="F17" s="45">
        <f t="shared" si="1"/>
        <v>305000</v>
      </c>
    </row>
    <row r="18" spans="1:6" x14ac:dyDescent="0.35">
      <c r="A18" s="44" t="s">
        <v>198</v>
      </c>
      <c r="B18" s="13">
        <v>6614</v>
      </c>
      <c r="C18" s="13" t="s">
        <v>52</v>
      </c>
      <c r="D18" s="14">
        <v>10000</v>
      </c>
      <c r="E18" s="14">
        <f t="shared" si="0"/>
        <v>305000</v>
      </c>
      <c r="F18" s="45">
        <f t="shared" si="1"/>
        <v>295000</v>
      </c>
    </row>
    <row r="19" spans="1:6" x14ac:dyDescent="0.35">
      <c r="A19" s="44" t="s">
        <v>199</v>
      </c>
      <c r="B19" s="13">
        <v>7462</v>
      </c>
      <c r="C19" s="13" t="s">
        <v>52</v>
      </c>
      <c r="D19" s="14">
        <v>10000</v>
      </c>
      <c r="E19" s="14">
        <f t="shared" si="0"/>
        <v>315000</v>
      </c>
      <c r="F19" s="45">
        <f t="shared" si="1"/>
        <v>285000</v>
      </c>
    </row>
    <row r="20" spans="1:6" x14ac:dyDescent="0.35">
      <c r="A20" s="44" t="s">
        <v>200</v>
      </c>
      <c r="B20" s="13">
        <v>8050</v>
      </c>
      <c r="C20" s="13" t="s">
        <v>52</v>
      </c>
      <c r="D20" s="14">
        <v>10000</v>
      </c>
      <c r="E20" s="14">
        <f t="shared" si="0"/>
        <v>325000</v>
      </c>
      <c r="F20" s="45">
        <f t="shared" si="1"/>
        <v>275000</v>
      </c>
    </row>
    <row r="21" spans="1:6" x14ac:dyDescent="0.35">
      <c r="A21" s="44" t="s">
        <v>28</v>
      </c>
      <c r="B21" s="13">
        <v>8526</v>
      </c>
      <c r="C21" s="13" t="s">
        <v>52</v>
      </c>
      <c r="D21" s="14">
        <v>10000</v>
      </c>
      <c r="E21" s="14">
        <f t="shared" si="0"/>
        <v>335000</v>
      </c>
      <c r="F21" s="45">
        <f t="shared" si="1"/>
        <v>265000</v>
      </c>
    </row>
    <row r="22" spans="1:6" x14ac:dyDescent="0.35">
      <c r="A22" s="44" t="s">
        <v>201</v>
      </c>
      <c r="B22" s="13">
        <v>9249</v>
      </c>
      <c r="C22" s="13" t="s">
        <v>52</v>
      </c>
      <c r="D22" s="14">
        <v>10000</v>
      </c>
      <c r="E22" s="14">
        <f t="shared" si="0"/>
        <v>345000</v>
      </c>
      <c r="F22" s="45">
        <f t="shared" si="1"/>
        <v>255000</v>
      </c>
    </row>
    <row r="23" spans="1:6" x14ac:dyDescent="0.35">
      <c r="A23" s="44" t="s">
        <v>202</v>
      </c>
      <c r="B23" s="13">
        <v>11152</v>
      </c>
      <c r="C23" s="13" t="s">
        <v>52</v>
      </c>
      <c r="D23" s="14">
        <v>20000</v>
      </c>
      <c r="E23" s="14">
        <f t="shared" si="0"/>
        <v>365000</v>
      </c>
      <c r="F23" s="45">
        <f t="shared" si="1"/>
        <v>235000</v>
      </c>
    </row>
    <row r="24" spans="1:6" x14ac:dyDescent="0.35">
      <c r="A24" s="44" t="s">
        <v>182</v>
      </c>
      <c r="B24" s="13">
        <v>10841</v>
      </c>
      <c r="C24" s="13" t="s">
        <v>52</v>
      </c>
      <c r="D24" s="14">
        <v>10000</v>
      </c>
      <c r="E24" s="14">
        <f t="shared" si="0"/>
        <v>375000</v>
      </c>
      <c r="F24" s="45">
        <f t="shared" si="1"/>
        <v>225000</v>
      </c>
    </row>
    <row r="25" spans="1:6" x14ac:dyDescent="0.35">
      <c r="A25" s="44" t="s">
        <v>203</v>
      </c>
      <c r="B25" s="13">
        <v>10206</v>
      </c>
      <c r="C25" s="13" t="s">
        <v>52</v>
      </c>
      <c r="D25" s="14">
        <v>10000</v>
      </c>
      <c r="E25" s="14">
        <f t="shared" si="0"/>
        <v>385000</v>
      </c>
      <c r="F25" s="45">
        <f t="shared" si="1"/>
        <v>215000</v>
      </c>
    </row>
    <row r="26" spans="1:6" x14ac:dyDescent="0.35">
      <c r="A26" s="44" t="s">
        <v>204</v>
      </c>
      <c r="B26" s="13">
        <v>12660</v>
      </c>
      <c r="C26" s="13" t="s">
        <v>52</v>
      </c>
      <c r="D26" s="14">
        <v>20000</v>
      </c>
      <c r="E26" s="14">
        <f t="shared" si="0"/>
        <v>405000</v>
      </c>
      <c r="F26" s="45">
        <f t="shared" si="1"/>
        <v>195000</v>
      </c>
    </row>
    <row r="27" spans="1:6" x14ac:dyDescent="0.35">
      <c r="A27" s="44" t="s">
        <v>205</v>
      </c>
      <c r="B27" s="13">
        <v>9034</v>
      </c>
      <c r="C27" s="13" t="s">
        <v>52</v>
      </c>
      <c r="D27" s="14">
        <v>10000</v>
      </c>
      <c r="E27" s="14">
        <f t="shared" si="0"/>
        <v>415000</v>
      </c>
      <c r="F27" s="45">
        <f t="shared" si="1"/>
        <v>185000</v>
      </c>
    </row>
    <row r="28" spans="1:6" x14ac:dyDescent="0.35">
      <c r="A28" s="37">
        <v>45872</v>
      </c>
      <c r="B28" s="13">
        <v>9642</v>
      </c>
      <c r="C28" s="13" t="s">
        <v>52</v>
      </c>
      <c r="D28" s="14">
        <v>10000</v>
      </c>
      <c r="E28" s="14">
        <f t="shared" si="0"/>
        <v>425000</v>
      </c>
      <c r="F28" s="45">
        <f t="shared" si="1"/>
        <v>175000</v>
      </c>
    </row>
    <row r="29" spans="1:6" x14ac:dyDescent="0.35">
      <c r="A29" s="44" t="s">
        <v>206</v>
      </c>
      <c r="B29" s="13">
        <v>10199</v>
      </c>
      <c r="C29" s="13" t="s">
        <v>52</v>
      </c>
      <c r="D29" s="14">
        <v>10000</v>
      </c>
      <c r="E29" s="14">
        <f t="shared" si="0"/>
        <v>435000</v>
      </c>
      <c r="F29" s="45">
        <f t="shared" si="1"/>
        <v>165000</v>
      </c>
    </row>
    <row r="30" spans="1:6" x14ac:dyDescent="0.35">
      <c r="A30" s="44" t="s">
        <v>207</v>
      </c>
      <c r="B30" s="13">
        <v>10649</v>
      </c>
      <c r="C30" s="13" t="s">
        <v>52</v>
      </c>
      <c r="D30" s="14">
        <v>10000</v>
      </c>
      <c r="E30" s="14">
        <f t="shared" si="0"/>
        <v>445000</v>
      </c>
      <c r="F30" s="45">
        <f t="shared" si="1"/>
        <v>155000</v>
      </c>
    </row>
    <row r="31" spans="1:6" x14ac:dyDescent="0.35">
      <c r="A31" s="44" t="s">
        <v>208</v>
      </c>
      <c r="B31" s="13">
        <v>9908</v>
      </c>
      <c r="C31" s="13" t="s">
        <v>52</v>
      </c>
      <c r="D31" s="14">
        <v>10000</v>
      </c>
      <c r="E31" s="14">
        <f t="shared" si="0"/>
        <v>455000</v>
      </c>
      <c r="F31" s="45">
        <f t="shared" si="1"/>
        <v>145000</v>
      </c>
    </row>
    <row r="32" spans="1:6" x14ac:dyDescent="0.35">
      <c r="A32" s="37">
        <v>45998</v>
      </c>
      <c r="B32" s="13">
        <v>12153</v>
      </c>
      <c r="C32" s="13" t="s">
        <v>52</v>
      </c>
      <c r="D32" s="14">
        <v>10000</v>
      </c>
      <c r="E32" s="14">
        <f t="shared" si="0"/>
        <v>465000</v>
      </c>
      <c r="F32" s="45">
        <f t="shared" si="1"/>
        <v>135000</v>
      </c>
    </row>
    <row r="33" spans="1:6" x14ac:dyDescent="0.35">
      <c r="A33" s="37">
        <v>45971</v>
      </c>
      <c r="B33" s="13">
        <v>13747</v>
      </c>
      <c r="C33" s="13" t="s">
        <v>52</v>
      </c>
      <c r="D33" s="14">
        <v>10000</v>
      </c>
      <c r="E33" s="14">
        <f t="shared" si="0"/>
        <v>475000</v>
      </c>
      <c r="F33" s="45">
        <f t="shared" si="1"/>
        <v>125000</v>
      </c>
    </row>
    <row r="34" spans="1:6" x14ac:dyDescent="0.35">
      <c r="A34" s="37">
        <v>45971</v>
      </c>
      <c r="B34" s="13">
        <v>13747</v>
      </c>
      <c r="C34" s="13" t="s">
        <v>52</v>
      </c>
      <c r="D34" s="14">
        <v>10000</v>
      </c>
      <c r="E34" s="14">
        <f t="shared" si="0"/>
        <v>485000</v>
      </c>
      <c r="F34" s="45">
        <f t="shared" si="1"/>
        <v>115000</v>
      </c>
    </row>
    <row r="35" spans="1:6" x14ac:dyDescent="0.35">
      <c r="A35" s="37">
        <v>46002</v>
      </c>
      <c r="B35" s="13">
        <v>13346</v>
      </c>
      <c r="C35" s="13" t="s">
        <v>52</v>
      </c>
      <c r="D35" s="14">
        <v>10000</v>
      </c>
      <c r="E35" s="14">
        <f t="shared" si="0"/>
        <v>495000</v>
      </c>
      <c r="F35" s="45">
        <f t="shared" si="1"/>
        <v>105000</v>
      </c>
    </row>
    <row r="36" spans="1:6" x14ac:dyDescent="0.35">
      <c r="A36" s="44" t="s">
        <v>209</v>
      </c>
      <c r="B36" s="13">
        <v>12655</v>
      </c>
      <c r="C36" s="13" t="s">
        <v>52</v>
      </c>
      <c r="D36" s="14">
        <v>10000</v>
      </c>
      <c r="E36" s="14">
        <f t="shared" si="0"/>
        <v>505000</v>
      </c>
      <c r="F36" s="45">
        <f t="shared" si="1"/>
        <v>95000</v>
      </c>
    </row>
    <row r="37" spans="1:6" x14ac:dyDescent="0.35">
      <c r="A37" s="44" t="s">
        <v>210</v>
      </c>
      <c r="B37" s="13">
        <v>12159</v>
      </c>
      <c r="C37" s="13" t="s">
        <v>52</v>
      </c>
      <c r="D37" s="14">
        <v>10000</v>
      </c>
      <c r="E37" s="14">
        <f t="shared" si="0"/>
        <v>515000</v>
      </c>
      <c r="F37" s="45">
        <f t="shared" si="1"/>
        <v>85000</v>
      </c>
    </row>
    <row r="38" spans="1:6" x14ac:dyDescent="0.35">
      <c r="A38" s="44" t="s">
        <v>186</v>
      </c>
      <c r="B38" s="13">
        <v>12492</v>
      </c>
      <c r="C38" s="13" t="s">
        <v>52</v>
      </c>
      <c r="D38" s="14">
        <v>10000</v>
      </c>
      <c r="E38" s="14">
        <f t="shared" si="0"/>
        <v>525000</v>
      </c>
      <c r="F38" s="45">
        <f t="shared" si="1"/>
        <v>75000</v>
      </c>
    </row>
    <row r="39" spans="1:6" x14ac:dyDescent="0.35">
      <c r="A39" s="67" t="s">
        <v>220</v>
      </c>
      <c r="B39" s="47">
        <v>12881</v>
      </c>
      <c r="C39" s="47" t="s">
        <v>52</v>
      </c>
      <c r="D39" s="48">
        <v>10000</v>
      </c>
      <c r="E39" s="48">
        <f t="shared" si="0"/>
        <v>535000</v>
      </c>
      <c r="F39" s="49">
        <f t="shared" si="1"/>
        <v>65000</v>
      </c>
    </row>
    <row r="40" spans="1:6" x14ac:dyDescent="0.35">
      <c r="A40" s="67" t="s">
        <v>369</v>
      </c>
      <c r="B40" s="47">
        <v>13007</v>
      </c>
      <c r="C40" s="47" t="s">
        <v>52</v>
      </c>
      <c r="D40" s="48">
        <v>10000</v>
      </c>
      <c r="E40" s="48">
        <f>SUM(E39+D40)</f>
        <v>545000</v>
      </c>
      <c r="F40" s="49">
        <f>F39-D40</f>
        <v>55000</v>
      </c>
    </row>
    <row r="41" spans="1:6" x14ac:dyDescent="0.35">
      <c r="A41" s="67" t="s">
        <v>481</v>
      </c>
      <c r="B41" s="47">
        <v>13381</v>
      </c>
      <c r="C41" s="47" t="s">
        <v>52</v>
      </c>
      <c r="D41" s="48">
        <v>5000</v>
      </c>
      <c r="E41" s="48">
        <f>SUM(E40+D41)</f>
        <v>550000</v>
      </c>
      <c r="F41" s="49">
        <f>F40-D41</f>
        <v>50000</v>
      </c>
    </row>
    <row r="42" spans="1:6" x14ac:dyDescent="0.35">
      <c r="A42" s="13" t="s">
        <v>504</v>
      </c>
      <c r="B42" s="13">
        <v>13608</v>
      </c>
      <c r="C42" s="13" t="s">
        <v>52</v>
      </c>
      <c r="D42" s="14">
        <v>10000</v>
      </c>
      <c r="E42" s="14">
        <f>E41+D42</f>
        <v>560000</v>
      </c>
      <c r="F42" s="14">
        <f>F41-D42</f>
        <v>40000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29" workbookViewId="0">
      <selection activeCell="C12" sqref="C12"/>
    </sheetView>
  </sheetViews>
  <sheetFormatPr defaultRowHeight="14.5" x14ac:dyDescent="0.35"/>
  <cols>
    <col min="1" max="1" width="9.453125" bestFit="1" customWidth="1"/>
    <col min="2" max="2" width="11.54296875" customWidth="1"/>
    <col min="3" max="3" width="13.453125" customWidth="1"/>
    <col min="4" max="4" width="16.90625" customWidth="1"/>
    <col min="5" max="5" width="15.7265625" customWidth="1"/>
    <col min="6" max="6" width="13.54296875" customWidth="1"/>
    <col min="7" max="7" width="10.36328125" customWidth="1"/>
  </cols>
  <sheetData>
    <row r="1" spans="1:7" ht="18.5" x14ac:dyDescent="0.45">
      <c r="A1" s="1" t="s">
        <v>698</v>
      </c>
      <c r="B1" s="1"/>
      <c r="C1" s="1"/>
      <c r="D1" s="1"/>
      <c r="E1" s="1"/>
    </row>
    <row r="2" spans="1:7" ht="18.5" x14ac:dyDescent="0.45">
      <c r="A2" s="1" t="s">
        <v>699</v>
      </c>
      <c r="C2" s="1"/>
      <c r="D2" s="1"/>
      <c r="E2" s="1"/>
    </row>
    <row r="3" spans="1:7" ht="18.5" x14ac:dyDescent="0.45">
      <c r="A3" s="1" t="s">
        <v>700</v>
      </c>
      <c r="B3" s="1"/>
      <c r="C3" s="1"/>
      <c r="D3" s="1"/>
      <c r="E3" s="1"/>
    </row>
    <row r="4" spans="1:7" ht="18.5" x14ac:dyDescent="0.45">
      <c r="A4" s="1" t="s">
        <v>702</v>
      </c>
      <c r="B4" s="1"/>
      <c r="C4" s="1"/>
      <c r="D4" s="1"/>
      <c r="E4" s="1"/>
    </row>
    <row r="5" spans="1:7" ht="18.5" x14ac:dyDescent="0.45">
      <c r="A5" s="1" t="s">
        <v>189</v>
      </c>
      <c r="B5" s="1"/>
      <c r="C5" s="1"/>
      <c r="D5" s="1"/>
      <c r="E5" s="1"/>
    </row>
    <row r="6" spans="1:7" ht="18.5" x14ac:dyDescent="0.45">
      <c r="A6" s="1" t="s">
        <v>701</v>
      </c>
      <c r="B6" s="1"/>
      <c r="C6" s="1"/>
      <c r="D6" s="1" t="s">
        <v>13</v>
      </c>
    </row>
    <row r="7" spans="1:7" x14ac:dyDescent="0.35">
      <c r="A7" s="102" t="s">
        <v>686</v>
      </c>
      <c r="B7" s="102" t="s">
        <v>687</v>
      </c>
      <c r="C7" s="102" t="s">
        <v>688</v>
      </c>
      <c r="D7" s="102" t="s">
        <v>689</v>
      </c>
      <c r="E7" s="102" t="s">
        <v>690</v>
      </c>
      <c r="F7" s="103" t="s">
        <v>691</v>
      </c>
      <c r="G7" s="104"/>
    </row>
    <row r="8" spans="1:7" x14ac:dyDescent="0.35">
      <c r="A8" s="113" t="s">
        <v>703</v>
      </c>
      <c r="B8" s="113">
        <v>34</v>
      </c>
      <c r="C8" s="113" t="s">
        <v>15</v>
      </c>
      <c r="D8" s="114">
        <v>40000</v>
      </c>
      <c r="E8" s="114">
        <v>100000</v>
      </c>
      <c r="F8" s="115">
        <v>540000</v>
      </c>
      <c r="G8" s="105"/>
    </row>
    <row r="9" spans="1:7" x14ac:dyDescent="0.35">
      <c r="A9" s="113" t="s">
        <v>704</v>
      </c>
      <c r="B9" s="113">
        <v>1265</v>
      </c>
      <c r="C9" s="113" t="s">
        <v>692</v>
      </c>
      <c r="D9" s="114">
        <v>10000</v>
      </c>
      <c r="E9" s="114">
        <v>120000</v>
      </c>
      <c r="F9" s="115">
        <v>420000</v>
      </c>
      <c r="G9" s="105"/>
    </row>
    <row r="10" spans="1:7" x14ac:dyDescent="0.35">
      <c r="A10" s="113" t="s">
        <v>693</v>
      </c>
      <c r="B10" s="113">
        <v>2399</v>
      </c>
      <c r="C10" s="113" t="s">
        <v>342</v>
      </c>
      <c r="D10" s="114">
        <v>10000</v>
      </c>
      <c r="E10" s="114">
        <v>140000</v>
      </c>
      <c r="F10" s="115">
        <v>420000</v>
      </c>
      <c r="G10" s="105"/>
    </row>
    <row r="11" spans="1:7" x14ac:dyDescent="0.35">
      <c r="A11" s="113" t="s">
        <v>694</v>
      </c>
      <c r="B11" s="113">
        <v>13228</v>
      </c>
      <c r="C11" s="113" t="s">
        <v>342</v>
      </c>
      <c r="D11" s="114">
        <v>35000</v>
      </c>
      <c r="E11" s="114">
        <v>175000</v>
      </c>
      <c r="F11" s="115">
        <v>325000</v>
      </c>
      <c r="G11" s="105"/>
    </row>
    <row r="12" spans="1:7" x14ac:dyDescent="0.35">
      <c r="A12" s="113" t="s">
        <v>695</v>
      </c>
      <c r="B12" s="113">
        <v>3734</v>
      </c>
      <c r="C12" s="113" t="s">
        <v>342</v>
      </c>
      <c r="D12" s="114">
        <v>5000</v>
      </c>
      <c r="E12" s="114">
        <v>180000</v>
      </c>
      <c r="F12" s="115">
        <v>320000</v>
      </c>
      <c r="G12" s="105"/>
    </row>
    <row r="13" spans="1:7" x14ac:dyDescent="0.35">
      <c r="A13" s="113" t="s">
        <v>696</v>
      </c>
      <c r="B13" s="113">
        <v>4344</v>
      </c>
      <c r="C13" s="113" t="s">
        <v>342</v>
      </c>
      <c r="D13" s="114">
        <v>10000</v>
      </c>
      <c r="E13" s="114">
        <v>200000</v>
      </c>
      <c r="F13" s="115">
        <v>350000</v>
      </c>
      <c r="G13" s="105"/>
    </row>
    <row r="14" spans="1:7" x14ac:dyDescent="0.35">
      <c r="A14" s="116">
        <v>44938</v>
      </c>
      <c r="B14" s="113">
        <v>5227</v>
      </c>
      <c r="C14" s="113" t="s">
        <v>342</v>
      </c>
      <c r="D14" s="114">
        <v>10000</v>
      </c>
      <c r="E14" s="114">
        <v>210000</v>
      </c>
      <c r="F14" s="115">
        <v>340000</v>
      </c>
      <c r="G14" s="105"/>
    </row>
    <row r="15" spans="1:7" x14ac:dyDescent="0.35">
      <c r="A15" s="116">
        <v>45323</v>
      </c>
      <c r="B15" s="113">
        <v>5891</v>
      </c>
      <c r="C15" s="113" t="s">
        <v>342</v>
      </c>
      <c r="D15" s="114">
        <v>10000</v>
      </c>
      <c r="E15" s="114">
        <v>220000</v>
      </c>
      <c r="F15" s="115">
        <v>330000</v>
      </c>
      <c r="G15" s="105"/>
    </row>
    <row r="16" spans="1:7" x14ac:dyDescent="0.35">
      <c r="A16" s="116">
        <v>45567</v>
      </c>
      <c r="B16" s="113">
        <v>7019</v>
      </c>
      <c r="C16" s="113" t="s">
        <v>342</v>
      </c>
      <c r="D16" s="114">
        <v>10000</v>
      </c>
      <c r="E16" s="114">
        <v>230000</v>
      </c>
      <c r="F16" s="115">
        <v>320000</v>
      </c>
      <c r="G16" s="105"/>
    </row>
    <row r="17" spans="1:7" x14ac:dyDescent="0.35">
      <c r="A17" s="116">
        <v>45476</v>
      </c>
      <c r="B17" s="113">
        <v>6918</v>
      </c>
      <c r="C17" s="113" t="s">
        <v>342</v>
      </c>
      <c r="D17" s="114">
        <v>10000</v>
      </c>
      <c r="E17" s="114">
        <v>240000</v>
      </c>
      <c r="F17" s="115">
        <v>310000</v>
      </c>
      <c r="G17" s="105"/>
    </row>
    <row r="18" spans="1:7" x14ac:dyDescent="0.35">
      <c r="A18" s="113" t="s">
        <v>697</v>
      </c>
      <c r="B18" s="113">
        <v>7886</v>
      </c>
      <c r="C18" s="113" t="s">
        <v>342</v>
      </c>
      <c r="D18" s="114">
        <v>10000</v>
      </c>
      <c r="E18" s="114">
        <v>250000</v>
      </c>
      <c r="F18" s="115">
        <v>300000</v>
      </c>
      <c r="G18" s="105"/>
    </row>
    <row r="19" spans="1:7" x14ac:dyDescent="0.35">
      <c r="A19" s="117" t="s">
        <v>775</v>
      </c>
      <c r="B19" s="117">
        <v>8519</v>
      </c>
      <c r="C19" s="117" t="s">
        <v>342</v>
      </c>
      <c r="D19" s="118" t="s">
        <v>705</v>
      </c>
      <c r="E19" s="118" t="s">
        <v>706</v>
      </c>
      <c r="F19" s="118" t="s">
        <v>706</v>
      </c>
      <c r="G19" s="105"/>
    </row>
    <row r="20" spans="1:7" x14ac:dyDescent="0.35">
      <c r="A20" s="119">
        <v>45602</v>
      </c>
      <c r="B20" s="117">
        <v>9006</v>
      </c>
      <c r="C20" s="117" t="s">
        <v>342</v>
      </c>
      <c r="D20" s="118" t="s">
        <v>705</v>
      </c>
      <c r="E20" s="118" t="s">
        <v>707</v>
      </c>
      <c r="F20" s="118" t="s">
        <v>708</v>
      </c>
    </row>
    <row r="21" spans="1:7" x14ac:dyDescent="0.35">
      <c r="A21" s="117" t="s">
        <v>709</v>
      </c>
      <c r="B21" s="117">
        <v>10467</v>
      </c>
      <c r="C21" s="117" t="s">
        <v>342</v>
      </c>
      <c r="D21" s="118" t="s">
        <v>705</v>
      </c>
      <c r="E21" s="118" t="s">
        <v>710</v>
      </c>
      <c r="F21" s="118" t="s">
        <v>711</v>
      </c>
    </row>
    <row r="22" spans="1:7" x14ac:dyDescent="0.35">
      <c r="A22" s="117" t="s">
        <v>712</v>
      </c>
      <c r="B22" s="117">
        <v>10815</v>
      </c>
      <c r="C22" s="117" t="s">
        <v>342</v>
      </c>
      <c r="D22" s="118" t="s">
        <v>705</v>
      </c>
      <c r="E22" s="118" t="s">
        <v>713</v>
      </c>
      <c r="F22" s="118" t="s">
        <v>714</v>
      </c>
    </row>
    <row r="23" spans="1:7" x14ac:dyDescent="0.35">
      <c r="A23" s="117" t="s">
        <v>715</v>
      </c>
      <c r="B23" s="117">
        <v>10350</v>
      </c>
      <c r="C23" s="117" t="s">
        <v>342</v>
      </c>
      <c r="D23" s="118" t="s">
        <v>705</v>
      </c>
      <c r="E23" s="118" t="s">
        <v>714</v>
      </c>
      <c r="F23" s="118" t="s">
        <v>713</v>
      </c>
    </row>
    <row r="24" spans="1:7" x14ac:dyDescent="0.35">
      <c r="A24" s="117" t="s">
        <v>716</v>
      </c>
      <c r="B24" s="117">
        <v>12475</v>
      </c>
      <c r="C24" s="117" t="s">
        <v>342</v>
      </c>
      <c r="D24" s="118" t="s">
        <v>705</v>
      </c>
      <c r="E24" s="118" t="s">
        <v>711</v>
      </c>
      <c r="F24" s="118" t="s">
        <v>710</v>
      </c>
    </row>
    <row r="25" spans="1:7" x14ac:dyDescent="0.35">
      <c r="A25" s="117" t="s">
        <v>776</v>
      </c>
      <c r="B25" s="117" t="s">
        <v>717</v>
      </c>
      <c r="C25" s="117" t="s">
        <v>342</v>
      </c>
      <c r="D25" s="118" t="s">
        <v>705</v>
      </c>
      <c r="E25" s="118" t="s">
        <v>718</v>
      </c>
      <c r="F25" s="118" t="s">
        <v>707</v>
      </c>
    </row>
    <row r="26" spans="1:7" x14ac:dyDescent="0.35">
      <c r="A26" s="117" t="s">
        <v>719</v>
      </c>
      <c r="B26" s="117">
        <v>9496</v>
      </c>
      <c r="C26" s="117" t="s">
        <v>342</v>
      </c>
      <c r="D26" s="118" t="s">
        <v>705</v>
      </c>
      <c r="E26" s="118" t="s">
        <v>720</v>
      </c>
      <c r="F26" s="118" t="s">
        <v>706</v>
      </c>
    </row>
    <row r="27" spans="1:7" x14ac:dyDescent="0.35">
      <c r="A27" s="117" t="s">
        <v>721</v>
      </c>
      <c r="B27" s="117" t="s">
        <v>722</v>
      </c>
      <c r="C27" s="117" t="s">
        <v>342</v>
      </c>
      <c r="D27" s="118" t="s">
        <v>705</v>
      </c>
      <c r="E27" s="118" t="s">
        <v>723</v>
      </c>
      <c r="F27" s="118" t="s">
        <v>708</v>
      </c>
    </row>
    <row r="28" spans="1:7" x14ac:dyDescent="0.35">
      <c r="A28" s="117" t="s">
        <v>724</v>
      </c>
      <c r="B28" s="117">
        <v>1028</v>
      </c>
      <c r="C28" s="117" t="s">
        <v>342</v>
      </c>
      <c r="D28" s="118" t="s">
        <v>705</v>
      </c>
      <c r="E28" s="118" t="s">
        <v>725</v>
      </c>
      <c r="F28" s="118" t="s">
        <v>726</v>
      </c>
    </row>
    <row r="29" spans="1:7" x14ac:dyDescent="0.35">
      <c r="A29" s="117" t="s">
        <v>727</v>
      </c>
      <c r="B29" s="117" t="s">
        <v>728</v>
      </c>
      <c r="C29" s="117" t="s">
        <v>342</v>
      </c>
      <c r="D29" s="118" t="s">
        <v>705</v>
      </c>
      <c r="E29" s="118" t="s">
        <v>729</v>
      </c>
      <c r="F29" s="118" t="s">
        <v>730</v>
      </c>
    </row>
    <row r="30" spans="1:7" x14ac:dyDescent="0.35">
      <c r="A30" s="117" t="s">
        <v>731</v>
      </c>
      <c r="B30" s="117" t="s">
        <v>732</v>
      </c>
      <c r="C30" s="117" t="s">
        <v>342</v>
      </c>
      <c r="D30" s="118" t="s">
        <v>705</v>
      </c>
      <c r="E30" s="118" t="s">
        <v>733</v>
      </c>
      <c r="F30" s="118" t="s">
        <v>734</v>
      </c>
    </row>
    <row r="31" spans="1:7" x14ac:dyDescent="0.35">
      <c r="A31" s="117" t="s">
        <v>735</v>
      </c>
      <c r="B31" s="117" t="s">
        <v>736</v>
      </c>
      <c r="C31" s="117" t="s">
        <v>342</v>
      </c>
      <c r="D31" s="118" t="s">
        <v>705</v>
      </c>
      <c r="E31" s="118" t="s">
        <v>737</v>
      </c>
      <c r="F31" s="118" t="s">
        <v>738</v>
      </c>
    </row>
    <row r="32" spans="1:7" x14ac:dyDescent="0.35">
      <c r="A32" s="117" t="s">
        <v>739</v>
      </c>
      <c r="B32" s="117" t="s">
        <v>740</v>
      </c>
      <c r="C32" s="117" t="s">
        <v>342</v>
      </c>
      <c r="D32" s="118" t="s">
        <v>705</v>
      </c>
      <c r="E32" s="118" t="s">
        <v>741</v>
      </c>
      <c r="F32" s="118" t="s">
        <v>742</v>
      </c>
    </row>
    <row r="33" spans="1:6" x14ac:dyDescent="0.35">
      <c r="A33" s="117" t="s">
        <v>743</v>
      </c>
      <c r="B33" s="117" t="s">
        <v>744</v>
      </c>
      <c r="C33" s="117" t="s">
        <v>342</v>
      </c>
      <c r="D33" s="118" t="s">
        <v>705</v>
      </c>
      <c r="E33" s="118" t="s">
        <v>745</v>
      </c>
      <c r="F33" s="118" t="s">
        <v>746</v>
      </c>
    </row>
    <row r="34" spans="1:6" x14ac:dyDescent="0.35">
      <c r="A34" s="117" t="s">
        <v>747</v>
      </c>
      <c r="B34" s="117" t="s">
        <v>748</v>
      </c>
      <c r="C34" s="117" t="s">
        <v>342</v>
      </c>
      <c r="D34" s="118" t="s">
        <v>705</v>
      </c>
      <c r="E34" s="118" t="s">
        <v>749</v>
      </c>
      <c r="F34" s="118" t="s">
        <v>746</v>
      </c>
    </row>
    <row r="35" spans="1:6" x14ac:dyDescent="0.35">
      <c r="A35" s="117" t="s">
        <v>750</v>
      </c>
      <c r="B35" s="117" t="s">
        <v>751</v>
      </c>
      <c r="C35" s="117" t="s">
        <v>342</v>
      </c>
      <c r="D35" s="118" t="s">
        <v>705</v>
      </c>
      <c r="E35" s="118" t="s">
        <v>752</v>
      </c>
      <c r="F35" s="118" t="s">
        <v>753</v>
      </c>
    </row>
    <row r="36" spans="1:6" x14ac:dyDescent="0.35">
      <c r="A36" s="117" t="s">
        <v>754</v>
      </c>
      <c r="B36" s="117">
        <v>12243</v>
      </c>
      <c r="C36" s="117" t="s">
        <v>342</v>
      </c>
      <c r="D36" s="118" t="s">
        <v>705</v>
      </c>
      <c r="E36" s="118" t="s">
        <v>755</v>
      </c>
      <c r="F36" s="118" t="s">
        <v>729</v>
      </c>
    </row>
    <row r="37" spans="1:6" x14ac:dyDescent="0.35">
      <c r="A37" s="117" t="s">
        <v>756</v>
      </c>
      <c r="B37" s="117" t="s">
        <v>757</v>
      </c>
      <c r="C37" s="117" t="s">
        <v>342</v>
      </c>
      <c r="D37" s="118" t="s">
        <v>705</v>
      </c>
      <c r="E37" s="118" t="s">
        <v>758</v>
      </c>
      <c r="F37" s="118" t="s">
        <v>759</v>
      </c>
    </row>
    <row r="38" spans="1:6" x14ac:dyDescent="0.35">
      <c r="A38" s="117" t="s">
        <v>760</v>
      </c>
      <c r="B38" s="117" t="s">
        <v>761</v>
      </c>
      <c r="C38" s="117" t="s">
        <v>342</v>
      </c>
      <c r="D38" s="118" t="s">
        <v>705</v>
      </c>
      <c r="E38" s="118" t="s">
        <v>762</v>
      </c>
      <c r="F38" s="118" t="s">
        <v>763</v>
      </c>
    </row>
    <row r="39" spans="1:6" x14ac:dyDescent="0.35">
      <c r="A39" s="117" t="s">
        <v>764</v>
      </c>
      <c r="B39" s="117" t="s">
        <v>765</v>
      </c>
      <c r="C39" s="117" t="s">
        <v>342</v>
      </c>
      <c r="D39" s="118" t="s">
        <v>705</v>
      </c>
      <c r="E39" s="118" t="s">
        <v>766</v>
      </c>
      <c r="F39" s="118" t="s">
        <v>767</v>
      </c>
    </row>
    <row r="40" spans="1:6" x14ac:dyDescent="0.35">
      <c r="A40" s="117" t="s">
        <v>768</v>
      </c>
      <c r="B40" s="117" t="s">
        <v>769</v>
      </c>
      <c r="C40" s="117" t="s">
        <v>342</v>
      </c>
      <c r="D40" s="118" t="s">
        <v>705</v>
      </c>
      <c r="E40" s="118" t="s">
        <v>770</v>
      </c>
      <c r="F40" s="118" t="s">
        <v>771</v>
      </c>
    </row>
    <row r="41" spans="1:6" x14ac:dyDescent="0.35">
      <c r="A41" s="117" t="s">
        <v>772</v>
      </c>
      <c r="B41" s="117" t="s">
        <v>773</v>
      </c>
      <c r="C41" s="117" t="s">
        <v>342</v>
      </c>
      <c r="D41" s="118" t="s">
        <v>705</v>
      </c>
      <c r="E41" s="120">
        <v>490000</v>
      </c>
      <c r="F41" s="118" t="s">
        <v>774</v>
      </c>
    </row>
    <row r="42" spans="1:6" x14ac:dyDescent="0.35">
      <c r="A42" s="121" t="s">
        <v>777</v>
      </c>
      <c r="B42" s="87">
        <v>1865</v>
      </c>
      <c r="C42" s="117" t="s">
        <v>342</v>
      </c>
      <c r="D42" s="88">
        <v>10000</v>
      </c>
      <c r="E42" s="88">
        <v>500000</v>
      </c>
      <c r="F42" s="88">
        <v>50000</v>
      </c>
    </row>
    <row r="43" spans="1:6" x14ac:dyDescent="0.35">
      <c r="A43" s="121" t="s">
        <v>780</v>
      </c>
      <c r="B43" s="87">
        <v>2089</v>
      </c>
      <c r="C43" s="121" t="s">
        <v>670</v>
      </c>
      <c r="D43" s="88">
        <v>10000</v>
      </c>
      <c r="E43" s="88">
        <f>E42+D43</f>
        <v>510000</v>
      </c>
      <c r="F43" s="88">
        <f>F42-D43</f>
        <v>40000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opLeftCell="A34" workbookViewId="0">
      <selection activeCell="F49" sqref="F49"/>
    </sheetView>
  </sheetViews>
  <sheetFormatPr defaultRowHeight="14.5" x14ac:dyDescent="0.35"/>
  <cols>
    <col min="1" max="1" width="11.6328125" customWidth="1"/>
    <col min="2" max="2" width="9.54296875" customWidth="1"/>
    <col min="3" max="3" width="13.26953125" customWidth="1"/>
    <col min="4" max="4" width="13" customWidth="1"/>
    <col min="5" max="5" width="11.453125" customWidth="1"/>
    <col min="6" max="6" width="15.6328125" customWidth="1"/>
  </cols>
  <sheetData>
    <row r="1" spans="1:14" ht="18.5" x14ac:dyDescent="0.45">
      <c r="A1" s="1" t="s">
        <v>8</v>
      </c>
      <c r="B1" s="1"/>
      <c r="C1" s="1"/>
      <c r="D1" s="1"/>
      <c r="E1" s="1"/>
      <c r="F1" s="1"/>
    </row>
    <row r="2" spans="1:14" ht="18.5" x14ac:dyDescent="0.45">
      <c r="A2" s="1" t="s">
        <v>9</v>
      </c>
      <c r="C2" s="1"/>
      <c r="D2" s="1"/>
      <c r="E2" s="1"/>
      <c r="F2" s="1"/>
    </row>
    <row r="3" spans="1:14" ht="18.5" x14ac:dyDescent="0.45">
      <c r="A3" s="1" t="s">
        <v>10</v>
      </c>
      <c r="B3" s="1"/>
      <c r="C3" s="1"/>
      <c r="D3" s="1"/>
      <c r="E3" s="1"/>
      <c r="F3" s="1"/>
      <c r="I3" s="1"/>
      <c r="J3" s="1"/>
      <c r="K3" s="1"/>
      <c r="L3" s="1"/>
      <c r="M3" s="1"/>
      <c r="N3" s="1"/>
    </row>
    <row r="4" spans="1:14" ht="18.5" x14ac:dyDescent="0.45">
      <c r="A4" s="1" t="s">
        <v>250</v>
      </c>
      <c r="B4" s="1" t="s">
        <v>498</v>
      </c>
      <c r="C4" s="1"/>
      <c r="D4" s="1"/>
      <c r="E4" s="1"/>
      <c r="F4" s="1"/>
      <c r="I4" s="1"/>
      <c r="J4" s="1"/>
      <c r="K4" s="1"/>
      <c r="L4" s="1"/>
      <c r="M4" s="1"/>
      <c r="N4" s="1"/>
    </row>
    <row r="5" spans="1:14" ht="18.5" x14ac:dyDescent="0.45">
      <c r="A5" s="1" t="s">
        <v>11</v>
      </c>
      <c r="B5" s="1"/>
      <c r="C5" s="1"/>
      <c r="D5" s="1"/>
      <c r="E5" s="1"/>
      <c r="F5" s="1"/>
      <c r="I5" s="1"/>
      <c r="K5" s="1"/>
      <c r="L5" s="1"/>
      <c r="M5" s="1"/>
      <c r="N5" s="1"/>
    </row>
    <row r="6" spans="1:14" ht="18.5" x14ac:dyDescent="0.45">
      <c r="A6" s="1" t="s">
        <v>12</v>
      </c>
      <c r="B6" s="1"/>
      <c r="C6" s="1"/>
      <c r="D6" s="1" t="s">
        <v>13</v>
      </c>
      <c r="E6" s="1"/>
      <c r="F6" s="1"/>
      <c r="I6" s="1"/>
      <c r="J6" s="1"/>
      <c r="K6" s="1"/>
      <c r="L6" s="1"/>
      <c r="M6" s="1"/>
      <c r="N6" s="1"/>
    </row>
    <row r="7" spans="1:14" ht="18.5" x14ac:dyDescent="0.45">
      <c r="A7" s="43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  <c r="I7" s="1"/>
      <c r="J7" s="1"/>
      <c r="K7" s="1"/>
      <c r="L7" s="1"/>
      <c r="M7" s="1"/>
      <c r="N7" s="1"/>
    </row>
    <row r="8" spans="1:14" ht="18.5" x14ac:dyDescent="0.45">
      <c r="A8" s="17" t="s">
        <v>14</v>
      </c>
      <c r="B8" s="18">
        <v>43</v>
      </c>
      <c r="C8" s="18" t="s">
        <v>15</v>
      </c>
      <c r="D8" s="18">
        <v>10000</v>
      </c>
      <c r="E8" s="18">
        <v>10000</v>
      </c>
      <c r="F8" s="40">
        <v>540000</v>
      </c>
      <c r="I8" s="1"/>
      <c r="J8" s="1"/>
      <c r="K8" s="1"/>
      <c r="L8" s="1"/>
      <c r="M8" s="1"/>
      <c r="N8" s="1"/>
    </row>
    <row r="9" spans="1:14" x14ac:dyDescent="0.35">
      <c r="A9" s="20">
        <v>44630</v>
      </c>
      <c r="B9" s="18">
        <v>1507</v>
      </c>
      <c r="C9" s="18" t="s">
        <v>16</v>
      </c>
      <c r="D9" s="19">
        <v>110000</v>
      </c>
      <c r="E9" s="19">
        <f>SUM(E8+D9)</f>
        <v>120000</v>
      </c>
      <c r="F9" s="40">
        <f t="shared" ref="F9:F45" si="0">F8-D9</f>
        <v>430000</v>
      </c>
      <c r="H9" s="2"/>
      <c r="I9" s="4"/>
      <c r="J9" s="4"/>
      <c r="K9" s="4"/>
      <c r="L9" s="4"/>
      <c r="M9" s="4"/>
      <c r="N9" s="4"/>
    </row>
    <row r="10" spans="1:14" x14ac:dyDescent="0.35">
      <c r="A10" s="18" t="s">
        <v>17</v>
      </c>
      <c r="B10" s="18">
        <v>2305</v>
      </c>
      <c r="C10" s="18" t="s">
        <v>6</v>
      </c>
      <c r="D10" s="18">
        <v>50000</v>
      </c>
      <c r="E10" s="19">
        <f t="shared" ref="E10:E45" si="1">SUM(E9+D10)</f>
        <v>170000</v>
      </c>
      <c r="F10" s="40">
        <f t="shared" si="0"/>
        <v>380000</v>
      </c>
      <c r="H10" s="2"/>
      <c r="I10" s="5"/>
      <c r="J10" s="6"/>
      <c r="K10" s="6"/>
      <c r="L10" s="6"/>
      <c r="M10" s="6"/>
      <c r="N10" s="7"/>
    </row>
    <row r="11" spans="1:14" x14ac:dyDescent="0.35">
      <c r="A11" s="18" t="s">
        <v>18</v>
      </c>
      <c r="B11" s="18">
        <v>2306</v>
      </c>
      <c r="C11" s="18" t="s">
        <v>7</v>
      </c>
      <c r="D11" s="18">
        <v>10000</v>
      </c>
      <c r="E11" s="19">
        <f t="shared" si="1"/>
        <v>180000</v>
      </c>
      <c r="F11" s="40">
        <f t="shared" si="0"/>
        <v>370000</v>
      </c>
      <c r="H11" s="2"/>
      <c r="I11" s="8"/>
      <c r="J11" s="6"/>
      <c r="K11" s="6"/>
      <c r="L11" s="7"/>
      <c r="M11" s="7"/>
      <c r="N11" s="7"/>
    </row>
    <row r="12" spans="1:14" x14ac:dyDescent="0.35">
      <c r="A12" s="20">
        <v>44931</v>
      </c>
      <c r="B12" s="18">
        <v>1390</v>
      </c>
      <c r="C12" s="18" t="s">
        <v>7</v>
      </c>
      <c r="D12" s="18">
        <v>10000</v>
      </c>
      <c r="E12" s="19">
        <f t="shared" si="1"/>
        <v>190000</v>
      </c>
      <c r="F12" s="40">
        <f t="shared" si="0"/>
        <v>360000</v>
      </c>
      <c r="H12" s="2"/>
      <c r="I12" s="6"/>
      <c r="J12" s="6"/>
      <c r="K12" s="6"/>
      <c r="L12" s="6"/>
      <c r="M12" s="7"/>
      <c r="N12" s="7"/>
    </row>
    <row r="13" spans="1:14" x14ac:dyDescent="0.35">
      <c r="A13" s="18" t="s">
        <v>19</v>
      </c>
      <c r="B13" s="18">
        <v>828</v>
      </c>
      <c r="C13" s="18" t="s">
        <v>7</v>
      </c>
      <c r="D13" s="18">
        <v>10000</v>
      </c>
      <c r="E13" s="19">
        <f t="shared" si="1"/>
        <v>200000</v>
      </c>
      <c r="F13" s="40">
        <f t="shared" si="0"/>
        <v>350000</v>
      </c>
      <c r="H13" s="2"/>
      <c r="I13" s="6"/>
      <c r="J13" s="6"/>
      <c r="K13" s="6"/>
      <c r="L13" s="6"/>
      <c r="M13" s="7"/>
      <c r="N13" s="7"/>
    </row>
    <row r="14" spans="1:14" x14ac:dyDescent="0.35">
      <c r="A14" s="20">
        <v>45266</v>
      </c>
      <c r="B14" s="18">
        <v>472</v>
      </c>
      <c r="C14" s="18" t="s">
        <v>7</v>
      </c>
      <c r="D14" s="18">
        <v>10000</v>
      </c>
      <c r="E14" s="19">
        <f t="shared" si="1"/>
        <v>210000</v>
      </c>
      <c r="F14" s="40">
        <f t="shared" si="0"/>
        <v>340000</v>
      </c>
      <c r="H14" s="2"/>
      <c r="I14" s="8"/>
      <c r="J14" s="6"/>
      <c r="K14" s="6"/>
      <c r="L14" s="6"/>
      <c r="M14" s="7"/>
      <c r="N14" s="7"/>
    </row>
    <row r="15" spans="1:14" x14ac:dyDescent="0.35">
      <c r="A15" s="18" t="s">
        <v>20</v>
      </c>
      <c r="B15" s="18">
        <v>2844</v>
      </c>
      <c r="C15" s="18" t="s">
        <v>7</v>
      </c>
      <c r="D15" s="18">
        <v>10000</v>
      </c>
      <c r="E15" s="19">
        <f t="shared" si="1"/>
        <v>220000</v>
      </c>
      <c r="F15" s="40">
        <f t="shared" si="0"/>
        <v>330000</v>
      </c>
      <c r="H15" s="2"/>
      <c r="I15" s="6"/>
      <c r="J15" s="6"/>
      <c r="K15" s="6"/>
      <c r="L15" s="6"/>
      <c r="M15" s="7"/>
      <c r="N15" s="7"/>
    </row>
    <row r="16" spans="1:14" x14ac:dyDescent="0.35">
      <c r="A16" s="20" t="s">
        <v>21</v>
      </c>
      <c r="B16" s="18">
        <v>3119</v>
      </c>
      <c r="C16" s="18" t="s">
        <v>7</v>
      </c>
      <c r="D16" s="18">
        <v>10000</v>
      </c>
      <c r="E16" s="19">
        <f t="shared" si="1"/>
        <v>230000</v>
      </c>
      <c r="F16" s="40">
        <f t="shared" si="0"/>
        <v>320000</v>
      </c>
      <c r="H16" s="2"/>
      <c r="I16" s="8"/>
      <c r="J16" s="6"/>
      <c r="K16" s="6"/>
      <c r="L16" s="6"/>
      <c r="M16" s="7"/>
      <c r="N16" s="7"/>
    </row>
    <row r="17" spans="1:14" x14ac:dyDescent="0.35">
      <c r="A17" s="18" t="s">
        <v>22</v>
      </c>
      <c r="B17" s="18">
        <v>3703</v>
      </c>
      <c r="C17" s="18" t="s">
        <v>7</v>
      </c>
      <c r="D17" s="18">
        <v>10000</v>
      </c>
      <c r="E17" s="19">
        <f t="shared" si="1"/>
        <v>240000</v>
      </c>
      <c r="F17" s="40">
        <f t="shared" si="0"/>
        <v>310000</v>
      </c>
      <c r="H17" s="2"/>
      <c r="I17" s="6"/>
      <c r="J17" s="6"/>
      <c r="K17" s="6"/>
      <c r="L17" s="6"/>
      <c r="M17" s="7"/>
      <c r="N17" s="7"/>
    </row>
    <row r="18" spans="1:14" x14ac:dyDescent="0.35">
      <c r="A18" s="20">
        <v>45240</v>
      </c>
      <c r="B18" s="18">
        <v>4205</v>
      </c>
      <c r="C18" s="18" t="s">
        <v>7</v>
      </c>
      <c r="D18" s="18">
        <v>10000</v>
      </c>
      <c r="E18" s="19">
        <f t="shared" si="1"/>
        <v>250000</v>
      </c>
      <c r="F18" s="40">
        <f t="shared" si="0"/>
        <v>300000</v>
      </c>
      <c r="H18" s="2"/>
      <c r="I18" s="8"/>
      <c r="J18" s="6"/>
      <c r="K18" s="6"/>
      <c r="L18" s="6"/>
      <c r="M18" s="7"/>
      <c r="N18" s="7"/>
    </row>
    <row r="19" spans="1:14" x14ac:dyDescent="0.35">
      <c r="A19" s="18" t="s">
        <v>23</v>
      </c>
      <c r="B19" s="18">
        <v>4958</v>
      </c>
      <c r="C19" s="18" t="s">
        <v>7</v>
      </c>
      <c r="D19" s="18">
        <v>10000</v>
      </c>
      <c r="E19" s="19">
        <f t="shared" si="1"/>
        <v>260000</v>
      </c>
      <c r="F19" s="40">
        <f t="shared" si="0"/>
        <v>290000</v>
      </c>
      <c r="H19" s="2"/>
      <c r="I19" s="6"/>
      <c r="J19" s="6"/>
      <c r="K19" s="6"/>
      <c r="L19" s="6"/>
      <c r="M19" s="7"/>
      <c r="N19" s="7"/>
    </row>
    <row r="20" spans="1:14" x14ac:dyDescent="0.35">
      <c r="A20" s="20" t="s">
        <v>24</v>
      </c>
      <c r="B20" s="18">
        <v>5565</v>
      </c>
      <c r="C20" s="18" t="s">
        <v>7</v>
      </c>
      <c r="D20" s="18">
        <v>10000</v>
      </c>
      <c r="E20" s="19">
        <f t="shared" si="1"/>
        <v>270000</v>
      </c>
      <c r="F20" s="40">
        <f t="shared" si="0"/>
        <v>280000</v>
      </c>
      <c r="H20" s="2"/>
      <c r="I20" s="8"/>
      <c r="J20" s="6"/>
      <c r="K20" s="6"/>
      <c r="L20" s="6"/>
      <c r="M20" s="7"/>
      <c r="N20" s="7"/>
    </row>
    <row r="21" spans="1:14" x14ac:dyDescent="0.35">
      <c r="A21" s="18" t="s">
        <v>25</v>
      </c>
      <c r="B21" s="18">
        <v>6213</v>
      </c>
      <c r="C21" s="18" t="s">
        <v>7</v>
      </c>
      <c r="D21" s="18">
        <v>10000</v>
      </c>
      <c r="E21" s="19">
        <f t="shared" si="1"/>
        <v>280000</v>
      </c>
      <c r="F21" s="40">
        <f t="shared" si="0"/>
        <v>270000</v>
      </c>
      <c r="H21" s="2"/>
      <c r="I21" s="6"/>
      <c r="J21" s="6"/>
      <c r="K21" s="6"/>
      <c r="L21" s="6"/>
      <c r="M21" s="7"/>
      <c r="N21" s="7"/>
    </row>
    <row r="22" spans="1:14" x14ac:dyDescent="0.35">
      <c r="A22" s="20" t="s">
        <v>26</v>
      </c>
      <c r="B22" s="18">
        <v>7133</v>
      </c>
      <c r="C22" s="18" t="s">
        <v>7</v>
      </c>
      <c r="D22" s="18">
        <v>10000</v>
      </c>
      <c r="E22" s="19">
        <f t="shared" si="1"/>
        <v>290000</v>
      </c>
      <c r="F22" s="40">
        <f t="shared" si="0"/>
        <v>260000</v>
      </c>
      <c r="H22" s="2"/>
      <c r="I22" s="8"/>
      <c r="J22" s="6"/>
      <c r="K22" s="6"/>
      <c r="L22" s="6"/>
      <c r="M22" s="7"/>
      <c r="N22" s="7"/>
    </row>
    <row r="23" spans="1:14" x14ac:dyDescent="0.35">
      <c r="A23" s="20">
        <v>45326</v>
      </c>
      <c r="B23" s="18">
        <v>7650</v>
      </c>
      <c r="C23" s="18" t="s">
        <v>7</v>
      </c>
      <c r="D23" s="18">
        <v>10000</v>
      </c>
      <c r="E23" s="19">
        <f t="shared" si="1"/>
        <v>300000</v>
      </c>
      <c r="F23" s="40">
        <f t="shared" si="0"/>
        <v>250000</v>
      </c>
      <c r="H23" s="2"/>
      <c r="I23" s="6"/>
      <c r="J23" s="6"/>
      <c r="K23" s="6"/>
      <c r="L23" s="6"/>
      <c r="M23" s="7"/>
      <c r="N23" s="7"/>
    </row>
    <row r="24" spans="1:14" x14ac:dyDescent="0.35">
      <c r="A24" s="20" t="s">
        <v>27</v>
      </c>
      <c r="B24" s="18">
        <v>7846</v>
      </c>
      <c r="C24" s="18" t="s">
        <v>7</v>
      </c>
      <c r="D24" s="18">
        <v>10000</v>
      </c>
      <c r="E24" s="19">
        <f t="shared" si="1"/>
        <v>310000</v>
      </c>
      <c r="F24" s="40">
        <f t="shared" si="0"/>
        <v>240000</v>
      </c>
      <c r="H24" s="2"/>
      <c r="I24" s="8"/>
      <c r="J24" s="6"/>
      <c r="K24" s="6"/>
      <c r="L24" s="6"/>
      <c r="M24" s="7"/>
      <c r="N24" s="7"/>
    </row>
    <row r="25" spans="1:14" x14ac:dyDescent="0.35">
      <c r="A25" s="20" t="s">
        <v>28</v>
      </c>
      <c r="B25" s="18">
        <v>8527</v>
      </c>
      <c r="C25" s="18" t="s">
        <v>7</v>
      </c>
      <c r="D25" s="18">
        <v>10000</v>
      </c>
      <c r="E25" s="19">
        <f t="shared" si="1"/>
        <v>320000</v>
      </c>
      <c r="F25" s="40">
        <f t="shared" si="0"/>
        <v>230000</v>
      </c>
      <c r="H25" s="2"/>
      <c r="I25" s="8"/>
      <c r="J25" s="6"/>
      <c r="K25" s="6"/>
      <c r="L25" s="6"/>
      <c r="M25" s="7"/>
      <c r="N25" s="7"/>
    </row>
    <row r="26" spans="1:14" x14ac:dyDescent="0.35">
      <c r="A26" s="20" t="s">
        <v>29</v>
      </c>
      <c r="B26" s="18">
        <v>9187</v>
      </c>
      <c r="C26" s="18" t="s">
        <v>7</v>
      </c>
      <c r="D26" s="18">
        <v>10000</v>
      </c>
      <c r="E26" s="19">
        <f t="shared" si="1"/>
        <v>330000</v>
      </c>
      <c r="F26" s="40">
        <f t="shared" si="0"/>
        <v>220000</v>
      </c>
      <c r="H26" s="2"/>
      <c r="I26" s="8"/>
      <c r="J26" s="6"/>
      <c r="K26" s="6"/>
      <c r="L26" s="6"/>
      <c r="M26" s="7"/>
      <c r="N26" s="7"/>
    </row>
    <row r="27" spans="1:14" x14ac:dyDescent="0.35">
      <c r="A27" s="20" t="s">
        <v>30</v>
      </c>
      <c r="B27" s="18">
        <v>9680</v>
      </c>
      <c r="C27" s="18" t="s">
        <v>7</v>
      </c>
      <c r="D27" s="18">
        <v>10000</v>
      </c>
      <c r="E27" s="19">
        <f t="shared" si="1"/>
        <v>340000</v>
      </c>
      <c r="F27" s="40">
        <f t="shared" si="0"/>
        <v>210000</v>
      </c>
      <c r="H27" s="2"/>
      <c r="I27" s="8"/>
      <c r="J27" s="6"/>
      <c r="K27" s="6"/>
      <c r="L27" s="6"/>
      <c r="M27" s="7"/>
      <c r="N27" s="7"/>
    </row>
    <row r="28" spans="1:14" x14ac:dyDescent="0.35">
      <c r="A28" s="20" t="s">
        <v>31</v>
      </c>
      <c r="B28" s="18">
        <v>11223</v>
      </c>
      <c r="C28" s="18" t="s">
        <v>7</v>
      </c>
      <c r="D28" s="18">
        <v>10000</v>
      </c>
      <c r="E28" s="19">
        <f t="shared" si="1"/>
        <v>350000</v>
      </c>
      <c r="F28" s="40">
        <f t="shared" si="0"/>
        <v>200000</v>
      </c>
      <c r="H28" s="2"/>
      <c r="I28" s="8"/>
      <c r="J28" s="6"/>
      <c r="K28" s="6"/>
      <c r="L28" s="6"/>
      <c r="M28" s="7"/>
      <c r="N28" s="7"/>
    </row>
    <row r="29" spans="1:14" x14ac:dyDescent="0.35">
      <c r="A29" s="20" t="s">
        <v>32</v>
      </c>
      <c r="B29" s="18">
        <v>381</v>
      </c>
      <c r="C29" s="18" t="s">
        <v>7</v>
      </c>
      <c r="D29" s="18">
        <v>10000</v>
      </c>
      <c r="E29" s="19">
        <f t="shared" si="1"/>
        <v>360000</v>
      </c>
      <c r="F29" s="40">
        <f t="shared" si="0"/>
        <v>190000</v>
      </c>
      <c r="H29" s="2"/>
      <c r="I29" s="8"/>
      <c r="J29" s="6"/>
      <c r="K29" s="6"/>
      <c r="L29" s="6"/>
      <c r="M29" s="7"/>
      <c r="N29" s="7"/>
    </row>
    <row r="30" spans="1:14" x14ac:dyDescent="0.35">
      <c r="A30" s="20" t="s">
        <v>33</v>
      </c>
      <c r="B30" s="18">
        <v>10356</v>
      </c>
      <c r="C30" s="18" t="s">
        <v>7</v>
      </c>
      <c r="D30" s="18">
        <v>5000</v>
      </c>
      <c r="E30" s="19">
        <f t="shared" si="1"/>
        <v>365000</v>
      </c>
      <c r="F30" s="40">
        <f t="shared" si="0"/>
        <v>185000</v>
      </c>
      <c r="H30" s="2"/>
      <c r="I30" s="8"/>
      <c r="J30" s="6"/>
      <c r="K30" s="6"/>
      <c r="L30" s="6"/>
      <c r="M30" s="7"/>
      <c r="N30" s="7"/>
    </row>
    <row r="31" spans="1:14" x14ac:dyDescent="0.35">
      <c r="A31" s="20" t="s">
        <v>34</v>
      </c>
      <c r="B31" s="18">
        <v>12453</v>
      </c>
      <c r="C31" s="18" t="s">
        <v>7</v>
      </c>
      <c r="D31" s="18">
        <v>10000</v>
      </c>
      <c r="E31" s="19">
        <f t="shared" si="1"/>
        <v>375000</v>
      </c>
      <c r="F31" s="40">
        <f t="shared" si="0"/>
        <v>175000</v>
      </c>
      <c r="H31" s="2"/>
      <c r="I31" s="8"/>
      <c r="J31" s="6"/>
      <c r="K31" s="6"/>
      <c r="L31" s="6"/>
      <c r="M31" s="7"/>
      <c r="N31" s="7"/>
    </row>
    <row r="32" spans="1:14" x14ac:dyDescent="0.35">
      <c r="A32" s="20" t="s">
        <v>35</v>
      </c>
      <c r="B32" s="18">
        <v>12782</v>
      </c>
      <c r="C32" s="18" t="s">
        <v>7</v>
      </c>
      <c r="D32" s="18">
        <v>10000</v>
      </c>
      <c r="E32" s="19">
        <f t="shared" si="1"/>
        <v>385000</v>
      </c>
      <c r="F32" s="40">
        <f t="shared" si="0"/>
        <v>165000</v>
      </c>
      <c r="H32" s="2"/>
      <c r="I32" s="8"/>
      <c r="J32" s="6"/>
      <c r="K32" s="6"/>
      <c r="L32" s="6"/>
      <c r="M32" s="7"/>
      <c r="N32" s="7"/>
    </row>
    <row r="33" spans="1:14" x14ac:dyDescent="0.35">
      <c r="A33" s="20" t="s">
        <v>36</v>
      </c>
      <c r="B33" s="18">
        <v>9105</v>
      </c>
      <c r="C33" s="18" t="s">
        <v>7</v>
      </c>
      <c r="D33" s="18">
        <v>10000</v>
      </c>
      <c r="E33" s="19">
        <f t="shared" si="1"/>
        <v>395000</v>
      </c>
      <c r="F33" s="40">
        <f t="shared" si="0"/>
        <v>155000</v>
      </c>
      <c r="H33" s="2"/>
      <c r="I33" s="8"/>
      <c r="J33" s="6"/>
      <c r="K33" s="6"/>
      <c r="L33" s="6"/>
      <c r="M33" s="7"/>
      <c r="N33" s="7"/>
    </row>
    <row r="34" spans="1:14" x14ac:dyDescent="0.35">
      <c r="A34" s="20" t="s">
        <v>37</v>
      </c>
      <c r="B34" s="18">
        <v>9568</v>
      </c>
      <c r="C34" s="18" t="s">
        <v>7</v>
      </c>
      <c r="D34" s="18">
        <v>10000</v>
      </c>
      <c r="E34" s="19">
        <f t="shared" si="1"/>
        <v>405000</v>
      </c>
      <c r="F34" s="40">
        <f t="shared" si="0"/>
        <v>145000</v>
      </c>
      <c r="H34" s="2"/>
      <c r="I34" s="8"/>
      <c r="J34" s="6"/>
      <c r="K34" s="6"/>
      <c r="L34" s="6"/>
      <c r="M34" s="7"/>
      <c r="N34" s="7"/>
    </row>
    <row r="35" spans="1:14" x14ac:dyDescent="0.35">
      <c r="A35" s="20">
        <v>45781</v>
      </c>
      <c r="B35" s="18">
        <v>9908</v>
      </c>
      <c r="C35" s="18" t="s">
        <v>7</v>
      </c>
      <c r="D35" s="18">
        <v>10000</v>
      </c>
      <c r="E35" s="19">
        <f t="shared" si="1"/>
        <v>415000</v>
      </c>
      <c r="F35" s="40">
        <f t="shared" si="0"/>
        <v>135000</v>
      </c>
      <c r="H35" s="2"/>
      <c r="I35" s="8"/>
      <c r="J35" s="6"/>
      <c r="K35" s="6"/>
      <c r="L35" s="6"/>
      <c r="M35" s="7"/>
      <c r="N35" s="7"/>
    </row>
    <row r="36" spans="1:14" x14ac:dyDescent="0.35">
      <c r="A36" s="20" t="s">
        <v>38</v>
      </c>
      <c r="B36" s="18">
        <v>10807</v>
      </c>
      <c r="C36" s="18" t="s">
        <v>7</v>
      </c>
      <c r="D36" s="18">
        <v>10000</v>
      </c>
      <c r="E36" s="19">
        <f t="shared" si="1"/>
        <v>425000</v>
      </c>
      <c r="F36" s="40">
        <f t="shared" si="0"/>
        <v>125000</v>
      </c>
      <c r="H36" s="2"/>
      <c r="I36" s="8"/>
      <c r="J36" s="6"/>
      <c r="K36" s="6"/>
      <c r="L36" s="6"/>
      <c r="M36" s="7"/>
      <c r="N36" s="7"/>
    </row>
    <row r="37" spans="1:14" x14ac:dyDescent="0.35">
      <c r="A37" s="20" t="s">
        <v>39</v>
      </c>
      <c r="B37" s="18">
        <v>12296</v>
      </c>
      <c r="C37" s="18" t="s">
        <v>7</v>
      </c>
      <c r="D37" s="18">
        <v>10000</v>
      </c>
      <c r="E37" s="19">
        <f t="shared" si="1"/>
        <v>435000</v>
      </c>
      <c r="F37" s="40">
        <f t="shared" si="0"/>
        <v>115000</v>
      </c>
      <c r="H37" s="2"/>
      <c r="I37" s="8"/>
      <c r="J37" s="6"/>
      <c r="K37" s="6"/>
      <c r="L37" s="6"/>
      <c r="M37" s="7"/>
      <c r="N37" s="7"/>
    </row>
    <row r="38" spans="1:14" x14ac:dyDescent="0.35">
      <c r="A38" s="20" t="s">
        <v>40</v>
      </c>
      <c r="B38" s="18">
        <v>12297</v>
      </c>
      <c r="C38" s="18" t="s">
        <v>7</v>
      </c>
      <c r="D38" s="18">
        <v>10000</v>
      </c>
      <c r="E38" s="19">
        <f t="shared" si="1"/>
        <v>445000</v>
      </c>
      <c r="F38" s="40">
        <f t="shared" si="0"/>
        <v>105000</v>
      </c>
      <c r="H38" s="2"/>
      <c r="I38" s="8"/>
      <c r="J38" s="6"/>
      <c r="K38" s="6"/>
      <c r="L38" s="6"/>
      <c r="M38" s="7"/>
      <c r="N38" s="7"/>
    </row>
    <row r="39" spans="1:14" x14ac:dyDescent="0.35">
      <c r="A39" s="20" t="s">
        <v>41</v>
      </c>
      <c r="B39" s="18">
        <v>12536</v>
      </c>
      <c r="C39" s="18" t="s">
        <v>7</v>
      </c>
      <c r="D39" s="18">
        <v>10000</v>
      </c>
      <c r="E39" s="19">
        <f t="shared" si="1"/>
        <v>455000</v>
      </c>
      <c r="F39" s="40">
        <f t="shared" si="0"/>
        <v>95000</v>
      </c>
      <c r="H39" s="2"/>
      <c r="I39" s="8"/>
      <c r="J39" s="6"/>
      <c r="K39" s="6"/>
      <c r="L39" s="6"/>
      <c r="M39" s="7"/>
      <c r="N39" s="7"/>
    </row>
    <row r="40" spans="1:14" x14ac:dyDescent="0.35">
      <c r="A40" s="20" t="s">
        <v>42</v>
      </c>
      <c r="B40" s="18">
        <v>13840</v>
      </c>
      <c r="C40" s="18" t="s">
        <v>7</v>
      </c>
      <c r="D40" s="18">
        <v>5000</v>
      </c>
      <c r="E40" s="19">
        <f t="shared" si="1"/>
        <v>460000</v>
      </c>
      <c r="F40" s="40">
        <f t="shared" si="0"/>
        <v>90000</v>
      </c>
      <c r="H40" s="2"/>
      <c r="I40" s="8"/>
      <c r="J40" s="6"/>
      <c r="K40" s="6"/>
      <c r="L40" s="6"/>
      <c r="M40" s="7"/>
      <c r="N40" s="7"/>
    </row>
    <row r="41" spans="1:14" x14ac:dyDescent="0.35">
      <c r="A41" s="20" t="s">
        <v>43</v>
      </c>
      <c r="B41" s="18">
        <v>13401</v>
      </c>
      <c r="C41" s="18" t="s">
        <v>7</v>
      </c>
      <c r="D41" s="18">
        <v>5000</v>
      </c>
      <c r="E41" s="19">
        <f t="shared" si="1"/>
        <v>465000</v>
      </c>
      <c r="F41" s="40">
        <f t="shared" si="0"/>
        <v>85000</v>
      </c>
      <c r="H41" s="2"/>
      <c r="I41" s="8"/>
      <c r="J41" s="6"/>
      <c r="K41" s="6"/>
      <c r="L41" s="6"/>
      <c r="M41" s="7"/>
      <c r="N41" s="7"/>
    </row>
    <row r="42" spans="1:14" x14ac:dyDescent="0.35">
      <c r="A42" s="20">
        <v>45669</v>
      </c>
      <c r="B42" s="18">
        <v>13249</v>
      </c>
      <c r="C42" s="18" t="s">
        <v>7</v>
      </c>
      <c r="D42" s="18">
        <v>10000</v>
      </c>
      <c r="E42" s="19">
        <f t="shared" si="1"/>
        <v>475000</v>
      </c>
      <c r="F42" s="40">
        <f t="shared" si="0"/>
        <v>75000</v>
      </c>
      <c r="H42" s="2"/>
      <c r="I42" s="8"/>
      <c r="J42" s="6"/>
      <c r="K42" s="6"/>
      <c r="L42" s="6"/>
      <c r="M42" s="7"/>
      <c r="N42" s="7"/>
    </row>
    <row r="43" spans="1:14" x14ac:dyDescent="0.35">
      <c r="A43" s="20" t="s">
        <v>44</v>
      </c>
      <c r="B43" s="18">
        <v>13841</v>
      </c>
      <c r="C43" s="18" t="s">
        <v>7</v>
      </c>
      <c r="D43" s="18">
        <v>10000</v>
      </c>
      <c r="E43" s="19">
        <f t="shared" si="1"/>
        <v>485000</v>
      </c>
      <c r="F43" s="40">
        <f t="shared" si="0"/>
        <v>65000</v>
      </c>
      <c r="H43" s="2"/>
      <c r="I43" s="8"/>
      <c r="J43" s="6"/>
      <c r="K43" s="6"/>
      <c r="L43" s="6"/>
      <c r="M43" s="7"/>
      <c r="N43" s="7"/>
    </row>
    <row r="44" spans="1:14" x14ac:dyDescent="0.35">
      <c r="A44" s="20">
        <v>45718</v>
      </c>
      <c r="B44" s="18">
        <v>12314</v>
      </c>
      <c r="C44" s="18" t="s">
        <v>7</v>
      </c>
      <c r="D44" s="18">
        <v>10000</v>
      </c>
      <c r="E44" s="19">
        <f t="shared" si="1"/>
        <v>495000</v>
      </c>
      <c r="F44" s="40">
        <f t="shared" si="0"/>
        <v>55000</v>
      </c>
      <c r="H44" s="2"/>
      <c r="I44" s="8"/>
      <c r="J44" s="6"/>
      <c r="K44" s="6"/>
      <c r="L44" s="6"/>
      <c r="M44" s="7"/>
      <c r="N44" s="7"/>
    </row>
    <row r="45" spans="1:14" x14ac:dyDescent="0.35">
      <c r="A45" s="76">
        <v>45661</v>
      </c>
      <c r="B45" s="24">
        <v>13992</v>
      </c>
      <c r="C45" s="24" t="s">
        <v>7</v>
      </c>
      <c r="D45" s="90">
        <v>10000</v>
      </c>
      <c r="E45" s="91">
        <f t="shared" si="1"/>
        <v>505000</v>
      </c>
      <c r="F45" s="92">
        <f t="shared" si="0"/>
        <v>45000</v>
      </c>
      <c r="H45" s="2"/>
      <c r="I45" s="8"/>
      <c r="J45" s="6"/>
      <c r="K45" s="6"/>
      <c r="L45" s="6"/>
      <c r="M45" s="7"/>
      <c r="N45" s="7"/>
    </row>
    <row r="46" spans="1:14" x14ac:dyDescent="0.35">
      <c r="A46" s="13" t="s">
        <v>497</v>
      </c>
      <c r="B46" s="13">
        <v>13432</v>
      </c>
      <c r="C46" s="13" t="s">
        <v>7</v>
      </c>
      <c r="D46" s="14">
        <v>10000</v>
      </c>
      <c r="E46" s="14">
        <f>E45+D46</f>
        <v>515000</v>
      </c>
      <c r="F46" s="14">
        <f>F45-D46</f>
        <v>35000</v>
      </c>
      <c r="H46" s="2"/>
      <c r="I46" s="8"/>
      <c r="J46" s="6"/>
      <c r="K46" s="6"/>
      <c r="L46" s="6"/>
      <c r="M46" s="7"/>
      <c r="N46" s="7"/>
    </row>
    <row r="47" spans="1:14" x14ac:dyDescent="0.35">
      <c r="A47" s="13" t="s">
        <v>563</v>
      </c>
      <c r="B47" s="13">
        <v>1332</v>
      </c>
      <c r="C47" s="13" t="s">
        <v>523</v>
      </c>
      <c r="D47" s="14">
        <v>10000</v>
      </c>
      <c r="E47" s="14">
        <f>E46+D47</f>
        <v>525000</v>
      </c>
      <c r="F47" s="14">
        <f>F46-D47</f>
        <v>25000</v>
      </c>
    </row>
    <row r="48" spans="1:14" x14ac:dyDescent="0.35">
      <c r="A48" s="13" t="s">
        <v>684</v>
      </c>
      <c r="B48" s="13">
        <v>1868</v>
      </c>
      <c r="C48" s="13" t="s">
        <v>523</v>
      </c>
      <c r="D48" s="14">
        <v>10000</v>
      </c>
      <c r="E48" s="14">
        <f>E47+D48</f>
        <v>535000</v>
      </c>
      <c r="F48" s="14">
        <f>F47-D48</f>
        <v>15000</v>
      </c>
    </row>
    <row r="49" spans="1:6" x14ac:dyDescent="0.35">
      <c r="A49" s="13"/>
      <c r="B49" s="13"/>
      <c r="C49" s="13"/>
      <c r="D49" s="13"/>
      <c r="E49" s="13"/>
      <c r="F49" s="13"/>
    </row>
    <row r="50" spans="1:6" x14ac:dyDescent="0.35">
      <c r="A50" s="13"/>
      <c r="B50" s="13"/>
      <c r="C50" s="13"/>
      <c r="D50" s="13"/>
      <c r="E50" s="13"/>
      <c r="F50" s="13"/>
    </row>
    <row r="51" spans="1:6" x14ac:dyDescent="0.35">
      <c r="A51" s="13"/>
      <c r="B51" s="13"/>
      <c r="C51" s="13"/>
      <c r="D51" s="13"/>
      <c r="E51" s="13"/>
      <c r="F51" s="13"/>
    </row>
    <row r="52" spans="1:6" x14ac:dyDescent="0.35">
      <c r="A52" s="13"/>
      <c r="B52" s="13"/>
      <c r="C52" s="13"/>
      <c r="D52" s="13"/>
      <c r="E52" s="13"/>
      <c r="F52" s="13"/>
    </row>
    <row r="53" spans="1:6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6" sqref="I16"/>
    </sheetView>
  </sheetViews>
  <sheetFormatPr defaultRowHeight="14.5" x14ac:dyDescent="0.35"/>
  <cols>
    <col min="1" max="1" width="9.7265625" customWidth="1"/>
    <col min="3" max="3" width="11" customWidth="1"/>
  </cols>
  <sheetData>
    <row r="1" spans="1:6" ht="18.5" x14ac:dyDescent="0.45">
      <c r="A1" s="1" t="s">
        <v>282</v>
      </c>
      <c r="B1" s="1"/>
      <c r="C1" s="1"/>
      <c r="D1" s="1"/>
      <c r="E1" s="1"/>
      <c r="F1" s="1"/>
    </row>
    <row r="2" spans="1:6" ht="18.5" x14ac:dyDescent="0.45">
      <c r="A2" s="1" t="s">
        <v>283</v>
      </c>
      <c r="C2" s="1"/>
      <c r="D2" s="1"/>
      <c r="E2" s="1"/>
      <c r="F2" s="1"/>
    </row>
    <row r="3" spans="1:6" ht="18.5" x14ac:dyDescent="0.45">
      <c r="A3" s="1" t="s">
        <v>284</v>
      </c>
      <c r="B3" s="1"/>
      <c r="C3" s="1"/>
      <c r="D3" s="1"/>
      <c r="E3" s="1"/>
      <c r="F3" s="1"/>
    </row>
    <row r="4" spans="1:6" ht="18.5" x14ac:dyDescent="0.45">
      <c r="A4" s="1" t="s">
        <v>287</v>
      </c>
      <c r="B4" s="1"/>
      <c r="C4" s="1"/>
      <c r="D4" s="1"/>
      <c r="E4" s="1"/>
      <c r="F4" s="1"/>
    </row>
    <row r="5" spans="1:6" ht="18.5" x14ac:dyDescent="0.45">
      <c r="A5" s="1" t="s">
        <v>285</v>
      </c>
      <c r="B5" s="1"/>
      <c r="C5" s="1"/>
      <c r="D5" s="1"/>
      <c r="E5" s="1"/>
      <c r="F5" s="1"/>
    </row>
    <row r="6" spans="1:6" ht="18.5" x14ac:dyDescent="0.45">
      <c r="A6" s="1" t="s">
        <v>286</v>
      </c>
      <c r="B6" s="1"/>
      <c r="C6" s="1"/>
      <c r="D6" s="1" t="s">
        <v>227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236</v>
      </c>
      <c r="B8">
        <v>157</v>
      </c>
      <c r="C8" t="s">
        <v>15</v>
      </c>
      <c r="D8" s="16">
        <v>5000</v>
      </c>
      <c r="E8" s="16">
        <v>5000</v>
      </c>
      <c r="F8" s="16">
        <v>295000</v>
      </c>
    </row>
    <row r="9" spans="1:6" x14ac:dyDescent="0.35">
      <c r="A9" t="s">
        <v>288</v>
      </c>
      <c r="B9">
        <v>3287</v>
      </c>
      <c r="C9" t="s">
        <v>87</v>
      </c>
      <c r="D9" s="16">
        <v>295000</v>
      </c>
      <c r="E9" s="16">
        <f>SUM(E8+D9)</f>
        <v>300000</v>
      </c>
      <c r="F9" s="16">
        <f>F8-D9</f>
        <v>0</v>
      </c>
    </row>
    <row r="11" spans="1:6" x14ac:dyDescent="0.35">
      <c r="A11" s="21">
        <v>45567</v>
      </c>
      <c r="B11">
        <v>113</v>
      </c>
      <c r="C11" t="s">
        <v>247</v>
      </c>
      <c r="D11" s="16">
        <v>200000</v>
      </c>
      <c r="E11" s="16">
        <v>200000</v>
      </c>
      <c r="F11" t="s">
        <v>248</v>
      </c>
    </row>
    <row r="13" spans="1:6" ht="18.5" x14ac:dyDescent="0.45">
      <c r="B13" s="73" t="s">
        <v>289</v>
      </c>
      <c r="C13" s="73"/>
      <c r="D13" s="73"/>
      <c r="E13" s="73"/>
      <c r="F13" s="7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7" sqref="A7:F7"/>
    </sheetView>
  </sheetViews>
  <sheetFormatPr defaultRowHeight="14.5" x14ac:dyDescent="0.35"/>
  <sheetData>
    <row r="1" spans="1:6" ht="18.5" x14ac:dyDescent="0.45">
      <c r="A1" s="1" t="s">
        <v>290</v>
      </c>
      <c r="B1" s="1"/>
      <c r="C1" s="1"/>
      <c r="D1" s="1"/>
      <c r="E1" s="1"/>
      <c r="F1" s="1"/>
    </row>
    <row r="2" spans="1:6" ht="18.5" x14ac:dyDescent="0.45">
      <c r="A2" s="1" t="s">
        <v>291</v>
      </c>
      <c r="C2" s="1"/>
      <c r="D2" s="1"/>
      <c r="E2" s="1"/>
      <c r="F2" s="1"/>
    </row>
    <row r="3" spans="1:6" ht="18.5" x14ac:dyDescent="0.45">
      <c r="A3" s="1" t="s">
        <v>292</v>
      </c>
      <c r="B3" s="1"/>
      <c r="C3" s="1"/>
      <c r="D3" s="1"/>
      <c r="E3" s="1"/>
      <c r="F3" s="1"/>
    </row>
    <row r="4" spans="1:6" ht="18.5" x14ac:dyDescent="0.45">
      <c r="A4" s="1" t="s">
        <v>295</v>
      </c>
      <c r="B4" s="1"/>
      <c r="C4" s="1"/>
      <c r="D4" s="1"/>
      <c r="E4" s="1"/>
      <c r="F4" s="1"/>
    </row>
    <row r="5" spans="1:6" ht="18.5" x14ac:dyDescent="0.45">
      <c r="A5" s="1" t="s">
        <v>293</v>
      </c>
      <c r="B5" s="1"/>
      <c r="C5" s="1"/>
      <c r="D5" s="1"/>
      <c r="E5" s="1"/>
      <c r="F5" s="1"/>
    </row>
    <row r="6" spans="1:6" ht="18.5" x14ac:dyDescent="0.45">
      <c r="A6" s="1" t="s">
        <v>294</v>
      </c>
      <c r="B6" s="1"/>
      <c r="C6" s="1"/>
      <c r="D6" s="1" t="s">
        <v>227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236</v>
      </c>
      <c r="B8">
        <v>157</v>
      </c>
      <c r="C8" t="s">
        <v>15</v>
      </c>
      <c r="D8" s="16">
        <v>5000</v>
      </c>
      <c r="E8" s="16">
        <v>5000</v>
      </c>
      <c r="F8" s="16">
        <v>295000</v>
      </c>
    </row>
    <row r="9" spans="1:6" x14ac:dyDescent="0.35">
      <c r="A9" t="s">
        <v>288</v>
      </c>
      <c r="B9">
        <v>3287</v>
      </c>
      <c r="C9" t="s">
        <v>87</v>
      </c>
      <c r="D9" s="16">
        <v>295000</v>
      </c>
      <c r="E9" s="16">
        <f>SUM(E8+D9)</f>
        <v>300000</v>
      </c>
      <c r="F9" s="16">
        <f>F8-D9</f>
        <v>0</v>
      </c>
    </row>
    <row r="11" spans="1:6" x14ac:dyDescent="0.35">
      <c r="A11" s="21">
        <v>45567</v>
      </c>
      <c r="B11">
        <v>113</v>
      </c>
      <c r="C11" t="s">
        <v>247</v>
      </c>
      <c r="D11" s="16">
        <v>200000</v>
      </c>
      <c r="E11" s="16">
        <v>200000</v>
      </c>
      <c r="F11" t="s">
        <v>248</v>
      </c>
    </row>
    <row r="13" spans="1:6" ht="18.5" x14ac:dyDescent="0.45">
      <c r="B13" s="73" t="s">
        <v>289</v>
      </c>
      <c r="C13" s="73"/>
      <c r="D13" s="73"/>
      <c r="E13" s="73"/>
      <c r="F13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7" workbookViewId="0">
      <selection activeCell="D48" sqref="D48"/>
    </sheetView>
  </sheetViews>
  <sheetFormatPr defaultRowHeight="14.5" x14ac:dyDescent="0.35"/>
  <cols>
    <col min="1" max="1" width="10.453125" bestFit="1" customWidth="1"/>
    <col min="3" max="3" width="13.0898437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173</v>
      </c>
      <c r="B1" s="1"/>
      <c r="C1" s="1"/>
      <c r="D1" s="1"/>
      <c r="E1" s="1"/>
      <c r="F1" s="1"/>
    </row>
    <row r="2" spans="1:6" ht="18.5" x14ac:dyDescent="0.45">
      <c r="A2" s="1" t="s">
        <v>174</v>
      </c>
      <c r="C2" s="1"/>
      <c r="D2" s="1"/>
      <c r="E2" s="1"/>
      <c r="F2" s="1"/>
    </row>
    <row r="3" spans="1:6" ht="18.5" x14ac:dyDescent="0.45">
      <c r="A3" s="1" t="s">
        <v>175</v>
      </c>
      <c r="B3" s="1"/>
      <c r="C3" s="1"/>
      <c r="D3" s="1"/>
      <c r="E3" s="1"/>
      <c r="F3" s="1"/>
    </row>
    <row r="4" spans="1:6" ht="18.5" x14ac:dyDescent="0.45">
      <c r="A4" s="1" t="s">
        <v>815</v>
      </c>
      <c r="B4" s="1"/>
      <c r="C4" s="1"/>
      <c r="D4" s="1"/>
      <c r="E4" s="1"/>
      <c r="F4" s="1"/>
    </row>
    <row r="5" spans="1:6" ht="18.5" x14ac:dyDescent="0.45">
      <c r="A5" s="1" t="s">
        <v>176</v>
      </c>
      <c r="B5" s="1"/>
      <c r="C5" s="1"/>
      <c r="D5" s="1"/>
      <c r="E5" s="1"/>
      <c r="F5" s="1"/>
    </row>
    <row r="6" spans="1:6" ht="18.5" x14ac:dyDescent="0.45">
      <c r="A6" s="1" t="s">
        <v>177</v>
      </c>
      <c r="B6" s="1"/>
      <c r="C6" s="1"/>
      <c r="D6" s="1" t="s">
        <v>178</v>
      </c>
      <c r="F6" s="1"/>
    </row>
    <row r="7" spans="1:6" x14ac:dyDescent="0.35">
      <c r="A7" s="43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1" t="s">
        <v>5</v>
      </c>
    </row>
    <row r="8" spans="1:6" x14ac:dyDescent="0.35">
      <c r="A8" t="s">
        <v>179</v>
      </c>
      <c r="B8">
        <v>2528</v>
      </c>
      <c r="C8" t="s">
        <v>180</v>
      </c>
      <c r="D8" s="16">
        <v>120000</v>
      </c>
      <c r="E8" s="16">
        <v>120000</v>
      </c>
      <c r="F8" s="16">
        <v>330000</v>
      </c>
    </row>
    <row r="9" spans="1:6" x14ac:dyDescent="0.35">
      <c r="A9" s="21">
        <v>44693</v>
      </c>
      <c r="B9">
        <v>2529</v>
      </c>
      <c r="C9" t="s">
        <v>97</v>
      </c>
      <c r="D9" s="16">
        <v>10000</v>
      </c>
      <c r="E9" s="16">
        <f>SUM(E8+D9)</f>
        <v>130000</v>
      </c>
      <c r="F9" s="16">
        <f>F8-D9</f>
        <v>320000</v>
      </c>
    </row>
    <row r="10" spans="1:6" x14ac:dyDescent="0.35">
      <c r="A10" s="21">
        <v>45233</v>
      </c>
      <c r="B10">
        <v>2135</v>
      </c>
      <c r="C10" t="s">
        <v>52</v>
      </c>
      <c r="D10" s="16">
        <v>10000</v>
      </c>
      <c r="E10" s="16">
        <f t="shared" ref="E10:E40" si="0">SUM(E9+D10)</f>
        <v>140000</v>
      </c>
      <c r="F10" s="16">
        <f t="shared" ref="F10:F40" si="1">F9-D10</f>
        <v>310000</v>
      </c>
    </row>
    <row r="11" spans="1:6" x14ac:dyDescent="0.35">
      <c r="A11" s="21">
        <v>45203</v>
      </c>
      <c r="B11">
        <v>1098</v>
      </c>
      <c r="C11" t="s">
        <v>52</v>
      </c>
      <c r="D11" s="16">
        <v>10000</v>
      </c>
      <c r="E11" s="16">
        <f t="shared" si="0"/>
        <v>150000</v>
      </c>
      <c r="F11" s="16">
        <f t="shared" si="1"/>
        <v>300000</v>
      </c>
    </row>
    <row r="12" spans="1:6" x14ac:dyDescent="0.35">
      <c r="A12" s="21">
        <v>44839</v>
      </c>
      <c r="B12">
        <v>763</v>
      </c>
      <c r="C12" t="s">
        <v>52</v>
      </c>
      <c r="D12" s="16">
        <v>10000</v>
      </c>
      <c r="E12" s="16">
        <f t="shared" si="0"/>
        <v>160000</v>
      </c>
      <c r="F12" s="16">
        <f t="shared" si="1"/>
        <v>290000</v>
      </c>
    </row>
    <row r="13" spans="1:6" x14ac:dyDescent="0.35">
      <c r="B13">
        <v>349</v>
      </c>
      <c r="C13" t="s">
        <v>52</v>
      </c>
      <c r="D13" s="16">
        <v>10000</v>
      </c>
      <c r="E13" s="16">
        <f t="shared" si="0"/>
        <v>170000</v>
      </c>
      <c r="F13" s="16">
        <f t="shared" si="1"/>
        <v>280000</v>
      </c>
    </row>
    <row r="14" spans="1:6" x14ac:dyDescent="0.35">
      <c r="A14" s="21">
        <v>45176</v>
      </c>
      <c r="B14">
        <v>2619</v>
      </c>
      <c r="C14" t="s">
        <v>52</v>
      </c>
      <c r="D14" s="16">
        <v>10000</v>
      </c>
      <c r="E14" s="16">
        <f t="shared" si="0"/>
        <v>180000</v>
      </c>
      <c r="F14" s="16">
        <f t="shared" si="1"/>
        <v>270000</v>
      </c>
    </row>
    <row r="15" spans="1:6" x14ac:dyDescent="0.35">
      <c r="A15" s="21">
        <v>45207</v>
      </c>
      <c r="B15">
        <v>2324</v>
      </c>
      <c r="C15" t="s">
        <v>52</v>
      </c>
      <c r="D15" s="16">
        <v>10000</v>
      </c>
      <c r="E15" s="16">
        <f t="shared" si="0"/>
        <v>190000</v>
      </c>
      <c r="F15" s="16">
        <f t="shared" si="1"/>
        <v>260000</v>
      </c>
    </row>
    <row r="16" spans="1:6" x14ac:dyDescent="0.35">
      <c r="A16" s="21">
        <v>45208</v>
      </c>
      <c r="B16">
        <v>3499</v>
      </c>
      <c r="C16" t="s">
        <v>52</v>
      </c>
      <c r="D16" s="16">
        <v>10000</v>
      </c>
      <c r="E16" s="16">
        <f t="shared" si="0"/>
        <v>200000</v>
      </c>
      <c r="F16" s="16">
        <f t="shared" si="1"/>
        <v>250000</v>
      </c>
    </row>
    <row r="17" spans="1:6" x14ac:dyDescent="0.35">
      <c r="A17" s="21">
        <v>45209</v>
      </c>
      <c r="B17">
        <v>4146</v>
      </c>
      <c r="C17" t="s">
        <v>52</v>
      </c>
      <c r="D17" s="16">
        <v>10000</v>
      </c>
      <c r="E17" s="16">
        <f t="shared" si="0"/>
        <v>210000</v>
      </c>
      <c r="F17" s="16">
        <f t="shared" si="1"/>
        <v>240000</v>
      </c>
    </row>
    <row r="18" spans="1:6" x14ac:dyDescent="0.35">
      <c r="A18" s="21">
        <v>45210</v>
      </c>
      <c r="B18">
        <v>4809</v>
      </c>
      <c r="C18" t="s">
        <v>52</v>
      </c>
      <c r="D18" s="16">
        <v>10000</v>
      </c>
      <c r="E18" s="16">
        <f t="shared" si="0"/>
        <v>220000</v>
      </c>
      <c r="F18" s="16">
        <f t="shared" si="1"/>
        <v>230000</v>
      </c>
    </row>
    <row r="19" spans="1:6" x14ac:dyDescent="0.35">
      <c r="A19" s="21">
        <v>45211</v>
      </c>
      <c r="B19">
        <v>5415</v>
      </c>
      <c r="C19" t="s">
        <v>52</v>
      </c>
      <c r="D19" s="16">
        <v>10000</v>
      </c>
      <c r="E19" s="16">
        <f t="shared" si="0"/>
        <v>230000</v>
      </c>
      <c r="F19" s="16">
        <f t="shared" si="1"/>
        <v>220000</v>
      </c>
    </row>
    <row r="20" spans="1:6" x14ac:dyDescent="0.35">
      <c r="A20" s="21">
        <v>45597</v>
      </c>
      <c r="B20">
        <v>6092</v>
      </c>
      <c r="C20" t="s">
        <v>52</v>
      </c>
      <c r="D20" s="16">
        <v>10000</v>
      </c>
      <c r="E20" s="16">
        <f t="shared" si="0"/>
        <v>240000</v>
      </c>
      <c r="F20" s="16">
        <f t="shared" si="1"/>
        <v>210000</v>
      </c>
    </row>
    <row r="21" spans="1:6" x14ac:dyDescent="0.35">
      <c r="A21" s="21">
        <v>45598</v>
      </c>
      <c r="B21">
        <v>7090</v>
      </c>
      <c r="C21" t="s">
        <v>52</v>
      </c>
      <c r="D21" s="16">
        <v>10000</v>
      </c>
      <c r="E21" s="16">
        <f t="shared" si="0"/>
        <v>250000</v>
      </c>
      <c r="F21" s="16">
        <f t="shared" si="1"/>
        <v>200000</v>
      </c>
    </row>
    <row r="22" spans="1:6" x14ac:dyDescent="0.35">
      <c r="A22" t="s">
        <v>181</v>
      </c>
      <c r="B22">
        <v>7307</v>
      </c>
      <c r="C22" t="s">
        <v>52</v>
      </c>
      <c r="D22" s="16">
        <v>10000</v>
      </c>
      <c r="E22" s="16">
        <f t="shared" si="0"/>
        <v>260000</v>
      </c>
      <c r="F22" s="16">
        <f t="shared" si="1"/>
        <v>190000</v>
      </c>
    </row>
    <row r="23" spans="1:6" x14ac:dyDescent="0.35">
      <c r="A23" s="21">
        <v>45477</v>
      </c>
      <c r="B23">
        <v>7744</v>
      </c>
      <c r="C23" t="s">
        <v>52</v>
      </c>
      <c r="D23" s="16">
        <v>10000</v>
      </c>
      <c r="E23" s="16">
        <f t="shared" si="0"/>
        <v>270000</v>
      </c>
      <c r="F23" s="16">
        <f t="shared" si="1"/>
        <v>180000</v>
      </c>
    </row>
    <row r="24" spans="1:6" x14ac:dyDescent="0.35">
      <c r="A24" s="21">
        <v>45570</v>
      </c>
      <c r="B24">
        <v>8380</v>
      </c>
      <c r="C24" t="s">
        <v>52</v>
      </c>
      <c r="D24" s="16">
        <v>10000</v>
      </c>
      <c r="E24" s="16">
        <f t="shared" si="0"/>
        <v>280000</v>
      </c>
      <c r="F24" s="16">
        <f t="shared" si="1"/>
        <v>170000</v>
      </c>
    </row>
    <row r="25" spans="1:6" x14ac:dyDescent="0.35">
      <c r="A25" s="21">
        <v>45571</v>
      </c>
      <c r="B25">
        <v>8968</v>
      </c>
      <c r="C25" t="s">
        <v>52</v>
      </c>
      <c r="D25" s="16">
        <v>10000</v>
      </c>
      <c r="E25" s="16">
        <f t="shared" si="0"/>
        <v>290000</v>
      </c>
      <c r="F25" s="16">
        <f t="shared" si="1"/>
        <v>160000</v>
      </c>
    </row>
    <row r="26" spans="1:6" x14ac:dyDescent="0.35">
      <c r="A26" s="21">
        <v>45604</v>
      </c>
      <c r="B26">
        <v>11045</v>
      </c>
      <c r="C26" t="s">
        <v>52</v>
      </c>
      <c r="D26" s="16">
        <v>10000</v>
      </c>
      <c r="E26" s="16">
        <f t="shared" si="0"/>
        <v>300000</v>
      </c>
      <c r="F26" s="16">
        <f t="shared" si="1"/>
        <v>150000</v>
      </c>
    </row>
    <row r="27" spans="1:6" x14ac:dyDescent="0.35">
      <c r="A27" t="s">
        <v>182</v>
      </c>
      <c r="B27">
        <v>10880</v>
      </c>
      <c r="C27" t="s">
        <v>52</v>
      </c>
      <c r="D27" s="16">
        <v>10000</v>
      </c>
      <c r="E27" s="16">
        <f t="shared" si="0"/>
        <v>310000</v>
      </c>
      <c r="F27" s="16">
        <f t="shared" si="1"/>
        <v>140000</v>
      </c>
    </row>
    <row r="28" spans="1:6" x14ac:dyDescent="0.35">
      <c r="A28" t="s">
        <v>183</v>
      </c>
      <c r="B28">
        <v>10301</v>
      </c>
      <c r="C28" t="s">
        <v>52</v>
      </c>
      <c r="D28" s="16">
        <v>10000</v>
      </c>
      <c r="E28" s="16">
        <f t="shared" si="0"/>
        <v>320000</v>
      </c>
      <c r="F28" s="16">
        <f t="shared" si="1"/>
        <v>130000</v>
      </c>
    </row>
    <row r="29" spans="1:6" x14ac:dyDescent="0.35">
      <c r="A29" t="s">
        <v>184</v>
      </c>
      <c r="B29">
        <v>12488</v>
      </c>
      <c r="C29" t="s">
        <v>52</v>
      </c>
      <c r="D29" s="16">
        <v>10000</v>
      </c>
      <c r="E29" s="16">
        <f t="shared" si="0"/>
        <v>330000</v>
      </c>
      <c r="F29" s="16">
        <f t="shared" si="1"/>
        <v>120000</v>
      </c>
    </row>
    <row r="30" spans="1:6" x14ac:dyDescent="0.35">
      <c r="A30" s="21">
        <v>45809</v>
      </c>
      <c r="B30">
        <v>12920</v>
      </c>
      <c r="C30" t="s">
        <v>52</v>
      </c>
      <c r="D30" s="16">
        <v>10000</v>
      </c>
      <c r="E30" s="16">
        <f t="shared" si="0"/>
        <v>340000</v>
      </c>
      <c r="F30" s="16">
        <f t="shared" si="1"/>
        <v>110000</v>
      </c>
    </row>
    <row r="31" spans="1:6" x14ac:dyDescent="0.35">
      <c r="A31" s="21">
        <v>45934</v>
      </c>
      <c r="B31">
        <v>9992</v>
      </c>
      <c r="C31" t="s">
        <v>52</v>
      </c>
      <c r="D31" s="16">
        <v>10000</v>
      </c>
      <c r="E31" s="16">
        <f t="shared" si="0"/>
        <v>350000</v>
      </c>
      <c r="F31" s="16">
        <f t="shared" si="1"/>
        <v>100000</v>
      </c>
    </row>
    <row r="32" spans="1:6" x14ac:dyDescent="0.35">
      <c r="A32" s="21">
        <v>45966</v>
      </c>
      <c r="B32">
        <v>10942</v>
      </c>
      <c r="C32" t="s">
        <v>52</v>
      </c>
      <c r="D32" s="16">
        <v>10000</v>
      </c>
      <c r="E32" s="16">
        <f t="shared" si="0"/>
        <v>360000</v>
      </c>
      <c r="F32" s="16">
        <f t="shared" si="1"/>
        <v>90000</v>
      </c>
    </row>
    <row r="33" spans="1:6" x14ac:dyDescent="0.35">
      <c r="A33" s="21">
        <v>45967</v>
      </c>
      <c r="B33">
        <v>10276</v>
      </c>
      <c r="C33" t="s">
        <v>52</v>
      </c>
      <c r="D33" s="16">
        <v>10000</v>
      </c>
      <c r="E33" s="16">
        <f t="shared" si="0"/>
        <v>370000</v>
      </c>
      <c r="F33" s="16">
        <f t="shared" si="1"/>
        <v>80000</v>
      </c>
    </row>
    <row r="34" spans="1:6" x14ac:dyDescent="0.35">
      <c r="A34" s="21">
        <v>45937</v>
      </c>
      <c r="B34">
        <v>12137</v>
      </c>
      <c r="C34" t="s">
        <v>52</v>
      </c>
      <c r="D34" s="16">
        <v>10000</v>
      </c>
      <c r="E34" s="16">
        <f t="shared" si="0"/>
        <v>380000</v>
      </c>
      <c r="F34" s="16">
        <f t="shared" si="1"/>
        <v>70000</v>
      </c>
    </row>
    <row r="35" spans="1:6" x14ac:dyDescent="0.35">
      <c r="A35" s="21">
        <v>45938</v>
      </c>
      <c r="B35">
        <v>12463</v>
      </c>
      <c r="C35" t="s">
        <v>52</v>
      </c>
      <c r="D35" s="16">
        <v>10000</v>
      </c>
      <c r="E35" s="16">
        <f t="shared" si="0"/>
        <v>390000</v>
      </c>
      <c r="F35" s="16">
        <f t="shared" si="1"/>
        <v>60000</v>
      </c>
    </row>
    <row r="36" spans="1:6" x14ac:dyDescent="0.35">
      <c r="A36" t="s">
        <v>185</v>
      </c>
      <c r="B36">
        <v>12728</v>
      </c>
      <c r="C36" t="s">
        <v>52</v>
      </c>
      <c r="D36" s="16">
        <v>10000</v>
      </c>
      <c r="E36" s="16">
        <f t="shared" si="0"/>
        <v>400000</v>
      </c>
      <c r="F36" s="16">
        <f t="shared" si="1"/>
        <v>50000</v>
      </c>
    </row>
    <row r="37" spans="1:6" x14ac:dyDescent="0.35">
      <c r="A37" s="21">
        <v>46001</v>
      </c>
      <c r="B37">
        <v>13771</v>
      </c>
      <c r="C37" t="s">
        <v>52</v>
      </c>
      <c r="D37" s="16">
        <v>10000</v>
      </c>
      <c r="E37" s="16">
        <f t="shared" si="0"/>
        <v>410000</v>
      </c>
      <c r="F37" s="16">
        <f t="shared" si="1"/>
        <v>40000</v>
      </c>
    </row>
    <row r="38" spans="1:6" x14ac:dyDescent="0.35">
      <c r="A38" s="21">
        <v>45942</v>
      </c>
      <c r="B38">
        <v>13150</v>
      </c>
      <c r="C38" t="s">
        <v>52</v>
      </c>
      <c r="D38" s="16">
        <v>10000</v>
      </c>
      <c r="E38" s="16">
        <f t="shared" si="0"/>
        <v>420000</v>
      </c>
      <c r="F38" s="16">
        <f t="shared" si="1"/>
        <v>30000</v>
      </c>
    </row>
    <row r="39" spans="1:6" x14ac:dyDescent="0.35">
      <c r="A39" s="21">
        <v>46327</v>
      </c>
      <c r="B39">
        <v>12073</v>
      </c>
      <c r="C39" t="s">
        <v>52</v>
      </c>
      <c r="D39" s="16">
        <v>10000</v>
      </c>
      <c r="E39" s="16">
        <f t="shared" si="0"/>
        <v>430000</v>
      </c>
      <c r="F39" s="16">
        <f t="shared" si="1"/>
        <v>20000</v>
      </c>
    </row>
    <row r="40" spans="1:6" x14ac:dyDescent="0.35">
      <c r="A40" t="s">
        <v>186</v>
      </c>
      <c r="B40">
        <v>12493</v>
      </c>
      <c r="C40" t="s">
        <v>52</v>
      </c>
      <c r="D40" s="16">
        <v>10000</v>
      </c>
      <c r="E40" s="16">
        <f t="shared" si="0"/>
        <v>440000</v>
      </c>
      <c r="F40" s="16">
        <f t="shared" si="1"/>
        <v>10000</v>
      </c>
    </row>
    <row r="41" spans="1:6" x14ac:dyDescent="0.35">
      <c r="A41" s="21">
        <v>46300</v>
      </c>
      <c r="B41">
        <v>12983</v>
      </c>
      <c r="C41" t="s">
        <v>52</v>
      </c>
      <c r="D41" s="16">
        <v>10000</v>
      </c>
      <c r="E41" s="16">
        <f>SUM(E40+D41)</f>
        <v>450000</v>
      </c>
      <c r="F41" s="16">
        <f>F40-D41</f>
        <v>0</v>
      </c>
    </row>
    <row r="42" spans="1:6" x14ac:dyDescent="0.35">
      <c r="A42" s="21"/>
      <c r="D42" s="16"/>
      <c r="E42" s="16"/>
      <c r="F42" s="16"/>
    </row>
    <row r="43" spans="1:6" ht="18.5" x14ac:dyDescent="0.45">
      <c r="A43" s="80"/>
      <c r="B43" s="73"/>
      <c r="C43" s="73"/>
      <c r="D43" s="81"/>
      <c r="E43" s="81">
        <f>SUM(E42+D43)</f>
        <v>0</v>
      </c>
      <c r="F43" s="81">
        <f>F42-D43</f>
        <v>0</v>
      </c>
    </row>
    <row r="44" spans="1:6" ht="18.5" x14ac:dyDescent="0.45">
      <c r="A44" s="106" t="s">
        <v>269</v>
      </c>
      <c r="B44" s="106"/>
      <c r="C44" s="106"/>
    </row>
    <row r="45" spans="1:6" x14ac:dyDescent="0.35">
      <c r="A45" s="50" t="s">
        <v>0</v>
      </c>
      <c r="B45" s="43" t="s">
        <v>1</v>
      </c>
      <c r="C45" s="43" t="s">
        <v>2</v>
      </c>
      <c r="D45" s="41" t="s">
        <v>3</v>
      </c>
      <c r="E45" s="41" t="s">
        <v>4</v>
      </c>
      <c r="F45" s="42" t="s">
        <v>5</v>
      </c>
    </row>
    <row r="46" spans="1:6" x14ac:dyDescent="0.35">
      <c r="A46" s="11" t="s">
        <v>684</v>
      </c>
      <c r="B46" s="11">
        <v>1979</v>
      </c>
      <c r="C46" s="11" t="s">
        <v>778</v>
      </c>
      <c r="D46" s="12">
        <v>100000</v>
      </c>
      <c r="E46" s="12">
        <v>100000</v>
      </c>
      <c r="F46" s="12">
        <v>450000</v>
      </c>
    </row>
    <row r="47" spans="1:6" x14ac:dyDescent="0.35">
      <c r="A47" s="11" t="s">
        <v>779</v>
      </c>
      <c r="B47" s="11">
        <v>2096</v>
      </c>
      <c r="C47" s="11" t="s">
        <v>778</v>
      </c>
      <c r="D47" s="12">
        <v>50000</v>
      </c>
      <c r="E47" s="12">
        <f>E46+D47</f>
        <v>150000</v>
      </c>
      <c r="F47" s="12">
        <f>F46-D47</f>
        <v>400000</v>
      </c>
    </row>
    <row r="48" spans="1:6" ht="18.5" x14ac:dyDescent="0.45">
      <c r="A48" s="11" t="s">
        <v>816</v>
      </c>
      <c r="B48" s="11">
        <v>2133</v>
      </c>
      <c r="C48" s="11" t="s">
        <v>778</v>
      </c>
      <c r="D48" s="12">
        <v>50000</v>
      </c>
      <c r="E48" s="12">
        <f>E47+D48</f>
        <v>200000</v>
      </c>
      <c r="F48" s="124" t="s">
        <v>541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H12" sqref="H12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269531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98</v>
      </c>
      <c r="B1" s="1"/>
      <c r="C1" s="1"/>
      <c r="D1" s="1"/>
      <c r="E1" s="1"/>
      <c r="F1" s="1"/>
    </row>
    <row r="2" spans="1:6" ht="18.5" x14ac:dyDescent="0.45">
      <c r="A2" s="1" t="s">
        <v>99</v>
      </c>
      <c r="C2" s="1"/>
      <c r="D2" s="1"/>
      <c r="E2" s="1"/>
      <c r="F2" s="1"/>
    </row>
    <row r="3" spans="1:6" ht="18.5" x14ac:dyDescent="0.45">
      <c r="A3" s="1" t="s">
        <v>100</v>
      </c>
      <c r="B3" s="1"/>
      <c r="C3" s="1"/>
      <c r="D3" s="1"/>
      <c r="E3" s="1"/>
      <c r="F3" s="1"/>
    </row>
    <row r="4" spans="1:6" ht="18.5" x14ac:dyDescent="0.45">
      <c r="A4" s="1" t="s">
        <v>416</v>
      </c>
      <c r="B4" s="1"/>
      <c r="C4" s="1"/>
      <c r="D4" s="1"/>
      <c r="E4" s="1"/>
      <c r="F4" s="1"/>
    </row>
    <row r="5" spans="1:6" ht="18.5" x14ac:dyDescent="0.45">
      <c r="A5" s="1" t="s">
        <v>101</v>
      </c>
      <c r="B5" s="1"/>
      <c r="C5" s="1"/>
      <c r="D5" s="1"/>
      <c r="E5" s="1"/>
      <c r="F5" s="1"/>
    </row>
    <row r="6" spans="1:6" ht="18.5" x14ac:dyDescent="0.45">
      <c r="A6" s="1" t="s">
        <v>102</v>
      </c>
      <c r="B6" s="1"/>
      <c r="C6" s="1"/>
      <c r="D6" s="1" t="s">
        <v>103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44" t="s">
        <v>104</v>
      </c>
      <c r="B8" s="13">
        <v>9502</v>
      </c>
      <c r="C8" s="13" t="s">
        <v>87</v>
      </c>
      <c r="D8" s="14">
        <v>100000</v>
      </c>
      <c r="E8" s="14">
        <v>100000</v>
      </c>
      <c r="F8" s="45">
        <v>400000</v>
      </c>
    </row>
    <row r="9" spans="1:6" x14ac:dyDescent="0.35">
      <c r="A9" s="37">
        <v>45788</v>
      </c>
      <c r="B9" s="13">
        <v>13432</v>
      </c>
      <c r="C9" s="13" t="s">
        <v>52</v>
      </c>
      <c r="D9" s="14">
        <v>100000</v>
      </c>
      <c r="E9" s="14">
        <f>SUM(E8+D9)</f>
        <v>200000</v>
      </c>
      <c r="F9" s="45">
        <f>F8-D9</f>
        <v>300000</v>
      </c>
    </row>
    <row r="10" spans="1:6" x14ac:dyDescent="0.35">
      <c r="A10" s="44" t="s">
        <v>105</v>
      </c>
      <c r="B10" s="13">
        <v>13370</v>
      </c>
      <c r="C10" s="13" t="s">
        <v>52</v>
      </c>
      <c r="D10" s="14">
        <v>100000</v>
      </c>
      <c r="E10" s="14">
        <f t="shared" ref="E10:E14" si="0">SUM(E9+D10)</f>
        <v>300000</v>
      </c>
      <c r="F10" s="45">
        <f t="shared" ref="F10:F14" si="1">F9-D10</f>
        <v>200000</v>
      </c>
    </row>
    <row r="11" spans="1:6" x14ac:dyDescent="0.35">
      <c r="A11" s="44" t="s">
        <v>106</v>
      </c>
      <c r="B11" s="13">
        <v>13010</v>
      </c>
      <c r="C11" s="13" t="s">
        <v>52</v>
      </c>
      <c r="D11" s="14">
        <v>100000</v>
      </c>
      <c r="E11" s="14">
        <f t="shared" si="0"/>
        <v>400000</v>
      </c>
      <c r="F11" s="45">
        <f t="shared" si="1"/>
        <v>100000</v>
      </c>
    </row>
    <row r="12" spans="1:6" x14ac:dyDescent="0.35">
      <c r="A12" s="37">
        <v>46003</v>
      </c>
      <c r="B12" s="13">
        <v>13169</v>
      </c>
      <c r="C12" s="13" t="s">
        <v>52</v>
      </c>
      <c r="D12" s="14">
        <v>20000</v>
      </c>
      <c r="E12" s="14">
        <f t="shared" si="0"/>
        <v>420000</v>
      </c>
      <c r="F12" s="45">
        <f t="shared" si="1"/>
        <v>80000</v>
      </c>
    </row>
    <row r="13" spans="1:6" x14ac:dyDescent="0.35">
      <c r="A13" s="44" t="s">
        <v>107</v>
      </c>
      <c r="B13" s="13">
        <v>12125</v>
      </c>
      <c r="C13" s="13" t="s">
        <v>52</v>
      </c>
      <c r="D13" s="14">
        <v>15000</v>
      </c>
      <c r="E13" s="14">
        <f t="shared" si="0"/>
        <v>435000</v>
      </c>
      <c r="F13" s="45">
        <f t="shared" si="1"/>
        <v>65000</v>
      </c>
    </row>
    <row r="14" spans="1:6" x14ac:dyDescent="0.35">
      <c r="A14" s="46">
        <v>46267</v>
      </c>
      <c r="B14" s="47">
        <v>12401</v>
      </c>
      <c r="C14" s="47" t="s">
        <v>52</v>
      </c>
      <c r="D14" s="48">
        <v>10000</v>
      </c>
      <c r="E14" s="48">
        <f t="shared" si="0"/>
        <v>445000</v>
      </c>
      <c r="F14" s="49">
        <f t="shared" si="1"/>
        <v>55000</v>
      </c>
    </row>
    <row r="15" spans="1:6" x14ac:dyDescent="0.35">
      <c r="A15" s="46">
        <v>46176</v>
      </c>
      <c r="B15" s="47">
        <v>12757</v>
      </c>
      <c r="C15" s="47" t="s">
        <v>52</v>
      </c>
      <c r="D15" s="48">
        <v>10000</v>
      </c>
      <c r="E15" s="48">
        <f>SUM(E14+D15)</f>
        <v>455000</v>
      </c>
      <c r="F15" s="49">
        <f>F14-D15</f>
        <v>45000</v>
      </c>
    </row>
    <row r="16" spans="1:6" x14ac:dyDescent="0.35">
      <c r="A16" s="46">
        <v>46146</v>
      </c>
      <c r="B16" s="47">
        <v>13128</v>
      </c>
      <c r="C16" s="47" t="s">
        <v>52</v>
      </c>
      <c r="D16" s="48">
        <v>10000</v>
      </c>
      <c r="E16" s="48">
        <f>SUM(E15+D16)</f>
        <v>465000</v>
      </c>
      <c r="F16" s="49">
        <f>F15-D16</f>
        <v>35000</v>
      </c>
    </row>
    <row r="17" spans="1:6" x14ac:dyDescent="0.35">
      <c r="A17" s="46">
        <v>46147</v>
      </c>
      <c r="B17" s="47">
        <v>12937</v>
      </c>
      <c r="C17" s="47" t="s">
        <v>52</v>
      </c>
      <c r="D17" s="48">
        <v>10000</v>
      </c>
      <c r="E17" s="48">
        <f>SUM(E16+D17)</f>
        <v>475000</v>
      </c>
      <c r="F17" s="49">
        <f>F16-D17</f>
        <v>25000</v>
      </c>
    </row>
    <row r="18" spans="1:6" x14ac:dyDescent="0.35">
      <c r="A18" t="s">
        <v>500</v>
      </c>
      <c r="B18">
        <v>13509</v>
      </c>
      <c r="C18" t="s">
        <v>52</v>
      </c>
      <c r="D18" s="75">
        <v>10000</v>
      </c>
      <c r="E18" s="75">
        <f>E17+D18</f>
        <v>485000</v>
      </c>
      <c r="F18" s="75">
        <f>F17-D18</f>
        <v>15000</v>
      </c>
    </row>
    <row r="19" spans="1:6" x14ac:dyDescent="0.35">
      <c r="A19" t="s">
        <v>620</v>
      </c>
      <c r="B19">
        <v>1441</v>
      </c>
      <c r="C19" t="s">
        <v>403</v>
      </c>
      <c r="D19" s="75">
        <v>10000</v>
      </c>
      <c r="E19" s="75">
        <f>E18+D19</f>
        <v>495000</v>
      </c>
      <c r="F19" s="75">
        <f>F18-D19</f>
        <v>5000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14" sqref="F14"/>
    </sheetView>
  </sheetViews>
  <sheetFormatPr defaultRowHeight="14.5" x14ac:dyDescent="0.35"/>
  <cols>
    <col min="1" max="1" width="9.453125" bestFit="1" customWidth="1"/>
    <col min="3" max="3" width="19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108</v>
      </c>
      <c r="B1" s="1"/>
      <c r="C1" s="1"/>
      <c r="D1" s="1"/>
      <c r="E1" s="1"/>
      <c r="F1" s="1"/>
    </row>
    <row r="2" spans="1:6" ht="18.5" x14ac:dyDescent="0.45">
      <c r="A2" s="1" t="s">
        <v>109</v>
      </c>
      <c r="C2" s="1"/>
      <c r="D2" s="1"/>
      <c r="E2" s="1"/>
      <c r="F2" s="1"/>
    </row>
    <row r="3" spans="1:6" ht="18.5" x14ac:dyDescent="0.45">
      <c r="A3" s="1" t="s">
        <v>110</v>
      </c>
      <c r="B3" s="1"/>
      <c r="C3" s="1"/>
      <c r="D3" s="1"/>
      <c r="E3" s="1"/>
      <c r="F3" s="1"/>
    </row>
    <row r="4" spans="1:6" ht="18.5" x14ac:dyDescent="0.45">
      <c r="A4" s="1" t="s">
        <v>454</v>
      </c>
      <c r="B4" s="1"/>
      <c r="C4" s="1"/>
      <c r="D4" s="1"/>
      <c r="E4" s="1"/>
      <c r="F4" s="1"/>
    </row>
    <row r="5" spans="1:6" ht="18.5" x14ac:dyDescent="0.45">
      <c r="A5" s="1" t="s">
        <v>111</v>
      </c>
      <c r="B5" s="1"/>
      <c r="C5" s="1"/>
      <c r="D5" s="1"/>
      <c r="E5" s="1"/>
      <c r="F5" s="1"/>
    </row>
    <row r="6" spans="1:6" ht="18.5" x14ac:dyDescent="0.45">
      <c r="A6" s="1" t="s">
        <v>112</v>
      </c>
      <c r="B6" s="1"/>
      <c r="C6" s="1"/>
      <c r="D6" s="1" t="s">
        <v>50</v>
      </c>
      <c r="F6" s="1"/>
    </row>
    <row r="7" spans="1:6" x14ac:dyDescent="0.35">
      <c r="A7" s="52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1" t="s">
        <v>5</v>
      </c>
    </row>
    <row r="8" spans="1:6" x14ac:dyDescent="0.35">
      <c r="A8" s="21">
        <v>46056</v>
      </c>
      <c r="B8">
        <v>5627</v>
      </c>
      <c r="C8" t="s">
        <v>114</v>
      </c>
      <c r="D8" s="16">
        <v>150000</v>
      </c>
      <c r="E8" s="16">
        <v>150000</v>
      </c>
      <c r="F8" t="s">
        <v>115</v>
      </c>
    </row>
    <row r="9" spans="1:6" x14ac:dyDescent="0.35">
      <c r="A9" s="21">
        <v>46056</v>
      </c>
      <c r="B9">
        <v>12718</v>
      </c>
      <c r="C9" t="s">
        <v>113</v>
      </c>
      <c r="D9" s="16">
        <v>200000</v>
      </c>
      <c r="E9" s="16">
        <v>200000</v>
      </c>
      <c r="F9" s="16">
        <v>600000</v>
      </c>
    </row>
    <row r="10" spans="1:6" x14ac:dyDescent="0.35">
      <c r="A10" s="21">
        <v>46177</v>
      </c>
      <c r="B10">
        <v>13165</v>
      </c>
      <c r="C10" t="s">
        <v>7</v>
      </c>
      <c r="D10" s="16">
        <v>10000</v>
      </c>
      <c r="E10" s="16">
        <v>210000</v>
      </c>
      <c r="F10" s="16">
        <v>590000</v>
      </c>
    </row>
    <row r="11" spans="1:6" x14ac:dyDescent="0.35">
      <c r="A11" s="21">
        <v>46331</v>
      </c>
      <c r="B11">
        <v>13323</v>
      </c>
      <c r="C11" t="s">
        <v>7</v>
      </c>
      <c r="D11" s="16">
        <v>10000</v>
      </c>
      <c r="E11" s="16">
        <f>E10+Table7[[#This Row],[Amount Rec]]</f>
        <v>220000</v>
      </c>
      <c r="F11" s="16">
        <f>F10-Table7[[#This Row],[Amount Rec]]</f>
        <v>580000</v>
      </c>
    </row>
    <row r="12" spans="1:6" x14ac:dyDescent="0.35">
      <c r="A12" t="s">
        <v>503</v>
      </c>
      <c r="B12">
        <v>13575</v>
      </c>
      <c r="C12" t="s">
        <v>7</v>
      </c>
      <c r="D12" s="16">
        <v>10000</v>
      </c>
      <c r="E12" s="16">
        <f>E11+D12</f>
        <v>230000</v>
      </c>
      <c r="F12" s="16">
        <f>F11-D12</f>
        <v>570000</v>
      </c>
    </row>
    <row r="13" spans="1:6" x14ac:dyDescent="0.35">
      <c r="A13" t="s">
        <v>622</v>
      </c>
      <c r="B13">
        <v>1486</v>
      </c>
      <c r="C13" t="s">
        <v>7</v>
      </c>
      <c r="D13" s="16">
        <v>10000</v>
      </c>
      <c r="E13" s="16">
        <f>E12+D13</f>
        <v>240000</v>
      </c>
      <c r="F13" s="16">
        <f>F12-D13</f>
        <v>560000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6" sqref="A1:B6"/>
    </sheetView>
  </sheetViews>
  <sheetFormatPr defaultRowHeight="14.5" x14ac:dyDescent="0.35"/>
  <sheetData>
    <row r="1" spans="1:6" ht="18.5" x14ac:dyDescent="0.45">
      <c r="A1" s="1" t="s">
        <v>483</v>
      </c>
      <c r="B1" s="1" t="s">
        <v>489</v>
      </c>
    </row>
    <row r="2" spans="1:6" ht="18.5" x14ac:dyDescent="0.45">
      <c r="A2" s="1" t="s">
        <v>484</v>
      </c>
      <c r="B2" s="1" t="s">
        <v>490</v>
      </c>
    </row>
    <row r="3" spans="1:6" ht="18.5" x14ac:dyDescent="0.45">
      <c r="A3" s="1" t="s">
        <v>485</v>
      </c>
      <c r="B3" s="1" t="s">
        <v>491</v>
      </c>
    </row>
    <row r="4" spans="1:6" ht="18.5" x14ac:dyDescent="0.45">
      <c r="A4" s="1" t="s">
        <v>486</v>
      </c>
      <c r="B4" s="1" t="s">
        <v>492</v>
      </c>
    </row>
    <row r="5" spans="1:6" ht="18.5" x14ac:dyDescent="0.45">
      <c r="A5" s="1" t="s">
        <v>487</v>
      </c>
      <c r="B5" s="1" t="s">
        <v>493</v>
      </c>
    </row>
    <row r="6" spans="1:6" ht="18.5" x14ac:dyDescent="0.45">
      <c r="A6" s="1" t="s">
        <v>488</v>
      </c>
      <c r="B6" s="1">
        <v>5156</v>
      </c>
    </row>
    <row r="8" spans="1:6" x14ac:dyDescent="0.35">
      <c r="A8" s="85" t="s">
        <v>0</v>
      </c>
      <c r="B8" s="85" t="s">
        <v>1</v>
      </c>
      <c r="C8" s="85" t="s">
        <v>2</v>
      </c>
      <c r="D8" s="86" t="s">
        <v>3</v>
      </c>
      <c r="E8" s="86" t="s">
        <v>4</v>
      </c>
      <c r="F8" s="86" t="s">
        <v>5</v>
      </c>
    </row>
    <row r="9" spans="1:6" x14ac:dyDescent="0.35">
      <c r="A9" t="s">
        <v>494</v>
      </c>
      <c r="B9">
        <v>1659</v>
      </c>
      <c r="C9" t="s">
        <v>495</v>
      </c>
      <c r="D9" s="16">
        <v>325000</v>
      </c>
      <c r="E9" s="16">
        <v>325000</v>
      </c>
      <c r="F9" t="s">
        <v>496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selection activeCell="J19" sqref="J19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26953125" bestFit="1" customWidth="1"/>
    <col min="5" max="5" width="10.453125" customWidth="1"/>
    <col min="6" max="6" width="13.453125" customWidth="1"/>
  </cols>
  <sheetData>
    <row r="1" spans="1:15" ht="18.5" x14ac:dyDescent="0.45">
      <c r="A1" s="1" t="s">
        <v>89</v>
      </c>
      <c r="B1" s="1"/>
      <c r="C1" s="1"/>
      <c r="D1" s="1"/>
      <c r="E1" s="1"/>
      <c r="F1" s="1"/>
    </row>
    <row r="2" spans="1:15" ht="18.5" x14ac:dyDescent="0.45">
      <c r="A2" s="1" t="s">
        <v>90</v>
      </c>
      <c r="C2" s="1"/>
      <c r="D2" s="1"/>
      <c r="E2" s="1"/>
      <c r="F2" s="1"/>
    </row>
    <row r="3" spans="1:15" ht="18.5" x14ac:dyDescent="0.45">
      <c r="A3" s="1" t="s">
        <v>91</v>
      </c>
      <c r="B3" s="1"/>
      <c r="C3" s="1"/>
      <c r="D3" s="1"/>
      <c r="E3" s="1"/>
      <c r="F3" s="1"/>
    </row>
    <row r="4" spans="1:15" ht="18.5" x14ac:dyDescent="0.45">
      <c r="A4" s="1" t="s">
        <v>92</v>
      </c>
      <c r="B4" s="1"/>
      <c r="C4" s="1"/>
      <c r="D4" s="1"/>
      <c r="E4" s="1"/>
      <c r="F4" s="1"/>
    </row>
    <row r="5" spans="1:15" ht="18.5" x14ac:dyDescent="0.45">
      <c r="A5" s="1" t="s">
        <v>93</v>
      </c>
      <c r="B5" s="1"/>
      <c r="C5" s="1"/>
      <c r="D5" s="1" t="s">
        <v>94</v>
      </c>
      <c r="F5" s="1"/>
    </row>
    <row r="6" spans="1:15" x14ac:dyDescent="0.35">
      <c r="A6" s="50" t="s">
        <v>0</v>
      </c>
      <c r="B6" s="43" t="s">
        <v>1</v>
      </c>
      <c r="C6" s="43" t="s">
        <v>2</v>
      </c>
      <c r="D6" s="41" t="s">
        <v>3</v>
      </c>
      <c r="E6" s="41" t="s">
        <v>4</v>
      </c>
      <c r="F6" s="42" t="s">
        <v>5</v>
      </c>
    </row>
    <row r="7" spans="1:15" x14ac:dyDescent="0.35">
      <c r="A7" s="44" t="s">
        <v>95</v>
      </c>
      <c r="B7" s="13">
        <v>1128</v>
      </c>
      <c r="C7" s="13" t="s">
        <v>52</v>
      </c>
      <c r="D7" s="14">
        <v>10000</v>
      </c>
      <c r="E7" s="14">
        <v>10000</v>
      </c>
      <c r="F7" s="45">
        <v>356000</v>
      </c>
    </row>
    <row r="8" spans="1:15" x14ac:dyDescent="0.35">
      <c r="A8" s="44" t="s">
        <v>96</v>
      </c>
      <c r="B8" s="13">
        <v>1855</v>
      </c>
      <c r="C8" s="13" t="s">
        <v>97</v>
      </c>
      <c r="D8" s="14">
        <v>10000</v>
      </c>
      <c r="E8" s="14">
        <f>SUM(E7+D8)</f>
        <v>20000</v>
      </c>
      <c r="F8" s="45">
        <f>F7-D8</f>
        <v>346000</v>
      </c>
    </row>
    <row r="9" spans="1:15" x14ac:dyDescent="0.35">
      <c r="A9" s="37">
        <v>45050</v>
      </c>
      <c r="B9" s="13">
        <v>1856</v>
      </c>
      <c r="C9" s="13" t="s">
        <v>52</v>
      </c>
      <c r="D9" s="14">
        <v>13000</v>
      </c>
      <c r="E9" s="14">
        <f t="shared" ref="E9:E43" si="0">SUM(E8+D9)</f>
        <v>33000</v>
      </c>
      <c r="F9" s="45">
        <f t="shared" ref="F9:F43" si="1">F8-D9</f>
        <v>333000</v>
      </c>
    </row>
    <row r="10" spans="1:15" x14ac:dyDescent="0.35">
      <c r="A10" s="44" t="s">
        <v>60</v>
      </c>
      <c r="B10" s="13">
        <v>1541</v>
      </c>
      <c r="C10" s="13" t="s">
        <v>52</v>
      </c>
      <c r="D10" s="14">
        <v>10000</v>
      </c>
      <c r="E10" s="14">
        <f t="shared" si="0"/>
        <v>43000</v>
      </c>
      <c r="F10" s="45">
        <f t="shared" si="1"/>
        <v>323000</v>
      </c>
    </row>
    <row r="11" spans="1:15" x14ac:dyDescent="0.35">
      <c r="A11" s="37">
        <v>45205</v>
      </c>
      <c r="B11" s="13">
        <v>414</v>
      </c>
      <c r="C11" s="13" t="s">
        <v>52</v>
      </c>
      <c r="D11" s="14">
        <v>10000</v>
      </c>
      <c r="E11" s="14">
        <f t="shared" si="0"/>
        <v>53000</v>
      </c>
      <c r="F11" s="45">
        <f t="shared" si="1"/>
        <v>313000</v>
      </c>
    </row>
    <row r="12" spans="1:15" x14ac:dyDescent="0.35">
      <c r="A12" s="37">
        <v>45145</v>
      </c>
      <c r="B12" s="13">
        <v>2187</v>
      </c>
      <c r="C12" s="13" t="s">
        <v>52</v>
      </c>
      <c r="D12" s="14">
        <v>10000</v>
      </c>
      <c r="E12" s="14">
        <f t="shared" si="0"/>
        <v>63000</v>
      </c>
      <c r="F12" s="45">
        <f t="shared" si="1"/>
        <v>303000</v>
      </c>
      <c r="O12" s="16"/>
    </row>
    <row r="13" spans="1:15" x14ac:dyDescent="0.35">
      <c r="A13" s="37">
        <v>45207</v>
      </c>
      <c r="B13" s="13">
        <v>2329</v>
      </c>
      <c r="C13" s="13" t="s">
        <v>52</v>
      </c>
      <c r="D13" s="14">
        <v>10000</v>
      </c>
      <c r="E13" s="14">
        <f t="shared" si="0"/>
        <v>73000</v>
      </c>
      <c r="F13" s="45">
        <f t="shared" si="1"/>
        <v>293000</v>
      </c>
      <c r="O13" s="16"/>
    </row>
    <row r="14" spans="1:15" x14ac:dyDescent="0.35">
      <c r="A14" s="37">
        <v>45269</v>
      </c>
      <c r="B14" s="13">
        <v>3575</v>
      </c>
      <c r="C14" s="13" t="s">
        <v>52</v>
      </c>
      <c r="D14" s="14">
        <v>10000</v>
      </c>
      <c r="E14" s="14">
        <f t="shared" si="0"/>
        <v>83000</v>
      </c>
      <c r="F14" s="45">
        <f t="shared" si="1"/>
        <v>283000</v>
      </c>
      <c r="O14" s="16"/>
    </row>
    <row r="15" spans="1:15" x14ac:dyDescent="0.35">
      <c r="A15" s="37">
        <v>45179</v>
      </c>
      <c r="B15" s="13">
        <v>4127</v>
      </c>
      <c r="C15" s="13" t="s">
        <v>52</v>
      </c>
      <c r="D15" s="14">
        <v>10000</v>
      </c>
      <c r="E15" s="14">
        <f t="shared" si="0"/>
        <v>93000</v>
      </c>
      <c r="F15" s="45">
        <f t="shared" si="1"/>
        <v>273000</v>
      </c>
      <c r="O15" s="16"/>
    </row>
    <row r="16" spans="1:15" x14ac:dyDescent="0.35">
      <c r="A16" s="37">
        <v>45149</v>
      </c>
      <c r="B16" s="13">
        <v>4710</v>
      </c>
      <c r="C16" s="13" t="s">
        <v>52</v>
      </c>
      <c r="D16" s="14">
        <v>10000</v>
      </c>
      <c r="E16" s="14">
        <f t="shared" si="0"/>
        <v>103000</v>
      </c>
      <c r="F16" s="45">
        <f t="shared" si="1"/>
        <v>263000</v>
      </c>
      <c r="O16" s="16"/>
    </row>
    <row r="17" spans="1:15" x14ac:dyDescent="0.35">
      <c r="A17" s="37">
        <v>45181</v>
      </c>
      <c r="B17" s="13">
        <v>5398</v>
      </c>
      <c r="C17" s="13" t="s">
        <v>52</v>
      </c>
      <c r="D17" s="14">
        <v>10000</v>
      </c>
      <c r="E17" s="14">
        <f t="shared" si="0"/>
        <v>113000</v>
      </c>
      <c r="F17" s="45">
        <f t="shared" si="1"/>
        <v>253000</v>
      </c>
      <c r="O17" s="16"/>
    </row>
    <row r="18" spans="1:15" x14ac:dyDescent="0.35">
      <c r="A18" s="37">
        <v>45627</v>
      </c>
      <c r="B18" s="13">
        <v>6120</v>
      </c>
      <c r="C18" s="13" t="s">
        <v>52</v>
      </c>
      <c r="D18" s="14">
        <v>10000</v>
      </c>
      <c r="E18" s="14">
        <f t="shared" si="0"/>
        <v>123000</v>
      </c>
      <c r="F18" s="45">
        <f t="shared" si="1"/>
        <v>243000</v>
      </c>
      <c r="O18" s="16"/>
    </row>
    <row r="19" spans="1:15" x14ac:dyDescent="0.35">
      <c r="A19" s="37">
        <v>45537</v>
      </c>
      <c r="B19" s="13">
        <v>6588</v>
      </c>
      <c r="C19" s="13" t="s">
        <v>52</v>
      </c>
      <c r="D19" s="14">
        <v>10000</v>
      </c>
      <c r="E19" s="14">
        <f t="shared" si="0"/>
        <v>133000</v>
      </c>
      <c r="F19" s="45">
        <f t="shared" si="1"/>
        <v>233000</v>
      </c>
      <c r="O19" s="16"/>
    </row>
    <row r="20" spans="1:15" x14ac:dyDescent="0.35">
      <c r="A20" s="37">
        <v>45538</v>
      </c>
      <c r="B20" s="13">
        <v>6983</v>
      </c>
      <c r="C20" s="13" t="s">
        <v>52</v>
      </c>
      <c r="D20" s="14">
        <v>10000</v>
      </c>
      <c r="E20" s="14">
        <f t="shared" si="0"/>
        <v>143000</v>
      </c>
      <c r="F20" s="45">
        <f t="shared" si="1"/>
        <v>223000</v>
      </c>
      <c r="O20" s="16"/>
    </row>
    <row r="21" spans="1:15" x14ac:dyDescent="0.35">
      <c r="A21" s="37">
        <v>45539</v>
      </c>
      <c r="B21" s="13">
        <v>7814</v>
      </c>
      <c r="C21" s="13" t="s">
        <v>52</v>
      </c>
      <c r="D21" s="14">
        <v>10000</v>
      </c>
      <c r="E21" s="14">
        <f t="shared" si="0"/>
        <v>153000</v>
      </c>
      <c r="F21" s="45">
        <f t="shared" si="1"/>
        <v>213000</v>
      </c>
      <c r="O21" s="16"/>
    </row>
    <row r="22" spans="1:15" x14ac:dyDescent="0.35">
      <c r="A22" s="37">
        <v>45631</v>
      </c>
      <c r="B22" s="13">
        <v>8410</v>
      </c>
      <c r="C22" s="13" t="s">
        <v>52</v>
      </c>
      <c r="D22" s="14">
        <v>10000</v>
      </c>
      <c r="E22" s="14">
        <f t="shared" si="0"/>
        <v>163000</v>
      </c>
      <c r="F22" s="45">
        <f t="shared" si="1"/>
        <v>203000</v>
      </c>
    </row>
    <row r="23" spans="1:15" x14ac:dyDescent="0.35">
      <c r="A23" s="37">
        <v>45571</v>
      </c>
      <c r="B23" s="13">
        <v>8973</v>
      </c>
      <c r="C23" s="13" t="s">
        <v>52</v>
      </c>
      <c r="D23" s="14">
        <v>10000</v>
      </c>
      <c r="E23" s="14">
        <f t="shared" si="0"/>
        <v>173000</v>
      </c>
      <c r="F23" s="45">
        <f t="shared" si="1"/>
        <v>193000</v>
      </c>
    </row>
    <row r="24" spans="1:15" x14ac:dyDescent="0.35">
      <c r="A24" s="37">
        <v>45572</v>
      </c>
      <c r="B24" s="13">
        <v>9484</v>
      </c>
      <c r="C24" s="13" t="s">
        <v>52</v>
      </c>
      <c r="D24" s="14">
        <v>10000</v>
      </c>
      <c r="E24" s="14">
        <f t="shared" si="0"/>
        <v>183000</v>
      </c>
      <c r="F24" s="45">
        <f t="shared" si="1"/>
        <v>183000</v>
      </c>
    </row>
    <row r="25" spans="1:15" x14ac:dyDescent="0.35">
      <c r="A25" s="37">
        <v>45573</v>
      </c>
      <c r="B25" s="13">
        <v>11040</v>
      </c>
      <c r="C25" s="13" t="s">
        <v>52</v>
      </c>
      <c r="D25" s="14">
        <v>10000</v>
      </c>
      <c r="E25" s="14">
        <f t="shared" si="0"/>
        <v>193000</v>
      </c>
      <c r="F25" s="45">
        <f t="shared" si="1"/>
        <v>173000</v>
      </c>
    </row>
    <row r="26" spans="1:15" x14ac:dyDescent="0.35">
      <c r="A26" s="37">
        <v>45574</v>
      </c>
      <c r="B26" s="13">
        <v>10681</v>
      </c>
      <c r="C26" s="13" t="s">
        <v>52</v>
      </c>
      <c r="D26" s="14">
        <v>10000</v>
      </c>
      <c r="E26" s="14">
        <f t="shared" si="0"/>
        <v>203000</v>
      </c>
      <c r="F26" s="45">
        <f t="shared" si="1"/>
        <v>163000</v>
      </c>
    </row>
    <row r="27" spans="1:15" x14ac:dyDescent="0.35">
      <c r="A27" s="37">
        <v>45575</v>
      </c>
      <c r="B27" s="13">
        <v>11368</v>
      </c>
      <c r="C27" s="13" t="s">
        <v>52</v>
      </c>
      <c r="D27" s="14">
        <v>10000</v>
      </c>
      <c r="E27" s="14">
        <f t="shared" si="0"/>
        <v>213000</v>
      </c>
      <c r="F27" s="45">
        <f t="shared" si="1"/>
        <v>153000</v>
      </c>
    </row>
    <row r="28" spans="1:15" x14ac:dyDescent="0.35">
      <c r="A28" s="37">
        <v>45576</v>
      </c>
      <c r="B28" s="13">
        <v>11368</v>
      </c>
      <c r="C28" s="13" t="s">
        <v>52</v>
      </c>
      <c r="D28" s="14">
        <v>10000</v>
      </c>
      <c r="E28" s="14">
        <f t="shared" si="0"/>
        <v>223000</v>
      </c>
      <c r="F28" s="45">
        <f t="shared" si="1"/>
        <v>143000</v>
      </c>
    </row>
    <row r="29" spans="1:15" x14ac:dyDescent="0.35">
      <c r="A29" s="37">
        <v>45577</v>
      </c>
      <c r="B29" s="13">
        <v>12307</v>
      </c>
      <c r="C29" s="13" t="s">
        <v>52</v>
      </c>
      <c r="D29" s="14">
        <v>10000</v>
      </c>
      <c r="E29" s="14">
        <f t="shared" si="0"/>
        <v>233000</v>
      </c>
      <c r="F29" s="45">
        <f t="shared" si="1"/>
        <v>133000</v>
      </c>
    </row>
    <row r="30" spans="1:15" x14ac:dyDescent="0.35">
      <c r="A30" s="37">
        <v>45901</v>
      </c>
      <c r="B30" s="13">
        <v>12982</v>
      </c>
      <c r="C30" s="13" t="s">
        <v>52</v>
      </c>
      <c r="D30" s="14">
        <v>10000</v>
      </c>
      <c r="E30" s="14">
        <f t="shared" si="0"/>
        <v>243000</v>
      </c>
      <c r="F30" s="45">
        <f t="shared" si="1"/>
        <v>123000</v>
      </c>
    </row>
    <row r="31" spans="1:15" x14ac:dyDescent="0.35">
      <c r="A31" s="37">
        <v>45963</v>
      </c>
      <c r="B31" s="13">
        <v>9359</v>
      </c>
      <c r="C31" s="13" t="s">
        <v>52</v>
      </c>
      <c r="D31" s="14">
        <v>10000</v>
      </c>
      <c r="E31" s="14">
        <f t="shared" si="0"/>
        <v>253000</v>
      </c>
      <c r="F31" s="45">
        <f t="shared" si="1"/>
        <v>113000</v>
      </c>
    </row>
    <row r="32" spans="1:15" x14ac:dyDescent="0.35">
      <c r="A32" s="37">
        <v>45903</v>
      </c>
      <c r="B32" s="13">
        <v>9667</v>
      </c>
      <c r="C32" s="13" t="s">
        <v>52</v>
      </c>
      <c r="D32" s="14">
        <v>10000</v>
      </c>
      <c r="E32" s="14">
        <f t="shared" si="0"/>
        <v>263000</v>
      </c>
      <c r="F32" s="45">
        <f t="shared" si="1"/>
        <v>103000</v>
      </c>
    </row>
    <row r="33" spans="1:6" x14ac:dyDescent="0.35">
      <c r="A33" s="37">
        <v>45934</v>
      </c>
      <c r="B33" s="13">
        <v>827</v>
      </c>
      <c r="C33" s="13" t="s">
        <v>52</v>
      </c>
      <c r="D33" s="14">
        <v>10000</v>
      </c>
      <c r="E33" s="14">
        <f t="shared" si="0"/>
        <v>273000</v>
      </c>
      <c r="F33" s="45">
        <f t="shared" si="1"/>
        <v>93000</v>
      </c>
    </row>
    <row r="34" spans="1:6" x14ac:dyDescent="0.35">
      <c r="A34" s="37">
        <v>45935</v>
      </c>
      <c r="B34" s="13">
        <v>10904</v>
      </c>
      <c r="C34" s="13" t="s">
        <v>52</v>
      </c>
      <c r="D34" s="14">
        <v>10000</v>
      </c>
      <c r="E34" s="14">
        <f t="shared" si="0"/>
        <v>283000</v>
      </c>
      <c r="F34" s="45">
        <f t="shared" si="1"/>
        <v>83000</v>
      </c>
    </row>
    <row r="35" spans="1:6" x14ac:dyDescent="0.35">
      <c r="A35" s="37">
        <v>45936</v>
      </c>
      <c r="B35" s="13">
        <v>10255</v>
      </c>
      <c r="C35" s="13" t="s">
        <v>52</v>
      </c>
      <c r="D35" s="14">
        <v>10000</v>
      </c>
      <c r="E35" s="14">
        <f t="shared" si="0"/>
        <v>293000</v>
      </c>
      <c r="F35" s="45">
        <f t="shared" si="1"/>
        <v>73000</v>
      </c>
    </row>
    <row r="36" spans="1:6" x14ac:dyDescent="0.35">
      <c r="A36" s="37">
        <v>45907</v>
      </c>
      <c r="B36" s="13">
        <v>12850</v>
      </c>
      <c r="C36" s="13" t="s">
        <v>52</v>
      </c>
      <c r="D36" s="14">
        <v>10000</v>
      </c>
      <c r="E36" s="14">
        <f t="shared" si="0"/>
        <v>303000</v>
      </c>
      <c r="F36" s="45">
        <f t="shared" si="1"/>
        <v>63000</v>
      </c>
    </row>
    <row r="37" spans="1:6" x14ac:dyDescent="0.35">
      <c r="A37" s="37">
        <v>45969</v>
      </c>
      <c r="B37" s="13">
        <v>12484</v>
      </c>
      <c r="C37" s="13" t="s">
        <v>52</v>
      </c>
      <c r="D37" s="14">
        <v>10000</v>
      </c>
      <c r="E37" s="14">
        <f t="shared" si="0"/>
        <v>313000</v>
      </c>
      <c r="F37" s="45">
        <f t="shared" si="1"/>
        <v>53000</v>
      </c>
    </row>
    <row r="38" spans="1:6" x14ac:dyDescent="0.35">
      <c r="A38" s="37">
        <v>45939</v>
      </c>
      <c r="B38" s="13">
        <v>12696</v>
      </c>
      <c r="C38" s="13" t="s">
        <v>52</v>
      </c>
      <c r="D38" s="14">
        <v>10000</v>
      </c>
      <c r="E38" s="14">
        <f t="shared" si="0"/>
        <v>323000</v>
      </c>
      <c r="F38" s="45">
        <f t="shared" si="1"/>
        <v>43000</v>
      </c>
    </row>
    <row r="39" spans="1:6" x14ac:dyDescent="0.35">
      <c r="A39" s="37">
        <v>45971</v>
      </c>
      <c r="B39" s="13">
        <v>13768</v>
      </c>
      <c r="C39" s="13" t="s">
        <v>52</v>
      </c>
      <c r="D39" s="14">
        <v>10000</v>
      </c>
      <c r="E39" s="14">
        <f t="shared" si="0"/>
        <v>333000</v>
      </c>
      <c r="F39" s="45">
        <f t="shared" si="1"/>
        <v>33000</v>
      </c>
    </row>
    <row r="40" spans="1:6" x14ac:dyDescent="0.35">
      <c r="A40" s="37">
        <v>45972</v>
      </c>
      <c r="B40" s="13">
        <v>13330</v>
      </c>
      <c r="C40" s="13" t="s">
        <v>52</v>
      </c>
      <c r="D40" s="14">
        <v>10000</v>
      </c>
      <c r="E40" s="14">
        <f t="shared" si="0"/>
        <v>343000</v>
      </c>
      <c r="F40" s="45">
        <f t="shared" si="1"/>
        <v>23000</v>
      </c>
    </row>
    <row r="41" spans="1:6" x14ac:dyDescent="0.35">
      <c r="A41" s="37">
        <v>45881</v>
      </c>
      <c r="B41" s="13">
        <v>13117</v>
      </c>
      <c r="C41" s="13" t="s">
        <v>52</v>
      </c>
      <c r="D41" s="14">
        <v>10000</v>
      </c>
      <c r="E41" s="14">
        <f t="shared" si="0"/>
        <v>353000</v>
      </c>
      <c r="F41" s="45">
        <f t="shared" si="1"/>
        <v>13000</v>
      </c>
    </row>
    <row r="42" spans="1:6" x14ac:dyDescent="0.35">
      <c r="A42" s="37">
        <v>46296</v>
      </c>
      <c r="B42" s="13">
        <v>12063</v>
      </c>
      <c r="C42" s="13" t="s">
        <v>52</v>
      </c>
      <c r="D42" s="14">
        <v>8000</v>
      </c>
      <c r="E42" s="14">
        <f t="shared" si="0"/>
        <v>361000</v>
      </c>
      <c r="F42" s="45">
        <f t="shared" si="1"/>
        <v>5000</v>
      </c>
    </row>
    <row r="43" spans="1:6" x14ac:dyDescent="0.35">
      <c r="A43" s="46">
        <v>46267</v>
      </c>
      <c r="B43" s="47">
        <v>12406</v>
      </c>
      <c r="C43" s="47" t="s">
        <v>52</v>
      </c>
      <c r="D43" s="48">
        <v>5000</v>
      </c>
      <c r="E43" s="48">
        <f t="shared" si="0"/>
        <v>366000</v>
      </c>
      <c r="F43" s="49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3" sqref="F13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75</v>
      </c>
      <c r="B1" s="1"/>
      <c r="C1" s="1"/>
      <c r="D1" s="1"/>
      <c r="E1" s="1"/>
      <c r="F1" s="1"/>
    </row>
    <row r="2" spans="1:6" ht="18.5" x14ac:dyDescent="0.45">
      <c r="A2" s="1" t="s">
        <v>76</v>
      </c>
      <c r="C2" s="1"/>
      <c r="D2" s="1"/>
      <c r="E2" s="1"/>
      <c r="F2" s="1"/>
    </row>
    <row r="3" spans="1:6" ht="18.5" x14ac:dyDescent="0.45">
      <c r="A3" s="1" t="s">
        <v>681</v>
      </c>
      <c r="C3" s="1"/>
      <c r="D3" s="1"/>
      <c r="E3" s="1"/>
      <c r="F3" s="1"/>
    </row>
    <row r="4" spans="1:6" ht="18.5" x14ac:dyDescent="0.45">
      <c r="A4" s="1" t="s">
        <v>77</v>
      </c>
      <c r="B4" s="1"/>
      <c r="C4" s="1"/>
      <c r="D4" s="1"/>
      <c r="E4" s="1"/>
      <c r="F4" s="1"/>
    </row>
    <row r="5" spans="1:6" ht="18.5" x14ac:dyDescent="0.45">
      <c r="A5" s="1" t="s">
        <v>78</v>
      </c>
      <c r="B5" s="1"/>
      <c r="C5" s="1"/>
      <c r="D5" s="1"/>
      <c r="E5" s="1"/>
      <c r="F5" s="1"/>
    </row>
    <row r="6" spans="1:6" ht="18.5" x14ac:dyDescent="0.45">
      <c r="A6" s="1" t="s">
        <v>74</v>
      </c>
      <c r="B6" s="1"/>
      <c r="C6" s="1"/>
      <c r="D6" s="1" t="s">
        <v>50</v>
      </c>
      <c r="F6" s="1"/>
    </row>
    <row r="7" spans="1:6" x14ac:dyDescent="0.35">
      <c r="A7" s="54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3" t="s">
        <v>5</v>
      </c>
    </row>
    <row r="8" spans="1:6" x14ac:dyDescent="0.35">
      <c r="A8" s="25" t="s">
        <v>79</v>
      </c>
      <c r="B8" s="11">
        <v>12120</v>
      </c>
      <c r="C8" s="11" t="s">
        <v>16</v>
      </c>
      <c r="D8" s="12">
        <v>100000</v>
      </c>
      <c r="E8" s="12">
        <v>100000</v>
      </c>
      <c r="F8" s="27">
        <v>700000</v>
      </c>
    </row>
    <row r="9" spans="1:6" x14ac:dyDescent="0.35">
      <c r="A9" s="30">
        <v>46358</v>
      </c>
      <c r="B9" s="31">
        <v>12448</v>
      </c>
      <c r="C9" s="31" t="s">
        <v>52</v>
      </c>
      <c r="D9" s="32">
        <v>10000</v>
      </c>
      <c r="E9" s="32">
        <v>110000</v>
      </c>
      <c r="F9" s="33">
        <v>690000</v>
      </c>
    </row>
    <row r="10" spans="1:6" x14ac:dyDescent="0.35">
      <c r="A10" s="21">
        <v>46027</v>
      </c>
      <c r="B10" s="31">
        <v>13099</v>
      </c>
      <c r="C10" s="31" t="s">
        <v>52</v>
      </c>
      <c r="D10" s="32">
        <v>10000</v>
      </c>
      <c r="E10" s="32">
        <f>SUM(E9+Table9[[#This Row],[Amount Rec]])</f>
        <v>120000</v>
      </c>
      <c r="F10" s="33">
        <f>F9-Table9[[#This Row],[Amount Rec]]</f>
        <v>680000</v>
      </c>
    </row>
    <row r="11" spans="1:6" x14ac:dyDescent="0.35">
      <c r="A11" t="s">
        <v>682</v>
      </c>
      <c r="B11">
        <v>1515</v>
      </c>
      <c r="C11" t="s">
        <v>523</v>
      </c>
      <c r="D11" s="16">
        <v>10000</v>
      </c>
      <c r="E11" s="16">
        <f>E10+D11</f>
        <v>130000</v>
      </c>
      <c r="F11" s="16">
        <f>F10-D11</f>
        <v>670000</v>
      </c>
    </row>
    <row r="12" spans="1:6" x14ac:dyDescent="0.35">
      <c r="A12" t="s">
        <v>683</v>
      </c>
      <c r="B12">
        <v>1859</v>
      </c>
      <c r="C12" t="s">
        <v>523</v>
      </c>
      <c r="D12" s="16">
        <v>10000</v>
      </c>
      <c r="E12" s="16">
        <f>E11+D12</f>
        <v>140000</v>
      </c>
      <c r="F12" s="16">
        <f>F11-D12</f>
        <v>660000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K1" sqref="K1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116</v>
      </c>
      <c r="B1" s="1"/>
      <c r="C1" s="1"/>
      <c r="D1" s="1"/>
      <c r="E1" s="1"/>
      <c r="F1" s="1"/>
    </row>
    <row r="2" spans="1:6" ht="18.5" x14ac:dyDescent="0.45">
      <c r="A2" s="1" t="s">
        <v>117</v>
      </c>
      <c r="C2" s="1"/>
      <c r="D2" s="1"/>
      <c r="E2" s="1"/>
      <c r="F2" s="1"/>
    </row>
    <row r="3" spans="1:6" ht="18.5" x14ac:dyDescent="0.45">
      <c r="A3" s="1" t="s">
        <v>118</v>
      </c>
      <c r="B3" s="1"/>
      <c r="C3" s="1"/>
      <c r="D3" s="1"/>
      <c r="E3" s="1"/>
      <c r="F3" s="1"/>
    </row>
    <row r="4" spans="1:6" ht="18.5" x14ac:dyDescent="0.45">
      <c r="A4" s="1" t="s">
        <v>394</v>
      </c>
      <c r="B4" s="1"/>
      <c r="C4" s="1"/>
      <c r="D4" s="1"/>
      <c r="E4" s="1"/>
      <c r="F4" s="1"/>
    </row>
    <row r="5" spans="1:6" ht="18.5" x14ac:dyDescent="0.45">
      <c r="A5" s="1" t="s">
        <v>119</v>
      </c>
      <c r="B5" s="1"/>
      <c r="C5" s="1"/>
      <c r="D5" s="1"/>
      <c r="E5" s="1"/>
      <c r="F5" s="1"/>
    </row>
    <row r="6" spans="1:6" ht="18.5" x14ac:dyDescent="0.45">
      <c r="A6" s="1" t="s">
        <v>120</v>
      </c>
      <c r="B6" s="1"/>
      <c r="C6" s="1"/>
      <c r="D6" s="1" t="s">
        <v>58</v>
      </c>
      <c r="F6" s="1"/>
    </row>
    <row r="7" spans="1:6" x14ac:dyDescent="0.35">
      <c r="A7" s="35" t="s">
        <v>0</v>
      </c>
      <c r="B7" s="36" t="s">
        <v>1</v>
      </c>
      <c r="C7" s="36" t="s">
        <v>2</v>
      </c>
      <c r="D7" s="28" t="s">
        <v>3</v>
      </c>
      <c r="E7" s="28" t="s">
        <v>4</v>
      </c>
      <c r="F7" s="29" t="s">
        <v>5</v>
      </c>
    </row>
    <row r="8" spans="1:6" x14ac:dyDescent="0.35">
      <c r="A8" s="25" t="s">
        <v>121</v>
      </c>
      <c r="B8" s="11">
        <v>12405</v>
      </c>
      <c r="C8" s="11" t="s">
        <v>128</v>
      </c>
      <c r="D8" s="12">
        <v>10000</v>
      </c>
      <c r="E8" s="12">
        <v>10000</v>
      </c>
      <c r="F8" s="27">
        <v>590000</v>
      </c>
    </row>
    <row r="9" spans="1:6" x14ac:dyDescent="0.35">
      <c r="A9" s="25" t="s">
        <v>25</v>
      </c>
      <c r="B9" s="11">
        <v>9009</v>
      </c>
      <c r="C9" s="11" t="s">
        <v>52</v>
      </c>
      <c r="D9" s="12">
        <v>10000</v>
      </c>
      <c r="E9" s="12">
        <f>SUM(E8+D9)</f>
        <v>20000</v>
      </c>
      <c r="F9" s="27">
        <f>F8-D9</f>
        <v>580000</v>
      </c>
    </row>
    <row r="10" spans="1:6" x14ac:dyDescent="0.35">
      <c r="A10" s="25" t="s">
        <v>104</v>
      </c>
      <c r="B10" s="11">
        <v>9478</v>
      </c>
      <c r="C10" s="11" t="s">
        <v>52</v>
      </c>
      <c r="D10" s="12">
        <v>10000</v>
      </c>
      <c r="E10" s="12">
        <f t="shared" ref="E10:E21" si="0">SUM(E9+D10)</f>
        <v>30000</v>
      </c>
      <c r="F10" s="27">
        <f t="shared" ref="F10:F21" si="1">F9-D10</f>
        <v>570000</v>
      </c>
    </row>
    <row r="11" spans="1:6" x14ac:dyDescent="0.35">
      <c r="A11" s="25" t="s">
        <v>122</v>
      </c>
      <c r="B11" s="11">
        <v>10678</v>
      </c>
      <c r="C11" s="11" t="s">
        <v>52</v>
      </c>
      <c r="D11" s="12">
        <v>10000</v>
      </c>
      <c r="E11" s="12">
        <f t="shared" si="0"/>
        <v>40000</v>
      </c>
      <c r="F11" s="27">
        <f t="shared" si="1"/>
        <v>560000</v>
      </c>
    </row>
    <row r="12" spans="1:6" x14ac:dyDescent="0.35">
      <c r="A12" s="26">
        <v>45965</v>
      </c>
      <c r="B12" s="11">
        <v>10687</v>
      </c>
      <c r="C12" s="11" t="s">
        <v>52</v>
      </c>
      <c r="D12" s="12">
        <v>10000</v>
      </c>
      <c r="E12" s="12">
        <f t="shared" si="0"/>
        <v>50000</v>
      </c>
      <c r="F12" s="27">
        <f t="shared" si="1"/>
        <v>550000</v>
      </c>
    </row>
    <row r="13" spans="1:6" x14ac:dyDescent="0.35">
      <c r="A13" s="25" t="s">
        <v>123</v>
      </c>
      <c r="B13" s="11">
        <v>12592</v>
      </c>
      <c r="C13" s="11" t="s">
        <v>52</v>
      </c>
      <c r="D13" s="12">
        <v>20000</v>
      </c>
      <c r="E13" s="12">
        <f t="shared" si="0"/>
        <v>70000</v>
      </c>
      <c r="F13" s="27">
        <f t="shared" si="1"/>
        <v>530000</v>
      </c>
    </row>
    <row r="14" spans="1:6" x14ac:dyDescent="0.35">
      <c r="A14" s="25" t="s">
        <v>41</v>
      </c>
      <c r="B14" s="11">
        <v>21528</v>
      </c>
      <c r="C14" s="11" t="s">
        <v>52</v>
      </c>
      <c r="D14" s="12">
        <v>10000</v>
      </c>
      <c r="E14" s="12">
        <f t="shared" si="0"/>
        <v>80000</v>
      </c>
      <c r="F14" s="27">
        <f t="shared" si="1"/>
        <v>520000</v>
      </c>
    </row>
    <row r="15" spans="1:6" x14ac:dyDescent="0.35">
      <c r="A15" s="25" t="s">
        <v>124</v>
      </c>
      <c r="B15" s="11">
        <v>13985</v>
      </c>
      <c r="C15" s="11" t="s">
        <v>52</v>
      </c>
      <c r="D15" s="12">
        <v>10000</v>
      </c>
      <c r="E15" s="12">
        <f t="shared" si="0"/>
        <v>90000</v>
      </c>
      <c r="F15" s="27">
        <f t="shared" si="1"/>
        <v>510000</v>
      </c>
    </row>
    <row r="16" spans="1:6" x14ac:dyDescent="0.35">
      <c r="A16" s="25" t="s">
        <v>125</v>
      </c>
      <c r="B16" s="11">
        <v>13517</v>
      </c>
      <c r="C16" s="11" t="s">
        <v>52</v>
      </c>
      <c r="D16" s="12">
        <v>10000</v>
      </c>
      <c r="E16" s="12">
        <f t="shared" si="0"/>
        <v>100000</v>
      </c>
      <c r="F16" s="27">
        <f t="shared" si="1"/>
        <v>500000</v>
      </c>
    </row>
    <row r="17" spans="1:6" x14ac:dyDescent="0.35">
      <c r="A17" s="25" t="s">
        <v>126</v>
      </c>
      <c r="B17" s="11">
        <v>13378</v>
      </c>
      <c r="C17" s="11" t="s">
        <v>52</v>
      </c>
      <c r="D17" s="12">
        <v>10000</v>
      </c>
      <c r="E17" s="12">
        <f t="shared" si="0"/>
        <v>110000</v>
      </c>
      <c r="F17" s="27">
        <f t="shared" si="1"/>
        <v>490000</v>
      </c>
    </row>
    <row r="18" spans="1:6" x14ac:dyDescent="0.35">
      <c r="A18" s="25" t="s">
        <v>127</v>
      </c>
      <c r="B18" s="11">
        <v>13832</v>
      </c>
      <c r="C18" s="11" t="s">
        <v>52</v>
      </c>
      <c r="D18" s="12">
        <v>10000</v>
      </c>
      <c r="E18" s="12">
        <f t="shared" si="0"/>
        <v>120000</v>
      </c>
      <c r="F18" s="27">
        <f t="shared" si="1"/>
        <v>480000</v>
      </c>
    </row>
    <row r="19" spans="1:6" x14ac:dyDescent="0.35">
      <c r="A19" s="25" t="s">
        <v>129</v>
      </c>
      <c r="B19" s="11">
        <v>12258</v>
      </c>
      <c r="C19" s="11" t="s">
        <v>52</v>
      </c>
      <c r="D19" s="12">
        <v>10000</v>
      </c>
      <c r="E19" s="12">
        <f t="shared" si="0"/>
        <v>130000</v>
      </c>
      <c r="F19" s="27">
        <f t="shared" si="1"/>
        <v>470000</v>
      </c>
    </row>
    <row r="20" spans="1:6" x14ac:dyDescent="0.35">
      <c r="A20" s="25" t="s">
        <v>130</v>
      </c>
      <c r="B20" s="11">
        <v>12514</v>
      </c>
      <c r="C20" s="11" t="s">
        <v>52</v>
      </c>
      <c r="D20" s="12">
        <v>10000</v>
      </c>
      <c r="E20" s="12">
        <f t="shared" si="0"/>
        <v>140000</v>
      </c>
      <c r="F20" s="27">
        <f t="shared" si="1"/>
        <v>460000</v>
      </c>
    </row>
    <row r="21" spans="1:6" x14ac:dyDescent="0.35">
      <c r="A21" s="34" t="s">
        <v>221</v>
      </c>
      <c r="B21" s="22">
        <v>5160</v>
      </c>
      <c r="C21" s="11" t="s">
        <v>52</v>
      </c>
      <c r="D21" s="12">
        <v>10000</v>
      </c>
      <c r="E21" s="12">
        <f t="shared" si="0"/>
        <v>150000</v>
      </c>
      <c r="F21" s="27">
        <f t="shared" si="1"/>
        <v>450000</v>
      </c>
    </row>
    <row r="22" spans="1:6" x14ac:dyDescent="0.35">
      <c r="A22" s="78" t="s">
        <v>395</v>
      </c>
      <c r="B22" s="31">
        <v>13081</v>
      </c>
      <c r="C22" s="22" t="s">
        <v>52</v>
      </c>
      <c r="D22" s="32">
        <v>30000</v>
      </c>
      <c r="E22" s="32">
        <f>SUM(E21+D22)</f>
        <v>180000</v>
      </c>
      <c r="F22" s="33">
        <f>F21-D22</f>
        <v>420000</v>
      </c>
    </row>
    <row r="23" spans="1:6" x14ac:dyDescent="0.35">
      <c r="A23" s="78" t="s">
        <v>482</v>
      </c>
      <c r="B23" s="31">
        <v>13405</v>
      </c>
      <c r="C23" s="22" t="s">
        <v>52</v>
      </c>
      <c r="D23" s="32">
        <v>10000</v>
      </c>
      <c r="E23" s="32">
        <f>SUM(E22+D23)</f>
        <v>190000</v>
      </c>
      <c r="F23" s="33">
        <f>F22-D23</f>
        <v>410000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I14" sqref="I14"/>
    </sheetView>
  </sheetViews>
  <sheetFormatPr defaultRowHeight="14.5" x14ac:dyDescent="0.35"/>
  <cols>
    <col min="1" max="1" width="9.453125" bestFit="1" customWidth="1"/>
    <col min="3" max="3" width="13.6328125" customWidth="1"/>
    <col min="6" max="6" width="11.81640625" customWidth="1"/>
  </cols>
  <sheetData>
    <row r="1" spans="1:6" ht="18.5" x14ac:dyDescent="0.45">
      <c r="A1" s="1" t="s">
        <v>444</v>
      </c>
      <c r="B1" s="1"/>
      <c r="C1" s="1"/>
      <c r="D1" s="1"/>
      <c r="E1" s="1"/>
      <c r="F1" s="1"/>
    </row>
    <row r="2" spans="1:6" ht="18.5" x14ac:dyDescent="0.45">
      <c r="A2" s="1" t="s">
        <v>445</v>
      </c>
      <c r="C2" s="1"/>
      <c r="D2" s="1"/>
      <c r="E2" s="1"/>
      <c r="F2" s="1"/>
    </row>
    <row r="3" spans="1:6" ht="18.5" x14ac:dyDescent="0.45">
      <c r="A3" s="1" t="s">
        <v>446</v>
      </c>
      <c r="B3" s="1"/>
      <c r="C3" s="1"/>
      <c r="D3" s="1"/>
      <c r="E3" s="1"/>
      <c r="F3" s="1"/>
    </row>
    <row r="4" spans="1:6" ht="18.5" x14ac:dyDescent="0.45">
      <c r="A4" s="1" t="s">
        <v>451</v>
      </c>
      <c r="B4" s="1"/>
      <c r="C4" s="1"/>
      <c r="D4" s="1"/>
      <c r="E4" s="1"/>
      <c r="F4" s="1"/>
    </row>
    <row r="5" spans="1:6" ht="18.5" x14ac:dyDescent="0.45">
      <c r="A5" s="1" t="s">
        <v>447</v>
      </c>
      <c r="B5" s="1"/>
      <c r="C5" s="1"/>
      <c r="D5" s="1"/>
      <c r="E5" s="1"/>
      <c r="F5" s="1"/>
    </row>
    <row r="6" spans="1:6" ht="18.5" x14ac:dyDescent="0.45">
      <c r="A6" s="1" t="s">
        <v>448</v>
      </c>
      <c r="B6" s="1"/>
      <c r="C6" s="1"/>
      <c r="D6" s="1" t="s">
        <v>449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437</v>
      </c>
      <c r="B8">
        <v>2085</v>
      </c>
      <c r="C8" t="s">
        <v>441</v>
      </c>
      <c r="D8" s="16">
        <v>150000</v>
      </c>
      <c r="E8" s="16">
        <v>150000</v>
      </c>
      <c r="F8" s="16">
        <v>350000</v>
      </c>
    </row>
    <row r="9" spans="1:6" x14ac:dyDescent="0.35">
      <c r="A9" t="s">
        <v>438</v>
      </c>
      <c r="B9">
        <v>2086</v>
      </c>
      <c r="C9" t="s">
        <v>6</v>
      </c>
      <c r="D9" s="16">
        <v>70000</v>
      </c>
      <c r="E9" s="16">
        <f>SUM(E8+D9)</f>
        <v>220000</v>
      </c>
      <c r="F9" s="16">
        <f>F8-D9</f>
        <v>280000</v>
      </c>
    </row>
    <row r="10" spans="1:6" x14ac:dyDescent="0.35">
      <c r="A10" s="21">
        <v>45020</v>
      </c>
      <c r="B10">
        <v>1838</v>
      </c>
      <c r="C10" t="s">
        <v>342</v>
      </c>
      <c r="D10" s="16">
        <v>10000</v>
      </c>
      <c r="E10" s="16">
        <f t="shared" ref="E10:E34" si="0">SUM(E9+D10)</f>
        <v>230000</v>
      </c>
      <c r="F10" s="16">
        <f t="shared" ref="F10:F34" si="1">F9-D10</f>
        <v>270000</v>
      </c>
    </row>
    <row r="11" spans="1:6" x14ac:dyDescent="0.35">
      <c r="A11" t="s">
        <v>439</v>
      </c>
      <c r="B11">
        <v>2082</v>
      </c>
      <c r="C11" t="s">
        <v>342</v>
      </c>
      <c r="D11" s="16">
        <v>20000</v>
      </c>
      <c r="E11" s="16">
        <f t="shared" si="0"/>
        <v>250000</v>
      </c>
      <c r="F11" s="16">
        <f t="shared" si="1"/>
        <v>250000</v>
      </c>
    </row>
    <row r="12" spans="1:6" x14ac:dyDescent="0.35">
      <c r="A12" s="21">
        <v>44965</v>
      </c>
      <c r="B12">
        <v>2592</v>
      </c>
      <c r="C12" t="s">
        <v>342</v>
      </c>
      <c r="D12" s="16">
        <v>20000</v>
      </c>
      <c r="E12" s="16">
        <f t="shared" si="0"/>
        <v>270000</v>
      </c>
      <c r="F12" s="16">
        <f t="shared" si="1"/>
        <v>230000</v>
      </c>
    </row>
    <row r="13" spans="1:6" x14ac:dyDescent="0.35">
      <c r="A13" s="21">
        <v>45025</v>
      </c>
      <c r="B13">
        <v>3396</v>
      </c>
      <c r="C13" t="s">
        <v>342</v>
      </c>
      <c r="D13" s="16">
        <v>10000</v>
      </c>
      <c r="E13" s="16">
        <f t="shared" si="0"/>
        <v>280000</v>
      </c>
      <c r="F13" s="16">
        <f t="shared" si="1"/>
        <v>220000</v>
      </c>
    </row>
    <row r="14" spans="1:6" x14ac:dyDescent="0.35">
      <c r="A14" s="21">
        <v>44995</v>
      </c>
      <c r="B14">
        <v>256</v>
      </c>
      <c r="C14" t="s">
        <v>342</v>
      </c>
      <c r="D14" s="16">
        <v>10000</v>
      </c>
      <c r="E14" s="16">
        <f t="shared" si="0"/>
        <v>290000</v>
      </c>
      <c r="F14" s="16">
        <f t="shared" si="1"/>
        <v>210000</v>
      </c>
    </row>
    <row r="15" spans="1:6" x14ac:dyDescent="0.35">
      <c r="A15" s="21">
        <v>45057</v>
      </c>
      <c r="B15">
        <v>4051</v>
      </c>
      <c r="C15" t="s">
        <v>342</v>
      </c>
      <c r="D15" s="16">
        <v>10000</v>
      </c>
      <c r="E15" s="16">
        <f t="shared" si="0"/>
        <v>300000</v>
      </c>
      <c r="F15" s="16">
        <f t="shared" si="1"/>
        <v>200000</v>
      </c>
    </row>
    <row r="16" spans="1:6" x14ac:dyDescent="0.35">
      <c r="A16" s="21">
        <v>45089</v>
      </c>
      <c r="B16">
        <v>5309</v>
      </c>
      <c r="C16" t="s">
        <v>342</v>
      </c>
      <c r="D16" s="16">
        <v>10000</v>
      </c>
      <c r="E16" s="16">
        <f t="shared" si="0"/>
        <v>310000</v>
      </c>
      <c r="F16" s="16">
        <f t="shared" si="1"/>
        <v>190000</v>
      </c>
    </row>
    <row r="17" spans="1:6" x14ac:dyDescent="0.35">
      <c r="A17" s="21">
        <v>45383</v>
      </c>
      <c r="B17">
        <v>5898</v>
      </c>
      <c r="C17" t="s">
        <v>342</v>
      </c>
      <c r="D17" s="16">
        <v>10000</v>
      </c>
      <c r="E17" s="16">
        <f t="shared" si="0"/>
        <v>320000</v>
      </c>
      <c r="F17" s="16">
        <f t="shared" si="1"/>
        <v>180000</v>
      </c>
    </row>
    <row r="18" spans="1:6" x14ac:dyDescent="0.35">
      <c r="A18" t="s">
        <v>440</v>
      </c>
      <c r="B18">
        <v>6542</v>
      </c>
      <c r="C18" t="s">
        <v>342</v>
      </c>
      <c r="D18" s="16">
        <v>10000</v>
      </c>
      <c r="E18" s="16">
        <f t="shared" si="0"/>
        <v>330000</v>
      </c>
      <c r="F18" s="16">
        <f t="shared" si="1"/>
        <v>170000</v>
      </c>
    </row>
    <row r="19" spans="1:6" x14ac:dyDescent="0.35">
      <c r="A19" s="21">
        <v>45629</v>
      </c>
      <c r="B19">
        <v>5309</v>
      </c>
      <c r="C19" t="s">
        <v>342</v>
      </c>
      <c r="D19" s="16">
        <v>10000</v>
      </c>
      <c r="E19" s="16">
        <f t="shared" si="0"/>
        <v>340000</v>
      </c>
      <c r="F19" s="16">
        <f t="shared" si="1"/>
        <v>160000</v>
      </c>
    </row>
    <row r="20" spans="1:6" x14ac:dyDescent="0.35">
      <c r="A20" s="21">
        <v>45477</v>
      </c>
      <c r="B20">
        <v>7736</v>
      </c>
      <c r="C20" t="s">
        <v>342</v>
      </c>
      <c r="D20" s="16">
        <v>10000</v>
      </c>
      <c r="E20" s="16">
        <f t="shared" si="0"/>
        <v>350000</v>
      </c>
      <c r="F20" s="16">
        <f t="shared" si="1"/>
        <v>150000</v>
      </c>
    </row>
    <row r="21" spans="1:6" x14ac:dyDescent="0.35">
      <c r="A21" s="21">
        <v>45418</v>
      </c>
      <c r="B21">
        <v>8861</v>
      </c>
      <c r="C21" t="s">
        <v>342</v>
      </c>
      <c r="D21" s="16">
        <v>10000</v>
      </c>
      <c r="E21" s="16">
        <f t="shared" si="0"/>
        <v>360000</v>
      </c>
      <c r="F21" s="16">
        <f t="shared" si="1"/>
        <v>140000</v>
      </c>
    </row>
    <row r="22" spans="1:6" x14ac:dyDescent="0.35">
      <c r="A22" s="21">
        <v>45542</v>
      </c>
      <c r="B22">
        <v>9466</v>
      </c>
      <c r="C22" t="s">
        <v>342</v>
      </c>
      <c r="D22" s="16">
        <v>10000</v>
      </c>
      <c r="E22" s="16">
        <f t="shared" si="0"/>
        <v>370000</v>
      </c>
      <c r="F22" s="16">
        <f t="shared" si="1"/>
        <v>130000</v>
      </c>
    </row>
    <row r="23" spans="1:6" x14ac:dyDescent="0.35">
      <c r="A23" s="21">
        <v>45512</v>
      </c>
      <c r="B23">
        <v>1008</v>
      </c>
      <c r="C23" t="s">
        <v>342</v>
      </c>
      <c r="D23" s="16">
        <v>10000</v>
      </c>
      <c r="E23" s="16">
        <f t="shared" si="0"/>
        <v>380000</v>
      </c>
      <c r="F23" s="16">
        <f t="shared" si="1"/>
        <v>120000</v>
      </c>
    </row>
    <row r="24" spans="1:6" x14ac:dyDescent="0.35">
      <c r="A24" s="21">
        <v>45574</v>
      </c>
      <c r="B24">
        <v>10678</v>
      </c>
      <c r="C24" t="s">
        <v>342</v>
      </c>
      <c r="D24" s="16">
        <v>20000</v>
      </c>
      <c r="E24" s="16">
        <f t="shared" si="0"/>
        <v>400000</v>
      </c>
      <c r="F24" s="16">
        <f t="shared" si="1"/>
        <v>100000</v>
      </c>
    </row>
    <row r="25" spans="1:6" x14ac:dyDescent="0.35">
      <c r="A25" s="21">
        <v>45546</v>
      </c>
      <c r="B25">
        <v>12259</v>
      </c>
      <c r="C25" t="s">
        <v>342</v>
      </c>
      <c r="D25" s="16">
        <v>10000</v>
      </c>
      <c r="E25" s="16">
        <f t="shared" si="0"/>
        <v>410000</v>
      </c>
      <c r="F25" s="16">
        <f t="shared" si="1"/>
        <v>90000</v>
      </c>
    </row>
    <row r="26" spans="1:6" x14ac:dyDescent="0.35">
      <c r="A26" s="21">
        <v>44785</v>
      </c>
      <c r="B26">
        <v>12259</v>
      </c>
      <c r="C26" t="s">
        <v>342</v>
      </c>
      <c r="D26" s="16">
        <v>10000</v>
      </c>
      <c r="E26" s="16">
        <f t="shared" si="0"/>
        <v>420000</v>
      </c>
      <c r="F26" s="16">
        <f t="shared" si="1"/>
        <v>80000</v>
      </c>
    </row>
    <row r="27" spans="1:6" x14ac:dyDescent="0.35">
      <c r="A27" s="21">
        <v>45992</v>
      </c>
      <c r="B27">
        <v>12022</v>
      </c>
      <c r="C27" t="s">
        <v>342</v>
      </c>
      <c r="D27" s="16">
        <v>10000</v>
      </c>
      <c r="E27" s="16">
        <f t="shared" si="0"/>
        <v>430000</v>
      </c>
      <c r="F27" s="16">
        <f t="shared" si="1"/>
        <v>70000</v>
      </c>
    </row>
    <row r="28" spans="1:6" x14ac:dyDescent="0.35">
      <c r="A28" t="s">
        <v>442</v>
      </c>
      <c r="B28">
        <v>9452</v>
      </c>
      <c r="C28" t="s">
        <v>342</v>
      </c>
      <c r="D28" s="16">
        <v>10000</v>
      </c>
      <c r="E28" s="16">
        <f t="shared" si="0"/>
        <v>440000</v>
      </c>
      <c r="F28" s="16">
        <f t="shared" si="1"/>
        <v>60000</v>
      </c>
    </row>
    <row r="29" spans="1:6" x14ac:dyDescent="0.35">
      <c r="A29" s="21">
        <v>45903</v>
      </c>
      <c r="B29">
        <v>9686</v>
      </c>
      <c r="C29" t="s">
        <v>342</v>
      </c>
      <c r="D29" s="16">
        <v>10000</v>
      </c>
      <c r="E29" s="16">
        <f t="shared" si="0"/>
        <v>450000</v>
      </c>
      <c r="F29" s="16">
        <f t="shared" si="1"/>
        <v>50000</v>
      </c>
    </row>
    <row r="30" spans="1:6" x14ac:dyDescent="0.35">
      <c r="A30" s="21">
        <v>45662</v>
      </c>
      <c r="B30">
        <v>10091</v>
      </c>
      <c r="C30" t="s">
        <v>342</v>
      </c>
      <c r="D30" s="16">
        <v>10000</v>
      </c>
      <c r="E30" s="16">
        <f t="shared" si="0"/>
        <v>460000</v>
      </c>
      <c r="F30" s="16">
        <f t="shared" si="1"/>
        <v>40000</v>
      </c>
    </row>
    <row r="31" spans="1:6" x14ac:dyDescent="0.35">
      <c r="A31" s="21">
        <v>45783</v>
      </c>
      <c r="B31">
        <v>10458</v>
      </c>
      <c r="C31" t="s">
        <v>342</v>
      </c>
      <c r="D31" s="16">
        <v>10000</v>
      </c>
      <c r="E31" s="16">
        <f t="shared" si="0"/>
        <v>470000</v>
      </c>
      <c r="F31" s="16">
        <f t="shared" si="1"/>
        <v>30000</v>
      </c>
    </row>
    <row r="32" spans="1:6" x14ac:dyDescent="0.35">
      <c r="A32" s="21">
        <v>45845</v>
      </c>
      <c r="B32">
        <v>12092</v>
      </c>
      <c r="C32" t="s">
        <v>342</v>
      </c>
      <c r="D32" s="16">
        <v>10000</v>
      </c>
      <c r="E32" s="16">
        <f t="shared" si="0"/>
        <v>480000</v>
      </c>
      <c r="F32" s="16">
        <f t="shared" si="1"/>
        <v>20000</v>
      </c>
    </row>
    <row r="33" spans="1:6" x14ac:dyDescent="0.35">
      <c r="A33" s="21">
        <v>45999</v>
      </c>
      <c r="B33">
        <v>12914</v>
      </c>
      <c r="C33" t="s">
        <v>342</v>
      </c>
      <c r="D33" s="16">
        <v>10000</v>
      </c>
      <c r="E33" s="16">
        <f t="shared" si="0"/>
        <v>490000</v>
      </c>
      <c r="F33" s="16">
        <f t="shared" si="1"/>
        <v>10000</v>
      </c>
    </row>
    <row r="34" spans="1:6" x14ac:dyDescent="0.35">
      <c r="A34" t="s">
        <v>443</v>
      </c>
      <c r="B34">
        <v>12782</v>
      </c>
      <c r="C34" t="s">
        <v>342</v>
      </c>
      <c r="D34" s="16">
        <v>10000</v>
      </c>
      <c r="E34" s="16">
        <f t="shared" si="0"/>
        <v>500000</v>
      </c>
      <c r="F34" s="16">
        <f t="shared" si="1"/>
        <v>0</v>
      </c>
    </row>
    <row r="36" spans="1:6" x14ac:dyDescent="0.35">
      <c r="A36" s="21">
        <v>46147</v>
      </c>
      <c r="B36">
        <v>1390</v>
      </c>
      <c r="C36" t="s">
        <v>247</v>
      </c>
      <c r="D36" s="16">
        <v>150000</v>
      </c>
      <c r="E36" s="16">
        <v>150000</v>
      </c>
      <c r="F36" t="s">
        <v>248</v>
      </c>
    </row>
    <row r="37" spans="1:6" ht="18.5" x14ac:dyDescent="0.45">
      <c r="A37" s="73" t="s">
        <v>450</v>
      </c>
      <c r="B37" s="73"/>
      <c r="C37" s="73"/>
      <c r="D37" s="73"/>
      <c r="E37" s="73"/>
      <c r="F37" s="73"/>
    </row>
  </sheetData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G7"/>
    </sheetView>
  </sheetViews>
  <sheetFormatPr defaultRowHeight="14.5" x14ac:dyDescent="0.35"/>
  <cols>
    <col min="1" max="1" width="9.36328125" customWidth="1"/>
    <col min="3" max="3" width="11.36328125" customWidth="1"/>
  </cols>
  <sheetData>
    <row r="1" spans="1:6" ht="18.5" x14ac:dyDescent="0.45">
      <c r="A1" s="1" t="s">
        <v>471</v>
      </c>
      <c r="B1" s="1"/>
      <c r="C1" s="1"/>
      <c r="D1" s="1"/>
      <c r="E1" s="1"/>
      <c r="F1" s="1"/>
    </row>
    <row r="2" spans="1:6" ht="18.5" x14ac:dyDescent="0.45">
      <c r="A2" s="1" t="s">
        <v>472</v>
      </c>
      <c r="C2" s="1"/>
      <c r="D2" s="1"/>
      <c r="E2" s="1"/>
      <c r="F2" s="1"/>
    </row>
    <row r="3" spans="1:6" ht="18.5" x14ac:dyDescent="0.45">
      <c r="A3" s="1" t="s">
        <v>473</v>
      </c>
      <c r="B3" s="1"/>
      <c r="C3" s="1"/>
      <c r="D3" s="1"/>
      <c r="E3" s="1"/>
      <c r="F3" s="1"/>
    </row>
    <row r="4" spans="1:6" ht="18.5" x14ac:dyDescent="0.45">
      <c r="A4" s="1" t="s">
        <v>480</v>
      </c>
      <c r="B4" s="1"/>
      <c r="C4" s="1"/>
      <c r="D4" s="1"/>
      <c r="E4" s="1"/>
      <c r="F4" s="1"/>
    </row>
    <row r="5" spans="1:6" ht="18.5" x14ac:dyDescent="0.45">
      <c r="A5" s="1" t="s">
        <v>337</v>
      </c>
      <c r="B5" s="1"/>
      <c r="C5" s="1"/>
      <c r="D5" s="1"/>
      <c r="E5" s="1"/>
      <c r="F5" s="1"/>
    </row>
    <row r="6" spans="1:6" ht="18.5" x14ac:dyDescent="0.45">
      <c r="A6" s="1" t="s">
        <v>474</v>
      </c>
      <c r="B6" s="1"/>
      <c r="C6" s="1"/>
      <c r="D6" s="1" t="s">
        <v>227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t="s">
        <v>475</v>
      </c>
      <c r="B8">
        <v>701</v>
      </c>
      <c r="C8" t="s">
        <v>7</v>
      </c>
      <c r="D8" s="16">
        <v>10000</v>
      </c>
      <c r="E8" s="16">
        <v>10000</v>
      </c>
      <c r="F8" s="16">
        <v>90000</v>
      </c>
    </row>
    <row r="9" spans="1:6" x14ac:dyDescent="0.35">
      <c r="A9" t="s">
        <v>476</v>
      </c>
      <c r="B9">
        <v>1572</v>
      </c>
      <c r="C9" t="s">
        <v>6</v>
      </c>
      <c r="D9" s="16">
        <v>80000</v>
      </c>
      <c r="E9" s="16">
        <f>E8+D9</f>
        <v>90000</v>
      </c>
      <c r="F9" s="16">
        <f>F8-D9</f>
        <v>10000</v>
      </c>
    </row>
    <row r="10" spans="1:6" x14ac:dyDescent="0.35">
      <c r="A10" t="s">
        <v>18</v>
      </c>
      <c r="B10">
        <v>1571</v>
      </c>
      <c r="C10" t="s">
        <v>7</v>
      </c>
      <c r="D10" s="16">
        <v>10000</v>
      </c>
      <c r="E10" s="16">
        <f>E9+D10</f>
        <v>100000</v>
      </c>
      <c r="F10" t="s">
        <v>248</v>
      </c>
    </row>
    <row r="12" spans="1:6" x14ac:dyDescent="0.35">
      <c r="A12" t="s">
        <v>477</v>
      </c>
      <c r="B12">
        <v>5976</v>
      </c>
      <c r="C12" t="s">
        <v>467</v>
      </c>
      <c r="D12" s="16">
        <v>100000</v>
      </c>
      <c r="E12" s="16">
        <v>50000</v>
      </c>
    </row>
    <row r="13" spans="1:6" x14ac:dyDescent="0.35">
      <c r="A13" t="s">
        <v>478</v>
      </c>
      <c r="B13">
        <v>1471</v>
      </c>
      <c r="C13" t="s">
        <v>467</v>
      </c>
      <c r="D13" s="16">
        <v>50000</v>
      </c>
      <c r="E13" t="s">
        <v>248</v>
      </c>
    </row>
    <row r="15" spans="1:6" ht="23.5" x14ac:dyDescent="0.55000000000000004">
      <c r="A15" s="82" t="s">
        <v>479</v>
      </c>
      <c r="B15" s="82"/>
      <c r="C15" s="82"/>
      <c r="D15" s="82"/>
      <c r="E15" s="82"/>
      <c r="F15" s="8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G7" sqref="G7"/>
    </sheetView>
  </sheetViews>
  <sheetFormatPr defaultRowHeight="14.5" x14ac:dyDescent="0.35"/>
  <cols>
    <col min="3" max="3" width="10.90625" customWidth="1"/>
    <col min="4" max="4" width="11.36328125" customWidth="1"/>
    <col min="5" max="5" width="11" customWidth="1"/>
    <col min="6" max="6" width="13.7265625" customWidth="1"/>
    <col min="7" max="7" width="11.7265625" bestFit="1" customWidth="1"/>
  </cols>
  <sheetData>
    <row r="1" spans="1:7" ht="18.5" x14ac:dyDescent="0.45">
      <c r="A1" s="1" t="s">
        <v>799</v>
      </c>
      <c r="B1" s="1"/>
      <c r="C1" s="1"/>
      <c r="D1" s="1"/>
      <c r="E1" s="1"/>
      <c r="F1" s="1"/>
    </row>
    <row r="2" spans="1:7" ht="18.5" x14ac:dyDescent="0.45">
      <c r="A2" s="1" t="s">
        <v>800</v>
      </c>
      <c r="C2" s="1"/>
      <c r="D2" s="1"/>
      <c r="E2" s="1"/>
      <c r="F2" s="1" t="s">
        <v>813</v>
      </c>
    </row>
    <row r="3" spans="1:7" ht="18.5" x14ac:dyDescent="0.45">
      <c r="A3" s="1" t="s">
        <v>801</v>
      </c>
      <c r="B3" s="1"/>
      <c r="C3" s="1"/>
      <c r="D3" s="1"/>
      <c r="E3" s="1"/>
      <c r="F3" s="1" t="s">
        <v>812</v>
      </c>
      <c r="G3" s="123">
        <v>3172227366</v>
      </c>
    </row>
    <row r="4" spans="1:7" ht="18.5" x14ac:dyDescent="0.45">
      <c r="A4" s="1" t="s">
        <v>803</v>
      </c>
      <c r="B4" s="1"/>
      <c r="C4" s="1"/>
      <c r="D4" s="1"/>
      <c r="E4" s="1"/>
      <c r="F4" s="1" t="s">
        <v>814</v>
      </c>
    </row>
    <row r="5" spans="1:7" ht="18.5" x14ac:dyDescent="0.45">
      <c r="A5" s="1" t="s">
        <v>802</v>
      </c>
      <c r="B5" s="1"/>
      <c r="C5" s="1"/>
      <c r="D5" s="1"/>
      <c r="E5" s="1"/>
      <c r="F5" s="1"/>
    </row>
    <row r="6" spans="1:7" ht="18.5" x14ac:dyDescent="0.45">
      <c r="A6" s="1" t="s">
        <v>798</v>
      </c>
      <c r="B6" s="1"/>
      <c r="C6" s="1"/>
      <c r="D6" s="1" t="s">
        <v>50</v>
      </c>
      <c r="F6" s="1"/>
    </row>
    <row r="7" spans="1:7" ht="21" x14ac:dyDescent="0.5">
      <c r="C7" s="122" t="s">
        <v>804</v>
      </c>
      <c r="D7" s="111"/>
    </row>
    <row r="8" spans="1:7" ht="18.5" x14ac:dyDescent="0.45">
      <c r="A8" s="1" t="s">
        <v>806</v>
      </c>
      <c r="B8" s="1" t="s">
        <v>809</v>
      </c>
      <c r="C8" s="1"/>
    </row>
    <row r="9" spans="1:7" ht="18.5" x14ac:dyDescent="0.45">
      <c r="A9" s="1" t="s">
        <v>807</v>
      </c>
      <c r="B9" s="1" t="s">
        <v>810</v>
      </c>
      <c r="C9" s="1"/>
    </row>
    <row r="10" spans="1:7" ht="18.5" x14ac:dyDescent="0.45">
      <c r="A10" s="1" t="s">
        <v>808</v>
      </c>
    </row>
    <row r="11" spans="1:7" ht="18.5" x14ac:dyDescent="0.45">
      <c r="A11" s="1" t="s">
        <v>811</v>
      </c>
    </row>
    <row r="12" spans="1:7" x14ac:dyDescent="0.35">
      <c r="A12" s="96" t="s">
        <v>0</v>
      </c>
      <c r="B12" s="96" t="s">
        <v>1</v>
      </c>
      <c r="C12" s="96" t="s">
        <v>2</v>
      </c>
      <c r="D12" s="3" t="s">
        <v>3</v>
      </c>
      <c r="E12" s="3" t="s">
        <v>4</v>
      </c>
      <c r="F12" s="3" t="s">
        <v>5</v>
      </c>
    </row>
    <row r="13" spans="1:7" x14ac:dyDescent="0.35">
      <c r="A13" s="11" t="s">
        <v>805</v>
      </c>
      <c r="B13" s="11">
        <v>2139</v>
      </c>
      <c r="C13" s="11" t="s">
        <v>572</v>
      </c>
      <c r="D13" s="12">
        <v>200000</v>
      </c>
      <c r="E13" s="12">
        <v>200000</v>
      </c>
      <c r="F13" s="12">
        <v>600000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5" workbookViewId="0">
      <selection activeCell="D16" sqref="D16"/>
    </sheetView>
  </sheetViews>
  <sheetFormatPr defaultRowHeight="14.5" x14ac:dyDescent="0.35"/>
  <cols>
    <col min="1" max="1" width="9.90625" customWidth="1"/>
    <col min="3" max="3" width="16.26953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252</v>
      </c>
      <c r="B1" s="1"/>
      <c r="C1" s="1"/>
      <c r="D1" s="1"/>
      <c r="E1" s="1"/>
      <c r="F1" s="1"/>
    </row>
    <row r="2" spans="1:6" ht="18.5" x14ac:dyDescent="0.45">
      <c r="A2" s="1" t="s">
        <v>253</v>
      </c>
      <c r="C2" s="1"/>
      <c r="D2" s="1"/>
      <c r="E2" s="1"/>
      <c r="F2" s="1"/>
    </row>
    <row r="3" spans="1:6" ht="18.5" x14ac:dyDescent="0.45">
      <c r="A3" s="1" t="s">
        <v>254</v>
      </c>
      <c r="B3" s="1"/>
      <c r="C3" s="1"/>
      <c r="D3" s="1"/>
      <c r="E3" s="1"/>
      <c r="F3" s="1"/>
    </row>
    <row r="4" spans="1:6" ht="18.5" x14ac:dyDescent="0.45">
      <c r="A4" s="1" t="s">
        <v>256</v>
      </c>
      <c r="B4" s="1"/>
      <c r="C4" s="1"/>
      <c r="D4" s="1"/>
      <c r="E4" s="1"/>
      <c r="F4" s="1"/>
    </row>
    <row r="5" spans="1:6" ht="18.5" x14ac:dyDescent="0.45">
      <c r="A5" s="1" t="s">
        <v>255</v>
      </c>
      <c r="B5" s="1"/>
      <c r="C5" s="1"/>
      <c r="D5" s="1"/>
      <c r="E5" s="1"/>
      <c r="F5" s="1"/>
    </row>
    <row r="6" spans="1:6" ht="18.5" x14ac:dyDescent="0.45">
      <c r="A6" s="1" t="s">
        <v>281</v>
      </c>
      <c r="B6" s="1"/>
      <c r="C6" s="1"/>
      <c r="D6" s="1" t="s">
        <v>58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44" t="s">
        <v>257</v>
      </c>
      <c r="B8" s="13">
        <v>2411</v>
      </c>
      <c r="C8" s="13" t="s">
        <v>260</v>
      </c>
      <c r="D8" s="14">
        <v>30000</v>
      </c>
      <c r="E8" s="14">
        <v>30000</v>
      </c>
      <c r="F8" s="45">
        <v>570000</v>
      </c>
    </row>
    <row r="9" spans="1:6" x14ac:dyDescent="0.35">
      <c r="A9" s="44" t="s">
        <v>258</v>
      </c>
      <c r="B9" s="13">
        <v>2412</v>
      </c>
      <c r="C9" s="13" t="s">
        <v>52</v>
      </c>
      <c r="D9" s="14">
        <v>30000</v>
      </c>
      <c r="E9" s="14">
        <f>SUM(E8+D9)</f>
        <v>60000</v>
      </c>
      <c r="F9" s="45">
        <f>F8-D9</f>
        <v>540000</v>
      </c>
    </row>
    <row r="10" spans="1:6" x14ac:dyDescent="0.35">
      <c r="A10" s="44" t="s">
        <v>259</v>
      </c>
      <c r="B10" s="13">
        <v>9997</v>
      </c>
      <c r="C10" s="13" t="s">
        <v>52</v>
      </c>
      <c r="D10" s="14">
        <v>150000</v>
      </c>
      <c r="E10" s="14">
        <f t="shared" ref="E10:E11" si="0">SUM(E9+D10)</f>
        <v>210000</v>
      </c>
      <c r="F10" s="45">
        <f t="shared" ref="F10:F11" si="1">F9-D10</f>
        <v>390000</v>
      </c>
    </row>
    <row r="11" spans="1:6" x14ac:dyDescent="0.35">
      <c r="A11" s="46">
        <v>46116</v>
      </c>
      <c r="B11" s="47">
        <v>13115</v>
      </c>
      <c r="C11" s="47" t="s">
        <v>52</v>
      </c>
      <c r="D11" s="48">
        <v>180000</v>
      </c>
      <c r="E11" s="48">
        <f t="shared" si="0"/>
        <v>390000</v>
      </c>
      <c r="F11" s="49">
        <f t="shared" si="1"/>
        <v>210000</v>
      </c>
    </row>
    <row r="12" spans="1:6" x14ac:dyDescent="0.35">
      <c r="A12" s="21">
        <v>46208</v>
      </c>
      <c r="B12">
        <v>12952</v>
      </c>
      <c r="C12" s="47" t="s">
        <v>52</v>
      </c>
      <c r="D12" s="14">
        <v>10000</v>
      </c>
      <c r="E12" s="14">
        <f t="shared" ref="E12:E15" si="2">SUM(E11+D12)</f>
        <v>400000</v>
      </c>
      <c r="F12" s="45">
        <f t="shared" ref="F12:F15" si="3">F11-D12</f>
        <v>200000</v>
      </c>
    </row>
    <row r="13" spans="1:6" x14ac:dyDescent="0.35">
      <c r="A13" t="s">
        <v>678</v>
      </c>
      <c r="B13">
        <v>13673</v>
      </c>
      <c r="C13" s="47" t="s">
        <v>52</v>
      </c>
      <c r="D13" s="14">
        <v>100000</v>
      </c>
      <c r="E13" s="14">
        <f t="shared" si="2"/>
        <v>500000</v>
      </c>
      <c r="F13" s="45">
        <f t="shared" si="3"/>
        <v>100000</v>
      </c>
    </row>
    <row r="14" spans="1:6" x14ac:dyDescent="0.35">
      <c r="A14" t="s">
        <v>656</v>
      </c>
      <c r="B14">
        <v>1490</v>
      </c>
      <c r="C14" s="47" t="s">
        <v>52</v>
      </c>
      <c r="D14" s="14">
        <v>10000</v>
      </c>
      <c r="E14" s="14">
        <f t="shared" si="2"/>
        <v>510000</v>
      </c>
      <c r="F14" s="45">
        <f t="shared" si="3"/>
        <v>90000</v>
      </c>
    </row>
    <row r="15" spans="1:6" x14ac:dyDescent="0.35">
      <c r="A15" t="s">
        <v>679</v>
      </c>
      <c r="B15">
        <v>1812</v>
      </c>
      <c r="C15" s="47" t="s">
        <v>52</v>
      </c>
      <c r="D15" s="14">
        <v>10000</v>
      </c>
      <c r="E15" s="14">
        <f t="shared" si="2"/>
        <v>520000</v>
      </c>
      <c r="F15" s="45">
        <f t="shared" si="3"/>
        <v>80000</v>
      </c>
    </row>
    <row r="16" spans="1:6" x14ac:dyDescent="0.35">
      <c r="A16" s="21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9" workbookViewId="0">
      <selection activeCell="F40" sqref="F40"/>
    </sheetView>
  </sheetViews>
  <sheetFormatPr defaultRowHeight="14.5" x14ac:dyDescent="0.35"/>
  <cols>
    <col min="1" max="1" width="10.453125" bestFit="1" customWidth="1"/>
    <col min="3" max="3" width="13.26953125" customWidth="1"/>
  </cols>
  <sheetData>
    <row r="1" spans="1:6" ht="18.5" x14ac:dyDescent="0.45">
      <c r="A1" s="1" t="s">
        <v>370</v>
      </c>
      <c r="B1" s="1"/>
      <c r="C1" s="1"/>
      <c r="D1" s="1"/>
      <c r="E1" s="1"/>
      <c r="F1" s="1"/>
    </row>
    <row r="2" spans="1:6" ht="18.5" x14ac:dyDescent="0.45">
      <c r="A2" s="1" t="s">
        <v>371</v>
      </c>
      <c r="C2" s="1"/>
      <c r="D2" s="1"/>
      <c r="E2" s="1"/>
      <c r="F2" s="1"/>
    </row>
    <row r="3" spans="1:6" ht="18.5" x14ac:dyDescent="0.45">
      <c r="A3" s="1" t="s">
        <v>372</v>
      </c>
      <c r="B3" s="1"/>
      <c r="C3" s="1"/>
      <c r="D3" s="1"/>
      <c r="E3" s="1"/>
      <c r="F3" s="1"/>
    </row>
    <row r="4" spans="1:6" ht="18.5" x14ac:dyDescent="0.45">
      <c r="A4" s="1" t="s">
        <v>382</v>
      </c>
      <c r="B4" s="1"/>
      <c r="C4" s="1"/>
      <c r="D4" s="1"/>
      <c r="E4" s="1"/>
      <c r="F4" s="1"/>
    </row>
    <row r="5" spans="1:6" ht="18.5" x14ac:dyDescent="0.45">
      <c r="A5" s="1" t="s">
        <v>373</v>
      </c>
      <c r="B5" s="1"/>
      <c r="C5" s="1"/>
      <c r="D5" s="1"/>
      <c r="E5" s="1"/>
      <c r="F5" s="1"/>
    </row>
    <row r="6" spans="1:6" ht="18.5" x14ac:dyDescent="0.45">
      <c r="A6" s="1" t="s">
        <v>374</v>
      </c>
      <c r="B6" s="1"/>
      <c r="C6" s="1"/>
      <c r="D6" s="1" t="s">
        <v>375</v>
      </c>
      <c r="F6" s="1"/>
    </row>
    <row r="7" spans="1:6" x14ac:dyDescent="0.35">
      <c r="A7" s="77" t="s">
        <v>376</v>
      </c>
      <c r="B7" s="77"/>
      <c r="C7" s="77"/>
      <c r="D7" s="4"/>
      <c r="E7" s="4"/>
      <c r="F7" s="4"/>
    </row>
    <row r="8" spans="1:6" ht="18.5" x14ac:dyDescent="0.45">
      <c r="A8" s="1" t="s">
        <v>377</v>
      </c>
    </row>
    <row r="9" spans="1:6" ht="18.5" x14ac:dyDescent="0.45">
      <c r="A9" s="1" t="s">
        <v>378</v>
      </c>
      <c r="B9" s="1"/>
      <c r="C9" s="1"/>
      <c r="D9" s="1"/>
      <c r="E9" s="1"/>
    </row>
    <row r="10" spans="1:6" ht="18.5" x14ac:dyDescent="0.45">
      <c r="A10" s="1" t="s">
        <v>379</v>
      </c>
      <c r="C10" s="1"/>
      <c r="D10" s="1"/>
      <c r="E10" s="1"/>
    </row>
    <row r="11" spans="1:6" ht="18.5" x14ac:dyDescent="0.45">
      <c r="A11" s="1" t="s">
        <v>380</v>
      </c>
      <c r="B11" s="1"/>
      <c r="C11" s="1"/>
      <c r="D11" s="1"/>
      <c r="E11" s="1"/>
    </row>
    <row r="12" spans="1:6" ht="18.5" x14ac:dyDescent="0.45">
      <c r="A12" s="1" t="s">
        <v>382</v>
      </c>
      <c r="B12" s="1"/>
      <c r="C12" s="1"/>
      <c r="D12" s="1"/>
      <c r="E12" s="1"/>
    </row>
    <row r="13" spans="1:6" ht="18.5" x14ac:dyDescent="0.45">
      <c r="A13" s="1" t="s">
        <v>381</v>
      </c>
      <c r="B13" s="1"/>
      <c r="C13" s="1"/>
      <c r="D13" s="1"/>
      <c r="E13" s="1"/>
    </row>
    <row r="14" spans="1:6" x14ac:dyDescent="0.35">
      <c r="A14" s="50" t="s">
        <v>0</v>
      </c>
      <c r="B14" s="43" t="s">
        <v>1</v>
      </c>
      <c r="C14" s="43" t="s">
        <v>2</v>
      </c>
      <c r="D14" s="41" t="s">
        <v>3</v>
      </c>
      <c r="E14" s="41" t="s">
        <v>4</v>
      </c>
      <c r="F14" s="42" t="s">
        <v>5</v>
      </c>
    </row>
    <row r="15" spans="1:6" x14ac:dyDescent="0.35">
      <c r="A15" t="s">
        <v>383</v>
      </c>
      <c r="B15">
        <v>2231</v>
      </c>
      <c r="C15" t="s">
        <v>144</v>
      </c>
      <c r="D15" s="16">
        <v>150000</v>
      </c>
      <c r="E15" s="16">
        <v>150000</v>
      </c>
      <c r="F15" s="16">
        <v>300000</v>
      </c>
    </row>
    <row r="16" spans="1:6" x14ac:dyDescent="0.35">
      <c r="A16" t="s">
        <v>193</v>
      </c>
      <c r="B16">
        <v>2232</v>
      </c>
      <c r="C16" t="s">
        <v>52</v>
      </c>
      <c r="D16" s="16">
        <v>10000</v>
      </c>
      <c r="E16" s="16">
        <f>SUM(E15+D16)</f>
        <v>160000</v>
      </c>
      <c r="F16" s="16">
        <f>F15-D16</f>
        <v>290000</v>
      </c>
    </row>
    <row r="17" spans="1:6" x14ac:dyDescent="0.35">
      <c r="A17" t="s">
        <v>384</v>
      </c>
      <c r="B17">
        <v>1146</v>
      </c>
      <c r="C17" t="s">
        <v>52</v>
      </c>
      <c r="D17" s="16">
        <v>10000</v>
      </c>
      <c r="E17" s="16">
        <f t="shared" ref="E17:E35" si="0">SUM(E16+D17)</f>
        <v>170000</v>
      </c>
      <c r="F17" s="16">
        <f t="shared" ref="F17:F35" si="1">F16-D17</f>
        <v>280000</v>
      </c>
    </row>
    <row r="18" spans="1:6" x14ac:dyDescent="0.35">
      <c r="A18" t="s">
        <v>385</v>
      </c>
      <c r="B18">
        <v>263</v>
      </c>
      <c r="C18" t="s">
        <v>52</v>
      </c>
      <c r="D18" s="16">
        <v>10000</v>
      </c>
      <c r="E18" s="16">
        <f t="shared" si="0"/>
        <v>180000</v>
      </c>
      <c r="F18" s="16">
        <f t="shared" si="1"/>
        <v>270000</v>
      </c>
    </row>
    <row r="19" spans="1:6" x14ac:dyDescent="0.35">
      <c r="A19" t="s">
        <v>386</v>
      </c>
      <c r="B19">
        <v>576</v>
      </c>
      <c r="C19" t="s">
        <v>52</v>
      </c>
      <c r="D19" s="16">
        <v>10000</v>
      </c>
      <c r="E19" s="16">
        <f t="shared" si="0"/>
        <v>190000</v>
      </c>
      <c r="F19" s="16">
        <f t="shared" si="1"/>
        <v>260000</v>
      </c>
    </row>
    <row r="20" spans="1:6" x14ac:dyDescent="0.35">
      <c r="A20" t="s">
        <v>387</v>
      </c>
      <c r="B20">
        <v>2746</v>
      </c>
      <c r="C20" t="s">
        <v>52</v>
      </c>
      <c r="D20" s="16">
        <v>10000</v>
      </c>
      <c r="E20" s="16">
        <f t="shared" si="0"/>
        <v>200000</v>
      </c>
      <c r="F20" s="16">
        <f t="shared" si="1"/>
        <v>250000</v>
      </c>
    </row>
    <row r="21" spans="1:6" x14ac:dyDescent="0.35">
      <c r="A21" s="21">
        <v>45148</v>
      </c>
      <c r="B21">
        <v>4076</v>
      </c>
      <c r="C21" t="s">
        <v>52</v>
      </c>
      <c r="D21" s="16">
        <v>20000</v>
      </c>
      <c r="E21" s="16">
        <f t="shared" si="0"/>
        <v>220000</v>
      </c>
      <c r="F21" s="16">
        <f t="shared" si="1"/>
        <v>230000</v>
      </c>
    </row>
    <row r="22" spans="1:6" x14ac:dyDescent="0.35">
      <c r="A22" t="s">
        <v>143</v>
      </c>
      <c r="B22">
        <v>5110</v>
      </c>
      <c r="C22" t="s">
        <v>52</v>
      </c>
      <c r="D22" s="16">
        <v>20000</v>
      </c>
      <c r="E22" s="16">
        <f t="shared" si="0"/>
        <v>240000</v>
      </c>
      <c r="F22" s="16">
        <f t="shared" si="1"/>
        <v>210000</v>
      </c>
    </row>
    <row r="23" spans="1:6" x14ac:dyDescent="0.35">
      <c r="A23" s="21">
        <v>45629</v>
      </c>
      <c r="B23">
        <v>7332</v>
      </c>
      <c r="C23" t="s">
        <v>52</v>
      </c>
      <c r="D23" s="16">
        <v>10000</v>
      </c>
      <c r="E23" s="16">
        <f t="shared" si="0"/>
        <v>250000</v>
      </c>
      <c r="F23" s="16">
        <f t="shared" si="1"/>
        <v>200000</v>
      </c>
    </row>
    <row r="24" spans="1:6" x14ac:dyDescent="0.35">
      <c r="A24" t="s">
        <v>388</v>
      </c>
      <c r="B24">
        <v>8177</v>
      </c>
      <c r="C24" t="s">
        <v>52</v>
      </c>
      <c r="D24" s="16">
        <v>10000</v>
      </c>
      <c r="E24" s="16">
        <f t="shared" si="0"/>
        <v>260000</v>
      </c>
      <c r="F24" s="16">
        <f t="shared" si="1"/>
        <v>190000</v>
      </c>
    </row>
    <row r="25" spans="1:6" x14ac:dyDescent="0.35">
      <c r="A25" s="21" t="s">
        <v>389</v>
      </c>
      <c r="B25">
        <v>9090</v>
      </c>
      <c r="C25" t="s">
        <v>52</v>
      </c>
      <c r="D25" s="16">
        <v>10000</v>
      </c>
      <c r="E25" s="16">
        <f t="shared" si="0"/>
        <v>270000</v>
      </c>
      <c r="F25" s="16">
        <f t="shared" si="1"/>
        <v>180000</v>
      </c>
    </row>
    <row r="26" spans="1:6" x14ac:dyDescent="0.35">
      <c r="A26" s="21">
        <v>45605</v>
      </c>
      <c r="B26">
        <v>10693</v>
      </c>
      <c r="C26" t="s">
        <v>52</v>
      </c>
      <c r="D26" s="16">
        <v>10000</v>
      </c>
      <c r="E26" s="16">
        <f t="shared" si="0"/>
        <v>280000</v>
      </c>
      <c r="F26" s="16">
        <f t="shared" si="1"/>
        <v>170000</v>
      </c>
    </row>
    <row r="27" spans="1:6" x14ac:dyDescent="0.35">
      <c r="A27" s="21">
        <v>45453</v>
      </c>
      <c r="B27">
        <v>11401</v>
      </c>
      <c r="C27" t="s">
        <v>52</v>
      </c>
      <c r="D27" s="16">
        <v>20000</v>
      </c>
      <c r="E27" s="16">
        <f t="shared" si="0"/>
        <v>300000</v>
      </c>
      <c r="F27" s="16">
        <f t="shared" si="1"/>
        <v>150000</v>
      </c>
    </row>
    <row r="28" spans="1:6" x14ac:dyDescent="0.35">
      <c r="A28" s="21">
        <v>45515</v>
      </c>
      <c r="B28">
        <v>11925</v>
      </c>
      <c r="C28" t="s">
        <v>52</v>
      </c>
      <c r="D28" s="16">
        <v>10000</v>
      </c>
      <c r="E28" s="16">
        <f t="shared" si="0"/>
        <v>310000</v>
      </c>
      <c r="F28" s="16">
        <f t="shared" si="1"/>
        <v>140000</v>
      </c>
    </row>
    <row r="29" spans="1:6" x14ac:dyDescent="0.35">
      <c r="A29" s="21">
        <v>45638</v>
      </c>
      <c r="B29">
        <v>10700</v>
      </c>
      <c r="C29" t="s">
        <v>52</v>
      </c>
      <c r="D29" s="16">
        <v>10000</v>
      </c>
      <c r="E29" s="16">
        <f t="shared" si="0"/>
        <v>320000</v>
      </c>
      <c r="F29" s="16">
        <f t="shared" si="1"/>
        <v>130000</v>
      </c>
    </row>
    <row r="30" spans="1:6" x14ac:dyDescent="0.35">
      <c r="A30" t="s">
        <v>38</v>
      </c>
      <c r="B30">
        <v>10700</v>
      </c>
      <c r="C30" t="s">
        <v>52</v>
      </c>
      <c r="D30" s="16">
        <v>10000</v>
      </c>
      <c r="E30" s="16">
        <f t="shared" si="0"/>
        <v>330000</v>
      </c>
      <c r="F30" s="16">
        <f t="shared" si="1"/>
        <v>120000</v>
      </c>
    </row>
    <row r="31" spans="1:6" x14ac:dyDescent="0.35">
      <c r="A31" s="21">
        <v>45695</v>
      </c>
      <c r="B31">
        <v>12222</v>
      </c>
      <c r="C31" t="s">
        <v>52</v>
      </c>
      <c r="D31" s="16">
        <v>20000</v>
      </c>
      <c r="E31" s="16">
        <f t="shared" si="0"/>
        <v>350000</v>
      </c>
      <c r="F31" s="16">
        <f t="shared" si="1"/>
        <v>100000</v>
      </c>
    </row>
    <row r="32" spans="1:6" x14ac:dyDescent="0.35">
      <c r="A32" t="s">
        <v>390</v>
      </c>
      <c r="B32">
        <v>3706</v>
      </c>
      <c r="C32" t="s">
        <v>52</v>
      </c>
      <c r="D32" s="16">
        <v>20000</v>
      </c>
      <c r="E32" s="16">
        <f t="shared" si="0"/>
        <v>370000</v>
      </c>
      <c r="F32" s="16">
        <f t="shared" si="1"/>
        <v>80000</v>
      </c>
    </row>
    <row r="33" spans="1:6" x14ac:dyDescent="0.35">
      <c r="A33" t="s">
        <v>391</v>
      </c>
      <c r="B33">
        <v>13539</v>
      </c>
      <c r="C33" t="s">
        <v>52</v>
      </c>
      <c r="D33" s="16">
        <v>10000</v>
      </c>
      <c r="E33" s="16">
        <f t="shared" si="0"/>
        <v>380000</v>
      </c>
      <c r="F33" s="16">
        <f t="shared" si="1"/>
        <v>70000</v>
      </c>
    </row>
    <row r="34" spans="1:6" x14ac:dyDescent="0.35">
      <c r="A34" t="s">
        <v>392</v>
      </c>
      <c r="B34">
        <v>13037</v>
      </c>
      <c r="C34" t="s">
        <v>52</v>
      </c>
      <c r="D34" s="16">
        <v>10000</v>
      </c>
      <c r="E34" s="16">
        <f t="shared" si="0"/>
        <v>390000</v>
      </c>
      <c r="F34" s="16">
        <f t="shared" si="1"/>
        <v>60000</v>
      </c>
    </row>
    <row r="35" spans="1:6" x14ac:dyDescent="0.35">
      <c r="A35" t="s">
        <v>393</v>
      </c>
      <c r="B35">
        <v>12677</v>
      </c>
      <c r="C35" t="s">
        <v>52</v>
      </c>
      <c r="D35" s="16">
        <v>9000</v>
      </c>
      <c r="E35" s="16">
        <f t="shared" si="0"/>
        <v>399000</v>
      </c>
      <c r="F35" s="16">
        <f t="shared" si="1"/>
        <v>51000</v>
      </c>
    </row>
    <row r="36" spans="1:6" x14ac:dyDescent="0.35">
      <c r="A36" t="s">
        <v>633</v>
      </c>
      <c r="B36">
        <v>12544</v>
      </c>
      <c r="C36" t="s">
        <v>52</v>
      </c>
      <c r="D36" s="16">
        <v>19000</v>
      </c>
      <c r="E36" s="16">
        <f>E35+D36</f>
        <v>418000</v>
      </c>
      <c r="F36" s="16">
        <f>F35-D36</f>
        <v>32000</v>
      </c>
    </row>
    <row r="37" spans="1:6" x14ac:dyDescent="0.35">
      <c r="A37" t="s">
        <v>634</v>
      </c>
      <c r="B37">
        <v>13455</v>
      </c>
      <c r="C37" t="s">
        <v>52</v>
      </c>
      <c r="D37" s="16">
        <v>10000</v>
      </c>
      <c r="E37" s="16">
        <f>E36+D37</f>
        <v>428000</v>
      </c>
      <c r="F37" s="16">
        <f>F36-D37</f>
        <v>22000</v>
      </c>
    </row>
    <row r="38" spans="1:6" x14ac:dyDescent="0.35">
      <c r="A38" t="s">
        <v>570</v>
      </c>
      <c r="B38">
        <v>1336</v>
      </c>
      <c r="C38" t="s">
        <v>52</v>
      </c>
      <c r="D38" s="16">
        <v>10000</v>
      </c>
      <c r="E38" s="16">
        <f>E37+D38</f>
        <v>438000</v>
      </c>
      <c r="F38" s="16">
        <f>F37-D38</f>
        <v>12000</v>
      </c>
    </row>
    <row r="39" spans="1:6" x14ac:dyDescent="0.35">
      <c r="A39" t="s">
        <v>632</v>
      </c>
      <c r="B39">
        <v>1589</v>
      </c>
      <c r="C39" t="s">
        <v>52</v>
      </c>
      <c r="D39" s="16">
        <v>10000</v>
      </c>
      <c r="E39" s="16">
        <f>E38+D39</f>
        <v>448000</v>
      </c>
      <c r="F39" s="16">
        <f>F38-D39</f>
        <v>2000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15" sqref="D15"/>
    </sheetView>
  </sheetViews>
  <sheetFormatPr defaultRowHeight="14.5" x14ac:dyDescent="0.35"/>
  <cols>
    <col min="1" max="1" width="10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261</v>
      </c>
      <c r="B1" s="1"/>
      <c r="C1" s="1"/>
      <c r="D1" s="1"/>
      <c r="E1" s="1"/>
      <c r="F1" s="1"/>
    </row>
    <row r="2" spans="1:6" ht="18.5" x14ac:dyDescent="0.45">
      <c r="A2" s="1" t="s">
        <v>262</v>
      </c>
      <c r="C2" s="1"/>
      <c r="D2" s="1"/>
      <c r="E2" s="1"/>
      <c r="F2" s="1"/>
    </row>
    <row r="3" spans="1:6" ht="18.5" x14ac:dyDescent="0.45">
      <c r="A3" s="1" t="s">
        <v>263</v>
      </c>
      <c r="B3" s="1"/>
      <c r="C3" s="1"/>
      <c r="D3" s="1"/>
      <c r="E3" s="1"/>
      <c r="F3" s="1"/>
    </row>
    <row r="4" spans="1:6" ht="18.5" x14ac:dyDescent="0.45">
      <c r="A4" s="1" t="s">
        <v>270</v>
      </c>
      <c r="B4" s="1"/>
      <c r="C4" s="1"/>
      <c r="D4" s="1"/>
      <c r="E4" s="1"/>
      <c r="F4" s="1"/>
    </row>
    <row r="5" spans="1:6" ht="18.5" x14ac:dyDescent="0.45">
      <c r="A5" s="1" t="s">
        <v>264</v>
      </c>
      <c r="B5" s="1"/>
      <c r="C5" s="1"/>
      <c r="D5" s="1"/>
      <c r="E5" s="1"/>
      <c r="F5" s="1"/>
    </row>
    <row r="6" spans="1:6" ht="18.5" x14ac:dyDescent="0.45">
      <c r="A6" s="1" t="s">
        <v>265</v>
      </c>
      <c r="B6" s="1"/>
      <c r="C6" s="1"/>
      <c r="D6" s="1" t="s">
        <v>227</v>
      </c>
      <c r="F6" s="1"/>
    </row>
    <row r="7" spans="1:6" x14ac:dyDescent="0.35">
      <c r="A7" s="58" t="s">
        <v>0</v>
      </c>
      <c r="B7" s="58" t="s">
        <v>1</v>
      </c>
      <c r="C7" s="58" t="s">
        <v>2</v>
      </c>
      <c r="D7" s="55" t="s">
        <v>3</v>
      </c>
      <c r="E7" s="55" t="s">
        <v>4</v>
      </c>
      <c r="F7" s="55" t="s">
        <v>5</v>
      </c>
    </row>
    <row r="8" spans="1:6" x14ac:dyDescent="0.35">
      <c r="A8" t="s">
        <v>266</v>
      </c>
      <c r="B8">
        <v>1493</v>
      </c>
      <c r="C8" t="s">
        <v>7</v>
      </c>
      <c r="D8" s="16">
        <v>10000</v>
      </c>
      <c r="E8" s="16">
        <v>10000</v>
      </c>
      <c r="F8" s="16">
        <v>30000</v>
      </c>
    </row>
    <row r="9" spans="1:6" ht="29" x14ac:dyDescent="0.35">
      <c r="A9" s="68" t="s">
        <v>267</v>
      </c>
      <c r="B9">
        <v>82</v>
      </c>
      <c r="C9" t="s">
        <v>6</v>
      </c>
      <c r="D9" s="16">
        <v>30000</v>
      </c>
      <c r="E9" s="16">
        <v>40000</v>
      </c>
      <c r="F9" t="s">
        <v>248</v>
      </c>
    </row>
    <row r="10" spans="1:6" x14ac:dyDescent="0.35">
      <c r="B10" t="s">
        <v>268</v>
      </c>
    </row>
    <row r="11" spans="1:6" x14ac:dyDescent="0.35">
      <c r="B11" t="s">
        <v>269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A9" workbookViewId="0">
      <selection activeCell="F20" sqref="F20"/>
    </sheetView>
  </sheetViews>
  <sheetFormatPr defaultRowHeight="14.5" x14ac:dyDescent="0.35"/>
  <cols>
    <col min="1" max="1" width="10.81640625" bestFit="1" customWidth="1"/>
    <col min="3" max="3" width="14.0898437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211</v>
      </c>
      <c r="B1" s="1"/>
      <c r="C1" s="1"/>
      <c r="D1" s="1"/>
      <c r="E1" s="1"/>
      <c r="F1" s="1"/>
    </row>
    <row r="2" spans="1:6" ht="18.5" x14ac:dyDescent="0.45">
      <c r="A2" s="1" t="s">
        <v>212</v>
      </c>
      <c r="C2" s="1"/>
      <c r="D2" s="1"/>
      <c r="E2" s="1"/>
      <c r="F2" s="1"/>
    </row>
    <row r="3" spans="1:6" ht="18.5" x14ac:dyDescent="0.45">
      <c r="A3" s="1" t="s">
        <v>213</v>
      </c>
      <c r="B3" s="1"/>
      <c r="C3" s="1"/>
      <c r="D3" s="1"/>
      <c r="E3" s="1"/>
      <c r="F3" s="1"/>
    </row>
    <row r="4" spans="1:6" ht="18.5" x14ac:dyDescent="0.45">
      <c r="A4" s="1" t="s">
        <v>333</v>
      </c>
      <c r="B4" s="1"/>
      <c r="C4" s="1"/>
      <c r="D4" s="1"/>
      <c r="E4" s="1"/>
      <c r="F4" s="1"/>
    </row>
    <row r="5" spans="1:6" ht="18.5" x14ac:dyDescent="0.45">
      <c r="A5" s="1" t="s">
        <v>214</v>
      </c>
      <c r="B5" s="1"/>
      <c r="C5" s="1"/>
      <c r="D5" s="1"/>
      <c r="E5" s="1"/>
      <c r="F5" s="1"/>
    </row>
    <row r="6" spans="1:6" ht="18.5" x14ac:dyDescent="0.45">
      <c r="A6" s="1" t="s">
        <v>215</v>
      </c>
      <c r="B6" s="1"/>
      <c r="C6" s="1"/>
      <c r="D6" s="1" t="s">
        <v>216</v>
      </c>
      <c r="F6" s="1"/>
    </row>
    <row r="7" spans="1:6" x14ac:dyDescent="0.35">
      <c r="A7" s="57" t="s">
        <v>0</v>
      </c>
      <c r="B7" s="58" t="s">
        <v>1</v>
      </c>
      <c r="C7" s="58" t="s">
        <v>2</v>
      </c>
      <c r="D7" s="55" t="s">
        <v>3</v>
      </c>
      <c r="E7" s="55" t="s">
        <v>4</v>
      </c>
      <c r="F7" s="56" t="s">
        <v>5</v>
      </c>
    </row>
    <row r="8" spans="1:6" x14ac:dyDescent="0.35">
      <c r="A8" s="37">
        <v>45847</v>
      </c>
      <c r="B8" s="13">
        <v>12654</v>
      </c>
      <c r="C8" s="13" t="s">
        <v>16</v>
      </c>
      <c r="D8" s="14">
        <v>100000</v>
      </c>
      <c r="E8" s="14">
        <v>100000</v>
      </c>
      <c r="F8" s="45">
        <v>550000</v>
      </c>
    </row>
    <row r="9" spans="1:6" x14ac:dyDescent="0.35">
      <c r="A9" s="44" t="s">
        <v>217</v>
      </c>
      <c r="B9" s="13">
        <v>13792</v>
      </c>
      <c r="C9" s="13" t="s">
        <v>52</v>
      </c>
      <c r="D9" s="14">
        <v>50000</v>
      </c>
      <c r="E9" s="14">
        <f>SUM(E8+D9)</f>
        <v>150000</v>
      </c>
      <c r="F9" s="45">
        <f>F8-D9</f>
        <v>500000</v>
      </c>
    </row>
    <row r="10" spans="1:6" x14ac:dyDescent="0.35">
      <c r="A10" s="37">
        <v>45911</v>
      </c>
      <c r="B10" s="13">
        <v>13302</v>
      </c>
      <c r="C10" s="13" t="s">
        <v>52</v>
      </c>
      <c r="D10" s="14">
        <v>10000</v>
      </c>
      <c r="E10" s="14">
        <f t="shared" ref="E10:E14" si="0">SUM(E9+D10)</f>
        <v>160000</v>
      </c>
      <c r="F10" s="45">
        <f t="shared" ref="F10:F14" si="1">F9-D10</f>
        <v>490000</v>
      </c>
    </row>
    <row r="11" spans="1:6" x14ac:dyDescent="0.35">
      <c r="A11" s="44" t="s">
        <v>218</v>
      </c>
      <c r="B11" s="13">
        <v>12623</v>
      </c>
      <c r="C11" s="13" t="s">
        <v>52</v>
      </c>
      <c r="D11" s="14">
        <v>10000</v>
      </c>
      <c r="E11" s="14">
        <f t="shared" si="0"/>
        <v>170000</v>
      </c>
      <c r="F11" s="45">
        <f t="shared" si="1"/>
        <v>480000</v>
      </c>
    </row>
    <row r="12" spans="1:6" x14ac:dyDescent="0.35">
      <c r="A12" s="37">
        <v>46327</v>
      </c>
      <c r="B12" s="13">
        <v>12091</v>
      </c>
      <c r="C12" s="13" t="s">
        <v>52</v>
      </c>
      <c r="D12" s="14">
        <v>10000</v>
      </c>
      <c r="E12" s="14">
        <f t="shared" si="0"/>
        <v>180000</v>
      </c>
      <c r="F12" s="45">
        <f t="shared" si="1"/>
        <v>470000</v>
      </c>
    </row>
    <row r="13" spans="1:6" x14ac:dyDescent="0.35">
      <c r="A13" s="44" t="s">
        <v>186</v>
      </c>
      <c r="B13" s="13">
        <v>12500</v>
      </c>
      <c r="C13" s="13" t="s">
        <v>52</v>
      </c>
      <c r="D13" s="14">
        <v>10000</v>
      </c>
      <c r="E13" s="14">
        <f t="shared" si="0"/>
        <v>190000</v>
      </c>
      <c r="F13" s="45">
        <f t="shared" si="1"/>
        <v>460000</v>
      </c>
    </row>
    <row r="14" spans="1:6" x14ac:dyDescent="0.35">
      <c r="A14" s="46" t="s">
        <v>219</v>
      </c>
      <c r="B14" s="47">
        <v>12871</v>
      </c>
      <c r="C14" s="47" t="s">
        <v>52</v>
      </c>
      <c r="D14" s="48">
        <v>10000</v>
      </c>
      <c r="E14" s="48">
        <f t="shared" si="0"/>
        <v>200000</v>
      </c>
      <c r="F14" s="49">
        <f t="shared" si="1"/>
        <v>450000</v>
      </c>
    </row>
    <row r="15" spans="1:6" x14ac:dyDescent="0.35">
      <c r="A15" s="46" t="s">
        <v>332</v>
      </c>
      <c r="B15" s="47">
        <v>13273</v>
      </c>
      <c r="C15" s="47" t="s">
        <v>52</v>
      </c>
      <c r="D15" s="48">
        <v>10000</v>
      </c>
      <c r="E15" s="48">
        <f>SUM(E14+D15)</f>
        <v>210000</v>
      </c>
      <c r="F15" s="49">
        <f>F14-D15</f>
        <v>440000</v>
      </c>
    </row>
    <row r="16" spans="1:6" x14ac:dyDescent="0.35">
      <c r="A16" s="46">
        <v>46300</v>
      </c>
      <c r="B16" s="47">
        <v>12993</v>
      </c>
      <c r="C16" s="47" t="s">
        <v>52</v>
      </c>
      <c r="D16" s="48">
        <v>10000</v>
      </c>
      <c r="E16" s="48">
        <f>SUM(E15+D16)</f>
        <v>220000</v>
      </c>
      <c r="F16" s="49">
        <f>F15-D16</f>
        <v>430000</v>
      </c>
    </row>
    <row r="17" spans="1:6" x14ac:dyDescent="0.35">
      <c r="A17" t="s">
        <v>529</v>
      </c>
      <c r="B17" s="2">
        <v>13640</v>
      </c>
      <c r="C17" s="2" t="s">
        <v>52</v>
      </c>
      <c r="D17" s="75">
        <v>10000</v>
      </c>
      <c r="E17" s="75">
        <f>E16+D17</f>
        <v>230000</v>
      </c>
      <c r="F17" s="75">
        <f>F16-D17</f>
        <v>420000</v>
      </c>
    </row>
    <row r="18" spans="1:6" x14ac:dyDescent="0.35">
      <c r="A18" t="s">
        <v>621</v>
      </c>
      <c r="B18" s="2">
        <v>1464</v>
      </c>
      <c r="C18" s="2" t="s">
        <v>523</v>
      </c>
      <c r="D18" s="75">
        <v>10000</v>
      </c>
      <c r="E18" s="75">
        <f>E17+D18</f>
        <v>240000</v>
      </c>
      <c r="F18" s="75">
        <f>F17-D18</f>
        <v>410000</v>
      </c>
    </row>
    <row r="19" spans="1:6" x14ac:dyDescent="0.35">
      <c r="A19" s="21">
        <v>46273</v>
      </c>
      <c r="B19">
        <v>1700</v>
      </c>
      <c r="C19" s="2" t="s">
        <v>523</v>
      </c>
      <c r="D19" s="75">
        <v>10000</v>
      </c>
      <c r="E19" s="16">
        <f>E18+D19</f>
        <v>250000</v>
      </c>
      <c r="F19" s="16">
        <f>F18-D19</f>
        <v>400000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J8" sqref="J8"/>
    </sheetView>
  </sheetViews>
  <sheetFormatPr defaultRowHeight="14.5" x14ac:dyDescent="0.35"/>
  <cols>
    <col min="1" max="2" width="10.26953125" customWidth="1"/>
    <col min="3" max="3" width="13.1796875" customWidth="1"/>
    <col min="4" max="7" width="10.26953125" customWidth="1"/>
  </cols>
  <sheetData>
    <row r="1" spans="1:6" ht="18.5" x14ac:dyDescent="0.45">
      <c r="A1" s="1" t="s">
        <v>271</v>
      </c>
      <c r="B1" s="1"/>
      <c r="C1" s="1"/>
      <c r="D1" s="1"/>
      <c r="E1" s="1"/>
      <c r="F1" s="1"/>
    </row>
    <row r="2" spans="1:6" ht="18.5" x14ac:dyDescent="0.45">
      <c r="A2" s="1" t="s">
        <v>272</v>
      </c>
      <c r="C2" s="1"/>
      <c r="D2" s="1"/>
      <c r="E2" s="1"/>
      <c r="F2" s="1"/>
    </row>
    <row r="3" spans="1:6" ht="18.5" x14ac:dyDescent="0.45">
      <c r="A3" s="1" t="s">
        <v>273</v>
      </c>
      <c r="B3" s="1"/>
      <c r="C3" s="1"/>
      <c r="D3" s="1"/>
      <c r="E3" s="1"/>
      <c r="F3" s="1"/>
    </row>
    <row r="4" spans="1:6" ht="18.5" x14ac:dyDescent="0.45">
      <c r="A4" s="1" t="s">
        <v>276</v>
      </c>
      <c r="B4" s="1"/>
      <c r="C4" s="1"/>
      <c r="D4" s="1"/>
      <c r="E4" s="1"/>
      <c r="F4" s="1"/>
    </row>
    <row r="5" spans="1:6" ht="18.5" x14ac:dyDescent="0.45">
      <c r="A5" s="1" t="s">
        <v>274</v>
      </c>
      <c r="B5" s="1"/>
      <c r="C5" s="1"/>
      <c r="D5" s="1"/>
      <c r="E5" s="1"/>
      <c r="F5" s="1"/>
    </row>
    <row r="6" spans="1:6" ht="18.5" x14ac:dyDescent="0.45">
      <c r="A6" s="1" t="s">
        <v>275</v>
      </c>
      <c r="B6" s="1"/>
      <c r="C6" s="1"/>
      <c r="D6" s="1" t="s">
        <v>227</v>
      </c>
      <c r="F6" s="1"/>
    </row>
    <row r="7" spans="1:6" x14ac:dyDescent="0.35">
      <c r="A7" s="69"/>
      <c r="B7" s="70"/>
      <c r="C7" s="70"/>
      <c r="D7" s="55"/>
      <c r="E7" s="55"/>
      <c r="F7" s="55"/>
    </row>
    <row r="8" spans="1:6" x14ac:dyDescent="0.35">
      <c r="A8" s="71" t="s">
        <v>0</v>
      </c>
      <c r="B8" s="71" t="s">
        <v>1</v>
      </c>
      <c r="C8" s="71" t="s">
        <v>2</v>
      </c>
      <c r="D8" s="72" t="s">
        <v>3</v>
      </c>
      <c r="E8" s="72" t="s">
        <v>4</v>
      </c>
      <c r="F8" s="72" t="s">
        <v>5</v>
      </c>
    </row>
    <row r="9" spans="1:6" x14ac:dyDescent="0.35">
      <c r="A9" t="s">
        <v>266</v>
      </c>
      <c r="B9">
        <v>1497</v>
      </c>
      <c r="C9" t="s">
        <v>278</v>
      </c>
      <c r="D9" s="16">
        <v>10000</v>
      </c>
      <c r="E9" s="16">
        <v>10000</v>
      </c>
      <c r="F9" s="16">
        <v>40000</v>
      </c>
    </row>
    <row r="10" spans="1:6" x14ac:dyDescent="0.35">
      <c r="A10" t="s">
        <v>137</v>
      </c>
      <c r="B10">
        <v>83</v>
      </c>
      <c r="C10" t="s">
        <v>279</v>
      </c>
      <c r="D10" s="16">
        <v>20000</v>
      </c>
      <c r="E10" s="16">
        <f>SUM(E9+D10)</f>
        <v>30000</v>
      </c>
      <c r="F10" s="16">
        <f>F9-D10</f>
        <v>20000</v>
      </c>
    </row>
    <row r="11" spans="1:6" x14ac:dyDescent="0.35">
      <c r="A11" t="s">
        <v>277</v>
      </c>
      <c r="B11">
        <v>24</v>
      </c>
      <c r="C11" t="s">
        <v>52</v>
      </c>
      <c r="D11" s="16">
        <v>20000</v>
      </c>
      <c r="E11" s="16">
        <f>SUM(E10+D11)</f>
        <v>50000</v>
      </c>
      <c r="F11" s="16">
        <f>F10-D11</f>
        <v>0</v>
      </c>
    </row>
    <row r="12" spans="1:6" x14ac:dyDescent="0.35">
      <c r="B12" t="s">
        <v>280</v>
      </c>
    </row>
    <row r="13" spans="1:6" x14ac:dyDescent="0.35">
      <c r="C13" t="s">
        <v>269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1" sqref="B11"/>
    </sheetView>
  </sheetViews>
  <sheetFormatPr defaultRowHeight="14.5" x14ac:dyDescent="0.35"/>
  <cols>
    <col min="1" max="1" width="9.2695312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46</v>
      </c>
      <c r="C2" s="1"/>
      <c r="D2" s="1"/>
      <c r="E2" s="1"/>
      <c r="F2" s="1"/>
    </row>
    <row r="3" spans="1:6" ht="21" x14ac:dyDescent="0.5">
      <c r="A3" s="1" t="s">
        <v>487</v>
      </c>
      <c r="B3" s="89" t="s">
        <v>502</v>
      </c>
      <c r="C3" s="1"/>
      <c r="D3" s="1"/>
      <c r="E3" s="1"/>
      <c r="F3" s="1"/>
    </row>
    <row r="4" spans="1:6" ht="18.5" x14ac:dyDescent="0.45">
      <c r="A4" s="1" t="s">
        <v>47</v>
      </c>
      <c r="B4" s="1"/>
      <c r="C4" s="1"/>
      <c r="D4" s="1"/>
      <c r="E4" s="1"/>
      <c r="F4" s="1"/>
    </row>
    <row r="5" spans="1:6" ht="18.5" x14ac:dyDescent="0.45">
      <c r="A5" s="1" t="s">
        <v>48</v>
      </c>
      <c r="B5" s="1"/>
      <c r="C5" s="1"/>
      <c r="D5" s="1"/>
      <c r="E5" s="1"/>
      <c r="F5" s="1"/>
    </row>
    <row r="6" spans="1:6" ht="18.5" x14ac:dyDescent="0.45">
      <c r="A6" s="1" t="s">
        <v>49</v>
      </c>
      <c r="B6" s="1"/>
      <c r="C6" s="1"/>
      <c r="D6" s="1" t="s">
        <v>50</v>
      </c>
      <c r="F6" s="1"/>
    </row>
    <row r="7" spans="1:6" x14ac:dyDescent="0.35">
      <c r="A7" s="54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3" t="s">
        <v>5</v>
      </c>
    </row>
    <row r="8" spans="1:6" x14ac:dyDescent="0.35">
      <c r="A8" s="59" t="s">
        <v>51</v>
      </c>
      <c r="B8" s="9">
        <v>12264</v>
      </c>
      <c r="C8" s="9" t="s">
        <v>16</v>
      </c>
      <c r="D8" s="10">
        <v>200000</v>
      </c>
      <c r="E8" s="10">
        <v>200000</v>
      </c>
      <c r="F8" s="61">
        <v>600000</v>
      </c>
    </row>
    <row r="9" spans="1:6" x14ac:dyDescent="0.35">
      <c r="A9" s="62">
        <v>46205</v>
      </c>
      <c r="B9" s="63">
        <v>12373</v>
      </c>
      <c r="C9" s="63" t="s">
        <v>52</v>
      </c>
      <c r="D9" s="64">
        <v>10000</v>
      </c>
      <c r="E9" s="64">
        <v>210000</v>
      </c>
      <c r="F9" s="65">
        <v>590000</v>
      </c>
    </row>
    <row r="10" spans="1:6" x14ac:dyDescent="0.35">
      <c r="A10" t="s">
        <v>501</v>
      </c>
      <c r="B10">
        <v>13489</v>
      </c>
      <c r="C10" t="s">
        <v>52</v>
      </c>
      <c r="D10" s="75">
        <v>30000</v>
      </c>
      <c r="E10" s="75">
        <f>E9+D10</f>
        <v>240000</v>
      </c>
      <c r="F10" s="75">
        <f>F9-D10</f>
        <v>560000</v>
      </c>
    </row>
    <row r="11" spans="1:6" x14ac:dyDescent="0.35">
      <c r="D11" s="2"/>
      <c r="E11" s="2"/>
      <c r="F11" s="2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3" sqref="A13"/>
    </sheetView>
  </sheetViews>
  <sheetFormatPr defaultRowHeight="14.5" x14ac:dyDescent="0.35"/>
  <sheetData>
    <row r="1" spans="1:6" x14ac:dyDescent="0.35">
      <c r="A1" t="s">
        <v>483</v>
      </c>
      <c r="B1" t="s">
        <v>564</v>
      </c>
    </row>
    <row r="2" spans="1:6" x14ac:dyDescent="0.35">
      <c r="A2" t="s">
        <v>484</v>
      </c>
      <c r="B2" t="s">
        <v>565</v>
      </c>
    </row>
    <row r="3" spans="1:6" x14ac:dyDescent="0.35">
      <c r="A3" t="s">
        <v>486</v>
      </c>
      <c r="B3" t="s">
        <v>566</v>
      </c>
    </row>
    <row r="4" spans="1:6" x14ac:dyDescent="0.35">
      <c r="A4" t="s">
        <v>551</v>
      </c>
      <c r="B4" t="s">
        <v>567</v>
      </c>
    </row>
    <row r="5" spans="1:6" x14ac:dyDescent="0.35">
      <c r="A5" t="s">
        <v>549</v>
      </c>
      <c r="B5" t="s">
        <v>502</v>
      </c>
    </row>
    <row r="6" spans="1:6" x14ac:dyDescent="0.35">
      <c r="A6" t="s">
        <v>488</v>
      </c>
      <c r="B6">
        <v>5188</v>
      </c>
    </row>
    <row r="8" spans="1:6" x14ac:dyDescent="0.35">
      <c r="A8" s="85" t="s">
        <v>0</v>
      </c>
      <c r="B8" s="85" t="s">
        <v>1</v>
      </c>
      <c r="C8" s="85" t="s">
        <v>2</v>
      </c>
      <c r="D8" s="86" t="s">
        <v>3</v>
      </c>
      <c r="E8" s="86" t="s">
        <v>4</v>
      </c>
      <c r="F8" s="86" t="s">
        <v>5</v>
      </c>
    </row>
    <row r="9" spans="1:6" x14ac:dyDescent="0.35">
      <c r="A9" t="s">
        <v>568</v>
      </c>
      <c r="B9">
        <v>2264</v>
      </c>
      <c r="C9" t="s">
        <v>572</v>
      </c>
      <c r="D9" s="16">
        <v>200000</v>
      </c>
      <c r="E9" s="16">
        <v>200000</v>
      </c>
      <c r="F9" s="16">
        <v>600000</v>
      </c>
    </row>
    <row r="10" spans="1:6" x14ac:dyDescent="0.35">
      <c r="A10" t="s">
        <v>569</v>
      </c>
      <c r="B10">
        <v>12373</v>
      </c>
      <c r="C10" t="s">
        <v>523</v>
      </c>
      <c r="D10" s="16">
        <v>10000</v>
      </c>
      <c r="E10" s="16">
        <f>E9+D10</f>
        <v>210000</v>
      </c>
      <c r="F10" s="16">
        <f>F9-D10</f>
        <v>590000</v>
      </c>
    </row>
    <row r="11" spans="1:6" x14ac:dyDescent="0.35">
      <c r="A11" t="s">
        <v>501</v>
      </c>
      <c r="B11" t="s">
        <v>571</v>
      </c>
      <c r="C11" t="s">
        <v>523</v>
      </c>
      <c r="D11" s="16">
        <v>30000</v>
      </c>
      <c r="E11" s="16">
        <f>E10+D11</f>
        <v>240000</v>
      </c>
      <c r="F11" s="16">
        <f>F10-D11</f>
        <v>560000</v>
      </c>
    </row>
    <row r="12" spans="1:6" x14ac:dyDescent="0.35">
      <c r="A12" t="s">
        <v>570</v>
      </c>
      <c r="B12">
        <v>1339</v>
      </c>
      <c r="C12" t="s">
        <v>523</v>
      </c>
      <c r="D12" s="16">
        <v>10000</v>
      </c>
      <c r="E12" s="16">
        <f>E11+D12</f>
        <v>250000</v>
      </c>
      <c r="F12" s="16">
        <f>F11-D12</f>
        <v>550000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37" workbookViewId="0">
      <selection activeCell="F51" sqref="F51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53</v>
      </c>
      <c r="B1" s="1"/>
      <c r="C1" s="1"/>
      <c r="D1" s="1"/>
      <c r="E1" s="1"/>
      <c r="F1" s="1"/>
    </row>
    <row r="2" spans="1:6" ht="18.5" x14ac:dyDescent="0.45">
      <c r="A2" s="1" t="s">
        <v>54</v>
      </c>
      <c r="C2" s="1"/>
      <c r="D2" s="1"/>
      <c r="E2" s="1"/>
      <c r="F2" s="1"/>
    </row>
    <row r="3" spans="1:6" ht="18.5" x14ac:dyDescent="0.45">
      <c r="A3" s="1" t="s">
        <v>55</v>
      </c>
      <c r="B3" s="1"/>
      <c r="C3" s="1"/>
      <c r="D3" s="1"/>
      <c r="E3" s="1"/>
      <c r="F3" s="1"/>
    </row>
    <row r="4" spans="1:6" ht="18.5" x14ac:dyDescent="0.45">
      <c r="A4" s="1" t="s">
        <v>456</v>
      </c>
      <c r="B4" s="1"/>
      <c r="C4" s="1"/>
      <c r="D4" s="1"/>
      <c r="E4" s="1"/>
      <c r="F4" s="1"/>
    </row>
    <row r="5" spans="1:6" ht="18.5" x14ac:dyDescent="0.45">
      <c r="A5" s="1" t="s">
        <v>56</v>
      </c>
      <c r="B5" s="1"/>
      <c r="C5" s="1"/>
      <c r="D5" s="1"/>
      <c r="E5" s="1"/>
      <c r="F5" s="1"/>
    </row>
    <row r="6" spans="1:6" ht="18.5" x14ac:dyDescent="0.45">
      <c r="A6" s="1" t="s">
        <v>57</v>
      </c>
      <c r="B6" s="1"/>
      <c r="C6" s="1"/>
      <c r="D6" s="1" t="s">
        <v>58</v>
      </c>
      <c r="F6" s="1"/>
    </row>
    <row r="7" spans="1:6" x14ac:dyDescent="0.35">
      <c r="A7" s="54" t="s">
        <v>0</v>
      </c>
      <c r="B7" s="52" t="s">
        <v>1</v>
      </c>
      <c r="C7" s="52" t="s">
        <v>2</v>
      </c>
      <c r="D7" s="51" t="s">
        <v>3</v>
      </c>
      <c r="E7" s="51" t="s">
        <v>4</v>
      </c>
      <c r="F7" s="53" t="s">
        <v>5</v>
      </c>
    </row>
    <row r="8" spans="1:6" x14ac:dyDescent="0.35">
      <c r="A8" s="60">
        <v>44784</v>
      </c>
      <c r="B8" s="9">
        <v>1567</v>
      </c>
      <c r="C8" s="9" t="s">
        <v>59</v>
      </c>
      <c r="D8" s="10">
        <v>100000</v>
      </c>
      <c r="E8" s="10">
        <v>100000</v>
      </c>
      <c r="F8" s="61">
        <v>500000</v>
      </c>
    </row>
    <row r="9" spans="1:6" x14ac:dyDescent="0.35">
      <c r="A9" s="60">
        <v>45233</v>
      </c>
      <c r="B9" s="9">
        <v>2160</v>
      </c>
      <c r="C9" s="9" t="s">
        <v>52</v>
      </c>
      <c r="D9" s="10">
        <v>20000</v>
      </c>
      <c r="E9" s="10">
        <f>SUM(E8+D9)</f>
        <v>120000</v>
      </c>
      <c r="F9" s="61">
        <f>F8-D9</f>
        <v>480000</v>
      </c>
    </row>
    <row r="10" spans="1:6" x14ac:dyDescent="0.35">
      <c r="A10" s="60">
        <v>45173</v>
      </c>
      <c r="B10" s="9">
        <v>1047</v>
      </c>
      <c r="C10" s="9" t="s">
        <v>52</v>
      </c>
      <c r="D10" s="10">
        <v>10000</v>
      </c>
      <c r="E10" s="10">
        <f t="shared" ref="E10:E45" si="0">SUM(E9+D10)</f>
        <v>130000</v>
      </c>
      <c r="F10" s="61">
        <f t="shared" ref="F10:F45" si="1">F9-D10</f>
        <v>470000</v>
      </c>
    </row>
    <row r="11" spans="1:6" x14ac:dyDescent="0.35">
      <c r="A11" s="66" t="s">
        <v>60</v>
      </c>
      <c r="B11" s="9">
        <v>1546</v>
      </c>
      <c r="C11" s="9" t="s">
        <v>52</v>
      </c>
      <c r="D11" s="10">
        <v>10000</v>
      </c>
      <c r="E11" s="10">
        <f t="shared" si="0"/>
        <v>140000</v>
      </c>
      <c r="F11" s="61">
        <f t="shared" si="1"/>
        <v>460000</v>
      </c>
    </row>
    <row r="12" spans="1:6" x14ac:dyDescent="0.35">
      <c r="A12" s="60">
        <v>45266</v>
      </c>
      <c r="B12" s="9">
        <v>468</v>
      </c>
      <c r="C12" s="9" t="s">
        <v>52</v>
      </c>
      <c r="D12" s="10">
        <v>10000</v>
      </c>
      <c r="E12" s="10">
        <f t="shared" si="0"/>
        <v>150000</v>
      </c>
      <c r="F12" s="61">
        <f t="shared" si="1"/>
        <v>450000</v>
      </c>
    </row>
    <row r="13" spans="1:6" x14ac:dyDescent="0.35">
      <c r="A13" s="60">
        <v>45145</v>
      </c>
      <c r="B13" s="9">
        <v>2186</v>
      </c>
      <c r="C13" s="9" t="s">
        <v>52</v>
      </c>
      <c r="D13" s="10">
        <v>10000</v>
      </c>
      <c r="E13" s="10">
        <f t="shared" si="0"/>
        <v>160000</v>
      </c>
      <c r="F13" s="61">
        <f t="shared" si="1"/>
        <v>440000</v>
      </c>
    </row>
    <row r="14" spans="1:6" x14ac:dyDescent="0.35">
      <c r="A14" s="60">
        <v>45268</v>
      </c>
      <c r="B14" s="9">
        <v>2400</v>
      </c>
      <c r="C14" s="9" t="s">
        <v>52</v>
      </c>
      <c r="D14" s="10">
        <v>10000</v>
      </c>
      <c r="E14" s="10">
        <f t="shared" si="0"/>
        <v>170000</v>
      </c>
      <c r="F14" s="61">
        <f t="shared" si="1"/>
        <v>430000</v>
      </c>
    </row>
    <row r="15" spans="1:6" x14ac:dyDescent="0.35">
      <c r="A15" s="66" t="s">
        <v>61</v>
      </c>
      <c r="B15" s="9">
        <v>3620</v>
      </c>
      <c r="C15" s="9" t="s">
        <v>52</v>
      </c>
      <c r="D15" s="10">
        <v>10000</v>
      </c>
      <c r="E15" s="10">
        <f t="shared" si="0"/>
        <v>180000</v>
      </c>
      <c r="F15" s="61">
        <f t="shared" si="1"/>
        <v>420000</v>
      </c>
    </row>
    <row r="16" spans="1:6" x14ac:dyDescent="0.35">
      <c r="A16" s="66" t="s">
        <v>62</v>
      </c>
      <c r="B16" s="9">
        <v>4268</v>
      </c>
      <c r="C16" s="9" t="s">
        <v>52</v>
      </c>
      <c r="D16" s="10">
        <v>10000</v>
      </c>
      <c r="E16" s="10">
        <f t="shared" si="0"/>
        <v>190000</v>
      </c>
      <c r="F16" s="61">
        <f t="shared" si="1"/>
        <v>410000</v>
      </c>
    </row>
    <row r="17" spans="1:6" x14ac:dyDescent="0.35">
      <c r="A17" s="66" t="s">
        <v>63</v>
      </c>
      <c r="B17" s="9">
        <v>5027</v>
      </c>
      <c r="C17" s="9" t="s">
        <v>52</v>
      </c>
      <c r="D17" s="10">
        <v>10000</v>
      </c>
      <c r="E17" s="10">
        <f t="shared" si="0"/>
        <v>200000</v>
      </c>
      <c r="F17" s="61">
        <f t="shared" si="1"/>
        <v>400000</v>
      </c>
    </row>
    <row r="18" spans="1:6" x14ac:dyDescent="0.35">
      <c r="A18" s="60">
        <v>45211</v>
      </c>
      <c r="B18" s="9">
        <v>5428</v>
      </c>
      <c r="C18" s="9" t="s">
        <v>52</v>
      </c>
      <c r="D18" s="10">
        <v>10000</v>
      </c>
      <c r="E18" s="10">
        <f t="shared" si="0"/>
        <v>210000</v>
      </c>
      <c r="F18" s="61">
        <f t="shared" si="1"/>
        <v>390000</v>
      </c>
    </row>
    <row r="19" spans="1:6" x14ac:dyDescent="0.35">
      <c r="A19" s="60">
        <v>45474</v>
      </c>
      <c r="B19" s="9">
        <v>5965</v>
      </c>
      <c r="C19" s="9" t="s">
        <v>52</v>
      </c>
      <c r="D19" s="10">
        <v>10000</v>
      </c>
      <c r="E19" s="10">
        <f t="shared" si="0"/>
        <v>220000</v>
      </c>
      <c r="F19" s="61">
        <f t="shared" si="1"/>
        <v>380000</v>
      </c>
    </row>
    <row r="20" spans="1:6" x14ac:dyDescent="0.35">
      <c r="A20" s="60">
        <v>45567</v>
      </c>
      <c r="B20" s="9">
        <v>7013</v>
      </c>
      <c r="C20" s="9" t="s">
        <v>52</v>
      </c>
      <c r="D20" s="10">
        <v>10000</v>
      </c>
      <c r="E20" s="10">
        <f t="shared" si="0"/>
        <v>230000</v>
      </c>
      <c r="F20" s="61">
        <f t="shared" si="1"/>
        <v>370000</v>
      </c>
    </row>
    <row r="21" spans="1:6" x14ac:dyDescent="0.35">
      <c r="A21" s="60">
        <v>45568</v>
      </c>
      <c r="B21" s="9">
        <v>7217</v>
      </c>
      <c r="C21" s="9" t="s">
        <v>52</v>
      </c>
      <c r="D21" s="10">
        <v>10000</v>
      </c>
      <c r="E21" s="10">
        <f t="shared" si="0"/>
        <v>240000</v>
      </c>
      <c r="F21" s="61">
        <f t="shared" si="1"/>
        <v>360000</v>
      </c>
    </row>
    <row r="22" spans="1:6" x14ac:dyDescent="0.35">
      <c r="A22" s="60">
        <v>45477</v>
      </c>
      <c r="B22" s="9">
        <v>7740</v>
      </c>
      <c r="C22" s="9" t="s">
        <v>52</v>
      </c>
      <c r="D22" s="10">
        <v>10000</v>
      </c>
      <c r="E22" s="10">
        <f t="shared" si="0"/>
        <v>250000</v>
      </c>
      <c r="F22" s="61">
        <f t="shared" si="1"/>
        <v>350000</v>
      </c>
    </row>
    <row r="23" spans="1:6" x14ac:dyDescent="0.35">
      <c r="A23" s="60">
        <v>45631</v>
      </c>
      <c r="B23" s="9">
        <v>8468</v>
      </c>
      <c r="C23" s="9" t="s">
        <v>52</v>
      </c>
      <c r="D23" s="10">
        <v>10000</v>
      </c>
      <c r="E23" s="10">
        <f t="shared" si="0"/>
        <v>260000</v>
      </c>
      <c r="F23" s="61">
        <f t="shared" si="1"/>
        <v>340000</v>
      </c>
    </row>
    <row r="24" spans="1:6" x14ac:dyDescent="0.35">
      <c r="A24" s="60">
        <v>45632</v>
      </c>
      <c r="B24" s="9">
        <v>9029</v>
      </c>
      <c r="C24" s="9" t="s">
        <v>52</v>
      </c>
      <c r="D24" s="10">
        <v>10000</v>
      </c>
      <c r="E24" s="10">
        <f t="shared" si="0"/>
        <v>270000</v>
      </c>
      <c r="F24" s="61">
        <f t="shared" si="1"/>
        <v>330000</v>
      </c>
    </row>
    <row r="25" spans="1:6" x14ac:dyDescent="0.35">
      <c r="A25" s="60">
        <v>45480</v>
      </c>
      <c r="B25" s="9">
        <v>9416</v>
      </c>
      <c r="C25" s="9" t="s">
        <v>52</v>
      </c>
      <c r="D25" s="10">
        <v>10000</v>
      </c>
      <c r="E25" s="10">
        <f t="shared" si="0"/>
        <v>280000</v>
      </c>
      <c r="F25" s="61">
        <f t="shared" si="1"/>
        <v>320000</v>
      </c>
    </row>
    <row r="26" spans="1:6" x14ac:dyDescent="0.35">
      <c r="A26" s="66" t="s">
        <v>64</v>
      </c>
      <c r="B26" s="9">
        <v>11162</v>
      </c>
      <c r="C26" s="9" t="s">
        <v>52</v>
      </c>
      <c r="D26" s="10">
        <v>10000</v>
      </c>
      <c r="E26" s="10">
        <f t="shared" si="0"/>
        <v>290000</v>
      </c>
      <c r="F26" s="61">
        <f t="shared" si="1"/>
        <v>310000</v>
      </c>
    </row>
    <row r="27" spans="1:6" x14ac:dyDescent="0.35">
      <c r="A27" s="60">
        <v>45513</v>
      </c>
      <c r="B27" s="9">
        <v>10608</v>
      </c>
      <c r="C27" s="9" t="s">
        <v>52</v>
      </c>
      <c r="D27" s="10">
        <v>10000</v>
      </c>
      <c r="E27" s="10">
        <f t="shared" si="0"/>
        <v>300000</v>
      </c>
      <c r="F27" s="61">
        <f t="shared" si="1"/>
        <v>300000</v>
      </c>
    </row>
    <row r="28" spans="1:6" x14ac:dyDescent="0.35">
      <c r="A28" s="66" t="s">
        <v>65</v>
      </c>
      <c r="B28" s="9">
        <v>10258</v>
      </c>
      <c r="C28" s="9" t="s">
        <v>52</v>
      </c>
      <c r="D28" s="10">
        <v>10000</v>
      </c>
      <c r="E28" s="10">
        <f t="shared" si="0"/>
        <v>310000</v>
      </c>
      <c r="F28" s="61">
        <f t="shared" si="1"/>
        <v>290000</v>
      </c>
    </row>
    <row r="29" spans="1:6" x14ac:dyDescent="0.35">
      <c r="A29" s="66" t="s">
        <v>66</v>
      </c>
      <c r="B29" s="9">
        <v>12132</v>
      </c>
      <c r="C29" s="9" t="s">
        <v>52</v>
      </c>
      <c r="D29" s="10">
        <v>10000</v>
      </c>
      <c r="E29" s="10">
        <f t="shared" si="0"/>
        <v>320000</v>
      </c>
      <c r="F29" s="61">
        <f t="shared" si="1"/>
        <v>280000</v>
      </c>
    </row>
    <row r="30" spans="1:6" x14ac:dyDescent="0.35">
      <c r="A30" s="66" t="s">
        <v>67</v>
      </c>
      <c r="B30" s="9">
        <v>12658</v>
      </c>
      <c r="C30" s="9" t="s">
        <v>52</v>
      </c>
      <c r="D30" s="10">
        <v>10000</v>
      </c>
      <c r="E30" s="10">
        <f t="shared" si="0"/>
        <v>330000</v>
      </c>
      <c r="F30" s="61">
        <f t="shared" si="1"/>
        <v>270000</v>
      </c>
    </row>
    <row r="31" spans="1:6" x14ac:dyDescent="0.35">
      <c r="A31" s="66" t="s">
        <v>68</v>
      </c>
      <c r="B31" s="9">
        <v>12094</v>
      </c>
      <c r="C31" s="9" t="s">
        <v>52</v>
      </c>
      <c r="D31" s="10">
        <v>10000</v>
      </c>
      <c r="E31" s="10">
        <f t="shared" si="0"/>
        <v>340000</v>
      </c>
      <c r="F31" s="61">
        <f t="shared" si="1"/>
        <v>260000</v>
      </c>
    </row>
    <row r="32" spans="1:6" x14ac:dyDescent="0.35">
      <c r="A32" s="66" t="s">
        <v>69</v>
      </c>
      <c r="B32" s="9">
        <v>9450</v>
      </c>
      <c r="C32" s="9" t="s">
        <v>52</v>
      </c>
      <c r="D32" s="10">
        <v>10000</v>
      </c>
      <c r="E32" s="10">
        <f t="shared" si="0"/>
        <v>350000</v>
      </c>
      <c r="F32" s="61">
        <f t="shared" si="1"/>
        <v>250000</v>
      </c>
    </row>
    <row r="33" spans="1:6" x14ac:dyDescent="0.35">
      <c r="A33" s="66" t="s">
        <v>70</v>
      </c>
      <c r="B33" s="9">
        <v>9790</v>
      </c>
      <c r="C33" s="9" t="s">
        <v>52</v>
      </c>
      <c r="D33" s="10">
        <v>10000</v>
      </c>
      <c r="E33" s="10">
        <f t="shared" si="0"/>
        <v>360000</v>
      </c>
      <c r="F33" s="61">
        <f t="shared" si="1"/>
        <v>240000</v>
      </c>
    </row>
    <row r="34" spans="1:6" x14ac:dyDescent="0.35">
      <c r="A34" s="66" t="s">
        <v>71</v>
      </c>
      <c r="B34" s="9">
        <v>10166</v>
      </c>
      <c r="C34" s="9" t="s">
        <v>52</v>
      </c>
      <c r="D34" s="10">
        <v>10000</v>
      </c>
      <c r="E34" s="10">
        <f t="shared" si="0"/>
        <v>370000</v>
      </c>
      <c r="F34" s="61">
        <f t="shared" si="1"/>
        <v>230000</v>
      </c>
    </row>
    <row r="35" spans="1:6" x14ac:dyDescent="0.35">
      <c r="A35" s="60">
        <v>45966</v>
      </c>
      <c r="B35" s="9">
        <v>10940</v>
      </c>
      <c r="C35" s="9" t="s">
        <v>52</v>
      </c>
      <c r="D35" s="10">
        <v>10000</v>
      </c>
      <c r="E35" s="10">
        <f t="shared" si="0"/>
        <v>380000</v>
      </c>
      <c r="F35" s="61">
        <f t="shared" si="1"/>
        <v>220000</v>
      </c>
    </row>
    <row r="36" spans="1:6" x14ac:dyDescent="0.35">
      <c r="A36" s="60">
        <v>45967</v>
      </c>
      <c r="B36" s="9">
        <v>10277</v>
      </c>
      <c r="C36" s="9" t="s">
        <v>52</v>
      </c>
      <c r="D36" s="10">
        <v>10000</v>
      </c>
      <c r="E36" s="10">
        <f t="shared" si="0"/>
        <v>390000</v>
      </c>
      <c r="F36" s="61">
        <f t="shared" si="1"/>
        <v>210000</v>
      </c>
    </row>
    <row r="37" spans="1:6" x14ac:dyDescent="0.35">
      <c r="A37" s="66" t="s">
        <v>72</v>
      </c>
      <c r="B37" s="9">
        <v>12174</v>
      </c>
      <c r="C37" s="9" t="s">
        <v>52</v>
      </c>
      <c r="D37" s="10">
        <v>10000</v>
      </c>
      <c r="E37" s="10">
        <f t="shared" si="0"/>
        <v>400000</v>
      </c>
      <c r="F37" s="61">
        <f t="shared" si="1"/>
        <v>200000</v>
      </c>
    </row>
    <row r="38" spans="1:6" x14ac:dyDescent="0.35">
      <c r="A38" s="60">
        <v>45969</v>
      </c>
      <c r="B38" s="9">
        <v>12482</v>
      </c>
      <c r="C38" s="9" t="s">
        <v>52</v>
      </c>
      <c r="D38" s="10">
        <v>10000</v>
      </c>
      <c r="E38" s="10">
        <f t="shared" si="0"/>
        <v>410000</v>
      </c>
      <c r="F38" s="61">
        <f t="shared" si="1"/>
        <v>190000</v>
      </c>
    </row>
    <row r="39" spans="1:6" x14ac:dyDescent="0.35">
      <c r="A39" s="66" t="s">
        <v>73</v>
      </c>
      <c r="B39" s="9">
        <v>12760</v>
      </c>
      <c r="C39" s="9" t="s">
        <v>52</v>
      </c>
      <c r="D39" s="10">
        <v>10000</v>
      </c>
      <c r="E39" s="10">
        <f t="shared" si="0"/>
        <v>420000</v>
      </c>
      <c r="F39" s="61">
        <f t="shared" si="1"/>
        <v>180000</v>
      </c>
    </row>
    <row r="40" spans="1:6" x14ac:dyDescent="0.35">
      <c r="A40" s="60">
        <v>46001</v>
      </c>
      <c r="B40" s="9">
        <v>13777</v>
      </c>
      <c r="C40" s="9" t="s">
        <v>52</v>
      </c>
      <c r="D40" s="10">
        <v>10000</v>
      </c>
      <c r="E40" s="10">
        <f t="shared" si="0"/>
        <v>430000</v>
      </c>
      <c r="F40" s="61">
        <f t="shared" si="1"/>
        <v>170000</v>
      </c>
    </row>
    <row r="41" spans="1:6" x14ac:dyDescent="0.35">
      <c r="A41" s="60">
        <v>45911</v>
      </c>
      <c r="B41" s="9">
        <v>13494</v>
      </c>
      <c r="C41" s="9" t="s">
        <v>52</v>
      </c>
      <c r="D41" s="10">
        <v>10000</v>
      </c>
      <c r="E41" s="10">
        <f t="shared" si="0"/>
        <v>440000</v>
      </c>
      <c r="F41" s="61">
        <f t="shared" si="1"/>
        <v>160000</v>
      </c>
    </row>
    <row r="42" spans="1:6" x14ac:dyDescent="0.35">
      <c r="A42" s="60">
        <v>45912</v>
      </c>
      <c r="B42" s="9">
        <v>13120</v>
      </c>
      <c r="C42" s="9" t="s">
        <v>52</v>
      </c>
      <c r="D42" s="10">
        <v>10000</v>
      </c>
      <c r="E42" s="10">
        <f t="shared" si="0"/>
        <v>450000</v>
      </c>
      <c r="F42" s="61">
        <f t="shared" si="1"/>
        <v>150000</v>
      </c>
    </row>
    <row r="43" spans="1:6" x14ac:dyDescent="0.35">
      <c r="A43" s="60">
        <v>46296</v>
      </c>
      <c r="B43" s="9">
        <v>12069</v>
      </c>
      <c r="C43" s="9" t="s">
        <v>52</v>
      </c>
      <c r="D43" s="10">
        <v>10000</v>
      </c>
      <c r="E43" s="10">
        <f t="shared" si="0"/>
        <v>460000</v>
      </c>
      <c r="F43" s="61">
        <f t="shared" si="1"/>
        <v>140000</v>
      </c>
    </row>
    <row r="44" spans="1:6" x14ac:dyDescent="0.35">
      <c r="A44" s="60">
        <v>46205</v>
      </c>
      <c r="B44" s="9">
        <v>12387</v>
      </c>
      <c r="C44" s="9" t="s">
        <v>52</v>
      </c>
      <c r="D44" s="10">
        <v>10000</v>
      </c>
      <c r="E44" s="10">
        <f t="shared" si="0"/>
        <v>470000</v>
      </c>
      <c r="F44" s="61">
        <f t="shared" si="1"/>
        <v>130000</v>
      </c>
    </row>
    <row r="45" spans="1:6" x14ac:dyDescent="0.35">
      <c r="A45" s="30">
        <v>46329</v>
      </c>
      <c r="B45" s="63">
        <v>12825</v>
      </c>
      <c r="C45" s="63" t="s">
        <v>52</v>
      </c>
      <c r="D45" s="64">
        <v>10000</v>
      </c>
      <c r="E45" s="64">
        <f t="shared" si="0"/>
        <v>480000</v>
      </c>
      <c r="F45" s="65">
        <f t="shared" si="1"/>
        <v>120000</v>
      </c>
    </row>
    <row r="46" spans="1:6" x14ac:dyDescent="0.35">
      <c r="A46" s="62">
        <v>46360</v>
      </c>
      <c r="B46" s="63">
        <v>13264</v>
      </c>
      <c r="C46" s="63" t="s">
        <v>52</v>
      </c>
      <c r="D46" s="64">
        <v>10000</v>
      </c>
      <c r="E46" s="64">
        <f>SUM(E45+D46)</f>
        <v>490000</v>
      </c>
      <c r="F46" s="65">
        <f>F45-D46</f>
        <v>110000</v>
      </c>
    </row>
    <row r="47" spans="1:6" x14ac:dyDescent="0.35">
      <c r="A47" s="62" t="s">
        <v>455</v>
      </c>
      <c r="B47" s="63">
        <v>13360</v>
      </c>
      <c r="C47" s="63" t="s">
        <v>52</v>
      </c>
      <c r="D47" s="64">
        <v>10000</v>
      </c>
      <c r="E47" s="64">
        <f>SUM(E46+D47)</f>
        <v>500000</v>
      </c>
      <c r="F47" s="65">
        <f>F46-D47</f>
        <v>100000</v>
      </c>
    </row>
    <row r="48" spans="1:6" x14ac:dyDescent="0.35">
      <c r="A48" s="87" t="s">
        <v>499</v>
      </c>
      <c r="B48" s="87">
        <v>13557</v>
      </c>
      <c r="C48" s="87" t="s">
        <v>52</v>
      </c>
      <c r="D48" s="88">
        <v>10000</v>
      </c>
      <c r="E48" s="88">
        <f>E47+D48</f>
        <v>510000</v>
      </c>
      <c r="F48" s="88">
        <f>F47-D48</f>
        <v>90000</v>
      </c>
    </row>
    <row r="49" spans="1:6" x14ac:dyDescent="0.35">
      <c r="A49" t="s">
        <v>576</v>
      </c>
      <c r="B49">
        <v>1405</v>
      </c>
      <c r="C49" t="s">
        <v>523</v>
      </c>
      <c r="D49" s="88">
        <v>10000</v>
      </c>
      <c r="E49" s="88">
        <f>E48+D49</f>
        <v>520000</v>
      </c>
      <c r="F49" s="88">
        <f>F48-D49</f>
        <v>80000</v>
      </c>
    </row>
    <row r="50" spans="1:6" x14ac:dyDescent="0.35">
      <c r="A50" t="s">
        <v>680</v>
      </c>
      <c r="B50">
        <v>1843</v>
      </c>
      <c r="C50" t="s">
        <v>523</v>
      </c>
      <c r="D50" s="16">
        <v>10000</v>
      </c>
      <c r="E50" s="16">
        <f>E49+D50</f>
        <v>530000</v>
      </c>
      <c r="F50" s="16">
        <f>F49-D50</f>
        <v>70000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2" sqref="C22"/>
    </sheetView>
  </sheetViews>
  <sheetFormatPr defaultRowHeight="14.5" x14ac:dyDescent="0.35"/>
  <sheetData>
    <row r="1" spans="1:6" x14ac:dyDescent="0.35">
      <c r="A1" t="s">
        <v>483</v>
      </c>
      <c r="B1" t="s">
        <v>552</v>
      </c>
    </row>
    <row r="2" spans="1:6" x14ac:dyDescent="0.35">
      <c r="A2" t="s">
        <v>484</v>
      </c>
      <c r="B2" t="s">
        <v>553</v>
      </c>
    </row>
    <row r="3" spans="1:6" x14ac:dyDescent="0.35">
      <c r="A3" t="s">
        <v>486</v>
      </c>
      <c r="B3" t="s">
        <v>554</v>
      </c>
    </row>
    <row r="4" spans="1:6" x14ac:dyDescent="0.35">
      <c r="A4" t="s">
        <v>551</v>
      </c>
      <c r="B4" t="s">
        <v>555</v>
      </c>
    </row>
    <row r="5" spans="1:6" x14ac:dyDescent="0.35">
      <c r="A5" t="s">
        <v>487</v>
      </c>
    </row>
    <row r="6" spans="1:6" x14ac:dyDescent="0.35">
      <c r="A6" t="s">
        <v>488</v>
      </c>
      <c r="B6">
        <v>5190</v>
      </c>
    </row>
    <row r="8" spans="1:6" x14ac:dyDescent="0.35">
      <c r="A8" s="85" t="s">
        <v>0</v>
      </c>
      <c r="B8" s="85" t="s">
        <v>1</v>
      </c>
      <c r="C8" s="85" t="s">
        <v>2</v>
      </c>
      <c r="D8" s="86" t="s">
        <v>3</v>
      </c>
      <c r="E8" s="86" t="s">
        <v>4</v>
      </c>
      <c r="F8" s="86" t="s">
        <v>5</v>
      </c>
    </row>
    <row r="9" spans="1:6" x14ac:dyDescent="0.35">
      <c r="A9" t="s">
        <v>556</v>
      </c>
      <c r="B9">
        <v>997</v>
      </c>
      <c r="C9" t="s">
        <v>557</v>
      </c>
    </row>
    <row r="12" spans="1:6" x14ac:dyDescent="0.35">
      <c r="A12" s="93" t="s">
        <v>548</v>
      </c>
      <c r="B12" s="93"/>
      <c r="C12" s="93"/>
    </row>
    <row r="14" spans="1:6" x14ac:dyDescent="0.35">
      <c r="A14" s="11" t="s">
        <v>635</v>
      </c>
      <c r="B14" s="11">
        <v>1895</v>
      </c>
      <c r="C14" s="11" t="s">
        <v>247</v>
      </c>
      <c r="D14" s="11">
        <v>185000</v>
      </c>
      <c r="E14" s="11">
        <v>250000</v>
      </c>
      <c r="F14" s="11" t="s">
        <v>248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40" zoomScale="115" zoomScaleNormal="115" workbookViewId="0">
      <selection activeCell="B52" sqref="B52"/>
    </sheetView>
  </sheetViews>
  <sheetFormatPr defaultRowHeight="14.5" x14ac:dyDescent="0.35"/>
  <cols>
    <col min="1" max="1" width="10.1796875" customWidth="1"/>
    <col min="3" max="3" width="11.26953125" customWidth="1"/>
    <col min="4" max="4" width="10.6328125" customWidth="1"/>
    <col min="5" max="5" width="10.36328125" customWidth="1"/>
    <col min="6" max="6" width="10.90625" customWidth="1"/>
  </cols>
  <sheetData>
    <row r="1" spans="1:6" ht="18.5" x14ac:dyDescent="0.45">
      <c r="A1" s="1" t="s">
        <v>404</v>
      </c>
      <c r="B1" s="1"/>
      <c r="C1" s="1"/>
      <c r="D1" s="1"/>
      <c r="E1" s="1"/>
      <c r="F1" s="1"/>
    </row>
    <row r="2" spans="1:6" ht="18.5" x14ac:dyDescent="0.45">
      <c r="A2" s="1" t="s">
        <v>405</v>
      </c>
      <c r="C2" s="1"/>
      <c r="D2" s="1"/>
      <c r="E2" s="1"/>
      <c r="F2" s="1"/>
    </row>
    <row r="3" spans="1:6" ht="18.5" x14ac:dyDescent="0.45">
      <c r="A3" s="1" t="s">
        <v>406</v>
      </c>
      <c r="B3" s="1"/>
      <c r="C3" s="1"/>
      <c r="D3" s="1"/>
      <c r="E3" s="1"/>
      <c r="F3" s="1"/>
    </row>
    <row r="4" spans="1:6" ht="18.5" x14ac:dyDescent="0.45">
      <c r="A4" s="1" t="s">
        <v>409</v>
      </c>
      <c r="B4" s="1"/>
      <c r="C4" s="1"/>
      <c r="D4" s="1"/>
      <c r="E4" s="1"/>
      <c r="F4" s="1"/>
    </row>
    <row r="5" spans="1:6" ht="18.5" x14ac:dyDescent="0.45">
      <c r="A5" s="1" t="s">
        <v>407</v>
      </c>
      <c r="B5" s="1"/>
      <c r="C5" s="1"/>
      <c r="D5" s="1"/>
      <c r="E5" s="1"/>
      <c r="F5" s="1"/>
    </row>
    <row r="6" spans="1:6" ht="18.5" x14ac:dyDescent="0.45">
      <c r="A6" s="1" t="s">
        <v>408</v>
      </c>
      <c r="B6" s="1"/>
      <c r="C6" s="1"/>
      <c r="D6" s="1" t="s">
        <v>13</v>
      </c>
      <c r="F6" s="1"/>
    </row>
    <row r="7" spans="1:6" x14ac:dyDescent="0.35">
      <c r="A7" s="96" t="s">
        <v>0</v>
      </c>
      <c r="B7" s="96" t="s">
        <v>1</v>
      </c>
      <c r="C7" s="96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95">
        <v>44959</v>
      </c>
      <c r="B8" s="11">
        <v>2146</v>
      </c>
      <c r="C8" s="11" t="s">
        <v>402</v>
      </c>
      <c r="D8" s="12">
        <v>10000</v>
      </c>
      <c r="E8" s="12">
        <v>10000</v>
      </c>
      <c r="F8" s="12">
        <v>540000</v>
      </c>
    </row>
    <row r="9" spans="1:6" x14ac:dyDescent="0.35">
      <c r="A9" s="95">
        <v>45019</v>
      </c>
      <c r="B9" s="11">
        <v>2873</v>
      </c>
      <c r="C9" s="11" t="s">
        <v>87</v>
      </c>
      <c r="D9" s="12">
        <v>110000</v>
      </c>
      <c r="E9" s="12">
        <f>SUM(E8+D9)</f>
        <v>120000</v>
      </c>
      <c r="F9" s="12">
        <f>F8-D9</f>
        <v>430000</v>
      </c>
    </row>
    <row r="10" spans="1:6" x14ac:dyDescent="0.35">
      <c r="A10" s="95">
        <v>44961</v>
      </c>
      <c r="B10" s="11">
        <v>1752</v>
      </c>
      <c r="C10" s="11" t="s">
        <v>403</v>
      </c>
      <c r="D10" s="12">
        <v>10000</v>
      </c>
      <c r="E10" s="12">
        <f t="shared" ref="E10:E47" si="0">SUM(E9+D10)</f>
        <v>130000</v>
      </c>
      <c r="F10" s="12">
        <f t="shared" ref="F10:F47" si="1">F9-D10</f>
        <v>420000</v>
      </c>
    </row>
    <row r="11" spans="1:6" x14ac:dyDescent="0.35">
      <c r="A11" s="95">
        <v>45082</v>
      </c>
      <c r="B11" s="11">
        <v>1468</v>
      </c>
      <c r="C11" s="11" t="s">
        <v>403</v>
      </c>
      <c r="D11" s="12">
        <v>10000</v>
      </c>
      <c r="E11" s="12">
        <f t="shared" si="0"/>
        <v>140000</v>
      </c>
      <c r="F11" s="12">
        <f t="shared" si="1"/>
        <v>410000</v>
      </c>
    </row>
    <row r="12" spans="1:6" x14ac:dyDescent="0.35">
      <c r="A12" s="95">
        <v>45022</v>
      </c>
      <c r="B12" s="11">
        <v>261</v>
      </c>
      <c r="C12" s="11" t="s">
        <v>403</v>
      </c>
      <c r="D12" s="12">
        <v>10000</v>
      </c>
      <c r="E12" s="12">
        <f t="shared" si="0"/>
        <v>150000</v>
      </c>
      <c r="F12" s="12">
        <f t="shared" si="1"/>
        <v>400000</v>
      </c>
    </row>
    <row r="13" spans="1:6" x14ac:dyDescent="0.35">
      <c r="A13" s="95">
        <v>45145</v>
      </c>
      <c r="B13" s="11">
        <v>2182</v>
      </c>
      <c r="C13" s="11" t="s">
        <v>403</v>
      </c>
      <c r="D13" s="12">
        <v>10000</v>
      </c>
      <c r="E13" s="12">
        <f t="shared" si="0"/>
        <v>160000</v>
      </c>
      <c r="F13" s="12">
        <f t="shared" si="1"/>
        <v>390000</v>
      </c>
    </row>
    <row r="14" spans="1:6" x14ac:dyDescent="0.35">
      <c r="A14" s="95">
        <v>45054</v>
      </c>
      <c r="B14" s="11">
        <v>2225</v>
      </c>
      <c r="C14" s="11" t="s">
        <v>403</v>
      </c>
      <c r="D14" s="12">
        <v>10000</v>
      </c>
      <c r="E14" s="12">
        <f t="shared" si="0"/>
        <v>170000</v>
      </c>
      <c r="F14" s="12">
        <f t="shared" si="1"/>
        <v>380000</v>
      </c>
    </row>
    <row r="15" spans="1:6" x14ac:dyDescent="0.35">
      <c r="A15" s="95">
        <v>45178</v>
      </c>
      <c r="B15" s="11">
        <v>3451</v>
      </c>
      <c r="C15" s="11" t="s">
        <v>403</v>
      </c>
      <c r="D15" s="12">
        <v>10000</v>
      </c>
      <c r="E15" s="12">
        <f t="shared" si="0"/>
        <v>180000</v>
      </c>
      <c r="F15" s="12">
        <f t="shared" si="1"/>
        <v>370000</v>
      </c>
    </row>
    <row r="16" spans="1:6" x14ac:dyDescent="0.35">
      <c r="A16" s="95">
        <v>45117</v>
      </c>
      <c r="B16" s="11">
        <v>4036</v>
      </c>
      <c r="C16" s="11" t="s">
        <v>403</v>
      </c>
      <c r="D16" s="12">
        <v>10000</v>
      </c>
      <c r="E16" s="12">
        <f t="shared" si="0"/>
        <v>190000</v>
      </c>
      <c r="F16" s="12">
        <f t="shared" si="1"/>
        <v>360000</v>
      </c>
    </row>
    <row r="17" spans="1:6" x14ac:dyDescent="0.35">
      <c r="A17" s="95">
        <v>45027</v>
      </c>
      <c r="B17" s="11">
        <v>4613</v>
      </c>
      <c r="C17" s="11" t="s">
        <v>403</v>
      </c>
      <c r="D17" s="12">
        <v>10000</v>
      </c>
      <c r="E17" s="12">
        <f t="shared" si="0"/>
        <v>200000</v>
      </c>
      <c r="F17" s="12">
        <f t="shared" si="1"/>
        <v>350000</v>
      </c>
    </row>
    <row r="18" spans="1:6" x14ac:dyDescent="0.35">
      <c r="A18" s="95">
        <v>45089</v>
      </c>
      <c r="B18" s="11">
        <v>5316</v>
      </c>
      <c r="C18" s="11" t="s">
        <v>403</v>
      </c>
      <c r="D18" s="12">
        <v>10000</v>
      </c>
      <c r="E18" s="12">
        <f t="shared" si="0"/>
        <v>210000</v>
      </c>
      <c r="F18" s="12">
        <f t="shared" si="1"/>
        <v>340000</v>
      </c>
    </row>
    <row r="19" spans="1:6" x14ac:dyDescent="0.35">
      <c r="A19" s="95">
        <v>45078</v>
      </c>
      <c r="B19" s="11">
        <v>5914</v>
      </c>
      <c r="C19" s="11" t="s">
        <v>403</v>
      </c>
      <c r="D19" s="12">
        <v>10000</v>
      </c>
      <c r="E19" s="12">
        <f t="shared" si="0"/>
        <v>220000</v>
      </c>
      <c r="F19" s="12">
        <f t="shared" si="1"/>
        <v>330000</v>
      </c>
    </row>
    <row r="20" spans="1:6" x14ac:dyDescent="0.35">
      <c r="A20" s="95">
        <v>45567</v>
      </c>
      <c r="B20" s="11">
        <v>7005</v>
      </c>
      <c r="C20" s="11" t="s">
        <v>403</v>
      </c>
      <c r="D20" s="12">
        <v>10000</v>
      </c>
      <c r="E20" s="12">
        <f t="shared" si="0"/>
        <v>230000</v>
      </c>
      <c r="F20" s="12">
        <f t="shared" si="1"/>
        <v>320000</v>
      </c>
    </row>
    <row r="21" spans="1:6" x14ac:dyDescent="0.35">
      <c r="A21" s="95">
        <v>45538</v>
      </c>
      <c r="B21" s="11">
        <v>6955</v>
      </c>
      <c r="C21" s="11" t="s">
        <v>403</v>
      </c>
      <c r="D21" s="12">
        <v>10000</v>
      </c>
      <c r="E21" s="12">
        <f t="shared" si="0"/>
        <v>240000</v>
      </c>
      <c r="F21" s="12">
        <f t="shared" si="1"/>
        <v>310000</v>
      </c>
    </row>
    <row r="22" spans="1:6" x14ac:dyDescent="0.35">
      <c r="A22" s="95">
        <v>45447</v>
      </c>
      <c r="B22" s="11">
        <v>7698</v>
      </c>
      <c r="C22" s="11" t="s">
        <v>403</v>
      </c>
      <c r="D22" s="12">
        <v>10000</v>
      </c>
      <c r="E22" s="12">
        <f t="shared" si="0"/>
        <v>250000</v>
      </c>
      <c r="F22" s="12">
        <f t="shared" si="1"/>
        <v>300000</v>
      </c>
    </row>
    <row r="23" spans="1:6" x14ac:dyDescent="0.35">
      <c r="A23" s="95">
        <v>45387</v>
      </c>
      <c r="B23" s="11">
        <v>8201</v>
      </c>
      <c r="C23" s="11" t="s">
        <v>403</v>
      </c>
      <c r="D23" s="12">
        <v>10000</v>
      </c>
      <c r="E23" s="12">
        <f t="shared" si="0"/>
        <v>260000</v>
      </c>
      <c r="F23" s="12">
        <f t="shared" si="1"/>
        <v>290000</v>
      </c>
    </row>
    <row r="24" spans="1:6" x14ac:dyDescent="0.35">
      <c r="A24" s="95">
        <v>45510</v>
      </c>
      <c r="B24" s="11">
        <v>8889</v>
      </c>
      <c r="C24" s="11" t="s">
        <v>403</v>
      </c>
      <c r="D24" s="12">
        <v>10000</v>
      </c>
      <c r="E24" s="12">
        <f t="shared" si="0"/>
        <v>270000</v>
      </c>
      <c r="F24" s="12">
        <f t="shared" si="1"/>
        <v>280000</v>
      </c>
    </row>
    <row r="25" spans="1:6" x14ac:dyDescent="0.35">
      <c r="A25" s="95">
        <v>45450</v>
      </c>
      <c r="B25" s="11">
        <v>334</v>
      </c>
      <c r="C25" s="11" t="s">
        <v>403</v>
      </c>
      <c r="D25" s="12">
        <v>10000</v>
      </c>
      <c r="E25" s="12">
        <f t="shared" si="0"/>
        <v>280000</v>
      </c>
      <c r="F25" s="12">
        <f t="shared" si="1"/>
        <v>270000</v>
      </c>
    </row>
    <row r="26" spans="1:6" x14ac:dyDescent="0.35">
      <c r="A26" s="95">
        <v>45390</v>
      </c>
      <c r="B26" s="11">
        <v>335</v>
      </c>
      <c r="C26" s="11" t="s">
        <v>403</v>
      </c>
      <c r="D26" s="12">
        <v>10000</v>
      </c>
      <c r="E26" s="12">
        <f t="shared" si="0"/>
        <v>290000</v>
      </c>
      <c r="F26" s="12">
        <f t="shared" si="1"/>
        <v>260000</v>
      </c>
    </row>
    <row r="27" spans="1:6" x14ac:dyDescent="0.35">
      <c r="A27" s="95">
        <v>45360</v>
      </c>
      <c r="B27" s="11">
        <v>10498</v>
      </c>
      <c r="C27" s="11" t="s">
        <v>403</v>
      </c>
      <c r="D27" s="12">
        <v>10000</v>
      </c>
      <c r="E27" s="12">
        <f t="shared" si="0"/>
        <v>300000</v>
      </c>
      <c r="F27" s="12">
        <f t="shared" si="1"/>
        <v>250000</v>
      </c>
    </row>
    <row r="28" spans="1:6" x14ac:dyDescent="0.35">
      <c r="A28" s="95">
        <v>45361</v>
      </c>
      <c r="B28" s="11">
        <v>328</v>
      </c>
      <c r="C28" s="11" t="s">
        <v>403</v>
      </c>
      <c r="D28" s="12">
        <v>10000</v>
      </c>
      <c r="E28" s="12">
        <f t="shared" si="0"/>
        <v>310000</v>
      </c>
      <c r="F28" s="12">
        <f t="shared" si="1"/>
        <v>240000</v>
      </c>
    </row>
    <row r="29" spans="1:6" x14ac:dyDescent="0.35">
      <c r="A29" s="95">
        <v>45393</v>
      </c>
      <c r="B29" s="11">
        <v>12352</v>
      </c>
      <c r="C29" s="11" t="s">
        <v>403</v>
      </c>
      <c r="D29" s="12">
        <v>10000</v>
      </c>
      <c r="E29" s="12">
        <f t="shared" si="0"/>
        <v>320000</v>
      </c>
      <c r="F29" s="12">
        <f t="shared" si="1"/>
        <v>230000</v>
      </c>
    </row>
    <row r="30" spans="1:6" x14ac:dyDescent="0.35">
      <c r="A30" s="95">
        <v>45334</v>
      </c>
      <c r="B30" s="11">
        <v>12352</v>
      </c>
      <c r="C30" s="11" t="s">
        <v>403</v>
      </c>
      <c r="D30" s="12">
        <v>10000</v>
      </c>
      <c r="E30" s="12">
        <f t="shared" si="0"/>
        <v>330000</v>
      </c>
      <c r="F30" s="12">
        <f t="shared" si="1"/>
        <v>220000</v>
      </c>
    </row>
    <row r="31" spans="1:6" x14ac:dyDescent="0.35">
      <c r="A31" s="95">
        <v>45689</v>
      </c>
      <c r="B31" s="11">
        <v>12352</v>
      </c>
      <c r="C31" s="11" t="s">
        <v>403</v>
      </c>
      <c r="D31" s="12">
        <v>10000</v>
      </c>
      <c r="E31" s="12">
        <f t="shared" si="0"/>
        <v>340000</v>
      </c>
      <c r="F31" s="12">
        <f t="shared" si="1"/>
        <v>210000</v>
      </c>
    </row>
    <row r="32" spans="1:6" x14ac:dyDescent="0.35">
      <c r="A32" s="95">
        <v>45718</v>
      </c>
      <c r="B32" s="11">
        <v>12353</v>
      </c>
      <c r="C32" s="11" t="s">
        <v>403</v>
      </c>
      <c r="D32" s="12">
        <v>10000</v>
      </c>
      <c r="E32" s="12">
        <f t="shared" si="0"/>
        <v>350000</v>
      </c>
      <c r="F32" s="12">
        <f t="shared" si="1"/>
        <v>200000</v>
      </c>
    </row>
    <row r="33" spans="1:6" x14ac:dyDescent="0.35">
      <c r="A33" s="95">
        <v>45691</v>
      </c>
      <c r="B33" s="11">
        <v>12352</v>
      </c>
      <c r="C33" s="11" t="s">
        <v>403</v>
      </c>
      <c r="D33" s="12">
        <v>10000</v>
      </c>
      <c r="E33" s="12">
        <f t="shared" si="0"/>
        <v>360000</v>
      </c>
      <c r="F33" s="12">
        <f t="shared" si="1"/>
        <v>190000</v>
      </c>
    </row>
    <row r="34" spans="1:6" x14ac:dyDescent="0.35">
      <c r="A34" s="95">
        <v>45812</v>
      </c>
      <c r="B34" s="11">
        <v>12352</v>
      </c>
      <c r="C34" s="11" t="s">
        <v>403</v>
      </c>
      <c r="D34" s="12">
        <v>10000</v>
      </c>
      <c r="E34" s="12">
        <f t="shared" si="0"/>
        <v>370000</v>
      </c>
      <c r="F34" s="12">
        <f t="shared" si="1"/>
        <v>180000</v>
      </c>
    </row>
    <row r="35" spans="1:6" x14ac:dyDescent="0.35">
      <c r="A35" s="95">
        <v>45721</v>
      </c>
      <c r="B35" s="11">
        <v>12352</v>
      </c>
      <c r="C35" s="11" t="s">
        <v>403</v>
      </c>
      <c r="D35" s="12">
        <v>10000</v>
      </c>
      <c r="E35" s="12">
        <f t="shared" si="0"/>
        <v>380000</v>
      </c>
      <c r="F35" s="12">
        <f t="shared" si="1"/>
        <v>170000</v>
      </c>
    </row>
    <row r="36" spans="1:6" x14ac:dyDescent="0.35">
      <c r="A36" s="95">
        <v>45753</v>
      </c>
      <c r="B36" s="11">
        <v>12352</v>
      </c>
      <c r="C36" s="11" t="s">
        <v>403</v>
      </c>
      <c r="D36" s="12">
        <v>10000</v>
      </c>
      <c r="E36" s="12">
        <f t="shared" si="0"/>
        <v>390000</v>
      </c>
      <c r="F36" s="12">
        <f t="shared" si="1"/>
        <v>160000</v>
      </c>
    </row>
    <row r="37" spans="1:6" x14ac:dyDescent="0.35">
      <c r="A37" s="95">
        <v>45876</v>
      </c>
      <c r="B37" s="11">
        <v>12352</v>
      </c>
      <c r="C37" s="11" t="s">
        <v>403</v>
      </c>
      <c r="D37" s="12">
        <v>10000</v>
      </c>
      <c r="E37" s="12">
        <f t="shared" si="0"/>
        <v>400000</v>
      </c>
      <c r="F37" s="12">
        <f t="shared" si="1"/>
        <v>150000</v>
      </c>
    </row>
    <row r="38" spans="1:6" x14ac:dyDescent="0.35">
      <c r="A38" s="95">
        <v>45696</v>
      </c>
      <c r="B38" s="11">
        <v>12351</v>
      </c>
      <c r="C38" s="11" t="s">
        <v>403</v>
      </c>
      <c r="D38" s="12">
        <v>10000</v>
      </c>
      <c r="E38" s="12">
        <f t="shared" si="0"/>
        <v>410000</v>
      </c>
      <c r="F38" s="12">
        <f t="shared" si="1"/>
        <v>140000</v>
      </c>
    </row>
    <row r="39" spans="1:6" x14ac:dyDescent="0.35">
      <c r="A39" s="95">
        <v>45666</v>
      </c>
      <c r="B39" s="11">
        <v>12595</v>
      </c>
      <c r="C39" s="11" t="s">
        <v>403</v>
      </c>
      <c r="D39" s="12">
        <v>10000</v>
      </c>
      <c r="E39" s="12">
        <f t="shared" si="0"/>
        <v>420000</v>
      </c>
      <c r="F39" s="12">
        <f t="shared" si="1"/>
        <v>130000</v>
      </c>
    </row>
    <row r="40" spans="1:6" x14ac:dyDescent="0.35">
      <c r="A40" s="95">
        <v>45698</v>
      </c>
      <c r="B40" s="11">
        <v>13856</v>
      </c>
      <c r="C40" s="11" t="s">
        <v>403</v>
      </c>
      <c r="D40" s="12">
        <v>10000</v>
      </c>
      <c r="E40" s="12">
        <f t="shared" si="0"/>
        <v>430000</v>
      </c>
      <c r="F40" s="12">
        <f t="shared" si="1"/>
        <v>120000</v>
      </c>
    </row>
    <row r="41" spans="1:6" x14ac:dyDescent="0.35">
      <c r="A41" s="95">
        <v>45699</v>
      </c>
      <c r="B41" s="11">
        <v>13416</v>
      </c>
      <c r="C41" s="11" t="s">
        <v>403</v>
      </c>
      <c r="D41" s="12">
        <v>10000</v>
      </c>
      <c r="E41" s="12">
        <f t="shared" si="0"/>
        <v>440000</v>
      </c>
      <c r="F41" s="12">
        <f t="shared" si="1"/>
        <v>110000</v>
      </c>
    </row>
    <row r="42" spans="1:6" x14ac:dyDescent="0.35">
      <c r="A42" s="95">
        <v>45700</v>
      </c>
      <c r="B42" s="11">
        <v>13261</v>
      </c>
      <c r="C42" s="11" t="s">
        <v>403</v>
      </c>
      <c r="D42" s="12">
        <v>10000</v>
      </c>
      <c r="E42" s="12">
        <f t="shared" si="0"/>
        <v>450000</v>
      </c>
      <c r="F42" s="12">
        <f t="shared" si="1"/>
        <v>100000</v>
      </c>
    </row>
    <row r="43" spans="1:6" x14ac:dyDescent="0.35">
      <c r="A43" s="95">
        <v>46113</v>
      </c>
      <c r="B43" s="11">
        <v>13885</v>
      </c>
      <c r="C43" s="11" t="s">
        <v>403</v>
      </c>
      <c r="D43" s="12">
        <v>10000</v>
      </c>
      <c r="E43" s="12">
        <f t="shared" si="0"/>
        <v>460000</v>
      </c>
      <c r="F43" s="12">
        <f t="shared" si="1"/>
        <v>90000</v>
      </c>
    </row>
    <row r="44" spans="1:6" x14ac:dyDescent="0.35">
      <c r="A44" s="95">
        <v>46024</v>
      </c>
      <c r="B44" s="11">
        <v>12301</v>
      </c>
      <c r="C44" s="11" t="s">
        <v>403</v>
      </c>
      <c r="D44" s="12">
        <v>10000</v>
      </c>
      <c r="E44" s="12">
        <f t="shared" si="0"/>
        <v>470000</v>
      </c>
      <c r="F44" s="12">
        <f t="shared" si="1"/>
        <v>80000</v>
      </c>
    </row>
    <row r="45" spans="1:6" x14ac:dyDescent="0.35">
      <c r="A45" s="95">
        <v>46025</v>
      </c>
      <c r="B45" s="11">
        <v>12709</v>
      </c>
      <c r="C45" s="11" t="s">
        <v>403</v>
      </c>
      <c r="D45" s="12">
        <v>10000</v>
      </c>
      <c r="E45" s="12">
        <f t="shared" si="0"/>
        <v>480000</v>
      </c>
      <c r="F45" s="12">
        <f t="shared" si="1"/>
        <v>70000</v>
      </c>
    </row>
    <row r="46" spans="1:6" x14ac:dyDescent="0.35">
      <c r="A46" s="95">
        <v>46146</v>
      </c>
      <c r="B46" s="11">
        <v>13129</v>
      </c>
      <c r="C46" s="11" t="s">
        <v>403</v>
      </c>
      <c r="D46" s="12">
        <v>10000</v>
      </c>
      <c r="E46" s="12">
        <f t="shared" si="0"/>
        <v>490000</v>
      </c>
      <c r="F46" s="12">
        <f t="shared" si="1"/>
        <v>60000</v>
      </c>
    </row>
    <row r="47" spans="1:6" x14ac:dyDescent="0.35">
      <c r="A47" s="95">
        <v>46086</v>
      </c>
      <c r="B47" s="11">
        <v>12917</v>
      </c>
      <c r="C47" s="11" t="s">
        <v>403</v>
      </c>
      <c r="D47" s="12">
        <v>10000</v>
      </c>
      <c r="E47" s="12">
        <f t="shared" si="0"/>
        <v>500000</v>
      </c>
      <c r="F47" s="12">
        <f t="shared" si="1"/>
        <v>50000</v>
      </c>
    </row>
    <row r="48" spans="1:6" x14ac:dyDescent="0.35">
      <c r="A48" s="95">
        <v>46059</v>
      </c>
      <c r="B48" s="11">
        <v>13492</v>
      </c>
      <c r="C48" s="11" t="s">
        <v>403</v>
      </c>
      <c r="D48" s="12">
        <v>10000</v>
      </c>
      <c r="E48" s="12">
        <f>E47+D48</f>
        <v>510000</v>
      </c>
      <c r="F48" s="12">
        <f>F47-D48</f>
        <v>40000</v>
      </c>
    </row>
    <row r="49" spans="1:6" x14ac:dyDescent="0.35">
      <c r="A49" s="95">
        <v>46060</v>
      </c>
      <c r="B49" s="11">
        <v>1360</v>
      </c>
      <c r="C49" s="11" t="s">
        <v>403</v>
      </c>
      <c r="D49" s="12">
        <v>10000</v>
      </c>
      <c r="E49" s="12">
        <f>E48+D49</f>
        <v>520000</v>
      </c>
      <c r="F49" s="12">
        <f>F48-D49</f>
        <v>30000</v>
      </c>
    </row>
    <row r="50" spans="1:6" x14ac:dyDescent="0.35">
      <c r="A50" s="95">
        <v>46150</v>
      </c>
      <c r="B50" s="11">
        <v>1642</v>
      </c>
      <c r="C50" s="11" t="s">
        <v>403</v>
      </c>
      <c r="D50" s="12">
        <v>10000</v>
      </c>
      <c r="E50" s="12">
        <f>E49+D50</f>
        <v>530000</v>
      </c>
      <c r="F50" s="12">
        <f>F49-D50</f>
        <v>20000</v>
      </c>
    </row>
    <row r="51" spans="1:6" x14ac:dyDescent="0.35">
      <c r="A51" s="95">
        <v>46062</v>
      </c>
      <c r="B51" s="11">
        <v>1884</v>
      </c>
      <c r="C51" s="31" t="s">
        <v>403</v>
      </c>
      <c r="D51" s="12">
        <v>10000</v>
      </c>
      <c r="E51" s="12">
        <f>E50+D51</f>
        <v>540000</v>
      </c>
      <c r="F51" s="12">
        <f>F50-D51</f>
        <v>10000</v>
      </c>
    </row>
    <row r="52" spans="1:6" x14ac:dyDescent="0.35">
      <c r="A52" s="95">
        <v>46183</v>
      </c>
      <c r="B52" s="11">
        <v>2170</v>
      </c>
      <c r="C52" s="31" t="s">
        <v>403</v>
      </c>
      <c r="D52" s="12">
        <v>10000</v>
      </c>
      <c r="E52" s="12">
        <f>E51+D52</f>
        <v>550000</v>
      </c>
      <c r="F52" s="12">
        <f>F51-D52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G8" sqref="G8"/>
    </sheetView>
  </sheetViews>
  <sheetFormatPr defaultRowHeight="14.5" x14ac:dyDescent="0.35"/>
  <cols>
    <col min="1" max="1" width="10.1796875" customWidth="1"/>
    <col min="3" max="3" width="13.08984375" customWidth="1"/>
  </cols>
  <sheetData>
    <row r="1" spans="1:6" ht="18.5" x14ac:dyDescent="0.45">
      <c r="A1" s="1" t="s">
        <v>457</v>
      </c>
      <c r="B1" s="1"/>
      <c r="C1" s="1"/>
      <c r="D1" s="1"/>
      <c r="E1" s="1"/>
      <c r="F1" s="1"/>
    </row>
    <row r="2" spans="1:6" ht="18.5" x14ac:dyDescent="0.45">
      <c r="A2" s="1" t="s">
        <v>458</v>
      </c>
      <c r="C2" s="1"/>
      <c r="D2" s="1"/>
      <c r="E2" s="1"/>
      <c r="F2" s="1"/>
    </row>
    <row r="3" spans="1:6" ht="18.5" x14ac:dyDescent="0.45">
      <c r="A3" s="1" t="s">
        <v>459</v>
      </c>
      <c r="B3" s="1"/>
      <c r="C3" s="1"/>
      <c r="D3" s="1"/>
      <c r="E3" s="1"/>
      <c r="F3" s="1"/>
    </row>
    <row r="4" spans="1:6" ht="18.5" x14ac:dyDescent="0.45">
      <c r="A4" s="1" t="s">
        <v>409</v>
      </c>
      <c r="B4" s="1"/>
      <c r="C4" s="1"/>
      <c r="D4" s="1"/>
      <c r="E4" s="1"/>
      <c r="F4" s="1"/>
    </row>
    <row r="5" spans="1:6" ht="18.5" x14ac:dyDescent="0.45">
      <c r="A5" s="1" t="s">
        <v>337</v>
      </c>
      <c r="B5" s="1"/>
      <c r="C5" s="1"/>
      <c r="D5" s="1"/>
      <c r="E5" s="1"/>
      <c r="F5" s="1"/>
    </row>
    <row r="6" spans="1:6" ht="18.5" x14ac:dyDescent="0.45">
      <c r="A6" s="1" t="s">
        <v>460</v>
      </c>
      <c r="B6" s="1"/>
      <c r="C6" s="1"/>
      <c r="D6" s="1"/>
      <c r="E6" s="1"/>
      <c r="F6" s="1"/>
    </row>
    <row r="7" spans="1:6" ht="18.5" x14ac:dyDescent="0.45">
      <c r="A7" s="1" t="s">
        <v>461</v>
      </c>
      <c r="B7" s="1"/>
      <c r="C7" s="1"/>
      <c r="D7" s="1"/>
      <c r="E7" s="1"/>
      <c r="F7" s="1"/>
    </row>
    <row r="8" spans="1:6" ht="18.5" x14ac:dyDescent="0.45">
      <c r="A8" s="1" t="s">
        <v>462</v>
      </c>
      <c r="B8" s="1"/>
      <c r="C8" s="1"/>
      <c r="D8" s="1"/>
      <c r="E8" s="1"/>
      <c r="F8" s="1"/>
    </row>
    <row r="9" spans="1:6" ht="18.5" x14ac:dyDescent="0.45">
      <c r="A9" s="1" t="s">
        <v>463</v>
      </c>
      <c r="C9" s="1"/>
      <c r="D9" s="1"/>
      <c r="E9" s="1"/>
      <c r="F9" s="1"/>
    </row>
    <row r="10" spans="1:6" ht="18.5" x14ac:dyDescent="0.45">
      <c r="A10" s="1" t="s">
        <v>464</v>
      </c>
      <c r="B10" s="1"/>
      <c r="C10" s="1"/>
      <c r="D10" s="1"/>
      <c r="E10" s="1"/>
      <c r="F10" s="1"/>
    </row>
    <row r="11" spans="1:6" ht="18.5" x14ac:dyDescent="0.45">
      <c r="A11" s="1" t="s">
        <v>470</v>
      </c>
      <c r="B11" s="1"/>
      <c r="C11" s="1"/>
      <c r="D11" s="1"/>
      <c r="E11" s="1"/>
      <c r="F11" s="1"/>
    </row>
    <row r="12" spans="1:6" ht="18.5" x14ac:dyDescent="0.45">
      <c r="A12" s="1" t="s">
        <v>465</v>
      </c>
      <c r="B12" s="1"/>
      <c r="C12" s="1"/>
      <c r="D12" s="1"/>
      <c r="F12" s="1"/>
    </row>
    <row r="13" spans="1:6" x14ac:dyDescent="0.35">
      <c r="A13" s="50" t="s">
        <v>0</v>
      </c>
      <c r="B13" s="43" t="s">
        <v>1</v>
      </c>
      <c r="C13" s="43" t="s">
        <v>2</v>
      </c>
      <c r="D13" s="41" t="s">
        <v>3</v>
      </c>
      <c r="E13" s="41" t="s">
        <v>4</v>
      </c>
      <c r="F13" s="42" t="s">
        <v>5</v>
      </c>
    </row>
    <row r="14" spans="1:6" ht="18.5" x14ac:dyDescent="0.45">
      <c r="A14" s="1" t="s">
        <v>466</v>
      </c>
    </row>
    <row r="16" spans="1:6" x14ac:dyDescent="0.35">
      <c r="A16" t="s">
        <v>455</v>
      </c>
      <c r="B16">
        <v>1467</v>
      </c>
      <c r="C16" t="s">
        <v>467</v>
      </c>
      <c r="D16" s="16">
        <v>100000</v>
      </c>
      <c r="E16" s="16">
        <v>100000</v>
      </c>
      <c r="F16" t="s">
        <v>248</v>
      </c>
    </row>
    <row r="18" spans="1:2" ht="21" x14ac:dyDescent="0.5">
      <c r="A18" s="23" t="s">
        <v>468</v>
      </c>
      <c r="B18" s="23"/>
    </row>
    <row r="19" spans="1:2" ht="21" x14ac:dyDescent="0.5">
      <c r="A19" s="23" t="s">
        <v>469</v>
      </c>
      <c r="B19" s="2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37" workbookViewId="0">
      <selection activeCell="D43" sqref="D43"/>
    </sheetView>
  </sheetViews>
  <sheetFormatPr defaultRowHeight="14.5" x14ac:dyDescent="0.35"/>
  <cols>
    <col min="1" max="1" width="11.26953125" customWidth="1"/>
    <col min="3" max="3" width="12.08984375" customWidth="1"/>
    <col min="6" max="6" width="10.6328125" customWidth="1"/>
  </cols>
  <sheetData>
    <row r="1" spans="1:6" ht="18.5" x14ac:dyDescent="0.45">
      <c r="A1" s="1" t="s">
        <v>396</v>
      </c>
      <c r="B1" s="1"/>
      <c r="C1" s="1"/>
      <c r="D1" s="1"/>
      <c r="E1" s="1"/>
      <c r="F1" s="1"/>
    </row>
    <row r="2" spans="1:6" ht="18.5" x14ac:dyDescent="0.45">
      <c r="A2" s="1" t="s">
        <v>397</v>
      </c>
      <c r="C2" s="1"/>
      <c r="D2" s="1"/>
      <c r="E2" s="1"/>
      <c r="F2" s="1"/>
    </row>
    <row r="3" spans="1:6" ht="18.5" x14ac:dyDescent="0.45">
      <c r="A3" s="1" t="s">
        <v>398</v>
      </c>
      <c r="B3" s="1"/>
      <c r="C3" s="1"/>
      <c r="D3" s="1"/>
      <c r="E3" s="1"/>
      <c r="F3" s="1"/>
    </row>
    <row r="4" spans="1:6" ht="18.5" x14ac:dyDescent="0.45">
      <c r="A4" s="1" t="s">
        <v>401</v>
      </c>
      <c r="B4" s="1"/>
      <c r="C4" s="1"/>
      <c r="D4" s="1"/>
      <c r="E4" s="1"/>
      <c r="F4" s="1"/>
    </row>
    <row r="5" spans="1:6" ht="18.5" x14ac:dyDescent="0.45">
      <c r="A5" s="1" t="s">
        <v>399</v>
      </c>
      <c r="B5" s="1"/>
      <c r="C5" s="1"/>
      <c r="D5" s="1"/>
      <c r="E5" s="1"/>
      <c r="F5" s="1"/>
    </row>
    <row r="6" spans="1:6" ht="18.5" x14ac:dyDescent="0.45">
      <c r="A6" s="1" t="s">
        <v>400</v>
      </c>
      <c r="B6" s="1"/>
      <c r="C6" s="1"/>
      <c r="D6" s="1" t="s">
        <v>13</v>
      </c>
      <c r="F6" s="1"/>
    </row>
    <row r="7" spans="1:6" x14ac:dyDescent="0.35">
      <c r="A7" s="96" t="s">
        <v>0</v>
      </c>
      <c r="B7" s="96" t="s">
        <v>1</v>
      </c>
      <c r="C7" s="96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95">
        <v>44959</v>
      </c>
      <c r="B8" s="11">
        <v>214</v>
      </c>
      <c r="C8" s="11" t="s">
        <v>402</v>
      </c>
      <c r="D8" s="12">
        <v>10000</v>
      </c>
      <c r="E8" s="12">
        <v>10000</v>
      </c>
      <c r="F8" s="12">
        <v>540000</v>
      </c>
    </row>
    <row r="9" spans="1:6" x14ac:dyDescent="0.35">
      <c r="A9" s="95">
        <v>45019</v>
      </c>
      <c r="B9" s="11">
        <v>2874</v>
      </c>
      <c r="C9" s="11" t="s">
        <v>87</v>
      </c>
      <c r="D9" s="12">
        <v>110000</v>
      </c>
      <c r="E9" s="12">
        <f>SUM(E8+D9)</f>
        <v>120000</v>
      </c>
      <c r="F9" s="12">
        <f>F8-D9</f>
        <v>430000</v>
      </c>
    </row>
    <row r="10" spans="1:6" x14ac:dyDescent="0.35">
      <c r="A10" s="95">
        <v>44961</v>
      </c>
      <c r="B10" s="11">
        <v>1759</v>
      </c>
      <c r="C10" s="11" t="s">
        <v>403</v>
      </c>
      <c r="D10" s="12">
        <v>10000</v>
      </c>
      <c r="E10" s="12">
        <f t="shared" ref="E10:E47" si="0">SUM(E9+D10)</f>
        <v>130000</v>
      </c>
      <c r="F10" s="12">
        <f t="shared" ref="F10:F47" si="1">F9-D10</f>
        <v>420000</v>
      </c>
    </row>
    <row r="11" spans="1:6" x14ac:dyDescent="0.35">
      <c r="A11" s="95">
        <v>45082</v>
      </c>
      <c r="B11" s="11">
        <v>1469</v>
      </c>
      <c r="C11" s="11" t="s">
        <v>403</v>
      </c>
      <c r="D11" s="12">
        <v>10000</v>
      </c>
      <c r="E11" s="12">
        <f t="shared" si="0"/>
        <v>140000</v>
      </c>
      <c r="F11" s="12">
        <f t="shared" si="1"/>
        <v>410000</v>
      </c>
    </row>
    <row r="12" spans="1:6" x14ac:dyDescent="0.35">
      <c r="A12" s="95">
        <v>45022</v>
      </c>
      <c r="B12" s="11">
        <v>263</v>
      </c>
      <c r="C12" s="11" t="s">
        <v>403</v>
      </c>
      <c r="D12" s="12">
        <v>10000</v>
      </c>
      <c r="E12" s="12">
        <f t="shared" si="0"/>
        <v>150000</v>
      </c>
      <c r="F12" s="12">
        <f t="shared" si="1"/>
        <v>400000</v>
      </c>
    </row>
    <row r="13" spans="1:6" x14ac:dyDescent="0.35">
      <c r="A13" s="95">
        <v>45145</v>
      </c>
      <c r="B13" s="11">
        <v>2180</v>
      </c>
      <c r="C13" s="11" t="s">
        <v>403</v>
      </c>
      <c r="D13" s="12">
        <v>10000</v>
      </c>
      <c r="E13" s="12">
        <f t="shared" si="0"/>
        <v>160000</v>
      </c>
      <c r="F13" s="12">
        <f t="shared" si="1"/>
        <v>390000</v>
      </c>
    </row>
    <row r="14" spans="1:6" x14ac:dyDescent="0.35">
      <c r="A14" s="95">
        <v>45054</v>
      </c>
      <c r="B14" s="11">
        <v>2224</v>
      </c>
      <c r="C14" s="11" t="s">
        <v>403</v>
      </c>
      <c r="D14" s="12">
        <v>10000</v>
      </c>
      <c r="E14" s="12">
        <f t="shared" si="0"/>
        <v>170000</v>
      </c>
      <c r="F14" s="12">
        <f t="shared" si="1"/>
        <v>380000</v>
      </c>
    </row>
    <row r="15" spans="1:6" x14ac:dyDescent="0.35">
      <c r="A15" s="95">
        <v>45178</v>
      </c>
      <c r="B15" s="11">
        <v>3452</v>
      </c>
      <c r="C15" s="11" t="s">
        <v>403</v>
      </c>
      <c r="D15" s="12">
        <v>10000</v>
      </c>
      <c r="E15" s="12">
        <f t="shared" si="0"/>
        <v>180000</v>
      </c>
      <c r="F15" s="12">
        <f t="shared" si="1"/>
        <v>370000</v>
      </c>
    </row>
    <row r="16" spans="1:6" x14ac:dyDescent="0.35">
      <c r="A16" s="95">
        <v>45117</v>
      </c>
      <c r="B16" s="11">
        <v>4038</v>
      </c>
      <c r="C16" s="11" t="s">
        <v>403</v>
      </c>
      <c r="D16" s="12">
        <v>10000</v>
      </c>
      <c r="E16" s="12">
        <f t="shared" si="0"/>
        <v>190000</v>
      </c>
      <c r="F16" s="12">
        <f t="shared" si="1"/>
        <v>360000</v>
      </c>
    </row>
    <row r="17" spans="1:6" x14ac:dyDescent="0.35">
      <c r="A17" s="95">
        <v>45027</v>
      </c>
      <c r="B17" s="11">
        <v>4614</v>
      </c>
      <c r="C17" s="11" t="s">
        <v>403</v>
      </c>
      <c r="D17" s="12">
        <v>10000</v>
      </c>
      <c r="E17" s="12">
        <f t="shared" si="0"/>
        <v>200000</v>
      </c>
      <c r="F17" s="12">
        <f t="shared" si="1"/>
        <v>350000</v>
      </c>
    </row>
    <row r="18" spans="1:6" x14ac:dyDescent="0.35">
      <c r="A18" s="95">
        <v>45089</v>
      </c>
      <c r="B18" s="11">
        <v>5318</v>
      </c>
      <c r="C18" s="11" t="s">
        <v>403</v>
      </c>
      <c r="D18" s="12">
        <v>10000</v>
      </c>
      <c r="E18" s="12">
        <f t="shared" si="0"/>
        <v>210000</v>
      </c>
      <c r="F18" s="12">
        <f t="shared" si="1"/>
        <v>340000</v>
      </c>
    </row>
    <row r="19" spans="1:6" x14ac:dyDescent="0.35">
      <c r="A19" s="95">
        <v>45078</v>
      </c>
      <c r="B19" s="11">
        <v>5912</v>
      </c>
      <c r="C19" s="11" t="s">
        <v>403</v>
      </c>
      <c r="D19" s="12">
        <v>10000</v>
      </c>
      <c r="E19" s="12">
        <f t="shared" si="0"/>
        <v>220000</v>
      </c>
      <c r="F19" s="12">
        <f t="shared" si="1"/>
        <v>330000</v>
      </c>
    </row>
    <row r="20" spans="1:6" x14ac:dyDescent="0.35">
      <c r="A20" s="95">
        <v>45567</v>
      </c>
      <c r="B20" s="11">
        <v>7007</v>
      </c>
      <c r="C20" s="11" t="s">
        <v>403</v>
      </c>
      <c r="D20" s="12">
        <v>10000</v>
      </c>
      <c r="E20" s="12">
        <f t="shared" si="0"/>
        <v>230000</v>
      </c>
      <c r="F20" s="12">
        <f t="shared" si="1"/>
        <v>320000</v>
      </c>
    </row>
    <row r="21" spans="1:6" x14ac:dyDescent="0.35">
      <c r="A21" s="95">
        <v>45538</v>
      </c>
      <c r="B21" s="11">
        <v>6957</v>
      </c>
      <c r="C21" s="11" t="s">
        <v>403</v>
      </c>
      <c r="D21" s="12">
        <v>10000</v>
      </c>
      <c r="E21" s="12">
        <f t="shared" si="0"/>
        <v>240000</v>
      </c>
      <c r="F21" s="12">
        <f t="shared" si="1"/>
        <v>310000</v>
      </c>
    </row>
    <row r="22" spans="1:6" x14ac:dyDescent="0.35">
      <c r="A22" s="95">
        <v>45447</v>
      </c>
      <c r="B22" s="11">
        <v>7699</v>
      </c>
      <c r="C22" s="11" t="s">
        <v>403</v>
      </c>
      <c r="D22" s="12">
        <v>10000</v>
      </c>
      <c r="E22" s="12">
        <f t="shared" si="0"/>
        <v>250000</v>
      </c>
      <c r="F22" s="12">
        <f t="shared" si="1"/>
        <v>300000</v>
      </c>
    </row>
    <row r="23" spans="1:6" x14ac:dyDescent="0.35">
      <c r="A23" s="95">
        <v>45387</v>
      </c>
      <c r="B23" s="11">
        <v>8203</v>
      </c>
      <c r="C23" s="11" t="s">
        <v>403</v>
      </c>
      <c r="D23" s="12">
        <v>10000</v>
      </c>
      <c r="E23" s="12">
        <f t="shared" si="0"/>
        <v>260000</v>
      </c>
      <c r="F23" s="12">
        <f t="shared" si="1"/>
        <v>290000</v>
      </c>
    </row>
    <row r="24" spans="1:6" x14ac:dyDescent="0.35">
      <c r="A24" s="95">
        <v>45510</v>
      </c>
      <c r="B24" s="11">
        <v>8887</v>
      </c>
      <c r="C24" s="11" t="s">
        <v>403</v>
      </c>
      <c r="D24" s="12">
        <v>10000</v>
      </c>
      <c r="E24" s="12">
        <f t="shared" si="0"/>
        <v>270000</v>
      </c>
      <c r="F24" s="12">
        <f t="shared" si="1"/>
        <v>280000</v>
      </c>
    </row>
    <row r="25" spans="1:6" x14ac:dyDescent="0.35">
      <c r="A25" s="95">
        <v>45450</v>
      </c>
      <c r="B25" s="11">
        <v>338</v>
      </c>
      <c r="C25" s="11" t="s">
        <v>403</v>
      </c>
      <c r="D25" s="12">
        <v>10000</v>
      </c>
      <c r="E25" s="12">
        <f t="shared" si="0"/>
        <v>280000</v>
      </c>
      <c r="F25" s="12">
        <f t="shared" si="1"/>
        <v>270000</v>
      </c>
    </row>
    <row r="26" spans="1:6" x14ac:dyDescent="0.35">
      <c r="A26" s="95">
        <v>45390</v>
      </c>
      <c r="B26" s="11">
        <v>339</v>
      </c>
      <c r="C26" s="11" t="s">
        <v>403</v>
      </c>
      <c r="D26" s="12">
        <v>10000</v>
      </c>
      <c r="E26" s="12">
        <f t="shared" si="0"/>
        <v>290000</v>
      </c>
      <c r="F26" s="12">
        <f t="shared" si="1"/>
        <v>260000</v>
      </c>
    </row>
    <row r="27" spans="1:6" x14ac:dyDescent="0.35">
      <c r="A27" s="95">
        <v>45360</v>
      </c>
      <c r="B27" s="11">
        <v>10499</v>
      </c>
      <c r="C27" s="11" t="s">
        <v>403</v>
      </c>
      <c r="D27" s="12">
        <v>10000</v>
      </c>
      <c r="E27" s="12">
        <f t="shared" si="0"/>
        <v>300000</v>
      </c>
      <c r="F27" s="12">
        <f t="shared" si="1"/>
        <v>250000</v>
      </c>
    </row>
    <row r="28" spans="1:6" x14ac:dyDescent="0.35">
      <c r="A28" s="95">
        <v>45361</v>
      </c>
      <c r="B28" s="11">
        <v>329</v>
      </c>
      <c r="C28" s="11" t="s">
        <v>403</v>
      </c>
      <c r="D28" s="12">
        <v>10000</v>
      </c>
      <c r="E28" s="12">
        <f t="shared" si="0"/>
        <v>310000</v>
      </c>
      <c r="F28" s="12">
        <f t="shared" si="1"/>
        <v>240000</v>
      </c>
    </row>
    <row r="29" spans="1:6" x14ac:dyDescent="0.35">
      <c r="A29" s="95">
        <v>45393</v>
      </c>
      <c r="B29" s="11">
        <v>12653</v>
      </c>
      <c r="C29" s="11" t="s">
        <v>403</v>
      </c>
      <c r="D29" s="12">
        <v>10000</v>
      </c>
      <c r="E29" s="12">
        <f t="shared" si="0"/>
        <v>320000</v>
      </c>
      <c r="F29" s="12">
        <f t="shared" si="1"/>
        <v>230000</v>
      </c>
    </row>
    <row r="30" spans="1:6" x14ac:dyDescent="0.35">
      <c r="A30" s="95">
        <v>45334</v>
      </c>
      <c r="B30" s="11">
        <v>12353</v>
      </c>
      <c r="C30" s="11" t="s">
        <v>403</v>
      </c>
      <c r="D30" s="12">
        <v>10000</v>
      </c>
      <c r="E30" s="12">
        <f t="shared" si="0"/>
        <v>330000</v>
      </c>
      <c r="F30" s="12">
        <f t="shared" si="1"/>
        <v>220000</v>
      </c>
    </row>
    <row r="31" spans="1:6" x14ac:dyDescent="0.35">
      <c r="A31" s="95">
        <v>45689</v>
      </c>
      <c r="B31" s="11">
        <v>12353</v>
      </c>
      <c r="C31" s="11" t="s">
        <v>403</v>
      </c>
      <c r="D31" s="12">
        <v>10000</v>
      </c>
      <c r="E31" s="12">
        <f t="shared" si="0"/>
        <v>340000</v>
      </c>
      <c r="F31" s="12">
        <f t="shared" si="1"/>
        <v>210000</v>
      </c>
    </row>
    <row r="32" spans="1:6" x14ac:dyDescent="0.35">
      <c r="A32" s="95">
        <v>45718</v>
      </c>
      <c r="B32" s="11">
        <v>12353</v>
      </c>
      <c r="C32" s="11" t="s">
        <v>403</v>
      </c>
      <c r="D32" s="12">
        <v>10000</v>
      </c>
      <c r="E32" s="12">
        <f t="shared" si="0"/>
        <v>350000</v>
      </c>
      <c r="F32" s="12">
        <f t="shared" si="1"/>
        <v>200000</v>
      </c>
    </row>
    <row r="33" spans="1:6" x14ac:dyDescent="0.35">
      <c r="A33" s="95">
        <v>45691</v>
      </c>
      <c r="B33" s="11">
        <v>12353</v>
      </c>
      <c r="C33" s="11" t="s">
        <v>403</v>
      </c>
      <c r="D33" s="12">
        <v>10000</v>
      </c>
      <c r="E33" s="12">
        <f t="shared" si="0"/>
        <v>360000</v>
      </c>
      <c r="F33" s="12">
        <f t="shared" si="1"/>
        <v>190000</v>
      </c>
    </row>
    <row r="34" spans="1:6" x14ac:dyDescent="0.35">
      <c r="A34" s="95">
        <v>45812</v>
      </c>
      <c r="B34" s="11">
        <v>12353</v>
      </c>
      <c r="C34" s="11" t="s">
        <v>403</v>
      </c>
      <c r="D34" s="12">
        <v>10000</v>
      </c>
      <c r="E34" s="12">
        <f t="shared" si="0"/>
        <v>370000</v>
      </c>
      <c r="F34" s="12">
        <f t="shared" si="1"/>
        <v>180000</v>
      </c>
    </row>
    <row r="35" spans="1:6" x14ac:dyDescent="0.35">
      <c r="A35" s="95">
        <v>45721</v>
      </c>
      <c r="B35" s="11">
        <v>12353</v>
      </c>
      <c r="C35" s="11" t="s">
        <v>403</v>
      </c>
      <c r="D35" s="12">
        <v>10000</v>
      </c>
      <c r="E35" s="12">
        <f t="shared" si="0"/>
        <v>380000</v>
      </c>
      <c r="F35" s="12">
        <f t="shared" si="1"/>
        <v>170000</v>
      </c>
    </row>
    <row r="36" spans="1:6" x14ac:dyDescent="0.35">
      <c r="A36" s="95">
        <v>45753</v>
      </c>
      <c r="B36" s="11">
        <v>12353</v>
      </c>
      <c r="C36" s="11" t="s">
        <v>403</v>
      </c>
      <c r="D36" s="12">
        <v>10000</v>
      </c>
      <c r="E36" s="12">
        <f t="shared" si="0"/>
        <v>390000</v>
      </c>
      <c r="F36" s="12">
        <f t="shared" si="1"/>
        <v>160000</v>
      </c>
    </row>
    <row r="37" spans="1:6" x14ac:dyDescent="0.35">
      <c r="A37" s="95">
        <v>45876</v>
      </c>
      <c r="B37" s="11">
        <v>2353</v>
      </c>
      <c r="C37" s="11" t="s">
        <v>403</v>
      </c>
      <c r="D37" s="12">
        <v>10000</v>
      </c>
      <c r="E37" s="12">
        <f t="shared" si="0"/>
        <v>400000</v>
      </c>
      <c r="F37" s="12">
        <f t="shared" si="1"/>
        <v>150000</v>
      </c>
    </row>
    <row r="38" spans="1:6" x14ac:dyDescent="0.35">
      <c r="A38" s="95">
        <v>45696</v>
      </c>
      <c r="B38" s="11">
        <v>12354</v>
      </c>
      <c r="C38" s="11" t="s">
        <v>403</v>
      </c>
      <c r="D38" s="12">
        <v>10000</v>
      </c>
      <c r="E38" s="12">
        <f t="shared" si="0"/>
        <v>410000</v>
      </c>
      <c r="F38" s="12">
        <f t="shared" si="1"/>
        <v>140000</v>
      </c>
    </row>
    <row r="39" spans="1:6" x14ac:dyDescent="0.35">
      <c r="A39" s="95">
        <v>45666</v>
      </c>
      <c r="B39" s="11">
        <v>12596</v>
      </c>
      <c r="C39" s="11" t="s">
        <v>403</v>
      </c>
      <c r="D39" s="12">
        <v>10000</v>
      </c>
      <c r="E39" s="12">
        <f t="shared" si="0"/>
        <v>420000</v>
      </c>
      <c r="F39" s="12">
        <f t="shared" si="1"/>
        <v>130000</v>
      </c>
    </row>
    <row r="40" spans="1:6" x14ac:dyDescent="0.35">
      <c r="A40" s="95">
        <v>45698</v>
      </c>
      <c r="B40" s="11">
        <v>13857</v>
      </c>
      <c r="C40" s="11" t="s">
        <v>403</v>
      </c>
      <c r="D40" s="12">
        <v>10000</v>
      </c>
      <c r="E40" s="12">
        <f t="shared" si="0"/>
        <v>430000</v>
      </c>
      <c r="F40" s="12">
        <f t="shared" si="1"/>
        <v>120000</v>
      </c>
    </row>
    <row r="41" spans="1:6" x14ac:dyDescent="0.35">
      <c r="A41" s="95">
        <v>45699</v>
      </c>
      <c r="B41" s="11">
        <v>13417</v>
      </c>
      <c r="C41" s="11" t="s">
        <v>403</v>
      </c>
      <c r="D41" s="12">
        <v>10000</v>
      </c>
      <c r="E41" s="12">
        <f t="shared" si="0"/>
        <v>440000</v>
      </c>
      <c r="F41" s="12">
        <f t="shared" si="1"/>
        <v>110000</v>
      </c>
    </row>
    <row r="42" spans="1:6" x14ac:dyDescent="0.35">
      <c r="A42" s="95">
        <v>45700</v>
      </c>
      <c r="B42" s="11">
        <v>13262</v>
      </c>
      <c r="C42" s="11" t="s">
        <v>403</v>
      </c>
      <c r="D42" s="12">
        <v>10000</v>
      </c>
      <c r="E42" s="12">
        <f t="shared" si="0"/>
        <v>450000</v>
      </c>
      <c r="F42" s="12">
        <f t="shared" si="1"/>
        <v>100000</v>
      </c>
    </row>
    <row r="43" spans="1:6" x14ac:dyDescent="0.35">
      <c r="A43" s="95">
        <v>46113</v>
      </c>
      <c r="B43" s="11">
        <v>13883</v>
      </c>
      <c r="C43" s="11" t="s">
        <v>403</v>
      </c>
      <c r="D43" s="12">
        <v>10000</v>
      </c>
      <c r="E43" s="12">
        <f t="shared" si="0"/>
        <v>460000</v>
      </c>
      <c r="F43" s="12">
        <f t="shared" si="1"/>
        <v>90000</v>
      </c>
    </row>
    <row r="44" spans="1:6" x14ac:dyDescent="0.35">
      <c r="A44" s="95">
        <v>46024</v>
      </c>
      <c r="B44" s="11">
        <v>12302</v>
      </c>
      <c r="C44" s="11" t="s">
        <v>403</v>
      </c>
      <c r="D44" s="12">
        <v>10000</v>
      </c>
      <c r="E44" s="12">
        <f t="shared" si="0"/>
        <v>470000</v>
      </c>
      <c r="F44" s="12">
        <f t="shared" si="1"/>
        <v>80000</v>
      </c>
    </row>
    <row r="45" spans="1:6" x14ac:dyDescent="0.35">
      <c r="A45" s="95">
        <v>46025</v>
      </c>
      <c r="B45" s="11">
        <v>12710</v>
      </c>
      <c r="C45" s="11" t="s">
        <v>403</v>
      </c>
      <c r="D45" s="12">
        <v>10000</v>
      </c>
      <c r="E45" s="12">
        <f t="shared" si="0"/>
        <v>480000</v>
      </c>
      <c r="F45" s="12">
        <f t="shared" si="1"/>
        <v>70000</v>
      </c>
    </row>
    <row r="46" spans="1:6" x14ac:dyDescent="0.35">
      <c r="A46" s="95">
        <v>46146</v>
      </c>
      <c r="B46" s="11">
        <v>13130</v>
      </c>
      <c r="C46" s="11" t="s">
        <v>403</v>
      </c>
      <c r="D46" s="12">
        <v>10000</v>
      </c>
      <c r="E46" s="12">
        <f t="shared" si="0"/>
        <v>490000</v>
      </c>
      <c r="F46" s="12">
        <f t="shared" si="1"/>
        <v>60000</v>
      </c>
    </row>
    <row r="47" spans="1:6" x14ac:dyDescent="0.35">
      <c r="A47" s="95">
        <v>46086</v>
      </c>
      <c r="B47" s="11">
        <v>12918</v>
      </c>
      <c r="C47" s="11" t="s">
        <v>403</v>
      </c>
      <c r="D47" s="12">
        <v>10000</v>
      </c>
      <c r="E47" s="12">
        <f t="shared" si="0"/>
        <v>500000</v>
      </c>
      <c r="F47" s="12">
        <f t="shared" si="1"/>
        <v>50000</v>
      </c>
    </row>
    <row r="48" spans="1:6" x14ac:dyDescent="0.35">
      <c r="A48" s="95">
        <v>46059</v>
      </c>
      <c r="B48" s="11">
        <v>13493</v>
      </c>
      <c r="C48" s="11" t="s">
        <v>403</v>
      </c>
      <c r="D48" s="12">
        <v>10000</v>
      </c>
      <c r="E48" s="12">
        <f>E47+D48</f>
        <v>510000</v>
      </c>
      <c r="F48" s="12">
        <f>F47-D48</f>
        <v>40000</v>
      </c>
    </row>
    <row r="49" spans="1:6" x14ac:dyDescent="0.35">
      <c r="A49" s="95">
        <v>46060</v>
      </c>
      <c r="B49" s="11">
        <v>1361</v>
      </c>
      <c r="C49" s="11" t="s">
        <v>403</v>
      </c>
      <c r="D49" s="12">
        <v>10000</v>
      </c>
      <c r="E49" s="12">
        <f>E48+D49</f>
        <v>520000</v>
      </c>
      <c r="F49" s="12">
        <f>F48-D49</f>
        <v>30000</v>
      </c>
    </row>
    <row r="50" spans="1:6" x14ac:dyDescent="0.35">
      <c r="A50" s="95">
        <v>46150</v>
      </c>
      <c r="B50" s="11">
        <v>1643</v>
      </c>
      <c r="C50" s="11" t="s">
        <v>403</v>
      </c>
      <c r="D50" s="12">
        <v>10000</v>
      </c>
      <c r="E50" s="12">
        <f>E49+D50</f>
        <v>530000</v>
      </c>
      <c r="F50" s="12">
        <f>F49-D50</f>
        <v>20000</v>
      </c>
    </row>
    <row r="51" spans="1:6" x14ac:dyDescent="0.35">
      <c r="A51" s="95">
        <v>46062</v>
      </c>
      <c r="B51" s="11">
        <v>1885</v>
      </c>
      <c r="C51" s="11" t="s">
        <v>403</v>
      </c>
      <c r="D51" s="12">
        <v>10000</v>
      </c>
      <c r="E51" s="12">
        <f>E50+D51</f>
        <v>540000</v>
      </c>
      <c r="F51" s="12">
        <f>F50-D51</f>
        <v>10000</v>
      </c>
    </row>
    <row r="52" spans="1:6" x14ac:dyDescent="0.35">
      <c r="A52" s="95">
        <v>46183</v>
      </c>
      <c r="B52" s="11">
        <v>2171</v>
      </c>
      <c r="C52" s="11" t="s">
        <v>403</v>
      </c>
      <c r="D52" s="12">
        <v>10000</v>
      </c>
      <c r="E52" s="12">
        <f>E51+D52</f>
        <v>550000</v>
      </c>
      <c r="F52" s="12">
        <f>F51-D52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9" workbookViewId="0">
      <selection activeCell="A47" sqref="A47"/>
    </sheetView>
  </sheetViews>
  <sheetFormatPr defaultRowHeight="14.5" x14ac:dyDescent="0.35"/>
  <cols>
    <col min="1" max="1" width="9.90625" customWidth="1"/>
    <col min="3" max="3" width="28.5429687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134</v>
      </c>
      <c r="B5" s="1"/>
      <c r="C5" s="1"/>
      <c r="D5" s="1" t="s">
        <v>58</v>
      </c>
      <c r="F5" s="1"/>
    </row>
    <row r="6" spans="1:6" x14ac:dyDescent="0.35">
      <c r="A6" s="35" t="s">
        <v>0</v>
      </c>
      <c r="B6" s="36" t="s">
        <v>1</v>
      </c>
      <c r="C6" s="36" t="s">
        <v>2</v>
      </c>
      <c r="D6" s="28" t="s">
        <v>3</v>
      </c>
      <c r="E6" s="28" t="s">
        <v>4</v>
      </c>
      <c r="F6" s="29" t="s">
        <v>5</v>
      </c>
    </row>
    <row r="7" spans="1:6" x14ac:dyDescent="0.35">
      <c r="A7" s="25" t="s">
        <v>135</v>
      </c>
      <c r="B7" s="11">
        <v>29</v>
      </c>
      <c r="C7" s="11" t="s">
        <v>15</v>
      </c>
      <c r="D7" s="12">
        <v>10000</v>
      </c>
      <c r="E7" s="12">
        <v>10000</v>
      </c>
      <c r="F7" s="27">
        <v>590000</v>
      </c>
    </row>
    <row r="8" spans="1:6" x14ac:dyDescent="0.35">
      <c r="A8" s="25" t="s">
        <v>136</v>
      </c>
      <c r="B8" s="11">
        <v>1283</v>
      </c>
      <c r="C8" s="11" t="s">
        <v>87</v>
      </c>
      <c r="D8" s="12">
        <v>140000</v>
      </c>
      <c r="E8" s="12">
        <f>SUM(E7+D8)</f>
        <v>150000</v>
      </c>
      <c r="F8" s="27">
        <f>F7-D8</f>
        <v>450000</v>
      </c>
    </row>
    <row r="9" spans="1:6" x14ac:dyDescent="0.35">
      <c r="A9" s="25" t="s">
        <v>137</v>
      </c>
      <c r="B9" s="11">
        <v>2065</v>
      </c>
      <c r="C9" s="11" t="s">
        <v>144</v>
      </c>
      <c r="D9" s="12">
        <v>50000</v>
      </c>
      <c r="E9" s="12">
        <f t="shared" ref="E9:E34" si="0">SUM(E8+D9)</f>
        <v>200000</v>
      </c>
      <c r="F9" s="27">
        <f t="shared" ref="F9:F34" si="1">F8-D9</f>
        <v>400000</v>
      </c>
    </row>
    <row r="10" spans="1:6" x14ac:dyDescent="0.35">
      <c r="A10" s="25" t="s">
        <v>138</v>
      </c>
      <c r="B10" s="11">
        <v>2066</v>
      </c>
      <c r="C10" s="11" t="s">
        <v>52</v>
      </c>
      <c r="D10" s="12">
        <v>10000</v>
      </c>
      <c r="E10" s="12">
        <f t="shared" si="0"/>
        <v>210000</v>
      </c>
      <c r="F10" s="27">
        <f t="shared" si="1"/>
        <v>390000</v>
      </c>
    </row>
    <row r="11" spans="1:6" x14ac:dyDescent="0.35">
      <c r="A11" s="26">
        <v>45203</v>
      </c>
      <c r="B11" s="11">
        <v>1082</v>
      </c>
      <c r="C11" s="11" t="s">
        <v>52</v>
      </c>
      <c r="D11" s="12">
        <v>10000</v>
      </c>
      <c r="E11" s="12">
        <f t="shared" si="0"/>
        <v>220000</v>
      </c>
      <c r="F11" s="27">
        <f t="shared" si="1"/>
        <v>380000</v>
      </c>
    </row>
    <row r="12" spans="1:6" x14ac:dyDescent="0.35">
      <c r="A12" s="25" t="s">
        <v>86</v>
      </c>
      <c r="B12" s="11">
        <v>535</v>
      </c>
      <c r="C12" s="11" t="s">
        <v>52</v>
      </c>
      <c r="D12" s="12">
        <v>20000</v>
      </c>
      <c r="E12" s="12">
        <f t="shared" si="0"/>
        <v>240000</v>
      </c>
      <c r="F12" s="27">
        <f t="shared" si="1"/>
        <v>360000</v>
      </c>
    </row>
    <row r="13" spans="1:6" x14ac:dyDescent="0.35">
      <c r="A13" s="25" t="s">
        <v>139</v>
      </c>
      <c r="B13" s="11">
        <v>2954</v>
      </c>
      <c r="C13" s="11" t="s">
        <v>52</v>
      </c>
      <c r="D13" s="12">
        <v>10000</v>
      </c>
      <c r="E13" s="12">
        <f t="shared" si="0"/>
        <v>250000</v>
      </c>
      <c r="F13" s="27">
        <f t="shared" si="1"/>
        <v>350000</v>
      </c>
    </row>
    <row r="14" spans="1:6" x14ac:dyDescent="0.35">
      <c r="A14" s="25" t="s">
        <v>140</v>
      </c>
      <c r="B14" s="11">
        <v>3185</v>
      </c>
      <c r="C14" s="11" t="s">
        <v>52</v>
      </c>
      <c r="D14" s="12">
        <v>10000</v>
      </c>
      <c r="E14" s="12">
        <f t="shared" si="0"/>
        <v>260000</v>
      </c>
      <c r="F14" s="27">
        <f t="shared" si="1"/>
        <v>340000</v>
      </c>
    </row>
    <row r="15" spans="1:6" x14ac:dyDescent="0.35">
      <c r="A15" s="25" t="s">
        <v>141</v>
      </c>
      <c r="B15" s="11">
        <v>6407</v>
      </c>
      <c r="C15" s="11" t="s">
        <v>52</v>
      </c>
      <c r="D15" s="12">
        <v>10000</v>
      </c>
      <c r="E15" s="12">
        <f t="shared" si="0"/>
        <v>270000</v>
      </c>
      <c r="F15" s="27">
        <f t="shared" si="1"/>
        <v>330000</v>
      </c>
    </row>
    <row r="16" spans="1:6" x14ac:dyDescent="0.35">
      <c r="A16" s="25" t="s">
        <v>142</v>
      </c>
      <c r="B16" s="11">
        <v>4506</v>
      </c>
      <c r="C16" s="11" t="s">
        <v>52</v>
      </c>
      <c r="D16" s="12">
        <v>10000</v>
      </c>
      <c r="E16" s="12">
        <f t="shared" si="0"/>
        <v>280000</v>
      </c>
      <c r="F16" s="27">
        <f t="shared" si="1"/>
        <v>320000</v>
      </c>
    </row>
    <row r="17" spans="1:6" x14ac:dyDescent="0.35">
      <c r="A17" s="25" t="s">
        <v>143</v>
      </c>
      <c r="B17" s="11">
        <v>5119</v>
      </c>
      <c r="C17" s="11" t="s">
        <v>52</v>
      </c>
      <c r="D17" s="12">
        <v>10000</v>
      </c>
      <c r="E17" s="12">
        <f t="shared" si="0"/>
        <v>290000</v>
      </c>
      <c r="F17" s="27">
        <f t="shared" si="1"/>
        <v>310000</v>
      </c>
    </row>
    <row r="18" spans="1:6" x14ac:dyDescent="0.35">
      <c r="A18" s="25" t="s">
        <v>145</v>
      </c>
      <c r="B18" s="11">
        <v>5793</v>
      </c>
      <c r="C18" s="11" t="s">
        <v>52</v>
      </c>
      <c r="D18" s="12">
        <v>10000</v>
      </c>
      <c r="E18" s="12">
        <f t="shared" si="0"/>
        <v>300000</v>
      </c>
      <c r="F18" s="27">
        <f t="shared" si="1"/>
        <v>300000</v>
      </c>
    </row>
    <row r="19" spans="1:6" x14ac:dyDescent="0.35">
      <c r="A19" s="25" t="s">
        <v>146</v>
      </c>
      <c r="B19" s="11">
        <v>6408</v>
      </c>
      <c r="C19" s="11" t="s">
        <v>52</v>
      </c>
      <c r="D19" s="12">
        <v>10000</v>
      </c>
      <c r="E19" s="12">
        <f t="shared" si="0"/>
        <v>310000</v>
      </c>
      <c r="F19" s="27">
        <f t="shared" si="1"/>
        <v>290000</v>
      </c>
    </row>
    <row r="20" spans="1:6" x14ac:dyDescent="0.35">
      <c r="A20" s="25" t="s">
        <v>147</v>
      </c>
      <c r="B20" s="11">
        <v>11690</v>
      </c>
      <c r="C20" s="11" t="s">
        <v>52</v>
      </c>
      <c r="D20" s="12">
        <v>10000</v>
      </c>
      <c r="E20" s="12">
        <f t="shared" si="0"/>
        <v>320000</v>
      </c>
      <c r="F20" s="27">
        <f t="shared" si="1"/>
        <v>280000</v>
      </c>
    </row>
    <row r="21" spans="1:6" x14ac:dyDescent="0.35">
      <c r="A21" s="25" t="s">
        <v>148</v>
      </c>
      <c r="B21" s="11">
        <v>11690</v>
      </c>
      <c r="C21" s="11" t="s">
        <v>52</v>
      </c>
      <c r="D21" s="12">
        <v>10000</v>
      </c>
      <c r="E21" s="12">
        <f t="shared" si="0"/>
        <v>330000</v>
      </c>
      <c r="F21" s="27">
        <f t="shared" si="1"/>
        <v>270000</v>
      </c>
    </row>
    <row r="22" spans="1:6" x14ac:dyDescent="0.35">
      <c r="A22" s="25" t="s">
        <v>149</v>
      </c>
      <c r="B22" s="11">
        <v>11690</v>
      </c>
      <c r="C22" s="11" t="s">
        <v>52</v>
      </c>
      <c r="D22" s="12">
        <v>10000</v>
      </c>
      <c r="E22" s="12">
        <f t="shared" si="0"/>
        <v>340000</v>
      </c>
      <c r="F22" s="27">
        <f t="shared" si="1"/>
        <v>260000</v>
      </c>
    </row>
    <row r="23" spans="1:6" x14ac:dyDescent="0.35">
      <c r="A23" s="25" t="s">
        <v>29</v>
      </c>
      <c r="B23" s="11">
        <v>11690</v>
      </c>
      <c r="C23" s="11" t="s">
        <v>52</v>
      </c>
      <c r="D23" s="12">
        <v>10000</v>
      </c>
      <c r="E23" s="12">
        <f t="shared" si="0"/>
        <v>350000</v>
      </c>
      <c r="F23" s="27">
        <f t="shared" si="1"/>
        <v>250000</v>
      </c>
    </row>
    <row r="24" spans="1:6" x14ac:dyDescent="0.35">
      <c r="A24" s="25" t="s">
        <v>150</v>
      </c>
      <c r="B24" s="11">
        <v>11690</v>
      </c>
      <c r="C24" s="11" t="s">
        <v>52</v>
      </c>
      <c r="D24" s="12">
        <v>10000</v>
      </c>
      <c r="E24" s="12">
        <f t="shared" si="0"/>
        <v>360000</v>
      </c>
      <c r="F24" s="27">
        <f t="shared" si="1"/>
        <v>240000</v>
      </c>
    </row>
    <row r="25" spans="1:6" x14ac:dyDescent="0.35">
      <c r="A25" s="25" t="s">
        <v>151</v>
      </c>
      <c r="B25" s="11">
        <v>11690</v>
      </c>
      <c r="C25" s="11" t="s">
        <v>52</v>
      </c>
      <c r="D25" s="12">
        <v>15000</v>
      </c>
      <c r="E25" s="12">
        <f t="shared" si="0"/>
        <v>375000</v>
      </c>
      <c r="F25" s="27">
        <f t="shared" si="1"/>
        <v>225000</v>
      </c>
    </row>
    <row r="26" spans="1:6" x14ac:dyDescent="0.35">
      <c r="A26" s="25" t="s">
        <v>152</v>
      </c>
      <c r="B26" s="11">
        <v>11697</v>
      </c>
      <c r="C26" s="11" t="s">
        <v>52</v>
      </c>
      <c r="D26" s="12">
        <v>10000</v>
      </c>
      <c r="E26" s="12">
        <f t="shared" si="0"/>
        <v>385000</v>
      </c>
      <c r="F26" s="27">
        <f t="shared" si="1"/>
        <v>215000</v>
      </c>
    </row>
    <row r="27" spans="1:6" x14ac:dyDescent="0.35">
      <c r="A27" s="25" t="s">
        <v>153</v>
      </c>
      <c r="B27" s="11">
        <v>10075</v>
      </c>
      <c r="C27" s="11" t="s">
        <v>52</v>
      </c>
      <c r="D27" s="12">
        <v>10000</v>
      </c>
      <c r="E27" s="12">
        <f t="shared" si="0"/>
        <v>395000</v>
      </c>
      <c r="F27" s="27">
        <f t="shared" si="1"/>
        <v>205000</v>
      </c>
    </row>
    <row r="28" spans="1:6" x14ac:dyDescent="0.35">
      <c r="A28" s="25" t="s">
        <v>154</v>
      </c>
      <c r="B28" s="11">
        <v>12290</v>
      </c>
      <c r="C28" s="11" t="s">
        <v>52</v>
      </c>
      <c r="D28" s="12">
        <v>10000</v>
      </c>
      <c r="E28" s="12">
        <f t="shared" si="0"/>
        <v>405000</v>
      </c>
      <c r="F28" s="27">
        <f t="shared" si="1"/>
        <v>195000</v>
      </c>
    </row>
    <row r="29" spans="1:6" x14ac:dyDescent="0.35">
      <c r="A29" s="25" t="s">
        <v>41</v>
      </c>
      <c r="B29" s="11">
        <v>12520</v>
      </c>
      <c r="C29" s="11" t="s">
        <v>52</v>
      </c>
      <c r="D29" s="12">
        <v>10000</v>
      </c>
      <c r="E29" s="12">
        <f t="shared" si="0"/>
        <v>415000</v>
      </c>
      <c r="F29" s="27">
        <f t="shared" si="1"/>
        <v>185000</v>
      </c>
    </row>
    <row r="30" spans="1:6" x14ac:dyDescent="0.35">
      <c r="A30" s="25" t="s">
        <v>155</v>
      </c>
      <c r="B30" s="11">
        <v>13994</v>
      </c>
      <c r="C30" s="11" t="s">
        <v>52</v>
      </c>
      <c r="D30" s="12">
        <v>10000</v>
      </c>
      <c r="E30" s="12">
        <f t="shared" si="0"/>
        <v>425000</v>
      </c>
      <c r="F30" s="27">
        <f t="shared" si="1"/>
        <v>175000</v>
      </c>
    </row>
    <row r="31" spans="1:6" x14ac:dyDescent="0.35">
      <c r="A31" s="25" t="s">
        <v>156</v>
      </c>
      <c r="B31" s="11">
        <v>13073</v>
      </c>
      <c r="C31" s="11" t="s">
        <v>52</v>
      </c>
      <c r="D31" s="12">
        <v>10000</v>
      </c>
      <c r="E31" s="12">
        <f t="shared" si="0"/>
        <v>435000</v>
      </c>
      <c r="F31" s="27">
        <f t="shared" si="1"/>
        <v>165000</v>
      </c>
    </row>
    <row r="32" spans="1:6" x14ac:dyDescent="0.35">
      <c r="A32" s="25" t="s">
        <v>157</v>
      </c>
      <c r="B32" s="11">
        <v>13824</v>
      </c>
      <c r="C32" s="11" t="s">
        <v>52</v>
      </c>
      <c r="D32" s="12">
        <v>10000</v>
      </c>
      <c r="E32" s="12">
        <f t="shared" si="0"/>
        <v>445000</v>
      </c>
      <c r="F32" s="27">
        <f t="shared" si="1"/>
        <v>155000</v>
      </c>
    </row>
    <row r="33" spans="1:6" x14ac:dyDescent="0.35">
      <c r="A33" s="25" t="s">
        <v>158</v>
      </c>
      <c r="B33" s="11">
        <v>12273</v>
      </c>
      <c r="C33" s="11" t="s">
        <v>52</v>
      </c>
      <c r="D33" s="12">
        <v>10000</v>
      </c>
      <c r="E33" s="12">
        <f t="shared" si="0"/>
        <v>455000</v>
      </c>
      <c r="F33" s="27">
        <f t="shared" si="1"/>
        <v>145000</v>
      </c>
    </row>
    <row r="34" spans="1:6" x14ac:dyDescent="0.35">
      <c r="A34" s="30">
        <v>46114</v>
      </c>
      <c r="B34" s="31">
        <v>12738</v>
      </c>
      <c r="C34" s="31" t="s">
        <v>159</v>
      </c>
      <c r="D34" s="32">
        <v>60000</v>
      </c>
      <c r="E34" s="32">
        <f t="shared" si="0"/>
        <v>515000</v>
      </c>
      <c r="F34" s="33">
        <f t="shared" si="1"/>
        <v>85000</v>
      </c>
    </row>
    <row r="35" spans="1:6" x14ac:dyDescent="0.35">
      <c r="A35" s="30">
        <v>46057</v>
      </c>
      <c r="B35" s="31">
        <v>14000</v>
      </c>
      <c r="C35" s="31" t="s">
        <v>52</v>
      </c>
      <c r="D35" s="32">
        <v>10000</v>
      </c>
      <c r="E35" s="32">
        <f>SUM(E34+D35)</f>
        <v>525000</v>
      </c>
      <c r="F35" s="33">
        <f>F34-D35</f>
        <v>75000</v>
      </c>
    </row>
    <row r="36" spans="1:6" x14ac:dyDescent="0.35">
      <c r="A36" s="21" t="s">
        <v>573</v>
      </c>
      <c r="B36">
        <v>12902</v>
      </c>
      <c r="C36" t="s">
        <v>52</v>
      </c>
      <c r="D36" s="16">
        <v>10000</v>
      </c>
      <c r="E36" s="16">
        <f>E35+D36</f>
        <v>535000</v>
      </c>
      <c r="F36" s="16">
        <f>F35-D36</f>
        <v>65000</v>
      </c>
    </row>
    <row r="37" spans="1:6" x14ac:dyDescent="0.35">
      <c r="A37" t="s">
        <v>574</v>
      </c>
      <c r="B37">
        <v>13500</v>
      </c>
      <c r="C37" t="s">
        <v>52</v>
      </c>
      <c r="D37" s="16">
        <v>10000</v>
      </c>
      <c r="E37" s="16">
        <f>E36+D37</f>
        <v>545000</v>
      </c>
      <c r="F37" s="16">
        <f>F36-D37</f>
        <v>55000</v>
      </c>
    </row>
    <row r="38" spans="1:6" x14ac:dyDescent="0.35">
      <c r="A38" s="21">
        <v>46088</v>
      </c>
      <c r="B38">
        <v>1371</v>
      </c>
      <c r="D38" s="16">
        <v>10000</v>
      </c>
      <c r="E38" s="16">
        <f>E37+D38</f>
        <v>555000</v>
      </c>
      <c r="F38" s="16">
        <f>F37-D38</f>
        <v>45000</v>
      </c>
    </row>
    <row r="39" spans="1:6" x14ac:dyDescent="0.35">
      <c r="A39" s="21">
        <v>46120</v>
      </c>
      <c r="B39">
        <v>1640</v>
      </c>
      <c r="D39" s="16">
        <v>10000</v>
      </c>
      <c r="E39" s="16">
        <f>E38+D39</f>
        <v>565000</v>
      </c>
      <c r="F39" s="16">
        <f>F38-D39</f>
        <v>35000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7" workbookViewId="0">
      <selection activeCell="B52" sqref="B52"/>
    </sheetView>
  </sheetViews>
  <sheetFormatPr defaultRowHeight="14.5" x14ac:dyDescent="0.35"/>
  <cols>
    <col min="1" max="1" width="11" customWidth="1"/>
    <col min="3" max="3" width="10.453125" customWidth="1"/>
    <col min="4" max="4" width="11.453125" customWidth="1"/>
    <col min="6" max="6" width="10.90625" customWidth="1"/>
  </cols>
  <sheetData>
    <row r="1" spans="1:6" ht="18.5" x14ac:dyDescent="0.45">
      <c r="A1" s="1" t="s">
        <v>410</v>
      </c>
      <c r="B1" s="1"/>
      <c r="C1" s="1"/>
      <c r="D1" s="1"/>
      <c r="E1" s="1"/>
      <c r="F1" s="1"/>
    </row>
    <row r="2" spans="1:6" ht="18.5" x14ac:dyDescent="0.45">
      <c r="A2" s="1" t="s">
        <v>411</v>
      </c>
      <c r="C2" s="1"/>
      <c r="D2" s="1"/>
      <c r="E2" s="1"/>
      <c r="F2" s="1"/>
    </row>
    <row r="3" spans="1:6" ht="18.5" x14ac:dyDescent="0.45">
      <c r="A3" s="1" t="s">
        <v>412</v>
      </c>
      <c r="B3" s="1"/>
      <c r="C3" s="1"/>
      <c r="D3" s="1"/>
      <c r="E3" s="1"/>
      <c r="F3" s="1"/>
    </row>
    <row r="4" spans="1:6" ht="18.5" x14ac:dyDescent="0.45">
      <c r="A4" s="1" t="s">
        <v>415</v>
      </c>
      <c r="B4" s="1"/>
      <c r="C4" s="1"/>
      <c r="D4" s="1"/>
      <c r="E4" s="1"/>
      <c r="F4" s="1"/>
    </row>
    <row r="5" spans="1:6" ht="18.5" x14ac:dyDescent="0.45">
      <c r="A5" s="1" t="s">
        <v>413</v>
      </c>
      <c r="B5" s="1"/>
      <c r="C5" s="1"/>
      <c r="D5" s="1"/>
      <c r="E5" s="1"/>
      <c r="F5" s="1"/>
    </row>
    <row r="6" spans="1:6" ht="18.5" x14ac:dyDescent="0.45">
      <c r="A6" s="1" t="s">
        <v>414</v>
      </c>
      <c r="B6" s="1"/>
      <c r="C6" s="1"/>
      <c r="D6" s="1" t="s">
        <v>13</v>
      </c>
      <c r="F6" s="1"/>
    </row>
    <row r="7" spans="1:6" x14ac:dyDescent="0.35">
      <c r="A7" s="96" t="s">
        <v>0</v>
      </c>
      <c r="B7" s="96" t="s">
        <v>1</v>
      </c>
      <c r="C7" s="96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95">
        <v>44959</v>
      </c>
      <c r="B8" s="11">
        <v>215</v>
      </c>
      <c r="C8" s="11" t="s">
        <v>402</v>
      </c>
      <c r="D8" s="12">
        <v>10000</v>
      </c>
      <c r="E8" s="12">
        <v>10000</v>
      </c>
      <c r="F8" s="12">
        <v>540000</v>
      </c>
    </row>
    <row r="9" spans="1:6" x14ac:dyDescent="0.35">
      <c r="A9" s="95">
        <v>45019</v>
      </c>
      <c r="B9" s="11">
        <v>2871</v>
      </c>
      <c r="C9" s="11" t="s">
        <v>87</v>
      </c>
      <c r="D9" s="12">
        <v>110000</v>
      </c>
      <c r="E9" s="12">
        <f>SUM(E8+D9)</f>
        <v>120000</v>
      </c>
      <c r="F9" s="12">
        <f>F8-D9</f>
        <v>430000</v>
      </c>
    </row>
    <row r="10" spans="1:6" x14ac:dyDescent="0.35">
      <c r="A10" s="95">
        <v>44961</v>
      </c>
      <c r="B10" s="11">
        <v>1760</v>
      </c>
      <c r="C10" s="11" t="s">
        <v>403</v>
      </c>
      <c r="D10" s="12">
        <v>10000</v>
      </c>
      <c r="E10" s="12">
        <f t="shared" ref="E10:E47" si="0">SUM(E9+D10)</f>
        <v>130000</v>
      </c>
      <c r="F10" s="12">
        <f t="shared" ref="F10:F47" si="1">F9-D10</f>
        <v>420000</v>
      </c>
    </row>
    <row r="11" spans="1:6" x14ac:dyDescent="0.35">
      <c r="A11" s="95">
        <v>45082</v>
      </c>
      <c r="B11" s="11">
        <v>1470</v>
      </c>
      <c r="C11" s="11" t="s">
        <v>403</v>
      </c>
      <c r="D11" s="12">
        <v>10000</v>
      </c>
      <c r="E11" s="12">
        <f t="shared" si="0"/>
        <v>140000</v>
      </c>
      <c r="F11" s="12">
        <f t="shared" si="1"/>
        <v>410000</v>
      </c>
    </row>
    <row r="12" spans="1:6" x14ac:dyDescent="0.35">
      <c r="A12" s="95">
        <v>45022</v>
      </c>
      <c r="B12" s="11">
        <v>262</v>
      </c>
      <c r="C12" s="11" t="s">
        <v>403</v>
      </c>
      <c r="D12" s="12">
        <v>10000</v>
      </c>
      <c r="E12" s="12">
        <f t="shared" si="0"/>
        <v>150000</v>
      </c>
      <c r="F12" s="12">
        <f t="shared" si="1"/>
        <v>400000</v>
      </c>
    </row>
    <row r="13" spans="1:6" x14ac:dyDescent="0.35">
      <c r="A13" s="95">
        <v>45145</v>
      </c>
      <c r="B13" s="11">
        <v>2181</v>
      </c>
      <c r="C13" s="11" t="s">
        <v>403</v>
      </c>
      <c r="D13" s="12">
        <v>10000</v>
      </c>
      <c r="E13" s="12">
        <f t="shared" si="0"/>
        <v>160000</v>
      </c>
      <c r="F13" s="12">
        <f t="shared" si="1"/>
        <v>390000</v>
      </c>
    </row>
    <row r="14" spans="1:6" x14ac:dyDescent="0.35">
      <c r="A14" s="95">
        <v>45054</v>
      </c>
      <c r="B14" s="11">
        <v>2226</v>
      </c>
      <c r="C14" s="11" t="s">
        <v>403</v>
      </c>
      <c r="D14" s="12">
        <v>10000</v>
      </c>
      <c r="E14" s="12">
        <f t="shared" si="0"/>
        <v>170000</v>
      </c>
      <c r="F14" s="12">
        <f t="shared" si="1"/>
        <v>380000</v>
      </c>
    </row>
    <row r="15" spans="1:6" x14ac:dyDescent="0.35">
      <c r="A15" s="95">
        <v>45178</v>
      </c>
      <c r="B15" s="11">
        <v>3453</v>
      </c>
      <c r="C15" s="11" t="s">
        <v>403</v>
      </c>
      <c r="D15" s="12">
        <v>10000</v>
      </c>
      <c r="E15" s="12">
        <f t="shared" si="0"/>
        <v>180000</v>
      </c>
      <c r="F15" s="12">
        <f t="shared" si="1"/>
        <v>370000</v>
      </c>
    </row>
    <row r="16" spans="1:6" x14ac:dyDescent="0.35">
      <c r="A16" s="95">
        <v>45117</v>
      </c>
      <c r="B16" s="11">
        <v>4037</v>
      </c>
      <c r="C16" s="11" t="s">
        <v>403</v>
      </c>
      <c r="D16" s="12">
        <v>10000</v>
      </c>
      <c r="E16" s="12">
        <f t="shared" si="0"/>
        <v>190000</v>
      </c>
      <c r="F16" s="12">
        <f t="shared" si="1"/>
        <v>360000</v>
      </c>
    </row>
    <row r="17" spans="1:6" x14ac:dyDescent="0.35">
      <c r="A17" s="95">
        <v>45027</v>
      </c>
      <c r="B17" s="11">
        <v>4615</v>
      </c>
      <c r="C17" s="11" t="s">
        <v>403</v>
      </c>
      <c r="D17" s="12">
        <v>10000</v>
      </c>
      <c r="E17" s="12">
        <f t="shared" si="0"/>
        <v>200000</v>
      </c>
      <c r="F17" s="12">
        <f t="shared" si="1"/>
        <v>350000</v>
      </c>
    </row>
    <row r="18" spans="1:6" x14ac:dyDescent="0.35">
      <c r="A18" s="95">
        <v>45089</v>
      </c>
      <c r="B18" s="11">
        <v>5317</v>
      </c>
      <c r="C18" s="11" t="s">
        <v>403</v>
      </c>
      <c r="D18" s="12">
        <v>10000</v>
      </c>
      <c r="E18" s="12">
        <f t="shared" si="0"/>
        <v>210000</v>
      </c>
      <c r="F18" s="12">
        <f t="shared" si="1"/>
        <v>340000</v>
      </c>
    </row>
    <row r="19" spans="1:6" x14ac:dyDescent="0.35">
      <c r="A19" s="95">
        <v>45078</v>
      </c>
      <c r="B19" s="11">
        <v>5913</v>
      </c>
      <c r="C19" s="11" t="s">
        <v>403</v>
      </c>
      <c r="D19" s="12">
        <v>10000</v>
      </c>
      <c r="E19" s="12">
        <f t="shared" si="0"/>
        <v>220000</v>
      </c>
      <c r="F19" s="12">
        <f t="shared" si="1"/>
        <v>330000</v>
      </c>
    </row>
    <row r="20" spans="1:6" x14ac:dyDescent="0.35">
      <c r="A20" s="95">
        <v>45567</v>
      </c>
      <c r="B20" s="11">
        <v>7006</v>
      </c>
      <c r="C20" s="11" t="s">
        <v>403</v>
      </c>
      <c r="D20" s="12">
        <v>10000</v>
      </c>
      <c r="E20" s="12">
        <f t="shared" si="0"/>
        <v>230000</v>
      </c>
      <c r="F20" s="12">
        <f t="shared" si="1"/>
        <v>320000</v>
      </c>
    </row>
    <row r="21" spans="1:6" x14ac:dyDescent="0.35">
      <c r="A21" s="95">
        <v>45538</v>
      </c>
      <c r="B21" s="11">
        <v>6956</v>
      </c>
      <c r="C21" s="11" t="s">
        <v>403</v>
      </c>
      <c r="D21" s="12">
        <v>10000</v>
      </c>
      <c r="E21" s="12">
        <f t="shared" si="0"/>
        <v>240000</v>
      </c>
      <c r="F21" s="12">
        <f t="shared" si="1"/>
        <v>310000</v>
      </c>
    </row>
    <row r="22" spans="1:6" x14ac:dyDescent="0.35">
      <c r="A22" s="95">
        <v>45447</v>
      </c>
      <c r="B22" s="11">
        <v>7697</v>
      </c>
      <c r="C22" s="11" t="s">
        <v>403</v>
      </c>
      <c r="D22" s="12">
        <v>10000</v>
      </c>
      <c r="E22" s="12">
        <f t="shared" si="0"/>
        <v>250000</v>
      </c>
      <c r="F22" s="12">
        <f t="shared" si="1"/>
        <v>300000</v>
      </c>
    </row>
    <row r="23" spans="1:6" x14ac:dyDescent="0.35">
      <c r="A23" s="95">
        <v>45387</v>
      </c>
      <c r="B23" s="11">
        <v>8202</v>
      </c>
      <c r="C23" s="11" t="s">
        <v>403</v>
      </c>
      <c r="D23" s="12">
        <v>10000</v>
      </c>
      <c r="E23" s="12">
        <f t="shared" si="0"/>
        <v>260000</v>
      </c>
      <c r="F23" s="12">
        <f t="shared" si="1"/>
        <v>290000</v>
      </c>
    </row>
    <row r="24" spans="1:6" x14ac:dyDescent="0.35">
      <c r="A24" s="95">
        <v>45510</v>
      </c>
      <c r="B24" s="11">
        <v>8888</v>
      </c>
      <c r="C24" s="11" t="s">
        <v>403</v>
      </c>
      <c r="D24" s="12">
        <v>10000</v>
      </c>
      <c r="E24" s="12">
        <f t="shared" si="0"/>
        <v>270000</v>
      </c>
      <c r="F24" s="12">
        <f t="shared" si="1"/>
        <v>280000</v>
      </c>
    </row>
    <row r="25" spans="1:6" x14ac:dyDescent="0.35">
      <c r="A25" s="95">
        <v>45450</v>
      </c>
      <c r="B25" s="11">
        <v>336</v>
      </c>
      <c r="C25" s="11" t="s">
        <v>403</v>
      </c>
      <c r="D25" s="12">
        <v>10000</v>
      </c>
      <c r="E25" s="12">
        <f t="shared" si="0"/>
        <v>280000</v>
      </c>
      <c r="F25" s="12">
        <f t="shared" si="1"/>
        <v>270000</v>
      </c>
    </row>
    <row r="26" spans="1:6" x14ac:dyDescent="0.35">
      <c r="A26" s="95">
        <v>45390</v>
      </c>
      <c r="B26" s="11">
        <v>337</v>
      </c>
      <c r="C26" s="11" t="s">
        <v>403</v>
      </c>
      <c r="D26" s="12">
        <v>10000</v>
      </c>
      <c r="E26" s="12">
        <f t="shared" si="0"/>
        <v>290000</v>
      </c>
      <c r="F26" s="12">
        <f t="shared" si="1"/>
        <v>260000</v>
      </c>
    </row>
    <row r="27" spans="1:6" x14ac:dyDescent="0.35">
      <c r="A27" s="95">
        <v>45360</v>
      </c>
      <c r="B27" s="11">
        <v>10500</v>
      </c>
      <c r="C27" s="11" t="s">
        <v>403</v>
      </c>
      <c r="D27" s="12">
        <v>10000</v>
      </c>
      <c r="E27" s="12">
        <f t="shared" si="0"/>
        <v>300000</v>
      </c>
      <c r="F27" s="12">
        <f t="shared" si="1"/>
        <v>250000</v>
      </c>
    </row>
    <row r="28" spans="1:6" x14ac:dyDescent="0.35">
      <c r="A28" s="95">
        <v>45361</v>
      </c>
      <c r="B28" s="11">
        <v>330</v>
      </c>
      <c r="C28" s="11" t="s">
        <v>403</v>
      </c>
      <c r="D28" s="12">
        <v>10000</v>
      </c>
      <c r="E28" s="12">
        <f t="shared" si="0"/>
        <v>310000</v>
      </c>
      <c r="F28" s="12">
        <f t="shared" si="1"/>
        <v>240000</v>
      </c>
    </row>
    <row r="29" spans="1:6" x14ac:dyDescent="0.35">
      <c r="A29" s="95">
        <v>45393</v>
      </c>
      <c r="B29" s="11">
        <v>12356</v>
      </c>
      <c r="C29" s="11" t="s">
        <v>403</v>
      </c>
      <c r="D29" s="12">
        <v>10000</v>
      </c>
      <c r="E29" s="12">
        <f t="shared" si="0"/>
        <v>320000</v>
      </c>
      <c r="F29" s="12">
        <f t="shared" si="1"/>
        <v>230000</v>
      </c>
    </row>
    <row r="30" spans="1:6" x14ac:dyDescent="0.35">
      <c r="A30" s="95">
        <v>45334</v>
      </c>
      <c r="B30" s="11">
        <v>12356</v>
      </c>
      <c r="C30" s="11" t="s">
        <v>403</v>
      </c>
      <c r="D30" s="12">
        <v>10000</v>
      </c>
      <c r="E30" s="12">
        <f t="shared" si="0"/>
        <v>330000</v>
      </c>
      <c r="F30" s="12">
        <f t="shared" si="1"/>
        <v>220000</v>
      </c>
    </row>
    <row r="31" spans="1:6" x14ac:dyDescent="0.35">
      <c r="A31" s="95">
        <v>45689</v>
      </c>
      <c r="B31" s="11">
        <v>12356</v>
      </c>
      <c r="C31" s="11" t="s">
        <v>403</v>
      </c>
      <c r="D31" s="12">
        <v>10000</v>
      </c>
      <c r="E31" s="12">
        <f t="shared" si="0"/>
        <v>340000</v>
      </c>
      <c r="F31" s="12">
        <f t="shared" si="1"/>
        <v>210000</v>
      </c>
    </row>
    <row r="32" spans="1:6" x14ac:dyDescent="0.35">
      <c r="A32" s="95">
        <v>45718</v>
      </c>
      <c r="B32" s="11">
        <v>12356</v>
      </c>
      <c r="C32" s="11" t="s">
        <v>403</v>
      </c>
      <c r="D32" s="12">
        <v>10000</v>
      </c>
      <c r="E32" s="12">
        <f t="shared" si="0"/>
        <v>350000</v>
      </c>
      <c r="F32" s="12">
        <f t="shared" si="1"/>
        <v>200000</v>
      </c>
    </row>
    <row r="33" spans="1:6" x14ac:dyDescent="0.35">
      <c r="A33" s="95">
        <v>45691</v>
      </c>
      <c r="B33" s="11">
        <v>12356</v>
      </c>
      <c r="C33" s="11" t="s">
        <v>403</v>
      </c>
      <c r="D33" s="12">
        <v>10000</v>
      </c>
      <c r="E33" s="12">
        <f t="shared" si="0"/>
        <v>360000</v>
      </c>
      <c r="F33" s="12">
        <f t="shared" si="1"/>
        <v>190000</v>
      </c>
    </row>
    <row r="34" spans="1:6" x14ac:dyDescent="0.35">
      <c r="A34" s="95">
        <v>45812</v>
      </c>
      <c r="B34" s="11">
        <v>12356</v>
      </c>
      <c r="C34" s="11" t="s">
        <v>403</v>
      </c>
      <c r="D34" s="12">
        <v>10000</v>
      </c>
      <c r="E34" s="12">
        <f t="shared" si="0"/>
        <v>370000</v>
      </c>
      <c r="F34" s="12">
        <f t="shared" si="1"/>
        <v>180000</v>
      </c>
    </row>
    <row r="35" spans="1:6" x14ac:dyDescent="0.35">
      <c r="A35" s="95">
        <v>45721</v>
      </c>
      <c r="B35" s="11">
        <v>12356</v>
      </c>
      <c r="C35" s="11" t="s">
        <v>403</v>
      </c>
      <c r="D35" s="12">
        <v>10000</v>
      </c>
      <c r="E35" s="12">
        <f t="shared" si="0"/>
        <v>380000</v>
      </c>
      <c r="F35" s="12">
        <f t="shared" si="1"/>
        <v>170000</v>
      </c>
    </row>
    <row r="36" spans="1:6" x14ac:dyDescent="0.35">
      <c r="A36" s="95">
        <v>45753</v>
      </c>
      <c r="B36" s="11">
        <v>12356</v>
      </c>
      <c r="C36" s="11" t="s">
        <v>403</v>
      </c>
      <c r="D36" s="12">
        <v>10000</v>
      </c>
      <c r="E36" s="12">
        <f t="shared" si="0"/>
        <v>390000</v>
      </c>
      <c r="F36" s="12">
        <f t="shared" si="1"/>
        <v>160000</v>
      </c>
    </row>
    <row r="37" spans="1:6" x14ac:dyDescent="0.35">
      <c r="A37" s="95">
        <v>45876</v>
      </c>
      <c r="B37" s="11">
        <v>12356</v>
      </c>
      <c r="C37" s="11" t="s">
        <v>403</v>
      </c>
      <c r="D37" s="12">
        <v>10000</v>
      </c>
      <c r="E37" s="12">
        <f t="shared" si="0"/>
        <v>400000</v>
      </c>
      <c r="F37" s="12">
        <f t="shared" si="1"/>
        <v>150000</v>
      </c>
    </row>
    <row r="38" spans="1:6" x14ac:dyDescent="0.35">
      <c r="A38" s="95">
        <v>45696</v>
      </c>
      <c r="B38" s="11">
        <v>12355</v>
      </c>
      <c r="C38" s="11" t="s">
        <v>403</v>
      </c>
      <c r="D38" s="12">
        <v>10000</v>
      </c>
      <c r="E38" s="12">
        <f t="shared" si="0"/>
        <v>410000</v>
      </c>
      <c r="F38" s="12">
        <f t="shared" si="1"/>
        <v>140000</v>
      </c>
    </row>
    <row r="39" spans="1:6" x14ac:dyDescent="0.35">
      <c r="A39" s="95">
        <v>45666</v>
      </c>
      <c r="B39" s="11">
        <v>12597</v>
      </c>
      <c r="C39" s="11" t="s">
        <v>403</v>
      </c>
      <c r="D39" s="12">
        <v>10000</v>
      </c>
      <c r="E39" s="12">
        <f t="shared" si="0"/>
        <v>420000</v>
      </c>
      <c r="F39" s="12">
        <f t="shared" si="1"/>
        <v>130000</v>
      </c>
    </row>
    <row r="40" spans="1:6" x14ac:dyDescent="0.35">
      <c r="A40" s="95">
        <v>45698</v>
      </c>
      <c r="B40" s="11">
        <v>13858</v>
      </c>
      <c r="C40" s="11" t="s">
        <v>403</v>
      </c>
      <c r="D40" s="12">
        <v>10000</v>
      </c>
      <c r="E40" s="12">
        <f t="shared" si="0"/>
        <v>430000</v>
      </c>
      <c r="F40" s="12">
        <f t="shared" si="1"/>
        <v>120000</v>
      </c>
    </row>
    <row r="41" spans="1:6" x14ac:dyDescent="0.35">
      <c r="A41" s="95">
        <v>45699</v>
      </c>
      <c r="B41" s="11">
        <v>13418</v>
      </c>
      <c r="C41" s="11" t="s">
        <v>403</v>
      </c>
      <c r="D41" s="12">
        <v>10000</v>
      </c>
      <c r="E41" s="12">
        <f t="shared" si="0"/>
        <v>440000</v>
      </c>
      <c r="F41" s="12">
        <f t="shared" si="1"/>
        <v>110000</v>
      </c>
    </row>
    <row r="42" spans="1:6" x14ac:dyDescent="0.35">
      <c r="A42" s="95">
        <v>45700</v>
      </c>
      <c r="B42" s="11">
        <v>13263</v>
      </c>
      <c r="C42" s="11" t="s">
        <v>403</v>
      </c>
      <c r="D42" s="12">
        <v>10000</v>
      </c>
      <c r="E42" s="12">
        <f t="shared" si="0"/>
        <v>450000</v>
      </c>
      <c r="F42" s="12">
        <f t="shared" si="1"/>
        <v>100000</v>
      </c>
    </row>
    <row r="43" spans="1:6" x14ac:dyDescent="0.35">
      <c r="A43" s="95">
        <v>46113</v>
      </c>
      <c r="B43" s="11">
        <v>13885</v>
      </c>
      <c r="C43" s="11" t="s">
        <v>403</v>
      </c>
      <c r="D43" s="12">
        <v>10000</v>
      </c>
      <c r="E43" s="12">
        <f t="shared" si="0"/>
        <v>460000</v>
      </c>
      <c r="F43" s="12">
        <f t="shared" si="1"/>
        <v>90000</v>
      </c>
    </row>
    <row r="44" spans="1:6" x14ac:dyDescent="0.35">
      <c r="A44" s="95">
        <v>46024</v>
      </c>
      <c r="B44" s="11">
        <v>13284</v>
      </c>
      <c r="C44" s="11" t="s">
        <v>403</v>
      </c>
      <c r="D44" s="12">
        <v>10000</v>
      </c>
      <c r="E44" s="12">
        <f t="shared" si="0"/>
        <v>470000</v>
      </c>
      <c r="F44" s="12">
        <f t="shared" si="1"/>
        <v>80000</v>
      </c>
    </row>
    <row r="45" spans="1:6" x14ac:dyDescent="0.35">
      <c r="A45" s="95">
        <v>46025</v>
      </c>
      <c r="B45" s="11">
        <v>12303</v>
      </c>
      <c r="C45" s="11" t="s">
        <v>403</v>
      </c>
      <c r="D45" s="12">
        <v>10000</v>
      </c>
      <c r="E45" s="12">
        <f t="shared" si="0"/>
        <v>480000</v>
      </c>
      <c r="F45" s="12">
        <f t="shared" si="1"/>
        <v>70000</v>
      </c>
    </row>
    <row r="46" spans="1:6" x14ac:dyDescent="0.35">
      <c r="A46" s="95">
        <v>46146</v>
      </c>
      <c r="B46" s="11">
        <v>12711</v>
      </c>
      <c r="C46" s="11" t="s">
        <v>403</v>
      </c>
      <c r="D46" s="12">
        <v>10000</v>
      </c>
      <c r="E46" s="12">
        <f t="shared" si="0"/>
        <v>490000</v>
      </c>
      <c r="F46" s="12">
        <f t="shared" si="1"/>
        <v>60000</v>
      </c>
    </row>
    <row r="47" spans="1:6" x14ac:dyDescent="0.35">
      <c r="A47" s="95">
        <v>46086</v>
      </c>
      <c r="B47" s="11">
        <v>12916</v>
      </c>
      <c r="C47" s="11" t="s">
        <v>403</v>
      </c>
      <c r="D47" s="12">
        <v>10000</v>
      </c>
      <c r="E47" s="12">
        <f t="shared" si="0"/>
        <v>500000</v>
      </c>
      <c r="F47" s="12">
        <f t="shared" si="1"/>
        <v>50000</v>
      </c>
    </row>
    <row r="48" spans="1:6" x14ac:dyDescent="0.35">
      <c r="A48" s="95">
        <v>46059</v>
      </c>
      <c r="B48" s="11">
        <v>13494</v>
      </c>
      <c r="C48" s="11" t="s">
        <v>403</v>
      </c>
      <c r="D48" s="12">
        <v>10000</v>
      </c>
      <c r="E48" s="12">
        <f>E47+D48</f>
        <v>510000</v>
      </c>
      <c r="F48" s="12">
        <f>F47-D48</f>
        <v>40000</v>
      </c>
    </row>
    <row r="49" spans="1:6" x14ac:dyDescent="0.35">
      <c r="A49" s="95">
        <v>46060</v>
      </c>
      <c r="B49" s="11">
        <v>1362</v>
      </c>
      <c r="C49" s="11" t="s">
        <v>403</v>
      </c>
      <c r="D49" s="12">
        <v>10000</v>
      </c>
      <c r="E49" s="12">
        <f>E48+D49</f>
        <v>520000</v>
      </c>
      <c r="F49" s="12">
        <f>F48-D49</f>
        <v>30000</v>
      </c>
    </row>
    <row r="50" spans="1:6" x14ac:dyDescent="0.35">
      <c r="A50" s="95">
        <v>46150</v>
      </c>
      <c r="B50" s="11">
        <v>1641</v>
      </c>
      <c r="C50" s="11" t="s">
        <v>403</v>
      </c>
      <c r="D50" s="12">
        <v>10000</v>
      </c>
      <c r="E50" s="12">
        <f>E49+D50</f>
        <v>530000</v>
      </c>
      <c r="F50" s="12">
        <f>F49-D50</f>
        <v>20000</v>
      </c>
    </row>
    <row r="51" spans="1:6" x14ac:dyDescent="0.35">
      <c r="A51" s="95">
        <v>46062</v>
      </c>
      <c r="B51" s="11">
        <v>1883</v>
      </c>
      <c r="C51" s="11" t="s">
        <v>403</v>
      </c>
      <c r="D51" s="12">
        <v>10000</v>
      </c>
      <c r="E51" s="12">
        <f>E50+D51</f>
        <v>540000</v>
      </c>
      <c r="F51" s="12">
        <f>F50-D51</f>
        <v>10000</v>
      </c>
    </row>
    <row r="52" spans="1:6" x14ac:dyDescent="0.35">
      <c r="A52" s="95">
        <v>46183</v>
      </c>
      <c r="B52" s="11">
        <v>2169</v>
      </c>
      <c r="C52" s="11" t="s">
        <v>403</v>
      </c>
      <c r="D52" s="12">
        <v>10000</v>
      </c>
      <c r="E52" s="12">
        <f>E51+D52</f>
        <v>550000</v>
      </c>
      <c r="F52" s="12">
        <f>F51-D52</f>
        <v>0</v>
      </c>
    </row>
    <row r="53" spans="1:6" x14ac:dyDescent="0.35">
      <c r="A53" s="21"/>
    </row>
    <row r="54" spans="1:6" x14ac:dyDescent="0.35">
      <c r="A54" s="2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8" sqref="A8:F8"/>
    </sheetView>
  </sheetViews>
  <sheetFormatPr defaultRowHeight="14.5" x14ac:dyDescent="0.35"/>
  <sheetData>
    <row r="1" spans="1:7" x14ac:dyDescent="0.35">
      <c r="A1" t="s">
        <v>483</v>
      </c>
      <c r="B1" t="s">
        <v>508</v>
      </c>
    </row>
    <row r="2" spans="1:7" x14ac:dyDescent="0.35">
      <c r="A2" t="s">
        <v>484</v>
      </c>
      <c r="B2" t="s">
        <v>509</v>
      </c>
    </row>
    <row r="3" spans="1:7" x14ac:dyDescent="0.35">
      <c r="A3" t="s">
        <v>486</v>
      </c>
      <c r="B3" t="s">
        <v>510</v>
      </c>
    </row>
    <row r="4" spans="1:7" x14ac:dyDescent="0.35">
      <c r="A4" t="s">
        <v>485</v>
      </c>
      <c r="B4" t="s">
        <v>511</v>
      </c>
    </row>
    <row r="5" spans="1:7" x14ac:dyDescent="0.35">
      <c r="A5" t="s">
        <v>505</v>
      </c>
      <c r="B5" t="s">
        <v>507</v>
      </c>
    </row>
    <row r="6" spans="1:7" x14ac:dyDescent="0.35">
      <c r="A6" t="s">
        <v>506</v>
      </c>
      <c r="B6">
        <v>5102</v>
      </c>
    </row>
    <row r="7" spans="1:7" x14ac:dyDescent="0.35">
      <c r="F7" t="s">
        <v>514</v>
      </c>
      <c r="G7" s="16">
        <v>450000</v>
      </c>
    </row>
    <row r="8" spans="1:7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7" x14ac:dyDescent="0.35">
      <c r="A9" t="s">
        <v>512</v>
      </c>
      <c r="B9">
        <v>9070</v>
      </c>
      <c r="C9" t="s">
        <v>513</v>
      </c>
      <c r="D9" s="16">
        <v>450000</v>
      </c>
      <c r="E9" s="16">
        <v>450000</v>
      </c>
      <c r="F9" t="s">
        <v>496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483</v>
      </c>
      <c r="B1" t="s">
        <v>509</v>
      </c>
    </row>
    <row r="2" spans="1:6" x14ac:dyDescent="0.35">
      <c r="A2" t="s">
        <v>484</v>
      </c>
      <c r="B2" t="s">
        <v>526</v>
      </c>
    </row>
    <row r="3" spans="1:6" x14ac:dyDescent="0.35">
      <c r="A3" t="s">
        <v>486</v>
      </c>
      <c r="B3" t="s">
        <v>527</v>
      </c>
    </row>
    <row r="4" spans="1:6" x14ac:dyDescent="0.35">
      <c r="A4" t="s">
        <v>485</v>
      </c>
      <c r="B4" t="s">
        <v>528</v>
      </c>
    </row>
    <row r="5" spans="1:6" x14ac:dyDescent="0.35">
      <c r="A5" t="s">
        <v>487</v>
      </c>
      <c r="B5" t="s">
        <v>515</v>
      </c>
    </row>
    <row r="6" spans="1:6" x14ac:dyDescent="0.35">
      <c r="A6" t="s">
        <v>488</v>
      </c>
      <c r="B6">
        <v>5101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516</v>
      </c>
      <c r="B9">
        <v>191</v>
      </c>
      <c r="C9" t="s">
        <v>523</v>
      </c>
      <c r="D9" s="16">
        <v>20000</v>
      </c>
      <c r="E9" s="16">
        <v>20000</v>
      </c>
      <c r="F9" s="16">
        <v>268000</v>
      </c>
    </row>
    <row r="10" spans="1:6" x14ac:dyDescent="0.35">
      <c r="A10" t="s">
        <v>517</v>
      </c>
      <c r="B10">
        <v>366</v>
      </c>
      <c r="C10" t="s">
        <v>524</v>
      </c>
      <c r="D10" s="16">
        <v>80000</v>
      </c>
      <c r="E10" s="16">
        <f t="shared" ref="E10:E16" si="0">E9+D10</f>
        <v>100000</v>
      </c>
      <c r="F10" s="16">
        <f t="shared" ref="F10:F16" si="1">F9-D10</f>
        <v>188000</v>
      </c>
    </row>
    <row r="11" spans="1:6" x14ac:dyDescent="0.35">
      <c r="A11" t="s">
        <v>518</v>
      </c>
      <c r="B11">
        <v>363</v>
      </c>
      <c r="C11" t="s">
        <v>523</v>
      </c>
      <c r="D11" s="16">
        <v>20000</v>
      </c>
      <c r="E11" s="16">
        <f t="shared" si="0"/>
        <v>120000</v>
      </c>
      <c r="F11" s="16">
        <f t="shared" si="1"/>
        <v>168000</v>
      </c>
    </row>
    <row r="12" spans="1:6" x14ac:dyDescent="0.35">
      <c r="A12" t="s">
        <v>519</v>
      </c>
      <c r="B12">
        <v>1631</v>
      </c>
      <c r="C12" t="s">
        <v>523</v>
      </c>
      <c r="D12" s="16">
        <v>10000</v>
      </c>
      <c r="E12" s="16">
        <f t="shared" si="0"/>
        <v>130000</v>
      </c>
      <c r="F12" s="16">
        <f t="shared" si="1"/>
        <v>158000</v>
      </c>
    </row>
    <row r="13" spans="1:6" x14ac:dyDescent="0.35">
      <c r="A13" t="s">
        <v>520</v>
      </c>
      <c r="B13">
        <v>737</v>
      </c>
      <c r="C13" t="s">
        <v>523</v>
      </c>
      <c r="D13" s="16">
        <v>10000</v>
      </c>
      <c r="E13" s="16">
        <f t="shared" si="0"/>
        <v>140000</v>
      </c>
      <c r="F13" s="16">
        <f t="shared" si="1"/>
        <v>148000</v>
      </c>
    </row>
    <row r="14" spans="1:6" x14ac:dyDescent="0.35">
      <c r="A14" t="s">
        <v>521</v>
      </c>
      <c r="B14">
        <v>2147</v>
      </c>
      <c r="C14" t="s">
        <v>523</v>
      </c>
      <c r="D14" s="16">
        <v>10000</v>
      </c>
      <c r="E14" s="16">
        <f t="shared" si="0"/>
        <v>150000</v>
      </c>
      <c r="F14" s="16">
        <f t="shared" si="1"/>
        <v>138000</v>
      </c>
    </row>
    <row r="15" spans="1:6" x14ac:dyDescent="0.35">
      <c r="A15" t="s">
        <v>521</v>
      </c>
      <c r="B15">
        <v>2148</v>
      </c>
      <c r="C15" t="s">
        <v>523</v>
      </c>
      <c r="D15" s="16">
        <v>10000</v>
      </c>
      <c r="E15" s="16">
        <f t="shared" si="0"/>
        <v>160000</v>
      </c>
      <c r="F15" s="16">
        <f t="shared" si="1"/>
        <v>128000</v>
      </c>
    </row>
    <row r="16" spans="1:6" x14ac:dyDescent="0.35">
      <c r="A16" t="s">
        <v>522</v>
      </c>
      <c r="B16">
        <v>3190</v>
      </c>
      <c r="C16" t="s">
        <v>525</v>
      </c>
      <c r="D16" s="16">
        <v>128000</v>
      </c>
      <c r="E16" s="16">
        <f t="shared" si="0"/>
        <v>288000</v>
      </c>
      <c r="F16" s="16">
        <f t="shared" si="1"/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16" sqref="B16"/>
    </sheetView>
  </sheetViews>
  <sheetFormatPr defaultRowHeight="14.5" x14ac:dyDescent="0.35"/>
  <sheetData>
    <row r="1" spans="1:6" x14ac:dyDescent="0.35">
      <c r="A1" t="s">
        <v>531</v>
      </c>
      <c r="B1" t="s">
        <v>533</v>
      </c>
    </row>
    <row r="2" spans="1:6" x14ac:dyDescent="0.35">
      <c r="A2" t="s">
        <v>484</v>
      </c>
      <c r="B2" t="s">
        <v>534</v>
      </c>
    </row>
    <row r="3" spans="1:6" x14ac:dyDescent="0.35">
      <c r="A3" t="s">
        <v>486</v>
      </c>
      <c r="B3" t="s">
        <v>535</v>
      </c>
    </row>
    <row r="4" spans="1:6" x14ac:dyDescent="0.35">
      <c r="A4" t="s">
        <v>485</v>
      </c>
      <c r="B4" t="s">
        <v>536</v>
      </c>
    </row>
    <row r="5" spans="1:6" x14ac:dyDescent="0.35">
      <c r="A5" t="s">
        <v>532</v>
      </c>
      <c r="B5" t="s">
        <v>537</v>
      </c>
    </row>
    <row r="6" spans="1:6" x14ac:dyDescent="0.35">
      <c r="A6" t="s">
        <v>488</v>
      </c>
      <c r="B6">
        <v>5104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538</v>
      </c>
      <c r="B9">
        <v>7996</v>
      </c>
      <c r="C9" t="s">
        <v>513</v>
      </c>
      <c r="D9" s="16">
        <v>400000</v>
      </c>
      <c r="E9" s="16">
        <v>400000</v>
      </c>
      <c r="F9" t="s">
        <v>496</v>
      </c>
    </row>
    <row r="12" spans="1:6" x14ac:dyDescent="0.35">
      <c r="A12" t="s">
        <v>269</v>
      </c>
    </row>
    <row r="15" spans="1:6" x14ac:dyDescent="0.35">
      <c r="A15" s="50" t="s">
        <v>0</v>
      </c>
      <c r="B15" s="43" t="s">
        <v>1</v>
      </c>
      <c r="C15" s="43" t="s">
        <v>2</v>
      </c>
      <c r="D15" s="41" t="s">
        <v>3</v>
      </c>
      <c r="E15" s="41" t="s">
        <v>4</v>
      </c>
      <c r="F15" s="42" t="s">
        <v>5</v>
      </c>
    </row>
    <row r="16" spans="1:6" x14ac:dyDescent="0.35">
      <c r="A16" t="s">
        <v>817</v>
      </c>
      <c r="B16">
        <v>2195</v>
      </c>
      <c r="C16" t="s">
        <v>818</v>
      </c>
      <c r="D16" s="16">
        <v>150000</v>
      </c>
      <c r="E16" s="16">
        <v>235000</v>
      </c>
      <c r="F16" t="s">
        <v>541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4" sqref="A14:G15"/>
    </sheetView>
  </sheetViews>
  <sheetFormatPr defaultRowHeight="14.5" x14ac:dyDescent="0.35"/>
  <sheetData>
    <row r="1" spans="1:6" x14ac:dyDescent="0.35">
      <c r="A1" t="s">
        <v>531</v>
      </c>
      <c r="B1" t="s">
        <v>533</v>
      </c>
    </row>
    <row r="2" spans="1:6" x14ac:dyDescent="0.35">
      <c r="A2" t="s">
        <v>484</v>
      </c>
      <c r="B2" t="s">
        <v>534</v>
      </c>
    </row>
    <row r="3" spans="1:6" x14ac:dyDescent="0.35">
      <c r="A3" t="s">
        <v>486</v>
      </c>
      <c r="B3" t="s">
        <v>535</v>
      </c>
    </row>
    <row r="4" spans="1:6" x14ac:dyDescent="0.35">
      <c r="A4" t="s">
        <v>485</v>
      </c>
      <c r="B4" t="s">
        <v>536</v>
      </c>
    </row>
    <row r="5" spans="1:6" x14ac:dyDescent="0.35">
      <c r="A5" t="s">
        <v>532</v>
      </c>
      <c r="B5" t="s">
        <v>539</v>
      </c>
    </row>
    <row r="6" spans="1:6" x14ac:dyDescent="0.35">
      <c r="A6" t="s">
        <v>488</v>
      </c>
      <c r="B6">
        <v>5103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538</v>
      </c>
      <c r="B9">
        <v>9977</v>
      </c>
      <c r="C9" t="s">
        <v>540</v>
      </c>
      <c r="D9" s="16">
        <v>400000</v>
      </c>
      <c r="E9" s="16">
        <v>400000</v>
      </c>
      <c r="F9" t="s">
        <v>541</v>
      </c>
    </row>
    <row r="12" spans="1:6" x14ac:dyDescent="0.35">
      <c r="A12" t="s">
        <v>542</v>
      </c>
    </row>
    <row r="14" spans="1:6" x14ac:dyDescent="0.35">
      <c r="A14" s="50" t="s">
        <v>0</v>
      </c>
      <c r="B14" s="43" t="s">
        <v>1</v>
      </c>
      <c r="C14" s="43" t="s">
        <v>2</v>
      </c>
      <c r="D14" s="41" t="s">
        <v>3</v>
      </c>
      <c r="E14" s="41" t="s">
        <v>4</v>
      </c>
      <c r="F14" s="42" t="s">
        <v>5</v>
      </c>
    </row>
    <row r="15" spans="1:6" x14ac:dyDescent="0.35">
      <c r="A15" t="s">
        <v>817</v>
      </c>
      <c r="B15">
        <v>2194</v>
      </c>
      <c r="C15" t="s">
        <v>818</v>
      </c>
      <c r="D15" s="16">
        <v>150000</v>
      </c>
      <c r="E15" s="16">
        <v>235000</v>
      </c>
      <c r="F15" t="s">
        <v>541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13" sqref="A13:F13"/>
    </sheetView>
  </sheetViews>
  <sheetFormatPr defaultRowHeight="14.5" x14ac:dyDescent="0.35"/>
  <cols>
    <col min="1" max="1" width="12" customWidth="1"/>
    <col min="2" max="2" width="6.7265625" customWidth="1"/>
    <col min="3" max="3" width="12.54296875" customWidth="1"/>
    <col min="4" max="4" width="10.81640625" customWidth="1"/>
    <col min="5" max="5" width="10.36328125" customWidth="1"/>
    <col min="6" max="6" width="11.7265625" customWidth="1"/>
  </cols>
  <sheetData>
    <row r="1" spans="1:6" ht="18.5" x14ac:dyDescent="0.45">
      <c r="A1" s="1" t="s">
        <v>483</v>
      </c>
      <c r="B1" s="1" t="s">
        <v>545</v>
      </c>
      <c r="C1" s="1"/>
      <c r="D1" s="1"/>
    </row>
    <row r="2" spans="1:6" ht="18.5" x14ac:dyDescent="0.45">
      <c r="A2" s="1" t="s">
        <v>484</v>
      </c>
      <c r="B2" s="1" t="s">
        <v>546</v>
      </c>
      <c r="C2" s="1"/>
      <c r="D2" s="1"/>
    </row>
    <row r="3" spans="1:6" ht="18.5" x14ac:dyDescent="0.45">
      <c r="A3" s="1" t="s">
        <v>486</v>
      </c>
      <c r="B3" s="1"/>
      <c r="C3" s="1"/>
      <c r="D3" s="1"/>
    </row>
    <row r="4" spans="1:6" ht="18.5" x14ac:dyDescent="0.45">
      <c r="A4" s="1" t="s">
        <v>485</v>
      </c>
      <c r="B4" s="1" t="s">
        <v>547</v>
      </c>
      <c r="C4" s="1"/>
      <c r="D4" s="1"/>
    </row>
    <row r="5" spans="1:6" ht="18.5" x14ac:dyDescent="0.45">
      <c r="A5" s="1" t="s">
        <v>651</v>
      </c>
      <c r="B5" s="1"/>
      <c r="C5" s="1"/>
      <c r="D5" s="1"/>
    </row>
    <row r="6" spans="1:6" ht="18.5" x14ac:dyDescent="0.45">
      <c r="A6" s="1" t="s">
        <v>488</v>
      </c>
      <c r="B6" s="1">
        <v>5147</v>
      </c>
      <c r="C6" s="1"/>
      <c r="D6" s="1"/>
    </row>
    <row r="8" spans="1:6" ht="15.5" x14ac:dyDescent="0.35">
      <c r="A8" s="98" t="s">
        <v>0</v>
      </c>
      <c r="B8" s="99" t="s">
        <v>1</v>
      </c>
      <c r="C8" s="99" t="s">
        <v>2</v>
      </c>
      <c r="D8" s="100" t="s">
        <v>3</v>
      </c>
      <c r="E8" s="100" t="s">
        <v>4</v>
      </c>
      <c r="F8" s="101" t="s">
        <v>5</v>
      </c>
    </row>
    <row r="9" spans="1:6" x14ac:dyDescent="0.35">
      <c r="A9" t="s">
        <v>543</v>
      </c>
      <c r="C9" t="s">
        <v>544</v>
      </c>
    </row>
    <row r="11" spans="1:6" ht="18.5" x14ac:dyDescent="0.45">
      <c r="A11" s="1" t="s">
        <v>548</v>
      </c>
      <c r="B11" s="1"/>
      <c r="C11" s="1"/>
    </row>
    <row r="12" spans="1:6" ht="15.5" x14ac:dyDescent="0.35">
      <c r="A12" s="98" t="s">
        <v>0</v>
      </c>
      <c r="B12" s="99" t="s">
        <v>1</v>
      </c>
      <c r="C12" s="99" t="s">
        <v>2</v>
      </c>
      <c r="D12" s="100" t="s">
        <v>3</v>
      </c>
      <c r="E12" s="100" t="s">
        <v>4</v>
      </c>
      <c r="F12" s="101" t="s">
        <v>5</v>
      </c>
    </row>
    <row r="13" spans="1:6" x14ac:dyDescent="0.35">
      <c r="A13" s="11" t="s">
        <v>652</v>
      </c>
      <c r="B13" s="11">
        <v>1921</v>
      </c>
      <c r="C13" s="11" t="s">
        <v>530</v>
      </c>
      <c r="D13" s="12">
        <v>150000</v>
      </c>
      <c r="E13" s="12">
        <v>200000</v>
      </c>
      <c r="F13" s="11" t="s">
        <v>541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5" sqref="J5"/>
    </sheetView>
  </sheetViews>
  <sheetFormatPr defaultRowHeight="14.5" x14ac:dyDescent="0.35"/>
  <cols>
    <col min="1" max="1" width="10.453125" bestFit="1" customWidth="1"/>
    <col min="3" max="3" width="13.26953125" customWidth="1"/>
    <col min="4" max="4" width="13" customWidth="1"/>
    <col min="5" max="5" width="11.453125" customWidth="1"/>
    <col min="6" max="6" width="11.7265625" customWidth="1"/>
  </cols>
  <sheetData>
    <row r="1" spans="1:6" ht="18.5" x14ac:dyDescent="0.45">
      <c r="A1" s="1" t="s">
        <v>483</v>
      </c>
      <c r="B1" s="1" t="s">
        <v>545</v>
      </c>
      <c r="C1" s="1"/>
      <c r="D1" s="1"/>
    </row>
    <row r="2" spans="1:6" ht="18.5" x14ac:dyDescent="0.45">
      <c r="A2" s="1" t="s">
        <v>484</v>
      </c>
      <c r="B2" s="1" t="s">
        <v>546</v>
      </c>
      <c r="C2" s="1"/>
      <c r="D2" s="1"/>
    </row>
    <row r="3" spans="1:6" ht="18.5" x14ac:dyDescent="0.45">
      <c r="A3" s="1" t="s">
        <v>486</v>
      </c>
      <c r="B3" s="1"/>
      <c r="C3" s="1"/>
      <c r="D3" s="1"/>
    </row>
    <row r="4" spans="1:6" ht="18.5" x14ac:dyDescent="0.45">
      <c r="A4" s="1" t="s">
        <v>485</v>
      </c>
      <c r="B4" s="1" t="s">
        <v>547</v>
      </c>
      <c r="C4" s="1"/>
      <c r="D4" s="1"/>
    </row>
    <row r="5" spans="1:6" ht="18.5" x14ac:dyDescent="0.45">
      <c r="A5" s="1" t="s">
        <v>549</v>
      </c>
      <c r="B5" s="1"/>
      <c r="C5" s="1"/>
      <c r="D5" s="1"/>
    </row>
    <row r="6" spans="1:6" ht="18.5" x14ac:dyDescent="0.45">
      <c r="A6" s="1" t="s">
        <v>488</v>
      </c>
      <c r="B6" s="1">
        <v>5168</v>
      </c>
      <c r="C6" s="1"/>
      <c r="D6" s="1"/>
    </row>
    <row r="8" spans="1:6" x14ac:dyDescent="0.35">
      <c r="A8" s="96" t="s">
        <v>0</v>
      </c>
      <c r="B8" s="96" t="s">
        <v>1</v>
      </c>
      <c r="C8" s="96" t="s">
        <v>2</v>
      </c>
      <c r="D8" s="3" t="s">
        <v>3</v>
      </c>
      <c r="E8" s="3" t="s">
        <v>4</v>
      </c>
      <c r="F8" s="3" t="s">
        <v>5</v>
      </c>
    </row>
    <row r="9" spans="1:6" x14ac:dyDescent="0.35">
      <c r="A9" s="11" t="s">
        <v>550</v>
      </c>
      <c r="B9" s="11">
        <v>1386</v>
      </c>
      <c r="C9" s="11" t="s">
        <v>525</v>
      </c>
      <c r="D9" s="12">
        <v>100000</v>
      </c>
      <c r="E9" s="12">
        <v>100000</v>
      </c>
      <c r="F9" s="11" t="s">
        <v>496</v>
      </c>
    </row>
    <row r="11" spans="1:6" ht="18.5" x14ac:dyDescent="0.45">
      <c r="A11" s="1" t="s">
        <v>548</v>
      </c>
      <c r="B11" s="1"/>
      <c r="C11" s="1"/>
    </row>
    <row r="12" spans="1:6" x14ac:dyDescent="0.35">
      <c r="A12" s="50" t="s">
        <v>0</v>
      </c>
      <c r="B12" s="43" t="s">
        <v>1</v>
      </c>
      <c r="C12" s="43" t="s">
        <v>2</v>
      </c>
      <c r="D12" s="41" t="s">
        <v>3</v>
      </c>
      <c r="E12" s="41" t="s">
        <v>4</v>
      </c>
      <c r="F12" s="42" t="s">
        <v>5</v>
      </c>
    </row>
    <row r="13" spans="1:6" x14ac:dyDescent="0.35">
      <c r="A13" s="97">
        <v>45725</v>
      </c>
      <c r="B13" s="9">
        <v>3463</v>
      </c>
      <c r="C13" s="9" t="s">
        <v>530</v>
      </c>
      <c r="D13" s="9">
        <v>5000</v>
      </c>
      <c r="E13" s="9">
        <v>5000</v>
      </c>
      <c r="F13" s="10">
        <v>445000</v>
      </c>
    </row>
    <row r="14" spans="1:6" x14ac:dyDescent="0.35">
      <c r="A14" s="9" t="s">
        <v>653</v>
      </c>
      <c r="B14" s="9">
        <v>3374</v>
      </c>
      <c r="C14" s="9" t="s">
        <v>530</v>
      </c>
      <c r="D14" s="9">
        <v>5000</v>
      </c>
      <c r="E14" s="9">
        <f t="shared" ref="E14:E23" si="0">E13+D14</f>
        <v>10000</v>
      </c>
      <c r="F14" s="10">
        <f t="shared" ref="F14:F23" si="1">F13-D14</f>
        <v>440000</v>
      </c>
    </row>
    <row r="15" spans="1:6" x14ac:dyDescent="0.35">
      <c r="A15" s="9" t="s">
        <v>654</v>
      </c>
      <c r="B15" s="9">
        <v>3863</v>
      </c>
      <c r="C15" s="9" t="s">
        <v>530</v>
      </c>
      <c r="D15" s="9">
        <v>5000</v>
      </c>
      <c r="E15" s="9">
        <f t="shared" si="0"/>
        <v>15000</v>
      </c>
      <c r="F15" s="10">
        <f t="shared" si="1"/>
        <v>435000</v>
      </c>
    </row>
    <row r="16" spans="1:6" x14ac:dyDescent="0.35">
      <c r="A16" s="97">
        <v>46143</v>
      </c>
      <c r="B16" s="9">
        <v>5224</v>
      </c>
      <c r="C16" s="9" t="s">
        <v>530</v>
      </c>
      <c r="D16" s="9">
        <v>5000</v>
      </c>
      <c r="E16" s="9">
        <f t="shared" si="0"/>
        <v>20000</v>
      </c>
      <c r="F16" s="10">
        <f t="shared" si="1"/>
        <v>430000</v>
      </c>
    </row>
    <row r="17" spans="1:6" x14ac:dyDescent="0.35">
      <c r="A17" s="97">
        <v>46144</v>
      </c>
      <c r="B17" s="9">
        <v>5434</v>
      </c>
      <c r="C17" s="9" t="s">
        <v>530</v>
      </c>
      <c r="D17" s="9">
        <v>5000</v>
      </c>
      <c r="E17" s="9">
        <f t="shared" si="0"/>
        <v>25000</v>
      </c>
      <c r="F17" s="10">
        <f t="shared" si="1"/>
        <v>425000</v>
      </c>
    </row>
    <row r="18" spans="1:6" x14ac:dyDescent="0.35">
      <c r="A18" s="97">
        <v>46145</v>
      </c>
      <c r="B18" s="9">
        <v>5648</v>
      </c>
      <c r="C18" s="9" t="s">
        <v>530</v>
      </c>
      <c r="D18" s="9">
        <v>5000</v>
      </c>
      <c r="E18" s="9">
        <f t="shared" si="0"/>
        <v>30000</v>
      </c>
      <c r="F18" s="10">
        <f t="shared" si="1"/>
        <v>420000</v>
      </c>
    </row>
    <row r="19" spans="1:6" x14ac:dyDescent="0.35">
      <c r="A19" s="97">
        <v>46146</v>
      </c>
      <c r="B19" s="9">
        <v>5831</v>
      </c>
      <c r="C19" s="9" t="s">
        <v>530</v>
      </c>
      <c r="D19" s="9">
        <v>5000</v>
      </c>
      <c r="E19" s="9">
        <f t="shared" si="0"/>
        <v>35000</v>
      </c>
      <c r="F19" s="10">
        <f t="shared" si="1"/>
        <v>415000</v>
      </c>
    </row>
    <row r="20" spans="1:6" x14ac:dyDescent="0.35">
      <c r="A20" s="97">
        <v>46147</v>
      </c>
      <c r="B20" s="9">
        <v>1374</v>
      </c>
      <c r="C20" s="9" t="s">
        <v>530</v>
      </c>
      <c r="D20" s="9">
        <v>5000</v>
      </c>
      <c r="E20" s="9">
        <f t="shared" si="0"/>
        <v>40000</v>
      </c>
      <c r="F20" s="10">
        <f t="shared" si="1"/>
        <v>410000</v>
      </c>
    </row>
    <row r="21" spans="1:6" x14ac:dyDescent="0.35">
      <c r="A21" s="9" t="s">
        <v>655</v>
      </c>
      <c r="B21" s="9">
        <v>1652</v>
      </c>
      <c r="C21" s="9" t="s">
        <v>530</v>
      </c>
      <c r="D21" s="9">
        <v>5000</v>
      </c>
      <c r="E21" s="9">
        <f t="shared" si="0"/>
        <v>45000</v>
      </c>
      <c r="F21" s="10">
        <f t="shared" si="1"/>
        <v>405000</v>
      </c>
    </row>
    <row r="22" spans="1:6" x14ac:dyDescent="0.35">
      <c r="A22" s="9" t="s">
        <v>656</v>
      </c>
      <c r="B22" s="9">
        <v>1842</v>
      </c>
      <c r="C22" s="9" t="s">
        <v>530</v>
      </c>
      <c r="D22" s="9">
        <v>5000</v>
      </c>
      <c r="E22" s="9">
        <f t="shared" si="0"/>
        <v>50000</v>
      </c>
      <c r="F22" s="10">
        <f t="shared" si="1"/>
        <v>400000</v>
      </c>
    </row>
    <row r="23" spans="1:6" x14ac:dyDescent="0.35">
      <c r="A23" s="9" t="s">
        <v>652</v>
      </c>
      <c r="B23" s="9">
        <v>1928</v>
      </c>
      <c r="C23" s="9" t="s">
        <v>530</v>
      </c>
      <c r="D23" s="9">
        <v>5000</v>
      </c>
      <c r="E23" s="9">
        <f t="shared" si="0"/>
        <v>55000</v>
      </c>
      <c r="F23" s="10">
        <f t="shared" si="1"/>
        <v>395000</v>
      </c>
    </row>
    <row r="24" spans="1:6" x14ac:dyDescent="0.35">
      <c r="A24" s="97">
        <v>46336</v>
      </c>
      <c r="B24" s="9">
        <v>2203</v>
      </c>
      <c r="C24" s="9" t="s">
        <v>530</v>
      </c>
      <c r="D24" s="10">
        <v>140000</v>
      </c>
      <c r="E24" s="9">
        <f t="shared" ref="E24" si="2">E23+D24</f>
        <v>195000</v>
      </c>
      <c r="F24" s="10" t="s">
        <v>248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7" workbookViewId="0">
      <selection activeCell="A8" sqref="A8:F31"/>
    </sheetView>
  </sheetViews>
  <sheetFormatPr defaultRowHeight="14.5" x14ac:dyDescent="0.35"/>
  <cols>
    <col min="1" max="1" width="10.453125" bestFit="1" customWidth="1"/>
    <col min="3" max="3" width="16.90625" customWidth="1"/>
    <col min="4" max="4" width="14" customWidth="1"/>
    <col min="5" max="5" width="10.7265625" customWidth="1"/>
    <col min="6" max="6" width="11.453125" customWidth="1"/>
  </cols>
  <sheetData>
    <row r="1" spans="1:6" ht="18.5" x14ac:dyDescent="0.45">
      <c r="A1" s="1" t="s">
        <v>658</v>
      </c>
      <c r="B1" s="1"/>
      <c r="C1" s="1"/>
      <c r="D1" s="1"/>
      <c r="E1" s="1"/>
      <c r="F1" s="1"/>
    </row>
    <row r="2" spans="1:6" ht="18.5" x14ac:dyDescent="0.45">
      <c r="A2" s="1" t="s">
        <v>659</v>
      </c>
      <c r="C2" s="1"/>
      <c r="D2" s="1"/>
      <c r="E2" s="1"/>
      <c r="F2" s="1"/>
    </row>
    <row r="3" spans="1:6" ht="18.5" x14ac:dyDescent="0.45">
      <c r="A3" s="1" t="s">
        <v>660</v>
      </c>
      <c r="B3" s="1"/>
      <c r="C3" s="1"/>
      <c r="D3" s="1"/>
      <c r="E3" s="1"/>
      <c r="F3" s="1"/>
    </row>
    <row r="4" spans="1:6" ht="18.5" x14ac:dyDescent="0.45">
      <c r="A4" s="1" t="s">
        <v>661</v>
      </c>
      <c r="B4" s="1"/>
      <c r="C4" s="1"/>
      <c r="D4" s="1"/>
      <c r="E4" s="1"/>
      <c r="F4" s="1"/>
    </row>
    <row r="5" spans="1:6" ht="18.5" x14ac:dyDescent="0.45">
      <c r="A5" s="1" t="s">
        <v>662</v>
      </c>
      <c r="B5" s="1"/>
      <c r="C5" s="1"/>
      <c r="D5" s="1"/>
      <c r="E5" s="1"/>
      <c r="F5" s="1"/>
    </row>
    <row r="6" spans="1:6" ht="18.5" x14ac:dyDescent="0.45">
      <c r="A6" s="1" t="s">
        <v>657</v>
      </c>
      <c r="B6" s="1"/>
      <c r="C6" s="1"/>
      <c r="D6" s="1" t="s">
        <v>449</v>
      </c>
      <c r="F6" s="1"/>
    </row>
    <row r="7" spans="1:6" x14ac:dyDescent="0.35">
      <c r="A7" s="50" t="s">
        <v>0</v>
      </c>
      <c r="B7" s="43" t="s">
        <v>1</v>
      </c>
      <c r="C7" s="43" t="s">
        <v>2</v>
      </c>
      <c r="D7" s="41" t="s">
        <v>3</v>
      </c>
      <c r="E7" s="41" t="s">
        <v>4</v>
      </c>
      <c r="F7" s="42" t="s">
        <v>5</v>
      </c>
    </row>
    <row r="8" spans="1:6" x14ac:dyDescent="0.35">
      <c r="A8" s="11" t="s">
        <v>663</v>
      </c>
      <c r="B8" s="11">
        <v>9</v>
      </c>
      <c r="C8" s="11" t="s">
        <v>668</v>
      </c>
      <c r="D8" s="11">
        <v>5000</v>
      </c>
      <c r="E8" s="11">
        <v>5000</v>
      </c>
      <c r="F8" s="11">
        <v>495000</v>
      </c>
    </row>
    <row r="9" spans="1:6" x14ac:dyDescent="0.35">
      <c r="A9" s="11" t="s">
        <v>664</v>
      </c>
      <c r="B9" s="11">
        <v>10279</v>
      </c>
      <c r="C9" s="11" t="s">
        <v>669</v>
      </c>
      <c r="D9" s="11">
        <v>145000</v>
      </c>
      <c r="E9" s="11">
        <f t="shared" ref="E9:E31" si="0">E8+D9</f>
        <v>150000</v>
      </c>
      <c r="F9" s="11">
        <f t="shared" ref="F9:F31" si="1">F8-D9</f>
        <v>350000</v>
      </c>
    </row>
    <row r="10" spans="1:6" x14ac:dyDescent="0.35">
      <c r="A10" s="95">
        <v>45546</v>
      </c>
      <c r="B10" s="11">
        <v>9800</v>
      </c>
      <c r="C10" s="11" t="s">
        <v>670</v>
      </c>
      <c r="D10" s="12">
        <v>10000</v>
      </c>
      <c r="E10" s="12">
        <f t="shared" si="0"/>
        <v>160000</v>
      </c>
      <c r="F10" s="12">
        <f t="shared" si="1"/>
        <v>340000</v>
      </c>
    </row>
    <row r="11" spans="1:6" x14ac:dyDescent="0.35">
      <c r="A11" s="11" t="s">
        <v>665</v>
      </c>
      <c r="B11" s="11">
        <v>12649</v>
      </c>
      <c r="C11" s="11" t="s">
        <v>670</v>
      </c>
      <c r="D11" s="12">
        <v>10000</v>
      </c>
      <c r="E11" s="12">
        <f t="shared" si="0"/>
        <v>170000</v>
      </c>
      <c r="F11" s="12">
        <f t="shared" si="1"/>
        <v>330000</v>
      </c>
    </row>
    <row r="12" spans="1:6" x14ac:dyDescent="0.35">
      <c r="A12" s="95">
        <v>45992</v>
      </c>
      <c r="B12" s="11">
        <v>12047</v>
      </c>
      <c r="C12" s="11" t="s">
        <v>670</v>
      </c>
      <c r="D12" s="12">
        <v>10000</v>
      </c>
      <c r="E12" s="12">
        <f t="shared" si="0"/>
        <v>180000</v>
      </c>
      <c r="F12" s="12">
        <f t="shared" si="1"/>
        <v>320000</v>
      </c>
    </row>
    <row r="13" spans="1:6" x14ac:dyDescent="0.35">
      <c r="A13" s="95">
        <v>45993</v>
      </c>
      <c r="B13" s="11">
        <v>9375</v>
      </c>
      <c r="C13" s="11" t="s">
        <v>670</v>
      </c>
      <c r="D13" s="12">
        <v>10000</v>
      </c>
      <c r="E13" s="12">
        <f t="shared" si="0"/>
        <v>190000</v>
      </c>
      <c r="F13" s="12">
        <f t="shared" si="1"/>
        <v>310000</v>
      </c>
    </row>
    <row r="14" spans="1:6" x14ac:dyDescent="0.35">
      <c r="A14" s="11" t="s">
        <v>666</v>
      </c>
      <c r="B14" s="11">
        <v>9771</v>
      </c>
      <c r="C14" s="11" t="s">
        <v>670</v>
      </c>
      <c r="D14" s="12">
        <v>10000</v>
      </c>
      <c r="E14" s="12">
        <f t="shared" si="0"/>
        <v>200000</v>
      </c>
      <c r="F14" s="12">
        <f t="shared" si="1"/>
        <v>300000</v>
      </c>
    </row>
    <row r="15" spans="1:6" x14ac:dyDescent="0.35">
      <c r="A15" s="95">
        <v>45782</v>
      </c>
      <c r="B15" s="11">
        <v>10321</v>
      </c>
      <c r="C15" s="11" t="s">
        <v>670</v>
      </c>
      <c r="D15" s="12">
        <v>10000</v>
      </c>
      <c r="E15" s="12">
        <f t="shared" si="0"/>
        <v>210000</v>
      </c>
      <c r="F15" s="12">
        <f t="shared" si="1"/>
        <v>290000</v>
      </c>
    </row>
    <row r="16" spans="1:6" x14ac:dyDescent="0.35">
      <c r="A16" s="95">
        <v>45936</v>
      </c>
      <c r="B16" s="11">
        <v>10249</v>
      </c>
      <c r="C16" s="11" t="s">
        <v>670</v>
      </c>
      <c r="D16" s="12">
        <v>10000</v>
      </c>
      <c r="E16" s="12">
        <f t="shared" si="0"/>
        <v>220000</v>
      </c>
      <c r="F16" s="12">
        <f t="shared" si="1"/>
        <v>280000</v>
      </c>
    </row>
    <row r="17" spans="1:6" x14ac:dyDescent="0.35">
      <c r="A17" s="11" t="s">
        <v>667</v>
      </c>
      <c r="B17" s="11">
        <v>12878</v>
      </c>
      <c r="C17" s="11" t="s">
        <v>670</v>
      </c>
      <c r="D17" s="12">
        <v>10000</v>
      </c>
      <c r="E17" s="12">
        <f t="shared" si="0"/>
        <v>230000</v>
      </c>
      <c r="F17" s="12">
        <f t="shared" si="1"/>
        <v>270000</v>
      </c>
    </row>
    <row r="18" spans="1:6" x14ac:dyDescent="0.35">
      <c r="A18" s="95">
        <v>45908</v>
      </c>
      <c r="B18" s="11">
        <v>12448</v>
      </c>
      <c r="C18" s="11" t="s">
        <v>670</v>
      </c>
      <c r="D18" s="12">
        <v>10000</v>
      </c>
      <c r="E18" s="12">
        <f t="shared" si="0"/>
        <v>240000</v>
      </c>
      <c r="F18" s="12">
        <f t="shared" si="1"/>
        <v>260000</v>
      </c>
    </row>
    <row r="19" spans="1:6" x14ac:dyDescent="0.35">
      <c r="A19" s="95">
        <v>45909</v>
      </c>
      <c r="B19" s="11">
        <v>12665</v>
      </c>
      <c r="C19" s="11" t="s">
        <v>670</v>
      </c>
      <c r="D19" s="12">
        <v>10000</v>
      </c>
      <c r="E19" s="12">
        <f t="shared" si="0"/>
        <v>250000</v>
      </c>
      <c r="F19" s="12">
        <f t="shared" si="1"/>
        <v>250000</v>
      </c>
    </row>
    <row r="20" spans="1:6" x14ac:dyDescent="0.35">
      <c r="A20" s="95">
        <v>45940</v>
      </c>
      <c r="B20" s="11">
        <v>63785</v>
      </c>
      <c r="C20" s="11" t="s">
        <v>670</v>
      </c>
      <c r="D20" s="12">
        <v>10000</v>
      </c>
      <c r="E20" s="12">
        <f t="shared" si="0"/>
        <v>260000</v>
      </c>
      <c r="F20" s="12">
        <f t="shared" si="1"/>
        <v>240000</v>
      </c>
    </row>
    <row r="21" spans="1:6" x14ac:dyDescent="0.35">
      <c r="A21" s="11" t="s">
        <v>671</v>
      </c>
      <c r="B21" s="11">
        <v>13483</v>
      </c>
      <c r="C21" s="11" t="s">
        <v>670</v>
      </c>
      <c r="D21" s="12">
        <v>10000</v>
      </c>
      <c r="E21" s="12">
        <f t="shared" si="0"/>
        <v>270000</v>
      </c>
      <c r="F21" s="12">
        <f t="shared" si="1"/>
        <v>230000</v>
      </c>
    </row>
    <row r="22" spans="1:6" x14ac:dyDescent="0.35">
      <c r="A22" s="11" t="s">
        <v>672</v>
      </c>
      <c r="B22" s="11">
        <v>12640</v>
      </c>
      <c r="C22" s="11" t="s">
        <v>670</v>
      </c>
      <c r="D22" s="12">
        <v>10000</v>
      </c>
      <c r="E22" s="12">
        <f t="shared" si="0"/>
        <v>280000</v>
      </c>
      <c r="F22" s="12">
        <f t="shared" si="1"/>
        <v>220000</v>
      </c>
    </row>
    <row r="23" spans="1:6" x14ac:dyDescent="0.35">
      <c r="A23" s="11" t="s">
        <v>673</v>
      </c>
      <c r="B23" s="11">
        <v>12161</v>
      </c>
      <c r="C23" s="11" t="s">
        <v>670</v>
      </c>
      <c r="D23" s="12">
        <v>10000</v>
      </c>
      <c r="E23" s="12">
        <f t="shared" si="0"/>
        <v>290000</v>
      </c>
      <c r="F23" s="12">
        <f t="shared" si="1"/>
        <v>210000</v>
      </c>
    </row>
    <row r="24" spans="1:6" x14ac:dyDescent="0.35">
      <c r="A24" s="11" t="s">
        <v>674</v>
      </c>
      <c r="B24" s="11">
        <v>12203</v>
      </c>
      <c r="C24" s="11" t="s">
        <v>670</v>
      </c>
      <c r="D24" s="12">
        <v>10000</v>
      </c>
      <c r="E24" s="12">
        <f t="shared" si="0"/>
        <v>300000</v>
      </c>
      <c r="F24" s="12">
        <f t="shared" si="1"/>
        <v>200000</v>
      </c>
    </row>
    <row r="25" spans="1:6" x14ac:dyDescent="0.35">
      <c r="A25" s="11" t="s">
        <v>675</v>
      </c>
      <c r="B25" s="11">
        <v>12397</v>
      </c>
      <c r="C25" s="11" t="s">
        <v>670</v>
      </c>
      <c r="D25" s="12">
        <v>10000</v>
      </c>
      <c r="E25" s="12">
        <f t="shared" si="0"/>
        <v>310000</v>
      </c>
      <c r="F25" s="12">
        <f t="shared" si="1"/>
        <v>190000</v>
      </c>
    </row>
    <row r="26" spans="1:6" x14ac:dyDescent="0.35">
      <c r="A26" s="95">
        <v>46329</v>
      </c>
      <c r="B26" s="11">
        <v>12820</v>
      </c>
      <c r="C26" s="11" t="s">
        <v>670</v>
      </c>
      <c r="D26" s="12">
        <v>10000</v>
      </c>
      <c r="E26" s="12">
        <f t="shared" si="0"/>
        <v>320000</v>
      </c>
      <c r="F26" s="12">
        <f t="shared" si="1"/>
        <v>180000</v>
      </c>
    </row>
    <row r="27" spans="1:6" x14ac:dyDescent="0.35">
      <c r="A27" s="11" t="s">
        <v>676</v>
      </c>
      <c r="B27" s="11">
        <v>13024</v>
      </c>
      <c r="C27" s="11" t="s">
        <v>670</v>
      </c>
      <c r="D27" s="12">
        <v>10000</v>
      </c>
      <c r="E27" s="12">
        <f t="shared" si="0"/>
        <v>330000</v>
      </c>
      <c r="F27" s="12">
        <f t="shared" si="1"/>
        <v>170000</v>
      </c>
    </row>
    <row r="28" spans="1:6" x14ac:dyDescent="0.35">
      <c r="A28" s="11" t="s">
        <v>677</v>
      </c>
      <c r="B28" s="11">
        <v>13388</v>
      </c>
      <c r="C28" s="11" t="s">
        <v>670</v>
      </c>
      <c r="D28" s="12">
        <v>10000</v>
      </c>
      <c r="E28" s="12">
        <f t="shared" si="0"/>
        <v>340000</v>
      </c>
      <c r="F28" s="12">
        <f t="shared" si="1"/>
        <v>160000</v>
      </c>
    </row>
    <row r="29" spans="1:6" x14ac:dyDescent="0.35">
      <c r="A29" s="11" t="s">
        <v>655</v>
      </c>
      <c r="B29" s="11">
        <v>13649</v>
      </c>
      <c r="C29" s="11" t="s">
        <v>670</v>
      </c>
      <c r="D29" s="12">
        <v>10000</v>
      </c>
      <c r="E29" s="12">
        <f t="shared" si="0"/>
        <v>350000</v>
      </c>
      <c r="F29" s="12">
        <f t="shared" si="1"/>
        <v>150000</v>
      </c>
    </row>
    <row r="30" spans="1:6" x14ac:dyDescent="0.35">
      <c r="A30" s="11" t="s">
        <v>649</v>
      </c>
      <c r="B30" s="11">
        <v>1485</v>
      </c>
      <c r="C30" s="11" t="s">
        <v>670</v>
      </c>
      <c r="D30" s="12">
        <v>10000</v>
      </c>
      <c r="E30" s="12">
        <f t="shared" si="0"/>
        <v>360000</v>
      </c>
      <c r="F30" s="12">
        <f t="shared" si="1"/>
        <v>140000</v>
      </c>
    </row>
    <row r="31" spans="1:6" x14ac:dyDescent="0.35">
      <c r="A31" s="11" t="s">
        <v>652</v>
      </c>
      <c r="B31" s="11">
        <v>1790</v>
      </c>
      <c r="C31" s="11" t="s">
        <v>670</v>
      </c>
      <c r="D31" s="12">
        <v>10000</v>
      </c>
      <c r="E31" s="12">
        <f t="shared" si="0"/>
        <v>370000</v>
      </c>
      <c r="F31" s="12">
        <f t="shared" si="1"/>
        <v>130000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13" workbookViewId="0">
      <selection activeCell="F24" sqref="F24"/>
    </sheetView>
  </sheetViews>
  <sheetFormatPr defaultRowHeight="14.5" x14ac:dyDescent="0.35"/>
  <cols>
    <col min="1" max="1" width="10.36328125" customWidth="1"/>
    <col min="2" max="2" width="11.1796875" customWidth="1"/>
    <col min="3" max="3" width="14.6328125" customWidth="1"/>
    <col min="4" max="4" width="11.08984375" customWidth="1"/>
    <col min="5" max="5" width="11.6328125" customWidth="1"/>
    <col min="6" max="6" width="12.08984375" customWidth="1"/>
  </cols>
  <sheetData>
    <row r="1" spans="1:7" x14ac:dyDescent="0.35">
      <c r="A1" t="s">
        <v>483</v>
      </c>
      <c r="B1" t="s">
        <v>560</v>
      </c>
    </row>
    <row r="2" spans="1:7" x14ac:dyDescent="0.35">
      <c r="A2" t="s">
        <v>484</v>
      </c>
      <c r="B2" t="s">
        <v>561</v>
      </c>
    </row>
    <row r="3" spans="1:7" x14ac:dyDescent="0.35">
      <c r="A3" t="s">
        <v>623</v>
      </c>
    </row>
    <row r="4" spans="1:7" x14ac:dyDescent="0.35">
      <c r="A4" t="s">
        <v>485</v>
      </c>
      <c r="B4" t="s">
        <v>562</v>
      </c>
    </row>
    <row r="5" spans="1:7" x14ac:dyDescent="0.35">
      <c r="A5" t="s">
        <v>487</v>
      </c>
      <c r="B5" t="s">
        <v>558</v>
      </c>
    </row>
    <row r="6" spans="1:7" x14ac:dyDescent="0.35">
      <c r="A6" t="s">
        <v>488</v>
      </c>
      <c r="B6">
        <v>5171</v>
      </c>
    </row>
    <row r="8" spans="1:7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10" spans="1:7" x14ac:dyDescent="0.35">
      <c r="C10" t="s">
        <v>559</v>
      </c>
    </row>
    <row r="12" spans="1:7" ht="18.5" x14ac:dyDescent="0.45">
      <c r="A12" s="110" t="s">
        <v>269</v>
      </c>
      <c r="B12" s="110"/>
      <c r="C12" s="110"/>
      <c r="D12" s="111"/>
    </row>
    <row r="13" spans="1:7" x14ac:dyDescent="0.35">
      <c r="A13" s="112" t="s">
        <v>0</v>
      </c>
      <c r="B13" s="112" t="s">
        <v>1</v>
      </c>
      <c r="C13" s="112" t="s">
        <v>2</v>
      </c>
      <c r="D13" s="112" t="s">
        <v>3</v>
      </c>
      <c r="E13" s="112" t="s">
        <v>4</v>
      </c>
      <c r="F13" s="112" t="s">
        <v>5</v>
      </c>
      <c r="G13" s="108"/>
    </row>
    <row r="14" spans="1:7" x14ac:dyDescent="0.35">
      <c r="A14" s="11" t="s">
        <v>624</v>
      </c>
      <c r="B14" s="11">
        <v>5243</v>
      </c>
      <c r="C14" s="11" t="s">
        <v>778</v>
      </c>
      <c r="D14" s="12">
        <v>25000</v>
      </c>
      <c r="E14" s="12">
        <v>25000</v>
      </c>
      <c r="F14" s="12">
        <v>425000</v>
      </c>
    </row>
    <row r="15" spans="1:7" x14ac:dyDescent="0.35">
      <c r="A15" s="11" t="s">
        <v>626</v>
      </c>
      <c r="B15" s="11">
        <v>5338</v>
      </c>
      <c r="C15" s="11" t="s">
        <v>778</v>
      </c>
      <c r="D15" s="12">
        <v>25000</v>
      </c>
      <c r="E15" s="12">
        <f>E14+D15</f>
        <v>50000</v>
      </c>
      <c r="F15" s="12">
        <f t="shared" ref="F15:F21" si="0">F14-D15</f>
        <v>400000</v>
      </c>
    </row>
    <row r="16" spans="1:7" x14ac:dyDescent="0.35">
      <c r="A16" s="11" t="s">
        <v>627</v>
      </c>
      <c r="B16" s="11">
        <v>5601</v>
      </c>
      <c r="C16" s="11" t="s">
        <v>778</v>
      </c>
      <c r="D16" s="12">
        <v>5000</v>
      </c>
      <c r="E16" s="12">
        <f>E15+D16</f>
        <v>55000</v>
      </c>
      <c r="F16" s="12">
        <f t="shared" si="0"/>
        <v>395000</v>
      </c>
    </row>
    <row r="17" spans="1:6" x14ac:dyDescent="0.35">
      <c r="A17" s="11" t="s">
        <v>628</v>
      </c>
      <c r="B17" s="11">
        <v>5783</v>
      </c>
      <c r="C17" s="11" t="s">
        <v>778</v>
      </c>
      <c r="D17" s="12">
        <v>5000</v>
      </c>
      <c r="E17" s="12">
        <f>E16+D17</f>
        <v>60000</v>
      </c>
      <c r="F17" s="12">
        <f t="shared" si="0"/>
        <v>390000</v>
      </c>
    </row>
    <row r="18" spans="1:6" x14ac:dyDescent="0.35">
      <c r="A18" s="11" t="s">
        <v>629</v>
      </c>
      <c r="B18" s="11">
        <v>1323</v>
      </c>
      <c r="C18" s="11" t="s">
        <v>778</v>
      </c>
      <c r="D18" s="12">
        <v>10000</v>
      </c>
      <c r="E18" s="12">
        <f>E17+D19</f>
        <v>70000</v>
      </c>
      <c r="F18" s="12">
        <f t="shared" si="0"/>
        <v>380000</v>
      </c>
    </row>
    <row r="19" spans="1:6" x14ac:dyDescent="0.35">
      <c r="A19" s="11" t="s">
        <v>630</v>
      </c>
      <c r="B19" s="11">
        <v>1536</v>
      </c>
      <c r="C19" s="11" t="s">
        <v>778</v>
      </c>
      <c r="D19" s="12">
        <v>10000</v>
      </c>
      <c r="E19" s="12">
        <f>E18+D19</f>
        <v>80000</v>
      </c>
      <c r="F19" s="12">
        <f t="shared" si="0"/>
        <v>370000</v>
      </c>
    </row>
    <row r="20" spans="1:6" x14ac:dyDescent="0.35">
      <c r="A20" s="11" t="s">
        <v>631</v>
      </c>
      <c r="B20" s="11">
        <v>1721</v>
      </c>
      <c r="C20" s="11" t="s">
        <v>778</v>
      </c>
      <c r="D20" s="12">
        <v>10000</v>
      </c>
      <c r="E20" s="12">
        <f>E19+D20</f>
        <v>90000</v>
      </c>
      <c r="F20" s="12">
        <f t="shared" si="0"/>
        <v>360000</v>
      </c>
    </row>
    <row r="21" spans="1:6" x14ac:dyDescent="0.35">
      <c r="A21" s="11" t="s">
        <v>632</v>
      </c>
      <c r="B21" s="11">
        <v>1894</v>
      </c>
      <c r="C21" s="11" t="s">
        <v>778</v>
      </c>
      <c r="D21" s="12">
        <v>10000</v>
      </c>
      <c r="E21" s="12">
        <f>E20+D21</f>
        <v>100000</v>
      </c>
      <c r="F21" s="12">
        <f t="shared" si="0"/>
        <v>350000</v>
      </c>
    </row>
    <row r="22" spans="1:6" x14ac:dyDescent="0.35">
      <c r="A22" t="s">
        <v>652</v>
      </c>
      <c r="B22" s="22">
        <v>1925</v>
      </c>
      <c r="C22" s="11" t="s">
        <v>778</v>
      </c>
      <c r="D22" s="16">
        <v>10000</v>
      </c>
      <c r="E22" s="16">
        <f>E21+D22</f>
        <v>110000</v>
      </c>
      <c r="F22" s="16">
        <f>F21-D22</f>
        <v>340000</v>
      </c>
    </row>
    <row r="23" spans="1:6" x14ac:dyDescent="0.35">
      <c r="A23" t="s">
        <v>797</v>
      </c>
      <c r="B23" s="22">
        <v>2067</v>
      </c>
      <c r="C23" s="11" t="s">
        <v>778</v>
      </c>
      <c r="D23" s="16">
        <v>10000</v>
      </c>
      <c r="E23" s="16">
        <f>E22+D23</f>
        <v>120000</v>
      </c>
      <c r="F23" s="16">
        <f>F22-D23</f>
        <v>330000</v>
      </c>
    </row>
  </sheetData>
  <pageMargins left="0.7" right="0.7" top="0.75" bottom="0.75" header="0.3" footer="0.3"/>
  <ignoredErrors>
    <ignoredError sqref="E18" formula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E6" sqref="E6"/>
    </sheetView>
  </sheetViews>
  <sheetFormatPr defaultRowHeight="14.5" x14ac:dyDescent="0.35"/>
  <sheetData>
    <row r="1" spans="1:6" x14ac:dyDescent="0.35">
      <c r="A1" t="s">
        <v>483</v>
      </c>
      <c r="B1" s="93" t="s">
        <v>617</v>
      </c>
    </row>
    <row r="2" spans="1:6" x14ac:dyDescent="0.35">
      <c r="A2" t="s">
        <v>484</v>
      </c>
      <c r="B2" s="93" t="s">
        <v>618</v>
      </c>
    </row>
    <row r="3" spans="1:6" x14ac:dyDescent="0.35">
      <c r="A3" t="s">
        <v>577</v>
      </c>
      <c r="B3" s="93" t="s">
        <v>619</v>
      </c>
    </row>
    <row r="4" spans="1:6" x14ac:dyDescent="0.35">
      <c r="A4" t="s">
        <v>551</v>
      </c>
      <c r="B4" s="93"/>
    </row>
    <row r="5" spans="1:6" x14ac:dyDescent="0.35">
      <c r="A5" t="s">
        <v>549</v>
      </c>
      <c r="B5" s="93" t="s">
        <v>578</v>
      </c>
    </row>
    <row r="6" spans="1:6" x14ac:dyDescent="0.35">
      <c r="A6" t="s">
        <v>488</v>
      </c>
      <c r="B6" s="93">
        <v>5180</v>
      </c>
      <c r="D6" s="94">
        <v>550000</v>
      </c>
    </row>
    <row r="8" spans="1:6" x14ac:dyDescent="0.35">
      <c r="A8" s="50" t="s">
        <v>0</v>
      </c>
      <c r="B8" s="43" t="s">
        <v>1</v>
      </c>
      <c r="C8" s="43" t="s">
        <v>2</v>
      </c>
      <c r="D8" s="41" t="s">
        <v>3</v>
      </c>
      <c r="E8" s="41" t="s">
        <v>4</v>
      </c>
      <c r="F8" s="42" t="s">
        <v>5</v>
      </c>
    </row>
    <row r="9" spans="1:6" x14ac:dyDescent="0.35">
      <c r="A9" t="s">
        <v>579</v>
      </c>
      <c r="B9">
        <v>480</v>
      </c>
      <c r="C9" t="s">
        <v>590</v>
      </c>
      <c r="D9" s="16">
        <v>10000</v>
      </c>
      <c r="E9" s="16">
        <v>10000</v>
      </c>
      <c r="F9" s="16">
        <v>540000</v>
      </c>
    </row>
    <row r="10" spans="1:6" x14ac:dyDescent="0.35">
      <c r="A10" t="s">
        <v>580</v>
      </c>
      <c r="B10">
        <v>1500</v>
      </c>
      <c r="C10" t="s">
        <v>572</v>
      </c>
      <c r="D10" s="16">
        <v>110000</v>
      </c>
      <c r="E10" s="16">
        <f t="shared" ref="E10:E45" si="0">E9+D10</f>
        <v>120000</v>
      </c>
      <c r="F10" s="16">
        <f t="shared" ref="F10:F45" si="1">F9-D10</f>
        <v>430000</v>
      </c>
    </row>
    <row r="11" spans="1:6" x14ac:dyDescent="0.35">
      <c r="A11" t="s">
        <v>581</v>
      </c>
      <c r="B11">
        <v>2070</v>
      </c>
      <c r="C11" t="s">
        <v>495</v>
      </c>
      <c r="D11" s="16">
        <v>40000</v>
      </c>
      <c r="E11" s="16">
        <f t="shared" si="0"/>
        <v>160000</v>
      </c>
      <c r="F11" s="16">
        <f t="shared" si="1"/>
        <v>390000</v>
      </c>
    </row>
    <row r="12" spans="1:6" x14ac:dyDescent="0.35">
      <c r="A12" t="s">
        <v>582</v>
      </c>
      <c r="B12">
        <v>2069</v>
      </c>
      <c r="C12" t="s">
        <v>523</v>
      </c>
      <c r="D12" s="16">
        <v>10000</v>
      </c>
      <c r="E12" s="16">
        <f t="shared" si="0"/>
        <v>170000</v>
      </c>
      <c r="F12" s="16">
        <f t="shared" si="1"/>
        <v>380000</v>
      </c>
    </row>
    <row r="13" spans="1:6" x14ac:dyDescent="0.35">
      <c r="A13" t="s">
        <v>583</v>
      </c>
      <c r="B13">
        <v>1953</v>
      </c>
      <c r="C13" t="s">
        <v>523</v>
      </c>
      <c r="D13" s="16">
        <v>10000</v>
      </c>
      <c r="E13" s="16">
        <f t="shared" si="0"/>
        <v>180000</v>
      </c>
      <c r="F13" s="16">
        <f t="shared" si="1"/>
        <v>370000</v>
      </c>
    </row>
    <row r="14" spans="1:6" x14ac:dyDescent="0.35">
      <c r="A14" t="s">
        <v>584</v>
      </c>
      <c r="B14">
        <v>1858</v>
      </c>
      <c r="C14" t="s">
        <v>523</v>
      </c>
      <c r="D14" s="16">
        <v>10000</v>
      </c>
      <c r="E14" s="16">
        <f t="shared" si="0"/>
        <v>190000</v>
      </c>
      <c r="F14" s="16">
        <f t="shared" si="1"/>
        <v>360000</v>
      </c>
    </row>
    <row r="15" spans="1:6" x14ac:dyDescent="0.35">
      <c r="A15" t="s">
        <v>585</v>
      </c>
      <c r="B15">
        <v>929</v>
      </c>
      <c r="C15" t="s">
        <v>523</v>
      </c>
      <c r="D15" s="16">
        <v>10000</v>
      </c>
      <c r="E15" s="16">
        <f t="shared" si="0"/>
        <v>200000</v>
      </c>
      <c r="F15" s="16">
        <f t="shared" si="1"/>
        <v>350000</v>
      </c>
    </row>
    <row r="16" spans="1:6" x14ac:dyDescent="0.35">
      <c r="A16" t="s">
        <v>586</v>
      </c>
      <c r="B16">
        <v>2173</v>
      </c>
      <c r="C16" t="s">
        <v>523</v>
      </c>
      <c r="D16" s="16">
        <v>10000</v>
      </c>
      <c r="E16" s="16">
        <f t="shared" si="0"/>
        <v>210000</v>
      </c>
      <c r="F16" s="16">
        <f t="shared" si="1"/>
        <v>340000</v>
      </c>
    </row>
    <row r="17" spans="1:6" x14ac:dyDescent="0.35">
      <c r="A17" t="s">
        <v>587</v>
      </c>
      <c r="B17">
        <v>2358</v>
      </c>
      <c r="C17" t="s">
        <v>523</v>
      </c>
      <c r="D17" s="16">
        <v>10000</v>
      </c>
      <c r="E17" s="16">
        <f t="shared" si="0"/>
        <v>220000</v>
      </c>
      <c r="F17" s="16">
        <f t="shared" si="1"/>
        <v>330000</v>
      </c>
    </row>
    <row r="18" spans="1:6" x14ac:dyDescent="0.35">
      <c r="A18" t="s">
        <v>588</v>
      </c>
      <c r="B18">
        <v>3570</v>
      </c>
      <c r="C18" t="s">
        <v>523</v>
      </c>
      <c r="D18" s="16">
        <v>10000</v>
      </c>
      <c r="E18" s="16">
        <f t="shared" si="0"/>
        <v>230000</v>
      </c>
      <c r="F18" s="16">
        <f t="shared" si="1"/>
        <v>320000</v>
      </c>
    </row>
    <row r="19" spans="1:6" x14ac:dyDescent="0.35">
      <c r="A19" t="s">
        <v>589</v>
      </c>
      <c r="B19">
        <v>4031</v>
      </c>
      <c r="C19" t="s">
        <v>523</v>
      </c>
      <c r="D19" s="16">
        <v>10000</v>
      </c>
      <c r="E19" s="16">
        <f t="shared" si="0"/>
        <v>240000</v>
      </c>
      <c r="F19" s="16">
        <f t="shared" si="1"/>
        <v>310000</v>
      </c>
    </row>
    <row r="20" spans="1:6" x14ac:dyDescent="0.35">
      <c r="A20" t="s">
        <v>591</v>
      </c>
      <c r="B20">
        <v>4705</v>
      </c>
      <c r="C20" t="s">
        <v>523</v>
      </c>
      <c r="D20" s="16">
        <v>10000</v>
      </c>
      <c r="E20" s="16">
        <f t="shared" si="0"/>
        <v>250000</v>
      </c>
      <c r="F20" s="16">
        <f t="shared" si="1"/>
        <v>300000</v>
      </c>
    </row>
    <row r="21" spans="1:6" x14ac:dyDescent="0.35">
      <c r="A21" t="s">
        <v>592</v>
      </c>
      <c r="B21">
        <v>5591</v>
      </c>
      <c r="C21" t="s">
        <v>523</v>
      </c>
      <c r="D21" s="16">
        <v>10000</v>
      </c>
      <c r="E21" s="16">
        <f t="shared" si="0"/>
        <v>260000</v>
      </c>
      <c r="F21" s="16">
        <f t="shared" si="1"/>
        <v>290000</v>
      </c>
    </row>
    <row r="22" spans="1:6" x14ac:dyDescent="0.35">
      <c r="A22" t="s">
        <v>593</v>
      </c>
      <c r="B22">
        <v>5892</v>
      </c>
      <c r="C22" t="s">
        <v>523</v>
      </c>
      <c r="D22" s="16">
        <v>10000</v>
      </c>
      <c r="E22" s="16">
        <f t="shared" si="0"/>
        <v>270000</v>
      </c>
      <c r="F22" s="16">
        <f t="shared" si="1"/>
        <v>280000</v>
      </c>
    </row>
    <row r="23" spans="1:6" x14ac:dyDescent="0.35">
      <c r="A23" t="s">
        <v>594</v>
      </c>
      <c r="B23">
        <v>4705</v>
      </c>
      <c r="C23" t="s">
        <v>523</v>
      </c>
      <c r="D23" s="16">
        <v>10000</v>
      </c>
      <c r="E23" s="16">
        <f t="shared" si="0"/>
        <v>280000</v>
      </c>
      <c r="F23" s="16">
        <f t="shared" si="1"/>
        <v>270000</v>
      </c>
    </row>
    <row r="24" spans="1:6" x14ac:dyDescent="0.35">
      <c r="A24" t="s">
        <v>595</v>
      </c>
      <c r="B24">
        <v>5591</v>
      </c>
      <c r="C24" t="s">
        <v>523</v>
      </c>
      <c r="D24" s="16">
        <v>10000</v>
      </c>
      <c r="E24" s="16">
        <f t="shared" si="0"/>
        <v>290000</v>
      </c>
      <c r="F24" s="16">
        <f t="shared" si="1"/>
        <v>260000</v>
      </c>
    </row>
    <row r="25" spans="1:6" x14ac:dyDescent="0.35">
      <c r="A25" t="s">
        <v>596</v>
      </c>
      <c r="B25">
        <v>5892</v>
      </c>
      <c r="C25" t="s">
        <v>523</v>
      </c>
      <c r="D25" s="16">
        <v>10000</v>
      </c>
      <c r="E25" s="16">
        <f t="shared" si="0"/>
        <v>300000</v>
      </c>
      <c r="F25" s="16">
        <f t="shared" si="1"/>
        <v>250000</v>
      </c>
    </row>
    <row r="26" spans="1:6" x14ac:dyDescent="0.35">
      <c r="A26" t="s">
        <v>597</v>
      </c>
      <c r="B26">
        <v>6571</v>
      </c>
      <c r="C26" t="s">
        <v>523</v>
      </c>
      <c r="D26" s="16">
        <v>10000</v>
      </c>
      <c r="E26" s="16">
        <f t="shared" si="0"/>
        <v>310000</v>
      </c>
      <c r="F26" s="16">
        <f t="shared" si="1"/>
        <v>240000</v>
      </c>
    </row>
    <row r="27" spans="1:6" x14ac:dyDescent="0.35">
      <c r="A27" t="s">
        <v>598</v>
      </c>
      <c r="B27">
        <v>6932</v>
      </c>
      <c r="C27" t="s">
        <v>523</v>
      </c>
      <c r="D27" s="16">
        <v>10000</v>
      </c>
      <c r="E27" s="16">
        <f t="shared" si="0"/>
        <v>320000</v>
      </c>
      <c r="F27" s="16">
        <f t="shared" si="1"/>
        <v>230000</v>
      </c>
    </row>
    <row r="28" spans="1:6" x14ac:dyDescent="0.35">
      <c r="A28" t="s">
        <v>599</v>
      </c>
      <c r="B28">
        <v>9529</v>
      </c>
      <c r="C28" t="s">
        <v>523</v>
      </c>
      <c r="D28" s="16">
        <v>10000</v>
      </c>
      <c r="E28" s="16">
        <f t="shared" si="0"/>
        <v>330000</v>
      </c>
      <c r="F28" s="16">
        <f t="shared" si="1"/>
        <v>220000</v>
      </c>
    </row>
    <row r="29" spans="1:6" x14ac:dyDescent="0.35">
      <c r="A29" t="s">
        <v>600</v>
      </c>
      <c r="B29">
        <v>10505</v>
      </c>
      <c r="C29" t="s">
        <v>523</v>
      </c>
      <c r="D29" s="16">
        <v>10000</v>
      </c>
      <c r="E29" s="16">
        <f t="shared" si="0"/>
        <v>340000</v>
      </c>
      <c r="F29" s="16">
        <f t="shared" si="1"/>
        <v>210000</v>
      </c>
    </row>
    <row r="30" spans="1:6" x14ac:dyDescent="0.35">
      <c r="A30" t="s">
        <v>601</v>
      </c>
      <c r="B30">
        <v>1166</v>
      </c>
      <c r="C30" t="s">
        <v>523</v>
      </c>
      <c r="D30" s="16">
        <v>20000</v>
      </c>
      <c r="E30" s="16">
        <f t="shared" si="0"/>
        <v>360000</v>
      </c>
      <c r="F30" s="16">
        <f t="shared" si="1"/>
        <v>190000</v>
      </c>
    </row>
    <row r="31" spans="1:6" x14ac:dyDescent="0.35">
      <c r="A31" t="s">
        <v>602</v>
      </c>
      <c r="B31">
        <v>11996</v>
      </c>
      <c r="C31" t="s">
        <v>523</v>
      </c>
      <c r="D31" s="16">
        <v>10000</v>
      </c>
      <c r="E31" s="16">
        <f t="shared" si="0"/>
        <v>370000</v>
      </c>
      <c r="F31" s="16">
        <f t="shared" si="1"/>
        <v>180000</v>
      </c>
    </row>
    <row r="32" spans="1:6" x14ac:dyDescent="0.35">
      <c r="A32" t="s">
        <v>603</v>
      </c>
      <c r="B32">
        <v>9024</v>
      </c>
      <c r="C32" t="s">
        <v>523</v>
      </c>
      <c r="D32" s="16">
        <v>10000</v>
      </c>
      <c r="E32" s="16">
        <f t="shared" si="0"/>
        <v>380000</v>
      </c>
      <c r="F32" s="16">
        <f t="shared" si="1"/>
        <v>170000</v>
      </c>
    </row>
    <row r="33" spans="1:6" x14ac:dyDescent="0.35">
      <c r="A33" t="s">
        <v>604</v>
      </c>
      <c r="B33">
        <v>1065</v>
      </c>
      <c r="C33" t="s">
        <v>523</v>
      </c>
      <c r="D33" s="16">
        <v>10000</v>
      </c>
      <c r="E33" s="16">
        <f t="shared" si="0"/>
        <v>390000</v>
      </c>
      <c r="F33" s="16">
        <f t="shared" si="1"/>
        <v>160000</v>
      </c>
    </row>
    <row r="34" spans="1:6" x14ac:dyDescent="0.35">
      <c r="A34" t="s">
        <v>605</v>
      </c>
      <c r="B34">
        <v>9975</v>
      </c>
      <c r="C34" t="s">
        <v>523</v>
      </c>
      <c r="D34" s="16">
        <v>30000</v>
      </c>
      <c r="E34" s="16">
        <f t="shared" si="0"/>
        <v>420000</v>
      </c>
      <c r="F34" s="16">
        <f t="shared" si="1"/>
        <v>130000</v>
      </c>
    </row>
    <row r="35" spans="1:6" x14ac:dyDescent="0.35">
      <c r="A35" t="s">
        <v>606</v>
      </c>
      <c r="B35">
        <v>12145</v>
      </c>
      <c r="C35" t="s">
        <v>523</v>
      </c>
      <c r="D35" s="16">
        <v>20000</v>
      </c>
      <c r="E35" s="16">
        <f t="shared" si="0"/>
        <v>440000</v>
      </c>
      <c r="F35" s="16">
        <f t="shared" si="1"/>
        <v>110000</v>
      </c>
    </row>
    <row r="36" spans="1:6" x14ac:dyDescent="0.35">
      <c r="A36" t="s">
        <v>607</v>
      </c>
      <c r="B36">
        <v>12909</v>
      </c>
      <c r="C36" t="s">
        <v>523</v>
      </c>
      <c r="D36" s="16">
        <v>20000</v>
      </c>
      <c r="E36" s="16">
        <f t="shared" si="0"/>
        <v>460000</v>
      </c>
      <c r="F36" s="16">
        <f t="shared" si="1"/>
        <v>90000</v>
      </c>
    </row>
    <row r="37" spans="1:6" x14ac:dyDescent="0.35">
      <c r="A37" t="s">
        <v>608</v>
      </c>
      <c r="B37">
        <v>13961</v>
      </c>
      <c r="C37" t="s">
        <v>523</v>
      </c>
      <c r="D37" s="16">
        <v>10000</v>
      </c>
      <c r="E37" s="16">
        <f t="shared" si="0"/>
        <v>470000</v>
      </c>
      <c r="F37" s="16">
        <f t="shared" si="1"/>
        <v>80000</v>
      </c>
    </row>
    <row r="38" spans="1:6" x14ac:dyDescent="0.35">
      <c r="A38" t="s">
        <v>609</v>
      </c>
      <c r="B38">
        <v>13612</v>
      </c>
      <c r="C38" t="s">
        <v>523</v>
      </c>
      <c r="D38" s="16">
        <v>10000</v>
      </c>
      <c r="E38" s="16">
        <f t="shared" si="0"/>
        <v>480000</v>
      </c>
      <c r="F38" s="16">
        <f t="shared" si="1"/>
        <v>70000</v>
      </c>
    </row>
    <row r="39" spans="1:6" x14ac:dyDescent="0.35">
      <c r="A39" t="s">
        <v>610</v>
      </c>
      <c r="B39">
        <v>13494</v>
      </c>
      <c r="C39" t="s">
        <v>523</v>
      </c>
      <c r="D39" s="16">
        <v>10000</v>
      </c>
      <c r="E39" s="16">
        <f t="shared" si="0"/>
        <v>490000</v>
      </c>
      <c r="F39" s="16">
        <f t="shared" si="1"/>
        <v>60000</v>
      </c>
    </row>
    <row r="40" spans="1:6" x14ac:dyDescent="0.35">
      <c r="A40" t="s">
        <v>611</v>
      </c>
      <c r="B40">
        <v>13166</v>
      </c>
      <c r="C40" t="s">
        <v>523</v>
      </c>
      <c r="D40" s="16">
        <v>10000</v>
      </c>
      <c r="E40" s="16">
        <f t="shared" si="0"/>
        <v>500000</v>
      </c>
      <c r="F40" s="16">
        <f t="shared" si="1"/>
        <v>50000</v>
      </c>
    </row>
    <row r="41" spans="1:6" x14ac:dyDescent="0.35">
      <c r="A41" t="s">
        <v>612</v>
      </c>
      <c r="B41">
        <v>12496</v>
      </c>
      <c r="C41" t="s">
        <v>523</v>
      </c>
      <c r="D41" s="16">
        <v>10000</v>
      </c>
      <c r="E41" s="16">
        <f t="shared" si="0"/>
        <v>510000</v>
      </c>
      <c r="F41" s="16">
        <f t="shared" si="1"/>
        <v>40000</v>
      </c>
    </row>
    <row r="42" spans="1:6" x14ac:dyDescent="0.35">
      <c r="A42" t="s">
        <v>613</v>
      </c>
      <c r="B42">
        <v>13044</v>
      </c>
      <c r="C42" t="s">
        <v>523</v>
      </c>
      <c r="D42" s="16">
        <v>10000</v>
      </c>
      <c r="E42" s="16">
        <f t="shared" si="0"/>
        <v>520000</v>
      </c>
      <c r="F42" s="16">
        <f t="shared" si="1"/>
        <v>30000</v>
      </c>
    </row>
    <row r="43" spans="1:6" x14ac:dyDescent="0.35">
      <c r="A43" t="s">
        <v>614</v>
      </c>
      <c r="B43">
        <v>13941</v>
      </c>
      <c r="C43" t="s">
        <v>523</v>
      </c>
      <c r="D43" s="16">
        <v>10000</v>
      </c>
      <c r="E43" s="16">
        <f t="shared" si="0"/>
        <v>530000</v>
      </c>
      <c r="F43" s="16">
        <f t="shared" si="1"/>
        <v>20000</v>
      </c>
    </row>
    <row r="44" spans="1:6" x14ac:dyDescent="0.35">
      <c r="A44" t="s">
        <v>615</v>
      </c>
      <c r="B44">
        <v>13383</v>
      </c>
      <c r="C44" t="s">
        <v>523</v>
      </c>
      <c r="D44" s="16">
        <v>10000</v>
      </c>
      <c r="E44" s="16">
        <f t="shared" si="0"/>
        <v>540000</v>
      </c>
      <c r="F44" s="16">
        <f t="shared" si="1"/>
        <v>10000</v>
      </c>
    </row>
    <row r="45" spans="1:6" x14ac:dyDescent="0.35">
      <c r="A45" t="s">
        <v>616</v>
      </c>
      <c r="B45">
        <v>1403</v>
      </c>
      <c r="C45" t="s">
        <v>523</v>
      </c>
      <c r="D45" s="16">
        <v>10000</v>
      </c>
      <c r="E45" s="16">
        <f t="shared" si="0"/>
        <v>550000</v>
      </c>
      <c r="F45" s="16">
        <f t="shared" si="1"/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5" workbookViewId="0">
      <selection activeCell="D34" sqref="D34"/>
    </sheetView>
  </sheetViews>
  <sheetFormatPr defaultRowHeight="14.5" x14ac:dyDescent="0.35"/>
  <cols>
    <col min="1" max="1" width="10.453125" bestFit="1" customWidth="1"/>
    <col min="3" max="3" width="28.453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131</v>
      </c>
      <c r="C2" s="1"/>
      <c r="D2" s="1"/>
      <c r="E2" s="1"/>
      <c r="F2" s="1"/>
    </row>
    <row r="3" spans="1:6" ht="18.5" x14ac:dyDescent="0.45">
      <c r="A3" s="1" t="s">
        <v>132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160</v>
      </c>
      <c r="B5" s="1"/>
      <c r="C5" s="1"/>
      <c r="D5" s="1" t="s">
        <v>58</v>
      </c>
      <c r="F5" s="1"/>
    </row>
    <row r="6" spans="1:6" x14ac:dyDescent="0.35">
      <c r="A6" s="50" t="s">
        <v>0</v>
      </c>
      <c r="B6" s="43" t="s">
        <v>1</v>
      </c>
      <c r="C6" s="43" t="s">
        <v>2</v>
      </c>
      <c r="D6" s="41" t="s">
        <v>3</v>
      </c>
      <c r="E6" s="41" t="s">
        <v>4</v>
      </c>
      <c r="F6" s="42" t="s">
        <v>5</v>
      </c>
    </row>
    <row r="7" spans="1:6" x14ac:dyDescent="0.35">
      <c r="A7" s="37">
        <v>44846</v>
      </c>
      <c r="B7" s="13">
        <v>2067</v>
      </c>
      <c r="C7" s="13" t="s">
        <v>6</v>
      </c>
      <c r="D7" s="14">
        <v>100000</v>
      </c>
      <c r="E7" s="14">
        <v>100000</v>
      </c>
      <c r="F7" s="45">
        <v>500000</v>
      </c>
    </row>
    <row r="8" spans="1:6" x14ac:dyDescent="0.35">
      <c r="A8" s="44" t="s">
        <v>138</v>
      </c>
      <c r="B8" s="13">
        <v>68</v>
      </c>
      <c r="C8" s="13" t="s">
        <v>52</v>
      </c>
      <c r="D8" s="14">
        <v>10000</v>
      </c>
      <c r="E8" s="14">
        <f>SUM(E7+D8)</f>
        <v>110000</v>
      </c>
      <c r="F8" s="45">
        <f>F7-D8</f>
        <v>490000</v>
      </c>
    </row>
    <row r="9" spans="1:6" x14ac:dyDescent="0.35">
      <c r="A9" s="37">
        <v>45203</v>
      </c>
      <c r="B9" s="13">
        <v>1084</v>
      </c>
      <c r="C9" s="13" t="s">
        <v>52</v>
      </c>
      <c r="D9" s="14">
        <v>10000</v>
      </c>
      <c r="E9" s="14">
        <f t="shared" ref="E9:E32" si="0">SUM(E8+D9)</f>
        <v>120000</v>
      </c>
      <c r="F9" s="45">
        <f t="shared" ref="F9:F32" si="1">F8-D9</f>
        <v>480000</v>
      </c>
    </row>
    <row r="10" spans="1:6" x14ac:dyDescent="0.35">
      <c r="A10" s="44" t="s">
        <v>86</v>
      </c>
      <c r="B10" s="13">
        <v>534</v>
      </c>
      <c r="C10" s="13" t="s">
        <v>52</v>
      </c>
      <c r="D10" s="14">
        <v>20000</v>
      </c>
      <c r="E10" s="14">
        <f t="shared" si="0"/>
        <v>140000</v>
      </c>
      <c r="F10" s="45">
        <f t="shared" si="1"/>
        <v>460000</v>
      </c>
    </row>
    <row r="11" spans="1:6" x14ac:dyDescent="0.35">
      <c r="A11" s="44" t="s">
        <v>139</v>
      </c>
      <c r="B11" s="13">
        <v>2953</v>
      </c>
      <c r="C11" s="13" t="s">
        <v>52</v>
      </c>
      <c r="D11" s="14">
        <v>10000</v>
      </c>
      <c r="E11" s="14">
        <f t="shared" si="0"/>
        <v>150000</v>
      </c>
      <c r="F11" s="45">
        <f t="shared" si="1"/>
        <v>450000</v>
      </c>
    </row>
    <row r="12" spans="1:6" x14ac:dyDescent="0.35">
      <c r="A12" s="44" t="s">
        <v>161</v>
      </c>
      <c r="B12" s="13">
        <v>3182</v>
      </c>
      <c r="C12" s="13" t="s">
        <v>52</v>
      </c>
      <c r="D12" s="14">
        <v>10000</v>
      </c>
      <c r="E12" s="14">
        <f t="shared" si="0"/>
        <v>160000</v>
      </c>
      <c r="F12" s="45">
        <f t="shared" si="1"/>
        <v>440000</v>
      </c>
    </row>
    <row r="13" spans="1:6" x14ac:dyDescent="0.35">
      <c r="A13" s="44" t="s">
        <v>141</v>
      </c>
      <c r="B13" s="13">
        <v>6405</v>
      </c>
      <c r="C13" s="13" t="s">
        <v>52</v>
      </c>
      <c r="D13" s="14">
        <v>10000</v>
      </c>
      <c r="E13" s="14">
        <f t="shared" si="0"/>
        <v>170000</v>
      </c>
      <c r="F13" s="45">
        <f t="shared" si="1"/>
        <v>430000</v>
      </c>
    </row>
    <row r="14" spans="1:6" x14ac:dyDescent="0.35">
      <c r="A14" s="44" t="s">
        <v>142</v>
      </c>
      <c r="B14" s="13">
        <v>4505</v>
      </c>
      <c r="C14" s="13" t="s">
        <v>52</v>
      </c>
      <c r="D14" s="14">
        <v>10000</v>
      </c>
      <c r="E14" s="14">
        <f t="shared" si="0"/>
        <v>180000</v>
      </c>
      <c r="F14" s="45">
        <f t="shared" si="1"/>
        <v>420000</v>
      </c>
    </row>
    <row r="15" spans="1:6" x14ac:dyDescent="0.35">
      <c r="A15" s="44" t="s">
        <v>143</v>
      </c>
      <c r="B15" s="13">
        <v>5118</v>
      </c>
      <c r="C15" s="13" t="s">
        <v>52</v>
      </c>
      <c r="D15" s="14">
        <v>10000</v>
      </c>
      <c r="E15" s="14">
        <f t="shared" si="0"/>
        <v>190000</v>
      </c>
      <c r="F15" s="45">
        <f t="shared" si="1"/>
        <v>410000</v>
      </c>
    </row>
    <row r="16" spans="1:6" x14ac:dyDescent="0.35">
      <c r="A16" s="44" t="s">
        <v>145</v>
      </c>
      <c r="B16" s="13">
        <v>5792</v>
      </c>
      <c r="C16" s="13" t="s">
        <v>52</v>
      </c>
      <c r="D16" s="14">
        <v>10000</v>
      </c>
      <c r="E16" s="14">
        <f t="shared" si="0"/>
        <v>200000</v>
      </c>
      <c r="F16" s="45">
        <f t="shared" si="1"/>
        <v>400000</v>
      </c>
    </row>
    <row r="17" spans="1:6" x14ac:dyDescent="0.35">
      <c r="A17" s="44" t="s">
        <v>146</v>
      </c>
      <c r="B17" s="13">
        <v>6406</v>
      </c>
      <c r="C17" s="13" t="s">
        <v>52</v>
      </c>
      <c r="D17" s="14">
        <v>10000</v>
      </c>
      <c r="E17" s="14">
        <f t="shared" si="0"/>
        <v>210000</v>
      </c>
      <c r="F17" s="45">
        <f t="shared" si="1"/>
        <v>390000</v>
      </c>
    </row>
    <row r="18" spans="1:6" x14ac:dyDescent="0.35">
      <c r="A18" s="44" t="s">
        <v>147</v>
      </c>
      <c r="B18" s="13">
        <v>11693</v>
      </c>
      <c r="C18" s="13" t="s">
        <v>52</v>
      </c>
      <c r="D18" s="14">
        <v>10000</v>
      </c>
      <c r="E18" s="14">
        <f t="shared" si="0"/>
        <v>220000</v>
      </c>
      <c r="F18" s="45">
        <f t="shared" si="1"/>
        <v>380000</v>
      </c>
    </row>
    <row r="19" spans="1:6" x14ac:dyDescent="0.35">
      <c r="A19" s="44" t="s">
        <v>162</v>
      </c>
      <c r="B19" s="13">
        <v>11693</v>
      </c>
      <c r="C19" s="13" t="s">
        <v>52</v>
      </c>
      <c r="D19" s="14">
        <v>10000</v>
      </c>
      <c r="E19" s="14">
        <f t="shared" si="0"/>
        <v>230000</v>
      </c>
      <c r="F19" s="45">
        <f t="shared" si="1"/>
        <v>370000</v>
      </c>
    </row>
    <row r="20" spans="1:6" x14ac:dyDescent="0.35">
      <c r="A20" s="44" t="s">
        <v>149</v>
      </c>
      <c r="B20" s="13">
        <v>11693</v>
      </c>
      <c r="C20" s="13" t="s">
        <v>52</v>
      </c>
      <c r="D20" s="14">
        <v>10000</v>
      </c>
      <c r="E20" s="14">
        <f t="shared" si="0"/>
        <v>240000</v>
      </c>
      <c r="F20" s="45">
        <f t="shared" si="1"/>
        <v>360000</v>
      </c>
    </row>
    <row r="21" spans="1:6" x14ac:dyDescent="0.35">
      <c r="A21" s="44" t="s">
        <v>29</v>
      </c>
      <c r="B21" s="13">
        <v>11693</v>
      </c>
      <c r="C21" s="13" t="s">
        <v>52</v>
      </c>
      <c r="D21" s="14">
        <v>10000</v>
      </c>
      <c r="E21" s="14">
        <f t="shared" si="0"/>
        <v>250000</v>
      </c>
      <c r="F21" s="45">
        <f t="shared" si="1"/>
        <v>350000</v>
      </c>
    </row>
    <row r="22" spans="1:6" x14ac:dyDescent="0.35">
      <c r="A22" s="44" t="s">
        <v>150</v>
      </c>
      <c r="B22" s="13">
        <v>11693</v>
      </c>
      <c r="C22" s="13" t="s">
        <v>52</v>
      </c>
      <c r="D22" s="14">
        <v>10000</v>
      </c>
      <c r="E22" s="14">
        <f t="shared" si="0"/>
        <v>260000</v>
      </c>
      <c r="F22" s="45">
        <f t="shared" si="1"/>
        <v>340000</v>
      </c>
    </row>
    <row r="23" spans="1:6" x14ac:dyDescent="0.35">
      <c r="A23" s="44" t="s">
        <v>151</v>
      </c>
      <c r="B23" s="13">
        <v>11693</v>
      </c>
      <c r="C23" s="13" t="s">
        <v>52</v>
      </c>
      <c r="D23" s="14">
        <v>15000</v>
      </c>
      <c r="E23" s="14">
        <f t="shared" si="0"/>
        <v>275000</v>
      </c>
      <c r="F23" s="45">
        <f t="shared" si="1"/>
        <v>325000</v>
      </c>
    </row>
    <row r="24" spans="1:6" x14ac:dyDescent="0.35">
      <c r="A24" s="44" t="s">
        <v>152</v>
      </c>
      <c r="B24" s="13">
        <v>11694</v>
      </c>
      <c r="C24" s="13" t="s">
        <v>52</v>
      </c>
      <c r="D24" s="14">
        <v>10000</v>
      </c>
      <c r="E24" s="14">
        <f t="shared" si="0"/>
        <v>285000</v>
      </c>
      <c r="F24" s="45">
        <f t="shared" si="1"/>
        <v>315000</v>
      </c>
    </row>
    <row r="25" spans="1:6" x14ac:dyDescent="0.35">
      <c r="A25" s="44" t="s">
        <v>153</v>
      </c>
      <c r="B25" s="13">
        <v>10074</v>
      </c>
      <c r="C25" s="13" t="s">
        <v>52</v>
      </c>
      <c r="D25" s="14">
        <v>10000</v>
      </c>
      <c r="E25" s="14">
        <f t="shared" si="0"/>
        <v>295000</v>
      </c>
      <c r="F25" s="45">
        <f t="shared" si="1"/>
        <v>305000</v>
      </c>
    </row>
    <row r="26" spans="1:6" x14ac:dyDescent="0.35">
      <c r="A26" s="44" t="s">
        <v>154</v>
      </c>
      <c r="B26" s="13">
        <v>12289</v>
      </c>
      <c r="C26" s="13" t="s">
        <v>52</v>
      </c>
      <c r="D26" s="14">
        <v>10000</v>
      </c>
      <c r="E26" s="14">
        <f t="shared" si="0"/>
        <v>305000</v>
      </c>
      <c r="F26" s="45">
        <f t="shared" si="1"/>
        <v>295000</v>
      </c>
    </row>
    <row r="27" spans="1:6" x14ac:dyDescent="0.35">
      <c r="A27" s="44" t="s">
        <v>41</v>
      </c>
      <c r="B27" s="13">
        <v>12519</v>
      </c>
      <c r="C27" s="13" t="s">
        <v>52</v>
      </c>
      <c r="D27" s="14">
        <v>10000</v>
      </c>
      <c r="E27" s="14">
        <f t="shared" si="0"/>
        <v>315000</v>
      </c>
      <c r="F27" s="45">
        <f t="shared" si="1"/>
        <v>285000</v>
      </c>
    </row>
    <row r="28" spans="1:6" x14ac:dyDescent="0.35">
      <c r="A28" s="44" t="s">
        <v>155</v>
      </c>
      <c r="B28" s="13">
        <v>13993</v>
      </c>
      <c r="C28" s="13" t="s">
        <v>52</v>
      </c>
      <c r="D28" s="14">
        <v>10000</v>
      </c>
      <c r="E28" s="14">
        <f t="shared" si="0"/>
        <v>325000</v>
      </c>
      <c r="F28" s="45">
        <f t="shared" si="1"/>
        <v>275000</v>
      </c>
    </row>
    <row r="29" spans="1:6" x14ac:dyDescent="0.35">
      <c r="A29" s="44" t="s">
        <v>156</v>
      </c>
      <c r="B29" s="13">
        <v>13072</v>
      </c>
      <c r="C29" s="13" t="s">
        <v>52</v>
      </c>
      <c r="D29" s="14">
        <v>10000</v>
      </c>
      <c r="E29" s="14">
        <f t="shared" si="0"/>
        <v>335000</v>
      </c>
      <c r="F29" s="45">
        <f t="shared" si="1"/>
        <v>265000</v>
      </c>
    </row>
    <row r="30" spans="1:6" x14ac:dyDescent="0.35">
      <c r="A30" s="44" t="s">
        <v>157</v>
      </c>
      <c r="B30" s="13">
        <v>13823</v>
      </c>
      <c r="C30" s="13" t="s">
        <v>52</v>
      </c>
      <c r="D30" s="14">
        <v>10000</v>
      </c>
      <c r="E30" s="14">
        <f t="shared" si="0"/>
        <v>345000</v>
      </c>
      <c r="F30" s="45">
        <f t="shared" si="1"/>
        <v>255000</v>
      </c>
    </row>
    <row r="31" spans="1:6" x14ac:dyDescent="0.35">
      <c r="A31" s="44" t="s">
        <v>158</v>
      </c>
      <c r="B31" s="13">
        <v>12272</v>
      </c>
      <c r="C31" s="13" t="s">
        <v>52</v>
      </c>
      <c r="D31" s="14">
        <v>10000</v>
      </c>
      <c r="E31" s="14">
        <f t="shared" si="0"/>
        <v>355000</v>
      </c>
      <c r="F31" s="45">
        <f t="shared" si="1"/>
        <v>245000</v>
      </c>
    </row>
    <row r="32" spans="1:6" x14ac:dyDescent="0.35">
      <c r="A32" s="46">
        <v>46115</v>
      </c>
      <c r="B32" s="47">
        <v>12737</v>
      </c>
      <c r="C32" s="47" t="s">
        <v>163</v>
      </c>
      <c r="D32" s="48">
        <v>60000</v>
      </c>
      <c r="E32" s="48">
        <f t="shared" si="0"/>
        <v>415000</v>
      </c>
      <c r="F32" s="49">
        <f t="shared" si="1"/>
        <v>185000</v>
      </c>
    </row>
    <row r="33" spans="1:6" x14ac:dyDescent="0.35">
      <c r="A33" s="46">
        <v>46057</v>
      </c>
      <c r="B33" s="47">
        <v>13999</v>
      </c>
      <c r="C33" s="47" t="s">
        <v>52</v>
      </c>
      <c r="D33" s="48">
        <v>10000</v>
      </c>
      <c r="E33" s="48">
        <f>SUM(E32+D33)</f>
        <v>425000</v>
      </c>
      <c r="F33" s="49">
        <f>F32-D33</f>
        <v>175000</v>
      </c>
    </row>
    <row r="34" spans="1:6" x14ac:dyDescent="0.35">
      <c r="A34" s="13" t="s">
        <v>573</v>
      </c>
      <c r="B34" s="13">
        <v>12901</v>
      </c>
      <c r="C34" s="13" t="s">
        <v>52</v>
      </c>
      <c r="D34" s="14">
        <v>10000</v>
      </c>
      <c r="E34" s="14">
        <f>E33+D34</f>
        <v>435000</v>
      </c>
      <c r="F34" s="14">
        <f>F33-D34</f>
        <v>165000</v>
      </c>
    </row>
    <row r="35" spans="1:6" x14ac:dyDescent="0.35">
      <c r="A35" s="13" t="s">
        <v>574</v>
      </c>
      <c r="B35" s="13">
        <v>13499</v>
      </c>
      <c r="C35" s="13" t="s">
        <v>52</v>
      </c>
      <c r="D35" s="14">
        <v>10000</v>
      </c>
      <c r="E35" s="14">
        <f>E34+D35</f>
        <v>445000</v>
      </c>
      <c r="F35" s="14">
        <f>F34-D35</f>
        <v>155000</v>
      </c>
    </row>
    <row r="36" spans="1:6" x14ac:dyDescent="0.35">
      <c r="A36" s="13" t="s">
        <v>645</v>
      </c>
      <c r="B36" s="13">
        <v>1370</v>
      </c>
      <c r="C36" s="13" t="s">
        <v>52</v>
      </c>
      <c r="D36" s="14">
        <v>10000</v>
      </c>
      <c r="E36" s="14">
        <f>E35+D36</f>
        <v>455000</v>
      </c>
      <c r="F36" s="14">
        <f>F35-D36</f>
        <v>145000</v>
      </c>
    </row>
    <row r="37" spans="1:6" x14ac:dyDescent="0.35">
      <c r="A37" s="15">
        <v>46120</v>
      </c>
      <c r="B37" s="13">
        <v>1639</v>
      </c>
      <c r="C37" s="13" t="s">
        <v>52</v>
      </c>
      <c r="D37" s="14">
        <v>10000</v>
      </c>
      <c r="E37" s="14">
        <f>E36+D37</f>
        <v>465000</v>
      </c>
      <c r="F37" s="14">
        <f>F36-D37</f>
        <v>135000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L-5100</vt:lpstr>
      <vt:lpstr>L-5108</vt:lpstr>
      <vt:lpstr>L-5109</vt:lpstr>
      <vt:lpstr>L-5115</vt:lpstr>
      <vt:lpstr>L-5116</vt:lpstr>
      <vt:lpstr>L-5118</vt:lpstr>
      <vt:lpstr>L-5120</vt:lpstr>
      <vt:lpstr>L-5127</vt:lpstr>
      <vt:lpstr>L-5123-B</vt:lpstr>
      <vt:lpstr>L-5129</vt:lpstr>
      <vt:lpstr>L-5136</vt:lpstr>
      <vt:lpstr>L-5137</vt:lpstr>
      <vt:lpstr>L-5138</vt:lpstr>
      <vt:lpstr>L-5140</vt:lpstr>
      <vt:lpstr>L-5141</vt:lpstr>
      <vt:lpstr>L-5142</vt:lpstr>
      <vt:lpstr>L-5143</vt:lpstr>
      <vt:lpstr>L-5149</vt:lpstr>
      <vt:lpstr>L-5151</vt:lpstr>
      <vt:lpstr>L-5156</vt:lpstr>
      <vt:lpstr>L-5155</vt:lpstr>
      <vt:lpstr>L-5157</vt:lpstr>
      <vt:lpstr>L-5160</vt:lpstr>
      <vt:lpstr>L-5179</vt:lpstr>
      <vt:lpstr>L-5132</vt:lpstr>
      <vt:lpstr>L-5131</vt:lpstr>
      <vt:lpstr>L-5165</vt:lpstr>
      <vt:lpstr>L-5174</vt:lpstr>
      <vt:lpstr>L-5177</vt:lpstr>
      <vt:lpstr>L-5175</vt:lpstr>
      <vt:lpstr>L-5176</vt:lpstr>
      <vt:lpstr>L-5184</vt:lpstr>
      <vt:lpstr>L-5188</vt:lpstr>
      <vt:lpstr>L-5189</vt:lpstr>
      <vt:lpstr>L-5190</vt:lpstr>
      <vt:lpstr>L-5192</vt:lpstr>
      <vt:lpstr>L-5122-A</vt:lpstr>
      <vt:lpstr>L-5193</vt:lpstr>
      <vt:lpstr>L-5200</vt:lpstr>
      <vt:lpstr>L-5194</vt:lpstr>
      <vt:lpstr>L-5102</vt:lpstr>
      <vt:lpstr>L-5101</vt:lpstr>
      <vt:lpstr>L-5104</vt:lpstr>
      <vt:lpstr>L-5103</vt:lpstr>
      <vt:lpstr>L-5147</vt:lpstr>
      <vt:lpstr>L-5168</vt:lpstr>
      <vt:lpstr>L-5105</vt:lpstr>
      <vt:lpstr>L-5171</vt:lpstr>
      <vt:lpstr>L-5180</vt:lpstr>
      <vt:lpstr>L-5199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2026-02-22T00:20:44Z</dcterms:created>
  <dcterms:modified xsi:type="dcterms:W3CDTF">2026-10-11T13:44:13Z</dcterms:modified>
</cp:coreProperties>
</file>