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LOT-6001-7000\"/>
    </mc:Choice>
  </mc:AlternateContent>
  <xr:revisionPtr revIDLastSave="0" documentId="13_ncr:1_{BA979BBF-E4E1-47B9-BBD4-CD3EF4CA7507}" xr6:coauthVersionLast="47" xr6:coauthVersionMax="47" xr10:uidLastSave="{00000000-0000-0000-0000-000000000000}"/>
  <bookViews>
    <workbookView xWindow="-110" yWindow="-110" windowWidth="19420" windowHeight="10420" activeTab="2" xr2:uid="{296B45EF-09C4-4108-9A9B-9E4E4D727EB1}"/>
  </bookViews>
  <sheets>
    <sheet name="L-6549" sheetId="2" r:id="rId1"/>
    <sheet name="L-6592" sheetId="1" r:id="rId2"/>
    <sheet name="L-6548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3" l="1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19" i="3"/>
  <c r="F20" i="3" s="1"/>
  <c r="F18" i="3"/>
  <c r="F17" i="3"/>
  <c r="F16" i="3"/>
  <c r="F15" i="3"/>
  <c r="F14" i="3"/>
  <c r="F13" i="3"/>
  <c r="F12" i="3"/>
  <c r="F11" i="3"/>
  <c r="F10" i="3"/>
  <c r="F9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F28" i="2"/>
  <c r="E28" i="2"/>
  <c r="F25" i="2"/>
  <c r="F26" i="2" s="1"/>
  <c r="F27" i="2" s="1"/>
  <c r="E25" i="2"/>
  <c r="E26" i="2" s="1"/>
  <c r="E27" i="2" s="1"/>
  <c r="F18" i="2"/>
  <c r="F19" i="2" s="1"/>
  <c r="F20" i="2" s="1"/>
  <c r="F21" i="2" s="1"/>
  <c r="F22" i="2" s="1"/>
  <c r="F23" i="2" s="1"/>
  <c r="F24" i="2" s="1"/>
  <c r="E18" i="2"/>
  <c r="E19" i="2"/>
  <c r="E20" i="2" s="1"/>
  <c r="E21" i="2" s="1"/>
  <c r="E22" i="2" s="1"/>
  <c r="E23" i="2" s="1"/>
  <c r="E24" i="2" s="1"/>
  <c r="F17" i="2"/>
  <c r="E17" i="2"/>
  <c r="F41" i="1"/>
  <c r="F42" i="1" s="1"/>
  <c r="E41" i="1"/>
  <c r="E42" i="1" s="1"/>
  <c r="F29" i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E29" i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F22" i="1"/>
  <c r="F23" i="1" s="1"/>
  <c r="F24" i="1" s="1"/>
  <c r="F25" i="1" s="1"/>
  <c r="F26" i="1" s="1"/>
  <c r="F27" i="1" s="1"/>
  <c r="F28" i="1" s="1"/>
  <c r="E22" i="1"/>
  <c r="E23" i="1"/>
  <c r="E24" i="1" s="1"/>
  <c r="E25" i="1" s="1"/>
  <c r="E26" i="1" s="1"/>
  <c r="E27" i="1" s="1"/>
  <c r="E28" i="1" s="1"/>
  <c r="F18" i="1"/>
  <c r="F19" i="1" s="1"/>
  <c r="F20" i="1" s="1"/>
  <c r="F21" i="1" s="1"/>
  <c r="E18" i="1"/>
  <c r="E19" i="1" s="1"/>
  <c r="E20" i="1" s="1"/>
  <c r="E21" i="1" s="1"/>
  <c r="F9" i="1"/>
  <c r="F10" i="1"/>
  <c r="F11" i="1"/>
  <c r="F12" i="1"/>
  <c r="F13" i="1" s="1"/>
  <c r="F14" i="1" s="1"/>
  <c r="F15" i="1" s="1"/>
  <c r="F16" i="1" s="1"/>
  <c r="F17" i="1" s="1"/>
  <c r="E9" i="1"/>
  <c r="E10" i="1"/>
  <c r="E11" i="1" s="1"/>
  <c r="E12" i="1" s="1"/>
  <c r="E13" i="1" s="1"/>
  <c r="E14" i="1" s="1"/>
  <c r="E15" i="1" s="1"/>
  <c r="E16" i="1" s="1"/>
  <c r="E17" i="1" s="1"/>
  <c r="F8" i="1"/>
  <c r="E8" i="1"/>
</calcChain>
</file>

<file path=xl/sharedStrings.xml><?xml version="1.0" encoding="utf-8"?>
<sst xmlns="http://schemas.openxmlformats.org/spreadsheetml/2006/main" count="180" uniqueCount="89">
  <si>
    <t>Date</t>
  </si>
  <si>
    <t>R.NO</t>
  </si>
  <si>
    <t>Description</t>
  </si>
  <si>
    <t>Amount Rec</t>
  </si>
  <si>
    <t>Total Rec</t>
  </si>
  <si>
    <t>Amount Due</t>
  </si>
  <si>
    <t>Name : Tariq</t>
  </si>
  <si>
    <t>Father Name : Badshah Gul</t>
  </si>
  <si>
    <t>CNIC #42201-7170087-7</t>
  </si>
  <si>
    <t>Contact # 03147319646</t>
  </si>
  <si>
    <t>Plot No : 6592</t>
  </si>
  <si>
    <t>Cost :580,000</t>
  </si>
  <si>
    <t>19/8/2022</t>
  </si>
  <si>
    <t>13/5/2023</t>
  </si>
  <si>
    <t>21/6/2023</t>
  </si>
  <si>
    <t>17/8/2023</t>
  </si>
  <si>
    <t>instament</t>
  </si>
  <si>
    <t>Adj Reh</t>
  </si>
  <si>
    <t>13/3/2024</t>
  </si>
  <si>
    <t>13/5/2024</t>
  </si>
  <si>
    <t>9/3/1025</t>
  </si>
  <si>
    <t>Name ;Abu Saeed</t>
  </si>
  <si>
    <t>Father Name : Muhammad Alam</t>
  </si>
  <si>
    <t>CNIC #42401-1775701-9</t>
  </si>
  <si>
    <t>Contact # 0321219974</t>
  </si>
  <si>
    <t>Plot No : 6549</t>
  </si>
  <si>
    <t>Cost :380,000</t>
  </si>
  <si>
    <t>THIS FILE IS TRANSFERRED TO,,,,</t>
  </si>
  <si>
    <t>DETAIL OF TRANSFERRED</t>
  </si>
  <si>
    <t>Name ;Abdul Hafeez</t>
  </si>
  <si>
    <t>Father Name : Abdul Raheem</t>
  </si>
  <si>
    <t>CNIC #42401-8912229-5</t>
  </si>
  <si>
    <t>Contact # 03453959076</t>
  </si>
  <si>
    <t>14/7/2022</t>
  </si>
  <si>
    <t>13/8/2022</t>
  </si>
  <si>
    <t>30/3/2023</t>
  </si>
  <si>
    <t>14/4/2023</t>
  </si>
  <si>
    <t>21/5/2023</t>
  </si>
  <si>
    <t>25/6/2023</t>
  </si>
  <si>
    <t>24/9/2023</t>
  </si>
  <si>
    <t>22/10/2023</t>
  </si>
  <si>
    <t>AL Rehman</t>
  </si>
  <si>
    <t>instalment</t>
  </si>
  <si>
    <t>Adj Rehman</t>
  </si>
  <si>
    <t>24/12/2023</t>
  </si>
  <si>
    <t>21/1/2024</t>
  </si>
  <si>
    <t>25/2/2024</t>
  </si>
  <si>
    <t>Code Num;CUU5626256</t>
  </si>
  <si>
    <t>26/11/2023</t>
  </si>
  <si>
    <t>DEVELOPMENT CONTINUE</t>
  </si>
  <si>
    <t>NAME:</t>
  </si>
  <si>
    <t>F\NAME:</t>
  </si>
  <si>
    <t>CNIC:</t>
  </si>
  <si>
    <t>CONTACT:</t>
  </si>
  <si>
    <t>PLOT NO:</t>
  </si>
  <si>
    <t>06\06\023</t>
  </si>
  <si>
    <t>13\07\023</t>
  </si>
  <si>
    <t>18\08\023</t>
  </si>
  <si>
    <t>25\09\023</t>
  </si>
  <si>
    <t>10\10\023</t>
  </si>
  <si>
    <t>13\11\023</t>
  </si>
  <si>
    <t>14\12\023</t>
  </si>
  <si>
    <t>15\01\024</t>
  </si>
  <si>
    <t>18\02\024</t>
  </si>
  <si>
    <t>23\03\024</t>
  </si>
  <si>
    <t>11\05\024</t>
  </si>
  <si>
    <t>16\06\024</t>
  </si>
  <si>
    <t>27\07\024</t>
  </si>
  <si>
    <t>22\08\024</t>
  </si>
  <si>
    <t>22\09\024</t>
  </si>
  <si>
    <t>16\10\024</t>
  </si>
  <si>
    <t>17\11\024</t>
  </si>
  <si>
    <t>15\12\024</t>
  </si>
  <si>
    <t>16\01\025</t>
  </si>
  <si>
    <t>19\03\026</t>
  </si>
  <si>
    <t>20\04\026</t>
  </si>
  <si>
    <t>18\05\026</t>
  </si>
  <si>
    <t>14\06\026</t>
  </si>
  <si>
    <t>18\07\025</t>
  </si>
  <si>
    <t>17\08\025</t>
  </si>
  <si>
    <t>19\10\025</t>
  </si>
  <si>
    <t>20\11\025</t>
  </si>
  <si>
    <t>20\12\025</t>
  </si>
  <si>
    <t>20\01\026</t>
  </si>
  <si>
    <t>15\02\026</t>
  </si>
  <si>
    <t>23\03\026</t>
  </si>
  <si>
    <t>19\04\026</t>
  </si>
  <si>
    <t>RESIDATINAL BOOKING</t>
  </si>
  <si>
    <t>INTALLMENT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</si>
</sst>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CEFC-38B8-4420-82FC-C5A71A9F6AA6}">
  <dimension ref="A1:F29"/>
  <sheetViews>
    <sheetView workbookViewId="0">
      <selection activeCell="A30" sqref="A30"/>
    </sheetView>
  </sheetViews>
  <sheetFormatPr defaultRowHeight="14.5" x14ac:dyDescent="0.35"/>
  <cols>
    <col min="3" max="3" width="11.36328125" customWidth="1"/>
  </cols>
  <sheetData>
    <row r="1" spans="1:6" ht="18.5" x14ac:dyDescent="0.45">
      <c r="A1" s="1" t="s">
        <v>21</v>
      </c>
      <c r="B1" s="1"/>
      <c r="C1" s="2"/>
      <c r="D1" s="1"/>
      <c r="E1" s="1"/>
      <c r="F1" s="1"/>
    </row>
    <row r="2" spans="1:6" ht="18.5" x14ac:dyDescent="0.45">
      <c r="A2" s="1" t="s">
        <v>22</v>
      </c>
      <c r="C2" s="1"/>
      <c r="D2" s="1"/>
      <c r="E2" s="1"/>
      <c r="F2" s="1"/>
    </row>
    <row r="3" spans="1:6" ht="18.5" x14ac:dyDescent="0.45">
      <c r="A3" s="1" t="s">
        <v>23</v>
      </c>
      <c r="B3" s="1"/>
      <c r="C3" s="1"/>
      <c r="D3" s="1"/>
      <c r="E3" s="1"/>
      <c r="F3" s="1"/>
    </row>
    <row r="4" spans="1:6" ht="18.5" x14ac:dyDescent="0.45">
      <c r="A4" s="1" t="s">
        <v>24</v>
      </c>
      <c r="B4" s="1"/>
      <c r="C4" s="1"/>
      <c r="D4" s="1"/>
      <c r="E4" s="1"/>
      <c r="F4" s="1"/>
    </row>
    <row r="5" spans="1:6" ht="18.5" x14ac:dyDescent="0.45">
      <c r="A5" s="1" t="s">
        <v>25</v>
      </c>
      <c r="B5" s="1"/>
      <c r="C5" s="1"/>
      <c r="D5" s="1" t="s">
        <v>26</v>
      </c>
      <c r="E5" s="1"/>
      <c r="F5" s="1"/>
    </row>
    <row r="6" spans="1:6" x14ac:dyDescent="0.35">
      <c r="A6" s="9" t="s">
        <v>27</v>
      </c>
      <c r="B6" s="10"/>
      <c r="C6" s="10"/>
      <c r="D6" s="10"/>
      <c r="E6" s="8"/>
      <c r="F6" s="8"/>
    </row>
    <row r="7" spans="1:6" ht="18.5" x14ac:dyDescent="0.45">
      <c r="A7" s="1" t="s">
        <v>28</v>
      </c>
    </row>
    <row r="8" spans="1:6" ht="18.5" x14ac:dyDescent="0.45">
      <c r="A8" s="1" t="s">
        <v>29</v>
      </c>
      <c r="B8" s="1"/>
      <c r="C8" s="2"/>
      <c r="D8" s="1"/>
      <c r="E8" s="1"/>
    </row>
    <row r="9" spans="1:6" ht="18.5" x14ac:dyDescent="0.45">
      <c r="A9" s="1" t="s">
        <v>30</v>
      </c>
      <c r="C9" s="1"/>
      <c r="D9" s="1"/>
      <c r="E9" s="1"/>
    </row>
    <row r="10" spans="1:6" ht="18.5" x14ac:dyDescent="0.45">
      <c r="A10" s="1" t="s">
        <v>31</v>
      </c>
      <c r="B10" s="1"/>
      <c r="C10" s="1"/>
      <c r="D10" s="1"/>
      <c r="E10" s="1"/>
    </row>
    <row r="11" spans="1:6" ht="18.5" x14ac:dyDescent="0.45">
      <c r="A11" s="1" t="s">
        <v>47</v>
      </c>
      <c r="B11" s="1"/>
      <c r="C11" s="1"/>
      <c r="D11" s="1"/>
      <c r="E11" s="1"/>
    </row>
    <row r="12" spans="1:6" ht="18.5" x14ac:dyDescent="0.45">
      <c r="A12" s="1" t="s">
        <v>32</v>
      </c>
      <c r="B12" s="1"/>
      <c r="C12" s="1"/>
      <c r="D12" s="1"/>
      <c r="E12" s="1"/>
    </row>
    <row r="13" spans="1:6" ht="18.5" x14ac:dyDescent="0.45">
      <c r="A13" s="1" t="s">
        <v>25</v>
      </c>
      <c r="B13" s="1"/>
      <c r="C13" s="1"/>
      <c r="D13" s="1" t="s">
        <v>26</v>
      </c>
      <c r="E13" s="1"/>
    </row>
    <row r="14" spans="1:6" x14ac:dyDescent="0.35">
      <c r="A14" s="3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35">
      <c r="A15" t="s">
        <v>33</v>
      </c>
      <c r="C15" t="s">
        <v>41</v>
      </c>
      <c r="F15" s="12">
        <v>170000</v>
      </c>
    </row>
    <row r="16" spans="1:6" x14ac:dyDescent="0.35">
      <c r="A16" t="s">
        <v>34</v>
      </c>
      <c r="B16">
        <v>468</v>
      </c>
      <c r="C16" t="s">
        <v>42</v>
      </c>
      <c r="D16" s="12">
        <v>10000</v>
      </c>
      <c r="E16" s="12">
        <v>10000</v>
      </c>
      <c r="F16" s="12">
        <v>160000</v>
      </c>
    </row>
    <row r="17" spans="1:6" x14ac:dyDescent="0.35">
      <c r="A17" t="s">
        <v>35</v>
      </c>
      <c r="B17">
        <v>2648</v>
      </c>
      <c r="C17" t="s">
        <v>43</v>
      </c>
      <c r="D17" s="12">
        <v>40000</v>
      </c>
      <c r="E17" s="12">
        <f>SUM(E16+D17)</f>
        <v>50000</v>
      </c>
      <c r="F17" s="12">
        <f>F16-D17</f>
        <v>120000</v>
      </c>
    </row>
    <row r="18" spans="1:6" x14ac:dyDescent="0.35">
      <c r="A18" s="11">
        <v>45049</v>
      </c>
      <c r="B18">
        <v>2649</v>
      </c>
      <c r="C18" t="s">
        <v>42</v>
      </c>
      <c r="D18" s="12">
        <v>10000</v>
      </c>
      <c r="E18" s="12">
        <f t="shared" ref="E18:E28" si="0">SUM(E17+D18)</f>
        <v>60000</v>
      </c>
      <c r="F18" s="12">
        <f t="shared" ref="F18:F28" si="1">F17-D18</f>
        <v>110000</v>
      </c>
    </row>
    <row r="19" spans="1:6" x14ac:dyDescent="0.35">
      <c r="A19" t="s">
        <v>36</v>
      </c>
      <c r="B19">
        <v>1129</v>
      </c>
      <c r="C19" t="s">
        <v>42</v>
      </c>
      <c r="D19" s="12">
        <v>10000</v>
      </c>
      <c r="E19" s="12">
        <f t="shared" si="0"/>
        <v>70000</v>
      </c>
      <c r="F19" s="12">
        <f t="shared" si="1"/>
        <v>100000</v>
      </c>
    </row>
    <row r="20" spans="1:6" x14ac:dyDescent="0.35">
      <c r="A20" t="s">
        <v>37</v>
      </c>
      <c r="B20">
        <v>625</v>
      </c>
      <c r="C20" t="s">
        <v>42</v>
      </c>
      <c r="D20" s="12">
        <v>10000</v>
      </c>
      <c r="E20" s="12">
        <f t="shared" si="0"/>
        <v>80000</v>
      </c>
      <c r="F20" s="12">
        <f t="shared" si="1"/>
        <v>90000</v>
      </c>
    </row>
    <row r="21" spans="1:6" x14ac:dyDescent="0.35">
      <c r="A21" t="s">
        <v>38</v>
      </c>
      <c r="B21">
        <v>2040</v>
      </c>
      <c r="C21" t="s">
        <v>42</v>
      </c>
      <c r="D21" s="12">
        <v>10000</v>
      </c>
      <c r="E21" s="12">
        <f t="shared" si="0"/>
        <v>90000</v>
      </c>
      <c r="F21" s="12">
        <f t="shared" si="1"/>
        <v>80000</v>
      </c>
    </row>
    <row r="22" spans="1:6" x14ac:dyDescent="0.35">
      <c r="A22" s="11">
        <v>45085</v>
      </c>
      <c r="B22">
        <v>2235</v>
      </c>
      <c r="C22" t="s">
        <v>42</v>
      </c>
      <c r="D22" s="12">
        <v>10000</v>
      </c>
      <c r="E22" s="12">
        <f t="shared" si="0"/>
        <v>100000</v>
      </c>
      <c r="F22" s="12">
        <f t="shared" si="1"/>
        <v>70000</v>
      </c>
    </row>
    <row r="23" spans="1:6" x14ac:dyDescent="0.35">
      <c r="A23" t="s">
        <v>39</v>
      </c>
      <c r="B23">
        <v>3794</v>
      </c>
      <c r="C23" t="s">
        <v>42</v>
      </c>
      <c r="D23" s="12">
        <v>20000</v>
      </c>
      <c r="E23" s="12">
        <f t="shared" si="0"/>
        <v>120000</v>
      </c>
      <c r="F23" s="12">
        <f t="shared" si="1"/>
        <v>50000</v>
      </c>
    </row>
    <row r="24" spans="1:6" x14ac:dyDescent="0.35">
      <c r="A24" t="s">
        <v>40</v>
      </c>
      <c r="B24">
        <v>4444</v>
      </c>
      <c r="C24" t="s">
        <v>42</v>
      </c>
      <c r="D24" s="12">
        <v>10000</v>
      </c>
      <c r="E24" s="12">
        <f t="shared" si="0"/>
        <v>130000</v>
      </c>
      <c r="F24" s="12">
        <f t="shared" si="1"/>
        <v>40000</v>
      </c>
    </row>
    <row r="25" spans="1:6" x14ac:dyDescent="0.35">
      <c r="A25" t="s">
        <v>48</v>
      </c>
      <c r="B25">
        <v>5765</v>
      </c>
      <c r="C25" t="s">
        <v>42</v>
      </c>
      <c r="D25" s="12">
        <v>10000</v>
      </c>
      <c r="E25" s="12">
        <f t="shared" si="0"/>
        <v>140000</v>
      </c>
      <c r="F25" s="12">
        <f t="shared" si="1"/>
        <v>30000</v>
      </c>
    </row>
    <row r="26" spans="1:6" x14ac:dyDescent="0.35">
      <c r="A26" t="s">
        <v>44</v>
      </c>
      <c r="B26">
        <v>6350</v>
      </c>
      <c r="C26" t="s">
        <v>42</v>
      </c>
      <c r="D26" s="12">
        <v>10000</v>
      </c>
      <c r="E26" s="12">
        <f t="shared" si="0"/>
        <v>150000</v>
      </c>
      <c r="F26" s="12">
        <f t="shared" si="1"/>
        <v>20000</v>
      </c>
    </row>
    <row r="27" spans="1:6" x14ac:dyDescent="0.35">
      <c r="A27" t="s">
        <v>45</v>
      </c>
      <c r="B27">
        <v>6350</v>
      </c>
      <c r="C27" t="s">
        <v>42</v>
      </c>
      <c r="D27" s="12">
        <v>10000</v>
      </c>
      <c r="E27" s="12">
        <f t="shared" si="0"/>
        <v>160000</v>
      </c>
      <c r="F27" s="12">
        <f t="shared" si="1"/>
        <v>10000</v>
      </c>
    </row>
    <row r="28" spans="1:6" x14ac:dyDescent="0.35">
      <c r="A28" t="s">
        <v>46</v>
      </c>
      <c r="B28">
        <v>6769</v>
      </c>
      <c r="C28" t="s">
        <v>42</v>
      </c>
      <c r="D28" s="12">
        <v>10000</v>
      </c>
      <c r="E28" s="12">
        <f t="shared" si="0"/>
        <v>170000</v>
      </c>
      <c r="F28" s="12">
        <f t="shared" si="1"/>
        <v>0</v>
      </c>
    </row>
    <row r="29" spans="1:6" x14ac:dyDescent="0.35">
      <c r="B2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F2F2-E40C-44EE-A490-7FDD3369E6D1}">
  <dimension ref="A1:F42"/>
  <sheetViews>
    <sheetView workbookViewId="0">
      <selection activeCell="A6" sqref="A6:F6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5.26953125" bestFit="1" customWidth="1"/>
    <col min="6" max="6" width="11.36328125" bestFit="1" customWidth="1"/>
  </cols>
  <sheetData>
    <row r="1" spans="1:6" ht="18.5" x14ac:dyDescent="0.45">
      <c r="A1" s="1" t="s">
        <v>6</v>
      </c>
      <c r="B1" s="1"/>
      <c r="C1" s="2"/>
      <c r="D1" s="1"/>
      <c r="E1" s="1"/>
      <c r="F1" s="1"/>
    </row>
    <row r="2" spans="1:6" ht="18.5" x14ac:dyDescent="0.45">
      <c r="A2" s="1" t="s">
        <v>7</v>
      </c>
      <c r="C2" s="1"/>
      <c r="D2" s="1"/>
      <c r="E2" s="1"/>
      <c r="F2" s="1"/>
    </row>
    <row r="3" spans="1:6" ht="18.5" x14ac:dyDescent="0.45">
      <c r="A3" s="1" t="s">
        <v>8</v>
      </c>
      <c r="B3" s="1"/>
      <c r="C3" s="1"/>
      <c r="D3" s="1"/>
      <c r="E3" s="1"/>
      <c r="F3" s="1"/>
    </row>
    <row r="4" spans="1:6" ht="18.5" x14ac:dyDescent="0.45">
      <c r="A4" s="1" t="s">
        <v>9</v>
      </c>
      <c r="B4" s="1"/>
      <c r="C4" s="1"/>
      <c r="D4" s="1"/>
      <c r="E4" s="1"/>
      <c r="F4" s="1"/>
    </row>
    <row r="5" spans="1:6" ht="18.5" x14ac:dyDescent="0.45">
      <c r="A5" s="1" t="s">
        <v>10</v>
      </c>
      <c r="B5" s="1"/>
      <c r="C5" s="1"/>
      <c r="D5" s="1" t="s">
        <v>11</v>
      </c>
      <c r="E5" s="1"/>
      <c r="F5" s="1"/>
    </row>
    <row r="6" spans="1:6" x14ac:dyDescent="0.35">
      <c r="A6" s="3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</row>
    <row r="7" spans="1:6" x14ac:dyDescent="0.35">
      <c r="A7" s="5" t="s">
        <v>12</v>
      </c>
      <c r="B7" s="5">
        <v>1125</v>
      </c>
      <c r="C7" s="5" t="s">
        <v>16</v>
      </c>
      <c r="D7" s="6">
        <v>10000</v>
      </c>
      <c r="E7" s="6">
        <v>10000</v>
      </c>
      <c r="F7" s="6">
        <v>446000</v>
      </c>
    </row>
    <row r="8" spans="1:6" x14ac:dyDescent="0.35">
      <c r="A8" s="7">
        <v>45261</v>
      </c>
      <c r="B8" s="5">
        <v>1857</v>
      </c>
      <c r="C8" s="5" t="s">
        <v>17</v>
      </c>
      <c r="D8" s="6">
        <v>10000</v>
      </c>
      <c r="E8" s="6">
        <f>SUM(E7+D8)</f>
        <v>20000</v>
      </c>
      <c r="F8" s="6">
        <f>F7-D8</f>
        <v>436000</v>
      </c>
    </row>
    <row r="9" spans="1:6" x14ac:dyDescent="0.35">
      <c r="A9" s="7">
        <v>45050</v>
      </c>
      <c r="B9" s="5">
        <v>1858</v>
      </c>
      <c r="C9" s="5" t="s">
        <v>16</v>
      </c>
      <c r="D9" s="6">
        <v>13000</v>
      </c>
      <c r="E9" s="6">
        <f t="shared" ref="E9:E42" si="0">SUM(E8+D9)</f>
        <v>33000</v>
      </c>
      <c r="F9" s="6">
        <f t="shared" ref="F9:F42" si="1">F8-D9</f>
        <v>423000</v>
      </c>
    </row>
    <row r="10" spans="1:6" x14ac:dyDescent="0.35">
      <c r="A10" s="5" t="s">
        <v>13</v>
      </c>
      <c r="B10" s="5">
        <v>1540</v>
      </c>
      <c r="C10" s="5" t="s">
        <v>16</v>
      </c>
      <c r="D10" s="6">
        <v>10000</v>
      </c>
      <c r="E10" s="6">
        <f t="shared" si="0"/>
        <v>43000</v>
      </c>
      <c r="F10" s="6">
        <f t="shared" si="1"/>
        <v>413000</v>
      </c>
    </row>
    <row r="11" spans="1:6" x14ac:dyDescent="0.35">
      <c r="A11" s="5" t="s">
        <v>14</v>
      </c>
      <c r="B11" s="5">
        <v>973</v>
      </c>
      <c r="C11" s="5" t="s">
        <v>16</v>
      </c>
      <c r="D11" s="6">
        <v>10000</v>
      </c>
      <c r="E11" s="6">
        <f t="shared" si="0"/>
        <v>53000</v>
      </c>
      <c r="F11" s="6">
        <f t="shared" si="1"/>
        <v>403000</v>
      </c>
    </row>
    <row r="12" spans="1:6" x14ac:dyDescent="0.35">
      <c r="A12" s="7">
        <v>45206</v>
      </c>
      <c r="B12" s="5">
        <v>2666</v>
      </c>
      <c r="C12" s="5" t="s">
        <v>16</v>
      </c>
      <c r="D12" s="6">
        <v>10000</v>
      </c>
      <c r="E12" s="6">
        <f t="shared" si="0"/>
        <v>63000</v>
      </c>
      <c r="F12" s="6">
        <f t="shared" si="1"/>
        <v>393000</v>
      </c>
    </row>
    <row r="13" spans="1:6" x14ac:dyDescent="0.35">
      <c r="A13" s="5" t="s">
        <v>15</v>
      </c>
      <c r="B13" s="5">
        <v>3031</v>
      </c>
      <c r="C13" s="5" t="s">
        <v>16</v>
      </c>
      <c r="D13" s="6">
        <v>10000</v>
      </c>
      <c r="E13" s="6">
        <f t="shared" si="0"/>
        <v>73000</v>
      </c>
      <c r="F13" s="6">
        <f t="shared" si="1"/>
        <v>383000</v>
      </c>
    </row>
    <row r="14" spans="1:6" x14ac:dyDescent="0.35">
      <c r="A14" s="7">
        <v>45269</v>
      </c>
      <c r="B14" s="5">
        <v>3574</v>
      </c>
      <c r="C14" s="5" t="s">
        <v>16</v>
      </c>
      <c r="D14" s="6">
        <v>10000</v>
      </c>
      <c r="E14" s="6">
        <f t="shared" si="0"/>
        <v>83000</v>
      </c>
      <c r="F14" s="6">
        <f t="shared" si="1"/>
        <v>373000</v>
      </c>
    </row>
    <row r="15" spans="1:6" x14ac:dyDescent="0.35">
      <c r="A15" s="7">
        <v>45179</v>
      </c>
      <c r="B15" s="5">
        <v>4123</v>
      </c>
      <c r="C15" s="5" t="s">
        <v>16</v>
      </c>
      <c r="D15" s="6">
        <v>10000</v>
      </c>
      <c r="E15" s="6">
        <f t="shared" si="0"/>
        <v>93000</v>
      </c>
      <c r="F15" s="6">
        <f t="shared" si="1"/>
        <v>363000</v>
      </c>
    </row>
    <row r="16" spans="1:6" x14ac:dyDescent="0.35">
      <c r="A16" s="7">
        <v>44938</v>
      </c>
      <c r="B16" s="5">
        <v>5225</v>
      </c>
      <c r="C16" s="5" t="s">
        <v>16</v>
      </c>
      <c r="D16" s="6">
        <v>15000</v>
      </c>
      <c r="E16" s="6">
        <f t="shared" si="0"/>
        <v>108000</v>
      </c>
      <c r="F16" s="6">
        <f t="shared" si="1"/>
        <v>348000</v>
      </c>
    </row>
    <row r="17" spans="1:6" x14ac:dyDescent="0.35">
      <c r="A17" s="7">
        <v>45352</v>
      </c>
      <c r="B17" s="5">
        <v>5893</v>
      </c>
      <c r="C17" s="5" t="s">
        <v>16</v>
      </c>
      <c r="D17" s="6">
        <v>12500</v>
      </c>
      <c r="E17" s="6">
        <f t="shared" si="0"/>
        <v>120500</v>
      </c>
      <c r="F17" s="6">
        <f t="shared" si="1"/>
        <v>335500</v>
      </c>
    </row>
    <row r="18" spans="1:6" x14ac:dyDescent="0.35">
      <c r="A18" s="7">
        <v>45567</v>
      </c>
      <c r="B18" s="5">
        <v>7024</v>
      </c>
      <c r="C18" s="5" t="s">
        <v>16</v>
      </c>
      <c r="D18" s="6">
        <v>12500</v>
      </c>
      <c r="E18" s="6">
        <f t="shared" si="0"/>
        <v>133000</v>
      </c>
      <c r="F18" s="6">
        <f t="shared" si="1"/>
        <v>323000</v>
      </c>
    </row>
    <row r="19" spans="1:6" x14ac:dyDescent="0.35">
      <c r="A19" s="5" t="s">
        <v>18</v>
      </c>
      <c r="B19" s="5">
        <v>7350</v>
      </c>
      <c r="C19" s="5" t="s">
        <v>16</v>
      </c>
      <c r="D19" s="6">
        <v>10000</v>
      </c>
      <c r="E19" s="6">
        <f t="shared" si="0"/>
        <v>143000</v>
      </c>
      <c r="F19" s="6">
        <f t="shared" si="1"/>
        <v>313000</v>
      </c>
    </row>
    <row r="20" spans="1:6" x14ac:dyDescent="0.35">
      <c r="A20" s="7">
        <v>45539</v>
      </c>
      <c r="B20" s="5">
        <v>7807</v>
      </c>
      <c r="C20" s="5" t="s">
        <v>16</v>
      </c>
      <c r="D20" s="6">
        <v>10000</v>
      </c>
      <c r="E20" s="6">
        <f t="shared" si="0"/>
        <v>153000</v>
      </c>
      <c r="F20" s="6">
        <f t="shared" si="1"/>
        <v>303000</v>
      </c>
    </row>
    <row r="21" spans="1:6" x14ac:dyDescent="0.35">
      <c r="A21" s="5" t="s">
        <v>19</v>
      </c>
      <c r="B21" s="5">
        <v>8487</v>
      </c>
      <c r="C21" s="5" t="s">
        <v>16</v>
      </c>
      <c r="D21" s="6">
        <v>10000</v>
      </c>
      <c r="E21" s="6">
        <f t="shared" si="0"/>
        <v>163000</v>
      </c>
      <c r="F21" s="6">
        <f t="shared" si="1"/>
        <v>293000</v>
      </c>
    </row>
    <row r="22" spans="1:6" x14ac:dyDescent="0.35">
      <c r="A22" s="7">
        <v>45632</v>
      </c>
      <c r="B22" s="5">
        <v>9039</v>
      </c>
      <c r="C22" s="5" t="s">
        <v>16</v>
      </c>
      <c r="D22" s="6">
        <v>10000</v>
      </c>
      <c r="E22" s="6">
        <f t="shared" si="0"/>
        <v>173000</v>
      </c>
      <c r="F22" s="6">
        <f t="shared" si="1"/>
        <v>283000</v>
      </c>
    </row>
    <row r="23" spans="1:6" x14ac:dyDescent="0.35">
      <c r="A23" s="7">
        <v>45572</v>
      </c>
      <c r="B23" s="5">
        <v>9486</v>
      </c>
      <c r="C23" s="5" t="s">
        <v>16</v>
      </c>
      <c r="D23" s="6">
        <v>10000</v>
      </c>
      <c r="E23" s="6">
        <f t="shared" si="0"/>
        <v>183000</v>
      </c>
      <c r="F23" s="6">
        <f t="shared" si="1"/>
        <v>273000</v>
      </c>
    </row>
    <row r="24" spans="1:6" x14ac:dyDescent="0.35">
      <c r="A24" s="7">
        <v>45573</v>
      </c>
      <c r="B24" s="5">
        <v>11039</v>
      </c>
      <c r="C24" s="5" t="s">
        <v>16</v>
      </c>
      <c r="D24" s="6">
        <v>10000</v>
      </c>
      <c r="E24" s="6">
        <f t="shared" si="0"/>
        <v>193000</v>
      </c>
      <c r="F24" s="6">
        <f t="shared" si="1"/>
        <v>263000</v>
      </c>
    </row>
    <row r="25" spans="1:6" x14ac:dyDescent="0.35">
      <c r="A25" s="7">
        <v>45574</v>
      </c>
      <c r="B25" s="5">
        <v>10680</v>
      </c>
      <c r="C25" s="5" t="s">
        <v>16</v>
      </c>
      <c r="D25" s="6">
        <v>10000</v>
      </c>
      <c r="E25" s="6">
        <f t="shared" si="0"/>
        <v>203000</v>
      </c>
      <c r="F25" s="6">
        <f t="shared" si="1"/>
        <v>253000</v>
      </c>
    </row>
    <row r="26" spans="1:6" x14ac:dyDescent="0.35">
      <c r="A26" s="7">
        <v>45606</v>
      </c>
      <c r="B26" s="5">
        <v>11392</v>
      </c>
      <c r="C26" s="5" t="s">
        <v>16</v>
      </c>
      <c r="D26" s="6">
        <v>10000</v>
      </c>
      <c r="E26" s="6">
        <f t="shared" si="0"/>
        <v>213000</v>
      </c>
      <c r="F26" s="6">
        <f t="shared" si="1"/>
        <v>243000</v>
      </c>
    </row>
    <row r="27" spans="1:6" x14ac:dyDescent="0.35">
      <c r="A27" s="7">
        <v>45576</v>
      </c>
      <c r="B27" s="5">
        <v>12000</v>
      </c>
      <c r="C27" s="5" t="s">
        <v>16</v>
      </c>
      <c r="D27" s="6">
        <v>10000</v>
      </c>
      <c r="E27" s="6">
        <f t="shared" si="0"/>
        <v>223000</v>
      </c>
      <c r="F27" s="6">
        <f t="shared" si="1"/>
        <v>233000</v>
      </c>
    </row>
    <row r="28" spans="1:6" x14ac:dyDescent="0.35">
      <c r="A28" s="7">
        <v>45577</v>
      </c>
      <c r="B28" s="5">
        <v>12304</v>
      </c>
      <c r="C28" s="5" t="s">
        <v>16</v>
      </c>
      <c r="D28" s="6">
        <v>10000</v>
      </c>
      <c r="E28" s="6">
        <f t="shared" si="0"/>
        <v>233000</v>
      </c>
      <c r="F28" s="6">
        <f t="shared" si="1"/>
        <v>223000</v>
      </c>
    </row>
    <row r="29" spans="1:6" x14ac:dyDescent="0.35">
      <c r="A29" s="7">
        <v>45901</v>
      </c>
      <c r="B29" s="5">
        <v>12984</v>
      </c>
      <c r="C29" s="5" t="s">
        <v>16</v>
      </c>
      <c r="D29" s="6">
        <v>10000</v>
      </c>
      <c r="E29" s="6">
        <f t="shared" si="0"/>
        <v>243000</v>
      </c>
      <c r="F29" s="6">
        <f t="shared" si="1"/>
        <v>213000</v>
      </c>
    </row>
    <row r="30" spans="1:6" x14ac:dyDescent="0.35">
      <c r="A30" s="7">
        <v>45963</v>
      </c>
      <c r="B30" s="5">
        <v>9360</v>
      </c>
      <c r="C30" s="5" t="s">
        <v>16</v>
      </c>
      <c r="D30" s="6">
        <v>10000</v>
      </c>
      <c r="E30" s="6">
        <f t="shared" si="0"/>
        <v>253000</v>
      </c>
      <c r="F30" s="6">
        <f t="shared" si="1"/>
        <v>203000</v>
      </c>
    </row>
    <row r="31" spans="1:6" x14ac:dyDescent="0.35">
      <c r="A31" s="5" t="s">
        <v>20</v>
      </c>
      <c r="B31" s="5">
        <v>9665</v>
      </c>
      <c r="C31" s="5" t="s">
        <v>16</v>
      </c>
      <c r="D31" s="6">
        <v>10000</v>
      </c>
      <c r="E31" s="6">
        <f t="shared" si="0"/>
        <v>263000</v>
      </c>
      <c r="F31" s="6">
        <f t="shared" si="1"/>
        <v>193000</v>
      </c>
    </row>
    <row r="32" spans="1:6" x14ac:dyDescent="0.35">
      <c r="A32" s="7">
        <v>45934</v>
      </c>
      <c r="B32" s="5">
        <v>828</v>
      </c>
      <c r="C32" s="5" t="s">
        <v>16</v>
      </c>
      <c r="D32" s="6">
        <v>10000</v>
      </c>
      <c r="E32" s="6">
        <f t="shared" si="0"/>
        <v>273000</v>
      </c>
      <c r="F32" s="6">
        <f t="shared" si="1"/>
        <v>183000</v>
      </c>
    </row>
    <row r="33" spans="1:6" x14ac:dyDescent="0.35">
      <c r="A33" s="7">
        <v>45935</v>
      </c>
      <c r="B33" s="5">
        <v>10905</v>
      </c>
      <c r="C33" s="5" t="s">
        <v>16</v>
      </c>
      <c r="D33" s="6">
        <v>10000</v>
      </c>
      <c r="E33" s="6">
        <f t="shared" si="0"/>
        <v>283000</v>
      </c>
      <c r="F33" s="6">
        <f t="shared" si="1"/>
        <v>173000</v>
      </c>
    </row>
    <row r="34" spans="1:6" x14ac:dyDescent="0.35">
      <c r="A34" s="7">
        <v>45936</v>
      </c>
      <c r="B34" s="5">
        <v>10252</v>
      </c>
      <c r="C34" s="5" t="s">
        <v>16</v>
      </c>
      <c r="D34" s="6">
        <v>10000</v>
      </c>
      <c r="E34" s="6">
        <f t="shared" si="0"/>
        <v>293000</v>
      </c>
      <c r="F34" s="6">
        <f t="shared" si="1"/>
        <v>163000</v>
      </c>
    </row>
    <row r="35" spans="1:6" x14ac:dyDescent="0.35">
      <c r="A35" s="7">
        <v>45907</v>
      </c>
      <c r="B35" s="5">
        <v>12852</v>
      </c>
      <c r="C35" s="5" t="s">
        <v>16</v>
      </c>
      <c r="D35" s="6">
        <v>10000</v>
      </c>
      <c r="E35" s="6">
        <f t="shared" si="0"/>
        <v>303000</v>
      </c>
      <c r="F35" s="6">
        <f t="shared" si="1"/>
        <v>153000</v>
      </c>
    </row>
    <row r="36" spans="1:6" x14ac:dyDescent="0.35">
      <c r="A36" s="7">
        <v>45969</v>
      </c>
      <c r="B36" s="5">
        <v>12483</v>
      </c>
      <c r="C36" s="5" t="s">
        <v>16</v>
      </c>
      <c r="D36" s="6">
        <v>10000</v>
      </c>
      <c r="E36" s="6">
        <f t="shared" si="0"/>
        <v>313000</v>
      </c>
      <c r="F36" s="6">
        <f t="shared" si="1"/>
        <v>143000</v>
      </c>
    </row>
    <row r="37" spans="1:6" x14ac:dyDescent="0.35">
      <c r="A37" s="7">
        <v>45939</v>
      </c>
      <c r="B37" s="5">
        <v>12698</v>
      </c>
      <c r="C37" s="5" t="s">
        <v>16</v>
      </c>
      <c r="D37" s="6">
        <v>10000</v>
      </c>
      <c r="E37" s="6">
        <f t="shared" si="0"/>
        <v>323000</v>
      </c>
      <c r="F37" s="6">
        <f t="shared" si="1"/>
        <v>133000</v>
      </c>
    </row>
    <row r="38" spans="1:6" x14ac:dyDescent="0.35">
      <c r="A38" s="7">
        <v>45971</v>
      </c>
      <c r="B38" s="5">
        <v>13769</v>
      </c>
      <c r="C38" s="5" t="s">
        <v>16</v>
      </c>
      <c r="D38" s="6">
        <v>10000</v>
      </c>
      <c r="E38" s="6">
        <f t="shared" si="0"/>
        <v>333000</v>
      </c>
      <c r="F38" s="6">
        <f t="shared" si="1"/>
        <v>123000</v>
      </c>
    </row>
    <row r="39" spans="1:6" x14ac:dyDescent="0.35">
      <c r="A39" s="7">
        <v>45972</v>
      </c>
      <c r="B39" s="5">
        <v>13331</v>
      </c>
      <c r="C39" s="5" t="s">
        <v>16</v>
      </c>
      <c r="D39" s="6">
        <v>10000</v>
      </c>
      <c r="E39" s="6">
        <f t="shared" si="0"/>
        <v>343000</v>
      </c>
      <c r="F39" s="6">
        <f t="shared" si="1"/>
        <v>113000</v>
      </c>
    </row>
    <row r="40" spans="1:6" x14ac:dyDescent="0.35">
      <c r="A40" s="7">
        <v>45881</v>
      </c>
      <c r="B40" s="5">
        <v>13119</v>
      </c>
      <c r="C40" s="5" t="s">
        <v>16</v>
      </c>
      <c r="D40" s="6">
        <v>10000</v>
      </c>
      <c r="E40" s="6">
        <f t="shared" si="0"/>
        <v>353000</v>
      </c>
      <c r="F40" s="6">
        <f t="shared" si="1"/>
        <v>103000</v>
      </c>
    </row>
    <row r="41" spans="1:6" x14ac:dyDescent="0.35">
      <c r="A41" s="7">
        <v>46296</v>
      </c>
      <c r="B41" s="5">
        <v>12061</v>
      </c>
      <c r="C41" s="5" t="s">
        <v>16</v>
      </c>
      <c r="D41" s="6">
        <v>10000</v>
      </c>
      <c r="E41" s="6">
        <f t="shared" si="0"/>
        <v>363000</v>
      </c>
      <c r="F41" s="6">
        <f t="shared" si="1"/>
        <v>93000</v>
      </c>
    </row>
    <row r="42" spans="1:6" x14ac:dyDescent="0.35">
      <c r="A42" s="7">
        <v>46267</v>
      </c>
      <c r="B42" s="5">
        <v>12407</v>
      </c>
      <c r="C42" s="5" t="s">
        <v>16</v>
      </c>
      <c r="D42" s="6">
        <v>10000</v>
      </c>
      <c r="E42" s="6">
        <f t="shared" si="0"/>
        <v>373000</v>
      </c>
      <c r="F42" s="6">
        <f t="shared" si="1"/>
        <v>83000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D65C-6C5F-43BE-8910-6D50AFEA2A60}">
  <dimension ref="A1:F40"/>
  <sheetViews>
    <sheetView tabSelected="1" topLeftCell="A18" workbookViewId="0">
      <selection activeCell="F41" sqref="F41"/>
    </sheetView>
  </sheetViews>
  <sheetFormatPr defaultRowHeight="14.5" x14ac:dyDescent="0.35"/>
  <cols>
    <col min="1" max="1" width="10.54296875" customWidth="1"/>
  </cols>
  <sheetData>
    <row r="1" spans="1:6" x14ac:dyDescent="0.35">
      <c r="A1" t="s">
        <v>50</v>
      </c>
    </row>
    <row r="2" spans="1:6" x14ac:dyDescent="0.35">
      <c r="A2" t="s">
        <v>51</v>
      </c>
    </row>
    <row r="3" spans="1:6" x14ac:dyDescent="0.35">
      <c r="A3" t="s">
        <v>52</v>
      </c>
    </row>
    <row r="4" spans="1:6" x14ac:dyDescent="0.35">
      <c r="A4" t="s">
        <v>53</v>
      </c>
    </row>
    <row r="5" spans="1:6" x14ac:dyDescent="0.35">
      <c r="A5" t="s">
        <v>54</v>
      </c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t="s">
        <v>55</v>
      </c>
      <c r="B8">
        <v>339</v>
      </c>
      <c r="C8" t="s">
        <v>87</v>
      </c>
      <c r="D8" s="12">
        <v>150000</v>
      </c>
      <c r="E8" s="12">
        <v>150000</v>
      </c>
      <c r="F8" s="12">
        <v>470000</v>
      </c>
    </row>
    <row r="9" spans="1:6" x14ac:dyDescent="0.35">
      <c r="A9" t="s">
        <v>56</v>
      </c>
      <c r="B9">
        <v>2752</v>
      </c>
      <c r="C9" t="s">
        <v>88</v>
      </c>
      <c r="D9" s="12">
        <v>10000</v>
      </c>
      <c r="E9" s="12">
        <f>E8+D9</f>
        <v>160000</v>
      </c>
      <c r="F9" s="12">
        <f>F8-D9</f>
        <v>460000</v>
      </c>
    </row>
    <row r="10" spans="1:6" x14ac:dyDescent="0.35">
      <c r="A10" t="s">
        <v>57</v>
      </c>
      <c r="B10">
        <v>3156</v>
      </c>
      <c r="C10" t="s">
        <v>88</v>
      </c>
      <c r="D10" s="12">
        <v>10000</v>
      </c>
      <c r="E10" s="12">
        <f>E9+D10</f>
        <v>170000</v>
      </c>
      <c r="F10" s="12">
        <f>F9-D10</f>
        <v>450000</v>
      </c>
    </row>
    <row r="11" spans="1:6" x14ac:dyDescent="0.35">
      <c r="A11" t="s">
        <v>58</v>
      </c>
      <c r="B11">
        <v>4876</v>
      </c>
      <c r="C11" t="s">
        <v>88</v>
      </c>
      <c r="D11" s="12">
        <v>10000</v>
      </c>
      <c r="E11" s="12">
        <f>E10+D11</f>
        <v>180000</v>
      </c>
      <c r="F11" s="12">
        <f>F10-D11</f>
        <v>440000</v>
      </c>
    </row>
    <row r="12" spans="1:6" x14ac:dyDescent="0.35">
      <c r="A12" t="s">
        <v>59</v>
      </c>
      <c r="B12">
        <v>4877</v>
      </c>
      <c r="C12" t="s">
        <v>88</v>
      </c>
      <c r="D12" s="12">
        <v>10000</v>
      </c>
      <c r="E12" s="12">
        <f>E11+D12</f>
        <v>190000</v>
      </c>
      <c r="F12" s="12">
        <f>F11-D12</f>
        <v>430000</v>
      </c>
    </row>
    <row r="13" spans="1:6" x14ac:dyDescent="0.35">
      <c r="A13" t="s">
        <v>60</v>
      </c>
      <c r="B13">
        <v>4878</v>
      </c>
      <c r="C13" t="s">
        <v>88</v>
      </c>
      <c r="D13" s="12">
        <v>10000</v>
      </c>
      <c r="E13" s="12">
        <f>E12+D13</f>
        <v>200000</v>
      </c>
      <c r="F13" s="12">
        <f>F12-D13</f>
        <v>420000</v>
      </c>
    </row>
    <row r="14" spans="1:6" x14ac:dyDescent="0.35">
      <c r="A14" t="s">
        <v>61</v>
      </c>
      <c r="B14">
        <v>5560</v>
      </c>
      <c r="C14" t="s">
        <v>88</v>
      </c>
      <c r="D14" s="12">
        <v>10000</v>
      </c>
      <c r="E14" s="12">
        <f>E13+D14</f>
        <v>210000</v>
      </c>
      <c r="F14" s="12">
        <f>F13-D14</f>
        <v>410000</v>
      </c>
    </row>
    <row r="15" spans="1:6" x14ac:dyDescent="0.35">
      <c r="A15" t="s">
        <v>62</v>
      </c>
      <c r="B15">
        <v>6216</v>
      </c>
      <c r="C15" t="s">
        <v>88</v>
      </c>
      <c r="D15" s="12">
        <v>10000</v>
      </c>
      <c r="E15" s="12">
        <f>E14+D15</f>
        <v>220000</v>
      </c>
      <c r="F15" s="12">
        <f>F14-D15</f>
        <v>400000</v>
      </c>
    </row>
    <row r="16" spans="1:6" x14ac:dyDescent="0.35">
      <c r="A16" t="s">
        <v>63</v>
      </c>
      <c r="B16">
        <v>6648</v>
      </c>
      <c r="C16" t="s">
        <v>88</v>
      </c>
      <c r="D16" s="12">
        <v>10000</v>
      </c>
      <c r="E16" s="12">
        <f>E15+D16</f>
        <v>230000</v>
      </c>
      <c r="F16" s="12">
        <f>F15-D16</f>
        <v>390000</v>
      </c>
    </row>
    <row r="17" spans="1:6" x14ac:dyDescent="0.35">
      <c r="A17" t="s">
        <v>64</v>
      </c>
      <c r="B17">
        <v>7512</v>
      </c>
      <c r="C17" t="s">
        <v>88</v>
      </c>
      <c r="D17" s="12">
        <v>10000</v>
      </c>
      <c r="E17" s="12">
        <f>E16+D17</f>
        <v>240000</v>
      </c>
      <c r="F17" s="12">
        <f>F16-D17</f>
        <v>380000</v>
      </c>
    </row>
    <row r="18" spans="1:6" x14ac:dyDescent="0.35">
      <c r="A18" t="s">
        <v>65</v>
      </c>
      <c r="B18">
        <v>8407</v>
      </c>
      <c r="C18" t="s">
        <v>88</v>
      </c>
      <c r="D18" s="12">
        <v>10000</v>
      </c>
      <c r="E18" s="12">
        <f>E17+D18</f>
        <v>250000</v>
      </c>
      <c r="F18" s="12">
        <f>F17-D18</f>
        <v>370000</v>
      </c>
    </row>
    <row r="19" spans="1:6" x14ac:dyDescent="0.35">
      <c r="A19" t="s">
        <v>66</v>
      </c>
      <c r="B19">
        <v>9123</v>
      </c>
      <c r="C19" t="s">
        <v>88</v>
      </c>
      <c r="D19" s="12">
        <v>10000</v>
      </c>
      <c r="E19" s="12">
        <f>E18+D19</f>
        <v>260000</v>
      </c>
      <c r="F19" s="12">
        <f>F18-D19</f>
        <v>360000</v>
      </c>
    </row>
    <row r="20" spans="1:6" x14ac:dyDescent="0.35">
      <c r="A20" t="s">
        <v>67</v>
      </c>
      <c r="B20">
        <v>9780</v>
      </c>
      <c r="C20" t="s">
        <v>88</v>
      </c>
      <c r="D20" s="12">
        <v>10000</v>
      </c>
      <c r="E20" s="12">
        <f>E19+D20</f>
        <v>270000</v>
      </c>
      <c r="F20" s="12">
        <f>F19-D20</f>
        <v>350000</v>
      </c>
    </row>
    <row r="21" spans="1:6" x14ac:dyDescent="0.35">
      <c r="A21" t="s">
        <v>68</v>
      </c>
      <c r="B21">
        <v>11281</v>
      </c>
      <c r="C21" t="s">
        <v>88</v>
      </c>
      <c r="D21" s="12">
        <v>10000</v>
      </c>
      <c r="E21" s="12">
        <f>E20+D21</f>
        <v>280000</v>
      </c>
      <c r="F21" s="12">
        <f>F20-D21</f>
        <v>340000</v>
      </c>
    </row>
    <row r="22" spans="1:6" x14ac:dyDescent="0.35">
      <c r="A22" t="s">
        <v>69</v>
      </c>
      <c r="B22">
        <v>10885</v>
      </c>
      <c r="C22" t="s">
        <v>88</v>
      </c>
      <c r="D22" s="12">
        <v>10000</v>
      </c>
      <c r="E22" s="12">
        <f>E21+D22</f>
        <v>290000</v>
      </c>
      <c r="F22" s="12">
        <f>F21-D22</f>
        <v>330000</v>
      </c>
    </row>
    <row r="23" spans="1:6" x14ac:dyDescent="0.35">
      <c r="A23" t="s">
        <v>70</v>
      </c>
      <c r="B23">
        <v>10215</v>
      </c>
      <c r="C23" t="s">
        <v>88</v>
      </c>
      <c r="D23" s="12">
        <v>10000</v>
      </c>
      <c r="E23" s="12">
        <f>E22+D23</f>
        <v>300000</v>
      </c>
      <c r="F23" s="12">
        <f>F22-D23</f>
        <v>320000</v>
      </c>
    </row>
    <row r="24" spans="1:6" x14ac:dyDescent="0.35">
      <c r="A24" t="s">
        <v>71</v>
      </c>
      <c r="B24">
        <v>12125</v>
      </c>
      <c r="C24" t="s">
        <v>88</v>
      </c>
      <c r="D24" s="12">
        <v>10000</v>
      </c>
      <c r="E24" s="12">
        <f>E23+D24</f>
        <v>310000</v>
      </c>
      <c r="F24" s="12">
        <f>F23-D24</f>
        <v>310000</v>
      </c>
    </row>
    <row r="25" spans="1:6" x14ac:dyDescent="0.35">
      <c r="A25" t="s">
        <v>72</v>
      </c>
      <c r="B25">
        <v>12607</v>
      </c>
      <c r="C25" t="s">
        <v>88</v>
      </c>
      <c r="D25" s="12">
        <v>10000</v>
      </c>
      <c r="E25" s="12">
        <f>E24+D25</f>
        <v>320000</v>
      </c>
      <c r="F25" s="12">
        <f>F24-D25</f>
        <v>300000</v>
      </c>
    </row>
    <row r="26" spans="1:6" x14ac:dyDescent="0.35">
      <c r="A26" t="s">
        <v>73</v>
      </c>
      <c r="B26">
        <v>9031</v>
      </c>
      <c r="C26" t="s">
        <v>88</v>
      </c>
      <c r="D26" s="12">
        <v>10000</v>
      </c>
      <c r="E26" s="12">
        <f>E25+D26</f>
        <v>330000</v>
      </c>
      <c r="F26" s="12">
        <f>F25-D26</f>
        <v>290000</v>
      </c>
    </row>
    <row r="27" spans="1:6" x14ac:dyDescent="0.35">
      <c r="A27" t="s">
        <v>74</v>
      </c>
      <c r="B27">
        <v>9840</v>
      </c>
      <c r="C27" t="s">
        <v>88</v>
      </c>
      <c r="D27" s="12">
        <v>20000</v>
      </c>
      <c r="E27" s="12">
        <f>E26+D27</f>
        <v>350000</v>
      </c>
      <c r="F27" s="12">
        <f>F26-D27</f>
        <v>270000</v>
      </c>
    </row>
    <row r="28" spans="1:6" x14ac:dyDescent="0.35">
      <c r="A28" t="s">
        <v>75</v>
      </c>
      <c r="B28">
        <v>10234</v>
      </c>
      <c r="C28" t="s">
        <v>88</v>
      </c>
      <c r="D28" s="12">
        <v>10000</v>
      </c>
      <c r="E28" s="12">
        <f>E27+D28</f>
        <v>360000</v>
      </c>
      <c r="F28" s="12">
        <f>F27-D28</f>
        <v>260000</v>
      </c>
    </row>
    <row r="29" spans="1:6" x14ac:dyDescent="0.35">
      <c r="A29" t="s">
        <v>76</v>
      </c>
      <c r="B29">
        <v>10697</v>
      </c>
      <c r="C29" t="s">
        <v>88</v>
      </c>
      <c r="D29" s="12">
        <v>10000</v>
      </c>
      <c r="E29" s="12">
        <f>E28+D29</f>
        <v>370000</v>
      </c>
      <c r="F29" s="12">
        <f>F28-D29</f>
        <v>250000</v>
      </c>
    </row>
    <row r="30" spans="1:6" x14ac:dyDescent="0.35">
      <c r="A30" t="s">
        <v>77</v>
      </c>
      <c r="B30">
        <v>9943</v>
      </c>
      <c r="C30" t="s">
        <v>88</v>
      </c>
      <c r="D30" s="12">
        <v>10000</v>
      </c>
      <c r="E30" s="12">
        <f>E29+D30</f>
        <v>380000</v>
      </c>
      <c r="F30" s="12">
        <f>F29-D30</f>
        <v>240000</v>
      </c>
    </row>
    <row r="31" spans="1:6" x14ac:dyDescent="0.35">
      <c r="A31" t="s">
        <v>78</v>
      </c>
      <c r="B31">
        <v>12203</v>
      </c>
      <c r="C31" t="s">
        <v>88</v>
      </c>
      <c r="D31" s="12">
        <v>10000</v>
      </c>
      <c r="E31" s="12">
        <f>E30+D31</f>
        <v>390000</v>
      </c>
      <c r="F31" s="12">
        <f>F30-D31</f>
        <v>230000</v>
      </c>
    </row>
    <row r="32" spans="1:6" x14ac:dyDescent="0.35">
      <c r="A32" t="s">
        <v>79</v>
      </c>
      <c r="B32">
        <v>12967</v>
      </c>
      <c r="C32" t="s">
        <v>88</v>
      </c>
      <c r="D32" s="12">
        <v>10000</v>
      </c>
      <c r="E32" s="12">
        <f>E31+D32</f>
        <v>400000</v>
      </c>
      <c r="F32" s="12">
        <f>F31-D32</f>
        <v>220000</v>
      </c>
    </row>
    <row r="33" spans="1:6" x14ac:dyDescent="0.35">
      <c r="A33" t="s">
        <v>80</v>
      </c>
      <c r="B33">
        <v>13682</v>
      </c>
      <c r="C33" t="s">
        <v>88</v>
      </c>
      <c r="D33" s="12">
        <v>10000</v>
      </c>
      <c r="E33" s="12">
        <f>E32+D33</f>
        <v>410000</v>
      </c>
      <c r="F33" s="12">
        <f>F32-D33</f>
        <v>210000</v>
      </c>
    </row>
    <row r="34" spans="1:6" x14ac:dyDescent="0.35">
      <c r="A34" t="s">
        <v>81</v>
      </c>
      <c r="B34">
        <v>13233</v>
      </c>
      <c r="C34" t="s">
        <v>88</v>
      </c>
      <c r="D34" s="12">
        <v>10000</v>
      </c>
      <c r="E34" s="12">
        <f>E33+D34</f>
        <v>420000</v>
      </c>
      <c r="F34" s="12">
        <f>F33-D34</f>
        <v>200000</v>
      </c>
    </row>
    <row r="35" spans="1:6" x14ac:dyDescent="0.35">
      <c r="A35" t="s">
        <v>82</v>
      </c>
      <c r="B35">
        <v>12679</v>
      </c>
      <c r="C35" t="s">
        <v>88</v>
      </c>
      <c r="D35" s="12">
        <v>10000</v>
      </c>
      <c r="E35" s="12">
        <f>E34+D35</f>
        <v>430000</v>
      </c>
      <c r="F35" s="12">
        <f>F34-D35</f>
        <v>190000</v>
      </c>
    </row>
    <row r="36" spans="1:6" x14ac:dyDescent="0.35">
      <c r="A36" t="s">
        <v>83</v>
      </c>
      <c r="B36">
        <v>12224</v>
      </c>
      <c r="C36" t="s">
        <v>88</v>
      </c>
      <c r="D36" s="12">
        <v>10000</v>
      </c>
      <c r="E36" s="12">
        <f>E35+D36</f>
        <v>440000</v>
      </c>
      <c r="F36" s="12">
        <f>F35-D36</f>
        <v>180000</v>
      </c>
    </row>
    <row r="37" spans="1:6" x14ac:dyDescent="0.35">
      <c r="A37" t="s">
        <v>84</v>
      </c>
      <c r="B37">
        <v>12476</v>
      </c>
      <c r="C37" t="s">
        <v>88</v>
      </c>
      <c r="D37" s="12">
        <v>10000</v>
      </c>
      <c r="E37" s="12">
        <f>E36+D37</f>
        <v>450000</v>
      </c>
      <c r="F37" s="12">
        <f>F36-D37</f>
        <v>170000</v>
      </c>
    </row>
    <row r="38" spans="1:6" x14ac:dyDescent="0.35">
      <c r="A38" t="s">
        <v>85</v>
      </c>
      <c r="B38">
        <v>13936</v>
      </c>
      <c r="C38" t="s">
        <v>88</v>
      </c>
      <c r="D38" s="12">
        <v>10000</v>
      </c>
      <c r="E38" s="12">
        <f>E37+D38</f>
        <v>460000</v>
      </c>
      <c r="F38" s="12">
        <f>F37-D38</f>
        <v>160000</v>
      </c>
    </row>
    <row r="39" spans="1:6" x14ac:dyDescent="0.35">
      <c r="A39" t="s">
        <v>86</v>
      </c>
      <c r="B39">
        <v>13025</v>
      </c>
      <c r="C39" t="s">
        <v>88</v>
      </c>
      <c r="D39" s="12">
        <v>10000</v>
      </c>
      <c r="E39" s="12">
        <f>E38+D39</f>
        <v>470000</v>
      </c>
      <c r="F39" s="12">
        <f>F38-D39</f>
        <v>150000</v>
      </c>
    </row>
    <row r="40" spans="1:6" x14ac:dyDescent="0.35">
      <c r="A40" t="s">
        <v>76</v>
      </c>
      <c r="B40">
        <v>13417</v>
      </c>
      <c r="C40" t="s">
        <v>88</v>
      </c>
      <c r="D40" s="12">
        <v>10000</v>
      </c>
      <c r="E40" s="12">
        <f>E39+D40</f>
        <v>480000</v>
      </c>
      <c r="F40" s="12">
        <f>F39-D40</f>
        <v>140000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L-6549</vt:lpstr>
      <vt:lpstr>L-6592</vt:lpstr>
      <vt:lpstr>L-6548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2026-02-26T01:52:50Z</dcterms:created>
  <dcterms:modified xsi:type="dcterms:W3CDTF">2026-05-19T04:22:55Z</dcterms:modified>
</cp:coreProperties>
</file>