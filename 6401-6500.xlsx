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PLOT-6001-7000\"/>
    </mc:Choice>
  </mc:AlternateContent>
  <xr:revisionPtr revIDLastSave="0" documentId="13_ncr:1_{16E065B4-BB2D-448F-B0BE-467CC91869CB}" xr6:coauthVersionLast="47" xr6:coauthVersionMax="47" xr10:uidLastSave="{00000000-0000-0000-0000-000000000000}"/>
  <bookViews>
    <workbookView xWindow="-110" yWindow="-110" windowWidth="19420" windowHeight="10420" activeTab="7" xr2:uid="{9AF2D928-216F-43D0-9924-EFB8E17515E6}"/>
  </bookViews>
  <sheets>
    <sheet name="L-6407" sheetId="2" r:id="rId1"/>
    <sheet name="L-6474" sheetId="1" r:id="rId2"/>
    <sheet name="L-6403" sheetId="4" r:id="rId3"/>
    <sheet name="L-6483" sheetId="5" r:id="rId4"/>
    <sheet name="L-6406" sheetId="6" r:id="rId5"/>
    <sheet name="L-6485" sheetId="7" r:id="rId6"/>
    <sheet name="L-6482" sheetId="8" r:id="rId7"/>
    <sheet name="L-6401" sheetId="9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6" i="8" l="1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F11" i="8"/>
  <c r="E11" i="8"/>
  <c r="F10" i="8"/>
  <c r="F31" i="7"/>
  <c r="E31" i="7"/>
  <c r="F30" i="7"/>
  <c r="E30" i="7"/>
  <c r="F29" i="7"/>
  <c r="E29" i="7"/>
  <c r="F28" i="7"/>
  <c r="E28" i="7"/>
  <c r="F27" i="7"/>
  <c r="E27" i="7"/>
  <c r="F26" i="7"/>
  <c r="E26" i="7"/>
  <c r="F25" i="7"/>
  <c r="E25" i="7"/>
  <c r="F24" i="7"/>
  <c r="E24" i="7"/>
  <c r="F23" i="7"/>
  <c r="E23" i="7"/>
  <c r="F22" i="7"/>
  <c r="E22" i="7"/>
  <c r="F21" i="7"/>
  <c r="E21" i="7"/>
  <c r="F20" i="7"/>
  <c r="E20" i="7"/>
  <c r="F19" i="7"/>
  <c r="E19" i="7"/>
  <c r="F18" i="7"/>
  <c r="E18" i="7"/>
  <c r="F17" i="7"/>
  <c r="E17" i="7"/>
  <c r="F16" i="7"/>
  <c r="E16" i="7"/>
  <c r="F15" i="7"/>
  <c r="E15" i="7"/>
  <c r="E14" i="7"/>
  <c r="F14" i="7"/>
  <c r="F13" i="7"/>
  <c r="E13" i="7"/>
  <c r="F28" i="4"/>
  <c r="E28" i="4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F10" i="4"/>
  <c r="E10" i="4"/>
  <c r="F20" i="2"/>
  <c r="F21" i="2" s="1"/>
  <c r="F22" i="2" s="1"/>
  <c r="F23" i="2" s="1"/>
  <c r="F24" i="2" s="1"/>
  <c r="F25" i="2" s="1"/>
  <c r="F26" i="2" s="1"/>
  <c r="F27" i="2" s="1"/>
  <c r="F28" i="2" s="1"/>
  <c r="E20" i="2"/>
  <c r="E21" i="2" s="1"/>
  <c r="E22" i="2" s="1"/>
  <c r="E23" i="2" s="1"/>
  <c r="E24" i="2" s="1"/>
  <c r="E25" i="2" s="1"/>
  <c r="E26" i="2" s="1"/>
  <c r="E27" i="2" s="1"/>
  <c r="E28" i="2" s="1"/>
  <c r="F11" i="2"/>
  <c r="F12" i="2" s="1"/>
  <c r="F13" i="2" s="1"/>
  <c r="F14" i="2" s="1"/>
  <c r="F15" i="2" s="1"/>
  <c r="F16" i="2" s="1"/>
  <c r="F17" i="2" s="1"/>
  <c r="F18" i="2" s="1"/>
  <c r="F19" i="2" s="1"/>
  <c r="E11" i="2"/>
  <c r="E12" i="2" s="1"/>
  <c r="E13" i="2" s="1"/>
  <c r="E14" i="2" s="1"/>
  <c r="E15" i="2" s="1"/>
  <c r="E16" i="2" s="1"/>
  <c r="E17" i="2" s="1"/>
  <c r="E18" i="2" s="1"/>
  <c r="E19" i="2" s="1"/>
  <c r="F10" i="2"/>
  <c r="E10" i="2"/>
  <c r="E24" i="1"/>
  <c r="F20" i="1"/>
  <c r="F21" i="1" s="1"/>
  <c r="F22" i="1" s="1"/>
  <c r="E20" i="1"/>
  <c r="E21" i="1" s="1"/>
  <c r="E22" i="1" s="1"/>
  <c r="F15" i="1"/>
  <c r="F16" i="1" s="1"/>
  <c r="F17" i="1" s="1"/>
  <c r="F18" i="1" s="1"/>
  <c r="F19" i="1" s="1"/>
  <c r="E15" i="1"/>
  <c r="E16" i="1" s="1"/>
  <c r="E17" i="1" s="1"/>
  <c r="E18" i="1" s="1"/>
  <c r="E19" i="1" s="1"/>
  <c r="F13" i="1"/>
  <c r="E13" i="1"/>
  <c r="F14" i="1"/>
  <c r="E14" i="1"/>
  <c r="F10" i="1"/>
  <c r="F11" i="1" s="1"/>
  <c r="F12" i="1" s="1"/>
  <c r="E10" i="1"/>
  <c r="E11" i="1" s="1"/>
  <c r="E12" i="1" s="1"/>
</calcChain>
</file>

<file path=xl/sharedStrings.xml><?xml version="1.0" encoding="utf-8"?>
<sst xmlns="http://schemas.openxmlformats.org/spreadsheetml/2006/main" count="333" uniqueCount="160">
  <si>
    <t>Date</t>
  </si>
  <si>
    <t>R.NO</t>
  </si>
  <si>
    <t>Description</t>
  </si>
  <si>
    <t>Amount Rec</t>
  </si>
  <si>
    <t>Total Rec</t>
  </si>
  <si>
    <t>Amount Due</t>
  </si>
  <si>
    <t>Name : Ghulam Mustafa</t>
  </si>
  <si>
    <t>Father Name : Rasheed Ahmed</t>
  </si>
  <si>
    <t>CNIC # 42101-5079815-5</t>
  </si>
  <si>
    <t>Contact # 03452987907</t>
  </si>
  <si>
    <t>Plot No : L-6474</t>
  </si>
  <si>
    <t>Cost : 490,000</t>
  </si>
  <si>
    <t>Code Num;CQW8873846</t>
  </si>
  <si>
    <t>24/4/2022</t>
  </si>
  <si>
    <t>16/3/2023</t>
  </si>
  <si>
    <t>14/7/2023</t>
  </si>
  <si>
    <t>25/12/2023</t>
  </si>
  <si>
    <t>Adjustment</t>
  </si>
  <si>
    <t>instalment</t>
  </si>
  <si>
    <t>13/2/2024</t>
  </si>
  <si>
    <t>14/4/2024</t>
  </si>
  <si>
    <t>70,000 DISCOUNT BY SIR ARSHAD PAID IN 2 MONTH</t>
  </si>
  <si>
    <t>NILL</t>
  </si>
  <si>
    <t>DEVELOPMENT CONTINUE</t>
  </si>
  <si>
    <t>Name : Abid Ali Ansari</t>
  </si>
  <si>
    <t>Father Name :M.Zainuddin</t>
  </si>
  <si>
    <t>CNIC # 42401-6475097-1</t>
  </si>
  <si>
    <t>Contact # 03468753119</t>
  </si>
  <si>
    <t>Plot No : L-6407</t>
  </si>
  <si>
    <t>Cost : 600,000</t>
  </si>
  <si>
    <t>Code Num;CFE1729666</t>
  </si>
  <si>
    <t>19/6/2023</t>
  </si>
  <si>
    <t>19/7/2023</t>
  </si>
  <si>
    <t>23/8/2023</t>
  </si>
  <si>
    <t>30/9/2023</t>
  </si>
  <si>
    <t>20/2/2024</t>
  </si>
  <si>
    <t>Adjustmen</t>
  </si>
  <si>
    <t>partial payment</t>
  </si>
  <si>
    <t>10/5./2024</t>
  </si>
  <si>
    <t>13/8/2024</t>
  </si>
  <si>
    <t>15/9/2024</t>
  </si>
  <si>
    <t>NAME:</t>
  </si>
  <si>
    <t>CNIC:</t>
  </si>
  <si>
    <t>F/NAME:</t>
  </si>
  <si>
    <t>CODE NO:</t>
  </si>
  <si>
    <t>CONTACT NO:</t>
  </si>
  <si>
    <t>PLOT NO:</t>
  </si>
  <si>
    <t>MUHMMAD YASEEN</t>
  </si>
  <si>
    <t>ABDUL HAQ</t>
  </si>
  <si>
    <t>45206-1537559-3</t>
  </si>
  <si>
    <t>0308-9856403</t>
  </si>
  <si>
    <t>L-6403</t>
  </si>
  <si>
    <t>06\08\023</t>
  </si>
  <si>
    <t>TOKEN SITE</t>
  </si>
  <si>
    <t>13\08\023</t>
  </si>
  <si>
    <t>15\10\023</t>
  </si>
  <si>
    <t>28\01\024</t>
  </si>
  <si>
    <t>28\04\024</t>
  </si>
  <si>
    <t>10\07\024</t>
  </si>
  <si>
    <t>23\09\024</t>
  </si>
  <si>
    <t>08\12\024</t>
  </si>
  <si>
    <t>01\02\025</t>
  </si>
  <si>
    <t>05\03\025</t>
  </si>
  <si>
    <t>23\05\025</t>
  </si>
  <si>
    <t>12\07\025</t>
  </si>
  <si>
    <t>12\08\025</t>
  </si>
  <si>
    <t>12\10\025</t>
  </si>
  <si>
    <t>21\12\026</t>
  </si>
  <si>
    <t>01\02\026</t>
  </si>
  <si>
    <t>08\03\026</t>
  </si>
  <si>
    <t>17\05\026</t>
  </si>
  <si>
    <t>RESEDATIAL BOOKING</t>
  </si>
  <si>
    <t>INSTALLMENT</t>
  </si>
  <si>
    <t>F\NAME:</t>
  </si>
  <si>
    <t>CODE:</t>
  </si>
  <si>
    <t>ENSON STEPHEN</t>
  </si>
  <si>
    <t>GEORGE STEPHEN</t>
  </si>
  <si>
    <t>0321-2913388</t>
  </si>
  <si>
    <t>42401-9704107-5</t>
  </si>
  <si>
    <t>19\08\022</t>
  </si>
  <si>
    <t>04\01\023</t>
  </si>
  <si>
    <t>25\02\023</t>
  </si>
  <si>
    <t>26\03\023</t>
  </si>
  <si>
    <t>26\04\023</t>
  </si>
  <si>
    <t>22\06\023</t>
  </si>
  <si>
    <t>26\07\023</t>
  </si>
  <si>
    <t>07\10\023</t>
  </si>
  <si>
    <t>10\11\023</t>
  </si>
  <si>
    <t>27\12\023</t>
  </si>
  <si>
    <t>20\01\024</t>
  </si>
  <si>
    <t>21\02\024</t>
  </si>
  <si>
    <t>23\03\024</t>
  </si>
  <si>
    <t>20\04\024</t>
  </si>
  <si>
    <t>18\05\024</t>
  </si>
  <si>
    <t>22\06\024</t>
  </si>
  <si>
    <t>22\07\024</t>
  </si>
  <si>
    <t>09\09\024</t>
  </si>
  <si>
    <t>REHMAN INS</t>
  </si>
  <si>
    <t>13\07\020</t>
  </si>
  <si>
    <t>REHMAN ADJUSMENT</t>
  </si>
  <si>
    <t>NIL</t>
  </si>
  <si>
    <t>DEVELOPMENT  START</t>
  </si>
  <si>
    <t>20\05\026</t>
  </si>
  <si>
    <t>DEVELOPMENT</t>
  </si>
  <si>
    <t>F\NAME:\</t>
  </si>
  <si>
    <t>SYED SABIR HUSSIAN SHAH</t>
  </si>
  <si>
    <t>HUSSIAN SHAH</t>
  </si>
  <si>
    <t>0346-0510612</t>
  </si>
  <si>
    <t>42401-6708064-5</t>
  </si>
  <si>
    <t>CMS2460447</t>
  </si>
  <si>
    <t>7\10\23</t>
  </si>
  <si>
    <t>RESDENTIAL BOOKING</t>
  </si>
  <si>
    <t>CEJ7434912</t>
  </si>
  <si>
    <t>30\6\026</t>
  </si>
  <si>
    <t>NAME:s</t>
  </si>
  <si>
    <t>shahbaz ali</t>
  </si>
  <si>
    <t>zafar ali</t>
  </si>
  <si>
    <t>0308 3821573</t>
  </si>
  <si>
    <t>421017453990-9</t>
  </si>
  <si>
    <t>L6485</t>
  </si>
  <si>
    <t>cost:650000</t>
  </si>
  <si>
    <t>al rehman400,000</t>
  </si>
  <si>
    <t>_</t>
  </si>
  <si>
    <t>16/4/25</t>
  </si>
  <si>
    <t>sobho adj</t>
  </si>
  <si>
    <t>The 2500 will be adasted in the next payment</t>
  </si>
  <si>
    <t>Instalment</t>
  </si>
  <si>
    <t>23/6/26</t>
  </si>
  <si>
    <t>Name : ENSON STEPHAN</t>
  </si>
  <si>
    <t>Father Name :GEROGE STEPHAN</t>
  </si>
  <si>
    <t>CNIC # 42401-9704107-7</t>
  </si>
  <si>
    <t xml:space="preserve">Contact # </t>
  </si>
  <si>
    <t>Cost : 360,000</t>
  </si>
  <si>
    <t>Plot No : L-6482</t>
  </si>
  <si>
    <t>Code Num;AYN5683926</t>
  </si>
  <si>
    <t>19/8/22</t>
  </si>
  <si>
    <t>25/2/23</t>
  </si>
  <si>
    <t>26/3/23</t>
  </si>
  <si>
    <t>20/4/23</t>
  </si>
  <si>
    <t>22/6/23</t>
  </si>
  <si>
    <t>26/7/23</t>
  </si>
  <si>
    <t>27/12/23</t>
  </si>
  <si>
    <t>ins reh adj</t>
  </si>
  <si>
    <t>20/1/24</t>
  </si>
  <si>
    <t>21/2/24</t>
  </si>
  <si>
    <t>23/3/24</t>
  </si>
  <si>
    <t>20/4/24</t>
  </si>
  <si>
    <t>18/5/24</t>
  </si>
  <si>
    <t>22/6/24</t>
  </si>
  <si>
    <t>22/7/24</t>
  </si>
  <si>
    <t xml:space="preserve">DEVELOPMENT NILL </t>
  </si>
  <si>
    <t>Name : SAJJAD AHMED</t>
  </si>
  <si>
    <t>Father Name :MUHAMMAD JAVED</t>
  </si>
  <si>
    <t>CNIC # 82204-0367422-1</t>
  </si>
  <si>
    <t>Contact # 0313-6597530</t>
  </si>
  <si>
    <t>Cost : 800,000</t>
  </si>
  <si>
    <t>Plot No : L-6401</t>
  </si>
  <si>
    <t>Code Num;CHW2946088</t>
  </si>
  <si>
    <t>16/8/26</t>
  </si>
  <si>
    <t>BOOKING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</si>
</sst>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/>
        <bgColor theme="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0" borderId="2" xfId="0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left"/>
    </xf>
    <xf numFmtId="0" fontId="0" fillId="0" borderId="4" xfId="0" applyBorder="1"/>
    <xf numFmtId="3" fontId="0" fillId="0" borderId="4" xfId="0" applyNumberFormat="1" applyBorder="1"/>
    <xf numFmtId="14" fontId="0" fillId="0" borderId="4" xfId="0" applyNumberFormat="1" applyBorder="1"/>
    <xf numFmtId="14" fontId="0" fillId="0" borderId="0" xfId="0" applyNumberFormat="1"/>
    <xf numFmtId="3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5" xfId="0" applyBorder="1"/>
    <xf numFmtId="0" fontId="5" fillId="0" borderId="0" xfId="0" applyFont="1"/>
    <xf numFmtId="0" fontId="1" fillId="2" borderId="0" xfId="0" applyFont="1" applyFill="1"/>
    <xf numFmtId="0" fontId="5" fillId="2" borderId="0" xfId="0" applyFont="1" applyFill="1"/>
    <xf numFmtId="3" fontId="5" fillId="2" borderId="0" xfId="0" applyNumberFormat="1" applyFont="1" applyFill="1"/>
    <xf numFmtId="0" fontId="0" fillId="0" borderId="6" xfId="0" applyBorder="1"/>
    <xf numFmtId="0" fontId="1" fillId="3" borderId="7" xfId="0" applyFont="1" applyFill="1" applyBorder="1" applyAlignment="1">
      <alignment horizontal="left"/>
    </xf>
    <xf numFmtId="0" fontId="1" fillId="4" borderId="7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left"/>
    </xf>
    <xf numFmtId="0" fontId="0" fillId="0" borderId="4" xfId="0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3" borderId="4" xfId="0" applyFont="1" applyFill="1" applyBorder="1" applyAlignment="1">
      <alignment horizontal="left"/>
    </xf>
    <xf numFmtId="0" fontId="7" fillId="4" borderId="4" xfId="0" applyFont="1" applyFill="1" applyBorder="1" applyAlignment="1">
      <alignment horizontal="left"/>
    </xf>
    <xf numFmtId="0" fontId="0" fillId="0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6FCB4-68E8-4B4C-893E-EA4F31F87B91}">
  <dimension ref="A1:F30"/>
  <sheetViews>
    <sheetView workbookViewId="0">
      <selection sqref="A1:F8"/>
    </sheetView>
  </sheetViews>
  <sheetFormatPr defaultRowHeight="14.5" x14ac:dyDescent="0.35"/>
  <cols>
    <col min="1" max="1" width="10.453125" bestFit="1" customWidth="1"/>
    <col min="3" max="3" width="13.81640625" customWidth="1"/>
  </cols>
  <sheetData>
    <row r="1" spans="1:6" ht="18.5" x14ac:dyDescent="0.45">
      <c r="A1" s="1" t="s">
        <v>24</v>
      </c>
      <c r="B1" s="1"/>
      <c r="C1" s="1"/>
      <c r="D1" s="1"/>
      <c r="E1" s="1"/>
      <c r="F1" s="1"/>
    </row>
    <row r="2" spans="1:6" ht="18.5" x14ac:dyDescent="0.45">
      <c r="A2" s="1" t="s">
        <v>25</v>
      </c>
      <c r="C2" s="1"/>
      <c r="D2" s="1"/>
      <c r="E2" s="1"/>
      <c r="F2" s="1"/>
    </row>
    <row r="3" spans="1:6" ht="18.5" x14ac:dyDescent="0.45">
      <c r="A3" s="1" t="s">
        <v>26</v>
      </c>
      <c r="B3" s="1"/>
      <c r="C3" s="1"/>
      <c r="D3" s="1"/>
      <c r="E3" s="1"/>
      <c r="F3" s="1"/>
    </row>
    <row r="4" spans="1:6" ht="18.5" x14ac:dyDescent="0.45">
      <c r="A4" s="1" t="s">
        <v>30</v>
      </c>
      <c r="B4" s="1"/>
      <c r="C4" s="1"/>
      <c r="D4" s="1"/>
      <c r="E4" s="1"/>
      <c r="F4" s="1"/>
    </row>
    <row r="5" spans="1:6" ht="18.5" x14ac:dyDescent="0.45">
      <c r="A5" s="1" t="s">
        <v>27</v>
      </c>
      <c r="B5" s="1"/>
      <c r="C5" s="1"/>
      <c r="D5" s="1"/>
      <c r="E5" s="1"/>
      <c r="F5" s="1"/>
    </row>
    <row r="6" spans="1:6" ht="18.5" x14ac:dyDescent="0.45">
      <c r="A6" s="1" t="s">
        <v>28</v>
      </c>
      <c r="B6" s="1"/>
      <c r="C6" s="1"/>
      <c r="D6" s="1" t="s">
        <v>29</v>
      </c>
      <c r="F6" s="1"/>
    </row>
    <row r="7" spans="1:6" x14ac:dyDescent="0.35">
      <c r="A7" s="2"/>
      <c r="B7" s="3"/>
      <c r="C7" s="3"/>
      <c r="D7" s="4"/>
      <c r="E7" s="4"/>
      <c r="F7" s="4"/>
    </row>
    <row r="8" spans="1:6" x14ac:dyDescent="0.35">
      <c r="A8" s="5" t="s">
        <v>0</v>
      </c>
      <c r="B8" s="5" t="s">
        <v>1</v>
      </c>
      <c r="C8" s="5" t="s">
        <v>2</v>
      </c>
      <c r="D8" s="6" t="s">
        <v>3</v>
      </c>
      <c r="E8" s="6" t="s">
        <v>4</v>
      </c>
      <c r="F8" s="6" t="s">
        <v>5</v>
      </c>
    </row>
    <row r="9" spans="1:6" x14ac:dyDescent="0.35">
      <c r="A9" s="10">
        <v>44172</v>
      </c>
      <c r="B9">
        <v>1672</v>
      </c>
      <c r="C9" t="s">
        <v>36</v>
      </c>
      <c r="D9" s="11">
        <v>320000</v>
      </c>
      <c r="E9" s="11">
        <v>320000</v>
      </c>
      <c r="F9" s="11">
        <v>280000</v>
      </c>
    </row>
    <row r="10" spans="1:6" x14ac:dyDescent="0.35">
      <c r="A10" s="10">
        <v>44930</v>
      </c>
      <c r="B10">
        <v>1748</v>
      </c>
      <c r="C10" t="s">
        <v>37</v>
      </c>
      <c r="D10" s="11">
        <v>100000</v>
      </c>
      <c r="E10" s="11">
        <f>SUM(E9+D10)</f>
        <v>420000</v>
      </c>
      <c r="F10" s="11">
        <f>F9-D10</f>
        <v>180000</v>
      </c>
    </row>
    <row r="11" spans="1:6" x14ac:dyDescent="0.35">
      <c r="A11" s="10">
        <v>44991</v>
      </c>
      <c r="B11">
        <v>54</v>
      </c>
      <c r="C11" t="s">
        <v>18</v>
      </c>
      <c r="D11" s="11">
        <v>10000</v>
      </c>
      <c r="E11" s="11">
        <f t="shared" ref="E11:E28" si="0">SUM(E10+D11)</f>
        <v>430000</v>
      </c>
      <c r="F11" s="11">
        <f t="shared" ref="F11:F28" si="1">F10-D11</f>
        <v>170000</v>
      </c>
    </row>
    <row r="12" spans="1:6" x14ac:dyDescent="0.35">
      <c r="A12" t="s">
        <v>31</v>
      </c>
      <c r="B12">
        <v>940</v>
      </c>
      <c r="C12" t="s">
        <v>18</v>
      </c>
      <c r="D12" s="11">
        <v>10000</v>
      </c>
      <c r="E12" s="11">
        <f t="shared" si="0"/>
        <v>440000</v>
      </c>
      <c r="F12" s="11">
        <f t="shared" si="1"/>
        <v>160000</v>
      </c>
    </row>
    <row r="13" spans="1:6" x14ac:dyDescent="0.35">
      <c r="A13" t="s">
        <v>32</v>
      </c>
      <c r="B13">
        <v>2877</v>
      </c>
      <c r="C13" t="s">
        <v>18</v>
      </c>
      <c r="D13" s="11">
        <v>10000</v>
      </c>
      <c r="E13" s="11">
        <f t="shared" si="0"/>
        <v>450000</v>
      </c>
      <c r="F13" s="11">
        <f t="shared" si="1"/>
        <v>150000</v>
      </c>
    </row>
    <row r="14" spans="1:6" x14ac:dyDescent="0.35">
      <c r="A14" t="s">
        <v>33</v>
      </c>
      <c r="B14">
        <v>3166</v>
      </c>
      <c r="C14" t="s">
        <v>18</v>
      </c>
      <c r="D14" s="11">
        <v>10000</v>
      </c>
      <c r="E14" s="11">
        <f t="shared" si="0"/>
        <v>460000</v>
      </c>
      <c r="F14" s="11">
        <f t="shared" si="1"/>
        <v>140000</v>
      </c>
    </row>
    <row r="15" spans="1:6" x14ac:dyDescent="0.35">
      <c r="A15" t="s">
        <v>34</v>
      </c>
      <c r="B15">
        <v>3869</v>
      </c>
      <c r="C15" t="s">
        <v>18</v>
      </c>
      <c r="D15" s="11">
        <v>10000</v>
      </c>
      <c r="E15" s="11">
        <f t="shared" si="0"/>
        <v>470000</v>
      </c>
      <c r="F15" s="11">
        <f t="shared" si="1"/>
        <v>130000</v>
      </c>
    </row>
    <row r="16" spans="1:6" x14ac:dyDescent="0.35">
      <c r="A16" s="10">
        <v>45209</v>
      </c>
      <c r="B16">
        <v>4182</v>
      </c>
      <c r="C16" t="s">
        <v>18</v>
      </c>
      <c r="D16" s="11">
        <v>10000</v>
      </c>
      <c r="E16" s="11">
        <f t="shared" si="0"/>
        <v>480000</v>
      </c>
      <c r="F16" s="11">
        <f t="shared" si="1"/>
        <v>120000</v>
      </c>
    </row>
    <row r="17" spans="1:6" x14ac:dyDescent="0.35">
      <c r="A17" s="10">
        <v>45271</v>
      </c>
      <c r="B17">
        <v>4883</v>
      </c>
      <c r="C17" t="s">
        <v>18</v>
      </c>
      <c r="D17" s="11">
        <v>10000</v>
      </c>
      <c r="E17" s="11">
        <f t="shared" si="0"/>
        <v>490000</v>
      </c>
      <c r="F17" s="11">
        <f t="shared" si="1"/>
        <v>110000</v>
      </c>
    </row>
    <row r="18" spans="1:6" x14ac:dyDescent="0.35">
      <c r="A18" s="10">
        <v>45505</v>
      </c>
      <c r="B18">
        <v>6228</v>
      </c>
      <c r="C18" t="s">
        <v>18</v>
      </c>
      <c r="D18" s="11">
        <v>10000</v>
      </c>
      <c r="E18" s="11">
        <f t="shared" si="0"/>
        <v>500000</v>
      </c>
      <c r="F18" s="11">
        <f t="shared" si="1"/>
        <v>100000</v>
      </c>
    </row>
    <row r="19" spans="1:6" x14ac:dyDescent="0.35">
      <c r="A19" t="s">
        <v>35</v>
      </c>
      <c r="B19">
        <v>670</v>
      </c>
      <c r="C19" t="s">
        <v>18</v>
      </c>
      <c r="D19" s="11">
        <v>10000</v>
      </c>
      <c r="E19" s="11">
        <f t="shared" si="0"/>
        <v>510000</v>
      </c>
      <c r="F19" s="11">
        <f t="shared" si="1"/>
        <v>90000</v>
      </c>
    </row>
    <row r="20" spans="1:6" x14ac:dyDescent="0.35">
      <c r="A20" s="10">
        <v>45568</v>
      </c>
      <c r="B20">
        <v>6985</v>
      </c>
      <c r="C20" t="s">
        <v>18</v>
      </c>
      <c r="D20" s="11">
        <v>10000</v>
      </c>
      <c r="E20" s="11">
        <f t="shared" si="0"/>
        <v>520000</v>
      </c>
      <c r="F20" s="11">
        <f t="shared" si="1"/>
        <v>80000</v>
      </c>
    </row>
    <row r="21" spans="1:6" x14ac:dyDescent="0.35">
      <c r="A21" s="10">
        <v>45508</v>
      </c>
      <c r="B21">
        <v>7751</v>
      </c>
      <c r="C21" t="s">
        <v>18</v>
      </c>
      <c r="D21" s="11">
        <v>10000</v>
      </c>
      <c r="E21" s="11">
        <f t="shared" si="0"/>
        <v>530000</v>
      </c>
      <c r="F21" s="11">
        <f t="shared" si="1"/>
        <v>70000</v>
      </c>
    </row>
    <row r="22" spans="1:6" x14ac:dyDescent="0.35">
      <c r="A22" t="s">
        <v>38</v>
      </c>
      <c r="B22">
        <v>8381</v>
      </c>
      <c r="C22" t="s">
        <v>18</v>
      </c>
      <c r="D22" s="11">
        <v>10000</v>
      </c>
      <c r="E22" s="11">
        <f t="shared" si="0"/>
        <v>540000</v>
      </c>
      <c r="F22" s="11">
        <f t="shared" si="1"/>
        <v>60000</v>
      </c>
    </row>
    <row r="23" spans="1:6" x14ac:dyDescent="0.35">
      <c r="A23" s="10">
        <v>45571</v>
      </c>
      <c r="B23">
        <v>8944</v>
      </c>
      <c r="C23" t="s">
        <v>18</v>
      </c>
      <c r="D23" s="11">
        <v>10000</v>
      </c>
      <c r="E23" s="11">
        <f t="shared" si="0"/>
        <v>550000</v>
      </c>
      <c r="F23" s="11">
        <f t="shared" si="1"/>
        <v>50000</v>
      </c>
    </row>
    <row r="24" spans="1:6" x14ac:dyDescent="0.35">
      <c r="A24" s="10">
        <v>45603</v>
      </c>
      <c r="B24">
        <v>9525</v>
      </c>
      <c r="C24" t="s">
        <v>18</v>
      </c>
      <c r="D24" s="11">
        <v>10000</v>
      </c>
      <c r="E24" s="11">
        <f t="shared" si="0"/>
        <v>560000</v>
      </c>
      <c r="F24" s="11">
        <f t="shared" si="1"/>
        <v>40000</v>
      </c>
    </row>
    <row r="25" spans="1:6" x14ac:dyDescent="0.35">
      <c r="A25" t="s">
        <v>39</v>
      </c>
      <c r="B25">
        <v>11104</v>
      </c>
      <c r="C25" t="s">
        <v>18</v>
      </c>
      <c r="D25" s="11">
        <v>10000</v>
      </c>
      <c r="E25" s="11">
        <f t="shared" si="0"/>
        <v>570000</v>
      </c>
      <c r="F25" s="11">
        <f t="shared" si="1"/>
        <v>30000</v>
      </c>
    </row>
    <row r="26" spans="1:6" x14ac:dyDescent="0.35">
      <c r="A26" t="s">
        <v>40</v>
      </c>
      <c r="B26">
        <v>10792</v>
      </c>
      <c r="C26" t="s">
        <v>18</v>
      </c>
      <c r="D26" s="11">
        <v>10000</v>
      </c>
      <c r="E26" s="11">
        <f t="shared" si="0"/>
        <v>580000</v>
      </c>
      <c r="F26" s="11">
        <f t="shared" si="1"/>
        <v>20000</v>
      </c>
    </row>
    <row r="27" spans="1:6" x14ac:dyDescent="0.35">
      <c r="A27" s="10">
        <v>45545</v>
      </c>
      <c r="B27">
        <v>11326</v>
      </c>
      <c r="C27" t="s">
        <v>18</v>
      </c>
      <c r="D27" s="11">
        <v>10000</v>
      </c>
      <c r="E27" s="11">
        <f t="shared" si="0"/>
        <v>590000</v>
      </c>
      <c r="F27" s="11">
        <f t="shared" si="1"/>
        <v>10000</v>
      </c>
    </row>
    <row r="28" spans="1:6" x14ac:dyDescent="0.35">
      <c r="A28" s="10">
        <v>45576</v>
      </c>
      <c r="B28">
        <v>11966</v>
      </c>
      <c r="C28" t="s">
        <v>18</v>
      </c>
      <c r="D28" s="11">
        <v>10000</v>
      </c>
      <c r="E28" s="11">
        <f t="shared" si="0"/>
        <v>600000</v>
      </c>
      <c r="F28" s="11">
        <f t="shared" si="1"/>
        <v>0</v>
      </c>
    </row>
    <row r="29" spans="1:6" ht="18.5" x14ac:dyDescent="0.45">
      <c r="A29" s="12" t="s">
        <v>23</v>
      </c>
      <c r="B29" s="12"/>
      <c r="C29" s="12"/>
      <c r="D29" s="12"/>
      <c r="E29" s="12"/>
      <c r="F29" s="12"/>
    </row>
    <row r="30" spans="1:6" x14ac:dyDescent="0.35">
      <c r="A30" s="7" t="s">
        <v>127</v>
      </c>
      <c r="B30" s="7">
        <v>1718</v>
      </c>
      <c r="C30" s="7" t="s">
        <v>103</v>
      </c>
      <c r="D30" s="8">
        <v>50000</v>
      </c>
      <c r="E30" s="8">
        <v>230000</v>
      </c>
      <c r="F30" s="7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5D894-7D05-45CC-9CF9-3DFA7A3BDCDE}">
  <dimension ref="A1:F25"/>
  <sheetViews>
    <sheetView topLeftCell="A17" workbookViewId="0">
      <selection activeCell="A8" sqref="A8:F8"/>
    </sheetView>
  </sheetViews>
  <sheetFormatPr defaultRowHeight="14.5" x14ac:dyDescent="0.35"/>
  <cols>
    <col min="1" max="1" width="10.453125" bestFit="1" customWidth="1"/>
    <col min="3" max="3" width="12.36328125" customWidth="1"/>
  </cols>
  <sheetData>
    <row r="1" spans="1:6" ht="18.5" x14ac:dyDescent="0.45">
      <c r="A1" s="1" t="s">
        <v>6</v>
      </c>
      <c r="B1" s="1"/>
      <c r="C1" s="1"/>
      <c r="D1" s="1"/>
      <c r="E1" s="1"/>
      <c r="F1" s="1"/>
    </row>
    <row r="2" spans="1:6" ht="18.5" x14ac:dyDescent="0.45">
      <c r="A2" s="1" t="s">
        <v>7</v>
      </c>
      <c r="C2" s="1"/>
      <c r="D2" s="1"/>
      <c r="E2" s="1"/>
      <c r="F2" s="1"/>
    </row>
    <row r="3" spans="1:6" ht="18.5" x14ac:dyDescent="0.45">
      <c r="A3" s="1" t="s">
        <v>8</v>
      </c>
      <c r="B3" s="1"/>
      <c r="C3" s="1"/>
      <c r="D3" s="1"/>
      <c r="E3" s="1"/>
      <c r="F3" s="1"/>
    </row>
    <row r="4" spans="1:6" ht="18.5" x14ac:dyDescent="0.45">
      <c r="A4" s="1" t="s">
        <v>12</v>
      </c>
      <c r="B4" s="1"/>
      <c r="C4" s="1"/>
      <c r="D4" s="1"/>
      <c r="E4" s="1"/>
      <c r="F4" s="1"/>
    </row>
    <row r="5" spans="1:6" ht="18.5" x14ac:dyDescent="0.45">
      <c r="A5" s="1" t="s">
        <v>9</v>
      </c>
      <c r="B5" s="1"/>
      <c r="C5" s="1"/>
      <c r="D5" s="1"/>
      <c r="E5" s="1"/>
      <c r="F5" s="1"/>
    </row>
    <row r="6" spans="1:6" ht="18.5" x14ac:dyDescent="0.45">
      <c r="A6" s="1" t="s">
        <v>10</v>
      </c>
      <c r="B6" s="1"/>
      <c r="C6" s="1"/>
      <c r="D6" s="1" t="s">
        <v>11</v>
      </c>
      <c r="F6" s="1"/>
    </row>
    <row r="7" spans="1:6" x14ac:dyDescent="0.35">
      <c r="A7" s="2"/>
      <c r="B7" s="3"/>
      <c r="C7" s="3"/>
      <c r="D7" s="4"/>
      <c r="E7" s="4"/>
      <c r="F7" s="4"/>
    </row>
    <row r="8" spans="1:6" x14ac:dyDescent="0.35">
      <c r="A8" s="5" t="s">
        <v>0</v>
      </c>
      <c r="B8" s="5" t="s">
        <v>1</v>
      </c>
      <c r="C8" s="5" t="s">
        <v>2</v>
      </c>
      <c r="D8" s="6" t="s">
        <v>3</v>
      </c>
      <c r="E8" s="6" t="s">
        <v>4</v>
      </c>
      <c r="F8" s="6" t="s">
        <v>5</v>
      </c>
    </row>
    <row r="9" spans="1:6" x14ac:dyDescent="0.35">
      <c r="A9" s="7" t="s">
        <v>13</v>
      </c>
      <c r="B9" s="7">
        <v>2279</v>
      </c>
      <c r="C9" s="7" t="s">
        <v>17</v>
      </c>
      <c r="D9" s="8">
        <v>170000</v>
      </c>
      <c r="E9" s="8">
        <v>170000</v>
      </c>
      <c r="F9" s="8">
        <v>320000</v>
      </c>
    </row>
    <row r="10" spans="1:6" x14ac:dyDescent="0.35">
      <c r="A10" s="7" t="s">
        <v>14</v>
      </c>
      <c r="B10" s="7">
        <v>2281</v>
      </c>
      <c r="C10" s="7" t="s">
        <v>18</v>
      </c>
      <c r="D10" s="8">
        <v>5000</v>
      </c>
      <c r="E10" s="8">
        <f>SUM(E9+D10)</f>
        <v>175000</v>
      </c>
      <c r="F10" s="8">
        <f>F9-D10</f>
        <v>315000</v>
      </c>
    </row>
    <row r="11" spans="1:6" x14ac:dyDescent="0.35">
      <c r="A11" s="9">
        <v>45264</v>
      </c>
      <c r="B11" s="7">
        <v>1990</v>
      </c>
      <c r="C11" s="7" t="s">
        <v>18</v>
      </c>
      <c r="D11" s="8">
        <v>10000</v>
      </c>
      <c r="E11" s="8">
        <f t="shared" ref="E11:E13" si="0">SUM(E10+D11)</f>
        <v>185000</v>
      </c>
      <c r="F11" s="8">
        <f t="shared" ref="F11:F13" si="1">F10-D11</f>
        <v>305000</v>
      </c>
    </row>
    <row r="12" spans="1:6" x14ac:dyDescent="0.35">
      <c r="A12" s="9">
        <v>45205</v>
      </c>
      <c r="B12" s="7">
        <v>407</v>
      </c>
      <c r="C12" s="7" t="s">
        <v>18</v>
      </c>
      <c r="D12" s="8">
        <v>10000</v>
      </c>
      <c r="E12" s="8">
        <f t="shared" si="0"/>
        <v>195000</v>
      </c>
      <c r="F12" s="8">
        <f t="shared" si="1"/>
        <v>295000</v>
      </c>
    </row>
    <row r="13" spans="1:6" x14ac:dyDescent="0.35">
      <c r="A13" s="9">
        <v>45205</v>
      </c>
      <c r="B13" s="7">
        <v>408</v>
      </c>
      <c r="C13" s="7" t="s">
        <v>18</v>
      </c>
      <c r="D13" s="8">
        <v>10000</v>
      </c>
      <c r="E13" s="8">
        <f t="shared" si="0"/>
        <v>205000</v>
      </c>
      <c r="F13" s="8">
        <f t="shared" si="1"/>
        <v>285000</v>
      </c>
    </row>
    <row r="14" spans="1:6" x14ac:dyDescent="0.35">
      <c r="A14" s="7" t="s">
        <v>15</v>
      </c>
      <c r="B14" s="7">
        <v>2765</v>
      </c>
      <c r="C14" s="7" t="s">
        <v>18</v>
      </c>
      <c r="D14" s="8">
        <v>10000</v>
      </c>
      <c r="E14" s="8">
        <f t="shared" ref="E14:E22" si="2">SUM(E13+D14)</f>
        <v>215000</v>
      </c>
      <c r="F14" s="8">
        <f t="shared" ref="F14:F22" si="3">F13-D14</f>
        <v>275000</v>
      </c>
    </row>
    <row r="15" spans="1:6" x14ac:dyDescent="0.35">
      <c r="A15" s="9">
        <v>45208</v>
      </c>
      <c r="B15" s="7">
        <v>3515</v>
      </c>
      <c r="C15" s="7" t="s">
        <v>18</v>
      </c>
      <c r="D15" s="8">
        <v>15000</v>
      </c>
      <c r="E15" s="8">
        <f t="shared" si="2"/>
        <v>230000</v>
      </c>
      <c r="F15" s="8">
        <f t="shared" si="3"/>
        <v>260000</v>
      </c>
    </row>
    <row r="16" spans="1:6" x14ac:dyDescent="0.35">
      <c r="A16" s="9">
        <v>45117</v>
      </c>
      <c r="B16" s="7">
        <v>4034</v>
      </c>
      <c r="C16" s="7" t="s">
        <v>18</v>
      </c>
      <c r="D16" s="8">
        <v>15000</v>
      </c>
      <c r="E16" s="8">
        <f t="shared" si="2"/>
        <v>245000</v>
      </c>
      <c r="F16" s="8">
        <f t="shared" si="3"/>
        <v>245000</v>
      </c>
    </row>
    <row r="17" spans="1:6" x14ac:dyDescent="0.35">
      <c r="A17" s="9">
        <v>45271</v>
      </c>
      <c r="B17" s="7">
        <v>4848</v>
      </c>
      <c r="C17" s="7" t="s">
        <v>18</v>
      </c>
      <c r="D17" s="8">
        <v>10000</v>
      </c>
      <c r="E17" s="8">
        <f t="shared" si="2"/>
        <v>255000</v>
      </c>
      <c r="F17" s="8">
        <f t="shared" si="3"/>
        <v>235000</v>
      </c>
    </row>
    <row r="18" spans="1:6" x14ac:dyDescent="0.35">
      <c r="A18" s="7" t="s">
        <v>16</v>
      </c>
      <c r="B18" s="7">
        <v>5805</v>
      </c>
      <c r="C18" s="7" t="s">
        <v>18</v>
      </c>
      <c r="D18" s="8">
        <v>10000</v>
      </c>
      <c r="E18" s="8">
        <f t="shared" si="2"/>
        <v>265000</v>
      </c>
      <c r="F18" s="8">
        <f t="shared" si="3"/>
        <v>225000</v>
      </c>
    </row>
    <row r="19" spans="1:6" x14ac:dyDescent="0.35">
      <c r="A19" s="9">
        <v>45505</v>
      </c>
      <c r="B19" s="7">
        <v>6000</v>
      </c>
      <c r="C19" s="7" t="s">
        <v>18</v>
      </c>
      <c r="D19" s="8">
        <v>10000</v>
      </c>
      <c r="E19" s="8">
        <f t="shared" si="2"/>
        <v>275000</v>
      </c>
      <c r="F19" s="8">
        <f t="shared" si="3"/>
        <v>215000</v>
      </c>
    </row>
    <row r="20" spans="1:6" x14ac:dyDescent="0.35">
      <c r="A20" s="7" t="s">
        <v>19</v>
      </c>
      <c r="B20" s="7">
        <v>7147</v>
      </c>
      <c r="C20" s="7" t="s">
        <v>18</v>
      </c>
      <c r="D20" s="8">
        <v>10000</v>
      </c>
      <c r="E20" s="8">
        <f t="shared" si="2"/>
        <v>285000</v>
      </c>
      <c r="F20" s="8">
        <f t="shared" si="3"/>
        <v>205000</v>
      </c>
    </row>
    <row r="21" spans="1:6" x14ac:dyDescent="0.35">
      <c r="A21" s="9">
        <v>45538</v>
      </c>
      <c r="B21" s="7">
        <v>6953</v>
      </c>
      <c r="C21" s="7" t="s">
        <v>18</v>
      </c>
      <c r="D21" s="8">
        <v>10000</v>
      </c>
      <c r="E21" s="8">
        <f t="shared" si="2"/>
        <v>295000</v>
      </c>
      <c r="F21" s="8">
        <f t="shared" si="3"/>
        <v>195000</v>
      </c>
    </row>
    <row r="22" spans="1:6" x14ac:dyDescent="0.35">
      <c r="A22" s="7" t="s">
        <v>20</v>
      </c>
      <c r="B22" s="7">
        <v>7836</v>
      </c>
      <c r="C22" s="7" t="s">
        <v>18</v>
      </c>
      <c r="D22" s="8">
        <v>100000</v>
      </c>
      <c r="E22" s="8">
        <f t="shared" si="2"/>
        <v>395000</v>
      </c>
      <c r="F22" s="8">
        <f t="shared" si="3"/>
        <v>95000</v>
      </c>
    </row>
    <row r="23" spans="1:6" x14ac:dyDescent="0.35">
      <c r="A23" s="7"/>
      <c r="B23" s="7" t="s">
        <v>21</v>
      </c>
      <c r="C23" s="7"/>
      <c r="D23" s="7"/>
      <c r="E23" s="7"/>
      <c r="F23" s="7"/>
    </row>
    <row r="24" spans="1:6" x14ac:dyDescent="0.35">
      <c r="A24" s="9">
        <v>45510</v>
      </c>
      <c r="B24" s="7">
        <v>8893</v>
      </c>
      <c r="C24" s="7" t="s">
        <v>18</v>
      </c>
      <c r="D24" s="8">
        <v>25000</v>
      </c>
      <c r="E24" s="8">
        <f>SUM(E22+D24)</f>
        <v>420000</v>
      </c>
      <c r="F24" s="8" t="s">
        <v>22</v>
      </c>
    </row>
    <row r="25" spans="1:6" x14ac:dyDescent="0.35">
      <c r="B25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1518D-E48A-44E1-B5ED-4D551E59B365}">
  <dimension ref="A1:F29"/>
  <sheetViews>
    <sheetView workbookViewId="0">
      <selection activeCell="F29" sqref="F29"/>
    </sheetView>
  </sheetViews>
  <sheetFormatPr defaultRowHeight="14.5" x14ac:dyDescent="0.35"/>
  <cols>
    <col min="1" max="1" width="9.54296875" customWidth="1"/>
    <col min="2" max="2" width="5.6328125" customWidth="1"/>
    <col min="3" max="3" width="12.08984375" customWidth="1"/>
  </cols>
  <sheetData>
    <row r="1" spans="1:6" ht="15.5" x14ac:dyDescent="0.35">
      <c r="A1" s="13" t="s">
        <v>41</v>
      </c>
      <c r="B1" t="s">
        <v>47</v>
      </c>
    </row>
    <row r="2" spans="1:6" ht="15.5" x14ac:dyDescent="0.35">
      <c r="A2" s="13" t="s">
        <v>43</v>
      </c>
      <c r="B2" t="s">
        <v>48</v>
      </c>
    </row>
    <row r="3" spans="1:6" ht="15.5" x14ac:dyDescent="0.35">
      <c r="A3" s="13" t="s">
        <v>42</v>
      </c>
      <c r="B3" t="s">
        <v>49</v>
      </c>
    </row>
    <row r="4" spans="1:6" ht="15.5" x14ac:dyDescent="0.35">
      <c r="A4" s="13" t="s">
        <v>44</v>
      </c>
      <c r="B4" t="s">
        <v>112</v>
      </c>
    </row>
    <row r="5" spans="1:6" ht="15.5" x14ac:dyDescent="0.35">
      <c r="A5" s="26" t="s">
        <v>45</v>
      </c>
      <c r="B5" s="26"/>
      <c r="C5" t="s">
        <v>50</v>
      </c>
    </row>
    <row r="6" spans="1:6" ht="15.5" x14ac:dyDescent="0.35">
      <c r="A6" s="13" t="s">
        <v>46</v>
      </c>
      <c r="C6" t="s">
        <v>51</v>
      </c>
    </row>
    <row r="8" spans="1:6" x14ac:dyDescent="0.35">
      <c r="A8" s="5" t="s">
        <v>0</v>
      </c>
      <c r="B8" s="5" t="s">
        <v>1</v>
      </c>
      <c r="C8" s="5" t="s">
        <v>2</v>
      </c>
      <c r="D8" s="6" t="s">
        <v>3</v>
      </c>
      <c r="E8" s="6" t="s">
        <v>4</v>
      </c>
      <c r="F8" s="6" t="s">
        <v>5</v>
      </c>
    </row>
    <row r="9" spans="1:6" x14ac:dyDescent="0.35">
      <c r="A9" s="7" t="s">
        <v>52</v>
      </c>
      <c r="B9" s="7">
        <v>144</v>
      </c>
      <c r="C9" s="7" t="s">
        <v>53</v>
      </c>
      <c r="D9" s="7">
        <v>5000</v>
      </c>
      <c r="E9" s="7">
        <v>5000</v>
      </c>
      <c r="F9" s="8">
        <v>645000</v>
      </c>
    </row>
    <row r="10" spans="1:6" x14ac:dyDescent="0.35">
      <c r="A10" s="7" t="s">
        <v>54</v>
      </c>
      <c r="B10" s="7">
        <v>2428</v>
      </c>
      <c r="C10" s="7" t="s">
        <v>71</v>
      </c>
      <c r="D10" s="8">
        <v>95000</v>
      </c>
      <c r="E10" s="8">
        <f t="shared" ref="E10:E27" si="0">E9+D10</f>
        <v>100000</v>
      </c>
      <c r="F10" s="8">
        <f t="shared" ref="F10:F27" si="1">F9-D10</f>
        <v>550000</v>
      </c>
    </row>
    <row r="11" spans="1:6" x14ac:dyDescent="0.35">
      <c r="A11" s="7" t="s">
        <v>55</v>
      </c>
      <c r="B11" s="7">
        <v>4314</v>
      </c>
      <c r="C11" s="7" t="s">
        <v>72</v>
      </c>
      <c r="D11" s="8">
        <v>30000</v>
      </c>
      <c r="E11" s="8">
        <f t="shared" si="0"/>
        <v>130000</v>
      </c>
      <c r="F11" s="8">
        <f t="shared" si="1"/>
        <v>520000</v>
      </c>
    </row>
    <row r="12" spans="1:6" x14ac:dyDescent="0.35">
      <c r="A12" s="7" t="s">
        <v>55</v>
      </c>
      <c r="B12" s="7">
        <v>4315</v>
      </c>
      <c r="C12" s="7" t="s">
        <v>72</v>
      </c>
      <c r="D12" s="8">
        <v>10000</v>
      </c>
      <c r="E12" s="8">
        <f t="shared" si="0"/>
        <v>140000</v>
      </c>
      <c r="F12" s="8">
        <f t="shared" si="1"/>
        <v>510000</v>
      </c>
    </row>
    <row r="13" spans="1:6" x14ac:dyDescent="0.35">
      <c r="A13" s="7" t="s">
        <v>56</v>
      </c>
      <c r="B13" s="7">
        <v>6455</v>
      </c>
      <c r="C13" s="7" t="s">
        <v>72</v>
      </c>
      <c r="D13" s="8">
        <v>30000</v>
      </c>
      <c r="E13" s="8">
        <f t="shared" si="0"/>
        <v>170000</v>
      </c>
      <c r="F13" s="8">
        <f t="shared" si="1"/>
        <v>480000</v>
      </c>
    </row>
    <row r="14" spans="1:6" x14ac:dyDescent="0.35">
      <c r="A14" s="7" t="s">
        <v>57</v>
      </c>
      <c r="B14" s="7">
        <v>8126</v>
      </c>
      <c r="C14" s="7" t="s">
        <v>72</v>
      </c>
      <c r="D14" s="8">
        <v>30000</v>
      </c>
      <c r="E14" s="8">
        <f t="shared" si="0"/>
        <v>200000</v>
      </c>
      <c r="F14" s="8">
        <f t="shared" si="1"/>
        <v>450000</v>
      </c>
    </row>
    <row r="15" spans="1:6" x14ac:dyDescent="0.35">
      <c r="A15" s="7" t="s">
        <v>58</v>
      </c>
      <c r="B15" s="7">
        <v>9345</v>
      </c>
      <c r="C15" s="7" t="s">
        <v>72</v>
      </c>
      <c r="D15" s="8">
        <v>20000</v>
      </c>
      <c r="E15" s="8">
        <f t="shared" si="0"/>
        <v>220000</v>
      </c>
      <c r="F15" s="8">
        <f t="shared" si="1"/>
        <v>430000</v>
      </c>
    </row>
    <row r="16" spans="1:6" x14ac:dyDescent="0.35">
      <c r="A16" s="7" t="s">
        <v>59</v>
      </c>
      <c r="B16" s="7">
        <v>10896</v>
      </c>
      <c r="C16" s="7" t="s">
        <v>72</v>
      </c>
      <c r="D16" s="8">
        <v>20000</v>
      </c>
      <c r="E16" s="8">
        <f t="shared" si="0"/>
        <v>240000</v>
      </c>
      <c r="F16" s="8">
        <f t="shared" si="1"/>
        <v>410000</v>
      </c>
    </row>
    <row r="17" spans="1:6" x14ac:dyDescent="0.35">
      <c r="A17" s="7" t="s">
        <v>60</v>
      </c>
      <c r="B17" s="7">
        <v>12255</v>
      </c>
      <c r="C17" s="7" t="s">
        <v>72</v>
      </c>
      <c r="D17" s="8">
        <v>30000</v>
      </c>
      <c r="E17" s="8">
        <f t="shared" si="0"/>
        <v>270000</v>
      </c>
      <c r="F17" s="8">
        <f t="shared" si="1"/>
        <v>380000</v>
      </c>
    </row>
    <row r="18" spans="1:6" x14ac:dyDescent="0.35">
      <c r="A18" s="7" t="s">
        <v>61</v>
      </c>
      <c r="B18" s="7">
        <v>9362</v>
      </c>
      <c r="C18" s="7" t="s">
        <v>72</v>
      </c>
      <c r="D18" s="8">
        <v>10000</v>
      </c>
      <c r="E18" s="8">
        <f t="shared" si="0"/>
        <v>280000</v>
      </c>
      <c r="F18" s="8">
        <f t="shared" si="1"/>
        <v>370000</v>
      </c>
    </row>
    <row r="19" spans="1:6" x14ac:dyDescent="0.35">
      <c r="A19" s="7" t="s">
        <v>62</v>
      </c>
      <c r="B19" s="7">
        <v>9799</v>
      </c>
      <c r="C19" s="7" t="s">
        <v>72</v>
      </c>
      <c r="D19" s="8">
        <v>10000</v>
      </c>
      <c r="E19" s="8">
        <f t="shared" si="0"/>
        <v>290000</v>
      </c>
      <c r="F19" s="8">
        <f t="shared" si="1"/>
        <v>360000</v>
      </c>
    </row>
    <row r="20" spans="1:6" x14ac:dyDescent="0.35">
      <c r="A20" s="7" t="s">
        <v>63</v>
      </c>
      <c r="B20" s="7">
        <v>10850</v>
      </c>
      <c r="C20" s="7" t="s">
        <v>72</v>
      </c>
      <c r="D20" s="8">
        <v>10000</v>
      </c>
      <c r="E20" s="8">
        <f t="shared" si="0"/>
        <v>300000</v>
      </c>
      <c r="F20" s="8">
        <f t="shared" si="1"/>
        <v>350000</v>
      </c>
    </row>
    <row r="21" spans="1:6" x14ac:dyDescent="0.35">
      <c r="A21" s="7" t="s">
        <v>64</v>
      </c>
      <c r="B21" s="7">
        <v>12148</v>
      </c>
      <c r="C21" s="7" t="s">
        <v>72</v>
      </c>
      <c r="D21" s="8">
        <v>10000</v>
      </c>
      <c r="E21" s="8">
        <f t="shared" si="0"/>
        <v>310000</v>
      </c>
      <c r="F21" s="8">
        <f t="shared" si="1"/>
        <v>340000</v>
      </c>
    </row>
    <row r="22" spans="1:6" x14ac:dyDescent="0.35">
      <c r="A22" s="7" t="s">
        <v>65</v>
      </c>
      <c r="B22" s="7">
        <v>12500</v>
      </c>
      <c r="C22" s="7" t="s">
        <v>72</v>
      </c>
      <c r="D22" s="8">
        <v>10000</v>
      </c>
      <c r="E22" s="8">
        <f t="shared" si="0"/>
        <v>320000</v>
      </c>
      <c r="F22" s="8">
        <f t="shared" si="1"/>
        <v>330000</v>
      </c>
    </row>
    <row r="23" spans="1:6" x14ac:dyDescent="0.35">
      <c r="A23" s="7" t="s">
        <v>66</v>
      </c>
      <c r="B23" s="7">
        <v>13784</v>
      </c>
      <c r="C23" s="7" t="s">
        <v>72</v>
      </c>
      <c r="D23" s="8">
        <v>20000</v>
      </c>
      <c r="E23" s="8">
        <f t="shared" si="0"/>
        <v>340000</v>
      </c>
      <c r="F23" s="8">
        <f t="shared" si="1"/>
        <v>310000</v>
      </c>
    </row>
    <row r="24" spans="1:6" x14ac:dyDescent="0.35">
      <c r="A24" s="7" t="s">
        <v>67</v>
      </c>
      <c r="B24" s="7">
        <v>12696</v>
      </c>
      <c r="C24" s="7" t="s">
        <v>72</v>
      </c>
      <c r="D24" s="8">
        <v>10000</v>
      </c>
      <c r="E24" s="8">
        <f t="shared" si="0"/>
        <v>350000</v>
      </c>
      <c r="F24" s="8">
        <f t="shared" si="1"/>
        <v>300000</v>
      </c>
    </row>
    <row r="25" spans="1:6" x14ac:dyDescent="0.35">
      <c r="A25" s="7" t="s">
        <v>68</v>
      </c>
      <c r="B25" s="7">
        <v>12312</v>
      </c>
      <c r="C25" s="7" t="s">
        <v>72</v>
      </c>
      <c r="D25" s="8">
        <v>10000</v>
      </c>
      <c r="E25" s="8">
        <f t="shared" si="0"/>
        <v>360000</v>
      </c>
      <c r="F25" s="8">
        <f t="shared" si="1"/>
        <v>290000</v>
      </c>
    </row>
    <row r="26" spans="1:6" x14ac:dyDescent="0.35">
      <c r="A26" s="7" t="s">
        <v>69</v>
      </c>
      <c r="B26" s="7">
        <v>12782</v>
      </c>
      <c r="C26" s="7" t="s">
        <v>72</v>
      </c>
      <c r="D26" s="8">
        <v>20000</v>
      </c>
      <c r="E26" s="8">
        <f t="shared" si="0"/>
        <v>380000</v>
      </c>
      <c r="F26" s="8">
        <f t="shared" si="1"/>
        <v>270000</v>
      </c>
    </row>
    <row r="27" spans="1:6" x14ac:dyDescent="0.35">
      <c r="A27" s="7" t="s">
        <v>70</v>
      </c>
      <c r="B27" s="7">
        <v>13406</v>
      </c>
      <c r="C27" s="7" t="s">
        <v>72</v>
      </c>
      <c r="D27" s="8">
        <v>20000</v>
      </c>
      <c r="E27" s="8">
        <f t="shared" si="0"/>
        <v>400000</v>
      </c>
      <c r="F27" s="8">
        <f t="shared" si="1"/>
        <v>250000</v>
      </c>
    </row>
    <row r="28" spans="1:6" x14ac:dyDescent="0.35">
      <c r="A28" s="7" t="s">
        <v>113</v>
      </c>
      <c r="B28" s="7">
        <v>1353</v>
      </c>
      <c r="C28" s="7" t="s">
        <v>72</v>
      </c>
      <c r="D28" s="8">
        <v>30000</v>
      </c>
      <c r="E28" s="8">
        <f>E27+D28</f>
        <v>430000</v>
      </c>
      <c r="F28" s="8">
        <f>F27-D28</f>
        <v>220000</v>
      </c>
    </row>
    <row r="29" spans="1:6" x14ac:dyDescent="0.35">
      <c r="A29" s="14"/>
      <c r="B29" s="14"/>
      <c r="C29" s="14"/>
      <c r="D29" s="14"/>
      <c r="E29" s="14"/>
      <c r="F29" s="14"/>
    </row>
  </sheetData>
  <mergeCells count="1">
    <mergeCell ref="A5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86D32-C632-4369-8701-590E1F9DC1E6}">
  <dimension ref="A1:G32"/>
  <sheetViews>
    <sheetView workbookViewId="0">
      <selection activeCell="A8" sqref="A8:F8"/>
    </sheetView>
  </sheetViews>
  <sheetFormatPr defaultRowHeight="14.5" x14ac:dyDescent="0.35"/>
  <cols>
    <col min="1" max="1" width="9.36328125" customWidth="1"/>
    <col min="3" max="3" width="9.90625" customWidth="1"/>
  </cols>
  <sheetData>
    <row r="1" spans="1:7" x14ac:dyDescent="0.35">
      <c r="A1" s="15" t="s">
        <v>41</v>
      </c>
      <c r="B1" t="s">
        <v>75</v>
      </c>
    </row>
    <row r="2" spans="1:7" x14ac:dyDescent="0.35">
      <c r="A2" s="15" t="s">
        <v>73</v>
      </c>
      <c r="B2" t="s">
        <v>76</v>
      </c>
    </row>
    <row r="3" spans="1:7" x14ac:dyDescent="0.35">
      <c r="A3" s="15" t="s">
        <v>45</v>
      </c>
      <c r="B3" t="s">
        <v>77</v>
      </c>
    </row>
    <row r="4" spans="1:7" x14ac:dyDescent="0.35">
      <c r="A4" s="15" t="s">
        <v>42</v>
      </c>
      <c r="B4" t="s">
        <v>78</v>
      </c>
    </row>
    <row r="5" spans="1:7" x14ac:dyDescent="0.35">
      <c r="A5" s="15" t="s">
        <v>74</v>
      </c>
    </row>
    <row r="6" spans="1:7" x14ac:dyDescent="0.35">
      <c r="A6" s="15" t="s">
        <v>46</v>
      </c>
      <c r="B6">
        <v>6483</v>
      </c>
    </row>
    <row r="8" spans="1:7" x14ac:dyDescent="0.35">
      <c r="A8" s="5" t="s">
        <v>0</v>
      </c>
      <c r="B8" s="5" t="s">
        <v>1</v>
      </c>
      <c r="C8" s="5" t="s">
        <v>2</v>
      </c>
      <c r="D8" s="6" t="s">
        <v>3</v>
      </c>
      <c r="E8" s="6" t="s">
        <v>4</v>
      </c>
      <c r="F8" s="6" t="s">
        <v>5</v>
      </c>
    </row>
    <row r="9" spans="1:7" x14ac:dyDescent="0.35">
      <c r="A9" s="17" t="s">
        <v>98</v>
      </c>
      <c r="B9" s="17">
        <v>1007</v>
      </c>
      <c r="C9" s="17" t="s">
        <v>99</v>
      </c>
      <c r="D9" s="18">
        <v>160000</v>
      </c>
      <c r="E9" s="18">
        <v>160000</v>
      </c>
      <c r="F9" s="18">
        <v>200000</v>
      </c>
      <c r="G9" s="16"/>
    </row>
    <row r="10" spans="1:7" x14ac:dyDescent="0.35">
      <c r="A10" s="15" t="s">
        <v>79</v>
      </c>
      <c r="B10">
        <v>1143</v>
      </c>
      <c r="C10" t="s">
        <v>72</v>
      </c>
      <c r="D10" s="11">
        <v>10000</v>
      </c>
      <c r="E10" s="11">
        <f t="shared" ref="E10:E28" si="0">E9+D10</f>
        <v>170000</v>
      </c>
      <c r="F10" s="11">
        <f t="shared" ref="F10:F28" si="1">F9-D10</f>
        <v>190000</v>
      </c>
    </row>
    <row r="11" spans="1:7" x14ac:dyDescent="0.35">
      <c r="A11" s="15" t="s">
        <v>80</v>
      </c>
      <c r="B11">
        <v>1402</v>
      </c>
      <c r="C11" t="s">
        <v>97</v>
      </c>
      <c r="D11" s="11">
        <v>10000</v>
      </c>
      <c r="E11" s="11">
        <f t="shared" si="0"/>
        <v>180000</v>
      </c>
      <c r="F11" s="11">
        <f t="shared" si="1"/>
        <v>180000</v>
      </c>
    </row>
    <row r="12" spans="1:7" x14ac:dyDescent="0.35">
      <c r="A12" s="15" t="s">
        <v>81</v>
      </c>
      <c r="B12">
        <v>1414</v>
      </c>
      <c r="C12" t="s">
        <v>72</v>
      </c>
      <c r="D12" s="11">
        <v>10000</v>
      </c>
      <c r="E12" s="11">
        <f t="shared" si="0"/>
        <v>190000</v>
      </c>
      <c r="F12" s="11">
        <f t="shared" si="1"/>
        <v>170000</v>
      </c>
    </row>
    <row r="13" spans="1:7" x14ac:dyDescent="0.35">
      <c r="A13" s="15" t="s">
        <v>82</v>
      </c>
      <c r="B13">
        <v>1613</v>
      </c>
      <c r="C13" t="s">
        <v>72</v>
      </c>
      <c r="D13" s="11">
        <v>10000</v>
      </c>
      <c r="E13" s="11">
        <f t="shared" si="0"/>
        <v>200000</v>
      </c>
      <c r="F13" s="11">
        <f t="shared" si="1"/>
        <v>160000</v>
      </c>
    </row>
    <row r="14" spans="1:7" x14ac:dyDescent="0.35">
      <c r="A14" s="15" t="s">
        <v>83</v>
      </c>
      <c r="B14">
        <v>1263</v>
      </c>
      <c r="C14" t="s">
        <v>72</v>
      </c>
      <c r="D14" s="11">
        <v>10000</v>
      </c>
      <c r="E14" s="11">
        <f t="shared" si="0"/>
        <v>210000</v>
      </c>
      <c r="F14" s="11">
        <f t="shared" si="1"/>
        <v>150000</v>
      </c>
    </row>
    <row r="15" spans="1:7" x14ac:dyDescent="0.35">
      <c r="A15" s="15" t="s">
        <v>84</v>
      </c>
      <c r="B15">
        <v>978</v>
      </c>
      <c r="C15" t="s">
        <v>72</v>
      </c>
      <c r="D15" s="11">
        <v>10000</v>
      </c>
      <c r="E15" s="11">
        <f t="shared" si="0"/>
        <v>220000</v>
      </c>
      <c r="F15" s="11">
        <f t="shared" si="1"/>
        <v>140000</v>
      </c>
    </row>
    <row r="16" spans="1:7" x14ac:dyDescent="0.35">
      <c r="A16" s="15" t="s">
        <v>84</v>
      </c>
      <c r="B16">
        <v>979</v>
      </c>
      <c r="C16" t="s">
        <v>72</v>
      </c>
      <c r="D16" s="11">
        <v>10000</v>
      </c>
      <c r="E16" s="11">
        <f t="shared" si="0"/>
        <v>230000</v>
      </c>
      <c r="F16" s="11">
        <f t="shared" si="1"/>
        <v>130000</v>
      </c>
    </row>
    <row r="17" spans="1:6" x14ac:dyDescent="0.35">
      <c r="A17" s="15" t="s">
        <v>85</v>
      </c>
      <c r="B17">
        <v>2980</v>
      </c>
      <c r="C17" t="s">
        <v>72</v>
      </c>
      <c r="D17" s="11">
        <v>10000</v>
      </c>
      <c r="E17" s="11">
        <f t="shared" si="0"/>
        <v>240000</v>
      </c>
      <c r="F17" s="11">
        <f t="shared" si="1"/>
        <v>120000</v>
      </c>
    </row>
    <row r="18" spans="1:6" x14ac:dyDescent="0.35">
      <c r="A18" s="15" t="s">
        <v>86</v>
      </c>
      <c r="B18">
        <v>4049</v>
      </c>
      <c r="C18" t="s">
        <v>72</v>
      </c>
      <c r="D18" s="11">
        <v>20000</v>
      </c>
      <c r="E18" s="11">
        <f t="shared" si="0"/>
        <v>260000</v>
      </c>
      <c r="F18" s="11">
        <f t="shared" si="1"/>
        <v>100000</v>
      </c>
    </row>
    <row r="19" spans="1:6" x14ac:dyDescent="0.35">
      <c r="A19" s="15" t="s">
        <v>87</v>
      </c>
      <c r="B19">
        <v>4778</v>
      </c>
      <c r="C19" t="s">
        <v>72</v>
      </c>
      <c r="D19" s="11">
        <v>10000</v>
      </c>
      <c r="E19" s="11">
        <f t="shared" si="0"/>
        <v>270000</v>
      </c>
      <c r="F19" s="11">
        <f t="shared" si="1"/>
        <v>90000</v>
      </c>
    </row>
    <row r="20" spans="1:6" x14ac:dyDescent="0.35">
      <c r="A20" s="15" t="s">
        <v>88</v>
      </c>
      <c r="B20">
        <v>5826</v>
      </c>
      <c r="C20" t="s">
        <v>72</v>
      </c>
      <c r="D20" s="11">
        <v>10000</v>
      </c>
      <c r="E20" s="11">
        <f t="shared" si="0"/>
        <v>280000</v>
      </c>
      <c r="F20" s="11">
        <f t="shared" si="1"/>
        <v>80000</v>
      </c>
    </row>
    <row r="21" spans="1:6" x14ac:dyDescent="0.35">
      <c r="A21" s="15" t="s">
        <v>89</v>
      </c>
      <c r="B21">
        <v>6630</v>
      </c>
      <c r="C21" t="s">
        <v>72</v>
      </c>
      <c r="D21" s="11">
        <v>10000</v>
      </c>
      <c r="E21" s="11">
        <f t="shared" si="0"/>
        <v>290000</v>
      </c>
      <c r="F21" s="11">
        <f t="shared" si="1"/>
        <v>70000</v>
      </c>
    </row>
    <row r="22" spans="1:6" x14ac:dyDescent="0.35">
      <c r="A22" s="15" t="s">
        <v>90</v>
      </c>
      <c r="B22">
        <v>6743</v>
      </c>
      <c r="C22" t="s">
        <v>72</v>
      </c>
      <c r="D22" s="11">
        <v>10000</v>
      </c>
      <c r="E22" s="11">
        <f t="shared" si="0"/>
        <v>300000</v>
      </c>
      <c r="F22" s="11">
        <f t="shared" si="1"/>
        <v>60000</v>
      </c>
    </row>
    <row r="23" spans="1:6" x14ac:dyDescent="0.35">
      <c r="A23" s="15" t="s">
        <v>91</v>
      </c>
      <c r="B23">
        <v>7522</v>
      </c>
      <c r="C23" t="s">
        <v>72</v>
      </c>
      <c r="D23" s="11">
        <v>10000</v>
      </c>
      <c r="E23" s="11">
        <f t="shared" si="0"/>
        <v>310000</v>
      </c>
      <c r="F23" s="11">
        <f t="shared" si="1"/>
        <v>50000</v>
      </c>
    </row>
    <row r="24" spans="1:6" x14ac:dyDescent="0.35">
      <c r="A24" s="15" t="s">
        <v>92</v>
      </c>
      <c r="B24">
        <v>7977</v>
      </c>
      <c r="C24" t="s">
        <v>72</v>
      </c>
      <c r="D24" s="11">
        <v>10000</v>
      </c>
      <c r="E24" s="11">
        <f t="shared" si="0"/>
        <v>320000</v>
      </c>
      <c r="F24" s="11">
        <f t="shared" si="1"/>
        <v>40000</v>
      </c>
    </row>
    <row r="25" spans="1:6" x14ac:dyDescent="0.35">
      <c r="A25" s="15" t="s">
        <v>93</v>
      </c>
      <c r="B25">
        <v>8579</v>
      </c>
      <c r="C25" t="s">
        <v>72</v>
      </c>
      <c r="D25" s="11">
        <v>10000</v>
      </c>
      <c r="E25" s="11">
        <f t="shared" si="0"/>
        <v>330000</v>
      </c>
      <c r="F25" s="11">
        <f t="shared" si="1"/>
        <v>30000</v>
      </c>
    </row>
    <row r="26" spans="1:6" x14ac:dyDescent="0.35">
      <c r="A26" s="15" t="s">
        <v>94</v>
      </c>
      <c r="B26">
        <v>9227</v>
      </c>
      <c r="C26" t="s">
        <v>72</v>
      </c>
      <c r="D26" s="11">
        <v>10000</v>
      </c>
      <c r="E26" s="11">
        <f t="shared" si="0"/>
        <v>340000</v>
      </c>
      <c r="F26" s="11">
        <f t="shared" si="1"/>
        <v>20000</v>
      </c>
    </row>
    <row r="27" spans="1:6" x14ac:dyDescent="0.35">
      <c r="A27" s="15" t="s">
        <v>95</v>
      </c>
      <c r="B27">
        <v>9753</v>
      </c>
      <c r="C27" t="s">
        <v>72</v>
      </c>
      <c r="D27" s="11">
        <v>10000</v>
      </c>
      <c r="E27" s="11">
        <f t="shared" si="0"/>
        <v>350000</v>
      </c>
      <c r="F27" s="11">
        <f t="shared" si="1"/>
        <v>10000</v>
      </c>
    </row>
    <row r="28" spans="1:6" x14ac:dyDescent="0.35">
      <c r="A28" s="15" t="s">
        <v>96</v>
      </c>
      <c r="B28">
        <v>10629</v>
      </c>
      <c r="C28" t="s">
        <v>72</v>
      </c>
      <c r="D28" s="11">
        <v>10000</v>
      </c>
      <c r="E28" s="11">
        <f t="shared" si="0"/>
        <v>360000</v>
      </c>
      <c r="F28" s="11">
        <f t="shared" si="1"/>
        <v>0</v>
      </c>
    </row>
    <row r="29" spans="1:6" ht="21" x14ac:dyDescent="0.5">
      <c r="B29" s="27" t="s">
        <v>100</v>
      </c>
      <c r="C29" s="27"/>
      <c r="D29" s="27"/>
    </row>
    <row r="31" spans="1:6" x14ac:dyDescent="0.35">
      <c r="A31" s="15" t="s">
        <v>101</v>
      </c>
    </row>
    <row r="32" spans="1:6" x14ac:dyDescent="0.35">
      <c r="A32" s="15" t="s">
        <v>102</v>
      </c>
      <c r="B32" t="s">
        <v>103</v>
      </c>
      <c r="C32" s="11">
        <v>150000</v>
      </c>
      <c r="D32" s="11">
        <v>150000</v>
      </c>
      <c r="E32" t="s">
        <v>100</v>
      </c>
      <c r="F32" t="s">
        <v>100</v>
      </c>
    </row>
  </sheetData>
  <mergeCells count="1">
    <mergeCell ref="B29:D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AB251-0AE3-4FA9-84A5-816A11081C7B}">
  <dimension ref="A1:F9"/>
  <sheetViews>
    <sheetView workbookViewId="0">
      <selection sqref="A1:F8"/>
    </sheetView>
  </sheetViews>
  <sheetFormatPr defaultRowHeight="14.5" x14ac:dyDescent="0.35"/>
  <sheetData>
    <row r="1" spans="1:6" x14ac:dyDescent="0.35">
      <c r="A1" t="s">
        <v>41</v>
      </c>
      <c r="B1" t="s">
        <v>105</v>
      </c>
    </row>
    <row r="2" spans="1:6" x14ac:dyDescent="0.35">
      <c r="A2" t="s">
        <v>104</v>
      </c>
      <c r="B2" t="s">
        <v>106</v>
      </c>
    </row>
    <row r="3" spans="1:6" x14ac:dyDescent="0.35">
      <c r="A3" t="s">
        <v>45</v>
      </c>
      <c r="B3" t="s">
        <v>107</v>
      </c>
    </row>
    <row r="4" spans="1:6" x14ac:dyDescent="0.35">
      <c r="A4" t="s">
        <v>42</v>
      </c>
      <c r="B4" t="s">
        <v>108</v>
      </c>
    </row>
    <row r="5" spans="1:6" x14ac:dyDescent="0.35">
      <c r="A5" t="s">
        <v>44</v>
      </c>
      <c r="B5" t="s">
        <v>109</v>
      </c>
    </row>
    <row r="6" spans="1:6" x14ac:dyDescent="0.35">
      <c r="A6" t="s">
        <v>46</v>
      </c>
      <c r="B6">
        <v>6406</v>
      </c>
    </row>
    <row r="8" spans="1:6" x14ac:dyDescent="0.35">
      <c r="A8" s="5" t="s">
        <v>0</v>
      </c>
      <c r="B8" s="5" t="s">
        <v>1</v>
      </c>
      <c r="C8" s="5" t="s">
        <v>2</v>
      </c>
      <c r="D8" s="6" t="s">
        <v>3</v>
      </c>
      <c r="E8" s="6" t="s">
        <v>4</v>
      </c>
      <c r="F8" s="6" t="s">
        <v>5</v>
      </c>
    </row>
    <row r="9" spans="1:6" x14ac:dyDescent="0.35">
      <c r="A9" t="s">
        <v>110</v>
      </c>
      <c r="B9">
        <v>12345</v>
      </c>
      <c r="C9" s="11" t="s">
        <v>111</v>
      </c>
      <c r="D9" s="11">
        <v>600000</v>
      </c>
      <c r="E9" s="11">
        <v>600000</v>
      </c>
      <c r="F9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3DAE6-E1B1-46D2-B060-F6C01F0FBE08}">
  <dimension ref="A1:F36"/>
  <sheetViews>
    <sheetView workbookViewId="0">
      <selection activeCell="B42" sqref="B42"/>
    </sheetView>
  </sheetViews>
  <sheetFormatPr defaultRowHeight="14.5" x14ac:dyDescent="0.35"/>
  <cols>
    <col min="1" max="1" width="9.453125" bestFit="1" customWidth="1"/>
  </cols>
  <sheetData>
    <row r="1" spans="1:6" x14ac:dyDescent="0.35">
      <c r="A1" s="15" t="s">
        <v>114</v>
      </c>
      <c r="B1" s="15" t="s">
        <v>115</v>
      </c>
      <c r="C1" s="15"/>
      <c r="D1" s="15"/>
      <c r="E1" s="15"/>
    </row>
    <row r="2" spans="1:6" x14ac:dyDescent="0.35">
      <c r="A2" s="15" t="s">
        <v>73</v>
      </c>
      <c r="B2" s="15" t="s">
        <v>116</v>
      </c>
      <c r="C2" s="15"/>
      <c r="D2" s="15"/>
      <c r="E2" s="15"/>
    </row>
    <row r="3" spans="1:6" x14ac:dyDescent="0.35">
      <c r="A3" s="15" t="s">
        <v>45</v>
      </c>
      <c r="B3" s="15"/>
      <c r="C3" s="15" t="s">
        <v>117</v>
      </c>
      <c r="D3" s="15"/>
      <c r="E3" s="15"/>
    </row>
    <row r="4" spans="1:6" x14ac:dyDescent="0.35">
      <c r="A4" s="15" t="s">
        <v>42</v>
      </c>
      <c r="B4" s="15" t="s">
        <v>118</v>
      </c>
      <c r="C4" s="15"/>
      <c r="D4" s="15"/>
      <c r="E4" s="15"/>
    </row>
    <row r="5" spans="1:6" x14ac:dyDescent="0.35">
      <c r="A5" s="15" t="s">
        <v>44</v>
      </c>
      <c r="B5" s="15">
        <v>765713</v>
      </c>
      <c r="C5" s="15"/>
      <c r="D5" s="15"/>
      <c r="E5" s="15"/>
    </row>
    <row r="6" spans="1:6" x14ac:dyDescent="0.35">
      <c r="A6" s="15" t="s">
        <v>46</v>
      </c>
      <c r="B6" s="15" t="s">
        <v>119</v>
      </c>
      <c r="C6" s="15"/>
      <c r="D6" s="15" t="s">
        <v>120</v>
      </c>
      <c r="E6" s="15"/>
    </row>
    <row r="8" spans="1:6" x14ac:dyDescent="0.35">
      <c r="A8" s="20" t="s">
        <v>0</v>
      </c>
      <c r="B8" s="20" t="s">
        <v>1</v>
      </c>
      <c r="C8" s="20" t="s">
        <v>2</v>
      </c>
      <c r="D8" s="21" t="s">
        <v>3</v>
      </c>
      <c r="E8" s="21" t="s">
        <v>4</v>
      </c>
      <c r="F8" s="21" t="s">
        <v>5</v>
      </c>
    </row>
    <row r="9" spans="1:6" x14ac:dyDescent="0.35">
      <c r="A9" s="9">
        <v>45389</v>
      </c>
      <c r="B9" s="7" t="s">
        <v>122</v>
      </c>
      <c r="C9" s="7" t="s">
        <v>121</v>
      </c>
      <c r="D9" s="7"/>
      <c r="E9" s="8">
        <v>400000</v>
      </c>
      <c r="F9" s="7">
        <v>250000</v>
      </c>
    </row>
    <row r="10" spans="1:6" x14ac:dyDescent="0.35">
      <c r="A10" s="9">
        <v>45389</v>
      </c>
      <c r="B10" s="7">
        <v>9385</v>
      </c>
      <c r="C10" s="7" t="s">
        <v>124</v>
      </c>
      <c r="D10" s="7">
        <v>32500</v>
      </c>
      <c r="E10" s="7">
        <v>432500</v>
      </c>
      <c r="F10" s="7">
        <v>217500</v>
      </c>
    </row>
    <row r="11" spans="1:6" x14ac:dyDescent="0.35">
      <c r="A11" s="9">
        <v>45481</v>
      </c>
      <c r="B11" s="7">
        <v>10076</v>
      </c>
      <c r="C11" s="7" t="s">
        <v>126</v>
      </c>
      <c r="D11" s="8">
        <v>10000</v>
      </c>
      <c r="E11" s="7">
        <v>442500</v>
      </c>
      <c r="F11" s="7">
        <v>207500</v>
      </c>
    </row>
    <row r="12" spans="1:6" x14ac:dyDescent="0.35">
      <c r="A12" s="9">
        <v>45452</v>
      </c>
      <c r="B12" s="7">
        <v>10561</v>
      </c>
      <c r="C12" s="7" t="s">
        <v>126</v>
      </c>
      <c r="D12" s="8">
        <v>10000</v>
      </c>
      <c r="E12" s="7">
        <v>452500</v>
      </c>
      <c r="F12" s="7">
        <v>197500</v>
      </c>
    </row>
    <row r="13" spans="1:6" x14ac:dyDescent="0.35">
      <c r="A13" s="9">
        <v>45453</v>
      </c>
      <c r="B13" s="7">
        <v>11414</v>
      </c>
      <c r="C13" s="7" t="s">
        <v>126</v>
      </c>
      <c r="D13" s="8">
        <v>10000</v>
      </c>
      <c r="E13" s="8">
        <f t="shared" ref="E13:E31" si="0">E12+D13</f>
        <v>462500</v>
      </c>
      <c r="F13" s="8">
        <f t="shared" ref="F13:F31" si="1">F12-D13</f>
        <v>187500</v>
      </c>
    </row>
    <row r="14" spans="1:6" x14ac:dyDescent="0.35">
      <c r="A14" s="9">
        <v>45362</v>
      </c>
      <c r="B14" s="7">
        <v>11579</v>
      </c>
      <c r="C14" s="7" t="s">
        <v>126</v>
      </c>
      <c r="D14" s="8">
        <v>10000</v>
      </c>
      <c r="E14" s="8">
        <f t="shared" si="0"/>
        <v>472500</v>
      </c>
      <c r="F14" s="8">
        <f t="shared" si="1"/>
        <v>177500</v>
      </c>
    </row>
    <row r="15" spans="1:6" x14ac:dyDescent="0.35">
      <c r="A15" s="9">
        <v>45516</v>
      </c>
      <c r="B15" s="7">
        <v>12234</v>
      </c>
      <c r="C15" s="7" t="s">
        <v>126</v>
      </c>
      <c r="D15" s="8">
        <v>10000</v>
      </c>
      <c r="E15" s="8">
        <f t="shared" si="0"/>
        <v>482500</v>
      </c>
      <c r="F15" s="8">
        <f t="shared" si="1"/>
        <v>167500</v>
      </c>
    </row>
    <row r="16" spans="1:6" x14ac:dyDescent="0.35">
      <c r="A16" s="9">
        <v>45778</v>
      </c>
      <c r="B16" s="7">
        <v>12902</v>
      </c>
      <c r="C16" s="7" t="s">
        <v>126</v>
      </c>
      <c r="D16" s="8">
        <v>10000</v>
      </c>
      <c r="E16" s="8">
        <f t="shared" si="0"/>
        <v>492500</v>
      </c>
      <c r="F16" s="8">
        <f t="shared" si="1"/>
        <v>157500</v>
      </c>
    </row>
    <row r="17" spans="1:6" x14ac:dyDescent="0.35">
      <c r="A17" s="9">
        <v>45690</v>
      </c>
      <c r="B17" s="7">
        <v>9187</v>
      </c>
      <c r="C17" s="7" t="s">
        <v>126</v>
      </c>
      <c r="D17" s="8">
        <v>10000</v>
      </c>
      <c r="E17" s="8">
        <f t="shared" si="0"/>
        <v>502500</v>
      </c>
      <c r="F17" s="8">
        <f t="shared" si="1"/>
        <v>147500</v>
      </c>
    </row>
    <row r="18" spans="1:6" x14ac:dyDescent="0.35">
      <c r="A18" s="9">
        <v>45903</v>
      </c>
      <c r="B18" s="7">
        <v>9670</v>
      </c>
      <c r="C18" s="7" t="s">
        <v>126</v>
      </c>
      <c r="D18" s="8">
        <v>10000</v>
      </c>
      <c r="E18" s="8">
        <f t="shared" si="0"/>
        <v>512500</v>
      </c>
      <c r="F18" s="8">
        <f t="shared" si="1"/>
        <v>137500</v>
      </c>
    </row>
    <row r="19" spans="1:6" x14ac:dyDescent="0.35">
      <c r="A19" s="7" t="s">
        <v>123</v>
      </c>
      <c r="B19" s="7">
        <v>9931</v>
      </c>
      <c r="C19" s="7" t="s">
        <v>126</v>
      </c>
      <c r="D19" s="8">
        <v>10000</v>
      </c>
      <c r="E19" s="8">
        <f t="shared" si="0"/>
        <v>522500</v>
      </c>
      <c r="F19" s="8">
        <f t="shared" si="1"/>
        <v>127500</v>
      </c>
    </row>
    <row r="20" spans="1:6" x14ac:dyDescent="0.35">
      <c r="A20" s="9">
        <v>45752</v>
      </c>
      <c r="B20" s="7">
        <v>10304</v>
      </c>
      <c r="C20" s="7" t="s">
        <v>126</v>
      </c>
      <c r="D20" s="8">
        <v>10000</v>
      </c>
      <c r="E20" s="8">
        <f t="shared" si="0"/>
        <v>532500</v>
      </c>
      <c r="F20" s="8">
        <f t="shared" si="1"/>
        <v>117500</v>
      </c>
    </row>
    <row r="21" spans="1:6" x14ac:dyDescent="0.35">
      <c r="A21" s="9">
        <v>45936</v>
      </c>
      <c r="B21" s="7">
        <v>10259</v>
      </c>
      <c r="C21" s="7" t="s">
        <v>126</v>
      </c>
      <c r="D21" s="8">
        <v>10000</v>
      </c>
      <c r="E21" s="8">
        <f t="shared" si="0"/>
        <v>542500</v>
      </c>
      <c r="F21" s="8">
        <f t="shared" si="1"/>
        <v>107500</v>
      </c>
    </row>
    <row r="22" spans="1:6" x14ac:dyDescent="0.35">
      <c r="A22" s="9">
        <v>45876</v>
      </c>
      <c r="B22" s="7">
        <v>12830</v>
      </c>
      <c r="C22" s="7" t="s">
        <v>126</v>
      </c>
      <c r="D22" s="8">
        <v>10000</v>
      </c>
      <c r="E22" s="8">
        <f t="shared" si="0"/>
        <v>552500</v>
      </c>
      <c r="F22" s="8">
        <f t="shared" si="1"/>
        <v>97500</v>
      </c>
    </row>
    <row r="23" spans="1:6" x14ac:dyDescent="0.35">
      <c r="A23" s="9">
        <v>45724</v>
      </c>
      <c r="B23" s="7">
        <v>12372</v>
      </c>
      <c r="C23" s="7" t="s">
        <v>126</v>
      </c>
      <c r="D23" s="8">
        <v>10000</v>
      </c>
      <c r="E23" s="8">
        <f t="shared" si="0"/>
        <v>562500</v>
      </c>
      <c r="F23" s="8">
        <f t="shared" si="1"/>
        <v>87500</v>
      </c>
    </row>
    <row r="24" spans="1:6" x14ac:dyDescent="0.35">
      <c r="A24" s="9">
        <v>45847</v>
      </c>
      <c r="B24" s="7">
        <v>12640</v>
      </c>
      <c r="C24" s="7" t="s">
        <v>126</v>
      </c>
      <c r="D24" s="8">
        <v>10000</v>
      </c>
      <c r="E24" s="8">
        <f t="shared" si="0"/>
        <v>572500</v>
      </c>
      <c r="F24" s="8">
        <f t="shared" si="1"/>
        <v>77500</v>
      </c>
    </row>
    <row r="25" spans="1:6" x14ac:dyDescent="0.35">
      <c r="A25" s="9">
        <v>45787</v>
      </c>
      <c r="B25" s="7">
        <v>13874</v>
      </c>
      <c r="C25" s="7" t="s">
        <v>126</v>
      </c>
      <c r="D25" s="8">
        <v>10000</v>
      </c>
      <c r="E25" s="8">
        <f t="shared" si="0"/>
        <v>582500</v>
      </c>
      <c r="F25" s="8">
        <f t="shared" si="1"/>
        <v>67500</v>
      </c>
    </row>
    <row r="26" spans="1:6" x14ac:dyDescent="0.35">
      <c r="A26" s="9">
        <v>45699</v>
      </c>
      <c r="B26" s="7">
        <v>13422</v>
      </c>
      <c r="C26" s="7" t="s">
        <v>126</v>
      </c>
      <c r="D26" s="8">
        <v>10000</v>
      </c>
      <c r="E26" s="8">
        <f t="shared" si="0"/>
        <v>592500</v>
      </c>
      <c r="F26" s="8">
        <f t="shared" si="1"/>
        <v>57500</v>
      </c>
    </row>
    <row r="27" spans="1:6" x14ac:dyDescent="0.35">
      <c r="A27" s="9">
        <v>45850</v>
      </c>
      <c r="B27" s="7">
        <v>13296</v>
      </c>
      <c r="C27" s="7" t="s">
        <v>126</v>
      </c>
      <c r="D27" s="8">
        <v>10000</v>
      </c>
      <c r="E27" s="8">
        <f t="shared" si="0"/>
        <v>602500</v>
      </c>
      <c r="F27" s="8">
        <f t="shared" si="1"/>
        <v>47500</v>
      </c>
    </row>
    <row r="28" spans="1:6" x14ac:dyDescent="0.35">
      <c r="A28" s="9">
        <v>46113</v>
      </c>
      <c r="B28" s="7">
        <v>13890</v>
      </c>
      <c r="C28" s="7" t="s">
        <v>126</v>
      </c>
      <c r="D28" s="8">
        <v>10000</v>
      </c>
      <c r="E28" s="8">
        <f t="shared" si="0"/>
        <v>612500</v>
      </c>
      <c r="F28" s="8">
        <f t="shared" si="1"/>
        <v>37500</v>
      </c>
    </row>
    <row r="29" spans="1:6" x14ac:dyDescent="0.35">
      <c r="A29" s="9">
        <v>46024</v>
      </c>
      <c r="B29" s="7">
        <v>12311</v>
      </c>
      <c r="C29" s="7" t="s">
        <v>126</v>
      </c>
      <c r="D29" s="8">
        <v>10000</v>
      </c>
      <c r="E29" s="8">
        <f t="shared" si="0"/>
        <v>622500</v>
      </c>
      <c r="F29" s="8">
        <f t="shared" si="1"/>
        <v>27500</v>
      </c>
    </row>
    <row r="30" spans="1:6" x14ac:dyDescent="0.35">
      <c r="A30" s="9">
        <v>46025</v>
      </c>
      <c r="B30" s="7">
        <v>12715</v>
      </c>
      <c r="C30" s="7" t="s">
        <v>126</v>
      </c>
      <c r="D30" s="8">
        <v>10000</v>
      </c>
      <c r="E30" s="8">
        <f t="shared" si="0"/>
        <v>632500</v>
      </c>
      <c r="F30" s="8">
        <f t="shared" si="1"/>
        <v>17500</v>
      </c>
    </row>
    <row r="31" spans="1:6" x14ac:dyDescent="0.35">
      <c r="A31" s="9">
        <v>46146</v>
      </c>
      <c r="B31" s="7">
        <v>13136</v>
      </c>
      <c r="C31" s="7" t="s">
        <v>126</v>
      </c>
      <c r="D31" s="8">
        <v>10000</v>
      </c>
      <c r="E31" s="8">
        <f t="shared" si="0"/>
        <v>642500</v>
      </c>
      <c r="F31" s="8">
        <f t="shared" si="1"/>
        <v>7500</v>
      </c>
    </row>
    <row r="32" spans="1:6" x14ac:dyDescent="0.35">
      <c r="A32" s="9">
        <v>46086</v>
      </c>
      <c r="B32" s="7">
        <v>12922</v>
      </c>
      <c r="C32" s="7" t="s">
        <v>126</v>
      </c>
      <c r="D32" s="8">
        <v>10000</v>
      </c>
      <c r="E32" s="7">
        <v>650000</v>
      </c>
      <c r="F32" s="7">
        <v>0</v>
      </c>
    </row>
    <row r="33" spans="1:6" x14ac:dyDescent="0.35">
      <c r="A33" s="19"/>
      <c r="B33" s="19"/>
      <c r="C33" s="19"/>
      <c r="D33" s="19"/>
      <c r="E33" s="19"/>
      <c r="F33" s="19"/>
    </row>
    <row r="36" spans="1:6" x14ac:dyDescent="0.35">
      <c r="A36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0EB78-7D03-4678-BDF5-A79E9419F71F}">
  <dimension ref="A1:F30"/>
  <sheetViews>
    <sheetView topLeftCell="A13" workbookViewId="0">
      <selection sqref="A1:F8"/>
    </sheetView>
  </sheetViews>
  <sheetFormatPr defaultRowHeight="14.5" x14ac:dyDescent="0.35"/>
  <cols>
    <col min="1" max="1" width="11.453125" customWidth="1"/>
    <col min="2" max="2" width="9.26953125" customWidth="1"/>
    <col min="3" max="3" width="13.1796875" customWidth="1"/>
  </cols>
  <sheetData>
    <row r="1" spans="1:6" ht="18.5" x14ac:dyDescent="0.45">
      <c r="A1" s="1" t="s">
        <v>128</v>
      </c>
      <c r="B1" s="1"/>
      <c r="C1" s="1"/>
      <c r="D1" s="1"/>
      <c r="E1" s="1"/>
      <c r="F1" s="1"/>
    </row>
    <row r="2" spans="1:6" ht="18.5" x14ac:dyDescent="0.45">
      <c r="A2" s="1" t="s">
        <v>129</v>
      </c>
      <c r="C2" s="1"/>
      <c r="D2" s="1"/>
      <c r="E2" s="1"/>
      <c r="F2" s="1"/>
    </row>
    <row r="3" spans="1:6" ht="18.5" x14ac:dyDescent="0.45">
      <c r="A3" s="1" t="s">
        <v>130</v>
      </c>
      <c r="B3" s="1"/>
      <c r="C3" s="1"/>
      <c r="D3" s="1"/>
      <c r="E3" s="1"/>
      <c r="F3" s="1"/>
    </row>
    <row r="4" spans="1:6" ht="18.5" x14ac:dyDescent="0.45">
      <c r="A4" s="1" t="s">
        <v>134</v>
      </c>
      <c r="B4" s="1"/>
      <c r="C4" s="1"/>
      <c r="D4" s="1"/>
      <c r="E4" s="1"/>
      <c r="F4" s="1"/>
    </row>
    <row r="5" spans="1:6" ht="18.5" x14ac:dyDescent="0.45">
      <c r="A5" s="1" t="s">
        <v>131</v>
      </c>
      <c r="B5" s="1"/>
      <c r="C5" s="1"/>
      <c r="D5" s="1"/>
      <c r="E5" s="1"/>
      <c r="F5" s="1"/>
    </row>
    <row r="6" spans="1:6" ht="18.5" x14ac:dyDescent="0.45">
      <c r="A6" s="1" t="s">
        <v>133</v>
      </c>
      <c r="B6" s="1"/>
      <c r="C6" s="1"/>
      <c r="D6" s="1" t="s">
        <v>132</v>
      </c>
      <c r="F6" s="1"/>
    </row>
    <row r="7" spans="1:6" x14ac:dyDescent="0.35">
      <c r="A7" s="2"/>
      <c r="B7" s="3"/>
      <c r="C7" s="3"/>
      <c r="D7" s="4"/>
      <c r="E7" s="4"/>
      <c r="F7" s="4"/>
    </row>
    <row r="8" spans="1:6" x14ac:dyDescent="0.35">
      <c r="A8" s="22" t="s">
        <v>0</v>
      </c>
      <c r="B8" s="22" t="s">
        <v>1</v>
      </c>
      <c r="C8" s="22" t="s">
        <v>2</v>
      </c>
      <c r="D8" s="23" t="s">
        <v>3</v>
      </c>
      <c r="E8" s="23" t="s">
        <v>4</v>
      </c>
      <c r="F8" s="23" t="s">
        <v>5</v>
      </c>
    </row>
    <row r="9" spans="1:6" x14ac:dyDescent="0.35">
      <c r="A9" s="24" t="s">
        <v>135</v>
      </c>
      <c r="B9" s="7">
        <v>1144</v>
      </c>
      <c r="C9" s="7" t="s">
        <v>18</v>
      </c>
      <c r="D9" s="8">
        <v>10000</v>
      </c>
      <c r="E9" s="8">
        <v>10000</v>
      </c>
      <c r="F9" s="8">
        <v>190000</v>
      </c>
    </row>
    <row r="10" spans="1:6" x14ac:dyDescent="0.35">
      <c r="A10" s="25">
        <v>45017</v>
      </c>
      <c r="B10" s="7">
        <v>1424</v>
      </c>
      <c r="C10" s="7" t="s">
        <v>142</v>
      </c>
      <c r="D10" s="8">
        <v>10000</v>
      </c>
      <c r="E10" s="8">
        <v>180000</v>
      </c>
      <c r="F10" s="8">
        <f t="shared" ref="F10:F26" si="0">F9-D10</f>
        <v>180000</v>
      </c>
    </row>
    <row r="11" spans="1:6" x14ac:dyDescent="0.35">
      <c r="A11" s="24" t="s">
        <v>136</v>
      </c>
      <c r="B11" s="7">
        <v>1425</v>
      </c>
      <c r="C11" s="7" t="s">
        <v>18</v>
      </c>
      <c r="D11" s="8">
        <v>10000</v>
      </c>
      <c r="E11" s="8">
        <f t="shared" ref="E11:E27" si="1">E10+D11</f>
        <v>190000</v>
      </c>
      <c r="F11" s="8">
        <f t="shared" si="0"/>
        <v>170000</v>
      </c>
    </row>
    <row r="12" spans="1:6" x14ac:dyDescent="0.35">
      <c r="A12" s="24" t="s">
        <v>137</v>
      </c>
      <c r="B12" s="7">
        <v>1615</v>
      </c>
      <c r="C12" s="7" t="s">
        <v>18</v>
      </c>
      <c r="D12" s="8">
        <v>10000</v>
      </c>
      <c r="E12" s="8">
        <f t="shared" si="1"/>
        <v>200000</v>
      </c>
      <c r="F12" s="8">
        <f t="shared" si="0"/>
        <v>160000</v>
      </c>
    </row>
    <row r="13" spans="1:6" x14ac:dyDescent="0.35">
      <c r="A13" s="24" t="s">
        <v>138</v>
      </c>
      <c r="B13" s="7">
        <v>1264</v>
      </c>
      <c r="C13" s="7" t="s">
        <v>18</v>
      </c>
      <c r="D13" s="8">
        <v>10000</v>
      </c>
      <c r="E13" s="8">
        <f t="shared" si="1"/>
        <v>210000</v>
      </c>
      <c r="F13" s="8">
        <f t="shared" si="0"/>
        <v>150000</v>
      </c>
    </row>
    <row r="14" spans="1:6" x14ac:dyDescent="0.35">
      <c r="A14" s="24" t="s">
        <v>139</v>
      </c>
      <c r="B14" s="7">
        <v>976</v>
      </c>
      <c r="C14" s="7" t="s">
        <v>18</v>
      </c>
      <c r="D14" s="8">
        <v>10000</v>
      </c>
      <c r="E14" s="8">
        <f t="shared" si="1"/>
        <v>220000</v>
      </c>
      <c r="F14" s="8">
        <f t="shared" si="0"/>
        <v>140000</v>
      </c>
    </row>
    <row r="15" spans="1:6" x14ac:dyDescent="0.35">
      <c r="A15" s="24" t="s">
        <v>139</v>
      </c>
      <c r="B15" s="7">
        <v>977</v>
      </c>
      <c r="C15" s="7" t="s">
        <v>18</v>
      </c>
      <c r="D15" s="8">
        <v>10000</v>
      </c>
      <c r="E15" s="8">
        <f t="shared" si="1"/>
        <v>230000</v>
      </c>
      <c r="F15" s="8">
        <f t="shared" si="0"/>
        <v>130000</v>
      </c>
    </row>
    <row r="16" spans="1:6" x14ac:dyDescent="0.35">
      <c r="A16" s="24" t="s">
        <v>140</v>
      </c>
      <c r="B16" s="7">
        <v>2979</v>
      </c>
      <c r="C16" s="7" t="s">
        <v>18</v>
      </c>
      <c r="D16" s="8">
        <v>10000</v>
      </c>
      <c r="E16" s="8">
        <f t="shared" si="1"/>
        <v>240000</v>
      </c>
      <c r="F16" s="8">
        <f t="shared" si="0"/>
        <v>120000</v>
      </c>
    </row>
    <row r="17" spans="1:6" x14ac:dyDescent="0.35">
      <c r="A17" s="25">
        <v>45117</v>
      </c>
      <c r="B17" s="7">
        <v>4047</v>
      </c>
      <c r="C17" s="7" t="s">
        <v>18</v>
      </c>
      <c r="D17" s="8">
        <v>20000</v>
      </c>
      <c r="E17" s="8">
        <f t="shared" si="1"/>
        <v>260000</v>
      </c>
      <c r="F17" s="8">
        <f t="shared" si="0"/>
        <v>100000</v>
      </c>
    </row>
    <row r="18" spans="1:6" x14ac:dyDescent="0.35">
      <c r="A18" s="25">
        <v>45210</v>
      </c>
      <c r="B18" s="7">
        <v>4775</v>
      </c>
      <c r="C18" s="7" t="s">
        <v>18</v>
      </c>
      <c r="D18" s="8">
        <v>10000</v>
      </c>
      <c r="E18" s="8">
        <f t="shared" si="1"/>
        <v>270000</v>
      </c>
      <c r="F18" s="8">
        <f t="shared" si="0"/>
        <v>90000</v>
      </c>
    </row>
    <row r="19" spans="1:6" x14ac:dyDescent="0.35">
      <c r="A19" s="24" t="s">
        <v>141</v>
      </c>
      <c r="B19" s="7">
        <v>5832</v>
      </c>
      <c r="C19" s="7" t="s">
        <v>18</v>
      </c>
      <c r="D19" s="8">
        <v>10000</v>
      </c>
      <c r="E19" s="8">
        <f t="shared" si="1"/>
        <v>280000</v>
      </c>
      <c r="F19" s="8">
        <f t="shared" si="0"/>
        <v>80000</v>
      </c>
    </row>
    <row r="20" spans="1:6" x14ac:dyDescent="0.35">
      <c r="A20" s="24" t="s">
        <v>143</v>
      </c>
      <c r="B20" s="7">
        <v>6331</v>
      </c>
      <c r="C20" s="7" t="s">
        <v>18</v>
      </c>
      <c r="D20" s="8">
        <v>10000</v>
      </c>
      <c r="E20" s="8">
        <f t="shared" si="1"/>
        <v>290000</v>
      </c>
      <c r="F20" s="8">
        <f t="shared" si="0"/>
        <v>70000</v>
      </c>
    </row>
    <row r="21" spans="1:6" x14ac:dyDescent="0.35">
      <c r="A21" s="24" t="s">
        <v>144</v>
      </c>
      <c r="B21" s="7">
        <v>6744</v>
      </c>
      <c r="C21" s="7" t="s">
        <v>18</v>
      </c>
      <c r="D21" s="8">
        <v>10000</v>
      </c>
      <c r="E21" s="8">
        <f t="shared" si="1"/>
        <v>300000</v>
      </c>
      <c r="F21" s="8">
        <f t="shared" si="0"/>
        <v>60000</v>
      </c>
    </row>
    <row r="22" spans="1:6" x14ac:dyDescent="0.35">
      <c r="A22" s="24" t="s">
        <v>145</v>
      </c>
      <c r="B22" s="7">
        <v>7523</v>
      </c>
      <c r="C22" s="7" t="s">
        <v>18</v>
      </c>
      <c r="D22" s="8">
        <v>10000</v>
      </c>
      <c r="E22" s="8">
        <f t="shared" si="1"/>
        <v>310000</v>
      </c>
      <c r="F22" s="8">
        <f t="shared" si="0"/>
        <v>50000</v>
      </c>
    </row>
    <row r="23" spans="1:6" x14ac:dyDescent="0.35">
      <c r="A23" s="24" t="s">
        <v>146</v>
      </c>
      <c r="B23" s="7">
        <v>7978</v>
      </c>
      <c r="C23" s="7" t="s">
        <v>18</v>
      </c>
      <c r="D23" s="8">
        <v>10000</v>
      </c>
      <c r="E23" s="8">
        <f t="shared" si="1"/>
        <v>320000</v>
      </c>
      <c r="F23" s="8">
        <f t="shared" si="0"/>
        <v>40000</v>
      </c>
    </row>
    <row r="24" spans="1:6" x14ac:dyDescent="0.35">
      <c r="A24" s="24" t="s">
        <v>147</v>
      </c>
      <c r="B24" s="7">
        <v>8576</v>
      </c>
      <c r="C24" s="7" t="s">
        <v>18</v>
      </c>
      <c r="D24" s="8">
        <v>10000</v>
      </c>
      <c r="E24" s="8">
        <f t="shared" si="1"/>
        <v>330000</v>
      </c>
      <c r="F24" s="8">
        <f t="shared" si="0"/>
        <v>30000</v>
      </c>
    </row>
    <row r="25" spans="1:6" x14ac:dyDescent="0.35">
      <c r="A25" s="24" t="s">
        <v>148</v>
      </c>
      <c r="B25" s="7">
        <v>9225</v>
      </c>
      <c r="C25" s="7" t="s">
        <v>18</v>
      </c>
      <c r="D25" s="8">
        <v>10000</v>
      </c>
      <c r="E25" s="8">
        <f t="shared" si="1"/>
        <v>340000</v>
      </c>
      <c r="F25" s="8">
        <f t="shared" si="0"/>
        <v>20000</v>
      </c>
    </row>
    <row r="26" spans="1:6" x14ac:dyDescent="0.35">
      <c r="A26" s="24" t="s">
        <v>149</v>
      </c>
      <c r="B26" s="7">
        <v>9751</v>
      </c>
      <c r="C26" s="7" t="s">
        <v>18</v>
      </c>
      <c r="D26" s="8">
        <v>10000</v>
      </c>
      <c r="E26" s="8">
        <f t="shared" si="1"/>
        <v>350000</v>
      </c>
      <c r="F26" s="8">
        <f t="shared" si="0"/>
        <v>10000</v>
      </c>
    </row>
    <row r="27" spans="1:6" x14ac:dyDescent="0.35">
      <c r="A27" s="25">
        <v>45544</v>
      </c>
      <c r="B27" s="7">
        <v>10630</v>
      </c>
      <c r="C27" s="7" t="s">
        <v>18</v>
      </c>
      <c r="D27" s="8">
        <v>10000</v>
      </c>
      <c r="E27" s="8">
        <f t="shared" si="1"/>
        <v>360000</v>
      </c>
      <c r="F27" s="8" t="s">
        <v>22</v>
      </c>
    </row>
    <row r="29" spans="1:6" ht="18.5" x14ac:dyDescent="0.45">
      <c r="A29" s="1" t="s">
        <v>150</v>
      </c>
    </row>
    <row r="30" spans="1:6" x14ac:dyDescent="0.35">
      <c r="A30" s="9">
        <v>46334</v>
      </c>
      <c r="B30" s="7">
        <v>3775</v>
      </c>
      <c r="C30" s="7" t="s">
        <v>103</v>
      </c>
      <c r="D30" s="8">
        <v>150000</v>
      </c>
      <c r="E30" s="8">
        <v>150000</v>
      </c>
      <c r="F30" s="7" t="s">
        <v>22</v>
      </c>
    </row>
  </sheetData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3F4D-12E7-4651-A159-565E2D0A9953}">
  <dimension ref="A1:F9"/>
  <sheetViews>
    <sheetView tabSelected="1" workbookViewId="0">
      <selection activeCell="A9" sqref="A9:F9"/>
    </sheetView>
  </sheetViews>
  <sheetFormatPr defaultRowHeight="14.5" x14ac:dyDescent="0.35"/>
  <cols>
    <col min="3" max="3" width="12.7265625" customWidth="1"/>
    <col min="4" max="4" width="14.26953125" customWidth="1"/>
    <col min="5" max="5" width="11.08984375" customWidth="1"/>
    <col min="6" max="6" width="14.453125" customWidth="1"/>
  </cols>
  <sheetData>
    <row r="1" spans="1:6" ht="18.5" x14ac:dyDescent="0.45">
      <c r="A1" s="1" t="s">
        <v>151</v>
      </c>
      <c r="B1" s="1"/>
      <c r="C1" s="1"/>
      <c r="D1" s="1"/>
      <c r="E1" s="1"/>
      <c r="F1" s="1"/>
    </row>
    <row r="2" spans="1:6" ht="18.5" x14ac:dyDescent="0.45">
      <c r="A2" s="1" t="s">
        <v>152</v>
      </c>
      <c r="C2" s="1"/>
      <c r="D2" s="1"/>
      <c r="E2" s="1"/>
      <c r="F2" s="1"/>
    </row>
    <row r="3" spans="1:6" ht="18.5" x14ac:dyDescent="0.45">
      <c r="A3" s="1" t="s">
        <v>153</v>
      </c>
      <c r="B3" s="1"/>
      <c r="C3" s="1"/>
      <c r="D3" s="1"/>
      <c r="E3" s="1"/>
      <c r="F3" s="1"/>
    </row>
    <row r="4" spans="1:6" ht="18.5" x14ac:dyDescent="0.45">
      <c r="A4" s="1" t="s">
        <v>157</v>
      </c>
      <c r="B4" s="1"/>
      <c r="C4" s="1"/>
      <c r="D4" s="1"/>
      <c r="E4" s="1"/>
      <c r="F4" s="1"/>
    </row>
    <row r="5" spans="1:6" ht="18.5" x14ac:dyDescent="0.45">
      <c r="A5" s="1" t="s">
        <v>154</v>
      </c>
      <c r="B5" s="1"/>
      <c r="C5" s="1"/>
      <c r="D5" s="1"/>
      <c r="E5" s="1"/>
      <c r="F5" s="1"/>
    </row>
    <row r="6" spans="1:6" ht="18.5" x14ac:dyDescent="0.45">
      <c r="A6" s="1" t="s">
        <v>156</v>
      </c>
      <c r="B6" s="1"/>
      <c r="C6" s="1"/>
      <c r="D6" s="1" t="s">
        <v>155</v>
      </c>
      <c r="F6" s="1"/>
    </row>
    <row r="7" spans="1:6" x14ac:dyDescent="0.35">
      <c r="A7" s="2"/>
      <c r="B7" s="3"/>
      <c r="C7" s="3"/>
      <c r="D7" s="4"/>
      <c r="E7" s="4"/>
      <c r="F7" s="4"/>
    </row>
    <row r="8" spans="1:6" ht="18.5" x14ac:dyDescent="0.45">
      <c r="A8" s="28" t="s">
        <v>0</v>
      </c>
      <c r="B8" s="28" t="s">
        <v>1</v>
      </c>
      <c r="C8" s="28" t="s">
        <v>2</v>
      </c>
      <c r="D8" s="29" t="s">
        <v>3</v>
      </c>
      <c r="E8" s="29" t="s">
        <v>4</v>
      </c>
      <c r="F8" s="29" t="s">
        <v>5</v>
      </c>
    </row>
    <row r="9" spans="1:6" x14ac:dyDescent="0.35">
      <c r="A9" s="30" t="s">
        <v>158</v>
      </c>
      <c r="B9" s="7">
        <v>1823</v>
      </c>
      <c r="C9" s="7" t="s">
        <v>159</v>
      </c>
      <c r="D9" s="8">
        <v>50000</v>
      </c>
      <c r="E9" s="8">
        <v>50000</v>
      </c>
      <c r="F9" s="8">
        <v>750000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L-6407</vt:lpstr>
      <vt:lpstr>L-6474</vt:lpstr>
      <vt:lpstr>L-6403</vt:lpstr>
      <vt:lpstr>L-6483</vt:lpstr>
      <vt:lpstr>L-6406</vt:lpstr>
      <vt:lpstr>L-6485</vt:lpstr>
      <vt:lpstr>L-6482</vt:lpstr>
      <vt:lpstr>L-6401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younas khan</cp:lastModifiedBy>
  <dcterms:created xsi:type="dcterms:W3CDTF">2026-04-06T22:09:51Z</dcterms:created>
  <dcterms:modified xsi:type="dcterms:W3CDTF">2026-08-19T05:25:18Z</dcterms:modified>
</cp:coreProperties>
</file>