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-110" yWindow="-110" windowWidth="19420" windowHeight="10420" firstSheet="1" activeTab="10"/>
  </bookViews>
  <sheets>
    <sheet name="L-5501" sheetId="3" r:id="rId1"/>
    <sheet name="L-5504" sheetId="12" r:id="rId2"/>
    <sheet name="L-5512" sheetId="9" r:id="rId3"/>
    <sheet name="L-5523" sheetId="18" r:id="rId4"/>
    <sheet name="L-5524" sheetId="14" r:id="rId5"/>
    <sheet name="L-5525" sheetId="11" r:id="rId6"/>
    <sheet name="L-5531" sheetId="10" r:id="rId7"/>
    <sheet name="L-5533" sheetId="4" r:id="rId8"/>
    <sheet name="L-5534" sheetId="2" r:id="rId9"/>
    <sheet name="L-5516" sheetId="23" r:id="rId10"/>
    <sheet name="L-5538" sheetId="1" r:id="rId11"/>
    <sheet name="L-5543" sheetId="8" r:id="rId12"/>
    <sheet name="L-5544" sheetId="15" r:id="rId13"/>
    <sheet name="L-5515" sheetId="34" r:id="rId14"/>
    <sheet name="L-5545" sheetId="16" r:id="rId15"/>
    <sheet name="L-5552" sheetId="5" r:id="rId16"/>
    <sheet name="L-5598" sheetId="7" r:id="rId17"/>
    <sheet name="L-5599" sheetId="6" r:id="rId18"/>
    <sheet name="L-5511" sheetId="19" r:id="rId19"/>
    <sheet name="L-5595" sheetId="20" r:id="rId20"/>
    <sheet name="L-5596" sheetId="21" r:id="rId21"/>
    <sheet name="L-5519" sheetId="22" r:id="rId2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E26" i="1"/>
  <c r="F25" i="1"/>
  <c r="E25" i="1"/>
  <c r="F30" i="14" l="1"/>
  <c r="F29" i="14"/>
  <c r="E30" i="14"/>
  <c r="E29" i="14"/>
  <c r="F45" i="12"/>
  <c r="F44" i="12"/>
  <c r="F43" i="12"/>
  <c r="F42" i="12"/>
  <c r="F41" i="12"/>
  <c r="F40" i="12"/>
  <c r="F39" i="12"/>
  <c r="F38" i="12"/>
  <c r="F37" i="12"/>
  <c r="F36" i="12"/>
  <c r="F35" i="12"/>
  <c r="F34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0" i="12"/>
  <c r="E35" i="22"/>
  <c r="F34" i="22"/>
  <c r="F33" i="22"/>
  <c r="F32" i="22"/>
  <c r="F31" i="22"/>
  <c r="F30" i="22"/>
  <c r="F29" i="22"/>
  <c r="F28" i="22"/>
  <c r="F27" i="22"/>
  <c r="F26" i="22"/>
  <c r="E34" i="22"/>
  <c r="E33" i="22"/>
  <c r="E32" i="22"/>
  <c r="E31" i="22"/>
  <c r="E30" i="22"/>
  <c r="E29" i="22"/>
  <c r="E28" i="22"/>
  <c r="E27" i="22"/>
  <c r="E26" i="22"/>
  <c r="F28" i="3"/>
  <c r="F29" i="3" s="1"/>
  <c r="F30" i="3" s="1"/>
  <c r="F31" i="3" s="1"/>
  <c r="F27" i="3"/>
  <c r="F26" i="3"/>
  <c r="F25" i="3"/>
  <c r="F24" i="3"/>
  <c r="F23" i="3"/>
  <c r="E29" i="3"/>
  <c r="E30" i="3" s="1"/>
  <c r="E31" i="3" s="1"/>
  <c r="E28" i="3"/>
  <c r="E27" i="3"/>
  <c r="E26" i="3"/>
  <c r="E25" i="3"/>
  <c r="E24" i="3"/>
  <c r="E23" i="3"/>
  <c r="F30" i="9"/>
  <c r="F29" i="9"/>
  <c r="F28" i="9"/>
  <c r="F27" i="9"/>
  <c r="F26" i="9"/>
  <c r="E30" i="9"/>
  <c r="E27" i="9"/>
  <c r="E28" i="9" s="1"/>
  <c r="E29" i="9" s="1"/>
  <c r="E26" i="9"/>
  <c r="F45" i="34"/>
  <c r="F44" i="34"/>
  <c r="F43" i="34"/>
  <c r="E45" i="34"/>
  <c r="E44" i="34"/>
  <c r="E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F18" i="34"/>
  <c r="F17" i="34"/>
  <c r="F16" i="34"/>
  <c r="F15" i="34"/>
  <c r="F14" i="34"/>
  <c r="F13" i="34"/>
  <c r="F12" i="34"/>
  <c r="F11" i="34"/>
  <c r="F10" i="34"/>
  <c r="F9" i="34"/>
  <c r="E18" i="34"/>
  <c r="E17" i="34"/>
  <c r="E16" i="34"/>
  <c r="E15" i="34"/>
  <c r="E14" i="34"/>
  <c r="E13" i="34"/>
  <c r="E12" i="34"/>
  <c r="E11" i="34"/>
  <c r="E10" i="34"/>
  <c r="E9" i="34"/>
  <c r="F44" i="23"/>
  <c r="F43" i="23"/>
  <c r="F42" i="23"/>
  <c r="E44" i="23"/>
  <c r="E43" i="23"/>
  <c r="E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E41" i="23"/>
  <c r="E40" i="23"/>
  <c r="E39" i="23"/>
  <c r="E38" i="23"/>
  <c r="E37" i="23"/>
  <c r="E35" i="23"/>
  <c r="E36" i="23" s="1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F17" i="23"/>
  <c r="F16" i="23"/>
  <c r="F15" i="23"/>
  <c r="F14" i="23"/>
  <c r="F13" i="23"/>
  <c r="F12" i="23"/>
  <c r="F11" i="23"/>
  <c r="F10" i="23"/>
  <c r="F9" i="23"/>
  <c r="F8" i="23"/>
  <c r="E17" i="23"/>
  <c r="E16" i="23"/>
  <c r="E15" i="23"/>
  <c r="E14" i="23"/>
  <c r="E13" i="23"/>
  <c r="E12" i="23"/>
  <c r="E11" i="23"/>
  <c r="E10" i="23"/>
  <c r="E9" i="23"/>
  <c r="E8" i="23"/>
  <c r="F31" i="2"/>
  <c r="E31" i="2"/>
  <c r="F30" i="2"/>
  <c r="E30" i="2"/>
  <c r="F29" i="2"/>
  <c r="E29" i="2"/>
  <c r="F20" i="22"/>
  <c r="E21" i="22"/>
  <c r="E20" i="22"/>
  <c r="F19" i="22"/>
  <c r="F18" i="22"/>
  <c r="F17" i="22"/>
  <c r="F16" i="22"/>
  <c r="F15" i="22"/>
  <c r="F14" i="22"/>
  <c r="F13" i="22"/>
  <c r="F12" i="22"/>
  <c r="F11" i="22"/>
  <c r="F10" i="22"/>
  <c r="E19" i="22"/>
  <c r="E18" i="22"/>
  <c r="E17" i="22"/>
  <c r="E16" i="22"/>
  <c r="E15" i="22"/>
  <c r="E14" i="22"/>
  <c r="E13" i="22"/>
  <c r="E12" i="22"/>
  <c r="E11" i="22"/>
  <c r="E10" i="22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F24" i="1"/>
  <c r="E24" i="1"/>
  <c r="F22" i="18"/>
  <c r="F21" i="18"/>
  <c r="F20" i="18"/>
  <c r="F19" i="18"/>
  <c r="F18" i="18"/>
  <c r="F17" i="18"/>
  <c r="F16" i="18"/>
  <c r="F15" i="18"/>
  <c r="F14" i="18"/>
  <c r="F12" i="18"/>
  <c r="F13" i="18" s="1"/>
  <c r="F11" i="18"/>
  <c r="F10" i="18"/>
  <c r="F9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F28" i="2"/>
  <c r="E28" i="2"/>
  <c r="F10" i="16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9" i="16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F19" i="15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E19" i="15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F10" i="15"/>
  <c r="F11" i="15"/>
  <c r="F12" i="15"/>
  <c r="F13" i="15"/>
  <c r="F14" i="15" s="1"/>
  <c r="F15" i="15" s="1"/>
  <c r="F16" i="15" s="1"/>
  <c r="F17" i="15" s="1"/>
  <c r="F18" i="15" s="1"/>
  <c r="E10" i="15"/>
  <c r="E11" i="15" s="1"/>
  <c r="E12" i="15" s="1"/>
  <c r="E13" i="15" s="1"/>
  <c r="E14" i="15" s="1"/>
  <c r="E15" i="15" s="1"/>
  <c r="E16" i="15" s="1"/>
  <c r="E17" i="15" s="1"/>
  <c r="E18" i="15" s="1"/>
  <c r="F9" i="15"/>
  <c r="E9" i="15"/>
  <c r="F19" i="14"/>
  <c r="F20" i="14"/>
  <c r="F21" i="14"/>
  <c r="F22" i="14"/>
  <c r="F23" i="14" s="1"/>
  <c r="F24" i="14" s="1"/>
  <c r="F25" i="14" s="1"/>
  <c r="F26" i="14" s="1"/>
  <c r="F27" i="14" s="1"/>
  <c r="F28" i="14" s="1"/>
  <c r="E19" i="14"/>
  <c r="E20" i="14" s="1"/>
  <c r="E21" i="14" s="1"/>
  <c r="E22" i="14" s="1"/>
  <c r="E23" i="14" s="1"/>
  <c r="E24" i="14" s="1"/>
  <c r="E25" i="14" s="1"/>
  <c r="E26" i="14" s="1"/>
  <c r="E27" i="14" s="1"/>
  <c r="E28" i="14" s="1"/>
  <c r="F10" i="14"/>
  <c r="F11" i="14" s="1"/>
  <c r="F12" i="14" s="1"/>
  <c r="F13" i="14" s="1"/>
  <c r="F14" i="14" s="1"/>
  <c r="F15" i="14" s="1"/>
  <c r="F16" i="14" s="1"/>
  <c r="F17" i="14" s="1"/>
  <c r="F18" i="14" s="1"/>
  <c r="E10" i="14"/>
  <c r="E11" i="14"/>
  <c r="E12" i="14" s="1"/>
  <c r="E13" i="14" s="1"/>
  <c r="E14" i="14" s="1"/>
  <c r="E15" i="14" s="1"/>
  <c r="E16" i="14" s="1"/>
  <c r="E17" i="14" s="1"/>
  <c r="E18" i="14" s="1"/>
  <c r="F9" i="14"/>
  <c r="E9" i="14"/>
  <c r="F22" i="1"/>
  <c r="F23" i="1"/>
  <c r="E22" i="1"/>
  <c r="E23" i="1" s="1"/>
  <c r="F19" i="12"/>
  <c r="F20" i="12"/>
  <c r="F21" i="12"/>
  <c r="F22" i="12"/>
  <c r="F23" i="12" s="1"/>
  <c r="F24" i="12" s="1"/>
  <c r="F25" i="12" s="1"/>
  <c r="F26" i="12" s="1"/>
  <c r="F27" i="12" s="1"/>
  <c r="F28" i="12" s="1"/>
  <c r="F29" i="12" s="1"/>
  <c r="E19" i="12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F10" i="12"/>
  <c r="F11" i="12"/>
  <c r="F12" i="12"/>
  <c r="F13" i="12"/>
  <c r="F14" i="12" s="1"/>
  <c r="F15" i="12" s="1"/>
  <c r="F16" i="12" s="1"/>
  <c r="F17" i="12" s="1"/>
  <c r="F18" i="12" s="1"/>
  <c r="E10" i="12"/>
  <c r="E11" i="12" s="1"/>
  <c r="E12" i="12" s="1"/>
  <c r="E13" i="12" s="1"/>
  <c r="E14" i="12" s="1"/>
  <c r="E15" i="12" s="1"/>
  <c r="E16" i="12" s="1"/>
  <c r="E17" i="12" s="1"/>
  <c r="E18" i="12" s="1"/>
  <c r="F9" i="12"/>
  <c r="E9" i="12"/>
  <c r="F19" i="1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E19" i="1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F10" i="11"/>
  <c r="F11" i="11" s="1"/>
  <c r="F12" i="11" s="1"/>
  <c r="F13" i="11" s="1"/>
  <c r="F14" i="11" s="1"/>
  <c r="F15" i="11" s="1"/>
  <c r="F16" i="11" s="1"/>
  <c r="F17" i="11" s="1"/>
  <c r="F18" i="11" s="1"/>
  <c r="E10" i="11"/>
  <c r="E11" i="11" s="1"/>
  <c r="E12" i="11" s="1"/>
  <c r="E13" i="11" s="1"/>
  <c r="E14" i="11" s="1"/>
  <c r="E15" i="11" s="1"/>
  <c r="E16" i="11" s="1"/>
  <c r="E17" i="11" s="1"/>
  <c r="E18" i="11" s="1"/>
  <c r="F9" i="11"/>
  <c r="E9" i="1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F21" i="9"/>
  <c r="F22" i="9" s="1"/>
  <c r="E21" i="9"/>
  <c r="E22" i="9" s="1"/>
  <c r="E23" i="9" s="1"/>
  <c r="F12" i="9"/>
  <c r="F13" i="9" s="1"/>
  <c r="F14" i="9" s="1"/>
  <c r="F15" i="9" s="1"/>
  <c r="F16" i="9" s="1"/>
  <c r="F17" i="9" s="1"/>
  <c r="F18" i="9" s="1"/>
  <c r="F19" i="9" s="1"/>
  <c r="F20" i="9" s="1"/>
  <c r="E12" i="9"/>
  <c r="E13" i="9" s="1"/>
  <c r="E14" i="9" s="1"/>
  <c r="E15" i="9" s="1"/>
  <c r="E16" i="9" s="1"/>
  <c r="E17" i="9" s="1"/>
  <c r="E18" i="9" s="1"/>
  <c r="E19" i="9" s="1"/>
  <c r="E20" i="9" s="1"/>
  <c r="F11" i="9"/>
  <c r="E11" i="9"/>
  <c r="F27" i="2"/>
  <c r="E27" i="2"/>
  <c r="F19" i="8"/>
  <c r="F20" i="8" s="1"/>
  <c r="F21" i="8" s="1"/>
  <c r="F22" i="8" s="1"/>
  <c r="F23" i="8" s="1"/>
  <c r="F24" i="8" s="1"/>
  <c r="F25" i="8" s="1"/>
  <c r="F26" i="8" s="1"/>
  <c r="F27" i="8" s="1"/>
  <c r="F28" i="8" s="1"/>
  <c r="E19" i="8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F10" i="8"/>
  <c r="F11" i="8" s="1"/>
  <c r="F12" i="8" s="1"/>
  <c r="F13" i="8" s="1"/>
  <c r="F14" i="8" s="1"/>
  <c r="F15" i="8" s="1"/>
  <c r="F16" i="8" s="1"/>
  <c r="F17" i="8" s="1"/>
  <c r="F18" i="8" s="1"/>
  <c r="E10" i="8"/>
  <c r="E11" i="8"/>
  <c r="E12" i="8" s="1"/>
  <c r="E13" i="8" s="1"/>
  <c r="E14" i="8" s="1"/>
  <c r="E15" i="8" s="1"/>
  <c r="E16" i="8" s="1"/>
  <c r="E17" i="8" s="1"/>
  <c r="E18" i="8" s="1"/>
  <c r="F9" i="8"/>
  <c r="E9" i="8"/>
  <c r="E19" i="7"/>
  <c r="F10" i="7"/>
  <c r="F11" i="7"/>
  <c r="F12" i="7"/>
  <c r="F13" i="7"/>
  <c r="F14" i="7" s="1"/>
  <c r="F15" i="7" s="1"/>
  <c r="F16" i="7" s="1"/>
  <c r="F17" i="7" s="1"/>
  <c r="F18" i="7" s="1"/>
  <c r="E10" i="7"/>
  <c r="E11" i="7" s="1"/>
  <c r="E12" i="7" s="1"/>
  <c r="E13" i="7" s="1"/>
  <c r="E14" i="7" s="1"/>
  <c r="E15" i="7" s="1"/>
  <c r="E16" i="7" s="1"/>
  <c r="E17" i="7" s="1"/>
  <c r="E18" i="7" s="1"/>
  <c r="F9" i="7"/>
  <c r="E9" i="7"/>
  <c r="F10" i="6"/>
  <c r="F11" i="6" s="1"/>
  <c r="F12" i="6" s="1"/>
  <c r="F13" i="6" s="1"/>
  <c r="F14" i="6" s="1"/>
  <c r="F15" i="6" s="1"/>
  <c r="F16" i="6" s="1"/>
  <c r="F17" i="6" s="1"/>
  <c r="E10" i="6"/>
  <c r="E11" i="6" s="1"/>
  <c r="E12" i="6" s="1"/>
  <c r="E13" i="6" s="1"/>
  <c r="E14" i="6" s="1"/>
  <c r="E15" i="6" s="1"/>
  <c r="E16" i="6" s="1"/>
  <c r="E17" i="6" s="1"/>
  <c r="E18" i="6" s="1"/>
  <c r="F9" i="6"/>
  <c r="E9" i="6"/>
  <c r="F20" i="1"/>
  <c r="F21" i="1" s="1"/>
  <c r="E20" i="1"/>
  <c r="E21" i="1"/>
  <c r="F11" i="5"/>
  <c r="F12" i="5" s="1"/>
  <c r="F13" i="5" s="1"/>
  <c r="F14" i="5" s="1"/>
  <c r="F15" i="5" s="1"/>
  <c r="F16" i="5" s="1"/>
  <c r="F17" i="5" s="1"/>
  <c r="E10" i="5"/>
  <c r="E11" i="5" s="1"/>
  <c r="E12" i="5" s="1"/>
  <c r="E13" i="5" s="1"/>
  <c r="E14" i="5" s="1"/>
  <c r="E15" i="5" s="1"/>
  <c r="E16" i="5" s="1"/>
  <c r="E17" i="5" s="1"/>
  <c r="F9" i="5"/>
  <c r="F10" i="5" s="1"/>
  <c r="E9" i="5"/>
  <c r="F26" i="2"/>
  <c r="E26" i="2"/>
  <c r="F9" i="3"/>
  <c r="F10" i="3" s="1"/>
  <c r="F11" i="3" s="1"/>
  <c r="F12" i="3" s="1"/>
  <c r="F13" i="3" s="1"/>
  <c r="F14" i="3" s="1"/>
  <c r="F15" i="3" s="1"/>
  <c r="F16" i="3" s="1"/>
  <c r="F17" i="3" s="1"/>
  <c r="F18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</calcChain>
</file>

<file path=xl/sharedStrings.xml><?xml version="1.0" encoding="utf-8"?>
<sst xmlns="http://schemas.openxmlformats.org/spreadsheetml/2006/main" count="1264" uniqueCount="471">
  <si>
    <t>Father Name :Munawar Din</t>
  </si>
  <si>
    <t>Contact #03158090252</t>
  </si>
  <si>
    <t>Cost :700,000</t>
  </si>
  <si>
    <t>Date</t>
  </si>
  <si>
    <t>R.NO</t>
  </si>
  <si>
    <t>Description</t>
  </si>
  <si>
    <t>Amount Rec</t>
  </si>
  <si>
    <t>Total Rec</t>
  </si>
  <si>
    <t>Amount Due</t>
  </si>
  <si>
    <t>Name : Ejaaz</t>
  </si>
  <si>
    <t>CNIC #42401-7676249-9</t>
  </si>
  <si>
    <t>Res Booking</t>
  </si>
  <si>
    <t>Token</t>
  </si>
  <si>
    <t>Inatalment</t>
  </si>
  <si>
    <t>Plot No : 5538</t>
  </si>
  <si>
    <t>Name : Muhammad Amir Rouhid</t>
  </si>
  <si>
    <t>Father Name :Rouhid Ahmad Rahi</t>
  </si>
  <si>
    <t>CNIC #35303-1642038-9</t>
  </si>
  <si>
    <t>Contact #03148096779</t>
  </si>
  <si>
    <t>Plot No : 5534</t>
  </si>
  <si>
    <t>16/3/2024</t>
  </si>
  <si>
    <t>13/9/2024</t>
  </si>
  <si>
    <t>14/10/2024</t>
  </si>
  <si>
    <t>13/11/2024</t>
  </si>
  <si>
    <t>13/1/2025</t>
  </si>
  <si>
    <t>13/2/2025</t>
  </si>
  <si>
    <t>17/3/2025</t>
  </si>
  <si>
    <t>17/4/2025</t>
  </si>
  <si>
    <t>14/7/2025</t>
  </si>
  <si>
    <t>instalment</t>
  </si>
  <si>
    <t>15/9/2025</t>
  </si>
  <si>
    <t>18/10/2025</t>
  </si>
  <si>
    <t>13/12/2025</t>
  </si>
  <si>
    <t>18/11/2025</t>
  </si>
  <si>
    <t>15/1/2026</t>
  </si>
  <si>
    <t>16/2/20226</t>
  </si>
  <si>
    <t xml:space="preserve">Name : Abdul Hafeez </t>
  </si>
  <si>
    <t>Father Name :Abdul Rahim</t>
  </si>
  <si>
    <t>CNIC #42401-8912229-5</t>
  </si>
  <si>
    <t>Contact #03453959076</t>
  </si>
  <si>
    <t>Plot No : 5501</t>
  </si>
  <si>
    <t>Cost :350,000</t>
  </si>
  <si>
    <t>19/8/2022</t>
  </si>
  <si>
    <t>30/10/2022</t>
  </si>
  <si>
    <t>14/4/2023</t>
  </si>
  <si>
    <t>21/5/2023</t>
  </si>
  <si>
    <t>25/6/2023</t>
  </si>
  <si>
    <t>24/9/2023</t>
  </si>
  <si>
    <t>22/10/2023</t>
  </si>
  <si>
    <t>25/12/2023</t>
  </si>
  <si>
    <t>Adj Rehmn</t>
  </si>
  <si>
    <t>Code Num;CD2403616</t>
  </si>
  <si>
    <t>13/3/2026</t>
  </si>
  <si>
    <t>Name :Maryam Bano</t>
  </si>
  <si>
    <t>Father Name :Nasir Mehmood Bhatti</t>
  </si>
  <si>
    <t>CNIC #42301-0954416-2</t>
  </si>
  <si>
    <t>Contact #03082105096</t>
  </si>
  <si>
    <t>Plot No : 5533</t>
  </si>
  <si>
    <t>Cost :650,000</t>
  </si>
  <si>
    <t>Code Num;CHU8970926</t>
  </si>
  <si>
    <t>Booking</t>
  </si>
  <si>
    <t>Nill</t>
  </si>
  <si>
    <t>Development</t>
  </si>
  <si>
    <t>FULL PAID</t>
  </si>
  <si>
    <t>Name :Yasrub Mehmood</t>
  </si>
  <si>
    <t>Father Name :Sheikh Asif Mehmood</t>
  </si>
  <si>
    <t>CNIC #42301-5739666-3</t>
  </si>
  <si>
    <t>Contact #03322652573</t>
  </si>
  <si>
    <t>Plot No : 5552</t>
  </si>
  <si>
    <t>Cost :450,000</t>
  </si>
  <si>
    <t>Code Num;BGE4090646</t>
  </si>
  <si>
    <t>22/1/2023</t>
  </si>
  <si>
    <t>19/3/2023</t>
  </si>
  <si>
    <t>18/4/2023</t>
  </si>
  <si>
    <t>14/5/2023</t>
  </si>
  <si>
    <t>15/8/2023</t>
  </si>
  <si>
    <t>16/9/2023</t>
  </si>
  <si>
    <t>Instalment</t>
  </si>
  <si>
    <t>Adj Rehman</t>
  </si>
  <si>
    <t>Name : Fatima</t>
  </si>
  <si>
    <t>Father Name :Sagheer Ahmed</t>
  </si>
  <si>
    <t>CNIC #42301-6266618-6</t>
  </si>
  <si>
    <t>Contact #03132217550</t>
  </si>
  <si>
    <t>Plot No : 5599</t>
  </si>
  <si>
    <t>Code Num;CQW8873863</t>
  </si>
  <si>
    <t>24/10/2022</t>
  </si>
  <si>
    <t>15/3/2023</t>
  </si>
  <si>
    <t>30/4/2023</t>
  </si>
  <si>
    <t>18/9/2023</t>
  </si>
  <si>
    <t>16/7/2023</t>
  </si>
  <si>
    <t>24/9/2022</t>
  </si>
  <si>
    <t>14/11/2023</t>
  </si>
  <si>
    <t>17/12/2023</t>
  </si>
  <si>
    <t>15/1/2024</t>
  </si>
  <si>
    <t>25/2/2024</t>
  </si>
  <si>
    <t>Adv Booking</t>
  </si>
  <si>
    <t>Adj Sobho</t>
  </si>
  <si>
    <t>NILL</t>
  </si>
  <si>
    <t xml:space="preserve">INSTALMENT CLEAR </t>
  </si>
  <si>
    <t>DEVELOPMENT CONNTINUE</t>
  </si>
  <si>
    <t>Name : Salman Rahim</t>
  </si>
  <si>
    <t>CNIC #42201-6231665-7</t>
  </si>
  <si>
    <t>Contact #03172610967</t>
  </si>
  <si>
    <t>Plot No : 5598</t>
  </si>
  <si>
    <t>Code Num;CQW8873862</t>
  </si>
  <si>
    <t>18/9/2022</t>
  </si>
  <si>
    <t>24/10/2023</t>
  </si>
  <si>
    <t>Res Boking</t>
  </si>
  <si>
    <t>Reh Adj</t>
  </si>
  <si>
    <t>instament</t>
  </si>
  <si>
    <t xml:space="preserve">INSTALMMENT CLEAR </t>
  </si>
  <si>
    <t>DEVELOPMENT CONTINUE</t>
  </si>
  <si>
    <t>Name : Muhammad Shoaib</t>
  </si>
  <si>
    <t>Father Name :Faqir Hussain</t>
  </si>
  <si>
    <t>CNIC #42201-4431106-1</t>
  </si>
  <si>
    <t>Contact #03463046915</t>
  </si>
  <si>
    <t>Plot No : 5543</t>
  </si>
  <si>
    <t>18/3/2022</t>
  </si>
  <si>
    <t>20/9/2022</t>
  </si>
  <si>
    <t>14/3/2023</t>
  </si>
  <si>
    <t>13/8/2023</t>
  </si>
  <si>
    <t>Installment</t>
  </si>
  <si>
    <t>15/8/2024</t>
  </si>
  <si>
    <t>INSTTALMENT FULL PAID</t>
  </si>
  <si>
    <t>Code Num;CRW6433295</t>
  </si>
  <si>
    <t>14/4/2026</t>
  </si>
  <si>
    <t>Name : Malik Nazeer Ahmed</t>
  </si>
  <si>
    <t>Father Name :Murad Ali</t>
  </si>
  <si>
    <t>CNIC #32301-3969833-4</t>
  </si>
  <si>
    <t>Contact #03002061752</t>
  </si>
  <si>
    <t>Plot No : 5512</t>
  </si>
  <si>
    <t>Code Num;CJC1949941</t>
  </si>
  <si>
    <t>THIS FILE IS TRANSFEERED TO</t>
  </si>
  <si>
    <t>DETAIL OF TRANSFEERED</t>
  </si>
  <si>
    <t>26/8/2024</t>
  </si>
  <si>
    <t>14/1/2023</t>
  </si>
  <si>
    <t>20/2/2023</t>
  </si>
  <si>
    <t>17/5/2023</t>
  </si>
  <si>
    <t>30/4/2024</t>
  </si>
  <si>
    <t>23/11/2023</t>
  </si>
  <si>
    <t>31/12/2025</t>
  </si>
  <si>
    <t>Adjustment</t>
  </si>
  <si>
    <t xml:space="preserve">Name : Muhammad Zain </t>
  </si>
  <si>
    <t>Father Name :Muhammad Ashraf</t>
  </si>
  <si>
    <t>CNIC #42401-8135392-5</t>
  </si>
  <si>
    <t>Contact #03113833545</t>
  </si>
  <si>
    <t>Plot No : 5531</t>
  </si>
  <si>
    <t>Cost :600,000</t>
  </si>
  <si>
    <t>Code Num;BVG1910707</t>
  </si>
  <si>
    <t>17/2/2023</t>
  </si>
  <si>
    <t>24/2/2023</t>
  </si>
  <si>
    <t>26/3/2023</t>
  </si>
  <si>
    <t>30/9/2023</t>
  </si>
  <si>
    <t>Partial Pay</t>
  </si>
  <si>
    <t>14/2/2024</t>
  </si>
  <si>
    <t>19/3/2024</t>
  </si>
  <si>
    <t>22/4/2024</t>
  </si>
  <si>
    <t>27/5/2024</t>
  </si>
  <si>
    <t>13/12/2024</t>
  </si>
  <si>
    <t>15/1/2025</t>
  </si>
  <si>
    <t>20/2/2025</t>
  </si>
  <si>
    <t>20/3/2025</t>
  </si>
  <si>
    <t>18/4/2025</t>
  </si>
  <si>
    <t>17/5/2025</t>
  </si>
  <si>
    <t>21/6/2025</t>
  </si>
  <si>
    <t>15/7/2025</t>
  </si>
  <si>
    <t>19/8/2025</t>
  </si>
  <si>
    <t>17/9/2025</t>
  </si>
  <si>
    <t>23/10/2025</t>
  </si>
  <si>
    <t>20/12/2025</t>
  </si>
  <si>
    <t>21/1/2026</t>
  </si>
  <si>
    <t>28/2/2026</t>
  </si>
  <si>
    <t>28/3/2026</t>
  </si>
  <si>
    <t>27/4/2026</t>
  </si>
  <si>
    <t>Name : Sufaid Khan</t>
  </si>
  <si>
    <t>Father Name :Abdul Wasay</t>
  </si>
  <si>
    <t>CNIC #16101-1759908-1</t>
  </si>
  <si>
    <t>Contact #03332194001</t>
  </si>
  <si>
    <t>Plot No : 5525</t>
  </si>
  <si>
    <t>Cost :400,000</t>
  </si>
  <si>
    <t>Code Num;CKQ2078521</t>
  </si>
  <si>
    <t>14/8/2022</t>
  </si>
  <si>
    <t>30/11/2022</t>
  </si>
  <si>
    <t>17/4/2023</t>
  </si>
  <si>
    <t>28/5/2023</t>
  </si>
  <si>
    <t>24/6/2023</t>
  </si>
  <si>
    <t>installment</t>
  </si>
  <si>
    <t>Adj Reh</t>
  </si>
  <si>
    <t>14/4/20245</t>
  </si>
  <si>
    <t>14/7/2024</t>
  </si>
  <si>
    <t>24/8/2024</t>
  </si>
  <si>
    <t>22/9/2024</t>
  </si>
  <si>
    <t>27/10/2024</t>
  </si>
  <si>
    <t>24/11/2024</t>
  </si>
  <si>
    <t xml:space="preserve">Name :Shoaib  Muhammad </t>
  </si>
  <si>
    <t>Father Name :Rozi Muhammad</t>
  </si>
  <si>
    <t>CNIC #42301-7330024-3</t>
  </si>
  <si>
    <t>Contact #03453458581</t>
  </si>
  <si>
    <t>Plot No : 5504</t>
  </si>
  <si>
    <t>Code Num;BLJ8651667</t>
  </si>
  <si>
    <t xml:space="preserve">Installment </t>
  </si>
  <si>
    <t>14/4/2024</t>
  </si>
  <si>
    <t>Code Num;CJC2951381</t>
  </si>
  <si>
    <t>Name : Muhammad Shahid</t>
  </si>
  <si>
    <t>Father Name :Wasi Muhammad</t>
  </si>
  <si>
    <t>CNIC #42401-2016646-3</t>
  </si>
  <si>
    <t>Contact #03343177060</t>
  </si>
  <si>
    <t>Plot No : 5524</t>
  </si>
  <si>
    <t>Code Num;CKA8720131</t>
  </si>
  <si>
    <t>27/3/2023</t>
  </si>
  <si>
    <t>28/4/2023</t>
  </si>
  <si>
    <t>23/6/2023</t>
  </si>
  <si>
    <t>19/5/2023</t>
  </si>
  <si>
    <t>18/8/2023</t>
  </si>
  <si>
    <t>13/10/2023</t>
  </si>
  <si>
    <t>29/12/2023</t>
  </si>
  <si>
    <t>17/5/2024</t>
  </si>
  <si>
    <t>Code Num;CKK3634985</t>
  </si>
  <si>
    <t>Name : Tahir Gul</t>
  </si>
  <si>
    <t>Father Name :Masoli Khan</t>
  </si>
  <si>
    <t>CNIC #42401-7025540-9</t>
  </si>
  <si>
    <t>Contact #</t>
  </si>
  <si>
    <t>Plot No : 5544</t>
  </si>
  <si>
    <t>Cost :430,000</t>
  </si>
  <si>
    <t>Code Num;BSE7584528</t>
  </si>
  <si>
    <t>13/8/2022</t>
  </si>
  <si>
    <t>22/8/2023</t>
  </si>
  <si>
    <t>18/12/2023</t>
  </si>
  <si>
    <t>20/11/2022</t>
  </si>
  <si>
    <t>23/10/2022</t>
  </si>
  <si>
    <t>26/2/2023</t>
  </si>
  <si>
    <t>20/5/20023</t>
  </si>
  <si>
    <t>26/6/2023</t>
  </si>
  <si>
    <t>23/7/2023</t>
  </si>
  <si>
    <t>INS Rehman</t>
  </si>
  <si>
    <t>SOBHO</t>
  </si>
  <si>
    <t>27/8/2023</t>
  </si>
  <si>
    <t>17/9/2023</t>
  </si>
  <si>
    <t>16/10/2023</t>
  </si>
  <si>
    <t>19/11/2023</t>
  </si>
  <si>
    <t>21/1/2024</t>
  </si>
  <si>
    <t>18/2/2024</t>
  </si>
  <si>
    <t>20/3/2024</t>
  </si>
  <si>
    <t>14/6/2024</t>
  </si>
  <si>
    <t>18/8/2024</t>
  </si>
  <si>
    <t>15/9/2024</t>
  </si>
  <si>
    <t>17/2/2025</t>
  </si>
  <si>
    <t>Code Num;CCT2385090</t>
  </si>
  <si>
    <t>Plot No : 5545</t>
  </si>
  <si>
    <t>NAME:</t>
  </si>
  <si>
    <t>F/NMAE:</t>
  </si>
  <si>
    <t>CNIC:</t>
  </si>
  <si>
    <t>CODE:</t>
  </si>
  <si>
    <t>CONTACT NO:</t>
  </si>
  <si>
    <t>PLOT NO:</t>
  </si>
  <si>
    <t>IMRAN ALI</t>
  </si>
  <si>
    <t>ZAHEER AHMAD</t>
  </si>
  <si>
    <t>42401-5199160-7</t>
  </si>
  <si>
    <t>CAR0703562</t>
  </si>
  <si>
    <t>0346-4107452</t>
  </si>
  <si>
    <t>13\03\023</t>
  </si>
  <si>
    <t>29\04\023</t>
  </si>
  <si>
    <t>15\06\023</t>
  </si>
  <si>
    <t>20\07\023</t>
  </si>
  <si>
    <t>23\10\023</t>
  </si>
  <si>
    <t>07\12\023</t>
  </si>
  <si>
    <t>27\03\024</t>
  </si>
  <si>
    <t>18\12\024</t>
  </si>
  <si>
    <t>12\10\025</t>
  </si>
  <si>
    <t>12\11\025</t>
  </si>
  <si>
    <t>08\02\026</t>
  </si>
  <si>
    <t>08\03\026</t>
  </si>
  <si>
    <t>10\04\026</t>
  </si>
  <si>
    <t>17\05\026</t>
  </si>
  <si>
    <t xml:space="preserve">TOKEN </t>
  </si>
  <si>
    <t>BOOKING</t>
  </si>
  <si>
    <t>INSTALLMENT</t>
  </si>
  <si>
    <t>CQC1984346</t>
  </si>
  <si>
    <t>9\6\26</t>
  </si>
  <si>
    <t>F\NAME:</t>
  </si>
  <si>
    <t>CODE NO:</t>
  </si>
  <si>
    <t>SIBGAT ULLAH LALA GULAM</t>
  </si>
  <si>
    <t>LAL GULLU</t>
  </si>
  <si>
    <t>0300-3699422</t>
  </si>
  <si>
    <t>32304-3641485-5</t>
  </si>
  <si>
    <t>ALL AMOUNT GIVEN TO AL-REHMAN BUILGER ADJUSTMENT PLOT</t>
  </si>
  <si>
    <t>12\6\026</t>
  </si>
  <si>
    <t>DEVELOPMENT</t>
  </si>
  <si>
    <t>NIL</t>
  </si>
  <si>
    <t>F\NAME</t>
  </si>
  <si>
    <t>CNIC NO:</t>
  </si>
  <si>
    <t>PLOT NO</t>
  </si>
  <si>
    <t>13\2\22</t>
  </si>
  <si>
    <t>2\10\22</t>
  </si>
  <si>
    <t>27\11\22</t>
  </si>
  <si>
    <t>6\3\23</t>
  </si>
  <si>
    <t>1\4\23</t>
  </si>
  <si>
    <t>7\1\23</t>
  </si>
  <si>
    <t>1\5\23</t>
  </si>
  <si>
    <t>7\6\23</t>
  </si>
  <si>
    <t>6\7\23</t>
  </si>
  <si>
    <t>6\8\23</t>
  </si>
  <si>
    <t>7\9\23</t>
  </si>
  <si>
    <t>7\10\23</t>
  </si>
  <si>
    <t>8\11\23</t>
  </si>
  <si>
    <t>8\12\23</t>
  </si>
  <si>
    <t>8\1\24</t>
  </si>
  <si>
    <t>13\2\24</t>
  </si>
  <si>
    <t>11\3\24</t>
  </si>
  <si>
    <t>9\4\24</t>
  </si>
  <si>
    <t>8\5\24</t>
  </si>
  <si>
    <t>10\6\24</t>
  </si>
  <si>
    <t>11\7\24</t>
  </si>
  <si>
    <t>10\8\24</t>
  </si>
  <si>
    <t>8\9\24</t>
  </si>
  <si>
    <t>12\10\24</t>
  </si>
  <si>
    <t>11\11\24</t>
  </si>
  <si>
    <t>12\12\24</t>
  </si>
  <si>
    <t>12\1\25</t>
  </si>
  <si>
    <t>11\2\25</t>
  </si>
  <si>
    <t>10\3\25</t>
  </si>
  <si>
    <t>14\6\25</t>
  </si>
  <si>
    <t>CQP6496102</t>
  </si>
  <si>
    <t>INSTALMENT</t>
  </si>
  <si>
    <t>REHMAN ADJUSTMENT</t>
  </si>
  <si>
    <t>NISAR KHAN</t>
  </si>
  <si>
    <t>AZIZ UR REHMAN</t>
  </si>
  <si>
    <t>0340-1203556</t>
  </si>
  <si>
    <t>42201-0468730-3</t>
  </si>
  <si>
    <t>CQH1077101</t>
  </si>
  <si>
    <t>AZIZ KHAN</t>
  </si>
  <si>
    <t>0340-1208556</t>
  </si>
  <si>
    <t>13\8\22</t>
  </si>
  <si>
    <t>4\3\23</t>
  </si>
  <si>
    <t>7\5\23</t>
  </si>
  <si>
    <t>3\12\23</t>
  </si>
  <si>
    <t>11\4\25</t>
  </si>
  <si>
    <t>7\5\25</t>
  </si>
  <si>
    <t>7\7\25</t>
  </si>
  <si>
    <t>INTALLMENT</t>
  </si>
  <si>
    <t>27\2\22</t>
  </si>
  <si>
    <t>6\11\22</t>
  </si>
  <si>
    <t>2\5\23</t>
  </si>
  <si>
    <t>8\8\23</t>
  </si>
  <si>
    <t>24\9\23</t>
  </si>
  <si>
    <t>27\10\23</t>
  </si>
  <si>
    <t>5\11\23</t>
  </si>
  <si>
    <t>13\12\23</t>
  </si>
  <si>
    <t>14\1\24</t>
  </si>
  <si>
    <t>11\2\24</t>
  </si>
  <si>
    <t>10\3\24</t>
  </si>
  <si>
    <t>REHMAN AADJUSTMENT</t>
  </si>
  <si>
    <t>5\5\24</t>
  </si>
  <si>
    <t>BAKHT SULTANA</t>
  </si>
  <si>
    <t>ALI MUHAMMAD</t>
  </si>
  <si>
    <t>0313-2526381</t>
  </si>
  <si>
    <t>42401-9307502-8</t>
  </si>
  <si>
    <t>BKX4677251</t>
  </si>
  <si>
    <t>15\6\26</t>
  </si>
  <si>
    <t>25\5\26</t>
  </si>
  <si>
    <t>24\6\26</t>
  </si>
  <si>
    <t>12\7\26</t>
  </si>
  <si>
    <t>Name : LALO BEGUM</t>
  </si>
  <si>
    <t xml:space="preserve">Father Name :BADSHA ALAM </t>
  </si>
  <si>
    <t>CNIC :42401-1657706-6</t>
  </si>
  <si>
    <t>Contact #0302-2455263</t>
  </si>
  <si>
    <t>Plot No : 5516</t>
  </si>
  <si>
    <t>Cost :500,000</t>
  </si>
  <si>
    <t>Code Num:BUQ7201119</t>
  </si>
  <si>
    <t>27/1/23</t>
  </si>
  <si>
    <t>13/3/23</t>
  </si>
  <si>
    <t>15/5/23</t>
  </si>
  <si>
    <t>24/6/23</t>
  </si>
  <si>
    <t>14/8/23</t>
  </si>
  <si>
    <t>17/9/23</t>
  </si>
  <si>
    <t>15/10/23</t>
  </si>
  <si>
    <t>20/12/23</t>
  </si>
  <si>
    <t>REH ADJ</t>
  </si>
  <si>
    <t>13/1/24</t>
  </si>
  <si>
    <t>17/2/24</t>
  </si>
  <si>
    <t>16/3/24</t>
  </si>
  <si>
    <t>15/7/24</t>
  </si>
  <si>
    <t>15/9/24</t>
  </si>
  <si>
    <t>13/10/24</t>
  </si>
  <si>
    <t>14/11/24</t>
  </si>
  <si>
    <t>15/1/25</t>
  </si>
  <si>
    <t>19/2/25</t>
  </si>
  <si>
    <t>16/4/25</t>
  </si>
  <si>
    <t>18/5/25</t>
  </si>
  <si>
    <t>17/6/25</t>
  </si>
  <si>
    <t>14/7/25</t>
  </si>
  <si>
    <t>17/6/2025</t>
  </si>
  <si>
    <t>16/12/25</t>
  </si>
  <si>
    <t>15/1/26</t>
  </si>
  <si>
    <t>25/4/26</t>
  </si>
  <si>
    <t>19/5/26</t>
  </si>
  <si>
    <t>18/6/26</t>
  </si>
  <si>
    <t>13/8/26</t>
  </si>
  <si>
    <t>Name :LALO BEGUM</t>
  </si>
  <si>
    <t xml:space="preserve">Father Name :BADSHAH ALAM </t>
  </si>
  <si>
    <t>CNIC:42401-1657707-6</t>
  </si>
  <si>
    <t>Contact:0302-2455263</t>
  </si>
  <si>
    <t>Plot No : 5515</t>
  </si>
  <si>
    <t>Code Num:AWL2244756</t>
  </si>
  <si>
    <t>22/1/23</t>
  </si>
  <si>
    <t>13/23/23</t>
  </si>
  <si>
    <t>21/5/26</t>
  </si>
  <si>
    <t>22/7/26</t>
  </si>
  <si>
    <t>16/8/26</t>
  </si>
  <si>
    <t>29/126</t>
  </si>
  <si>
    <t>22/2/26</t>
  </si>
  <si>
    <t>15/4/26</t>
  </si>
  <si>
    <t>25/5/26</t>
  </si>
  <si>
    <t>30/6/26</t>
  </si>
  <si>
    <t xml:space="preserve">KAMRAN ALI </t>
  </si>
  <si>
    <t>0343-2858685</t>
  </si>
  <si>
    <t xml:space="preserve">DEVELOPMENT </t>
  </si>
  <si>
    <t>21/7/24</t>
  </si>
  <si>
    <t>18/1/26</t>
  </si>
  <si>
    <t>18/3/26</t>
  </si>
  <si>
    <t>discount given by sir arshad 3,000</t>
  </si>
  <si>
    <t>23/6/25</t>
  </si>
  <si>
    <t>26/7/25</t>
  </si>
  <si>
    <t>15/2/26</t>
  </si>
  <si>
    <t>15/3/26</t>
  </si>
  <si>
    <t>14/6/26</t>
  </si>
  <si>
    <t>development</t>
  </si>
  <si>
    <t>30/8/26</t>
  </si>
  <si>
    <t>discount given by sir arshad 295,000</t>
  </si>
  <si>
    <t>29/7/25</t>
  </si>
  <si>
    <t>31/8/25</t>
  </si>
  <si>
    <t>30/9/25</t>
  </si>
  <si>
    <t>29/10/25</t>
  </si>
  <si>
    <t>30/11/25</t>
  </si>
  <si>
    <t>30/12/25</t>
  </si>
  <si>
    <t>30/1/26</t>
  </si>
  <si>
    <t>28/3/26</t>
  </si>
  <si>
    <t>26/5/26</t>
  </si>
  <si>
    <t>26/6/26</t>
  </si>
  <si>
    <t>26/7/26</t>
  </si>
  <si>
    <t>15/7/26</t>
  </si>
  <si>
    <t>s</t>
  </si>
  <si>
    <t>13/6/26</t>
  </si>
  <si>
    <t>13/9/26</t>
  </si>
  <si>
    <t>20/01/2024</t>
  </si>
  <si>
    <t>25/02/2024</t>
  </si>
  <si>
    <t>25/06/2024</t>
  </si>
  <si>
    <t>15/08/2024</t>
  </si>
  <si>
    <t>22/10/2024</t>
  </si>
  <si>
    <t>15/11/2024</t>
  </si>
  <si>
    <t>23/12/2024</t>
  </si>
  <si>
    <t>25/06/2025</t>
  </si>
  <si>
    <t>25/07/2025</t>
  </si>
  <si>
    <t>26/08/2025</t>
  </si>
  <si>
    <t>25/09/2025</t>
  </si>
  <si>
    <t>31/10/2025</t>
  </si>
  <si>
    <t>26/11/2025</t>
  </si>
  <si>
    <t>25/12/2025</t>
  </si>
  <si>
    <t>26/01/2026</t>
  </si>
  <si>
    <t>28/02/2026</t>
  </si>
  <si>
    <t>29/03/2026</t>
  </si>
  <si>
    <t>27/04/2026</t>
  </si>
  <si>
    <t>25/05/2026</t>
  </si>
  <si>
    <t>25/07/2026</t>
  </si>
  <si>
    <t>15/08/2026</t>
  </si>
  <si>
    <t>15/09/2026</t>
  </si>
  <si>
    <t>27/05/2025</t>
  </si>
  <si>
    <t>26/06/2026</t>
  </si>
  <si>
    <t>16/9/26</t>
  </si>
  <si>
    <t>5\8\26</t>
  </si>
  <si>
    <t>20\9\26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</si>
</sst>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1" xfId="0" applyFont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0" fontId="8" fillId="0" borderId="0" xfId="0" applyFont="1"/>
    <xf numFmtId="0" fontId="0" fillId="0" borderId="2" xfId="0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2" xfId="0" applyNumberFormat="1" applyBorder="1" applyAlignment="1">
      <alignment horizontal="left"/>
    </xf>
    <xf numFmtId="0" fontId="4" fillId="0" borderId="0" xfId="0" applyFont="1" applyAlignment="1">
      <alignment vertical="center"/>
    </xf>
    <xf numFmtId="3" fontId="8" fillId="0" borderId="0" xfId="0" applyNumberFormat="1" applyFont="1"/>
    <xf numFmtId="3" fontId="0" fillId="0" borderId="3" xfId="0" applyNumberFormat="1" applyBorder="1" applyAlignment="1">
      <alignment horizontal="left"/>
    </xf>
    <xf numFmtId="0" fontId="1" fillId="2" borderId="0" xfId="0" applyFont="1" applyFill="1"/>
    <xf numFmtId="0" fontId="0" fillId="2" borderId="0" xfId="0" applyFill="1"/>
    <xf numFmtId="0" fontId="9" fillId="0" borderId="0" xfId="0" applyFon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14" fontId="1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4" workbookViewId="0">
      <selection activeCell="J19" sqref="J19"/>
    </sheetView>
  </sheetViews>
  <sheetFormatPr defaultRowHeight="14.5" x14ac:dyDescent="0.35"/>
  <cols>
    <col min="1" max="1" width="10.08984375" customWidth="1"/>
    <col min="3" max="3" width="14.26953125" customWidth="1"/>
    <col min="4" max="4" width="12.1796875" customWidth="1"/>
    <col min="5" max="5" width="10.36328125" customWidth="1"/>
    <col min="6" max="6" width="12" customWidth="1"/>
  </cols>
  <sheetData>
    <row r="1" spans="1:6" ht="18.5" x14ac:dyDescent="0.45">
      <c r="A1" s="1" t="s">
        <v>36</v>
      </c>
      <c r="B1" s="1"/>
      <c r="C1" s="2"/>
      <c r="D1" s="1"/>
      <c r="E1" s="1"/>
      <c r="F1" s="1"/>
    </row>
    <row r="2" spans="1:6" ht="18.5" x14ac:dyDescent="0.45">
      <c r="A2" s="1" t="s">
        <v>37</v>
      </c>
      <c r="B2" s="16"/>
      <c r="C2" s="1"/>
      <c r="D2" s="1"/>
      <c r="E2" s="1"/>
      <c r="F2" s="1"/>
    </row>
    <row r="3" spans="1:6" ht="18.5" x14ac:dyDescent="0.45">
      <c r="A3" s="1" t="s">
        <v>38</v>
      </c>
      <c r="B3" s="1"/>
      <c r="C3" s="1"/>
      <c r="D3" s="1"/>
      <c r="E3" s="1"/>
      <c r="F3" s="1"/>
    </row>
    <row r="4" spans="1:6" ht="18.5" x14ac:dyDescent="0.45">
      <c r="A4" s="1" t="s">
        <v>51</v>
      </c>
      <c r="B4" s="1" t="s">
        <v>277</v>
      </c>
      <c r="C4" s="1"/>
      <c r="D4" s="1"/>
      <c r="E4" s="1"/>
      <c r="F4" s="1"/>
    </row>
    <row r="5" spans="1:6" ht="18.5" x14ac:dyDescent="0.45">
      <c r="A5" s="1" t="s">
        <v>39</v>
      </c>
      <c r="B5" s="1"/>
      <c r="C5" s="1"/>
      <c r="D5" s="1"/>
      <c r="E5" s="1"/>
      <c r="F5" s="16"/>
    </row>
    <row r="6" spans="1:6" ht="18.5" x14ac:dyDescent="0.45">
      <c r="A6" s="1" t="s">
        <v>40</v>
      </c>
      <c r="B6" s="1"/>
      <c r="C6" s="1"/>
      <c r="D6" s="1" t="s">
        <v>41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s="13" t="s">
        <v>42</v>
      </c>
      <c r="B8" s="13">
        <v>1140</v>
      </c>
      <c r="C8" s="13" t="s">
        <v>29</v>
      </c>
      <c r="D8" s="14">
        <v>10000</v>
      </c>
      <c r="E8" s="14">
        <v>10000</v>
      </c>
      <c r="F8" s="14">
        <v>160000</v>
      </c>
    </row>
    <row r="9" spans="1:6" x14ac:dyDescent="0.35">
      <c r="A9" s="13" t="s">
        <v>43</v>
      </c>
      <c r="B9" s="13">
        <v>2646</v>
      </c>
      <c r="C9" s="13" t="s">
        <v>50</v>
      </c>
      <c r="D9" s="14">
        <v>40000</v>
      </c>
      <c r="E9" s="14">
        <f>SUM(E8+D9)</f>
        <v>50000</v>
      </c>
      <c r="F9" s="14">
        <f>F8-D9</f>
        <v>120000</v>
      </c>
    </row>
    <row r="10" spans="1:6" x14ac:dyDescent="0.35">
      <c r="A10" s="15">
        <v>45049</v>
      </c>
      <c r="B10" s="13">
        <v>2647</v>
      </c>
      <c r="C10" s="13" t="s">
        <v>29</v>
      </c>
      <c r="D10" s="14">
        <v>10000</v>
      </c>
      <c r="E10" s="14">
        <f t="shared" ref="E10:E18" si="0">SUM(E9+D10)</f>
        <v>60000</v>
      </c>
      <c r="F10" s="14">
        <f t="shared" ref="F10:F18" si="1">F9-D10</f>
        <v>110000</v>
      </c>
    </row>
    <row r="11" spans="1:6" x14ac:dyDescent="0.35">
      <c r="A11" s="13" t="s">
        <v>44</v>
      </c>
      <c r="B11" s="13">
        <v>1128</v>
      </c>
      <c r="C11" s="13" t="s">
        <v>29</v>
      </c>
      <c r="D11" s="14">
        <v>10000</v>
      </c>
      <c r="E11" s="14">
        <f t="shared" si="0"/>
        <v>70000</v>
      </c>
      <c r="F11" s="14">
        <f t="shared" si="1"/>
        <v>100000</v>
      </c>
    </row>
    <row r="12" spans="1:6" x14ac:dyDescent="0.35">
      <c r="A12" s="13" t="s">
        <v>45</v>
      </c>
      <c r="B12" s="13">
        <v>624</v>
      </c>
      <c r="C12" s="13" t="s">
        <v>29</v>
      </c>
      <c r="D12" s="14">
        <v>10000</v>
      </c>
      <c r="E12" s="14">
        <f t="shared" si="0"/>
        <v>80000</v>
      </c>
      <c r="F12" s="14">
        <f t="shared" si="1"/>
        <v>90000</v>
      </c>
    </row>
    <row r="13" spans="1:6" x14ac:dyDescent="0.35">
      <c r="A13" s="13" t="s">
        <v>46</v>
      </c>
      <c r="B13" s="13">
        <v>2041</v>
      </c>
      <c r="C13" s="13" t="s">
        <v>29</v>
      </c>
      <c r="D13" s="14">
        <v>10000</v>
      </c>
      <c r="E13" s="14">
        <f t="shared" si="0"/>
        <v>90000</v>
      </c>
      <c r="F13" s="14">
        <f t="shared" si="1"/>
        <v>80000</v>
      </c>
    </row>
    <row r="14" spans="1:6" x14ac:dyDescent="0.35">
      <c r="A14" s="15">
        <v>45085</v>
      </c>
      <c r="B14" s="13">
        <v>22331</v>
      </c>
      <c r="C14" s="13" t="s">
        <v>29</v>
      </c>
      <c r="D14" s="14">
        <v>10000</v>
      </c>
      <c r="E14" s="14">
        <f t="shared" si="0"/>
        <v>100000</v>
      </c>
      <c r="F14" s="14">
        <f t="shared" si="1"/>
        <v>70000</v>
      </c>
    </row>
    <row r="15" spans="1:6" x14ac:dyDescent="0.35">
      <c r="A15" s="13" t="s">
        <v>47</v>
      </c>
      <c r="B15" s="13">
        <v>3795</v>
      </c>
      <c r="C15" s="13" t="s">
        <v>29</v>
      </c>
      <c r="D15" s="14">
        <v>20000</v>
      </c>
      <c r="E15" s="14">
        <f t="shared" si="0"/>
        <v>120000</v>
      </c>
      <c r="F15" s="14">
        <f t="shared" si="1"/>
        <v>50000</v>
      </c>
    </row>
    <row r="16" spans="1:6" x14ac:dyDescent="0.35">
      <c r="A16" s="13" t="s">
        <v>48</v>
      </c>
      <c r="B16" s="13">
        <v>4445</v>
      </c>
      <c r="C16" s="13" t="s">
        <v>29</v>
      </c>
      <c r="D16" s="14">
        <v>10000</v>
      </c>
      <c r="E16" s="14">
        <f t="shared" si="0"/>
        <v>130000</v>
      </c>
      <c r="F16" s="14">
        <f t="shared" si="1"/>
        <v>40000</v>
      </c>
    </row>
    <row r="17" spans="1:6" x14ac:dyDescent="0.35">
      <c r="A17" s="13" t="s">
        <v>49</v>
      </c>
      <c r="B17" s="13">
        <v>5799</v>
      </c>
      <c r="C17" s="13" t="s">
        <v>29</v>
      </c>
      <c r="D17" s="14">
        <v>20000</v>
      </c>
      <c r="E17" s="14">
        <f t="shared" si="0"/>
        <v>150000</v>
      </c>
      <c r="F17" s="14">
        <f t="shared" si="1"/>
        <v>20000</v>
      </c>
    </row>
    <row r="18" spans="1:6" x14ac:dyDescent="0.35">
      <c r="A18" s="15">
        <v>45567</v>
      </c>
      <c r="B18" s="13">
        <v>7032</v>
      </c>
      <c r="C18" s="13" t="s">
        <v>29</v>
      </c>
      <c r="D18" s="14">
        <v>20000</v>
      </c>
      <c r="E18" s="14">
        <f t="shared" si="0"/>
        <v>170000</v>
      </c>
      <c r="F18" s="14">
        <f t="shared" si="1"/>
        <v>0</v>
      </c>
    </row>
    <row r="20" spans="1:6" ht="18.5" x14ac:dyDescent="0.45">
      <c r="A20" s="27" t="s">
        <v>111</v>
      </c>
      <c r="B20" s="28"/>
      <c r="C20" s="28"/>
    </row>
    <row r="21" spans="1:6" x14ac:dyDescent="0.35">
      <c r="A21" s="12" t="s">
        <v>3</v>
      </c>
      <c r="B21" s="12" t="s">
        <v>4</v>
      </c>
      <c r="C21" s="12" t="s">
        <v>5</v>
      </c>
      <c r="D21" s="12" t="s">
        <v>6</v>
      </c>
      <c r="E21" s="12" t="s">
        <v>7</v>
      </c>
      <c r="F21" s="12" t="s">
        <v>8</v>
      </c>
    </row>
    <row r="22" spans="1:6" x14ac:dyDescent="0.35">
      <c r="A22" s="15">
        <v>45631</v>
      </c>
      <c r="B22" s="13">
        <v>283</v>
      </c>
      <c r="C22" s="13" t="s">
        <v>416</v>
      </c>
      <c r="D22" s="14">
        <v>10000</v>
      </c>
      <c r="E22" s="14">
        <v>10000</v>
      </c>
      <c r="F22" s="14">
        <v>440000</v>
      </c>
    </row>
    <row r="23" spans="1:6" x14ac:dyDescent="0.35">
      <c r="A23" s="13" t="s">
        <v>417</v>
      </c>
      <c r="B23" s="13">
        <v>128</v>
      </c>
      <c r="C23" s="13" t="s">
        <v>416</v>
      </c>
      <c r="D23" s="14">
        <v>10000</v>
      </c>
      <c r="E23" s="14">
        <f t="shared" ref="E23:E31" si="2">E22+D23</f>
        <v>20000</v>
      </c>
      <c r="F23" s="14">
        <f t="shared" ref="F23:F31" si="3">F22-D23</f>
        <v>430000</v>
      </c>
    </row>
    <row r="24" spans="1:6" x14ac:dyDescent="0.35">
      <c r="A24" s="15">
        <v>45663</v>
      </c>
      <c r="B24" s="13">
        <v>622</v>
      </c>
      <c r="C24" s="13" t="s">
        <v>416</v>
      </c>
      <c r="D24" s="14">
        <v>10000</v>
      </c>
      <c r="E24" s="14">
        <f t="shared" si="2"/>
        <v>30000</v>
      </c>
      <c r="F24" s="14">
        <f t="shared" si="3"/>
        <v>420000</v>
      </c>
    </row>
    <row r="25" spans="1:6" x14ac:dyDescent="0.35">
      <c r="A25" s="15">
        <v>45937</v>
      </c>
      <c r="B25" s="13">
        <v>3045</v>
      </c>
      <c r="C25" s="13" t="s">
        <v>416</v>
      </c>
      <c r="D25" s="14">
        <v>10000</v>
      </c>
      <c r="E25" s="14">
        <f t="shared" si="2"/>
        <v>40000</v>
      </c>
      <c r="F25" s="14">
        <f t="shared" si="3"/>
        <v>410000</v>
      </c>
    </row>
    <row r="26" spans="1:6" x14ac:dyDescent="0.35">
      <c r="A26" s="15">
        <v>45970</v>
      </c>
      <c r="B26" s="13">
        <v>3505</v>
      </c>
      <c r="C26" s="13" t="s">
        <v>416</v>
      </c>
      <c r="D26" s="14">
        <v>10000</v>
      </c>
      <c r="E26" s="14">
        <f t="shared" si="2"/>
        <v>50000</v>
      </c>
      <c r="F26" s="14">
        <f t="shared" si="3"/>
        <v>400000</v>
      </c>
    </row>
    <row r="27" spans="1:6" x14ac:dyDescent="0.35">
      <c r="A27" s="15">
        <v>46003</v>
      </c>
      <c r="B27" s="13">
        <v>5058</v>
      </c>
      <c r="C27" s="13" t="s">
        <v>416</v>
      </c>
      <c r="D27" s="14">
        <v>20000</v>
      </c>
      <c r="E27" s="14">
        <f t="shared" si="2"/>
        <v>70000</v>
      </c>
      <c r="F27" s="14">
        <f t="shared" si="3"/>
        <v>380000</v>
      </c>
    </row>
    <row r="28" spans="1:6" x14ac:dyDescent="0.35">
      <c r="A28" s="13" t="s">
        <v>418</v>
      </c>
      <c r="B28" s="13">
        <v>5335</v>
      </c>
      <c r="C28" s="13" t="s">
        <v>416</v>
      </c>
      <c r="D28" s="14">
        <v>20000</v>
      </c>
      <c r="E28" s="14">
        <f t="shared" si="2"/>
        <v>90000</v>
      </c>
      <c r="F28" s="14">
        <f t="shared" si="3"/>
        <v>360000</v>
      </c>
    </row>
    <row r="29" spans="1:6" x14ac:dyDescent="0.35">
      <c r="A29" s="13" t="s">
        <v>419</v>
      </c>
      <c r="B29" s="13">
        <v>5722</v>
      </c>
      <c r="C29" s="13" t="s">
        <v>416</v>
      </c>
      <c r="D29" s="14">
        <v>10000</v>
      </c>
      <c r="E29" s="14">
        <f t="shared" si="2"/>
        <v>100000</v>
      </c>
      <c r="F29" s="14">
        <f t="shared" si="3"/>
        <v>350000</v>
      </c>
    </row>
    <row r="30" spans="1:6" x14ac:dyDescent="0.35">
      <c r="A30" s="13" t="s">
        <v>406</v>
      </c>
      <c r="B30" s="13">
        <v>1516</v>
      </c>
      <c r="C30" s="13" t="s">
        <v>416</v>
      </c>
      <c r="D30" s="14">
        <v>10000</v>
      </c>
      <c r="E30" s="14">
        <f t="shared" si="2"/>
        <v>110000</v>
      </c>
      <c r="F30" s="14">
        <f t="shared" si="3"/>
        <v>340000</v>
      </c>
    </row>
    <row r="31" spans="1:6" x14ac:dyDescent="0.35">
      <c r="A31" s="15">
        <v>46303</v>
      </c>
      <c r="B31" s="13">
        <v>3762</v>
      </c>
      <c r="C31" s="13" t="s">
        <v>416</v>
      </c>
      <c r="D31" s="14">
        <v>10000</v>
      </c>
      <c r="E31" s="14">
        <f t="shared" si="2"/>
        <v>120000</v>
      </c>
      <c r="F31" s="14">
        <f t="shared" si="3"/>
        <v>330000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7" workbookViewId="0">
      <selection activeCell="I34" sqref="I34"/>
    </sheetView>
  </sheetViews>
  <sheetFormatPr defaultRowHeight="14.5" x14ac:dyDescent="0.35"/>
  <cols>
    <col min="1" max="1" width="9.36328125" customWidth="1"/>
    <col min="3" max="3" width="11.54296875" customWidth="1"/>
  </cols>
  <sheetData>
    <row r="1" spans="1:6" ht="18.5" x14ac:dyDescent="0.45">
      <c r="A1" s="1" t="s">
        <v>194</v>
      </c>
      <c r="B1" s="1"/>
      <c r="C1" s="2"/>
      <c r="D1" s="1"/>
      <c r="E1" s="1"/>
      <c r="F1" s="1"/>
    </row>
    <row r="2" spans="1:6" ht="18.5" x14ac:dyDescent="0.45">
      <c r="A2" s="1" t="s">
        <v>195</v>
      </c>
      <c r="B2" s="16"/>
      <c r="C2" s="1"/>
      <c r="D2" s="1"/>
      <c r="E2" s="1"/>
      <c r="F2" s="1"/>
    </row>
    <row r="3" spans="1:6" ht="18.5" x14ac:dyDescent="0.45">
      <c r="A3" s="1" t="s">
        <v>196</v>
      </c>
      <c r="B3" s="1"/>
      <c r="C3" s="1"/>
      <c r="D3" s="1"/>
      <c r="E3" s="1"/>
      <c r="F3" s="1"/>
    </row>
    <row r="4" spans="1:6" ht="18.5" x14ac:dyDescent="0.45">
      <c r="A4" s="1" t="s">
        <v>199</v>
      </c>
      <c r="B4" s="1"/>
      <c r="C4" s="1"/>
      <c r="D4" s="1"/>
      <c r="E4" s="1"/>
      <c r="F4" s="1"/>
    </row>
    <row r="5" spans="1:6" ht="18.5" x14ac:dyDescent="0.45">
      <c r="A5" s="1" t="s">
        <v>197</v>
      </c>
      <c r="B5" s="1"/>
      <c r="C5" s="1"/>
      <c r="D5" s="1"/>
      <c r="E5" s="1"/>
      <c r="F5" s="16"/>
    </row>
    <row r="6" spans="1:6" ht="18.5" x14ac:dyDescent="0.45">
      <c r="A6" s="1" t="s">
        <v>198</v>
      </c>
      <c r="B6" s="1"/>
      <c r="C6" s="1"/>
      <c r="D6" s="1" t="s">
        <v>179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t="s">
        <v>181</v>
      </c>
      <c r="B8">
        <v>481</v>
      </c>
      <c r="C8" t="s">
        <v>200</v>
      </c>
      <c r="D8" s="19">
        <v>10000</v>
      </c>
      <c r="E8" s="19">
        <v>10000</v>
      </c>
      <c r="F8" s="19">
        <v>240000</v>
      </c>
    </row>
    <row r="9" spans="1:6" x14ac:dyDescent="0.35">
      <c r="A9" s="18">
        <v>44630</v>
      </c>
      <c r="B9">
        <v>1503</v>
      </c>
      <c r="C9" t="s">
        <v>200</v>
      </c>
      <c r="D9" s="19">
        <v>10000</v>
      </c>
      <c r="E9" s="19">
        <f>SUM(E8+D9)</f>
        <v>20000</v>
      </c>
      <c r="F9" s="19">
        <f>F8-D9</f>
        <v>230000</v>
      </c>
    </row>
    <row r="10" spans="1:6" x14ac:dyDescent="0.35">
      <c r="A10" t="s">
        <v>182</v>
      </c>
      <c r="B10">
        <v>1394</v>
      </c>
      <c r="C10" t="s">
        <v>78</v>
      </c>
      <c r="D10" s="19">
        <v>30000</v>
      </c>
      <c r="E10" s="19">
        <f t="shared" ref="E10:E29" si="0">SUM(E9+D10)</f>
        <v>50000</v>
      </c>
      <c r="F10" s="19">
        <f t="shared" ref="F10:F29" si="1">F9-D10</f>
        <v>200000</v>
      </c>
    </row>
    <row r="11" spans="1:6" x14ac:dyDescent="0.35">
      <c r="A11" t="s">
        <v>183</v>
      </c>
      <c r="B11">
        <v>1187</v>
      </c>
      <c r="C11" t="s">
        <v>200</v>
      </c>
      <c r="D11" s="19">
        <v>10000</v>
      </c>
      <c r="E11" s="19">
        <f t="shared" si="0"/>
        <v>60000</v>
      </c>
      <c r="F11" s="19">
        <f t="shared" si="1"/>
        <v>190000</v>
      </c>
    </row>
    <row r="12" spans="1:6" x14ac:dyDescent="0.35">
      <c r="A12" t="s">
        <v>184</v>
      </c>
      <c r="B12">
        <v>201</v>
      </c>
      <c r="C12" t="s">
        <v>200</v>
      </c>
      <c r="D12" s="19">
        <v>10000</v>
      </c>
      <c r="E12" s="19">
        <f t="shared" si="0"/>
        <v>70000</v>
      </c>
      <c r="F12" s="19">
        <f t="shared" si="1"/>
        <v>180000</v>
      </c>
    </row>
    <row r="13" spans="1:6" x14ac:dyDescent="0.35">
      <c r="A13" t="s">
        <v>185</v>
      </c>
      <c r="B13">
        <v>2013</v>
      </c>
      <c r="C13" t="s">
        <v>200</v>
      </c>
      <c r="D13" s="19">
        <v>10000</v>
      </c>
      <c r="E13" s="19">
        <f t="shared" si="0"/>
        <v>80000</v>
      </c>
      <c r="F13" s="19">
        <f t="shared" si="1"/>
        <v>170000</v>
      </c>
    </row>
    <row r="14" spans="1:6" x14ac:dyDescent="0.35">
      <c r="A14" s="18">
        <v>44934</v>
      </c>
      <c r="B14">
        <v>2581</v>
      </c>
      <c r="C14" t="s">
        <v>200</v>
      </c>
      <c r="D14" s="19">
        <v>10000</v>
      </c>
      <c r="E14" s="19">
        <f t="shared" si="0"/>
        <v>90000</v>
      </c>
      <c r="F14" s="19">
        <f t="shared" si="1"/>
        <v>160000</v>
      </c>
    </row>
    <row r="15" spans="1:6" x14ac:dyDescent="0.35">
      <c r="A15" s="18">
        <v>44994</v>
      </c>
      <c r="B15">
        <v>3365</v>
      </c>
      <c r="C15" t="s">
        <v>200</v>
      </c>
      <c r="D15" s="19">
        <v>10000</v>
      </c>
      <c r="E15" s="19">
        <f t="shared" si="0"/>
        <v>100000</v>
      </c>
      <c r="F15" s="19">
        <f t="shared" si="1"/>
        <v>150000</v>
      </c>
    </row>
    <row r="16" spans="1:6" x14ac:dyDescent="0.35">
      <c r="A16" s="18">
        <v>45148</v>
      </c>
      <c r="B16">
        <v>4102</v>
      </c>
      <c r="C16" t="s">
        <v>200</v>
      </c>
      <c r="D16" s="19">
        <v>10000</v>
      </c>
      <c r="E16" s="19">
        <f t="shared" si="0"/>
        <v>110000</v>
      </c>
      <c r="F16" s="19">
        <f t="shared" si="1"/>
        <v>140000</v>
      </c>
    </row>
    <row r="17" spans="1:6" x14ac:dyDescent="0.35">
      <c r="A17" s="18">
        <v>45057</v>
      </c>
      <c r="B17">
        <v>4657</v>
      </c>
      <c r="C17" t="s">
        <v>200</v>
      </c>
      <c r="D17" s="19">
        <v>10000</v>
      </c>
      <c r="E17" s="19">
        <f t="shared" si="0"/>
        <v>120000</v>
      </c>
      <c r="F17" s="19">
        <f t="shared" si="1"/>
        <v>130000</v>
      </c>
    </row>
    <row r="18" spans="1:6" x14ac:dyDescent="0.35">
      <c r="A18" s="18">
        <v>44997</v>
      </c>
      <c r="B18">
        <v>55259</v>
      </c>
      <c r="C18" t="s">
        <v>200</v>
      </c>
      <c r="D18" s="19">
        <v>10000</v>
      </c>
      <c r="E18" s="19">
        <f t="shared" si="0"/>
        <v>130000</v>
      </c>
      <c r="F18" s="19">
        <f t="shared" si="1"/>
        <v>120000</v>
      </c>
    </row>
    <row r="19" spans="1:6" x14ac:dyDescent="0.35">
      <c r="A19" s="18">
        <v>45474</v>
      </c>
      <c r="B19">
        <v>5985</v>
      </c>
      <c r="C19" t="s">
        <v>200</v>
      </c>
      <c r="D19" s="19">
        <v>10000</v>
      </c>
      <c r="E19" s="19">
        <f t="shared" si="0"/>
        <v>140000</v>
      </c>
      <c r="F19" s="19">
        <f t="shared" si="1"/>
        <v>110000</v>
      </c>
    </row>
    <row r="20" spans="1:6" x14ac:dyDescent="0.35">
      <c r="A20" s="18">
        <v>45384</v>
      </c>
      <c r="B20">
        <v>6527</v>
      </c>
      <c r="C20" t="s">
        <v>200</v>
      </c>
      <c r="D20" s="19">
        <v>10000</v>
      </c>
      <c r="E20" s="19">
        <f t="shared" si="0"/>
        <v>150000</v>
      </c>
      <c r="F20" s="19">
        <f t="shared" si="1"/>
        <v>100000</v>
      </c>
    </row>
    <row r="21" spans="1:6" x14ac:dyDescent="0.35">
      <c r="A21" s="18">
        <v>45568</v>
      </c>
      <c r="B21">
        <v>6986</v>
      </c>
      <c r="C21" t="s">
        <v>200</v>
      </c>
      <c r="D21" s="19">
        <v>10000</v>
      </c>
      <c r="E21" s="19">
        <f t="shared" si="0"/>
        <v>160000</v>
      </c>
      <c r="F21" s="19">
        <f t="shared" si="1"/>
        <v>90000</v>
      </c>
    </row>
    <row r="22" spans="1:6" x14ac:dyDescent="0.35">
      <c r="A22" t="s">
        <v>201</v>
      </c>
      <c r="B22">
        <v>7828</v>
      </c>
      <c r="C22" t="s">
        <v>200</v>
      </c>
      <c r="D22" s="19">
        <v>10000</v>
      </c>
      <c r="E22" s="19">
        <f t="shared" si="0"/>
        <v>170000</v>
      </c>
      <c r="F22" s="19">
        <f t="shared" si="1"/>
        <v>80000</v>
      </c>
    </row>
    <row r="23" spans="1:6" x14ac:dyDescent="0.35">
      <c r="A23" s="18">
        <v>45631</v>
      </c>
      <c r="B23">
        <v>8435</v>
      </c>
      <c r="C23" t="s">
        <v>200</v>
      </c>
      <c r="D23" s="19">
        <v>10000</v>
      </c>
      <c r="E23" s="19">
        <f t="shared" si="0"/>
        <v>180000</v>
      </c>
      <c r="F23" s="19">
        <f t="shared" si="1"/>
        <v>70000</v>
      </c>
    </row>
    <row r="24" spans="1:6" x14ac:dyDescent="0.35">
      <c r="A24" s="18">
        <v>45541</v>
      </c>
      <c r="B24">
        <v>8923</v>
      </c>
      <c r="C24" t="s">
        <v>200</v>
      </c>
      <c r="D24" s="19">
        <v>10000</v>
      </c>
      <c r="E24" s="19">
        <f t="shared" si="0"/>
        <v>190000</v>
      </c>
      <c r="F24" s="19">
        <f t="shared" si="1"/>
        <v>60000</v>
      </c>
    </row>
    <row r="25" spans="1:6" x14ac:dyDescent="0.35">
      <c r="A25" t="s">
        <v>189</v>
      </c>
      <c r="B25">
        <v>9583</v>
      </c>
      <c r="C25" t="s">
        <v>200</v>
      </c>
      <c r="D25" s="19">
        <v>10000</v>
      </c>
      <c r="E25" s="19">
        <f t="shared" si="0"/>
        <v>200000</v>
      </c>
      <c r="F25" s="19">
        <f t="shared" si="1"/>
        <v>50000</v>
      </c>
    </row>
    <row r="26" spans="1:6" x14ac:dyDescent="0.35">
      <c r="A26" t="s">
        <v>190</v>
      </c>
      <c r="B26">
        <v>10409</v>
      </c>
      <c r="C26" t="s">
        <v>200</v>
      </c>
      <c r="D26" s="19">
        <v>10000</v>
      </c>
      <c r="E26" s="19">
        <f t="shared" si="0"/>
        <v>210000</v>
      </c>
      <c r="F26" s="19">
        <f t="shared" si="1"/>
        <v>40000</v>
      </c>
    </row>
    <row r="27" spans="1:6" x14ac:dyDescent="0.35">
      <c r="A27" t="s">
        <v>191</v>
      </c>
      <c r="B27">
        <v>10875</v>
      </c>
      <c r="C27" t="s">
        <v>200</v>
      </c>
      <c r="D27" s="19">
        <v>10000</v>
      </c>
      <c r="E27" s="19">
        <f t="shared" si="0"/>
        <v>220000</v>
      </c>
      <c r="F27" s="19">
        <f t="shared" si="1"/>
        <v>30000</v>
      </c>
    </row>
    <row r="28" spans="1:6" x14ac:dyDescent="0.35">
      <c r="A28" t="s">
        <v>192</v>
      </c>
      <c r="B28">
        <v>10389</v>
      </c>
      <c r="C28" t="s">
        <v>200</v>
      </c>
      <c r="D28" s="19">
        <v>10000</v>
      </c>
      <c r="E28" s="19">
        <f t="shared" si="0"/>
        <v>230000</v>
      </c>
      <c r="F28" s="19">
        <f t="shared" si="1"/>
        <v>20000</v>
      </c>
    </row>
    <row r="29" spans="1:6" x14ac:dyDescent="0.35">
      <c r="A29" t="s">
        <v>193</v>
      </c>
      <c r="B29">
        <v>12465</v>
      </c>
      <c r="C29" t="s">
        <v>200</v>
      </c>
      <c r="D29" s="19">
        <v>10000</v>
      </c>
      <c r="E29" s="19">
        <f t="shared" si="0"/>
        <v>240000</v>
      </c>
      <c r="F29" s="19">
        <f t="shared" si="1"/>
        <v>10000</v>
      </c>
    </row>
    <row r="30" spans="1:6" x14ac:dyDescent="0.35">
      <c r="A30" s="18">
        <v>45778</v>
      </c>
      <c r="B30">
        <v>12913</v>
      </c>
      <c r="C30" t="s">
        <v>200</v>
      </c>
      <c r="D30" s="19">
        <v>10000</v>
      </c>
      <c r="E30" s="19">
        <f>E29+D30</f>
        <v>250000</v>
      </c>
      <c r="F30" s="19" t="s">
        <v>97</v>
      </c>
    </row>
    <row r="32" spans="1:6" ht="15.5" x14ac:dyDescent="0.35">
      <c r="A32" s="29"/>
      <c r="B32" s="29" t="s">
        <v>111</v>
      </c>
      <c r="C32" s="29"/>
      <c r="D32" s="29"/>
    </row>
    <row r="33" spans="1:6" x14ac:dyDescent="0.35">
      <c r="A33" s="13" t="s">
        <v>429</v>
      </c>
      <c r="B33" s="13">
        <v>3185</v>
      </c>
      <c r="C33" s="13" t="s">
        <v>426</v>
      </c>
      <c r="D33" s="14">
        <v>5000</v>
      </c>
      <c r="E33" s="14">
        <v>5000</v>
      </c>
      <c r="F33" s="14">
        <v>445000</v>
      </c>
    </row>
    <row r="34" spans="1:6" x14ac:dyDescent="0.35">
      <c r="A34" s="13" t="s">
        <v>430</v>
      </c>
      <c r="B34" s="13">
        <v>3453</v>
      </c>
      <c r="C34" s="13" t="s">
        <v>426</v>
      </c>
      <c r="D34" s="14">
        <v>5000</v>
      </c>
      <c r="E34" s="14">
        <f t="shared" ref="E34:E45" si="2">E33+D34</f>
        <v>10000</v>
      </c>
      <c r="F34" s="14">
        <f t="shared" ref="F34:F45" si="3">F33-D34</f>
        <v>440000</v>
      </c>
    </row>
    <row r="35" spans="1:6" x14ac:dyDescent="0.35">
      <c r="A35" s="13" t="s">
        <v>431</v>
      </c>
      <c r="B35" s="13">
        <v>3234</v>
      </c>
      <c r="C35" s="13" t="s">
        <v>426</v>
      </c>
      <c r="D35" s="14">
        <v>5000</v>
      </c>
      <c r="E35" s="14">
        <f t="shared" si="2"/>
        <v>15000</v>
      </c>
      <c r="F35" s="14">
        <f t="shared" si="3"/>
        <v>435000</v>
      </c>
    </row>
    <row r="36" spans="1:6" x14ac:dyDescent="0.35">
      <c r="A36" s="13" t="s">
        <v>432</v>
      </c>
      <c r="B36" s="13">
        <v>3614</v>
      </c>
      <c r="C36" s="13" t="s">
        <v>426</v>
      </c>
      <c r="D36" s="14">
        <v>5000</v>
      </c>
      <c r="E36" s="14">
        <f t="shared" si="2"/>
        <v>20000</v>
      </c>
      <c r="F36" s="14">
        <f t="shared" si="3"/>
        <v>430000</v>
      </c>
    </row>
    <row r="37" spans="1:6" x14ac:dyDescent="0.35">
      <c r="A37" s="13" t="s">
        <v>433</v>
      </c>
      <c r="B37" s="13">
        <v>3897</v>
      </c>
      <c r="C37" s="13" t="s">
        <v>426</v>
      </c>
      <c r="D37" s="14">
        <v>5000</v>
      </c>
      <c r="E37" s="14">
        <f t="shared" si="2"/>
        <v>25000</v>
      </c>
      <c r="F37" s="14">
        <f t="shared" si="3"/>
        <v>425000</v>
      </c>
    </row>
    <row r="38" spans="1:6" x14ac:dyDescent="0.35">
      <c r="A38" s="13" t="s">
        <v>434</v>
      </c>
      <c r="B38" s="13">
        <v>5175</v>
      </c>
      <c r="C38" s="13" t="s">
        <v>426</v>
      </c>
      <c r="D38" s="14">
        <v>5000</v>
      </c>
      <c r="E38" s="14">
        <f t="shared" si="2"/>
        <v>30000</v>
      </c>
      <c r="F38" s="14">
        <f t="shared" si="3"/>
        <v>420000</v>
      </c>
    </row>
    <row r="39" spans="1:6" x14ac:dyDescent="0.35">
      <c r="A39" s="13" t="s">
        <v>435</v>
      </c>
      <c r="B39" s="13">
        <v>5417</v>
      </c>
      <c r="C39" s="13" t="s">
        <v>426</v>
      </c>
      <c r="D39" s="14">
        <v>5000</v>
      </c>
      <c r="E39" s="14">
        <f t="shared" si="2"/>
        <v>35000</v>
      </c>
      <c r="F39" s="14">
        <f t="shared" si="3"/>
        <v>415000</v>
      </c>
    </row>
    <row r="40" spans="1:6" x14ac:dyDescent="0.35">
      <c r="A40" s="13" t="s">
        <v>436</v>
      </c>
      <c r="B40" s="13">
        <v>5804</v>
      </c>
      <c r="C40" s="13" t="s">
        <v>426</v>
      </c>
      <c r="D40" s="14">
        <v>10000</v>
      </c>
      <c r="E40" s="14">
        <f t="shared" si="2"/>
        <v>45000</v>
      </c>
      <c r="F40" s="14">
        <f t="shared" si="3"/>
        <v>405000</v>
      </c>
    </row>
    <row r="41" spans="1:6" x14ac:dyDescent="0.35">
      <c r="A41" s="15">
        <v>46086</v>
      </c>
      <c r="B41" s="13">
        <v>1356</v>
      </c>
      <c r="C41" s="13" t="s">
        <v>426</v>
      </c>
      <c r="D41" s="14">
        <v>5000</v>
      </c>
      <c r="E41" s="14">
        <f t="shared" si="2"/>
        <v>50000</v>
      </c>
      <c r="F41" s="14">
        <f t="shared" si="3"/>
        <v>400000</v>
      </c>
    </row>
    <row r="42" spans="1:6" x14ac:dyDescent="0.35">
      <c r="A42" s="13" t="s">
        <v>437</v>
      </c>
      <c r="B42" s="13">
        <v>1546</v>
      </c>
      <c r="C42" s="13" t="s">
        <v>426</v>
      </c>
      <c r="D42" s="14">
        <v>5000</v>
      </c>
      <c r="E42" s="14">
        <f t="shared" si="2"/>
        <v>55000</v>
      </c>
      <c r="F42" s="14">
        <f t="shared" si="3"/>
        <v>395000</v>
      </c>
    </row>
    <row r="43" spans="1:6" x14ac:dyDescent="0.35">
      <c r="A43" s="13" t="s">
        <v>438</v>
      </c>
      <c r="B43" s="13">
        <v>1729</v>
      </c>
      <c r="C43" s="13" t="s">
        <v>426</v>
      </c>
      <c r="D43" s="14">
        <v>5000</v>
      </c>
      <c r="E43" s="14">
        <f t="shared" si="2"/>
        <v>60000</v>
      </c>
      <c r="F43" s="14">
        <f t="shared" si="3"/>
        <v>390000</v>
      </c>
    </row>
    <row r="44" spans="1:6" x14ac:dyDescent="0.35">
      <c r="A44" s="13" t="s">
        <v>439</v>
      </c>
      <c r="B44" s="13">
        <v>1896</v>
      </c>
      <c r="C44" s="13" t="s">
        <v>426</v>
      </c>
      <c r="D44" s="14">
        <v>5000</v>
      </c>
      <c r="E44" s="14">
        <f t="shared" si="2"/>
        <v>65000</v>
      </c>
      <c r="F44" s="14">
        <f t="shared" si="3"/>
        <v>385000</v>
      </c>
    </row>
    <row r="45" spans="1:6" x14ac:dyDescent="0.35">
      <c r="A45" s="13" t="s">
        <v>427</v>
      </c>
      <c r="B45" s="13">
        <v>1989</v>
      </c>
      <c r="C45" s="13" t="s">
        <v>426</v>
      </c>
      <c r="D45" s="14">
        <v>5000</v>
      </c>
      <c r="E45" s="14">
        <f t="shared" si="2"/>
        <v>70000</v>
      </c>
      <c r="F45" s="14">
        <f t="shared" si="3"/>
        <v>380000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13" workbookViewId="0">
      <selection activeCell="A25" sqref="A25:F30"/>
    </sheetView>
  </sheetViews>
  <sheetFormatPr defaultRowHeight="14.5" x14ac:dyDescent="0.35"/>
  <cols>
    <col min="1" max="1" width="9.453125" customWidth="1"/>
    <col min="3" max="3" width="13.26953125" customWidth="1"/>
    <col min="6" max="6" width="11.7265625" customWidth="1"/>
  </cols>
  <sheetData>
    <row r="1" spans="1:6" ht="18.5" x14ac:dyDescent="0.45">
      <c r="A1" s="1" t="s">
        <v>126</v>
      </c>
      <c r="B1" s="1"/>
      <c r="C1" s="2"/>
      <c r="D1" s="1"/>
      <c r="E1" s="1"/>
      <c r="F1" s="1"/>
    </row>
    <row r="2" spans="1:6" ht="18.5" x14ac:dyDescent="0.45">
      <c r="A2" s="1" t="s">
        <v>127</v>
      </c>
      <c r="B2" s="16"/>
      <c r="C2" s="1"/>
      <c r="D2" s="1"/>
      <c r="E2" s="1"/>
      <c r="F2" s="1"/>
    </row>
    <row r="3" spans="1:6" ht="18.5" x14ac:dyDescent="0.45">
      <c r="A3" s="1" t="s">
        <v>128</v>
      </c>
      <c r="B3" s="1"/>
      <c r="C3" s="1"/>
      <c r="D3" s="1"/>
      <c r="E3" s="1" t="s">
        <v>414</v>
      </c>
      <c r="F3" s="1"/>
    </row>
    <row r="4" spans="1:6" ht="18.5" x14ac:dyDescent="0.45">
      <c r="A4" s="1" t="s">
        <v>131</v>
      </c>
      <c r="B4" s="1"/>
      <c r="C4" s="1"/>
      <c r="D4" s="1"/>
      <c r="E4" s="1" t="s">
        <v>415</v>
      </c>
      <c r="F4" s="1"/>
    </row>
    <row r="5" spans="1:6" ht="18.5" x14ac:dyDescent="0.45">
      <c r="A5" s="1" t="s">
        <v>129</v>
      </c>
      <c r="B5" s="1"/>
      <c r="C5" s="1"/>
      <c r="D5" s="1"/>
      <c r="E5" s="1"/>
      <c r="F5" s="16"/>
    </row>
    <row r="6" spans="1:6" ht="18.5" x14ac:dyDescent="0.45">
      <c r="A6" s="1" t="s">
        <v>130</v>
      </c>
      <c r="B6" s="1"/>
      <c r="C6" s="1"/>
      <c r="D6" s="1" t="s">
        <v>41</v>
      </c>
      <c r="E6" s="1"/>
      <c r="F6" s="1"/>
    </row>
    <row r="7" spans="1:6" x14ac:dyDescent="0.35">
      <c r="A7" s="24" t="s">
        <v>132</v>
      </c>
      <c r="B7" s="24"/>
      <c r="C7" s="24"/>
      <c r="D7" s="24"/>
      <c r="E7" s="24"/>
      <c r="F7" s="24"/>
    </row>
    <row r="8" spans="1:6" ht="18.5" x14ac:dyDescent="0.45">
      <c r="A8" s="1" t="s">
        <v>133</v>
      </c>
    </row>
    <row r="9" spans="1:6" x14ac:dyDescent="0.35">
      <c r="A9" s="12" t="s">
        <v>3</v>
      </c>
      <c r="B9" s="12" t="s">
        <v>4</v>
      </c>
      <c r="C9" s="12" t="s">
        <v>5</v>
      </c>
      <c r="D9" s="12" t="s">
        <v>6</v>
      </c>
      <c r="E9" s="12" t="s">
        <v>7</v>
      </c>
      <c r="F9" s="12" t="s">
        <v>8</v>
      </c>
    </row>
    <row r="10" spans="1:6" x14ac:dyDescent="0.35">
      <c r="A10" t="s">
        <v>134</v>
      </c>
      <c r="B10">
        <v>1275</v>
      </c>
      <c r="C10" t="s">
        <v>121</v>
      </c>
      <c r="D10" s="19">
        <v>10000</v>
      </c>
      <c r="E10" s="19">
        <v>10000</v>
      </c>
      <c r="F10" s="19">
        <v>210000</v>
      </c>
    </row>
    <row r="11" spans="1:6" x14ac:dyDescent="0.35">
      <c r="A11" s="18">
        <v>44843</v>
      </c>
      <c r="B11">
        <v>182</v>
      </c>
      <c r="C11" t="s">
        <v>121</v>
      </c>
      <c r="D11" s="19">
        <v>20000</v>
      </c>
      <c r="E11" s="19">
        <f>SUM(E10+D11)</f>
        <v>30000</v>
      </c>
      <c r="F11" s="19">
        <f>F10-D11</f>
        <v>190000</v>
      </c>
    </row>
    <row r="12" spans="1:6" x14ac:dyDescent="0.35">
      <c r="A12" s="18">
        <v>44571</v>
      </c>
      <c r="B12">
        <v>1777</v>
      </c>
      <c r="C12" t="s">
        <v>121</v>
      </c>
      <c r="D12" s="19">
        <v>10000</v>
      </c>
      <c r="E12" s="19">
        <f t="shared" ref="E12:E23" si="0">SUM(E11+D12)</f>
        <v>40000</v>
      </c>
      <c r="F12" s="19">
        <f t="shared" ref="F12:F22" si="1">F11-D12</f>
        <v>180000</v>
      </c>
    </row>
    <row r="13" spans="1:6" x14ac:dyDescent="0.35">
      <c r="A13" t="s">
        <v>135</v>
      </c>
      <c r="B13">
        <v>2507</v>
      </c>
      <c r="C13" t="s">
        <v>121</v>
      </c>
      <c r="D13" s="19">
        <v>20000</v>
      </c>
      <c r="E13" s="19">
        <f t="shared" si="0"/>
        <v>60000</v>
      </c>
      <c r="F13" s="19">
        <f t="shared" si="1"/>
        <v>160000</v>
      </c>
    </row>
    <row r="14" spans="1:6" x14ac:dyDescent="0.35">
      <c r="A14" t="s">
        <v>136</v>
      </c>
      <c r="B14">
        <v>2506</v>
      </c>
      <c r="C14" t="s">
        <v>121</v>
      </c>
      <c r="D14" s="19">
        <v>10000</v>
      </c>
      <c r="E14" s="19">
        <f t="shared" si="0"/>
        <v>70000</v>
      </c>
      <c r="F14" s="19">
        <f t="shared" si="1"/>
        <v>150000</v>
      </c>
    </row>
    <row r="15" spans="1:6" x14ac:dyDescent="0.35">
      <c r="A15" t="s">
        <v>86</v>
      </c>
      <c r="B15">
        <v>2258</v>
      </c>
      <c r="C15" t="s">
        <v>121</v>
      </c>
      <c r="D15" s="19">
        <v>10000</v>
      </c>
      <c r="E15" s="19">
        <f t="shared" si="0"/>
        <v>80000</v>
      </c>
      <c r="F15" s="19">
        <f t="shared" si="1"/>
        <v>140000</v>
      </c>
    </row>
    <row r="16" spans="1:6" x14ac:dyDescent="0.35">
      <c r="A16" t="s">
        <v>137</v>
      </c>
      <c r="B16">
        <v>856</v>
      </c>
      <c r="C16" t="s">
        <v>121</v>
      </c>
      <c r="D16" s="19">
        <v>10000</v>
      </c>
      <c r="E16" s="19">
        <f t="shared" si="0"/>
        <v>90000</v>
      </c>
      <c r="F16" s="19">
        <f t="shared" si="1"/>
        <v>130000</v>
      </c>
    </row>
    <row r="17" spans="1:6" x14ac:dyDescent="0.35">
      <c r="A17" s="18">
        <v>45267</v>
      </c>
      <c r="B17">
        <v>2730</v>
      </c>
      <c r="C17" t="s">
        <v>121</v>
      </c>
      <c r="D17" s="19">
        <v>20000</v>
      </c>
      <c r="E17" s="19">
        <f t="shared" si="0"/>
        <v>110000</v>
      </c>
      <c r="F17" s="19">
        <f t="shared" si="1"/>
        <v>110000</v>
      </c>
    </row>
    <row r="18" spans="1:6" x14ac:dyDescent="0.35">
      <c r="A18" t="s">
        <v>138</v>
      </c>
      <c r="B18">
        <v>8174</v>
      </c>
      <c r="C18" t="s">
        <v>121</v>
      </c>
      <c r="D18" s="19">
        <v>60000</v>
      </c>
      <c r="E18" s="19">
        <f t="shared" si="0"/>
        <v>170000</v>
      </c>
      <c r="F18" s="19">
        <f t="shared" si="1"/>
        <v>50000</v>
      </c>
    </row>
    <row r="19" spans="1:6" x14ac:dyDescent="0.35">
      <c r="A19" s="18">
        <v>45421</v>
      </c>
      <c r="B19">
        <v>8402</v>
      </c>
      <c r="C19" t="s">
        <v>121</v>
      </c>
      <c r="D19" s="19">
        <v>20000</v>
      </c>
      <c r="E19" s="19">
        <f t="shared" si="0"/>
        <v>190000</v>
      </c>
      <c r="F19" s="19">
        <f t="shared" si="1"/>
        <v>30000</v>
      </c>
    </row>
    <row r="20" spans="1:6" x14ac:dyDescent="0.35">
      <c r="A20" t="s">
        <v>139</v>
      </c>
      <c r="B20">
        <v>5080</v>
      </c>
      <c r="C20" t="s">
        <v>121</v>
      </c>
      <c r="D20" s="19">
        <v>10000</v>
      </c>
      <c r="E20" s="19">
        <f t="shared" si="0"/>
        <v>200000</v>
      </c>
      <c r="F20" s="19">
        <f t="shared" si="1"/>
        <v>20000</v>
      </c>
    </row>
    <row r="21" spans="1:6" x14ac:dyDescent="0.35">
      <c r="A21" s="18">
        <v>45911</v>
      </c>
      <c r="B21">
        <v>13476</v>
      </c>
      <c r="C21" t="s">
        <v>121</v>
      </c>
      <c r="D21" s="19">
        <v>10000</v>
      </c>
      <c r="E21" s="19">
        <f t="shared" si="0"/>
        <v>210000</v>
      </c>
      <c r="F21" s="19">
        <f t="shared" si="1"/>
        <v>10000</v>
      </c>
    </row>
    <row r="22" spans="1:6" x14ac:dyDescent="0.35">
      <c r="A22" t="s">
        <v>140</v>
      </c>
      <c r="B22">
        <v>13860</v>
      </c>
      <c r="C22" t="s">
        <v>121</v>
      </c>
      <c r="D22" s="19">
        <v>10000</v>
      </c>
      <c r="E22" s="19">
        <f t="shared" si="0"/>
        <v>220000</v>
      </c>
      <c r="F22" s="19">
        <f t="shared" si="1"/>
        <v>0</v>
      </c>
    </row>
    <row r="23" spans="1:6" x14ac:dyDescent="0.35">
      <c r="A23" s="18">
        <v>43931</v>
      </c>
      <c r="B23">
        <v>13860</v>
      </c>
      <c r="C23" t="s">
        <v>141</v>
      </c>
      <c r="D23" s="19">
        <v>130000</v>
      </c>
      <c r="E23" s="19">
        <f t="shared" si="0"/>
        <v>350000</v>
      </c>
      <c r="F23" s="19" t="s">
        <v>97</v>
      </c>
    </row>
    <row r="24" spans="1:6" ht="18.5" x14ac:dyDescent="0.45">
      <c r="A24" s="27" t="s">
        <v>111</v>
      </c>
      <c r="B24" s="27"/>
      <c r="C24" s="27"/>
      <c r="D24" s="16"/>
      <c r="E24" s="16"/>
      <c r="F24" s="16"/>
    </row>
    <row r="25" spans="1:6" x14ac:dyDescent="0.35">
      <c r="A25" s="13" t="s">
        <v>409</v>
      </c>
      <c r="B25" s="13">
        <v>5412</v>
      </c>
      <c r="C25" s="13" t="s">
        <v>416</v>
      </c>
      <c r="D25" s="14">
        <v>5000</v>
      </c>
      <c r="E25" s="13">
        <v>5000</v>
      </c>
      <c r="F25" s="14">
        <v>445000</v>
      </c>
    </row>
    <row r="26" spans="1:6" x14ac:dyDescent="0.35">
      <c r="A26" s="13" t="s">
        <v>410</v>
      </c>
      <c r="B26" s="13">
        <v>5576</v>
      </c>
      <c r="C26" s="13" t="s">
        <v>416</v>
      </c>
      <c r="D26" s="14">
        <v>5000</v>
      </c>
      <c r="E26" s="14">
        <f>E25+D26</f>
        <v>10000</v>
      </c>
      <c r="F26" s="14">
        <f>F25-D26</f>
        <v>440000</v>
      </c>
    </row>
    <row r="27" spans="1:6" x14ac:dyDescent="0.35">
      <c r="A27" s="13" t="s">
        <v>411</v>
      </c>
      <c r="B27" s="13">
        <v>5946</v>
      </c>
      <c r="C27" s="13" t="s">
        <v>416</v>
      </c>
      <c r="D27" s="14">
        <v>5000</v>
      </c>
      <c r="E27" s="14">
        <f>E26+D27</f>
        <v>15000</v>
      </c>
      <c r="F27" s="14">
        <f>F26-D27</f>
        <v>435000</v>
      </c>
    </row>
    <row r="28" spans="1:6" x14ac:dyDescent="0.35">
      <c r="A28" s="13" t="s">
        <v>412</v>
      </c>
      <c r="B28" s="13">
        <v>1539</v>
      </c>
      <c r="C28" s="13" t="s">
        <v>416</v>
      </c>
      <c r="D28" s="14">
        <v>5000</v>
      </c>
      <c r="E28" s="14">
        <f>E27+D28</f>
        <v>20000</v>
      </c>
      <c r="F28" s="14">
        <f>F27-D28</f>
        <v>430000</v>
      </c>
    </row>
    <row r="29" spans="1:6" x14ac:dyDescent="0.35">
      <c r="A29" s="13" t="s">
        <v>413</v>
      </c>
      <c r="B29" s="13">
        <v>1737</v>
      </c>
      <c r="C29" s="13" t="s">
        <v>416</v>
      </c>
      <c r="D29" s="14">
        <v>5000</v>
      </c>
      <c r="E29" s="14">
        <f>E28+D29</f>
        <v>25000</v>
      </c>
      <c r="F29" s="14">
        <f>F28-D29</f>
        <v>425000</v>
      </c>
    </row>
    <row r="30" spans="1:6" x14ac:dyDescent="0.35">
      <c r="A30" s="13" t="s">
        <v>408</v>
      </c>
      <c r="B30" s="13">
        <v>1958</v>
      </c>
      <c r="C30" s="13" t="s">
        <v>416</v>
      </c>
      <c r="D30" s="14">
        <v>10000</v>
      </c>
      <c r="E30" s="14">
        <f>E29+D30</f>
        <v>35000</v>
      </c>
      <c r="F30" s="14">
        <f>F29-D30</f>
        <v>415000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16" workbookViewId="0">
      <selection activeCell="I23" sqref="I23"/>
    </sheetView>
  </sheetViews>
  <sheetFormatPr defaultRowHeight="14.5" x14ac:dyDescent="0.35"/>
  <cols>
    <col min="1" max="1" width="12.81640625" customWidth="1"/>
    <col min="3" max="3" width="13" customWidth="1"/>
  </cols>
  <sheetData>
    <row r="1" spans="1:7" ht="21" x14ac:dyDescent="0.5">
      <c r="A1" s="9" t="s">
        <v>249</v>
      </c>
      <c r="B1" s="9" t="s">
        <v>255</v>
      </c>
    </row>
    <row r="2" spans="1:7" ht="21" x14ac:dyDescent="0.5">
      <c r="A2" s="9" t="s">
        <v>250</v>
      </c>
      <c r="B2" s="9" t="s">
        <v>256</v>
      </c>
    </row>
    <row r="3" spans="1:7" ht="21" x14ac:dyDescent="0.5">
      <c r="A3" s="9" t="s">
        <v>251</v>
      </c>
      <c r="B3" s="9" t="s">
        <v>257</v>
      </c>
    </row>
    <row r="4" spans="1:7" ht="21" x14ac:dyDescent="0.5">
      <c r="A4" s="9" t="s">
        <v>252</v>
      </c>
      <c r="B4" s="9" t="s">
        <v>258</v>
      </c>
    </row>
    <row r="5" spans="1:7" ht="21" x14ac:dyDescent="0.5">
      <c r="A5" s="9" t="s">
        <v>253</v>
      </c>
      <c r="B5" s="9" t="s">
        <v>259</v>
      </c>
    </row>
    <row r="6" spans="1:7" ht="21" x14ac:dyDescent="0.5">
      <c r="A6" s="9" t="s">
        <v>254</v>
      </c>
      <c r="B6" s="9">
        <v>5523</v>
      </c>
    </row>
    <row r="7" spans="1:7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7" x14ac:dyDescent="0.35">
      <c r="A8" s="30" t="s">
        <v>260</v>
      </c>
      <c r="B8" s="30">
        <v>249</v>
      </c>
      <c r="C8" s="30" t="s">
        <v>274</v>
      </c>
      <c r="D8" s="31">
        <v>10000</v>
      </c>
      <c r="E8" s="31">
        <v>10000</v>
      </c>
      <c r="F8" s="31">
        <v>590000</v>
      </c>
      <c r="G8" s="32"/>
    </row>
    <row r="9" spans="1:7" x14ac:dyDescent="0.35">
      <c r="A9" s="30" t="s">
        <v>260</v>
      </c>
      <c r="B9" s="30">
        <v>1388</v>
      </c>
      <c r="C9" s="30" t="s">
        <v>275</v>
      </c>
      <c r="D9" s="31">
        <v>240000</v>
      </c>
      <c r="E9" s="31">
        <f t="shared" ref="E9:E22" si="0">E8+D9</f>
        <v>250000</v>
      </c>
      <c r="F9" s="31">
        <f t="shared" ref="F9:F22" si="1">F8-D9</f>
        <v>350000</v>
      </c>
      <c r="G9" s="32"/>
    </row>
    <row r="10" spans="1:7" x14ac:dyDescent="0.35">
      <c r="A10" s="30" t="s">
        <v>261</v>
      </c>
      <c r="B10" s="30">
        <v>1347</v>
      </c>
      <c r="C10" s="30" t="s">
        <v>276</v>
      </c>
      <c r="D10" s="31">
        <v>10000</v>
      </c>
      <c r="E10" s="31">
        <f t="shared" si="0"/>
        <v>260000</v>
      </c>
      <c r="F10" s="31">
        <f t="shared" si="1"/>
        <v>340000</v>
      </c>
      <c r="G10" s="32"/>
    </row>
    <row r="11" spans="1:7" x14ac:dyDescent="0.35">
      <c r="A11" s="30" t="s">
        <v>262</v>
      </c>
      <c r="B11" s="30">
        <v>539</v>
      </c>
      <c r="C11" s="30" t="s">
        <v>276</v>
      </c>
      <c r="D11" s="31">
        <v>20000</v>
      </c>
      <c r="E11" s="31">
        <f t="shared" si="0"/>
        <v>280000</v>
      </c>
      <c r="F11" s="31">
        <f t="shared" si="1"/>
        <v>320000</v>
      </c>
      <c r="G11" s="32"/>
    </row>
    <row r="12" spans="1:7" x14ac:dyDescent="0.35">
      <c r="A12" s="30" t="s">
        <v>263</v>
      </c>
      <c r="B12" s="30">
        <v>2899</v>
      </c>
      <c r="C12" s="30" t="s">
        <v>276</v>
      </c>
      <c r="D12" s="31">
        <v>10000</v>
      </c>
      <c r="E12" s="31">
        <f t="shared" si="0"/>
        <v>290000</v>
      </c>
      <c r="F12" s="31">
        <f t="shared" si="1"/>
        <v>310000</v>
      </c>
      <c r="G12" s="32"/>
    </row>
    <row r="13" spans="1:7" x14ac:dyDescent="0.35">
      <c r="A13" s="30" t="s">
        <v>264</v>
      </c>
      <c r="B13" s="30">
        <v>4488</v>
      </c>
      <c r="C13" s="30" t="s">
        <v>276</v>
      </c>
      <c r="D13" s="31">
        <v>20000</v>
      </c>
      <c r="E13" s="31">
        <f t="shared" si="0"/>
        <v>310000</v>
      </c>
      <c r="F13" s="31">
        <f t="shared" si="1"/>
        <v>290000</v>
      </c>
      <c r="G13" s="32"/>
    </row>
    <row r="14" spans="1:7" x14ac:dyDescent="0.35">
      <c r="A14" s="30" t="s">
        <v>265</v>
      </c>
      <c r="B14" s="30">
        <v>5348</v>
      </c>
      <c r="C14" s="30" t="s">
        <v>276</v>
      </c>
      <c r="D14" s="31">
        <v>20000</v>
      </c>
      <c r="E14" s="31">
        <f t="shared" si="0"/>
        <v>330000</v>
      </c>
      <c r="F14" s="31">
        <f t="shared" si="1"/>
        <v>270000</v>
      </c>
      <c r="G14" s="32"/>
    </row>
    <row r="15" spans="1:7" x14ac:dyDescent="0.35">
      <c r="A15" s="30" t="s">
        <v>266</v>
      </c>
      <c r="B15" s="30">
        <v>7589</v>
      </c>
      <c r="C15" s="30" t="s">
        <v>276</v>
      </c>
      <c r="D15" s="31">
        <v>30000</v>
      </c>
      <c r="E15" s="31">
        <f t="shared" si="0"/>
        <v>360000</v>
      </c>
      <c r="F15" s="31">
        <f t="shared" si="1"/>
        <v>240000</v>
      </c>
      <c r="G15" s="32"/>
    </row>
    <row r="16" spans="1:7" x14ac:dyDescent="0.35">
      <c r="A16" s="30" t="s">
        <v>267</v>
      </c>
      <c r="B16" s="30">
        <v>12670</v>
      </c>
      <c r="C16" s="30" t="s">
        <v>276</v>
      </c>
      <c r="D16" s="31">
        <v>30000</v>
      </c>
      <c r="E16" s="31">
        <f t="shared" si="0"/>
        <v>390000</v>
      </c>
      <c r="F16" s="31">
        <f t="shared" si="1"/>
        <v>210000</v>
      </c>
      <c r="G16" s="32"/>
    </row>
    <row r="17" spans="1:7" x14ac:dyDescent="0.35">
      <c r="A17" s="30" t="s">
        <v>268</v>
      </c>
      <c r="B17" s="30">
        <v>13789</v>
      </c>
      <c r="C17" s="30" t="s">
        <v>276</v>
      </c>
      <c r="D17" s="31">
        <v>20000</v>
      </c>
      <c r="E17" s="31">
        <f t="shared" si="0"/>
        <v>410000</v>
      </c>
      <c r="F17" s="31">
        <f t="shared" si="1"/>
        <v>190000</v>
      </c>
      <c r="G17" s="32"/>
    </row>
    <row r="18" spans="1:7" x14ac:dyDescent="0.35">
      <c r="A18" s="30" t="s">
        <v>269</v>
      </c>
      <c r="B18" s="30">
        <v>13438</v>
      </c>
      <c r="C18" s="30" t="s">
        <v>276</v>
      </c>
      <c r="D18" s="31">
        <v>10000</v>
      </c>
      <c r="E18" s="31">
        <f t="shared" si="0"/>
        <v>420000</v>
      </c>
      <c r="F18" s="31">
        <f t="shared" si="1"/>
        <v>180000</v>
      </c>
      <c r="G18" s="32"/>
    </row>
    <row r="19" spans="1:7" x14ac:dyDescent="0.35">
      <c r="A19" s="30" t="s">
        <v>270</v>
      </c>
      <c r="B19" s="30">
        <v>12400</v>
      </c>
      <c r="C19" s="30" t="s">
        <v>276</v>
      </c>
      <c r="D19" s="31">
        <v>10000</v>
      </c>
      <c r="E19" s="31">
        <f t="shared" si="0"/>
        <v>430000</v>
      </c>
      <c r="F19" s="31">
        <f t="shared" si="1"/>
        <v>170000</v>
      </c>
      <c r="G19" s="32"/>
    </row>
    <row r="20" spans="1:7" x14ac:dyDescent="0.35">
      <c r="A20" s="30" t="s">
        <v>271</v>
      </c>
      <c r="B20" s="30">
        <v>12784</v>
      </c>
      <c r="C20" s="30" t="s">
        <v>276</v>
      </c>
      <c r="D20" s="31">
        <v>10000</v>
      </c>
      <c r="E20" s="31">
        <f t="shared" si="0"/>
        <v>440000</v>
      </c>
      <c r="F20" s="31">
        <f t="shared" si="1"/>
        <v>160000</v>
      </c>
      <c r="G20" s="32"/>
    </row>
    <row r="21" spans="1:7" x14ac:dyDescent="0.35">
      <c r="A21" s="30" t="s">
        <v>272</v>
      </c>
      <c r="B21" s="30">
        <v>13199</v>
      </c>
      <c r="C21" s="30" t="s">
        <v>276</v>
      </c>
      <c r="D21" s="31">
        <v>10000</v>
      </c>
      <c r="E21" s="31">
        <f t="shared" si="0"/>
        <v>450000</v>
      </c>
      <c r="F21" s="31">
        <f t="shared" si="1"/>
        <v>150000</v>
      </c>
      <c r="G21" s="32"/>
    </row>
    <row r="22" spans="1:7" ht="13" customHeight="1" x14ac:dyDescent="0.35">
      <c r="A22" s="30" t="s">
        <v>273</v>
      </c>
      <c r="B22" s="30">
        <v>13405</v>
      </c>
      <c r="C22" s="30" t="s">
        <v>276</v>
      </c>
      <c r="D22" s="31">
        <v>10000</v>
      </c>
      <c r="E22" s="31">
        <f t="shared" si="0"/>
        <v>460000</v>
      </c>
      <c r="F22" s="31">
        <f t="shared" si="1"/>
        <v>140000</v>
      </c>
      <c r="G22" s="32"/>
    </row>
    <row r="23" spans="1:7" x14ac:dyDescent="0.35">
      <c r="A23" s="30" t="s">
        <v>442</v>
      </c>
      <c r="B23" s="30">
        <v>13622</v>
      </c>
      <c r="C23" s="30" t="s">
        <v>276</v>
      </c>
      <c r="D23" s="31">
        <v>10000</v>
      </c>
      <c r="E23" s="31">
        <v>470000</v>
      </c>
      <c r="F23" s="31">
        <v>130000</v>
      </c>
      <c r="G23" s="32"/>
    </row>
    <row r="24" spans="1:7" x14ac:dyDescent="0.35">
      <c r="A24" s="33" t="s">
        <v>440</v>
      </c>
      <c r="B24" s="33">
        <v>1503</v>
      </c>
      <c r="C24" s="33" t="s">
        <v>276</v>
      </c>
      <c r="D24" s="34">
        <v>10000</v>
      </c>
      <c r="E24" s="34">
        <v>480000</v>
      </c>
      <c r="F24" s="34">
        <v>120000</v>
      </c>
      <c r="G24" s="32"/>
    </row>
    <row r="25" spans="1:7" x14ac:dyDescent="0.35">
      <c r="A25" s="35">
        <v>46303</v>
      </c>
      <c r="B25" s="33">
        <v>1727</v>
      </c>
      <c r="C25" s="33" t="s">
        <v>276</v>
      </c>
      <c r="D25" s="34">
        <v>10000</v>
      </c>
      <c r="E25" s="34">
        <v>490000</v>
      </c>
      <c r="F25" s="34">
        <v>110000</v>
      </c>
      <c r="G25" s="32"/>
    </row>
    <row r="26" spans="1:7" x14ac:dyDescent="0.35">
      <c r="A26" s="33" t="s">
        <v>443</v>
      </c>
      <c r="B26" s="33">
        <v>2002</v>
      </c>
      <c r="C26" s="33" t="s">
        <v>276</v>
      </c>
      <c r="D26" s="34">
        <v>10000</v>
      </c>
      <c r="E26" s="34">
        <v>500000</v>
      </c>
      <c r="F26" s="34">
        <v>100000</v>
      </c>
      <c r="G26" s="32"/>
    </row>
    <row r="27" spans="1:7" x14ac:dyDescent="0.35">
      <c r="A27" s="32"/>
      <c r="B27" s="32"/>
      <c r="C27" s="32"/>
      <c r="D27" s="32"/>
      <c r="E27" s="32"/>
      <c r="F27" s="32"/>
      <c r="G27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21" workbookViewId="0">
      <selection activeCell="F33" sqref="F33"/>
    </sheetView>
  </sheetViews>
  <sheetFormatPr defaultRowHeight="14.5" x14ac:dyDescent="0.35"/>
  <cols>
    <col min="1" max="1" width="10.36328125" customWidth="1"/>
    <col min="3" max="3" width="11" customWidth="1"/>
    <col min="6" max="6" width="11.453125" customWidth="1"/>
  </cols>
  <sheetData>
    <row r="1" spans="1:6" ht="18.5" x14ac:dyDescent="0.45">
      <c r="A1" s="1" t="s">
        <v>203</v>
      </c>
      <c r="B1" s="1"/>
      <c r="C1" s="2"/>
      <c r="D1" s="1"/>
      <c r="E1" s="1"/>
      <c r="F1" s="1"/>
    </row>
    <row r="2" spans="1:6" ht="18.5" x14ac:dyDescent="0.45">
      <c r="A2" s="1" t="s">
        <v>204</v>
      </c>
      <c r="B2" s="16"/>
      <c r="C2" s="1"/>
      <c r="D2" s="1"/>
      <c r="E2" s="1"/>
      <c r="F2" s="1"/>
    </row>
    <row r="3" spans="1:6" ht="18.5" x14ac:dyDescent="0.45">
      <c r="A3" s="1" t="s">
        <v>205</v>
      </c>
      <c r="B3" s="1"/>
      <c r="C3" s="1"/>
      <c r="D3" s="1"/>
      <c r="E3" s="1"/>
      <c r="F3" s="1"/>
    </row>
    <row r="4" spans="1:6" ht="18.5" x14ac:dyDescent="0.45">
      <c r="A4" s="1" t="s">
        <v>208</v>
      </c>
      <c r="B4" s="1"/>
      <c r="C4" s="1"/>
      <c r="D4" s="1"/>
      <c r="E4" s="1"/>
      <c r="F4" s="1"/>
    </row>
    <row r="5" spans="1:6" ht="18.5" x14ac:dyDescent="0.45">
      <c r="A5" s="1" t="s">
        <v>206</v>
      </c>
      <c r="B5" s="1"/>
      <c r="C5" s="1"/>
      <c r="D5" s="1"/>
      <c r="E5" s="1"/>
      <c r="F5" s="16"/>
    </row>
    <row r="6" spans="1:6" ht="18.5" x14ac:dyDescent="0.45">
      <c r="A6" s="1" t="s">
        <v>207</v>
      </c>
      <c r="B6" s="1"/>
      <c r="C6" s="1"/>
      <c r="D6" s="1" t="s">
        <v>147</v>
      </c>
      <c r="E6" s="1"/>
      <c r="F6" s="1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6">
        <v>44961</v>
      </c>
      <c r="B8" s="5">
        <v>1765</v>
      </c>
      <c r="C8" s="5" t="s">
        <v>11</v>
      </c>
      <c r="D8" s="7">
        <v>110000</v>
      </c>
      <c r="E8" s="7">
        <v>110000</v>
      </c>
      <c r="F8" s="7">
        <v>490000</v>
      </c>
    </row>
    <row r="9" spans="1:6" x14ac:dyDescent="0.35">
      <c r="A9" s="5" t="s">
        <v>209</v>
      </c>
      <c r="B9" s="5">
        <v>258</v>
      </c>
      <c r="C9" s="5" t="s">
        <v>12</v>
      </c>
      <c r="D9" s="7">
        <v>10000</v>
      </c>
      <c r="E9" s="7">
        <f>E8+D9</f>
        <v>120000</v>
      </c>
      <c r="F9" s="7">
        <f>F8-D9</f>
        <v>480000</v>
      </c>
    </row>
    <row r="10" spans="1:6" x14ac:dyDescent="0.35">
      <c r="A10" s="5" t="s">
        <v>210</v>
      </c>
      <c r="B10" s="5">
        <v>1324</v>
      </c>
      <c r="C10" s="5" t="s">
        <v>121</v>
      </c>
      <c r="D10" s="7">
        <v>10000</v>
      </c>
      <c r="E10" s="7">
        <f t="shared" ref="E10:E28" si="0">E9+D10</f>
        <v>130000</v>
      </c>
      <c r="F10" s="7">
        <f t="shared" ref="F10:F28" si="1">F9-D10</f>
        <v>470000</v>
      </c>
    </row>
    <row r="11" spans="1:6" x14ac:dyDescent="0.35">
      <c r="A11" s="5" t="s">
        <v>211</v>
      </c>
      <c r="B11" s="5">
        <v>987</v>
      </c>
      <c r="C11" s="5" t="s">
        <v>121</v>
      </c>
      <c r="D11" s="7">
        <v>10000</v>
      </c>
      <c r="E11" s="7">
        <f t="shared" si="0"/>
        <v>140000</v>
      </c>
      <c r="F11" s="7">
        <f t="shared" si="1"/>
        <v>460000</v>
      </c>
    </row>
    <row r="12" spans="1:6" x14ac:dyDescent="0.35">
      <c r="A12" s="5" t="s">
        <v>212</v>
      </c>
      <c r="B12" s="5">
        <v>895</v>
      </c>
      <c r="C12" s="5" t="s">
        <v>121</v>
      </c>
      <c r="D12" s="7">
        <v>10000</v>
      </c>
      <c r="E12" s="7">
        <f t="shared" si="0"/>
        <v>150000</v>
      </c>
      <c r="F12" s="7">
        <f t="shared" si="1"/>
        <v>450000</v>
      </c>
    </row>
    <row r="13" spans="1:6" x14ac:dyDescent="0.35">
      <c r="A13" s="5" t="s">
        <v>213</v>
      </c>
      <c r="B13" s="5">
        <v>3031</v>
      </c>
      <c r="C13" s="5" t="s">
        <v>121</v>
      </c>
      <c r="D13" s="7">
        <v>20000</v>
      </c>
      <c r="E13" s="7">
        <f t="shared" si="0"/>
        <v>170000</v>
      </c>
      <c r="F13" s="7">
        <f t="shared" si="1"/>
        <v>430000</v>
      </c>
    </row>
    <row r="14" spans="1:6" x14ac:dyDescent="0.35">
      <c r="A14" s="5" t="s">
        <v>214</v>
      </c>
      <c r="B14" s="5">
        <v>4245</v>
      </c>
      <c r="C14" s="5" t="s">
        <v>121</v>
      </c>
      <c r="D14" s="7">
        <v>20000</v>
      </c>
      <c r="E14" s="7">
        <f t="shared" si="0"/>
        <v>190000</v>
      </c>
      <c r="F14" s="7">
        <f t="shared" si="1"/>
        <v>410000</v>
      </c>
    </row>
    <row r="15" spans="1:6" x14ac:dyDescent="0.35">
      <c r="A15" s="6">
        <v>44938</v>
      </c>
      <c r="B15" s="5">
        <v>5226</v>
      </c>
      <c r="C15" s="5" t="s">
        <v>121</v>
      </c>
      <c r="D15" s="7">
        <v>10000</v>
      </c>
      <c r="E15" s="7">
        <f t="shared" si="0"/>
        <v>200000</v>
      </c>
      <c r="F15" s="7">
        <f t="shared" si="1"/>
        <v>400000</v>
      </c>
    </row>
    <row r="16" spans="1:6" x14ac:dyDescent="0.35">
      <c r="A16" s="5" t="s">
        <v>215</v>
      </c>
      <c r="B16" s="5">
        <v>5844</v>
      </c>
      <c r="C16" s="5" t="s">
        <v>121</v>
      </c>
      <c r="D16" s="7">
        <v>10000</v>
      </c>
      <c r="E16" s="7">
        <f t="shared" si="0"/>
        <v>210000</v>
      </c>
      <c r="F16" s="7">
        <f t="shared" si="1"/>
        <v>390000</v>
      </c>
    </row>
    <row r="17" spans="1:6" x14ac:dyDescent="0.35">
      <c r="A17" s="6">
        <v>45324</v>
      </c>
      <c r="B17" s="5">
        <v>6500</v>
      </c>
      <c r="C17" s="5" t="s">
        <v>121</v>
      </c>
      <c r="D17" s="7">
        <v>10000</v>
      </c>
      <c r="E17" s="7">
        <f t="shared" si="0"/>
        <v>220000</v>
      </c>
      <c r="F17" s="7">
        <f t="shared" si="1"/>
        <v>380000</v>
      </c>
    </row>
    <row r="18" spans="1:6" x14ac:dyDescent="0.35">
      <c r="A18" s="5" t="s">
        <v>216</v>
      </c>
      <c r="B18" s="5">
        <v>8564</v>
      </c>
      <c r="C18" s="5" t="s">
        <v>121</v>
      </c>
      <c r="D18" s="7">
        <v>30000</v>
      </c>
      <c r="E18" s="7">
        <f t="shared" si="0"/>
        <v>250000</v>
      </c>
      <c r="F18" s="7">
        <f t="shared" si="1"/>
        <v>350000</v>
      </c>
    </row>
    <row r="19" spans="1:6" x14ac:dyDescent="0.35">
      <c r="A19" s="6">
        <v>45479</v>
      </c>
      <c r="B19" s="5">
        <v>8882</v>
      </c>
      <c r="C19" s="5" t="s">
        <v>121</v>
      </c>
      <c r="D19" s="7">
        <v>20000</v>
      </c>
      <c r="E19" s="7">
        <f t="shared" si="0"/>
        <v>270000</v>
      </c>
      <c r="F19" s="7">
        <f t="shared" si="1"/>
        <v>330000</v>
      </c>
    </row>
    <row r="20" spans="1:6" x14ac:dyDescent="0.35">
      <c r="A20" s="6">
        <v>45329</v>
      </c>
      <c r="B20" s="5">
        <v>9351</v>
      </c>
      <c r="C20" s="5" t="s">
        <v>121</v>
      </c>
      <c r="D20" s="7">
        <v>10000</v>
      </c>
      <c r="E20" s="7">
        <f t="shared" si="0"/>
        <v>280000</v>
      </c>
      <c r="F20" s="7">
        <f t="shared" si="1"/>
        <v>320000</v>
      </c>
    </row>
    <row r="21" spans="1:6" x14ac:dyDescent="0.35">
      <c r="A21" s="6">
        <v>45302</v>
      </c>
      <c r="B21" s="5">
        <v>11554</v>
      </c>
      <c r="C21" s="5" t="s">
        <v>121</v>
      </c>
      <c r="D21" s="7">
        <v>30000</v>
      </c>
      <c r="E21" s="7">
        <f t="shared" si="0"/>
        <v>310000</v>
      </c>
      <c r="F21" s="7">
        <f t="shared" si="1"/>
        <v>290000</v>
      </c>
    </row>
    <row r="22" spans="1:6" x14ac:dyDescent="0.35">
      <c r="A22" s="6">
        <v>45718</v>
      </c>
      <c r="B22" s="5">
        <v>9212</v>
      </c>
      <c r="C22" s="5" t="s">
        <v>121</v>
      </c>
      <c r="D22" s="7">
        <v>40000</v>
      </c>
      <c r="E22" s="7">
        <f t="shared" si="0"/>
        <v>350000</v>
      </c>
      <c r="F22" s="7">
        <f t="shared" si="1"/>
        <v>250000</v>
      </c>
    </row>
    <row r="23" spans="1:6" x14ac:dyDescent="0.35">
      <c r="A23" s="5" t="s">
        <v>73</v>
      </c>
      <c r="B23" s="5">
        <v>10210</v>
      </c>
      <c r="C23" s="5" t="s">
        <v>121</v>
      </c>
      <c r="D23" s="7">
        <v>20000</v>
      </c>
      <c r="E23" s="7">
        <f t="shared" si="0"/>
        <v>370000</v>
      </c>
      <c r="F23" s="7">
        <f t="shared" si="1"/>
        <v>230000</v>
      </c>
    </row>
    <row r="24" spans="1:6" x14ac:dyDescent="0.35">
      <c r="A24" s="6">
        <v>45723</v>
      </c>
      <c r="B24" s="5">
        <v>12047</v>
      </c>
      <c r="C24" s="5" t="s">
        <v>121</v>
      </c>
      <c r="D24" s="7">
        <v>30000</v>
      </c>
      <c r="E24" s="7">
        <f t="shared" si="0"/>
        <v>400000</v>
      </c>
      <c r="F24" s="7">
        <f t="shared" si="1"/>
        <v>200000</v>
      </c>
    </row>
    <row r="25" spans="1:6" x14ac:dyDescent="0.35">
      <c r="A25" s="6">
        <v>45697</v>
      </c>
      <c r="B25" s="5">
        <v>12611</v>
      </c>
      <c r="C25" s="5" t="s">
        <v>121</v>
      </c>
      <c r="D25" s="7">
        <v>20000</v>
      </c>
      <c r="E25" s="7">
        <f t="shared" si="0"/>
        <v>420000</v>
      </c>
      <c r="F25" s="7">
        <f t="shared" si="1"/>
        <v>180000</v>
      </c>
    </row>
    <row r="26" spans="1:6" x14ac:dyDescent="0.35">
      <c r="A26" s="6">
        <v>46023</v>
      </c>
      <c r="B26" s="5">
        <v>13866</v>
      </c>
      <c r="C26" s="5" t="s">
        <v>121</v>
      </c>
      <c r="D26" s="7">
        <v>30000</v>
      </c>
      <c r="E26" s="7">
        <f t="shared" si="0"/>
        <v>450000</v>
      </c>
      <c r="F26" s="7">
        <f t="shared" si="1"/>
        <v>150000</v>
      </c>
    </row>
    <row r="27" spans="1:6" x14ac:dyDescent="0.35">
      <c r="A27" s="6">
        <v>46176</v>
      </c>
      <c r="B27" s="5">
        <v>12754</v>
      </c>
      <c r="C27" s="5" t="s">
        <v>121</v>
      </c>
      <c r="D27" s="7">
        <v>30000</v>
      </c>
      <c r="E27" s="7">
        <f t="shared" si="0"/>
        <v>480000</v>
      </c>
      <c r="F27" s="7">
        <f t="shared" si="1"/>
        <v>120000</v>
      </c>
    </row>
    <row r="28" spans="1:6" x14ac:dyDescent="0.35">
      <c r="A28" s="6">
        <v>46300</v>
      </c>
      <c r="B28" s="5">
        <v>12992</v>
      </c>
      <c r="C28" s="5" t="s">
        <v>121</v>
      </c>
      <c r="D28" s="7">
        <v>10000</v>
      </c>
      <c r="E28" s="7">
        <f t="shared" si="0"/>
        <v>490000</v>
      </c>
      <c r="F28" s="7">
        <f t="shared" si="1"/>
        <v>110000</v>
      </c>
    </row>
    <row r="29" spans="1:6" x14ac:dyDescent="0.35">
      <c r="A29" s="5" t="s">
        <v>440</v>
      </c>
      <c r="B29" s="5">
        <v>1501</v>
      </c>
      <c r="C29" s="5" t="s">
        <v>121</v>
      </c>
      <c r="D29" s="7">
        <v>20000</v>
      </c>
      <c r="E29" s="7">
        <f>E28+D29</f>
        <v>510000</v>
      </c>
      <c r="F29" s="7">
        <f>F28-D29</f>
        <v>90000</v>
      </c>
    </row>
    <row r="30" spans="1:6" x14ac:dyDescent="0.35">
      <c r="A30" s="6">
        <v>46121</v>
      </c>
      <c r="B30" s="5">
        <v>1894</v>
      </c>
      <c r="C30" s="5" t="s">
        <v>121</v>
      </c>
      <c r="D30" s="7">
        <v>20000</v>
      </c>
      <c r="E30" s="7">
        <f>E29+D30</f>
        <v>530000</v>
      </c>
      <c r="F30" s="7">
        <f>F29-D30</f>
        <v>70000</v>
      </c>
    </row>
    <row r="33" spans="6:6" x14ac:dyDescent="0.35">
      <c r="F33" t="s">
        <v>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opLeftCell="A38" workbookViewId="0">
      <selection activeCell="B60" sqref="B60"/>
    </sheetView>
  </sheetViews>
  <sheetFormatPr defaultRowHeight="14.5" x14ac:dyDescent="0.35"/>
  <cols>
    <col min="1" max="1" width="14.36328125" style="32" customWidth="1"/>
    <col min="2" max="2" width="14.6328125" style="32" customWidth="1"/>
    <col min="3" max="3" width="14.7265625" style="32" customWidth="1"/>
    <col min="4" max="4" width="14.26953125" style="32" customWidth="1"/>
    <col min="5" max="5" width="10.6328125" style="32" customWidth="1"/>
    <col min="6" max="6" width="12.54296875" style="32" customWidth="1"/>
    <col min="7" max="16384" width="8.7265625" style="32"/>
  </cols>
  <sheetData>
    <row r="1" spans="1:6" ht="18.5" x14ac:dyDescent="0.45">
      <c r="A1" s="36" t="s">
        <v>174</v>
      </c>
      <c r="B1" s="36"/>
      <c r="C1" s="37"/>
      <c r="D1" s="36"/>
      <c r="E1" s="36"/>
      <c r="F1" s="36"/>
    </row>
    <row r="2" spans="1:6" ht="18.5" x14ac:dyDescent="0.45">
      <c r="A2" s="36" t="s">
        <v>175</v>
      </c>
      <c r="B2" s="38"/>
      <c r="C2" s="36"/>
      <c r="D2" s="36"/>
      <c r="E2" s="36"/>
      <c r="F2" s="36"/>
    </row>
    <row r="3" spans="1:6" ht="18.5" x14ac:dyDescent="0.45">
      <c r="A3" s="36" t="s">
        <v>176</v>
      </c>
      <c r="B3" s="36"/>
      <c r="C3" s="36"/>
      <c r="D3" s="36"/>
      <c r="E3" s="36"/>
      <c r="F3" s="36"/>
    </row>
    <row r="4" spans="1:6" ht="18.5" x14ac:dyDescent="0.45">
      <c r="A4" s="36" t="s">
        <v>180</v>
      </c>
      <c r="B4" s="36"/>
      <c r="C4" s="36"/>
      <c r="D4" s="36"/>
      <c r="E4" s="36"/>
      <c r="F4" s="36"/>
    </row>
    <row r="5" spans="1:6" ht="18.5" x14ac:dyDescent="0.45">
      <c r="A5" s="36" t="s">
        <v>177</v>
      </c>
      <c r="B5" s="36"/>
      <c r="C5" s="36"/>
      <c r="D5" s="36"/>
      <c r="E5" s="36"/>
      <c r="F5" s="38"/>
    </row>
    <row r="6" spans="1:6" ht="18.5" x14ac:dyDescent="0.45">
      <c r="A6" s="36" t="s">
        <v>178</v>
      </c>
      <c r="B6" s="36"/>
      <c r="C6" s="36"/>
      <c r="D6" s="36" t="s">
        <v>179</v>
      </c>
      <c r="E6" s="36"/>
      <c r="F6" s="36"/>
    </row>
    <row r="7" spans="1:6" x14ac:dyDescent="0.35">
      <c r="A7" s="39" t="s">
        <v>3</v>
      </c>
      <c r="B7" s="39" t="s">
        <v>4</v>
      </c>
      <c r="C7" s="39" t="s">
        <v>5</v>
      </c>
      <c r="D7" s="39" t="s">
        <v>6</v>
      </c>
      <c r="E7" s="39" t="s">
        <v>7</v>
      </c>
      <c r="F7" s="39" t="s">
        <v>8</v>
      </c>
    </row>
    <row r="8" spans="1:6" x14ac:dyDescent="0.35">
      <c r="A8" s="32" t="s">
        <v>181</v>
      </c>
      <c r="B8" s="32">
        <v>484</v>
      </c>
      <c r="C8" s="32" t="s">
        <v>186</v>
      </c>
      <c r="D8" s="34">
        <v>10000</v>
      </c>
      <c r="E8" s="34">
        <v>10000</v>
      </c>
      <c r="F8" s="34">
        <v>240000</v>
      </c>
    </row>
    <row r="9" spans="1:6" x14ac:dyDescent="0.35">
      <c r="A9" s="40">
        <v>44630</v>
      </c>
      <c r="B9" s="32">
        <v>1506</v>
      </c>
      <c r="C9" s="32" t="s">
        <v>186</v>
      </c>
      <c r="D9" s="34">
        <v>10000</v>
      </c>
      <c r="E9" s="34">
        <f>SUM(E8+D9)</f>
        <v>20000</v>
      </c>
      <c r="F9" s="34">
        <f>F8-D9</f>
        <v>230000</v>
      </c>
    </row>
    <row r="10" spans="1:6" x14ac:dyDescent="0.35">
      <c r="A10" s="32" t="s">
        <v>182</v>
      </c>
      <c r="B10" s="32">
        <v>1393</v>
      </c>
      <c r="C10" s="32" t="s">
        <v>187</v>
      </c>
      <c r="D10" s="34">
        <v>30000</v>
      </c>
      <c r="E10" s="34">
        <f t="shared" ref="E10:E29" si="0">SUM(E9+D10)</f>
        <v>50000</v>
      </c>
      <c r="F10" s="34">
        <f t="shared" ref="F10:F29" si="1">F9-D10</f>
        <v>200000</v>
      </c>
    </row>
    <row r="11" spans="1:6" x14ac:dyDescent="0.35">
      <c r="A11" s="32" t="s">
        <v>183</v>
      </c>
      <c r="B11" s="32">
        <v>1188</v>
      </c>
      <c r="C11" s="32" t="s">
        <v>186</v>
      </c>
      <c r="D11" s="34">
        <v>10000</v>
      </c>
      <c r="E11" s="34">
        <f t="shared" si="0"/>
        <v>60000</v>
      </c>
      <c r="F11" s="34">
        <f t="shared" si="1"/>
        <v>190000</v>
      </c>
    </row>
    <row r="12" spans="1:6" x14ac:dyDescent="0.35">
      <c r="A12" s="32" t="s">
        <v>184</v>
      </c>
      <c r="B12" s="32">
        <v>199</v>
      </c>
      <c r="C12" s="32" t="s">
        <v>186</v>
      </c>
      <c r="D12" s="34">
        <v>10000</v>
      </c>
      <c r="E12" s="34">
        <f t="shared" si="0"/>
        <v>70000</v>
      </c>
      <c r="F12" s="34">
        <f t="shared" si="1"/>
        <v>180000</v>
      </c>
    </row>
    <row r="13" spans="1:6" x14ac:dyDescent="0.35">
      <c r="A13" s="32" t="s">
        <v>185</v>
      </c>
      <c r="B13" s="32">
        <v>2011</v>
      </c>
      <c r="C13" s="32" t="s">
        <v>186</v>
      </c>
      <c r="D13" s="34">
        <v>10000</v>
      </c>
      <c r="E13" s="34">
        <f t="shared" si="0"/>
        <v>80000</v>
      </c>
      <c r="F13" s="34">
        <f t="shared" si="1"/>
        <v>170000</v>
      </c>
    </row>
    <row r="14" spans="1:6" x14ac:dyDescent="0.35">
      <c r="A14" s="40">
        <v>44934</v>
      </c>
      <c r="B14" s="32">
        <v>2580</v>
      </c>
      <c r="C14" s="32" t="s">
        <v>186</v>
      </c>
      <c r="D14" s="34">
        <v>10000</v>
      </c>
      <c r="E14" s="34">
        <f t="shared" si="0"/>
        <v>90000</v>
      </c>
      <c r="F14" s="34">
        <f t="shared" si="1"/>
        <v>160000</v>
      </c>
    </row>
    <row r="15" spans="1:6" x14ac:dyDescent="0.35">
      <c r="A15" s="40">
        <v>44994</v>
      </c>
      <c r="B15" s="32">
        <v>3367</v>
      </c>
      <c r="C15" s="32" t="s">
        <v>186</v>
      </c>
      <c r="D15" s="34">
        <v>10000</v>
      </c>
      <c r="E15" s="34">
        <f t="shared" si="0"/>
        <v>100000</v>
      </c>
      <c r="F15" s="34">
        <f t="shared" si="1"/>
        <v>150000</v>
      </c>
    </row>
    <row r="16" spans="1:6" x14ac:dyDescent="0.35">
      <c r="A16" s="40">
        <v>45148</v>
      </c>
      <c r="B16" s="32">
        <v>4104</v>
      </c>
      <c r="C16" s="32" t="s">
        <v>186</v>
      </c>
      <c r="D16" s="34">
        <v>10000</v>
      </c>
      <c r="E16" s="34">
        <f t="shared" si="0"/>
        <v>110000</v>
      </c>
      <c r="F16" s="34">
        <f t="shared" si="1"/>
        <v>140000</v>
      </c>
    </row>
    <row r="17" spans="1:6" x14ac:dyDescent="0.35">
      <c r="A17" s="40">
        <v>45057</v>
      </c>
      <c r="B17" s="32">
        <v>4655</v>
      </c>
      <c r="C17" s="32" t="s">
        <v>186</v>
      </c>
      <c r="D17" s="34">
        <v>10000</v>
      </c>
      <c r="E17" s="34">
        <f t="shared" si="0"/>
        <v>120000</v>
      </c>
      <c r="F17" s="34">
        <f t="shared" si="1"/>
        <v>130000</v>
      </c>
    </row>
    <row r="18" spans="1:6" x14ac:dyDescent="0.35">
      <c r="A18" s="40">
        <v>44997</v>
      </c>
      <c r="B18" s="32">
        <v>5260</v>
      </c>
      <c r="C18" s="32" t="s">
        <v>186</v>
      </c>
      <c r="D18" s="34">
        <v>10000</v>
      </c>
      <c r="E18" s="34">
        <f t="shared" si="0"/>
        <v>130000</v>
      </c>
      <c r="F18" s="34">
        <f t="shared" si="1"/>
        <v>120000</v>
      </c>
    </row>
    <row r="19" spans="1:6" x14ac:dyDescent="0.35">
      <c r="A19" s="40">
        <v>45474</v>
      </c>
      <c r="B19" s="32">
        <v>5984</v>
      </c>
      <c r="C19" s="32" t="s">
        <v>186</v>
      </c>
      <c r="D19" s="34">
        <v>10000</v>
      </c>
      <c r="E19" s="34">
        <f t="shared" si="0"/>
        <v>140000</v>
      </c>
      <c r="F19" s="34">
        <f t="shared" si="1"/>
        <v>110000</v>
      </c>
    </row>
    <row r="20" spans="1:6" x14ac:dyDescent="0.35">
      <c r="A20" s="40">
        <v>45384</v>
      </c>
      <c r="B20" s="32">
        <v>6526</v>
      </c>
      <c r="C20" s="32" t="s">
        <v>186</v>
      </c>
      <c r="D20" s="34">
        <v>10000</v>
      </c>
      <c r="E20" s="34">
        <f t="shared" si="0"/>
        <v>150000</v>
      </c>
      <c r="F20" s="34">
        <f t="shared" si="1"/>
        <v>100000</v>
      </c>
    </row>
    <row r="21" spans="1:6" x14ac:dyDescent="0.35">
      <c r="A21" s="40">
        <v>45568</v>
      </c>
      <c r="B21" s="32">
        <v>6989</v>
      </c>
      <c r="C21" s="32" t="s">
        <v>186</v>
      </c>
      <c r="D21" s="34">
        <v>10000</v>
      </c>
      <c r="E21" s="34">
        <f t="shared" si="0"/>
        <v>160000</v>
      </c>
      <c r="F21" s="34">
        <f t="shared" si="1"/>
        <v>90000</v>
      </c>
    </row>
    <row r="22" spans="1:6" x14ac:dyDescent="0.35">
      <c r="A22" s="32" t="s">
        <v>188</v>
      </c>
      <c r="B22" s="32">
        <v>726</v>
      </c>
      <c r="C22" s="32" t="s">
        <v>186</v>
      </c>
      <c r="D22" s="34">
        <v>10000</v>
      </c>
      <c r="E22" s="34">
        <f t="shared" si="0"/>
        <v>170000</v>
      </c>
      <c r="F22" s="34">
        <f t="shared" si="1"/>
        <v>80000</v>
      </c>
    </row>
    <row r="23" spans="1:6" x14ac:dyDescent="0.35">
      <c r="A23" s="40">
        <v>45631</v>
      </c>
      <c r="B23" s="32">
        <v>8431</v>
      </c>
      <c r="C23" s="32" t="s">
        <v>186</v>
      </c>
      <c r="D23" s="34">
        <v>10000</v>
      </c>
      <c r="E23" s="34">
        <f t="shared" si="0"/>
        <v>180000</v>
      </c>
      <c r="F23" s="34">
        <f t="shared" si="1"/>
        <v>70000</v>
      </c>
    </row>
    <row r="24" spans="1:6" x14ac:dyDescent="0.35">
      <c r="A24" s="40">
        <v>45541</v>
      </c>
      <c r="B24" s="32">
        <v>8925</v>
      </c>
      <c r="C24" s="32" t="s">
        <v>186</v>
      </c>
      <c r="D24" s="34">
        <v>10000</v>
      </c>
      <c r="E24" s="34">
        <f t="shared" si="0"/>
        <v>190000</v>
      </c>
      <c r="F24" s="34">
        <f t="shared" si="1"/>
        <v>60000</v>
      </c>
    </row>
    <row r="25" spans="1:6" x14ac:dyDescent="0.35">
      <c r="A25" s="32" t="s">
        <v>189</v>
      </c>
      <c r="B25" s="32">
        <v>9585</v>
      </c>
      <c r="C25" s="32" t="s">
        <v>186</v>
      </c>
      <c r="D25" s="34">
        <v>10000</v>
      </c>
      <c r="E25" s="34">
        <f t="shared" si="0"/>
        <v>200000</v>
      </c>
      <c r="F25" s="34">
        <f t="shared" si="1"/>
        <v>50000</v>
      </c>
    </row>
    <row r="26" spans="1:6" x14ac:dyDescent="0.35">
      <c r="A26" s="32" t="s">
        <v>190</v>
      </c>
      <c r="B26" s="32">
        <v>10410</v>
      </c>
      <c r="C26" s="32" t="s">
        <v>186</v>
      </c>
      <c r="D26" s="34">
        <v>10000</v>
      </c>
      <c r="E26" s="34">
        <f t="shared" si="0"/>
        <v>210000</v>
      </c>
      <c r="F26" s="34">
        <f t="shared" si="1"/>
        <v>40000</v>
      </c>
    </row>
    <row r="27" spans="1:6" x14ac:dyDescent="0.35">
      <c r="A27" s="32" t="s">
        <v>191</v>
      </c>
      <c r="B27" s="32">
        <v>10874</v>
      </c>
      <c r="C27" s="32" t="s">
        <v>186</v>
      </c>
      <c r="D27" s="34">
        <v>10000</v>
      </c>
      <c r="E27" s="34">
        <f t="shared" si="0"/>
        <v>220000</v>
      </c>
      <c r="F27" s="34">
        <f t="shared" si="1"/>
        <v>30000</v>
      </c>
    </row>
    <row r="28" spans="1:6" x14ac:dyDescent="0.35">
      <c r="A28" s="32" t="s">
        <v>192</v>
      </c>
      <c r="B28" s="32">
        <v>10388</v>
      </c>
      <c r="C28" s="32" t="s">
        <v>186</v>
      </c>
      <c r="D28" s="34">
        <v>10000</v>
      </c>
      <c r="E28" s="34">
        <f t="shared" si="0"/>
        <v>230000</v>
      </c>
      <c r="F28" s="34">
        <f t="shared" si="1"/>
        <v>20000</v>
      </c>
    </row>
    <row r="29" spans="1:6" x14ac:dyDescent="0.35">
      <c r="A29" s="32" t="s">
        <v>193</v>
      </c>
      <c r="B29" s="32">
        <v>12436</v>
      </c>
      <c r="C29" s="32" t="s">
        <v>186</v>
      </c>
      <c r="D29" s="34">
        <v>10000</v>
      </c>
      <c r="E29" s="34">
        <f t="shared" si="0"/>
        <v>240000</v>
      </c>
      <c r="F29" s="34">
        <f t="shared" si="1"/>
        <v>10000</v>
      </c>
    </row>
    <row r="32" spans="1:6" ht="15" thickBot="1" x14ac:dyDescent="0.4"/>
    <row r="33" spans="1:6" ht="15" thickBot="1" x14ac:dyDescent="0.4">
      <c r="A33" s="41" t="s">
        <v>3</v>
      </c>
      <c r="B33" s="41" t="s">
        <v>4</v>
      </c>
      <c r="C33" s="41" t="s">
        <v>5</v>
      </c>
      <c r="D33" s="41" t="s">
        <v>6</v>
      </c>
      <c r="E33" s="41" t="s">
        <v>7</v>
      </c>
      <c r="F33" s="41" t="s">
        <v>8</v>
      </c>
    </row>
    <row r="34" spans="1:6" ht="15" thickBot="1" x14ac:dyDescent="0.4">
      <c r="A34" s="41" t="s">
        <v>444</v>
      </c>
      <c r="B34" s="42">
        <v>87</v>
      </c>
      <c r="C34" s="42" t="s">
        <v>121</v>
      </c>
      <c r="D34" s="43">
        <v>10000</v>
      </c>
      <c r="E34" s="43">
        <v>10000</v>
      </c>
      <c r="F34" s="43">
        <v>440000</v>
      </c>
    </row>
    <row r="35" spans="1:6" ht="15" thickBot="1" x14ac:dyDescent="0.4">
      <c r="A35" s="41" t="s">
        <v>445</v>
      </c>
      <c r="B35" s="42">
        <v>141</v>
      </c>
      <c r="C35" s="42" t="s">
        <v>121</v>
      </c>
      <c r="D35" s="43">
        <v>10000</v>
      </c>
      <c r="E35" s="43">
        <v>20000</v>
      </c>
      <c r="F35" s="43">
        <v>430000</v>
      </c>
    </row>
    <row r="36" spans="1:6" ht="15" thickBot="1" x14ac:dyDescent="0.4">
      <c r="A36" s="44">
        <v>45477</v>
      </c>
      <c r="B36" s="42">
        <v>214</v>
      </c>
      <c r="C36" s="42" t="s">
        <v>121</v>
      </c>
      <c r="D36" s="43">
        <v>10000</v>
      </c>
      <c r="E36" s="43">
        <v>30000</v>
      </c>
      <c r="F36" s="43">
        <v>420000</v>
      </c>
    </row>
    <row r="37" spans="1:6" ht="15" thickBot="1" x14ac:dyDescent="0.4">
      <c r="A37" s="44">
        <v>45631</v>
      </c>
      <c r="B37" s="42">
        <v>288</v>
      </c>
      <c r="C37" s="42" t="s">
        <v>121</v>
      </c>
      <c r="D37" s="43">
        <v>10000</v>
      </c>
      <c r="E37" s="43">
        <v>40000</v>
      </c>
      <c r="F37" s="43">
        <v>410000</v>
      </c>
    </row>
    <row r="38" spans="1:6" ht="15" thickBot="1" x14ac:dyDescent="0.4">
      <c r="A38" s="41" t="s">
        <v>446</v>
      </c>
      <c r="B38" s="42">
        <v>77</v>
      </c>
      <c r="C38" s="42" t="s">
        <v>121</v>
      </c>
      <c r="D38" s="43">
        <v>10000</v>
      </c>
      <c r="E38" s="43">
        <v>50000</v>
      </c>
      <c r="F38" s="43">
        <v>400000</v>
      </c>
    </row>
    <row r="39" spans="1:6" ht="15" thickBot="1" x14ac:dyDescent="0.4">
      <c r="A39" s="41" t="s">
        <v>447</v>
      </c>
      <c r="B39" s="42">
        <v>164</v>
      </c>
      <c r="C39" s="42" t="s">
        <v>121</v>
      </c>
      <c r="D39" s="43">
        <v>10000</v>
      </c>
      <c r="E39" s="43">
        <v>60000</v>
      </c>
      <c r="F39" s="43">
        <v>390000</v>
      </c>
    </row>
    <row r="40" spans="1:6" ht="15" thickBot="1" x14ac:dyDescent="0.4">
      <c r="A40" s="41" t="s">
        <v>448</v>
      </c>
      <c r="B40" s="42">
        <v>392</v>
      </c>
      <c r="C40" s="42" t="s">
        <v>121</v>
      </c>
      <c r="D40" s="43">
        <v>10000</v>
      </c>
      <c r="E40" s="43">
        <v>70000</v>
      </c>
      <c r="F40" s="43">
        <v>380000</v>
      </c>
    </row>
    <row r="41" spans="1:6" ht="15" thickBot="1" x14ac:dyDescent="0.4">
      <c r="A41" s="41" t="s">
        <v>449</v>
      </c>
      <c r="B41" s="42">
        <v>235</v>
      </c>
      <c r="C41" s="42" t="s">
        <v>121</v>
      </c>
      <c r="D41" s="43">
        <v>10000</v>
      </c>
      <c r="E41" s="43">
        <v>80000</v>
      </c>
      <c r="F41" s="43">
        <v>370000</v>
      </c>
    </row>
    <row r="42" spans="1:6" ht="15" thickBot="1" x14ac:dyDescent="0.4">
      <c r="A42" s="41" t="s">
        <v>450</v>
      </c>
      <c r="B42" s="42">
        <v>528</v>
      </c>
      <c r="C42" s="42" t="s">
        <v>121</v>
      </c>
      <c r="D42" s="43">
        <v>10000</v>
      </c>
      <c r="E42" s="43">
        <v>90000</v>
      </c>
      <c r="F42" s="43">
        <v>360000</v>
      </c>
    </row>
    <row r="43" spans="1:6" ht="15" thickBot="1" x14ac:dyDescent="0.4">
      <c r="A43" s="44">
        <v>45718</v>
      </c>
      <c r="B43" s="42">
        <v>923</v>
      </c>
      <c r="C43" s="42" t="s">
        <v>121</v>
      </c>
      <c r="D43" s="43">
        <v>10000</v>
      </c>
      <c r="E43" s="43">
        <v>100000</v>
      </c>
      <c r="F43" s="43">
        <v>350000</v>
      </c>
    </row>
    <row r="44" spans="1:6" ht="15" thickBot="1" x14ac:dyDescent="0.4">
      <c r="A44" s="44">
        <v>45812</v>
      </c>
      <c r="B44" s="42">
        <v>709</v>
      </c>
      <c r="C44" s="42" t="s">
        <v>121</v>
      </c>
      <c r="D44" s="43">
        <v>10000</v>
      </c>
      <c r="E44" s="43">
        <v>110000</v>
      </c>
      <c r="F44" s="43">
        <v>340000</v>
      </c>
    </row>
    <row r="45" spans="1:6" ht="15" thickBot="1" x14ac:dyDescent="0.4">
      <c r="A45" s="41" t="s">
        <v>466</v>
      </c>
      <c r="B45" s="42">
        <v>608</v>
      </c>
      <c r="C45" s="42" t="s">
        <v>121</v>
      </c>
      <c r="D45" s="43">
        <v>10000</v>
      </c>
      <c r="E45" s="43">
        <v>120000</v>
      </c>
      <c r="F45" s="43">
        <v>330000</v>
      </c>
    </row>
    <row r="46" spans="1:6" ht="15" thickBot="1" x14ac:dyDescent="0.4">
      <c r="A46" s="41" t="s">
        <v>451</v>
      </c>
      <c r="B46" s="42">
        <v>3516</v>
      </c>
      <c r="C46" s="42" t="s">
        <v>121</v>
      </c>
      <c r="D46" s="43">
        <v>10000</v>
      </c>
      <c r="E46" s="43">
        <v>130000</v>
      </c>
      <c r="F46" s="43">
        <v>320000</v>
      </c>
    </row>
    <row r="47" spans="1:6" ht="15" thickBot="1" x14ac:dyDescent="0.4">
      <c r="A47" s="41" t="s">
        <v>452</v>
      </c>
      <c r="B47" s="42">
        <v>13155</v>
      </c>
      <c r="C47" s="42" t="s">
        <v>121</v>
      </c>
      <c r="D47" s="43">
        <v>10000</v>
      </c>
      <c r="E47" s="43">
        <v>140000</v>
      </c>
      <c r="F47" s="43">
        <v>310000</v>
      </c>
    </row>
    <row r="48" spans="1:6" ht="15" thickBot="1" x14ac:dyDescent="0.4">
      <c r="A48" s="41" t="s">
        <v>453</v>
      </c>
      <c r="B48" s="42">
        <v>3431</v>
      </c>
      <c r="C48" s="42" t="s">
        <v>121</v>
      </c>
      <c r="D48" s="43">
        <v>10000</v>
      </c>
      <c r="E48" s="43">
        <v>150000</v>
      </c>
      <c r="F48" s="43">
        <v>300000</v>
      </c>
    </row>
    <row r="49" spans="1:6" ht="15" thickBot="1" x14ac:dyDescent="0.4">
      <c r="A49" s="41" t="s">
        <v>454</v>
      </c>
      <c r="B49" s="42">
        <v>2205</v>
      </c>
      <c r="C49" s="42" t="s">
        <v>121</v>
      </c>
      <c r="D49" s="43">
        <v>10000</v>
      </c>
      <c r="E49" s="43">
        <v>160000</v>
      </c>
      <c r="F49" s="43">
        <v>290000</v>
      </c>
    </row>
    <row r="50" spans="1:6" ht="15" thickBot="1" x14ac:dyDescent="0.4">
      <c r="A50" s="41" t="s">
        <v>455</v>
      </c>
      <c r="B50" s="42">
        <v>3630</v>
      </c>
      <c r="C50" s="42" t="s">
        <v>121</v>
      </c>
      <c r="D50" s="43">
        <v>10000</v>
      </c>
      <c r="E50" s="43">
        <v>170000</v>
      </c>
      <c r="F50" s="43">
        <v>280000</v>
      </c>
    </row>
    <row r="51" spans="1:6" ht="15" thickBot="1" x14ac:dyDescent="0.4">
      <c r="A51" s="41" t="s">
        <v>456</v>
      </c>
      <c r="B51" s="42">
        <v>3877</v>
      </c>
      <c r="C51" s="42" t="s">
        <v>121</v>
      </c>
      <c r="D51" s="43">
        <v>10000</v>
      </c>
      <c r="E51" s="43">
        <v>180000</v>
      </c>
      <c r="F51" s="43">
        <v>270000</v>
      </c>
    </row>
    <row r="52" spans="1:6" ht="15" thickBot="1" x14ac:dyDescent="0.4">
      <c r="A52" s="41" t="s">
        <v>457</v>
      </c>
      <c r="B52" s="42">
        <v>5149</v>
      </c>
      <c r="C52" s="42" t="s">
        <v>121</v>
      </c>
      <c r="D52" s="43">
        <v>10000</v>
      </c>
      <c r="E52" s="43">
        <v>190000</v>
      </c>
      <c r="F52" s="43">
        <v>260000</v>
      </c>
    </row>
    <row r="53" spans="1:6" ht="15" thickBot="1" x14ac:dyDescent="0.4">
      <c r="A53" s="41" t="s">
        <v>458</v>
      </c>
      <c r="B53" s="42">
        <v>5385</v>
      </c>
      <c r="C53" s="42" t="s">
        <v>121</v>
      </c>
      <c r="D53" s="43">
        <v>10000</v>
      </c>
      <c r="E53" s="43">
        <v>200000</v>
      </c>
      <c r="F53" s="43">
        <v>250000</v>
      </c>
    </row>
    <row r="54" spans="1:6" ht="15" thickBot="1" x14ac:dyDescent="0.4">
      <c r="A54" s="41" t="s">
        <v>459</v>
      </c>
      <c r="B54" s="42">
        <v>5611</v>
      </c>
      <c r="C54" s="42" t="s">
        <v>121</v>
      </c>
      <c r="D54" s="43">
        <v>10000</v>
      </c>
      <c r="E54" s="43">
        <v>210000</v>
      </c>
      <c r="F54" s="43">
        <v>240000</v>
      </c>
    </row>
    <row r="55" spans="1:6" ht="15" thickBot="1" x14ac:dyDescent="0.4">
      <c r="A55" s="41" t="s">
        <v>460</v>
      </c>
      <c r="B55" s="42">
        <v>5811</v>
      </c>
      <c r="C55" s="42" t="s">
        <v>121</v>
      </c>
      <c r="D55" s="43">
        <v>10000</v>
      </c>
      <c r="E55" s="43">
        <v>220000</v>
      </c>
      <c r="F55" s="43">
        <v>230000</v>
      </c>
    </row>
    <row r="56" spans="1:6" ht="15" thickBot="1" x14ac:dyDescent="0.4">
      <c r="A56" s="41" t="s">
        <v>461</v>
      </c>
      <c r="B56" s="42">
        <v>1326</v>
      </c>
      <c r="C56" s="42" t="s">
        <v>121</v>
      </c>
      <c r="D56" s="43">
        <v>10000</v>
      </c>
      <c r="E56" s="43">
        <v>230000</v>
      </c>
      <c r="F56" s="43">
        <v>220000</v>
      </c>
    </row>
    <row r="57" spans="1:6" ht="15" thickBot="1" x14ac:dyDescent="0.4">
      <c r="A57" s="41" t="s">
        <v>462</v>
      </c>
      <c r="B57" s="42">
        <v>1540</v>
      </c>
      <c r="C57" s="42" t="s">
        <v>121</v>
      </c>
      <c r="D57" s="43">
        <v>10000</v>
      </c>
      <c r="E57" s="43">
        <v>240000</v>
      </c>
      <c r="F57" s="43">
        <v>210000</v>
      </c>
    </row>
    <row r="58" spans="1:6" ht="15" thickBot="1" x14ac:dyDescent="0.4">
      <c r="A58" s="41" t="s">
        <v>467</v>
      </c>
      <c r="B58" s="42">
        <v>1727</v>
      </c>
      <c r="C58" s="42" t="s">
        <v>121</v>
      </c>
      <c r="D58" s="43">
        <v>10000</v>
      </c>
      <c r="E58" s="43">
        <v>250000</v>
      </c>
      <c r="F58" s="43">
        <v>200000</v>
      </c>
    </row>
    <row r="59" spans="1:6" ht="15" thickBot="1" x14ac:dyDescent="0.4">
      <c r="A59" s="41" t="s">
        <v>463</v>
      </c>
      <c r="B59" s="42">
        <v>1893</v>
      </c>
      <c r="C59" s="42" t="s">
        <v>121</v>
      </c>
      <c r="D59" s="43">
        <v>10000</v>
      </c>
      <c r="E59" s="43">
        <v>260000</v>
      </c>
      <c r="F59" s="43">
        <v>190000</v>
      </c>
    </row>
    <row r="60" spans="1:6" ht="15" thickBot="1" x14ac:dyDescent="0.4">
      <c r="A60" s="41" t="s">
        <v>464</v>
      </c>
      <c r="B60" s="42">
        <v>1926</v>
      </c>
      <c r="C60" s="42" t="s">
        <v>121</v>
      </c>
      <c r="D60" s="43">
        <v>10000</v>
      </c>
      <c r="E60" s="43">
        <v>270000</v>
      </c>
      <c r="F60" s="43">
        <v>180000</v>
      </c>
    </row>
    <row r="61" spans="1:6" ht="15" thickBot="1" x14ac:dyDescent="0.4">
      <c r="A61" s="41" t="s">
        <v>465</v>
      </c>
      <c r="B61" s="42">
        <v>2088</v>
      </c>
      <c r="C61" s="42" t="s">
        <v>121</v>
      </c>
      <c r="D61" s="43">
        <v>10000</v>
      </c>
      <c r="E61" s="43">
        <v>280000</v>
      </c>
      <c r="F61" s="43">
        <v>170000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33" workbookViewId="0">
      <selection activeCell="A50" sqref="A50"/>
    </sheetView>
  </sheetViews>
  <sheetFormatPr defaultRowHeight="14.5" x14ac:dyDescent="0.35"/>
  <cols>
    <col min="1" max="1" width="10.453125" bestFit="1" customWidth="1"/>
    <col min="3" max="3" width="10.90625" customWidth="1"/>
    <col min="6" max="6" width="11.453125" customWidth="1"/>
  </cols>
  <sheetData>
    <row r="1" spans="1:6" ht="18.5" x14ac:dyDescent="0.45">
      <c r="A1" s="1" t="s">
        <v>142</v>
      </c>
      <c r="B1" s="1"/>
      <c r="C1" s="2"/>
      <c r="D1" s="1"/>
      <c r="E1" s="1"/>
      <c r="F1" s="1"/>
    </row>
    <row r="2" spans="1:6" ht="18.5" x14ac:dyDescent="0.45">
      <c r="A2" s="1" t="s">
        <v>143</v>
      </c>
      <c r="B2" s="16"/>
      <c r="C2" s="1"/>
      <c r="D2" s="1"/>
      <c r="E2" s="1"/>
      <c r="F2" s="1"/>
    </row>
    <row r="3" spans="1:6" ht="18.5" x14ac:dyDescent="0.45">
      <c r="A3" s="1" t="s">
        <v>144</v>
      </c>
      <c r="B3" s="1"/>
      <c r="C3" s="1"/>
      <c r="D3" s="1"/>
      <c r="E3" s="1"/>
      <c r="F3" s="1"/>
    </row>
    <row r="4" spans="1:6" ht="18.5" x14ac:dyDescent="0.45">
      <c r="A4" s="1" t="s">
        <v>148</v>
      </c>
      <c r="B4" s="1"/>
      <c r="C4" s="1"/>
      <c r="D4" s="1"/>
      <c r="E4" s="1"/>
      <c r="F4" s="1"/>
    </row>
    <row r="5" spans="1:6" ht="18.5" x14ac:dyDescent="0.45">
      <c r="A5" s="1" t="s">
        <v>145</v>
      </c>
      <c r="B5" s="1"/>
      <c r="C5" s="1"/>
      <c r="D5" s="1"/>
      <c r="E5" s="1"/>
      <c r="F5" s="16"/>
    </row>
    <row r="6" spans="1:6" ht="18.5" x14ac:dyDescent="0.45">
      <c r="A6" s="1" t="s">
        <v>146</v>
      </c>
      <c r="B6" s="1"/>
      <c r="C6" s="1"/>
      <c r="D6" s="1" t="s">
        <v>147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t="s">
        <v>149</v>
      </c>
      <c r="B8">
        <v>207</v>
      </c>
      <c r="C8" t="s">
        <v>12</v>
      </c>
      <c r="D8" s="19">
        <v>10000</v>
      </c>
      <c r="E8" s="19">
        <v>10000</v>
      </c>
      <c r="F8" s="19">
        <v>590000</v>
      </c>
    </row>
    <row r="9" spans="1:6" x14ac:dyDescent="0.35">
      <c r="A9" t="s">
        <v>150</v>
      </c>
      <c r="B9">
        <v>482</v>
      </c>
      <c r="C9" t="s">
        <v>11</v>
      </c>
      <c r="D9" s="19">
        <v>100000</v>
      </c>
      <c r="E9" s="19">
        <f>SUM(E8+D9)</f>
        <v>110000</v>
      </c>
      <c r="F9" s="19">
        <f>F8-D9</f>
        <v>490000</v>
      </c>
    </row>
    <row r="10" spans="1:6" x14ac:dyDescent="0.35">
      <c r="A10" t="s">
        <v>150</v>
      </c>
      <c r="B10">
        <v>483</v>
      </c>
      <c r="C10" t="s">
        <v>153</v>
      </c>
      <c r="D10" s="19">
        <v>10000</v>
      </c>
      <c r="E10" s="19">
        <f t="shared" ref="E10:E44" si="0">SUM(E9+D10)</f>
        <v>120000</v>
      </c>
      <c r="F10" s="19">
        <f t="shared" ref="F10:F44" si="1">F9-D10</f>
        <v>480000</v>
      </c>
    </row>
    <row r="11" spans="1:6" x14ac:dyDescent="0.35">
      <c r="A11" t="s">
        <v>151</v>
      </c>
      <c r="B11">
        <v>1611</v>
      </c>
      <c r="C11" t="s">
        <v>121</v>
      </c>
      <c r="D11" s="19">
        <v>10000</v>
      </c>
      <c r="E11" s="19">
        <f t="shared" si="0"/>
        <v>130000</v>
      </c>
      <c r="F11" s="19">
        <f t="shared" si="1"/>
        <v>470000</v>
      </c>
    </row>
    <row r="12" spans="1:6" x14ac:dyDescent="0.35">
      <c r="A12" s="18">
        <v>44990</v>
      </c>
      <c r="B12">
        <v>1435</v>
      </c>
      <c r="C12" t="s">
        <v>121</v>
      </c>
      <c r="D12" s="19">
        <v>10000</v>
      </c>
      <c r="E12" s="19">
        <f t="shared" si="0"/>
        <v>140000</v>
      </c>
      <c r="F12" s="19">
        <f t="shared" si="1"/>
        <v>460000</v>
      </c>
    </row>
    <row r="13" spans="1:6" x14ac:dyDescent="0.35">
      <c r="A13" s="18">
        <v>44963</v>
      </c>
      <c r="B13">
        <v>239</v>
      </c>
      <c r="C13" t="s">
        <v>121</v>
      </c>
      <c r="D13" s="19">
        <v>10000</v>
      </c>
      <c r="E13" s="19">
        <f t="shared" si="0"/>
        <v>150000</v>
      </c>
      <c r="F13" s="19">
        <f t="shared" si="1"/>
        <v>450000</v>
      </c>
    </row>
    <row r="14" spans="1:6" x14ac:dyDescent="0.35">
      <c r="A14" s="18">
        <v>45114</v>
      </c>
      <c r="B14">
        <v>2171</v>
      </c>
      <c r="C14" t="s">
        <v>121</v>
      </c>
      <c r="D14" s="19">
        <v>10000</v>
      </c>
      <c r="E14" s="19">
        <f t="shared" si="0"/>
        <v>160000</v>
      </c>
      <c r="F14" s="19">
        <f t="shared" si="1"/>
        <v>440000</v>
      </c>
    </row>
    <row r="15" spans="1:6" x14ac:dyDescent="0.35">
      <c r="A15" s="18">
        <v>45238</v>
      </c>
      <c r="B15">
        <v>2372</v>
      </c>
      <c r="C15" t="s">
        <v>121</v>
      </c>
      <c r="D15" s="19">
        <v>10000</v>
      </c>
      <c r="E15" s="19">
        <f t="shared" si="0"/>
        <v>170000</v>
      </c>
      <c r="F15" s="19">
        <f t="shared" si="1"/>
        <v>430000</v>
      </c>
    </row>
    <row r="16" spans="1:6" x14ac:dyDescent="0.35">
      <c r="A16" t="s">
        <v>152</v>
      </c>
      <c r="B16">
        <v>3871</v>
      </c>
      <c r="C16" t="s">
        <v>121</v>
      </c>
      <c r="D16" s="19">
        <v>10000</v>
      </c>
      <c r="E16" s="19">
        <f t="shared" si="0"/>
        <v>180000</v>
      </c>
      <c r="F16" s="19">
        <f t="shared" si="1"/>
        <v>420000</v>
      </c>
    </row>
    <row r="17" spans="1:6" x14ac:dyDescent="0.35">
      <c r="A17" s="18">
        <v>44937</v>
      </c>
      <c r="B17">
        <v>4603</v>
      </c>
      <c r="C17" t="s">
        <v>121</v>
      </c>
      <c r="D17" s="19">
        <v>10000</v>
      </c>
      <c r="E17" s="19">
        <f t="shared" si="0"/>
        <v>190000</v>
      </c>
      <c r="F17" s="19">
        <f t="shared" si="1"/>
        <v>410000</v>
      </c>
    </row>
    <row r="18" spans="1:6" x14ac:dyDescent="0.35">
      <c r="A18" s="18">
        <v>45089</v>
      </c>
      <c r="B18">
        <v>5321</v>
      </c>
      <c r="C18" t="s">
        <v>121</v>
      </c>
      <c r="D18" s="19">
        <v>10000</v>
      </c>
      <c r="E18" s="19">
        <f t="shared" si="0"/>
        <v>200000</v>
      </c>
      <c r="F18" s="19">
        <f t="shared" si="1"/>
        <v>400000</v>
      </c>
    </row>
    <row r="19" spans="1:6" x14ac:dyDescent="0.35">
      <c r="A19" s="18">
        <v>45413</v>
      </c>
      <c r="B19">
        <v>5906</v>
      </c>
      <c r="C19" t="s">
        <v>121</v>
      </c>
      <c r="D19" s="19">
        <v>10000</v>
      </c>
      <c r="E19" s="19">
        <f t="shared" si="0"/>
        <v>210000</v>
      </c>
      <c r="F19" s="19">
        <f t="shared" si="1"/>
        <v>390000</v>
      </c>
    </row>
    <row r="20" spans="1:6" x14ac:dyDescent="0.35">
      <c r="A20" t="s">
        <v>154</v>
      </c>
      <c r="B20">
        <v>7162</v>
      </c>
      <c r="C20" t="s">
        <v>121</v>
      </c>
      <c r="D20" s="19">
        <v>10000</v>
      </c>
      <c r="E20" s="19">
        <f t="shared" si="0"/>
        <v>220000</v>
      </c>
      <c r="F20" s="19">
        <f t="shared" si="1"/>
        <v>380000</v>
      </c>
    </row>
    <row r="21" spans="1:6" x14ac:dyDescent="0.35">
      <c r="A21" t="s">
        <v>155</v>
      </c>
      <c r="B21">
        <v>7469</v>
      </c>
      <c r="C21" t="s">
        <v>121</v>
      </c>
      <c r="D21" s="19">
        <v>10000</v>
      </c>
      <c r="E21" s="19">
        <f t="shared" si="0"/>
        <v>230000</v>
      </c>
      <c r="F21" s="19">
        <f t="shared" si="1"/>
        <v>370000</v>
      </c>
    </row>
    <row r="22" spans="1:6" x14ac:dyDescent="0.35">
      <c r="A22" t="s">
        <v>156</v>
      </c>
      <c r="B22">
        <v>8059</v>
      </c>
      <c r="C22" t="s">
        <v>121</v>
      </c>
      <c r="D22" s="19">
        <v>10000</v>
      </c>
      <c r="E22" s="19">
        <f t="shared" si="0"/>
        <v>240000</v>
      </c>
      <c r="F22" s="19">
        <f t="shared" si="1"/>
        <v>360000</v>
      </c>
    </row>
    <row r="23" spans="1:6" x14ac:dyDescent="0.35">
      <c r="A23" t="s">
        <v>157</v>
      </c>
      <c r="B23">
        <v>8732</v>
      </c>
      <c r="C23" t="s">
        <v>121</v>
      </c>
      <c r="D23" s="19">
        <v>10000</v>
      </c>
      <c r="E23" s="19">
        <f t="shared" si="0"/>
        <v>250000</v>
      </c>
      <c r="F23" s="19">
        <f t="shared" si="1"/>
        <v>350000</v>
      </c>
    </row>
    <row r="24" spans="1:6" x14ac:dyDescent="0.35">
      <c r="A24" s="18">
        <v>45389</v>
      </c>
      <c r="B24">
        <v>9377</v>
      </c>
      <c r="C24" t="s">
        <v>121</v>
      </c>
      <c r="D24" s="19">
        <v>10000</v>
      </c>
      <c r="E24" s="19">
        <f t="shared" si="0"/>
        <v>260000</v>
      </c>
      <c r="F24" s="19">
        <f t="shared" si="1"/>
        <v>340000</v>
      </c>
    </row>
    <row r="25" spans="1:6" x14ac:dyDescent="0.35">
      <c r="A25" s="18">
        <v>45451</v>
      </c>
      <c r="B25">
        <v>10053</v>
      </c>
      <c r="C25" t="s">
        <v>121</v>
      </c>
      <c r="D25" s="19">
        <v>10000</v>
      </c>
      <c r="E25" s="19">
        <f t="shared" si="0"/>
        <v>270000</v>
      </c>
      <c r="F25" s="19">
        <f t="shared" si="1"/>
        <v>330000</v>
      </c>
    </row>
    <row r="26" spans="1:6" x14ac:dyDescent="0.35">
      <c r="A26" t="s">
        <v>21</v>
      </c>
      <c r="B26">
        <v>10739</v>
      </c>
      <c r="C26" t="s">
        <v>121</v>
      </c>
      <c r="D26" s="19">
        <v>10000</v>
      </c>
      <c r="E26" s="19">
        <f t="shared" si="0"/>
        <v>280000</v>
      </c>
      <c r="F26" s="19">
        <f t="shared" si="1"/>
        <v>320000</v>
      </c>
    </row>
    <row r="27" spans="1:6" x14ac:dyDescent="0.35">
      <c r="A27" s="18">
        <v>45606</v>
      </c>
      <c r="B27">
        <v>11391</v>
      </c>
      <c r="C27" t="s">
        <v>121</v>
      </c>
      <c r="D27" s="19">
        <v>10000</v>
      </c>
      <c r="E27" s="19">
        <f t="shared" si="0"/>
        <v>290000</v>
      </c>
      <c r="F27" s="19">
        <f t="shared" si="1"/>
        <v>310000</v>
      </c>
    </row>
    <row r="28" spans="1:6" x14ac:dyDescent="0.35">
      <c r="A28" s="18">
        <v>45637</v>
      </c>
      <c r="B28">
        <v>10950</v>
      </c>
      <c r="C28" t="s">
        <v>121</v>
      </c>
      <c r="D28" s="19">
        <v>10000</v>
      </c>
      <c r="E28" s="19">
        <f t="shared" si="0"/>
        <v>300000</v>
      </c>
      <c r="F28" s="19">
        <f t="shared" si="1"/>
        <v>300000</v>
      </c>
    </row>
    <row r="29" spans="1:6" x14ac:dyDescent="0.35">
      <c r="A29" t="s">
        <v>158</v>
      </c>
      <c r="B29">
        <v>10189</v>
      </c>
      <c r="C29" t="s">
        <v>121</v>
      </c>
      <c r="D29" s="19">
        <v>10000</v>
      </c>
      <c r="E29" s="19">
        <f t="shared" si="0"/>
        <v>310000</v>
      </c>
      <c r="F29" s="19">
        <f t="shared" si="1"/>
        <v>290000</v>
      </c>
    </row>
    <row r="30" spans="1:6" x14ac:dyDescent="0.35">
      <c r="A30" t="s">
        <v>159</v>
      </c>
      <c r="B30">
        <v>10189</v>
      </c>
      <c r="C30" t="s">
        <v>121</v>
      </c>
      <c r="D30" s="19">
        <v>10000</v>
      </c>
      <c r="E30" s="19">
        <f t="shared" si="0"/>
        <v>320000</v>
      </c>
      <c r="F30" s="19">
        <f t="shared" si="1"/>
        <v>280000</v>
      </c>
    </row>
    <row r="31" spans="1:6" x14ac:dyDescent="0.35">
      <c r="A31" t="s">
        <v>160</v>
      </c>
      <c r="B31">
        <v>9464</v>
      </c>
      <c r="C31" t="s">
        <v>121</v>
      </c>
      <c r="D31" s="19">
        <v>10000</v>
      </c>
      <c r="E31" s="19">
        <f t="shared" si="0"/>
        <v>330000</v>
      </c>
      <c r="F31" s="19">
        <f t="shared" si="1"/>
        <v>270000</v>
      </c>
    </row>
    <row r="32" spans="1:6" x14ac:dyDescent="0.35">
      <c r="A32" t="s">
        <v>161</v>
      </c>
      <c r="B32">
        <v>9845</v>
      </c>
      <c r="C32" t="s">
        <v>121</v>
      </c>
      <c r="D32" s="19">
        <v>10000</v>
      </c>
      <c r="E32" s="19">
        <f t="shared" si="0"/>
        <v>340000</v>
      </c>
      <c r="F32" s="19">
        <f t="shared" si="1"/>
        <v>260000</v>
      </c>
    </row>
    <row r="33" spans="1:6" x14ac:dyDescent="0.35">
      <c r="A33" t="s">
        <v>162</v>
      </c>
      <c r="B33">
        <v>10190</v>
      </c>
      <c r="C33" t="s">
        <v>121</v>
      </c>
      <c r="D33" s="19">
        <v>10000</v>
      </c>
      <c r="E33" s="19">
        <f t="shared" si="0"/>
        <v>350000</v>
      </c>
      <c r="F33" s="19">
        <f t="shared" si="1"/>
        <v>250000</v>
      </c>
    </row>
    <row r="34" spans="1:6" x14ac:dyDescent="0.35">
      <c r="A34" t="s">
        <v>163</v>
      </c>
      <c r="B34">
        <v>12799</v>
      </c>
      <c r="C34" t="s">
        <v>121</v>
      </c>
      <c r="D34" s="19">
        <v>10000</v>
      </c>
      <c r="E34" s="19">
        <f t="shared" si="0"/>
        <v>360000</v>
      </c>
      <c r="F34" s="19">
        <f t="shared" si="1"/>
        <v>240000</v>
      </c>
    </row>
    <row r="35" spans="1:6" x14ac:dyDescent="0.35">
      <c r="A35" t="s">
        <v>164</v>
      </c>
      <c r="B35">
        <v>11831</v>
      </c>
      <c r="C35" t="s">
        <v>121</v>
      </c>
      <c r="D35" s="19">
        <v>10000</v>
      </c>
      <c r="E35" s="19">
        <f t="shared" si="0"/>
        <v>370000</v>
      </c>
      <c r="F35" s="19">
        <f t="shared" si="1"/>
        <v>230000</v>
      </c>
    </row>
    <row r="36" spans="1:6" x14ac:dyDescent="0.35">
      <c r="A36" t="s">
        <v>165</v>
      </c>
      <c r="B36">
        <v>12874</v>
      </c>
      <c r="C36" t="s">
        <v>121</v>
      </c>
      <c r="D36" s="19">
        <v>10000</v>
      </c>
      <c r="E36" s="19">
        <f t="shared" si="0"/>
        <v>380000</v>
      </c>
      <c r="F36" s="19">
        <f t="shared" si="1"/>
        <v>220000</v>
      </c>
    </row>
    <row r="37" spans="1:6" x14ac:dyDescent="0.35">
      <c r="A37" t="s">
        <v>166</v>
      </c>
      <c r="B37">
        <v>12981</v>
      </c>
      <c r="C37" t="s">
        <v>121</v>
      </c>
      <c r="D37" s="19">
        <v>10000</v>
      </c>
      <c r="E37" s="19">
        <f t="shared" si="0"/>
        <v>390000</v>
      </c>
      <c r="F37" s="19">
        <f t="shared" si="1"/>
        <v>210000</v>
      </c>
    </row>
    <row r="38" spans="1:6" x14ac:dyDescent="0.35">
      <c r="A38" t="s">
        <v>167</v>
      </c>
      <c r="B38">
        <v>12800</v>
      </c>
      <c r="C38" t="s">
        <v>121</v>
      </c>
      <c r="D38" s="19">
        <v>10000</v>
      </c>
      <c r="E38" s="19">
        <f t="shared" si="0"/>
        <v>400000</v>
      </c>
      <c r="F38" s="19">
        <f t="shared" si="1"/>
        <v>200000</v>
      </c>
    </row>
    <row r="39" spans="1:6" x14ac:dyDescent="0.35">
      <c r="A39" t="s">
        <v>168</v>
      </c>
      <c r="B39">
        <v>13976</v>
      </c>
      <c r="C39" t="s">
        <v>121</v>
      </c>
      <c r="D39" s="19">
        <v>10000</v>
      </c>
      <c r="E39" s="19">
        <f t="shared" si="0"/>
        <v>410000</v>
      </c>
      <c r="F39" s="19">
        <f t="shared" si="1"/>
        <v>190000</v>
      </c>
    </row>
    <row r="40" spans="1:6" x14ac:dyDescent="0.35">
      <c r="A40" t="s">
        <v>169</v>
      </c>
      <c r="B40">
        <v>12666</v>
      </c>
      <c r="C40" t="s">
        <v>121</v>
      </c>
      <c r="D40" s="19">
        <v>10000</v>
      </c>
      <c r="E40" s="19">
        <f t="shared" si="0"/>
        <v>420000</v>
      </c>
      <c r="F40" s="19">
        <f t="shared" si="1"/>
        <v>180000</v>
      </c>
    </row>
    <row r="41" spans="1:6" x14ac:dyDescent="0.35">
      <c r="A41" t="s">
        <v>170</v>
      </c>
      <c r="B41">
        <v>12235</v>
      </c>
      <c r="C41" t="s">
        <v>121</v>
      </c>
      <c r="D41" s="19">
        <v>10000</v>
      </c>
      <c r="E41" s="19">
        <f t="shared" si="0"/>
        <v>430000</v>
      </c>
      <c r="F41" s="19">
        <f t="shared" si="1"/>
        <v>170000</v>
      </c>
    </row>
    <row r="42" spans="1:6" x14ac:dyDescent="0.35">
      <c r="A42" t="s">
        <v>171</v>
      </c>
      <c r="B42">
        <v>12705</v>
      </c>
      <c r="C42" t="s">
        <v>121</v>
      </c>
      <c r="D42" s="19">
        <v>10000</v>
      </c>
      <c r="E42" s="19">
        <f t="shared" si="0"/>
        <v>440000</v>
      </c>
      <c r="F42" s="19">
        <f t="shared" si="1"/>
        <v>160000</v>
      </c>
    </row>
    <row r="43" spans="1:6" x14ac:dyDescent="0.35">
      <c r="A43" t="s">
        <v>172</v>
      </c>
      <c r="B43">
        <v>13975</v>
      </c>
      <c r="C43" t="s">
        <v>121</v>
      </c>
      <c r="D43" s="19">
        <v>10000</v>
      </c>
      <c r="E43" s="19">
        <f t="shared" si="0"/>
        <v>450000</v>
      </c>
      <c r="F43" s="19">
        <f t="shared" si="1"/>
        <v>150000</v>
      </c>
    </row>
    <row r="44" spans="1:6" x14ac:dyDescent="0.35">
      <c r="A44" t="s">
        <v>173</v>
      </c>
      <c r="B44">
        <v>13079</v>
      </c>
      <c r="C44" t="s">
        <v>121</v>
      </c>
      <c r="D44" s="19">
        <v>10000</v>
      </c>
      <c r="E44" s="19">
        <f t="shared" si="0"/>
        <v>460000</v>
      </c>
      <c r="F44" s="19">
        <f t="shared" si="1"/>
        <v>140000</v>
      </c>
    </row>
    <row r="45" spans="1:6" x14ac:dyDescent="0.35">
      <c r="A45" t="s">
        <v>359</v>
      </c>
      <c r="B45">
        <v>13468</v>
      </c>
      <c r="C45" t="s">
        <v>121</v>
      </c>
      <c r="D45" s="19">
        <v>10000</v>
      </c>
      <c r="E45" s="19">
        <f>E44+D45</f>
        <v>470000</v>
      </c>
      <c r="F45" s="19">
        <f>F44-D45</f>
        <v>130000</v>
      </c>
    </row>
    <row r="46" spans="1:6" x14ac:dyDescent="0.35">
      <c r="A46" t="s">
        <v>360</v>
      </c>
      <c r="B46">
        <v>1322</v>
      </c>
      <c r="C46" t="s">
        <v>121</v>
      </c>
      <c r="D46" s="19">
        <v>10000</v>
      </c>
      <c r="E46" s="19">
        <f>E45+D46</f>
        <v>480000</v>
      </c>
      <c r="F46" s="19">
        <f>F45-D46</f>
        <v>120000</v>
      </c>
    </row>
    <row r="47" spans="1:6" x14ac:dyDescent="0.35">
      <c r="A47" t="s">
        <v>407</v>
      </c>
      <c r="B47">
        <v>1566</v>
      </c>
      <c r="C47" t="s">
        <v>121</v>
      </c>
      <c r="D47" s="19">
        <v>10000</v>
      </c>
      <c r="E47" s="19">
        <f>E46+D47</f>
        <v>490000</v>
      </c>
      <c r="F47" s="19">
        <f>F46-D47</f>
        <v>110000</v>
      </c>
    </row>
    <row r="48" spans="1:6" x14ac:dyDescent="0.35">
      <c r="A48" t="s">
        <v>408</v>
      </c>
      <c r="B48">
        <v>1825</v>
      </c>
      <c r="C48" t="s">
        <v>121</v>
      </c>
      <c r="D48" s="19">
        <v>10000</v>
      </c>
      <c r="E48" s="19">
        <f>E47+D48</f>
        <v>500000</v>
      </c>
      <c r="F48" s="19">
        <f>F47-D48</f>
        <v>100000</v>
      </c>
    </row>
    <row r="49" spans="1:6" x14ac:dyDescent="0.35">
      <c r="A49" t="s">
        <v>468</v>
      </c>
      <c r="B49">
        <v>2081</v>
      </c>
      <c r="C49" t="s">
        <v>121</v>
      </c>
      <c r="D49" s="19">
        <v>10000</v>
      </c>
      <c r="E49" s="19">
        <f>E48+D49</f>
        <v>510000</v>
      </c>
      <c r="F49" s="19">
        <f>F48-D49</f>
        <v>90000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G7"/>
    </sheetView>
  </sheetViews>
  <sheetFormatPr defaultRowHeight="14.5" x14ac:dyDescent="0.35"/>
  <cols>
    <col min="1" max="1" width="9.453125" bestFit="1" customWidth="1"/>
    <col min="3" max="3" width="11.453125" customWidth="1"/>
  </cols>
  <sheetData>
    <row r="1" spans="1:6" ht="18.5" x14ac:dyDescent="0.45">
      <c r="A1" s="1" t="s">
        <v>53</v>
      </c>
      <c r="B1" s="1"/>
      <c r="C1" s="2"/>
      <c r="D1" s="1"/>
      <c r="E1" s="1"/>
      <c r="F1" s="1"/>
    </row>
    <row r="2" spans="1:6" ht="18.5" x14ac:dyDescent="0.45">
      <c r="A2" s="1" t="s">
        <v>54</v>
      </c>
      <c r="B2" s="16"/>
      <c r="C2" s="1"/>
      <c r="D2" s="1"/>
      <c r="E2" s="1"/>
      <c r="F2" s="1"/>
    </row>
    <row r="3" spans="1:6" ht="18.5" x14ac:dyDescent="0.45">
      <c r="A3" s="1" t="s">
        <v>55</v>
      </c>
      <c r="B3" s="1"/>
      <c r="C3" s="1"/>
      <c r="D3" s="1"/>
      <c r="E3" s="1"/>
      <c r="F3" s="1"/>
    </row>
    <row r="4" spans="1:6" ht="18.5" x14ac:dyDescent="0.45">
      <c r="A4" s="1" t="s">
        <v>59</v>
      </c>
      <c r="B4" s="1"/>
      <c r="C4" s="1"/>
      <c r="D4" s="1"/>
      <c r="E4" s="1"/>
      <c r="F4" s="1"/>
    </row>
    <row r="5" spans="1:6" ht="18.5" x14ac:dyDescent="0.45">
      <c r="A5" s="1" t="s">
        <v>56</v>
      </c>
      <c r="B5" s="1"/>
      <c r="C5" s="1"/>
      <c r="D5" s="1"/>
      <c r="E5" s="1"/>
      <c r="F5" s="1"/>
    </row>
    <row r="6" spans="1:6" ht="18.5" x14ac:dyDescent="0.45">
      <c r="A6" s="1" t="s">
        <v>57</v>
      </c>
      <c r="B6" s="1"/>
      <c r="C6" s="1"/>
      <c r="D6" s="1" t="s">
        <v>58</v>
      </c>
      <c r="E6" s="1"/>
      <c r="F6" s="1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18">
        <v>45787</v>
      </c>
      <c r="B8">
        <v>13875</v>
      </c>
      <c r="C8" t="s">
        <v>60</v>
      </c>
      <c r="D8" s="19">
        <v>650000</v>
      </c>
      <c r="E8" s="19">
        <v>650000</v>
      </c>
      <c r="F8" t="s">
        <v>61</v>
      </c>
    </row>
    <row r="10" spans="1:6" x14ac:dyDescent="0.35">
      <c r="A10" s="18">
        <v>46296</v>
      </c>
      <c r="B10">
        <v>5256</v>
      </c>
      <c r="C10" t="s">
        <v>62</v>
      </c>
      <c r="D10" s="19">
        <v>200000</v>
      </c>
      <c r="E10" s="19">
        <v>200000</v>
      </c>
      <c r="F10" t="s">
        <v>61</v>
      </c>
    </row>
    <row r="12" spans="1:6" x14ac:dyDescent="0.35">
      <c r="B12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="90" zoomScaleNormal="90" workbookViewId="0">
      <selection sqref="A1:G7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2.36328125" customWidth="1"/>
    <col min="6" max="6" width="11.6328125" bestFit="1" customWidth="1"/>
  </cols>
  <sheetData>
    <row r="1" spans="1:6" ht="21" x14ac:dyDescent="0.5">
      <c r="A1" s="9" t="s">
        <v>15</v>
      </c>
      <c r="B1" s="9"/>
      <c r="C1" s="10"/>
      <c r="D1" s="9"/>
      <c r="E1" s="9"/>
      <c r="F1" s="9"/>
    </row>
    <row r="2" spans="1:6" ht="21" x14ac:dyDescent="0.5">
      <c r="A2" s="9" t="s">
        <v>16</v>
      </c>
      <c r="B2" s="11"/>
      <c r="C2" s="9"/>
      <c r="D2" s="9"/>
      <c r="E2" s="9"/>
      <c r="F2" s="9"/>
    </row>
    <row r="3" spans="1:6" ht="21" x14ac:dyDescent="0.5">
      <c r="A3" s="9" t="s">
        <v>17</v>
      </c>
      <c r="B3" s="9"/>
      <c r="C3" s="9"/>
      <c r="D3" s="9"/>
      <c r="E3" s="9"/>
      <c r="F3" s="9"/>
    </row>
    <row r="4" spans="1:6" ht="21" x14ac:dyDescent="0.5">
      <c r="A4" s="9" t="s">
        <v>124</v>
      </c>
      <c r="B4" s="9"/>
      <c r="C4" s="9"/>
      <c r="D4" s="9"/>
      <c r="E4" s="9"/>
      <c r="F4" s="9"/>
    </row>
    <row r="5" spans="1:6" ht="21" x14ac:dyDescent="0.5">
      <c r="A5" s="9" t="s">
        <v>18</v>
      </c>
      <c r="B5" s="9"/>
      <c r="C5" s="9"/>
      <c r="D5" s="9"/>
      <c r="E5" s="9"/>
      <c r="F5" s="9"/>
    </row>
    <row r="6" spans="1:6" ht="21" x14ac:dyDescent="0.5">
      <c r="A6" s="9" t="s">
        <v>19</v>
      </c>
      <c r="B6" s="9"/>
      <c r="C6" s="9"/>
      <c r="D6" s="9" t="s">
        <v>2</v>
      </c>
      <c r="E6" s="9"/>
      <c r="F6" s="9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5" t="s">
        <v>20</v>
      </c>
      <c r="B8" s="5">
        <v>11154</v>
      </c>
      <c r="C8" s="5" t="s">
        <v>11</v>
      </c>
      <c r="D8" s="7">
        <v>100000</v>
      </c>
      <c r="E8" s="7">
        <v>100000</v>
      </c>
      <c r="F8" s="7">
        <v>600000</v>
      </c>
    </row>
    <row r="9" spans="1:6" x14ac:dyDescent="0.35">
      <c r="A9" s="5" t="s">
        <v>21</v>
      </c>
      <c r="B9" s="5">
        <v>10745</v>
      </c>
      <c r="C9" s="5" t="s">
        <v>29</v>
      </c>
      <c r="D9" s="7">
        <v>10000</v>
      </c>
      <c r="E9" s="7">
        <f>SUM(E8+D9)</f>
        <v>110000</v>
      </c>
      <c r="F9" s="7">
        <f>F8-D9</f>
        <v>590000</v>
      </c>
    </row>
    <row r="10" spans="1:6" x14ac:dyDescent="0.35">
      <c r="A10" s="5" t="s">
        <v>22</v>
      </c>
      <c r="B10" s="5">
        <v>11658</v>
      </c>
      <c r="C10" s="5" t="s">
        <v>29</v>
      </c>
      <c r="D10" s="7">
        <v>10000</v>
      </c>
      <c r="E10" s="7">
        <f t="shared" ref="E10:E28" si="0">SUM(E9+D10)</f>
        <v>120000</v>
      </c>
      <c r="F10" s="7">
        <f t="shared" ref="F10:F28" si="1">F9-D10</f>
        <v>580000</v>
      </c>
    </row>
    <row r="11" spans="1:6" x14ac:dyDescent="0.35">
      <c r="A11" s="5" t="s">
        <v>23</v>
      </c>
      <c r="B11" s="5">
        <v>10958</v>
      </c>
      <c r="C11" s="5" t="s">
        <v>29</v>
      </c>
      <c r="D11" s="7">
        <v>10000</v>
      </c>
      <c r="E11" s="7">
        <f t="shared" si="0"/>
        <v>130000</v>
      </c>
      <c r="F11" s="7">
        <f t="shared" si="1"/>
        <v>570000</v>
      </c>
    </row>
    <row r="12" spans="1:6" x14ac:dyDescent="0.35">
      <c r="A12" s="6">
        <v>45638</v>
      </c>
      <c r="B12" s="5">
        <v>12260</v>
      </c>
      <c r="C12" s="5" t="s">
        <v>29</v>
      </c>
      <c r="D12" s="7">
        <v>10000</v>
      </c>
      <c r="E12" s="7">
        <f t="shared" si="0"/>
        <v>140000</v>
      </c>
      <c r="F12" s="7">
        <f t="shared" si="1"/>
        <v>560000</v>
      </c>
    </row>
    <row r="13" spans="1:6" x14ac:dyDescent="0.35">
      <c r="A13" s="5" t="s">
        <v>24</v>
      </c>
      <c r="B13" s="5">
        <v>12056</v>
      </c>
      <c r="C13" s="5" t="s">
        <v>29</v>
      </c>
      <c r="D13" s="7">
        <v>10000</v>
      </c>
      <c r="E13" s="7">
        <f t="shared" si="0"/>
        <v>150000</v>
      </c>
      <c r="F13" s="7">
        <f t="shared" si="1"/>
        <v>550000</v>
      </c>
    </row>
    <row r="14" spans="1:6" x14ac:dyDescent="0.35">
      <c r="A14" s="5" t="s">
        <v>25</v>
      </c>
      <c r="B14" s="5">
        <v>9877</v>
      </c>
      <c r="C14" s="5" t="s">
        <v>29</v>
      </c>
      <c r="D14" s="7">
        <v>10000</v>
      </c>
      <c r="E14" s="7">
        <f t="shared" si="0"/>
        <v>160000</v>
      </c>
      <c r="F14" s="7">
        <f t="shared" si="1"/>
        <v>540000</v>
      </c>
    </row>
    <row r="15" spans="1:6" x14ac:dyDescent="0.35">
      <c r="A15" s="5" t="s">
        <v>26</v>
      </c>
      <c r="B15" s="5">
        <v>9813</v>
      </c>
      <c r="C15" s="5" t="s">
        <v>29</v>
      </c>
      <c r="D15" s="7">
        <v>10000</v>
      </c>
      <c r="E15" s="7">
        <f t="shared" si="0"/>
        <v>170000</v>
      </c>
      <c r="F15" s="7">
        <f t="shared" si="1"/>
        <v>530000</v>
      </c>
    </row>
    <row r="16" spans="1:6" x14ac:dyDescent="0.35">
      <c r="A16" s="5" t="s">
        <v>27</v>
      </c>
      <c r="B16" s="5">
        <v>10204</v>
      </c>
      <c r="C16" s="5" t="s">
        <v>29</v>
      </c>
      <c r="D16" s="7">
        <v>10000</v>
      </c>
      <c r="E16" s="7">
        <f t="shared" si="0"/>
        <v>180000</v>
      </c>
      <c r="F16" s="7">
        <f t="shared" si="1"/>
        <v>520000</v>
      </c>
    </row>
    <row r="17" spans="1:6" x14ac:dyDescent="0.35">
      <c r="A17" s="6">
        <v>45996</v>
      </c>
      <c r="B17" s="5">
        <v>10945</v>
      </c>
      <c r="C17" s="5" t="s">
        <v>29</v>
      </c>
      <c r="D17" s="7">
        <v>10000</v>
      </c>
      <c r="E17" s="7">
        <f t="shared" si="0"/>
        <v>190000</v>
      </c>
      <c r="F17" s="7">
        <f t="shared" si="1"/>
        <v>510000</v>
      </c>
    </row>
    <row r="18" spans="1:6" x14ac:dyDescent="0.35">
      <c r="A18" s="5" t="s">
        <v>28</v>
      </c>
      <c r="B18" s="5">
        <v>12192</v>
      </c>
      <c r="C18" s="5" t="s">
        <v>29</v>
      </c>
      <c r="D18" s="7">
        <v>20000</v>
      </c>
      <c r="E18" s="7">
        <f t="shared" si="0"/>
        <v>210000</v>
      </c>
      <c r="F18" s="7">
        <f t="shared" si="1"/>
        <v>490000</v>
      </c>
    </row>
    <row r="19" spans="1:6" x14ac:dyDescent="0.35">
      <c r="A19" s="6">
        <v>45999</v>
      </c>
      <c r="B19" s="5">
        <v>12904</v>
      </c>
      <c r="C19" s="5" t="s">
        <v>29</v>
      </c>
      <c r="D19" s="7">
        <v>10000</v>
      </c>
      <c r="E19" s="7">
        <f t="shared" si="0"/>
        <v>220000</v>
      </c>
      <c r="F19" s="7">
        <f t="shared" si="1"/>
        <v>480000</v>
      </c>
    </row>
    <row r="20" spans="1:6" x14ac:dyDescent="0.35">
      <c r="A20" s="5" t="s">
        <v>30</v>
      </c>
      <c r="B20" s="5">
        <v>12775</v>
      </c>
      <c r="C20" s="5" t="s">
        <v>29</v>
      </c>
      <c r="D20" s="7">
        <v>10000</v>
      </c>
      <c r="E20" s="7">
        <f t="shared" si="0"/>
        <v>230000</v>
      </c>
      <c r="F20" s="7">
        <f t="shared" si="1"/>
        <v>470000</v>
      </c>
    </row>
    <row r="21" spans="1:6" x14ac:dyDescent="0.35">
      <c r="A21" s="6" t="s">
        <v>31</v>
      </c>
      <c r="B21" s="5">
        <v>13665</v>
      </c>
      <c r="C21" s="5" t="s">
        <v>29</v>
      </c>
      <c r="D21" s="7">
        <v>10000</v>
      </c>
      <c r="E21" s="7">
        <f t="shared" si="0"/>
        <v>240000</v>
      </c>
      <c r="F21" s="7">
        <f t="shared" si="1"/>
        <v>460000</v>
      </c>
    </row>
    <row r="22" spans="1:6" x14ac:dyDescent="0.35">
      <c r="A22" s="5" t="s">
        <v>33</v>
      </c>
      <c r="B22" s="5">
        <v>13023</v>
      </c>
      <c r="C22" s="5" t="s">
        <v>29</v>
      </c>
      <c r="D22" s="7">
        <v>10000</v>
      </c>
      <c r="E22" s="7">
        <f t="shared" si="0"/>
        <v>250000</v>
      </c>
      <c r="F22" s="7">
        <f t="shared" si="1"/>
        <v>450000</v>
      </c>
    </row>
    <row r="23" spans="1:6" x14ac:dyDescent="0.35">
      <c r="A23" s="6" t="s">
        <v>32</v>
      </c>
      <c r="B23" s="5">
        <v>13181</v>
      </c>
      <c r="C23" s="5" t="s">
        <v>29</v>
      </c>
      <c r="D23" s="7">
        <v>10000</v>
      </c>
      <c r="E23" s="7">
        <f t="shared" si="0"/>
        <v>260000</v>
      </c>
      <c r="F23" s="7">
        <f t="shared" si="1"/>
        <v>440000</v>
      </c>
    </row>
    <row r="24" spans="1:6" x14ac:dyDescent="0.35">
      <c r="A24" s="5" t="s">
        <v>34</v>
      </c>
      <c r="B24" s="5">
        <v>12139</v>
      </c>
      <c r="C24" s="5" t="s">
        <v>29</v>
      </c>
      <c r="D24" s="7">
        <v>10000</v>
      </c>
      <c r="E24" s="7">
        <f t="shared" si="0"/>
        <v>270000</v>
      </c>
      <c r="F24" s="7">
        <f t="shared" si="1"/>
        <v>430000</v>
      </c>
    </row>
    <row r="25" spans="1:6" x14ac:dyDescent="0.35">
      <c r="A25" s="6" t="s">
        <v>35</v>
      </c>
      <c r="B25" s="5">
        <v>12490</v>
      </c>
      <c r="C25" s="5" t="s">
        <v>29</v>
      </c>
      <c r="D25" s="7">
        <v>10000</v>
      </c>
      <c r="E25" s="7">
        <f t="shared" si="0"/>
        <v>280000</v>
      </c>
      <c r="F25" s="7">
        <f t="shared" si="1"/>
        <v>420000</v>
      </c>
    </row>
    <row r="26" spans="1:6" x14ac:dyDescent="0.35">
      <c r="A26" s="17" t="s">
        <v>52</v>
      </c>
      <c r="B26" s="17">
        <v>12845</v>
      </c>
      <c r="C26" s="17" t="s">
        <v>29</v>
      </c>
      <c r="D26" s="7">
        <v>10000</v>
      </c>
      <c r="E26" s="7">
        <f t="shared" si="0"/>
        <v>290000</v>
      </c>
      <c r="F26" s="7">
        <f t="shared" si="1"/>
        <v>410000</v>
      </c>
    </row>
    <row r="27" spans="1:6" x14ac:dyDescent="0.35">
      <c r="A27" s="23" t="s">
        <v>125</v>
      </c>
      <c r="B27" s="17">
        <v>13279</v>
      </c>
      <c r="C27" s="17" t="s">
        <v>29</v>
      </c>
      <c r="D27" s="7">
        <v>10000</v>
      </c>
      <c r="E27" s="7">
        <f t="shared" si="0"/>
        <v>300000</v>
      </c>
      <c r="F27" s="7">
        <f t="shared" si="1"/>
        <v>400000</v>
      </c>
    </row>
    <row r="28" spans="1:6" x14ac:dyDescent="0.35">
      <c r="A28" s="18">
        <v>46331</v>
      </c>
      <c r="B28" s="17">
        <v>13331</v>
      </c>
      <c r="C28" s="17" t="s">
        <v>29</v>
      </c>
      <c r="D28" s="26">
        <v>10000</v>
      </c>
      <c r="E28" s="26">
        <f t="shared" si="0"/>
        <v>310000</v>
      </c>
      <c r="F28" s="26">
        <f t="shared" si="1"/>
        <v>390000</v>
      </c>
    </row>
    <row r="29" spans="1:6" x14ac:dyDescent="0.35">
      <c r="A29" s="5" t="s">
        <v>358</v>
      </c>
      <c r="B29" s="5">
        <v>13645</v>
      </c>
      <c r="C29" s="5" t="s">
        <v>29</v>
      </c>
      <c r="D29" s="7">
        <v>10000</v>
      </c>
      <c r="E29" s="7">
        <f>E28+D29</f>
        <v>320000</v>
      </c>
      <c r="F29" s="7">
        <f>F28-D29</f>
        <v>380000</v>
      </c>
    </row>
    <row r="30" spans="1:6" x14ac:dyDescent="0.35">
      <c r="A30" s="5" t="s">
        <v>361</v>
      </c>
      <c r="B30" s="5">
        <v>1462</v>
      </c>
      <c r="C30" s="5" t="s">
        <v>29</v>
      </c>
      <c r="D30" s="7">
        <v>10000</v>
      </c>
      <c r="E30" s="7">
        <f>E29+D30</f>
        <v>330000</v>
      </c>
      <c r="F30" s="7">
        <f>F29-D30</f>
        <v>370000</v>
      </c>
    </row>
    <row r="31" spans="1:6" x14ac:dyDescent="0.35">
      <c r="A31" s="6">
        <v>46364</v>
      </c>
      <c r="B31" s="5">
        <v>1749</v>
      </c>
      <c r="C31" s="5" t="s">
        <v>29</v>
      </c>
      <c r="D31" s="7">
        <v>10000</v>
      </c>
      <c r="E31" s="7">
        <f>E30+D31</f>
        <v>340000</v>
      </c>
      <c r="F31" s="7">
        <f>F30-D31</f>
        <v>360000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D3" sqref="B3:D3"/>
    </sheetView>
  </sheetViews>
  <sheetFormatPr defaultRowHeight="14.5" x14ac:dyDescent="0.35"/>
  <cols>
    <col min="1" max="1" width="10.453125" bestFit="1" customWidth="1"/>
    <col min="3" max="3" width="12.1796875" customWidth="1"/>
  </cols>
  <sheetData>
    <row r="1" spans="1:6" ht="21" x14ac:dyDescent="0.5">
      <c r="A1" s="9" t="s">
        <v>362</v>
      </c>
      <c r="B1" s="9"/>
      <c r="C1" s="10"/>
      <c r="D1" s="9"/>
      <c r="E1" s="9"/>
      <c r="F1" s="9"/>
    </row>
    <row r="2" spans="1:6" ht="21" x14ac:dyDescent="0.5">
      <c r="A2" s="9" t="s">
        <v>363</v>
      </c>
      <c r="B2" s="11"/>
      <c r="C2" s="9"/>
      <c r="D2" s="9"/>
      <c r="E2" s="9"/>
      <c r="F2" s="9"/>
    </row>
    <row r="3" spans="1:6" ht="21" x14ac:dyDescent="0.5">
      <c r="A3" s="9" t="s">
        <v>364</v>
      </c>
      <c r="B3" s="9"/>
      <c r="C3" s="9"/>
      <c r="D3" s="9"/>
      <c r="E3" s="9"/>
      <c r="F3" s="9"/>
    </row>
    <row r="4" spans="1:6" ht="21" x14ac:dyDescent="0.5">
      <c r="A4" s="9" t="s">
        <v>368</v>
      </c>
      <c r="B4" s="9"/>
      <c r="C4" s="9"/>
      <c r="D4" s="9"/>
      <c r="E4" s="9"/>
      <c r="F4" s="9"/>
    </row>
    <row r="5" spans="1:6" ht="21" x14ac:dyDescent="0.5">
      <c r="A5" s="9" t="s">
        <v>365</v>
      </c>
      <c r="B5" s="9"/>
      <c r="C5" s="9"/>
      <c r="D5" s="9"/>
      <c r="E5" s="9"/>
      <c r="F5" s="9"/>
    </row>
    <row r="6" spans="1:6" ht="21" x14ac:dyDescent="0.5">
      <c r="A6" s="9" t="s">
        <v>366</v>
      </c>
      <c r="B6" s="9"/>
      <c r="C6" s="9"/>
      <c r="D6" s="9" t="s">
        <v>367</v>
      </c>
      <c r="E6" s="9"/>
      <c r="F6" s="9"/>
    </row>
    <row r="7" spans="1:6" x14ac:dyDescent="0.35">
      <c r="A7" s="13" t="s">
        <v>369</v>
      </c>
      <c r="B7" s="13">
        <v>2269</v>
      </c>
      <c r="C7" s="13" t="s">
        <v>377</v>
      </c>
      <c r="D7" s="14">
        <v>120000</v>
      </c>
      <c r="E7" s="14">
        <v>120000</v>
      </c>
      <c r="F7" s="14">
        <v>380000</v>
      </c>
    </row>
    <row r="8" spans="1:6" x14ac:dyDescent="0.35">
      <c r="A8" s="13" t="s">
        <v>370</v>
      </c>
      <c r="B8" s="13">
        <v>2334</v>
      </c>
      <c r="C8" s="13" t="s">
        <v>276</v>
      </c>
      <c r="D8" s="13">
        <v>8000</v>
      </c>
      <c r="E8" s="14">
        <f t="shared" ref="E8:E44" si="0">E7+D8</f>
        <v>128000</v>
      </c>
      <c r="F8" s="14">
        <f t="shared" ref="F8:F44" si="1">F7-D8</f>
        <v>372000</v>
      </c>
    </row>
    <row r="9" spans="1:6" x14ac:dyDescent="0.35">
      <c r="A9" s="15">
        <v>45203</v>
      </c>
      <c r="B9" s="13">
        <v>1100</v>
      </c>
      <c r="C9" s="13" t="s">
        <v>276</v>
      </c>
      <c r="D9" s="13">
        <v>8000</v>
      </c>
      <c r="E9" s="14">
        <f t="shared" si="0"/>
        <v>136000</v>
      </c>
      <c r="F9" s="14">
        <f t="shared" si="1"/>
        <v>364000</v>
      </c>
    </row>
    <row r="10" spans="1:6" x14ac:dyDescent="0.35">
      <c r="A10" s="13" t="s">
        <v>371</v>
      </c>
      <c r="B10" s="13">
        <v>1583</v>
      </c>
      <c r="C10" s="13" t="s">
        <v>276</v>
      </c>
      <c r="D10" s="13">
        <v>8000</v>
      </c>
      <c r="E10" s="14">
        <f t="shared" si="0"/>
        <v>144000</v>
      </c>
      <c r="F10" s="14">
        <f t="shared" si="1"/>
        <v>356000</v>
      </c>
    </row>
    <row r="11" spans="1:6" x14ac:dyDescent="0.35">
      <c r="A11" s="13" t="s">
        <v>372</v>
      </c>
      <c r="B11" s="13">
        <v>2015</v>
      </c>
      <c r="C11" s="13" t="s">
        <v>276</v>
      </c>
      <c r="D11" s="13">
        <v>8000</v>
      </c>
      <c r="E11" s="14">
        <f t="shared" si="0"/>
        <v>152000</v>
      </c>
      <c r="F11" s="14">
        <f t="shared" si="1"/>
        <v>348000</v>
      </c>
    </row>
    <row r="12" spans="1:6" x14ac:dyDescent="0.35">
      <c r="A12" s="15">
        <v>45267</v>
      </c>
      <c r="B12" s="13">
        <v>2723</v>
      </c>
      <c r="C12" s="13" t="s">
        <v>276</v>
      </c>
      <c r="D12" s="13">
        <v>8000</v>
      </c>
      <c r="E12" s="14">
        <f t="shared" si="0"/>
        <v>160000</v>
      </c>
      <c r="F12" s="14">
        <f t="shared" si="1"/>
        <v>340000</v>
      </c>
    </row>
    <row r="13" spans="1:6" x14ac:dyDescent="0.35">
      <c r="A13" s="13" t="s">
        <v>373</v>
      </c>
      <c r="B13" s="13">
        <v>2431</v>
      </c>
      <c r="C13" s="13" t="s">
        <v>276</v>
      </c>
      <c r="D13" s="13">
        <v>8000</v>
      </c>
      <c r="E13" s="14">
        <f t="shared" si="0"/>
        <v>168000</v>
      </c>
      <c r="F13" s="14">
        <f t="shared" si="1"/>
        <v>332000</v>
      </c>
    </row>
    <row r="14" spans="1:6" x14ac:dyDescent="0.35">
      <c r="A14" s="13" t="s">
        <v>374</v>
      </c>
      <c r="B14" s="13">
        <v>3665</v>
      </c>
      <c r="C14" s="13" t="s">
        <v>276</v>
      </c>
      <c r="D14" s="13">
        <v>8000</v>
      </c>
      <c r="E14" s="14">
        <f t="shared" si="0"/>
        <v>176000</v>
      </c>
      <c r="F14" s="14">
        <f t="shared" si="1"/>
        <v>324000</v>
      </c>
    </row>
    <row r="15" spans="1:6" x14ac:dyDescent="0.35">
      <c r="A15" s="13" t="s">
        <v>375</v>
      </c>
      <c r="B15" s="13">
        <v>4271</v>
      </c>
      <c r="C15" s="13" t="s">
        <v>276</v>
      </c>
      <c r="D15" s="13">
        <v>8000</v>
      </c>
      <c r="E15" s="14">
        <f t="shared" si="0"/>
        <v>184000</v>
      </c>
      <c r="F15" s="14">
        <f t="shared" si="1"/>
        <v>316000</v>
      </c>
    </row>
    <row r="16" spans="1:6" x14ac:dyDescent="0.35">
      <c r="A16" s="15">
        <v>45271</v>
      </c>
      <c r="B16" s="13">
        <v>4826</v>
      </c>
      <c r="C16" s="13" t="s">
        <v>276</v>
      </c>
      <c r="D16" s="13">
        <v>8000</v>
      </c>
      <c r="E16" s="14">
        <f t="shared" si="0"/>
        <v>192000</v>
      </c>
      <c r="F16" s="14">
        <f t="shared" si="1"/>
        <v>308000</v>
      </c>
    </row>
    <row r="17" spans="1:6" x14ac:dyDescent="0.35">
      <c r="A17" s="13" t="s">
        <v>376</v>
      </c>
      <c r="B17" s="13">
        <v>5727</v>
      </c>
      <c r="C17" s="13" t="s">
        <v>276</v>
      </c>
      <c r="D17" s="13">
        <v>8000</v>
      </c>
      <c r="E17" s="14">
        <f t="shared" si="0"/>
        <v>200000</v>
      </c>
      <c r="F17" s="14">
        <f t="shared" si="1"/>
        <v>300000</v>
      </c>
    </row>
    <row r="18" spans="1:6" x14ac:dyDescent="0.35">
      <c r="A18" s="13" t="s">
        <v>378</v>
      </c>
      <c r="B18" s="13">
        <v>6143</v>
      </c>
      <c r="C18" s="13" t="s">
        <v>276</v>
      </c>
      <c r="D18" s="13">
        <v>8000</v>
      </c>
      <c r="E18" s="14">
        <f t="shared" si="0"/>
        <v>208000</v>
      </c>
      <c r="F18" s="14">
        <f t="shared" si="1"/>
        <v>292000</v>
      </c>
    </row>
    <row r="19" spans="1:6" x14ac:dyDescent="0.35">
      <c r="A19" s="13" t="s">
        <v>379</v>
      </c>
      <c r="B19" s="13">
        <v>6631</v>
      </c>
      <c r="C19" s="13" t="s">
        <v>276</v>
      </c>
      <c r="D19" s="13">
        <v>8000</v>
      </c>
      <c r="E19" s="14">
        <f t="shared" si="0"/>
        <v>216000</v>
      </c>
      <c r="F19" s="14">
        <f t="shared" si="1"/>
        <v>284000</v>
      </c>
    </row>
    <row r="20" spans="1:6" x14ac:dyDescent="0.35">
      <c r="A20" s="13" t="s">
        <v>380</v>
      </c>
      <c r="B20" s="13">
        <v>7389</v>
      </c>
      <c r="C20" s="13" t="s">
        <v>276</v>
      </c>
      <c r="D20" s="13">
        <v>8000</v>
      </c>
      <c r="E20" s="14">
        <f t="shared" si="0"/>
        <v>224000</v>
      </c>
      <c r="F20" s="14">
        <f t="shared" si="1"/>
        <v>276000</v>
      </c>
    </row>
    <row r="21" spans="1:6" x14ac:dyDescent="0.35">
      <c r="A21" s="15">
        <v>45417</v>
      </c>
      <c r="B21" s="13">
        <v>8217</v>
      </c>
      <c r="C21" s="13" t="s">
        <v>276</v>
      </c>
      <c r="D21" s="13">
        <v>16000</v>
      </c>
      <c r="E21" s="14">
        <f t="shared" si="0"/>
        <v>240000</v>
      </c>
      <c r="F21" s="14">
        <f t="shared" si="1"/>
        <v>260000</v>
      </c>
    </row>
    <row r="22" spans="1:6" x14ac:dyDescent="0.35">
      <c r="A22" s="15">
        <v>45510</v>
      </c>
      <c r="B22" s="13">
        <v>8898</v>
      </c>
      <c r="C22" s="13" t="s">
        <v>276</v>
      </c>
      <c r="D22" s="13">
        <v>8000</v>
      </c>
      <c r="E22" s="14">
        <f t="shared" si="0"/>
        <v>248000</v>
      </c>
      <c r="F22" s="14">
        <f t="shared" si="1"/>
        <v>252000</v>
      </c>
    </row>
    <row r="23" spans="1:6" x14ac:dyDescent="0.35">
      <c r="A23" s="13" t="s">
        <v>381</v>
      </c>
      <c r="B23" s="13">
        <v>9662</v>
      </c>
      <c r="C23" s="13" t="s">
        <v>276</v>
      </c>
      <c r="D23" s="13">
        <v>7500</v>
      </c>
      <c r="E23" s="14">
        <f t="shared" si="0"/>
        <v>255500</v>
      </c>
      <c r="F23" s="14">
        <f t="shared" si="1"/>
        <v>244500</v>
      </c>
    </row>
    <row r="24" spans="1:6" x14ac:dyDescent="0.35">
      <c r="A24" s="15">
        <v>45604</v>
      </c>
      <c r="B24" s="13">
        <v>11063</v>
      </c>
      <c r="C24" s="13" t="s">
        <v>276</v>
      </c>
      <c r="D24" s="13">
        <v>8000</v>
      </c>
      <c r="E24" s="14">
        <f t="shared" si="0"/>
        <v>263500</v>
      </c>
      <c r="F24" s="14">
        <f t="shared" si="1"/>
        <v>236500</v>
      </c>
    </row>
    <row r="25" spans="1:6" x14ac:dyDescent="0.35">
      <c r="A25" s="13" t="s">
        <v>382</v>
      </c>
      <c r="B25" s="13">
        <v>10768</v>
      </c>
      <c r="C25" s="13" t="s">
        <v>276</v>
      </c>
      <c r="D25" s="13">
        <v>7500</v>
      </c>
      <c r="E25" s="14">
        <f t="shared" si="0"/>
        <v>271000</v>
      </c>
      <c r="F25" s="14">
        <f t="shared" si="1"/>
        <v>229000</v>
      </c>
    </row>
    <row r="26" spans="1:6" x14ac:dyDescent="0.35">
      <c r="A26" s="13" t="s">
        <v>383</v>
      </c>
      <c r="B26" s="13">
        <v>11619</v>
      </c>
      <c r="C26" s="13" t="s">
        <v>276</v>
      </c>
      <c r="D26" s="13">
        <v>8000</v>
      </c>
      <c r="E26" s="14">
        <f t="shared" si="0"/>
        <v>279000</v>
      </c>
      <c r="F26" s="14">
        <f t="shared" si="1"/>
        <v>221000</v>
      </c>
    </row>
    <row r="27" spans="1:6" x14ac:dyDescent="0.35">
      <c r="A27" s="13" t="s">
        <v>384</v>
      </c>
      <c r="B27" s="13">
        <v>10980</v>
      </c>
      <c r="C27" s="13" t="s">
        <v>276</v>
      </c>
      <c r="D27" s="13">
        <v>8000</v>
      </c>
      <c r="E27" s="14">
        <f t="shared" si="0"/>
        <v>287000</v>
      </c>
      <c r="F27" s="14">
        <f t="shared" si="1"/>
        <v>213000</v>
      </c>
    </row>
    <row r="28" spans="1:6" x14ac:dyDescent="0.35">
      <c r="A28" s="15">
        <v>45577</v>
      </c>
      <c r="B28" s="13">
        <v>12301</v>
      </c>
      <c r="C28" s="13" t="s">
        <v>276</v>
      </c>
      <c r="D28" s="13">
        <v>8000</v>
      </c>
      <c r="E28" s="14">
        <f t="shared" si="0"/>
        <v>295000</v>
      </c>
      <c r="F28" s="14">
        <f t="shared" si="1"/>
        <v>205000</v>
      </c>
    </row>
    <row r="29" spans="1:6" x14ac:dyDescent="0.35">
      <c r="A29" s="13" t="s">
        <v>385</v>
      </c>
      <c r="B29" s="13">
        <v>9022</v>
      </c>
      <c r="C29" s="13" t="s">
        <v>276</v>
      </c>
      <c r="D29" s="13">
        <v>8000</v>
      </c>
      <c r="E29" s="14">
        <f t="shared" si="0"/>
        <v>303000</v>
      </c>
      <c r="F29" s="14">
        <f t="shared" si="1"/>
        <v>197000</v>
      </c>
    </row>
    <row r="30" spans="1:6" x14ac:dyDescent="0.35">
      <c r="A30" s="13" t="s">
        <v>386</v>
      </c>
      <c r="B30" s="13">
        <v>9441</v>
      </c>
      <c r="C30" s="13" t="s">
        <v>276</v>
      </c>
      <c r="D30" s="13">
        <v>8000</v>
      </c>
      <c r="E30" s="14">
        <f t="shared" si="0"/>
        <v>311000</v>
      </c>
      <c r="F30" s="14">
        <f t="shared" si="1"/>
        <v>189000</v>
      </c>
    </row>
    <row r="31" spans="1:6" x14ac:dyDescent="0.35">
      <c r="A31" s="13" t="s">
        <v>387</v>
      </c>
      <c r="B31" s="13">
        <v>840</v>
      </c>
      <c r="C31" s="13" t="s">
        <v>276</v>
      </c>
      <c r="D31" s="13">
        <v>15000</v>
      </c>
      <c r="E31" s="14">
        <f t="shared" si="0"/>
        <v>326000</v>
      </c>
      <c r="F31" s="14">
        <f t="shared" si="1"/>
        <v>174000</v>
      </c>
    </row>
    <row r="32" spans="1:6" x14ac:dyDescent="0.35">
      <c r="A32" s="13" t="s">
        <v>388</v>
      </c>
      <c r="B32" s="13">
        <v>10682</v>
      </c>
      <c r="C32" s="13" t="s">
        <v>276</v>
      </c>
      <c r="D32" s="13">
        <v>8000</v>
      </c>
      <c r="E32" s="14">
        <f t="shared" si="0"/>
        <v>334000</v>
      </c>
      <c r="F32" s="14">
        <f t="shared" si="1"/>
        <v>166000</v>
      </c>
    </row>
    <row r="33" spans="1:6" x14ac:dyDescent="0.35">
      <c r="A33" s="15" t="s">
        <v>391</v>
      </c>
      <c r="B33" s="13">
        <v>9988</v>
      </c>
      <c r="C33" s="13" t="s">
        <v>276</v>
      </c>
      <c r="D33" s="13">
        <v>8000</v>
      </c>
      <c r="E33" s="14">
        <f t="shared" si="0"/>
        <v>342000</v>
      </c>
      <c r="F33" s="14">
        <f t="shared" si="1"/>
        <v>158000</v>
      </c>
    </row>
    <row r="34" spans="1:6" x14ac:dyDescent="0.35">
      <c r="A34" s="13" t="s">
        <v>390</v>
      </c>
      <c r="B34" s="13">
        <v>12193</v>
      </c>
      <c r="C34" s="13" t="s">
        <v>276</v>
      </c>
      <c r="D34" s="13">
        <v>8000</v>
      </c>
      <c r="E34" s="14">
        <f t="shared" si="0"/>
        <v>350000</v>
      </c>
      <c r="F34" s="14">
        <f t="shared" si="1"/>
        <v>150000</v>
      </c>
    </row>
    <row r="35" spans="1:6" x14ac:dyDescent="0.35">
      <c r="A35" s="15">
        <v>45847</v>
      </c>
      <c r="B35" s="13">
        <v>12650</v>
      </c>
      <c r="C35" s="13" t="s">
        <v>276</v>
      </c>
      <c r="D35" s="13">
        <v>16000</v>
      </c>
      <c r="E35" s="14">
        <f t="shared" si="0"/>
        <v>366000</v>
      </c>
      <c r="F35" s="14">
        <f t="shared" si="1"/>
        <v>134000</v>
      </c>
    </row>
    <row r="36" spans="1:6" x14ac:dyDescent="0.35">
      <c r="A36" s="15">
        <v>45848</v>
      </c>
      <c r="B36" s="13">
        <v>13708</v>
      </c>
      <c r="C36" s="13" t="s">
        <v>276</v>
      </c>
      <c r="D36" s="13">
        <v>8000</v>
      </c>
      <c r="E36" s="14">
        <f t="shared" si="0"/>
        <v>374000</v>
      </c>
      <c r="F36" s="14">
        <f t="shared" si="1"/>
        <v>126000</v>
      </c>
    </row>
    <row r="37" spans="1:6" x14ac:dyDescent="0.35">
      <c r="A37" s="15">
        <v>45972</v>
      </c>
      <c r="B37" s="13">
        <v>13345</v>
      </c>
      <c r="C37" s="13" t="s">
        <v>276</v>
      </c>
      <c r="D37" s="13">
        <v>8000</v>
      </c>
      <c r="E37" s="14">
        <f t="shared" si="0"/>
        <v>382000</v>
      </c>
      <c r="F37" s="14">
        <f t="shared" si="1"/>
        <v>118000</v>
      </c>
    </row>
    <row r="38" spans="1:6" x14ac:dyDescent="0.35">
      <c r="A38" s="13" t="s">
        <v>392</v>
      </c>
      <c r="B38" s="13">
        <v>12635</v>
      </c>
      <c r="C38" s="13" t="s">
        <v>276</v>
      </c>
      <c r="D38" s="13">
        <v>7000</v>
      </c>
      <c r="E38" s="14">
        <f t="shared" si="0"/>
        <v>389000</v>
      </c>
      <c r="F38" s="14">
        <f t="shared" si="1"/>
        <v>111000</v>
      </c>
    </row>
    <row r="39" spans="1:6" x14ac:dyDescent="0.35">
      <c r="A39" s="13" t="s">
        <v>393</v>
      </c>
      <c r="B39" s="13">
        <v>12147</v>
      </c>
      <c r="C39" s="13" t="s">
        <v>276</v>
      </c>
      <c r="D39" s="13">
        <v>8000</v>
      </c>
      <c r="E39" s="14">
        <f t="shared" si="0"/>
        <v>397000</v>
      </c>
      <c r="F39" s="14">
        <f t="shared" si="1"/>
        <v>103000</v>
      </c>
    </row>
    <row r="40" spans="1:6" x14ac:dyDescent="0.35">
      <c r="A40" s="15">
        <v>46359</v>
      </c>
      <c r="B40" s="13">
        <v>12844</v>
      </c>
      <c r="C40" s="13" t="s">
        <v>276</v>
      </c>
      <c r="D40" s="13">
        <v>16000</v>
      </c>
      <c r="E40" s="14">
        <f t="shared" si="0"/>
        <v>413000</v>
      </c>
      <c r="F40" s="14">
        <f t="shared" si="1"/>
        <v>87000</v>
      </c>
    </row>
    <row r="41" spans="1:6" x14ac:dyDescent="0.35">
      <c r="A41" s="13" t="s">
        <v>394</v>
      </c>
      <c r="B41" s="13">
        <v>13058</v>
      </c>
      <c r="C41" s="13" t="s">
        <v>276</v>
      </c>
      <c r="D41" s="13">
        <v>7000</v>
      </c>
      <c r="E41" s="14">
        <f t="shared" si="0"/>
        <v>420000</v>
      </c>
      <c r="F41" s="14">
        <f t="shared" si="1"/>
        <v>80000</v>
      </c>
    </row>
    <row r="42" spans="1:6" x14ac:dyDescent="0.35">
      <c r="A42" s="13" t="s">
        <v>395</v>
      </c>
      <c r="B42" s="13">
        <v>13429</v>
      </c>
      <c r="C42" s="13" t="s">
        <v>276</v>
      </c>
      <c r="D42" s="13">
        <v>8000</v>
      </c>
      <c r="E42" s="14">
        <f t="shared" si="0"/>
        <v>428000</v>
      </c>
      <c r="F42" s="14">
        <f t="shared" si="1"/>
        <v>72000</v>
      </c>
    </row>
    <row r="43" spans="1:6" x14ac:dyDescent="0.35">
      <c r="A43" s="13" t="s">
        <v>396</v>
      </c>
      <c r="B43" s="13">
        <v>13779</v>
      </c>
      <c r="C43" s="13" t="s">
        <v>276</v>
      </c>
      <c r="D43" s="13">
        <v>8000</v>
      </c>
      <c r="E43" s="14">
        <f t="shared" si="0"/>
        <v>436000</v>
      </c>
      <c r="F43" s="14">
        <f t="shared" si="1"/>
        <v>64000</v>
      </c>
    </row>
    <row r="44" spans="1:6" x14ac:dyDescent="0.35">
      <c r="A44" s="13" t="s">
        <v>397</v>
      </c>
      <c r="B44" s="13">
        <v>1759</v>
      </c>
      <c r="C44" s="13" t="s">
        <v>276</v>
      </c>
      <c r="D44" s="13">
        <v>16000</v>
      </c>
      <c r="E44" s="14">
        <f t="shared" si="0"/>
        <v>452000</v>
      </c>
      <c r="F44" s="14">
        <f t="shared" si="1"/>
        <v>48000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D26" sqref="D26"/>
    </sheetView>
  </sheetViews>
  <sheetFormatPr defaultRowHeight="14.5" x14ac:dyDescent="0.3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9</v>
      </c>
      <c r="B1" s="1"/>
      <c r="C1" s="2"/>
      <c r="D1" s="1"/>
      <c r="E1" s="1"/>
      <c r="F1" s="1"/>
    </row>
    <row r="2" spans="1:6" ht="18.5" x14ac:dyDescent="0.45">
      <c r="A2" s="1" t="s">
        <v>0</v>
      </c>
      <c r="C2" s="1"/>
      <c r="D2" s="1"/>
      <c r="E2" s="1"/>
      <c r="F2" s="1"/>
    </row>
    <row r="3" spans="1:6" ht="18.5" x14ac:dyDescent="0.45">
      <c r="A3" s="1" t="s">
        <v>10</v>
      </c>
      <c r="B3" s="1"/>
      <c r="C3" s="1"/>
      <c r="D3" s="1"/>
      <c r="E3" s="1"/>
      <c r="F3" s="1"/>
    </row>
    <row r="4" spans="1:6" ht="18.5" x14ac:dyDescent="0.45">
      <c r="A4" s="1" t="s">
        <v>202</v>
      </c>
      <c r="B4" s="1"/>
      <c r="C4" s="1"/>
      <c r="D4" s="1"/>
      <c r="E4" s="1"/>
      <c r="F4" s="1"/>
    </row>
    <row r="5" spans="1:6" ht="18.5" x14ac:dyDescent="0.45">
      <c r="A5" s="1" t="s">
        <v>1</v>
      </c>
      <c r="B5" s="1"/>
      <c r="C5" s="1"/>
      <c r="D5" s="1"/>
      <c r="E5" s="1"/>
      <c r="F5" s="1"/>
    </row>
    <row r="6" spans="1:6" ht="18.5" x14ac:dyDescent="0.45">
      <c r="A6" s="1" t="s">
        <v>14</v>
      </c>
      <c r="B6" s="1"/>
      <c r="C6" s="1"/>
      <c r="D6" s="1" t="s">
        <v>2</v>
      </c>
      <c r="E6" s="1"/>
      <c r="F6" s="1"/>
    </row>
    <row r="7" spans="1:6" x14ac:dyDescent="0.35">
      <c r="A7" s="4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</row>
    <row r="8" spans="1:6" x14ac:dyDescent="0.35">
      <c r="A8" s="6">
        <v>45992</v>
      </c>
      <c r="B8" s="5">
        <v>12042</v>
      </c>
      <c r="C8" s="5" t="s">
        <v>11</v>
      </c>
      <c r="D8" s="5">
        <v>45000</v>
      </c>
      <c r="E8" s="5">
        <v>45000</v>
      </c>
      <c r="F8" s="7">
        <v>655000</v>
      </c>
    </row>
    <row r="9" spans="1:6" x14ac:dyDescent="0.35">
      <c r="A9" s="6">
        <v>45839</v>
      </c>
      <c r="B9" s="5">
        <v>803</v>
      </c>
      <c r="C9" s="5" t="s">
        <v>12</v>
      </c>
      <c r="D9" s="5">
        <v>5000</v>
      </c>
      <c r="E9" s="5">
        <f>SUM(E8+D9)</f>
        <v>50000</v>
      </c>
      <c r="F9" s="7">
        <f>F8-D9</f>
        <v>650000</v>
      </c>
    </row>
    <row r="10" spans="1:6" x14ac:dyDescent="0.35">
      <c r="A10" s="6">
        <v>45902</v>
      </c>
      <c r="B10" s="5">
        <v>9279</v>
      </c>
      <c r="C10" s="5" t="s">
        <v>13</v>
      </c>
      <c r="D10" s="7">
        <v>10000</v>
      </c>
      <c r="E10" s="5">
        <f t="shared" ref="E10:E23" si="0">SUM(E9+D10)</f>
        <v>60000</v>
      </c>
      <c r="F10" s="7">
        <f t="shared" ref="F10:F23" si="1">F9-D10</f>
        <v>640000</v>
      </c>
    </row>
    <row r="11" spans="1:6" x14ac:dyDescent="0.35">
      <c r="A11" s="6">
        <v>45903</v>
      </c>
      <c r="B11" s="5">
        <v>9679</v>
      </c>
      <c r="C11" s="5" t="s">
        <v>13</v>
      </c>
      <c r="D11" s="7">
        <v>10000</v>
      </c>
      <c r="E11" s="5">
        <f t="shared" si="0"/>
        <v>70000</v>
      </c>
      <c r="F11" s="7">
        <f t="shared" si="1"/>
        <v>630000</v>
      </c>
    </row>
    <row r="12" spans="1:6" x14ac:dyDescent="0.35">
      <c r="A12" s="6">
        <v>45965</v>
      </c>
      <c r="B12" s="5">
        <v>10110</v>
      </c>
      <c r="C12" s="5" t="s">
        <v>13</v>
      </c>
      <c r="D12" s="7">
        <v>5000</v>
      </c>
      <c r="E12" s="5">
        <f t="shared" si="0"/>
        <v>75000</v>
      </c>
      <c r="F12" s="7">
        <f t="shared" si="1"/>
        <v>625000</v>
      </c>
    </row>
    <row r="13" spans="1:6" x14ac:dyDescent="0.35">
      <c r="A13" s="6">
        <v>45996</v>
      </c>
      <c r="B13" s="5">
        <v>10958</v>
      </c>
      <c r="C13" s="5" t="s">
        <v>13</v>
      </c>
      <c r="D13" s="7">
        <v>10000</v>
      </c>
      <c r="E13" s="5">
        <f t="shared" si="0"/>
        <v>85000</v>
      </c>
      <c r="F13" s="7">
        <f t="shared" si="1"/>
        <v>615000</v>
      </c>
    </row>
    <row r="14" spans="1:6" x14ac:dyDescent="0.35">
      <c r="A14" s="6">
        <v>45814</v>
      </c>
      <c r="B14" s="5">
        <v>10484</v>
      </c>
      <c r="C14" s="5" t="s">
        <v>13</v>
      </c>
      <c r="D14" s="7">
        <v>10000</v>
      </c>
      <c r="E14" s="5">
        <f t="shared" si="0"/>
        <v>95000</v>
      </c>
      <c r="F14" s="7">
        <f t="shared" si="1"/>
        <v>605000</v>
      </c>
    </row>
    <row r="15" spans="1:6" x14ac:dyDescent="0.35">
      <c r="A15" s="6">
        <v>45665</v>
      </c>
      <c r="B15" s="5">
        <v>12335</v>
      </c>
      <c r="C15" s="5" t="s">
        <v>13</v>
      </c>
      <c r="D15" s="7">
        <v>20000</v>
      </c>
      <c r="E15" s="5">
        <f t="shared" si="0"/>
        <v>115000</v>
      </c>
      <c r="F15" s="7">
        <f t="shared" si="1"/>
        <v>585000</v>
      </c>
    </row>
    <row r="16" spans="1:6" x14ac:dyDescent="0.35">
      <c r="A16" s="6">
        <v>45847</v>
      </c>
      <c r="B16" s="5">
        <v>12630</v>
      </c>
      <c r="C16" s="5" t="s">
        <v>13</v>
      </c>
      <c r="D16" s="7">
        <v>10000</v>
      </c>
      <c r="E16" s="5">
        <f t="shared" si="0"/>
        <v>125000</v>
      </c>
      <c r="F16" s="7">
        <f t="shared" si="1"/>
        <v>575000</v>
      </c>
    </row>
    <row r="17" spans="1:6" x14ac:dyDescent="0.35">
      <c r="A17" s="6">
        <v>45787</v>
      </c>
      <c r="B17" s="5">
        <v>13895</v>
      </c>
      <c r="C17" s="5" t="s">
        <v>13</v>
      </c>
      <c r="D17" s="7">
        <v>10000</v>
      </c>
      <c r="E17" s="5">
        <f t="shared" si="0"/>
        <v>135000</v>
      </c>
      <c r="F17" s="7">
        <f t="shared" si="1"/>
        <v>565000</v>
      </c>
    </row>
    <row r="18" spans="1:6" x14ac:dyDescent="0.35">
      <c r="A18" s="6">
        <v>46296</v>
      </c>
      <c r="B18" s="5">
        <v>12058</v>
      </c>
      <c r="C18" s="5" t="s">
        <v>13</v>
      </c>
      <c r="D18" s="7">
        <v>10000</v>
      </c>
      <c r="E18" s="5">
        <f t="shared" si="0"/>
        <v>145000</v>
      </c>
      <c r="F18" s="7">
        <f t="shared" si="1"/>
        <v>555000</v>
      </c>
    </row>
    <row r="19" spans="1:6" x14ac:dyDescent="0.35">
      <c r="A19" s="6">
        <v>46205</v>
      </c>
      <c r="B19" s="5">
        <v>12369</v>
      </c>
      <c r="C19" s="5" t="s">
        <v>13</v>
      </c>
      <c r="D19" s="7">
        <v>10000</v>
      </c>
      <c r="E19" s="5">
        <f t="shared" si="0"/>
        <v>155000</v>
      </c>
      <c r="F19" s="7">
        <f t="shared" si="1"/>
        <v>545000</v>
      </c>
    </row>
    <row r="20" spans="1:6" x14ac:dyDescent="0.35">
      <c r="A20" s="18">
        <v>46359</v>
      </c>
      <c r="B20" s="17">
        <v>12842</v>
      </c>
      <c r="C20" s="5" t="s">
        <v>13</v>
      </c>
      <c r="D20" s="7">
        <v>20000</v>
      </c>
      <c r="E20" s="5">
        <f t="shared" si="0"/>
        <v>175000</v>
      </c>
      <c r="F20" s="7">
        <f t="shared" si="1"/>
        <v>525000</v>
      </c>
    </row>
    <row r="21" spans="1:6" x14ac:dyDescent="0.35">
      <c r="A21" s="18">
        <v>46146</v>
      </c>
      <c r="B21" s="17">
        <v>13146</v>
      </c>
      <c r="C21" s="5" t="s">
        <v>13</v>
      </c>
      <c r="D21" s="7">
        <v>10000</v>
      </c>
      <c r="E21" s="5">
        <f t="shared" si="0"/>
        <v>185000</v>
      </c>
      <c r="F21" s="7">
        <f t="shared" si="1"/>
        <v>515000</v>
      </c>
    </row>
    <row r="22" spans="1:6" x14ac:dyDescent="0.35">
      <c r="A22" s="18">
        <v>46360</v>
      </c>
      <c r="B22" s="17">
        <v>13261</v>
      </c>
      <c r="C22" s="5" t="s">
        <v>13</v>
      </c>
      <c r="D22" s="7">
        <v>10000</v>
      </c>
      <c r="E22" s="5">
        <f t="shared" si="0"/>
        <v>195000</v>
      </c>
      <c r="F22" s="7">
        <f t="shared" si="1"/>
        <v>505000</v>
      </c>
    </row>
    <row r="23" spans="1:6" x14ac:dyDescent="0.35">
      <c r="A23" s="18">
        <v>46270</v>
      </c>
      <c r="B23" s="17">
        <v>12979</v>
      </c>
      <c r="C23" s="5" t="s">
        <v>13</v>
      </c>
      <c r="D23" s="7">
        <v>10000</v>
      </c>
      <c r="E23" s="5">
        <f t="shared" si="0"/>
        <v>205000</v>
      </c>
      <c r="F23" s="7">
        <f t="shared" si="1"/>
        <v>495000</v>
      </c>
    </row>
    <row r="24" spans="1:6" x14ac:dyDescent="0.35">
      <c r="A24" t="s">
        <v>278</v>
      </c>
      <c r="B24" s="17">
        <v>13566</v>
      </c>
      <c r="C24" s="17" t="s">
        <v>13</v>
      </c>
      <c r="D24" s="21">
        <v>10000</v>
      </c>
      <c r="E24" s="21">
        <f>E23+D24</f>
        <v>215000</v>
      </c>
      <c r="F24" s="21">
        <f>F23-D24</f>
        <v>485000</v>
      </c>
    </row>
    <row r="25" spans="1:6" x14ac:dyDescent="0.35">
      <c r="A25" t="s">
        <v>469</v>
      </c>
      <c r="B25" s="17">
        <v>1649</v>
      </c>
      <c r="C25" s="17" t="s">
        <v>13</v>
      </c>
      <c r="D25" s="21">
        <v>10000</v>
      </c>
      <c r="E25" s="21">
        <f>E24+D25</f>
        <v>225000</v>
      </c>
      <c r="F25" s="21">
        <f>F24-D25</f>
        <v>475000</v>
      </c>
    </row>
    <row r="26" spans="1:6" x14ac:dyDescent="0.35">
      <c r="A26" t="s">
        <v>470</v>
      </c>
      <c r="B26" s="17">
        <v>2113</v>
      </c>
      <c r="C26" s="17" t="s">
        <v>13</v>
      </c>
      <c r="D26" s="21">
        <v>20000</v>
      </c>
      <c r="E26" s="21">
        <f>E25+D26</f>
        <v>245000</v>
      </c>
      <c r="F26" s="21">
        <f>F25-D26</f>
        <v>455000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21" workbookViewId="0">
      <selection activeCell="F35" sqref="F35"/>
    </sheetView>
  </sheetViews>
  <sheetFormatPr defaultRowHeight="14.5" x14ac:dyDescent="0.35"/>
  <cols>
    <col min="1" max="1" width="10.453125" bestFit="1" customWidth="1"/>
    <col min="3" max="3" width="12.1796875" customWidth="1"/>
    <col min="6" max="6" width="11.90625" customWidth="1"/>
  </cols>
  <sheetData>
    <row r="1" spans="1:6" ht="18.5" x14ac:dyDescent="0.45">
      <c r="A1" s="1" t="s">
        <v>112</v>
      </c>
      <c r="B1" s="1"/>
      <c r="C1" s="2"/>
      <c r="D1" s="1"/>
      <c r="E1" s="1"/>
      <c r="F1" s="1"/>
    </row>
    <row r="2" spans="1:6" ht="18.5" x14ac:dyDescent="0.45">
      <c r="A2" s="1" t="s">
        <v>113</v>
      </c>
      <c r="B2" s="16"/>
      <c r="C2" s="1"/>
      <c r="D2" s="1"/>
      <c r="E2" s="1"/>
      <c r="F2" s="1"/>
    </row>
    <row r="3" spans="1:6" ht="18.5" x14ac:dyDescent="0.45">
      <c r="A3" s="1" t="s">
        <v>114</v>
      </c>
      <c r="B3" s="1"/>
      <c r="C3" s="1"/>
      <c r="D3" s="1"/>
      <c r="E3" s="1"/>
      <c r="F3" s="1"/>
    </row>
    <row r="4" spans="1:6" ht="18.5" x14ac:dyDescent="0.45">
      <c r="A4" s="1" t="s">
        <v>217</v>
      </c>
      <c r="B4" s="1"/>
      <c r="C4" s="1"/>
      <c r="D4" s="1"/>
      <c r="E4" s="1"/>
      <c r="F4" s="1"/>
    </row>
    <row r="5" spans="1:6" ht="18.5" x14ac:dyDescent="0.45">
      <c r="A5" s="1" t="s">
        <v>115</v>
      </c>
      <c r="B5" s="1"/>
      <c r="C5" s="1"/>
      <c r="D5" s="1"/>
      <c r="E5" s="1"/>
      <c r="F5" s="16"/>
    </row>
    <row r="6" spans="1:6" ht="18.5" x14ac:dyDescent="0.45">
      <c r="A6" s="1" t="s">
        <v>116</v>
      </c>
      <c r="B6" s="1"/>
      <c r="C6" s="1"/>
      <c r="D6" s="1" t="s">
        <v>69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s="20" t="s">
        <v>117</v>
      </c>
      <c r="B8" s="20">
        <v>16</v>
      </c>
      <c r="C8" s="20" t="s">
        <v>121</v>
      </c>
      <c r="D8" s="21">
        <v>10000</v>
      </c>
      <c r="E8" s="21">
        <v>10000</v>
      </c>
      <c r="F8" s="21">
        <v>270000</v>
      </c>
    </row>
    <row r="9" spans="1:6" x14ac:dyDescent="0.35">
      <c r="A9" s="20" t="s">
        <v>118</v>
      </c>
      <c r="B9" s="20">
        <v>1244</v>
      </c>
      <c r="C9" s="20" t="s">
        <v>121</v>
      </c>
      <c r="D9" s="21">
        <v>20000</v>
      </c>
      <c r="E9" s="21">
        <f>SUM(E8+D9)</f>
        <v>30000</v>
      </c>
      <c r="F9" s="21">
        <f>F8-D9</f>
        <v>250000</v>
      </c>
    </row>
    <row r="10" spans="1:6" x14ac:dyDescent="0.35">
      <c r="A10" s="22">
        <v>44743</v>
      </c>
      <c r="B10" s="20">
        <v>2180</v>
      </c>
      <c r="C10" s="20" t="s">
        <v>78</v>
      </c>
      <c r="D10" s="21">
        <v>20000</v>
      </c>
      <c r="E10" s="21">
        <f t="shared" ref="E10:E29" si="0">SUM(E9+D10)</f>
        <v>50000</v>
      </c>
      <c r="F10" s="21">
        <f t="shared" ref="F10:F28" si="1">F9-D10</f>
        <v>230000</v>
      </c>
    </row>
    <row r="11" spans="1:6" x14ac:dyDescent="0.35">
      <c r="A11" s="20" t="s">
        <v>119</v>
      </c>
      <c r="B11" s="20">
        <v>2881</v>
      </c>
      <c r="C11" s="20" t="s">
        <v>121</v>
      </c>
      <c r="D11" s="21">
        <v>10000</v>
      </c>
      <c r="E11" s="21">
        <f t="shared" si="0"/>
        <v>60000</v>
      </c>
      <c r="F11" s="21">
        <f t="shared" si="1"/>
        <v>220000</v>
      </c>
    </row>
    <row r="12" spans="1:6" x14ac:dyDescent="0.35">
      <c r="A12" s="22">
        <v>45263</v>
      </c>
      <c r="B12" s="20">
        <v>2181</v>
      </c>
      <c r="C12" s="20" t="s">
        <v>121</v>
      </c>
      <c r="D12" s="21">
        <v>10000</v>
      </c>
      <c r="E12" s="21">
        <f t="shared" si="0"/>
        <v>70000</v>
      </c>
      <c r="F12" s="21">
        <f t="shared" si="1"/>
        <v>210000</v>
      </c>
    </row>
    <row r="13" spans="1:6" x14ac:dyDescent="0.35">
      <c r="A13" s="22">
        <v>45022</v>
      </c>
      <c r="B13" s="20">
        <v>286</v>
      </c>
      <c r="C13" s="20" t="s">
        <v>121</v>
      </c>
      <c r="D13" s="21">
        <v>20000</v>
      </c>
      <c r="E13" s="21">
        <f t="shared" si="0"/>
        <v>90000</v>
      </c>
      <c r="F13" s="21">
        <f t="shared" si="1"/>
        <v>190000</v>
      </c>
    </row>
    <row r="14" spans="1:6" x14ac:dyDescent="0.35">
      <c r="A14" s="20" t="s">
        <v>120</v>
      </c>
      <c r="B14" s="20">
        <v>2412</v>
      </c>
      <c r="C14" s="20" t="s">
        <v>121</v>
      </c>
      <c r="D14" s="21">
        <v>20000</v>
      </c>
      <c r="E14" s="21">
        <f t="shared" si="0"/>
        <v>110000</v>
      </c>
      <c r="F14" s="21">
        <f t="shared" si="1"/>
        <v>170000</v>
      </c>
    </row>
    <row r="15" spans="1:6" x14ac:dyDescent="0.35">
      <c r="A15" s="20" t="s">
        <v>76</v>
      </c>
      <c r="B15" s="20">
        <v>4641</v>
      </c>
      <c r="C15" s="20" t="s">
        <v>121</v>
      </c>
      <c r="D15" s="21">
        <v>10000</v>
      </c>
      <c r="E15" s="21">
        <f t="shared" si="0"/>
        <v>120000</v>
      </c>
      <c r="F15" s="21">
        <f t="shared" si="1"/>
        <v>160000</v>
      </c>
    </row>
    <row r="16" spans="1:6" x14ac:dyDescent="0.35">
      <c r="A16" s="22">
        <v>45270</v>
      </c>
      <c r="B16" s="20">
        <v>4642</v>
      </c>
      <c r="C16" s="20" t="s">
        <v>121</v>
      </c>
      <c r="D16" s="21">
        <v>10000</v>
      </c>
      <c r="E16" s="21">
        <f t="shared" si="0"/>
        <v>130000</v>
      </c>
      <c r="F16" s="21">
        <f t="shared" si="1"/>
        <v>150000</v>
      </c>
    </row>
    <row r="17" spans="1:6" x14ac:dyDescent="0.35">
      <c r="A17" s="22">
        <v>45057</v>
      </c>
      <c r="B17" s="20">
        <v>4643</v>
      </c>
      <c r="C17" s="20" t="s">
        <v>121</v>
      </c>
      <c r="D17" s="21">
        <v>10000</v>
      </c>
      <c r="E17" s="21">
        <f t="shared" si="0"/>
        <v>140000</v>
      </c>
      <c r="F17" s="21">
        <f t="shared" si="1"/>
        <v>140000</v>
      </c>
    </row>
    <row r="18" spans="1:6" x14ac:dyDescent="0.35">
      <c r="A18" s="22">
        <v>45058</v>
      </c>
      <c r="B18" s="20">
        <v>5570</v>
      </c>
      <c r="C18" s="20" t="s">
        <v>121</v>
      </c>
      <c r="D18" s="21">
        <v>10000</v>
      </c>
      <c r="E18" s="21">
        <f t="shared" si="0"/>
        <v>150000</v>
      </c>
      <c r="F18" s="21">
        <f t="shared" si="1"/>
        <v>130000</v>
      </c>
    </row>
    <row r="19" spans="1:6" x14ac:dyDescent="0.35">
      <c r="A19" s="22">
        <v>45598</v>
      </c>
      <c r="B19" s="20">
        <v>7043</v>
      </c>
      <c r="C19" s="20" t="s">
        <v>121</v>
      </c>
      <c r="D19" s="21">
        <v>10000</v>
      </c>
      <c r="E19" s="21">
        <f t="shared" si="0"/>
        <v>160000</v>
      </c>
      <c r="F19" s="21">
        <f t="shared" si="1"/>
        <v>120000</v>
      </c>
    </row>
    <row r="20" spans="1:6" x14ac:dyDescent="0.35">
      <c r="A20" s="22">
        <v>45539</v>
      </c>
      <c r="B20" s="20">
        <v>7792</v>
      </c>
      <c r="C20" s="20" t="s">
        <v>121</v>
      </c>
      <c r="D20" s="21">
        <v>10000</v>
      </c>
      <c r="E20" s="21">
        <f t="shared" si="0"/>
        <v>170000</v>
      </c>
      <c r="F20" s="21">
        <f t="shared" si="1"/>
        <v>110000</v>
      </c>
    </row>
    <row r="21" spans="1:6" x14ac:dyDescent="0.35">
      <c r="A21" s="22">
        <v>45631</v>
      </c>
      <c r="B21" s="20">
        <v>8461</v>
      </c>
      <c r="C21" s="20" t="s">
        <v>121</v>
      </c>
      <c r="D21" s="21">
        <v>10000</v>
      </c>
      <c r="E21" s="21">
        <f t="shared" si="0"/>
        <v>180000</v>
      </c>
      <c r="F21" s="21">
        <f t="shared" si="1"/>
        <v>100000</v>
      </c>
    </row>
    <row r="22" spans="1:6" x14ac:dyDescent="0.35">
      <c r="A22" s="22">
        <v>45571</v>
      </c>
      <c r="B22" s="20">
        <v>10777</v>
      </c>
      <c r="C22" s="20" t="s">
        <v>121</v>
      </c>
      <c r="D22" s="21">
        <v>10000</v>
      </c>
      <c r="E22" s="21">
        <f t="shared" si="0"/>
        <v>190000</v>
      </c>
      <c r="F22" s="21">
        <f t="shared" si="1"/>
        <v>90000</v>
      </c>
    </row>
    <row r="23" spans="1:6" x14ac:dyDescent="0.35">
      <c r="A23" s="22">
        <v>45603</v>
      </c>
      <c r="B23" s="20">
        <v>10778</v>
      </c>
      <c r="C23" s="20" t="s">
        <v>121</v>
      </c>
      <c r="D23" s="21">
        <v>10000</v>
      </c>
      <c r="E23" s="21">
        <f t="shared" si="0"/>
        <v>200000</v>
      </c>
      <c r="F23" s="21">
        <f t="shared" si="1"/>
        <v>80000</v>
      </c>
    </row>
    <row r="24" spans="1:6" x14ac:dyDescent="0.35">
      <c r="A24" s="20" t="s">
        <v>122</v>
      </c>
      <c r="B24" s="20">
        <v>10779</v>
      </c>
      <c r="C24" s="20" t="s">
        <v>121</v>
      </c>
      <c r="D24" s="21">
        <v>10000</v>
      </c>
      <c r="E24" s="21">
        <f t="shared" si="0"/>
        <v>210000</v>
      </c>
      <c r="F24" s="21">
        <f t="shared" si="1"/>
        <v>70000</v>
      </c>
    </row>
    <row r="25" spans="1:6" x14ac:dyDescent="0.35">
      <c r="A25" s="22">
        <v>45635</v>
      </c>
      <c r="B25" s="20">
        <v>10780</v>
      </c>
      <c r="C25" s="20" t="s">
        <v>121</v>
      </c>
      <c r="D25" s="21">
        <v>10000</v>
      </c>
      <c r="E25" s="21">
        <f t="shared" si="0"/>
        <v>220000</v>
      </c>
      <c r="F25" s="21">
        <f t="shared" si="1"/>
        <v>60000</v>
      </c>
    </row>
    <row r="26" spans="1:6" x14ac:dyDescent="0.35">
      <c r="A26" s="22">
        <v>45422</v>
      </c>
      <c r="B26" s="20">
        <v>351</v>
      </c>
      <c r="C26" s="20" t="s">
        <v>121</v>
      </c>
      <c r="D26" s="21">
        <v>10000</v>
      </c>
      <c r="E26" s="21">
        <f t="shared" si="0"/>
        <v>230000</v>
      </c>
      <c r="F26" s="21">
        <f t="shared" si="1"/>
        <v>50000</v>
      </c>
    </row>
    <row r="27" spans="1:6" x14ac:dyDescent="0.35">
      <c r="A27" s="22">
        <v>45423</v>
      </c>
      <c r="B27" s="20">
        <v>11591</v>
      </c>
      <c r="C27" s="20" t="s">
        <v>121</v>
      </c>
      <c r="D27" s="21">
        <v>10000</v>
      </c>
      <c r="E27" s="21">
        <f t="shared" si="0"/>
        <v>240000</v>
      </c>
      <c r="F27" s="21">
        <f t="shared" si="1"/>
        <v>40000</v>
      </c>
    </row>
    <row r="28" spans="1:6" x14ac:dyDescent="0.35">
      <c r="A28" s="22">
        <v>45577</v>
      </c>
      <c r="B28" s="20">
        <v>12318</v>
      </c>
      <c r="C28" s="20" t="s">
        <v>121</v>
      </c>
      <c r="D28" s="21">
        <v>10000</v>
      </c>
      <c r="E28" s="21">
        <f t="shared" si="0"/>
        <v>250000</v>
      </c>
      <c r="F28" s="21">
        <f t="shared" si="1"/>
        <v>30000</v>
      </c>
    </row>
    <row r="29" spans="1:6" x14ac:dyDescent="0.35">
      <c r="A29" s="22">
        <v>45992</v>
      </c>
      <c r="B29" s="20">
        <v>12038</v>
      </c>
      <c r="C29" s="20" t="s">
        <v>121</v>
      </c>
      <c r="D29" s="21">
        <v>10000</v>
      </c>
      <c r="E29" s="21">
        <f t="shared" si="0"/>
        <v>260000</v>
      </c>
      <c r="F29" s="21" t="s">
        <v>61</v>
      </c>
    </row>
    <row r="30" spans="1:6" x14ac:dyDescent="0.35">
      <c r="A30" t="s">
        <v>123</v>
      </c>
    </row>
    <row r="31" spans="1:6" x14ac:dyDescent="0.35">
      <c r="A31" t="s">
        <v>111</v>
      </c>
    </row>
    <row r="34" spans="1:6" x14ac:dyDescent="0.35">
      <c r="A34" t="s">
        <v>358</v>
      </c>
      <c r="B34">
        <v>1670</v>
      </c>
      <c r="C34" t="s">
        <v>287</v>
      </c>
      <c r="D34" s="19">
        <v>100000</v>
      </c>
      <c r="E34" s="19">
        <v>195000</v>
      </c>
      <c r="F34" t="s">
        <v>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5" workbookViewId="0">
      <selection activeCell="J45" sqref="J45"/>
    </sheetView>
  </sheetViews>
  <sheetFormatPr defaultRowHeight="14.5" x14ac:dyDescent="0.35"/>
  <cols>
    <col min="1" max="1" width="12" customWidth="1"/>
    <col min="3" max="3" width="14" customWidth="1"/>
  </cols>
  <sheetData>
    <row r="1" spans="1:6" ht="18.5" x14ac:dyDescent="0.45">
      <c r="A1" s="1" t="s">
        <v>218</v>
      </c>
      <c r="B1" s="1"/>
      <c r="C1" s="2"/>
      <c r="D1" s="1"/>
      <c r="E1" s="1"/>
      <c r="F1" s="1"/>
    </row>
    <row r="2" spans="1:6" ht="18.5" x14ac:dyDescent="0.45">
      <c r="A2" s="1" t="s">
        <v>219</v>
      </c>
      <c r="B2" s="16"/>
      <c r="C2" s="1"/>
      <c r="D2" s="1"/>
      <c r="E2" s="1"/>
      <c r="F2" s="1"/>
    </row>
    <row r="3" spans="1:6" ht="18.5" x14ac:dyDescent="0.45">
      <c r="A3" s="1" t="s">
        <v>220</v>
      </c>
      <c r="B3" s="1"/>
      <c r="C3" s="1"/>
      <c r="D3" s="1"/>
      <c r="E3" s="1"/>
      <c r="F3" s="1"/>
    </row>
    <row r="4" spans="1:6" ht="18.5" x14ac:dyDescent="0.45">
      <c r="A4" s="1" t="s">
        <v>224</v>
      </c>
      <c r="B4" s="1"/>
      <c r="C4" s="1"/>
      <c r="D4" s="1"/>
      <c r="E4" s="1"/>
      <c r="F4" s="1"/>
    </row>
    <row r="5" spans="1:6" ht="18.5" x14ac:dyDescent="0.45">
      <c r="A5" s="1" t="s">
        <v>221</v>
      </c>
      <c r="B5" s="1"/>
      <c r="C5" s="1"/>
      <c r="D5" s="1"/>
      <c r="E5" s="1"/>
      <c r="F5" s="16"/>
    </row>
    <row r="6" spans="1:6" ht="18.5" x14ac:dyDescent="0.45">
      <c r="A6" s="1" t="s">
        <v>222</v>
      </c>
      <c r="B6" s="1"/>
      <c r="C6" s="1"/>
      <c r="D6" s="1" t="s">
        <v>223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t="s">
        <v>225</v>
      </c>
      <c r="B8">
        <v>447</v>
      </c>
      <c r="C8" t="s">
        <v>77</v>
      </c>
      <c r="D8" s="19">
        <v>10000</v>
      </c>
      <c r="E8" s="19">
        <v>10000</v>
      </c>
      <c r="F8" s="19">
        <v>310000</v>
      </c>
    </row>
    <row r="9" spans="1:6" x14ac:dyDescent="0.35">
      <c r="A9" s="18">
        <v>44872</v>
      </c>
      <c r="B9">
        <v>1152</v>
      </c>
      <c r="C9" t="s">
        <v>77</v>
      </c>
      <c r="D9" s="19">
        <v>10000</v>
      </c>
      <c r="E9" s="19">
        <f>E8+D9</f>
        <v>20000</v>
      </c>
      <c r="F9" s="19">
        <f>F8-D9</f>
        <v>300000</v>
      </c>
    </row>
    <row r="10" spans="1:6" x14ac:dyDescent="0.35">
      <c r="A10" t="s">
        <v>226</v>
      </c>
      <c r="B10">
        <v>2432</v>
      </c>
      <c r="C10" t="s">
        <v>234</v>
      </c>
      <c r="D10" s="19">
        <v>10000</v>
      </c>
      <c r="E10" s="19">
        <f t="shared" ref="E10:E38" si="0">E9+D10</f>
        <v>30000</v>
      </c>
      <c r="F10" s="19">
        <f t="shared" ref="F10:F38" si="1">F9-D10</f>
        <v>290000</v>
      </c>
    </row>
    <row r="11" spans="1:6" x14ac:dyDescent="0.35">
      <c r="A11" t="s">
        <v>227</v>
      </c>
      <c r="B11">
        <v>2433</v>
      </c>
      <c r="C11" t="s">
        <v>234</v>
      </c>
      <c r="D11" s="19">
        <v>10000</v>
      </c>
      <c r="E11" s="19">
        <f t="shared" si="0"/>
        <v>40000</v>
      </c>
      <c r="F11" s="19">
        <f t="shared" si="1"/>
        <v>280000</v>
      </c>
    </row>
    <row r="12" spans="1:6" x14ac:dyDescent="0.35">
      <c r="A12" t="s">
        <v>228</v>
      </c>
      <c r="B12">
        <v>2434</v>
      </c>
      <c r="C12" t="s">
        <v>234</v>
      </c>
      <c r="D12" s="19">
        <v>10000</v>
      </c>
      <c r="E12" s="19">
        <f t="shared" si="0"/>
        <v>50000</v>
      </c>
      <c r="F12" s="19">
        <f t="shared" si="1"/>
        <v>270000</v>
      </c>
    </row>
    <row r="13" spans="1:6" x14ac:dyDescent="0.35">
      <c r="A13" t="s">
        <v>229</v>
      </c>
      <c r="B13">
        <v>2435</v>
      </c>
      <c r="C13" t="s">
        <v>234</v>
      </c>
      <c r="D13" s="19">
        <v>10000</v>
      </c>
      <c r="E13" s="19">
        <f t="shared" si="0"/>
        <v>60000</v>
      </c>
      <c r="F13" s="19">
        <f t="shared" si="1"/>
        <v>260000</v>
      </c>
    </row>
    <row r="14" spans="1:6" x14ac:dyDescent="0.35">
      <c r="A14" t="s">
        <v>230</v>
      </c>
      <c r="B14">
        <v>2436</v>
      </c>
      <c r="C14" t="s">
        <v>235</v>
      </c>
      <c r="D14" s="19">
        <v>10000</v>
      </c>
      <c r="E14" s="19">
        <f t="shared" si="0"/>
        <v>70000</v>
      </c>
      <c r="F14" s="19">
        <f t="shared" si="1"/>
        <v>250000</v>
      </c>
    </row>
    <row r="15" spans="1:6" x14ac:dyDescent="0.35">
      <c r="A15" t="s">
        <v>72</v>
      </c>
      <c r="B15">
        <v>20</v>
      </c>
      <c r="C15" t="s">
        <v>77</v>
      </c>
      <c r="D15" s="19">
        <v>10000</v>
      </c>
      <c r="E15" s="19">
        <f t="shared" si="0"/>
        <v>80000</v>
      </c>
      <c r="F15" s="19">
        <f t="shared" si="1"/>
        <v>240000</v>
      </c>
    </row>
    <row r="16" spans="1:6" x14ac:dyDescent="0.35">
      <c r="A16" t="s">
        <v>231</v>
      </c>
      <c r="B16">
        <v>620</v>
      </c>
      <c r="C16" t="s">
        <v>77</v>
      </c>
      <c r="D16" s="19">
        <v>10000</v>
      </c>
      <c r="E16" s="19">
        <f t="shared" si="0"/>
        <v>90000</v>
      </c>
      <c r="F16" s="19">
        <f t="shared" si="1"/>
        <v>230000</v>
      </c>
    </row>
    <row r="17" spans="1:6" x14ac:dyDescent="0.35">
      <c r="A17" t="s">
        <v>232</v>
      </c>
      <c r="B17">
        <v>2069</v>
      </c>
      <c r="C17" t="s">
        <v>77</v>
      </c>
      <c r="D17" s="19">
        <v>10000</v>
      </c>
      <c r="E17" s="19">
        <f t="shared" si="0"/>
        <v>100000</v>
      </c>
      <c r="F17" s="19">
        <f t="shared" si="1"/>
        <v>220000</v>
      </c>
    </row>
    <row r="18" spans="1:6" x14ac:dyDescent="0.35">
      <c r="A18" t="s">
        <v>233</v>
      </c>
      <c r="B18">
        <v>2930</v>
      </c>
      <c r="C18" t="s">
        <v>77</v>
      </c>
      <c r="D18" s="19">
        <v>10000</v>
      </c>
      <c r="E18" s="19">
        <f t="shared" si="0"/>
        <v>110000</v>
      </c>
      <c r="F18" s="19">
        <f t="shared" si="1"/>
        <v>210000</v>
      </c>
    </row>
    <row r="19" spans="1:6" x14ac:dyDescent="0.35">
      <c r="A19" t="s">
        <v>236</v>
      </c>
      <c r="B19">
        <v>3241</v>
      </c>
      <c r="C19" t="s">
        <v>77</v>
      </c>
      <c r="D19" s="19">
        <v>10000</v>
      </c>
      <c r="E19" s="19">
        <f t="shared" si="0"/>
        <v>120000</v>
      </c>
      <c r="F19" s="19">
        <f t="shared" si="1"/>
        <v>200000</v>
      </c>
    </row>
    <row r="20" spans="1:6" x14ac:dyDescent="0.35">
      <c r="A20" t="s">
        <v>237</v>
      </c>
      <c r="B20">
        <v>3697</v>
      </c>
      <c r="C20" t="s">
        <v>77</v>
      </c>
      <c r="D20" s="19">
        <v>10000</v>
      </c>
      <c r="E20" s="19">
        <f t="shared" si="0"/>
        <v>130000</v>
      </c>
      <c r="F20" s="19">
        <f t="shared" si="1"/>
        <v>190000</v>
      </c>
    </row>
    <row r="21" spans="1:6" x14ac:dyDescent="0.35">
      <c r="A21" t="s">
        <v>238</v>
      </c>
      <c r="B21">
        <v>4345</v>
      </c>
      <c r="C21" t="s">
        <v>77</v>
      </c>
      <c r="D21" s="19">
        <v>10000</v>
      </c>
      <c r="E21" s="19">
        <f t="shared" si="0"/>
        <v>140000</v>
      </c>
      <c r="F21" s="19">
        <f t="shared" si="1"/>
        <v>180000</v>
      </c>
    </row>
    <row r="22" spans="1:6" x14ac:dyDescent="0.35">
      <c r="A22" t="s">
        <v>238</v>
      </c>
      <c r="B22">
        <v>4345</v>
      </c>
      <c r="C22" t="s">
        <v>77</v>
      </c>
      <c r="D22" s="19">
        <v>10000</v>
      </c>
      <c r="E22" s="19">
        <f t="shared" si="0"/>
        <v>150000</v>
      </c>
      <c r="F22" s="19">
        <f t="shared" si="1"/>
        <v>170000</v>
      </c>
    </row>
    <row r="23" spans="1:6" x14ac:dyDescent="0.35">
      <c r="A23" t="s">
        <v>239</v>
      </c>
      <c r="B23">
        <v>5014</v>
      </c>
      <c r="C23" t="s">
        <v>77</v>
      </c>
      <c r="D23" s="19">
        <v>10000</v>
      </c>
      <c r="E23" s="19">
        <f t="shared" si="0"/>
        <v>160000</v>
      </c>
      <c r="F23" s="19">
        <f t="shared" si="1"/>
        <v>160000</v>
      </c>
    </row>
    <row r="24" spans="1:6" x14ac:dyDescent="0.35">
      <c r="A24" t="s">
        <v>227</v>
      </c>
      <c r="B24">
        <v>5693</v>
      </c>
      <c r="C24" t="s">
        <v>77</v>
      </c>
      <c r="D24" s="19">
        <v>10000</v>
      </c>
      <c r="E24" s="19">
        <f t="shared" si="0"/>
        <v>170000</v>
      </c>
      <c r="F24" s="19">
        <f t="shared" si="1"/>
        <v>150000</v>
      </c>
    </row>
    <row r="25" spans="1:6" x14ac:dyDescent="0.35">
      <c r="A25" t="s">
        <v>240</v>
      </c>
      <c r="B25">
        <v>6351</v>
      </c>
      <c r="C25" t="s">
        <v>77</v>
      </c>
      <c r="D25" s="19">
        <v>10000</v>
      </c>
      <c r="E25" s="19">
        <f t="shared" si="0"/>
        <v>180000</v>
      </c>
      <c r="F25" s="19">
        <f t="shared" si="1"/>
        <v>140000</v>
      </c>
    </row>
    <row r="26" spans="1:6" x14ac:dyDescent="0.35">
      <c r="A26" t="s">
        <v>241</v>
      </c>
      <c r="B26">
        <v>6642</v>
      </c>
      <c r="C26" t="s">
        <v>77</v>
      </c>
      <c r="D26" s="19">
        <v>10000</v>
      </c>
      <c r="E26" s="19">
        <f t="shared" si="0"/>
        <v>190000</v>
      </c>
      <c r="F26" s="19">
        <f t="shared" si="1"/>
        <v>130000</v>
      </c>
    </row>
    <row r="27" spans="1:6" x14ac:dyDescent="0.35">
      <c r="A27" t="s">
        <v>242</v>
      </c>
      <c r="B27">
        <v>7478</v>
      </c>
      <c r="C27" t="s">
        <v>77</v>
      </c>
      <c r="D27" s="19">
        <v>10000</v>
      </c>
      <c r="E27" s="19">
        <f t="shared" si="0"/>
        <v>200000</v>
      </c>
      <c r="F27" s="19">
        <f t="shared" si="1"/>
        <v>120000</v>
      </c>
    </row>
    <row r="28" spans="1:6" x14ac:dyDescent="0.35">
      <c r="A28" s="18">
        <v>45417</v>
      </c>
      <c r="B28">
        <v>8228</v>
      </c>
      <c r="C28" t="s">
        <v>77</v>
      </c>
      <c r="D28" s="19">
        <v>10000</v>
      </c>
      <c r="E28" s="19">
        <f t="shared" si="0"/>
        <v>210000</v>
      </c>
      <c r="F28" s="19">
        <f t="shared" si="1"/>
        <v>110000</v>
      </c>
    </row>
    <row r="29" spans="1:6" x14ac:dyDescent="0.35">
      <c r="A29" t="s">
        <v>243</v>
      </c>
      <c r="B29">
        <v>9082</v>
      </c>
      <c r="C29" t="s">
        <v>77</v>
      </c>
      <c r="D29" s="19">
        <v>10000</v>
      </c>
      <c r="E29" s="19">
        <f t="shared" si="0"/>
        <v>220000</v>
      </c>
      <c r="F29" s="19">
        <f t="shared" si="1"/>
        <v>100000</v>
      </c>
    </row>
    <row r="30" spans="1:6" x14ac:dyDescent="0.35">
      <c r="A30" s="18">
        <v>45480</v>
      </c>
      <c r="B30">
        <v>9417</v>
      </c>
      <c r="C30" t="s">
        <v>77</v>
      </c>
      <c r="D30" s="19">
        <v>10000</v>
      </c>
      <c r="E30" s="19">
        <f t="shared" si="0"/>
        <v>230000</v>
      </c>
      <c r="F30" s="19">
        <f t="shared" si="1"/>
        <v>90000</v>
      </c>
    </row>
    <row r="31" spans="1:6" x14ac:dyDescent="0.35">
      <c r="A31" t="s">
        <v>244</v>
      </c>
      <c r="B31">
        <v>11207</v>
      </c>
      <c r="C31" t="s">
        <v>77</v>
      </c>
      <c r="D31" s="19">
        <v>10000</v>
      </c>
      <c r="E31" s="19">
        <f t="shared" si="0"/>
        <v>240000</v>
      </c>
      <c r="F31" s="19">
        <f t="shared" si="1"/>
        <v>80000</v>
      </c>
    </row>
    <row r="32" spans="1:6" x14ac:dyDescent="0.35">
      <c r="A32" s="18" t="s">
        <v>245</v>
      </c>
      <c r="B32">
        <v>10786</v>
      </c>
      <c r="C32" t="s">
        <v>77</v>
      </c>
      <c r="D32" s="19">
        <v>10000</v>
      </c>
      <c r="E32" s="19">
        <f t="shared" si="0"/>
        <v>250000</v>
      </c>
      <c r="F32" s="19">
        <f t="shared" si="1"/>
        <v>70000</v>
      </c>
    </row>
    <row r="33" spans="1:6" x14ac:dyDescent="0.35">
      <c r="A33" s="18">
        <v>45606</v>
      </c>
      <c r="B33">
        <v>11377</v>
      </c>
      <c r="C33" t="s">
        <v>77</v>
      </c>
      <c r="D33" s="19">
        <v>20000</v>
      </c>
      <c r="E33" s="19">
        <f t="shared" si="0"/>
        <v>270000</v>
      </c>
      <c r="F33" s="19">
        <f t="shared" si="1"/>
        <v>50000</v>
      </c>
    </row>
    <row r="34" spans="1:6" x14ac:dyDescent="0.35">
      <c r="A34" s="18" t="s">
        <v>246</v>
      </c>
      <c r="B34">
        <v>9425</v>
      </c>
      <c r="C34" t="s">
        <v>77</v>
      </c>
      <c r="D34" s="19">
        <v>10000</v>
      </c>
      <c r="E34" s="19">
        <f t="shared" si="0"/>
        <v>280000</v>
      </c>
      <c r="F34" s="19">
        <f t="shared" si="1"/>
        <v>40000</v>
      </c>
    </row>
    <row r="35" spans="1:6" x14ac:dyDescent="0.35">
      <c r="A35" s="18">
        <v>45901</v>
      </c>
      <c r="B35">
        <v>12987</v>
      </c>
      <c r="C35" t="s">
        <v>77</v>
      </c>
      <c r="D35" s="19">
        <v>10000</v>
      </c>
      <c r="E35" s="19">
        <f t="shared" si="0"/>
        <v>290000</v>
      </c>
      <c r="F35" s="19">
        <f t="shared" si="1"/>
        <v>30000</v>
      </c>
    </row>
    <row r="36" spans="1:6" x14ac:dyDescent="0.35">
      <c r="A36" s="18">
        <v>45576</v>
      </c>
      <c r="B36">
        <v>11956</v>
      </c>
      <c r="C36" t="s">
        <v>77</v>
      </c>
      <c r="D36" s="19">
        <v>10000</v>
      </c>
      <c r="E36" s="19">
        <f t="shared" si="0"/>
        <v>300000</v>
      </c>
      <c r="F36" s="19">
        <f t="shared" si="1"/>
        <v>20000</v>
      </c>
    </row>
    <row r="37" spans="1:6" x14ac:dyDescent="0.35">
      <c r="A37" s="18">
        <v>45516</v>
      </c>
      <c r="B37">
        <v>1229</v>
      </c>
      <c r="C37" t="s">
        <v>77</v>
      </c>
      <c r="D37" s="19">
        <v>10000</v>
      </c>
      <c r="E37" s="19">
        <f t="shared" si="0"/>
        <v>310000</v>
      </c>
      <c r="F37" s="19">
        <f t="shared" si="1"/>
        <v>10000</v>
      </c>
    </row>
    <row r="38" spans="1:6" x14ac:dyDescent="0.35">
      <c r="A38" s="18">
        <v>45901</v>
      </c>
      <c r="B38">
        <v>12987</v>
      </c>
      <c r="C38" t="s">
        <v>77</v>
      </c>
      <c r="D38" s="19">
        <v>10000</v>
      </c>
      <c r="E38" s="19">
        <f t="shared" si="0"/>
        <v>320000</v>
      </c>
      <c r="F38" s="19">
        <f t="shared" si="1"/>
        <v>0</v>
      </c>
    </row>
    <row r="39" spans="1:6" ht="18.5" x14ac:dyDescent="0.45">
      <c r="A39" s="16" t="s">
        <v>111</v>
      </c>
      <c r="B39" s="16"/>
      <c r="C39" s="16"/>
      <c r="D39" s="25"/>
      <c r="E39" s="25"/>
      <c r="F39" s="25"/>
    </row>
    <row r="40" spans="1:6" x14ac:dyDescent="0.35">
      <c r="A40" s="18"/>
      <c r="D40" s="19"/>
      <c r="E40" s="19"/>
      <c r="F40" s="19"/>
    </row>
    <row r="41" spans="1:6" x14ac:dyDescent="0.35">
      <c r="A41" s="18"/>
      <c r="D41" s="19"/>
      <c r="E41" s="19"/>
      <c r="F41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A8" sqref="A8:F45"/>
    </sheetView>
  </sheetViews>
  <sheetFormatPr defaultRowHeight="14.5" x14ac:dyDescent="0.35"/>
  <cols>
    <col min="1" max="1" width="10.453125" bestFit="1" customWidth="1"/>
    <col min="3" max="3" width="12.54296875" customWidth="1"/>
    <col min="4" max="4" width="12" customWidth="1"/>
    <col min="5" max="5" width="10.08984375" customWidth="1"/>
    <col min="6" max="6" width="11.36328125" customWidth="1"/>
  </cols>
  <sheetData>
    <row r="1" spans="1:6" ht="18.5" x14ac:dyDescent="0.45">
      <c r="A1" s="1" t="s">
        <v>398</v>
      </c>
      <c r="B1" s="1"/>
      <c r="C1" s="2"/>
      <c r="D1" s="1"/>
      <c r="E1" s="1"/>
      <c r="F1" s="1"/>
    </row>
    <row r="2" spans="1:6" ht="18.5" x14ac:dyDescent="0.45">
      <c r="A2" s="1" t="s">
        <v>399</v>
      </c>
      <c r="B2" s="16"/>
      <c r="C2" s="1"/>
      <c r="D2" s="1"/>
      <c r="E2" s="1"/>
      <c r="F2" s="1"/>
    </row>
    <row r="3" spans="1:6" ht="21" x14ac:dyDescent="0.5">
      <c r="A3" s="9" t="s">
        <v>400</v>
      </c>
      <c r="B3" s="9"/>
      <c r="C3" s="9"/>
      <c r="D3" s="9"/>
      <c r="E3" s="1"/>
      <c r="F3" s="1"/>
    </row>
    <row r="4" spans="1:6" ht="18.5" x14ac:dyDescent="0.45">
      <c r="A4" s="1" t="s">
        <v>403</v>
      </c>
      <c r="B4" s="1"/>
      <c r="C4" s="1"/>
      <c r="D4" s="1"/>
      <c r="E4" s="1"/>
      <c r="F4" s="1"/>
    </row>
    <row r="5" spans="1:6" ht="18.5" x14ac:dyDescent="0.45">
      <c r="A5" s="1" t="s">
        <v>401</v>
      </c>
      <c r="B5" s="1"/>
      <c r="C5" s="1"/>
      <c r="D5" s="1"/>
      <c r="E5" s="1"/>
      <c r="F5" s="1"/>
    </row>
    <row r="6" spans="1:6" ht="18.5" x14ac:dyDescent="0.45">
      <c r="A6" s="1" t="s">
        <v>402</v>
      </c>
      <c r="B6" s="1"/>
      <c r="C6" s="1"/>
      <c r="D6" s="1" t="s">
        <v>367</v>
      </c>
      <c r="E6" s="1"/>
      <c r="F6" s="1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13" t="s">
        <v>404</v>
      </c>
      <c r="B8" s="13">
        <v>2268</v>
      </c>
      <c r="C8" s="13" t="s">
        <v>377</v>
      </c>
      <c r="D8" s="14">
        <v>120000</v>
      </c>
      <c r="E8" s="14">
        <v>120000</v>
      </c>
      <c r="F8" s="14">
        <v>380000</v>
      </c>
    </row>
    <row r="9" spans="1:6" x14ac:dyDescent="0.35">
      <c r="A9" s="13" t="s">
        <v>405</v>
      </c>
      <c r="B9" s="13">
        <v>2335</v>
      </c>
      <c r="C9" s="13" t="s">
        <v>276</v>
      </c>
      <c r="D9" s="13">
        <v>8000</v>
      </c>
      <c r="E9" s="14">
        <f t="shared" ref="E9:E45" si="0">E8+D9</f>
        <v>128000</v>
      </c>
      <c r="F9" s="14">
        <f t="shared" ref="F9:F45" si="1">F8-D9</f>
        <v>372000</v>
      </c>
    </row>
    <row r="10" spans="1:6" x14ac:dyDescent="0.35">
      <c r="A10" s="15">
        <v>45203</v>
      </c>
      <c r="B10" s="13">
        <v>1902</v>
      </c>
      <c r="C10" s="13" t="s">
        <v>276</v>
      </c>
      <c r="D10" s="13">
        <v>8000</v>
      </c>
      <c r="E10" s="14">
        <f t="shared" si="0"/>
        <v>136000</v>
      </c>
      <c r="F10" s="14">
        <f t="shared" si="1"/>
        <v>364000</v>
      </c>
    </row>
    <row r="11" spans="1:6" x14ac:dyDescent="0.35">
      <c r="A11" s="13" t="s">
        <v>371</v>
      </c>
      <c r="B11" s="13">
        <v>1584</v>
      </c>
      <c r="C11" s="13" t="s">
        <v>276</v>
      </c>
      <c r="D11" s="13">
        <v>8000</v>
      </c>
      <c r="E11" s="14">
        <f t="shared" si="0"/>
        <v>144000</v>
      </c>
      <c r="F11" s="14">
        <f t="shared" si="1"/>
        <v>356000</v>
      </c>
    </row>
    <row r="12" spans="1:6" x14ac:dyDescent="0.35">
      <c r="A12" s="13" t="s">
        <v>372</v>
      </c>
      <c r="B12" s="13">
        <v>2016</v>
      </c>
      <c r="C12" s="13" t="s">
        <v>276</v>
      </c>
      <c r="D12" s="13">
        <v>8000</v>
      </c>
      <c r="E12" s="14">
        <f t="shared" si="0"/>
        <v>152000</v>
      </c>
      <c r="F12" s="14">
        <f t="shared" si="1"/>
        <v>348000</v>
      </c>
    </row>
    <row r="13" spans="1:6" x14ac:dyDescent="0.35">
      <c r="A13" s="15">
        <v>45267</v>
      </c>
      <c r="B13" s="13">
        <v>2722</v>
      </c>
      <c r="C13" s="13" t="s">
        <v>276</v>
      </c>
      <c r="D13" s="13">
        <v>8000</v>
      </c>
      <c r="E13" s="14">
        <f t="shared" si="0"/>
        <v>160000</v>
      </c>
      <c r="F13" s="14">
        <f t="shared" si="1"/>
        <v>340000</v>
      </c>
    </row>
    <row r="14" spans="1:6" x14ac:dyDescent="0.35">
      <c r="A14" s="13" t="s">
        <v>373</v>
      </c>
      <c r="B14" s="13">
        <v>2430</v>
      </c>
      <c r="C14" s="13" t="s">
        <v>276</v>
      </c>
      <c r="D14" s="13">
        <v>8000</v>
      </c>
      <c r="E14" s="14">
        <f t="shared" si="0"/>
        <v>168000</v>
      </c>
      <c r="F14" s="14">
        <f t="shared" si="1"/>
        <v>332000</v>
      </c>
    </row>
    <row r="15" spans="1:6" x14ac:dyDescent="0.35">
      <c r="A15" s="13" t="s">
        <v>374</v>
      </c>
      <c r="B15" s="13">
        <v>3667</v>
      </c>
      <c r="C15" s="13" t="s">
        <v>276</v>
      </c>
      <c r="D15" s="13">
        <v>8000</v>
      </c>
      <c r="E15" s="14">
        <f t="shared" si="0"/>
        <v>176000</v>
      </c>
      <c r="F15" s="14">
        <f t="shared" si="1"/>
        <v>324000</v>
      </c>
    </row>
    <row r="16" spans="1:6" x14ac:dyDescent="0.35">
      <c r="A16" s="13" t="s">
        <v>375</v>
      </c>
      <c r="B16" s="13">
        <v>4270</v>
      </c>
      <c r="C16" s="13" t="s">
        <v>276</v>
      </c>
      <c r="D16" s="13">
        <v>8000</v>
      </c>
      <c r="E16" s="14">
        <f t="shared" si="0"/>
        <v>184000</v>
      </c>
      <c r="F16" s="14">
        <f t="shared" si="1"/>
        <v>316000</v>
      </c>
    </row>
    <row r="17" spans="1:6" x14ac:dyDescent="0.35">
      <c r="A17" s="15">
        <v>45271</v>
      </c>
      <c r="B17" s="13">
        <v>4825</v>
      </c>
      <c r="C17" s="13" t="s">
        <v>276</v>
      </c>
      <c r="D17" s="13">
        <v>8000</v>
      </c>
      <c r="E17" s="14">
        <f t="shared" si="0"/>
        <v>192000</v>
      </c>
      <c r="F17" s="14">
        <f t="shared" si="1"/>
        <v>308000</v>
      </c>
    </row>
    <row r="18" spans="1:6" x14ac:dyDescent="0.35">
      <c r="A18" s="13" t="s">
        <v>376</v>
      </c>
      <c r="B18" s="13">
        <v>5726</v>
      </c>
      <c r="C18" s="13" t="s">
        <v>276</v>
      </c>
      <c r="D18" s="13">
        <v>8000</v>
      </c>
      <c r="E18" s="14">
        <f t="shared" si="0"/>
        <v>200000</v>
      </c>
      <c r="F18" s="14">
        <f t="shared" si="1"/>
        <v>300000</v>
      </c>
    </row>
    <row r="19" spans="1:6" x14ac:dyDescent="0.35">
      <c r="A19" s="13" t="s">
        <v>378</v>
      </c>
      <c r="B19" s="13">
        <v>6141</v>
      </c>
      <c r="C19" s="13" t="s">
        <v>276</v>
      </c>
      <c r="D19" s="13">
        <v>8000</v>
      </c>
      <c r="E19" s="14">
        <f t="shared" si="0"/>
        <v>208000</v>
      </c>
      <c r="F19" s="14">
        <f t="shared" si="1"/>
        <v>292000</v>
      </c>
    </row>
    <row r="20" spans="1:6" x14ac:dyDescent="0.35">
      <c r="A20" s="13" t="s">
        <v>379</v>
      </c>
      <c r="B20" s="13">
        <v>6630</v>
      </c>
      <c r="C20" s="13" t="s">
        <v>276</v>
      </c>
      <c r="D20" s="13">
        <v>8000</v>
      </c>
      <c r="E20" s="14">
        <f t="shared" si="0"/>
        <v>216000</v>
      </c>
      <c r="F20" s="14">
        <f t="shared" si="1"/>
        <v>284000</v>
      </c>
    </row>
    <row r="21" spans="1:6" x14ac:dyDescent="0.35">
      <c r="A21" s="13" t="s">
        <v>380</v>
      </c>
      <c r="B21" s="13">
        <v>7390</v>
      </c>
      <c r="C21" s="13" t="s">
        <v>276</v>
      </c>
      <c r="D21" s="13">
        <v>8000</v>
      </c>
      <c r="E21" s="14">
        <f t="shared" si="0"/>
        <v>224000</v>
      </c>
      <c r="F21" s="14">
        <f t="shared" si="1"/>
        <v>276000</v>
      </c>
    </row>
    <row r="22" spans="1:6" x14ac:dyDescent="0.35">
      <c r="A22" s="15">
        <v>45417</v>
      </c>
      <c r="B22" s="13">
        <v>8218</v>
      </c>
      <c r="C22" s="13" t="s">
        <v>276</v>
      </c>
      <c r="D22" s="13">
        <v>14000</v>
      </c>
      <c r="E22" s="14">
        <f t="shared" si="0"/>
        <v>238000</v>
      </c>
      <c r="F22" s="14">
        <f t="shared" si="1"/>
        <v>262000</v>
      </c>
    </row>
    <row r="23" spans="1:6" x14ac:dyDescent="0.35">
      <c r="A23" s="15">
        <v>45510</v>
      </c>
      <c r="B23" s="13">
        <v>8896</v>
      </c>
      <c r="C23" s="13" t="s">
        <v>276</v>
      </c>
      <c r="D23" s="13">
        <v>8000</v>
      </c>
      <c r="E23" s="14">
        <f t="shared" si="0"/>
        <v>246000</v>
      </c>
      <c r="F23" s="14">
        <f t="shared" si="1"/>
        <v>254000</v>
      </c>
    </row>
    <row r="24" spans="1:6" x14ac:dyDescent="0.35">
      <c r="A24" s="13" t="s">
        <v>381</v>
      </c>
      <c r="B24" s="13">
        <v>9631</v>
      </c>
      <c r="C24" s="13" t="s">
        <v>276</v>
      </c>
      <c r="D24" s="13">
        <v>7500</v>
      </c>
      <c r="E24" s="14">
        <f t="shared" si="0"/>
        <v>253500</v>
      </c>
      <c r="F24" s="14">
        <f t="shared" si="1"/>
        <v>246500</v>
      </c>
    </row>
    <row r="25" spans="1:6" x14ac:dyDescent="0.35">
      <c r="A25" s="15">
        <v>45604</v>
      </c>
      <c r="B25" s="13">
        <v>11062</v>
      </c>
      <c r="C25" s="13" t="s">
        <v>276</v>
      </c>
      <c r="D25" s="13">
        <v>8000</v>
      </c>
      <c r="E25" s="14">
        <f t="shared" si="0"/>
        <v>261500</v>
      </c>
      <c r="F25" s="14">
        <f t="shared" si="1"/>
        <v>238500</v>
      </c>
    </row>
    <row r="26" spans="1:6" x14ac:dyDescent="0.35">
      <c r="A26" s="13" t="s">
        <v>382</v>
      </c>
      <c r="B26" s="13">
        <v>10769</v>
      </c>
      <c r="C26" s="13" t="s">
        <v>276</v>
      </c>
      <c r="D26" s="13">
        <v>7500</v>
      </c>
      <c r="E26" s="14">
        <f t="shared" si="0"/>
        <v>269000</v>
      </c>
      <c r="F26" s="14">
        <f t="shared" si="1"/>
        <v>231000</v>
      </c>
    </row>
    <row r="27" spans="1:6" x14ac:dyDescent="0.35">
      <c r="A27" s="13" t="s">
        <v>383</v>
      </c>
      <c r="B27" s="13">
        <v>11618</v>
      </c>
      <c r="C27" s="13" t="s">
        <v>276</v>
      </c>
      <c r="D27" s="13">
        <v>8000</v>
      </c>
      <c r="E27" s="14">
        <f t="shared" si="0"/>
        <v>277000</v>
      </c>
      <c r="F27" s="14">
        <f t="shared" si="1"/>
        <v>223000</v>
      </c>
    </row>
    <row r="28" spans="1:6" x14ac:dyDescent="0.35">
      <c r="A28" s="13" t="s">
        <v>384</v>
      </c>
      <c r="B28" s="13">
        <v>110981</v>
      </c>
      <c r="C28" s="13" t="s">
        <v>276</v>
      </c>
      <c r="D28" s="13">
        <v>8000</v>
      </c>
      <c r="E28" s="14">
        <f t="shared" si="0"/>
        <v>285000</v>
      </c>
      <c r="F28" s="14">
        <f t="shared" si="1"/>
        <v>215000</v>
      </c>
    </row>
    <row r="29" spans="1:6" x14ac:dyDescent="0.35">
      <c r="A29" s="15">
        <v>45577</v>
      </c>
      <c r="B29" s="13">
        <v>12302</v>
      </c>
      <c r="C29" s="13" t="s">
        <v>276</v>
      </c>
      <c r="D29" s="13">
        <v>8000</v>
      </c>
      <c r="E29" s="14">
        <f t="shared" si="0"/>
        <v>293000</v>
      </c>
      <c r="F29" s="14">
        <f t="shared" si="1"/>
        <v>207000</v>
      </c>
    </row>
    <row r="30" spans="1:6" x14ac:dyDescent="0.35">
      <c r="A30" s="13" t="s">
        <v>385</v>
      </c>
      <c r="B30" s="13">
        <v>90023</v>
      </c>
      <c r="C30" s="13" t="s">
        <v>276</v>
      </c>
      <c r="D30" s="13">
        <v>7000</v>
      </c>
      <c r="E30" s="14">
        <f t="shared" si="0"/>
        <v>300000</v>
      </c>
      <c r="F30" s="14">
        <f t="shared" si="1"/>
        <v>200000</v>
      </c>
    </row>
    <row r="31" spans="1:6" x14ac:dyDescent="0.35">
      <c r="A31" s="13" t="s">
        <v>386</v>
      </c>
      <c r="B31" s="13">
        <v>9442</v>
      </c>
      <c r="C31" s="13" t="s">
        <v>276</v>
      </c>
      <c r="D31" s="13">
        <v>7000</v>
      </c>
      <c r="E31" s="14">
        <f t="shared" si="0"/>
        <v>307000</v>
      </c>
      <c r="F31" s="14">
        <f t="shared" si="1"/>
        <v>193000</v>
      </c>
    </row>
    <row r="32" spans="1:6" x14ac:dyDescent="0.35">
      <c r="A32" s="13" t="s">
        <v>387</v>
      </c>
      <c r="B32" s="13">
        <v>841</v>
      </c>
      <c r="C32" s="13" t="s">
        <v>276</v>
      </c>
      <c r="D32" s="13">
        <v>16000</v>
      </c>
      <c r="E32" s="14">
        <f t="shared" si="0"/>
        <v>323000</v>
      </c>
      <c r="F32" s="14">
        <f t="shared" si="1"/>
        <v>177000</v>
      </c>
    </row>
    <row r="33" spans="1:6" x14ac:dyDescent="0.35">
      <c r="A33" s="13" t="s">
        <v>388</v>
      </c>
      <c r="B33" s="13">
        <v>10884</v>
      </c>
      <c r="C33" s="13" t="s">
        <v>276</v>
      </c>
      <c r="D33" s="13">
        <v>7000</v>
      </c>
      <c r="E33" s="14">
        <f t="shared" si="0"/>
        <v>330000</v>
      </c>
      <c r="F33" s="14">
        <f t="shared" si="1"/>
        <v>170000</v>
      </c>
    </row>
    <row r="34" spans="1:6" x14ac:dyDescent="0.35">
      <c r="A34" s="13" t="s">
        <v>389</v>
      </c>
      <c r="B34" s="13">
        <v>9989</v>
      </c>
      <c r="C34" s="13" t="s">
        <v>276</v>
      </c>
      <c r="D34" s="13">
        <v>8000</v>
      </c>
      <c r="E34" s="14">
        <f t="shared" si="0"/>
        <v>338000</v>
      </c>
      <c r="F34" s="14">
        <f t="shared" si="1"/>
        <v>162000</v>
      </c>
    </row>
    <row r="35" spans="1:6" x14ac:dyDescent="0.35">
      <c r="A35" s="13" t="s">
        <v>390</v>
      </c>
      <c r="B35" s="13">
        <v>12194</v>
      </c>
      <c r="C35" s="13" t="s">
        <v>276</v>
      </c>
      <c r="D35" s="13">
        <v>8000</v>
      </c>
      <c r="E35" s="14">
        <f t="shared" si="0"/>
        <v>346000</v>
      </c>
      <c r="F35" s="14">
        <f t="shared" si="1"/>
        <v>154000</v>
      </c>
    </row>
    <row r="36" spans="1:6" x14ac:dyDescent="0.35">
      <c r="A36" s="15">
        <v>45847</v>
      </c>
      <c r="B36" s="13">
        <v>12650</v>
      </c>
      <c r="C36" s="13" t="s">
        <v>276</v>
      </c>
      <c r="D36" s="13">
        <v>16000</v>
      </c>
      <c r="E36" s="14">
        <f t="shared" si="0"/>
        <v>362000</v>
      </c>
      <c r="F36" s="14">
        <f t="shared" si="1"/>
        <v>138000</v>
      </c>
    </row>
    <row r="37" spans="1:6" x14ac:dyDescent="0.35">
      <c r="A37" s="15">
        <v>45848</v>
      </c>
      <c r="B37" s="13">
        <v>13707</v>
      </c>
      <c r="C37" s="13" t="s">
        <v>276</v>
      </c>
      <c r="D37" s="13">
        <v>8000</v>
      </c>
      <c r="E37" s="14">
        <f t="shared" si="0"/>
        <v>370000</v>
      </c>
      <c r="F37" s="14">
        <f t="shared" si="1"/>
        <v>130000</v>
      </c>
    </row>
    <row r="38" spans="1:6" x14ac:dyDescent="0.35">
      <c r="A38" s="15">
        <v>45972</v>
      </c>
      <c r="B38" s="13">
        <v>13344</v>
      </c>
      <c r="C38" s="13" t="s">
        <v>276</v>
      </c>
      <c r="D38" s="13">
        <v>8000</v>
      </c>
      <c r="E38" s="14">
        <f t="shared" si="0"/>
        <v>378000</v>
      </c>
      <c r="F38" s="14">
        <f t="shared" si="1"/>
        <v>122000</v>
      </c>
    </row>
    <row r="39" spans="1:6" x14ac:dyDescent="0.35">
      <c r="A39" s="13" t="s">
        <v>392</v>
      </c>
      <c r="B39" s="13">
        <v>12636</v>
      </c>
      <c r="C39" s="13" t="s">
        <v>276</v>
      </c>
      <c r="D39" s="13">
        <v>7000</v>
      </c>
      <c r="E39" s="14">
        <f t="shared" si="0"/>
        <v>385000</v>
      </c>
      <c r="F39" s="14">
        <f t="shared" si="1"/>
        <v>115000</v>
      </c>
    </row>
    <row r="40" spans="1:6" x14ac:dyDescent="0.35">
      <c r="A40" s="13" t="s">
        <v>393</v>
      </c>
      <c r="B40" s="13">
        <v>12146</v>
      </c>
      <c r="C40" s="13" t="s">
        <v>276</v>
      </c>
      <c r="D40" s="13">
        <v>8000</v>
      </c>
      <c r="E40" s="14">
        <f t="shared" si="0"/>
        <v>393000</v>
      </c>
      <c r="F40" s="14">
        <f t="shared" si="1"/>
        <v>107000</v>
      </c>
    </row>
    <row r="41" spans="1:6" x14ac:dyDescent="0.35">
      <c r="A41" s="15">
        <v>46359</v>
      </c>
      <c r="B41" s="13">
        <v>12843</v>
      </c>
      <c r="C41" s="13" t="s">
        <v>276</v>
      </c>
      <c r="D41" s="13">
        <v>16000</v>
      </c>
      <c r="E41" s="14">
        <f t="shared" si="0"/>
        <v>409000</v>
      </c>
      <c r="F41" s="14">
        <f t="shared" si="1"/>
        <v>91000</v>
      </c>
    </row>
    <row r="42" spans="1:6" x14ac:dyDescent="0.35">
      <c r="A42" s="13" t="s">
        <v>394</v>
      </c>
      <c r="B42" s="13">
        <v>13056</v>
      </c>
      <c r="C42" s="13" t="s">
        <v>276</v>
      </c>
      <c r="D42" s="13">
        <v>8000</v>
      </c>
      <c r="E42" s="14">
        <f t="shared" si="0"/>
        <v>417000</v>
      </c>
      <c r="F42" s="14">
        <f t="shared" si="1"/>
        <v>83000</v>
      </c>
    </row>
    <row r="43" spans="1:6" x14ac:dyDescent="0.35">
      <c r="A43" s="13" t="s">
        <v>406</v>
      </c>
      <c r="B43" s="13">
        <v>13428</v>
      </c>
      <c r="C43" s="13" t="s">
        <v>276</v>
      </c>
      <c r="D43" s="13">
        <v>8000</v>
      </c>
      <c r="E43" s="14">
        <f t="shared" si="0"/>
        <v>425000</v>
      </c>
      <c r="F43" s="14">
        <f t="shared" si="1"/>
        <v>75000</v>
      </c>
    </row>
    <row r="44" spans="1:6" x14ac:dyDescent="0.35">
      <c r="A44" s="13" t="s">
        <v>396</v>
      </c>
      <c r="B44" s="13">
        <v>13678</v>
      </c>
      <c r="C44" s="13" t="s">
        <v>276</v>
      </c>
      <c r="D44" s="13">
        <v>7000</v>
      </c>
      <c r="E44" s="14">
        <f t="shared" si="0"/>
        <v>432000</v>
      </c>
      <c r="F44" s="14">
        <f t="shared" si="1"/>
        <v>68000</v>
      </c>
    </row>
    <row r="45" spans="1:6" x14ac:dyDescent="0.35">
      <c r="A45" s="13" t="s">
        <v>397</v>
      </c>
      <c r="B45" s="13">
        <v>1758</v>
      </c>
      <c r="C45" s="13" t="s">
        <v>276</v>
      </c>
      <c r="D45" s="13">
        <v>15000</v>
      </c>
      <c r="E45" s="14">
        <f t="shared" si="0"/>
        <v>447000</v>
      </c>
      <c r="F45" s="14">
        <f t="shared" si="1"/>
        <v>53000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I8" sqref="I8"/>
    </sheetView>
  </sheetViews>
  <sheetFormatPr defaultRowHeight="14.5" x14ac:dyDescent="0.35"/>
  <sheetData>
    <row r="1" spans="1:6" ht="18.5" x14ac:dyDescent="0.45">
      <c r="A1" s="1" t="s">
        <v>218</v>
      </c>
      <c r="B1" s="1"/>
      <c r="C1" s="2"/>
      <c r="D1" s="1"/>
      <c r="E1" s="1"/>
      <c r="F1" s="1"/>
    </row>
    <row r="2" spans="1:6" ht="18.5" x14ac:dyDescent="0.45">
      <c r="A2" s="1" t="s">
        <v>219</v>
      </c>
      <c r="B2" s="16"/>
      <c r="C2" s="1"/>
      <c r="D2" s="1"/>
      <c r="E2" s="1"/>
      <c r="F2" s="1"/>
    </row>
    <row r="3" spans="1:6" ht="18.5" x14ac:dyDescent="0.45">
      <c r="A3" s="1" t="s">
        <v>220</v>
      </c>
      <c r="B3" s="1"/>
      <c r="C3" s="1"/>
      <c r="D3" s="1"/>
      <c r="E3" s="1"/>
      <c r="F3" s="1"/>
    </row>
    <row r="4" spans="1:6" ht="18.5" x14ac:dyDescent="0.45">
      <c r="A4" s="1" t="s">
        <v>247</v>
      </c>
      <c r="B4" s="1"/>
      <c r="C4" s="1"/>
      <c r="D4" s="1"/>
      <c r="E4" s="1"/>
      <c r="F4" s="1"/>
    </row>
    <row r="5" spans="1:6" ht="18.5" x14ac:dyDescent="0.45">
      <c r="A5" s="1" t="s">
        <v>221</v>
      </c>
      <c r="B5" s="1"/>
      <c r="C5" s="1"/>
      <c r="D5" s="1"/>
      <c r="E5" s="1"/>
      <c r="F5" s="16"/>
    </row>
    <row r="6" spans="1:6" ht="18.5" x14ac:dyDescent="0.45">
      <c r="A6" s="1" t="s">
        <v>248</v>
      </c>
      <c r="B6" s="1"/>
      <c r="C6" s="1"/>
      <c r="D6" s="1" t="s">
        <v>223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t="s">
        <v>225</v>
      </c>
      <c r="B8">
        <v>448</v>
      </c>
      <c r="C8" t="s">
        <v>77</v>
      </c>
      <c r="D8" s="19">
        <v>10000</v>
      </c>
      <c r="E8" s="19">
        <v>10000</v>
      </c>
      <c r="F8" s="19">
        <v>310000</v>
      </c>
    </row>
    <row r="9" spans="1:6" x14ac:dyDescent="0.35">
      <c r="A9" s="18">
        <v>44872</v>
      </c>
      <c r="B9">
        <v>1152</v>
      </c>
      <c r="C9" t="s">
        <v>77</v>
      </c>
      <c r="D9" s="19">
        <v>10000</v>
      </c>
      <c r="E9" s="19">
        <f>E8+D9</f>
        <v>20000</v>
      </c>
      <c r="F9" s="19">
        <f>F8-D9</f>
        <v>300000</v>
      </c>
    </row>
    <row r="10" spans="1:6" x14ac:dyDescent="0.35">
      <c r="A10" t="s">
        <v>226</v>
      </c>
      <c r="B10">
        <v>2437</v>
      </c>
      <c r="C10" t="s">
        <v>234</v>
      </c>
      <c r="D10" s="19">
        <v>10000</v>
      </c>
      <c r="E10" s="19">
        <f t="shared" ref="E10:E38" si="0">E9+D10</f>
        <v>30000</v>
      </c>
      <c r="F10" s="19">
        <f t="shared" ref="F10:F38" si="1">F9-D10</f>
        <v>290000</v>
      </c>
    </row>
    <row r="11" spans="1:6" x14ac:dyDescent="0.35">
      <c r="A11" t="s">
        <v>227</v>
      </c>
      <c r="B11">
        <v>2438</v>
      </c>
      <c r="C11" t="s">
        <v>234</v>
      </c>
      <c r="D11" s="19">
        <v>10000</v>
      </c>
      <c r="E11" s="19">
        <f t="shared" si="0"/>
        <v>40000</v>
      </c>
      <c r="F11" s="19">
        <f t="shared" si="1"/>
        <v>280000</v>
      </c>
    </row>
    <row r="12" spans="1:6" x14ac:dyDescent="0.35">
      <c r="A12" t="s">
        <v>228</v>
      </c>
      <c r="B12">
        <v>2489</v>
      </c>
      <c r="C12" t="s">
        <v>234</v>
      </c>
      <c r="D12" s="19">
        <v>10000</v>
      </c>
      <c r="E12" s="19">
        <f t="shared" si="0"/>
        <v>50000</v>
      </c>
      <c r="F12" s="19">
        <f t="shared" si="1"/>
        <v>270000</v>
      </c>
    </row>
    <row r="13" spans="1:6" x14ac:dyDescent="0.35">
      <c r="A13" t="s">
        <v>229</v>
      </c>
      <c r="B13">
        <v>2440</v>
      </c>
      <c r="C13" t="s">
        <v>234</v>
      </c>
      <c r="D13" s="19">
        <v>10000</v>
      </c>
      <c r="E13" s="19">
        <f t="shared" si="0"/>
        <v>60000</v>
      </c>
      <c r="F13" s="19">
        <f t="shared" si="1"/>
        <v>260000</v>
      </c>
    </row>
    <row r="14" spans="1:6" x14ac:dyDescent="0.35">
      <c r="A14" t="s">
        <v>230</v>
      </c>
      <c r="B14">
        <v>2441</v>
      </c>
      <c r="C14" t="s">
        <v>235</v>
      </c>
      <c r="D14" s="19">
        <v>10000</v>
      </c>
      <c r="E14" s="19">
        <f t="shared" si="0"/>
        <v>70000</v>
      </c>
      <c r="F14" s="19">
        <f t="shared" si="1"/>
        <v>250000</v>
      </c>
    </row>
    <row r="15" spans="1:6" x14ac:dyDescent="0.35">
      <c r="A15" t="s">
        <v>72</v>
      </c>
      <c r="B15">
        <v>21</v>
      </c>
      <c r="C15" t="s">
        <v>77</v>
      </c>
      <c r="D15" s="19">
        <v>10000</v>
      </c>
      <c r="E15" s="19">
        <f t="shared" si="0"/>
        <v>80000</v>
      </c>
      <c r="F15" s="19">
        <f t="shared" si="1"/>
        <v>240000</v>
      </c>
    </row>
    <row r="16" spans="1:6" x14ac:dyDescent="0.35">
      <c r="A16" t="s">
        <v>231</v>
      </c>
      <c r="B16">
        <v>19</v>
      </c>
      <c r="C16" t="s">
        <v>77</v>
      </c>
      <c r="D16" s="19">
        <v>10000</v>
      </c>
      <c r="E16" s="19">
        <f t="shared" si="0"/>
        <v>90000</v>
      </c>
      <c r="F16" s="19">
        <f t="shared" si="1"/>
        <v>230000</v>
      </c>
    </row>
    <row r="17" spans="1:6" x14ac:dyDescent="0.35">
      <c r="A17" t="s">
        <v>232</v>
      </c>
      <c r="B17">
        <v>2070</v>
      </c>
      <c r="C17" t="s">
        <v>77</v>
      </c>
      <c r="D17" s="19">
        <v>10000</v>
      </c>
      <c r="E17" s="19">
        <f t="shared" si="0"/>
        <v>100000</v>
      </c>
      <c r="F17" s="19">
        <f t="shared" si="1"/>
        <v>220000</v>
      </c>
    </row>
    <row r="18" spans="1:6" x14ac:dyDescent="0.35">
      <c r="A18" t="s">
        <v>233</v>
      </c>
      <c r="B18">
        <v>2929</v>
      </c>
      <c r="C18" t="s">
        <v>77</v>
      </c>
      <c r="D18" s="19">
        <v>10000</v>
      </c>
      <c r="E18" s="19">
        <f t="shared" si="0"/>
        <v>110000</v>
      </c>
      <c r="F18" s="19">
        <f t="shared" si="1"/>
        <v>210000</v>
      </c>
    </row>
    <row r="19" spans="1:6" x14ac:dyDescent="0.35">
      <c r="A19" t="s">
        <v>236</v>
      </c>
      <c r="B19">
        <v>3242</v>
      </c>
      <c r="C19" t="s">
        <v>77</v>
      </c>
      <c r="D19" s="19">
        <v>10000</v>
      </c>
      <c r="E19" s="19">
        <f t="shared" si="0"/>
        <v>120000</v>
      </c>
      <c r="F19" s="19">
        <f t="shared" si="1"/>
        <v>200000</v>
      </c>
    </row>
    <row r="20" spans="1:6" x14ac:dyDescent="0.35">
      <c r="A20" t="s">
        <v>237</v>
      </c>
      <c r="B20">
        <v>3698</v>
      </c>
      <c r="C20" t="s">
        <v>77</v>
      </c>
      <c r="D20" s="19">
        <v>10000</v>
      </c>
      <c r="E20" s="19">
        <f t="shared" si="0"/>
        <v>130000</v>
      </c>
      <c r="F20" s="19">
        <f t="shared" si="1"/>
        <v>190000</v>
      </c>
    </row>
    <row r="21" spans="1:6" x14ac:dyDescent="0.35">
      <c r="A21" t="s">
        <v>238</v>
      </c>
      <c r="B21">
        <v>4346</v>
      </c>
      <c r="C21" t="s">
        <v>77</v>
      </c>
      <c r="D21" s="19">
        <v>10000</v>
      </c>
      <c r="E21" s="19">
        <f t="shared" si="0"/>
        <v>140000</v>
      </c>
      <c r="F21" s="19">
        <f t="shared" si="1"/>
        <v>180000</v>
      </c>
    </row>
    <row r="22" spans="1:6" x14ac:dyDescent="0.35">
      <c r="A22" t="s">
        <v>238</v>
      </c>
      <c r="B22">
        <v>4346</v>
      </c>
      <c r="C22" t="s">
        <v>77</v>
      </c>
      <c r="D22" s="19">
        <v>10000</v>
      </c>
      <c r="E22" s="19">
        <f t="shared" si="0"/>
        <v>150000</v>
      </c>
      <c r="F22" s="19">
        <f t="shared" si="1"/>
        <v>170000</v>
      </c>
    </row>
    <row r="23" spans="1:6" x14ac:dyDescent="0.35">
      <c r="A23" t="s">
        <v>239</v>
      </c>
      <c r="B23">
        <v>5013</v>
      </c>
      <c r="C23" t="s">
        <v>77</v>
      </c>
      <c r="D23" s="19">
        <v>10000</v>
      </c>
      <c r="E23" s="19">
        <f t="shared" si="0"/>
        <v>160000</v>
      </c>
      <c r="F23" s="19">
        <f t="shared" si="1"/>
        <v>160000</v>
      </c>
    </row>
    <row r="24" spans="1:6" x14ac:dyDescent="0.35">
      <c r="A24" t="s">
        <v>227</v>
      </c>
      <c r="B24">
        <v>5694</v>
      </c>
      <c r="C24" t="s">
        <v>77</v>
      </c>
      <c r="D24" s="19">
        <v>10000</v>
      </c>
      <c r="E24" s="19">
        <f t="shared" si="0"/>
        <v>170000</v>
      </c>
      <c r="F24" s="19">
        <f t="shared" si="1"/>
        <v>150000</v>
      </c>
    </row>
    <row r="25" spans="1:6" x14ac:dyDescent="0.35">
      <c r="A25" t="s">
        <v>240</v>
      </c>
      <c r="B25">
        <v>6352</v>
      </c>
      <c r="C25" t="s">
        <v>77</v>
      </c>
      <c r="D25" s="19">
        <v>10000</v>
      </c>
      <c r="E25" s="19">
        <f t="shared" si="0"/>
        <v>180000</v>
      </c>
      <c r="F25" s="19">
        <f t="shared" si="1"/>
        <v>140000</v>
      </c>
    </row>
    <row r="26" spans="1:6" x14ac:dyDescent="0.35">
      <c r="A26" t="s">
        <v>241</v>
      </c>
      <c r="B26">
        <v>6643</v>
      </c>
      <c r="C26" t="s">
        <v>77</v>
      </c>
      <c r="D26" s="19">
        <v>10000</v>
      </c>
      <c r="E26" s="19">
        <f t="shared" si="0"/>
        <v>190000</v>
      </c>
      <c r="F26" s="19">
        <f t="shared" si="1"/>
        <v>130000</v>
      </c>
    </row>
    <row r="27" spans="1:6" x14ac:dyDescent="0.35">
      <c r="A27" t="s">
        <v>242</v>
      </c>
      <c r="B27">
        <v>7479</v>
      </c>
      <c r="C27" t="s">
        <v>77</v>
      </c>
      <c r="D27" s="19">
        <v>10000</v>
      </c>
      <c r="E27" s="19">
        <f t="shared" si="0"/>
        <v>200000</v>
      </c>
      <c r="F27" s="19">
        <f t="shared" si="1"/>
        <v>120000</v>
      </c>
    </row>
    <row r="28" spans="1:6" x14ac:dyDescent="0.35">
      <c r="A28" s="18">
        <v>45417</v>
      </c>
      <c r="B28">
        <v>8229</v>
      </c>
      <c r="C28" t="s">
        <v>77</v>
      </c>
      <c r="D28" s="19">
        <v>10000</v>
      </c>
      <c r="E28" s="19">
        <f t="shared" si="0"/>
        <v>210000</v>
      </c>
      <c r="F28" s="19">
        <f t="shared" si="1"/>
        <v>110000</v>
      </c>
    </row>
    <row r="29" spans="1:6" x14ac:dyDescent="0.35">
      <c r="A29" t="s">
        <v>243</v>
      </c>
      <c r="B29">
        <v>9083</v>
      </c>
      <c r="C29" t="s">
        <v>77</v>
      </c>
      <c r="D29" s="19">
        <v>10000</v>
      </c>
      <c r="E29" s="19">
        <f t="shared" si="0"/>
        <v>220000</v>
      </c>
      <c r="F29" s="19">
        <f t="shared" si="1"/>
        <v>100000</v>
      </c>
    </row>
    <row r="30" spans="1:6" x14ac:dyDescent="0.35">
      <c r="A30" s="18">
        <v>45480</v>
      </c>
      <c r="B30">
        <v>9418</v>
      </c>
      <c r="C30" t="s">
        <v>77</v>
      </c>
      <c r="D30" s="19">
        <v>10000</v>
      </c>
      <c r="E30" s="19">
        <f t="shared" si="0"/>
        <v>230000</v>
      </c>
      <c r="F30" s="19">
        <f t="shared" si="1"/>
        <v>90000</v>
      </c>
    </row>
    <row r="31" spans="1:6" x14ac:dyDescent="0.35">
      <c r="A31" t="s">
        <v>244</v>
      </c>
      <c r="B31">
        <v>11208</v>
      </c>
      <c r="C31" t="s">
        <v>77</v>
      </c>
      <c r="D31" s="19">
        <v>10000</v>
      </c>
      <c r="E31" s="19">
        <f t="shared" si="0"/>
        <v>240000</v>
      </c>
      <c r="F31" s="19">
        <f t="shared" si="1"/>
        <v>80000</v>
      </c>
    </row>
    <row r="32" spans="1:6" x14ac:dyDescent="0.35">
      <c r="A32" s="18" t="s">
        <v>245</v>
      </c>
      <c r="B32">
        <v>10787</v>
      </c>
      <c r="C32" t="s">
        <v>77</v>
      </c>
      <c r="D32" s="19">
        <v>10000</v>
      </c>
      <c r="E32" s="19">
        <f t="shared" si="0"/>
        <v>250000</v>
      </c>
      <c r="F32" s="19">
        <f t="shared" si="1"/>
        <v>70000</v>
      </c>
    </row>
    <row r="33" spans="1:6" x14ac:dyDescent="0.35">
      <c r="A33" s="18">
        <v>45606</v>
      </c>
      <c r="B33">
        <v>11378</v>
      </c>
      <c r="C33" t="s">
        <v>77</v>
      </c>
      <c r="D33" s="19">
        <v>20000</v>
      </c>
      <c r="E33" s="19">
        <f t="shared" si="0"/>
        <v>270000</v>
      </c>
      <c r="F33" s="19">
        <f t="shared" si="1"/>
        <v>50000</v>
      </c>
    </row>
    <row r="34" spans="1:6" x14ac:dyDescent="0.35">
      <c r="A34" s="18" t="s">
        <v>246</v>
      </c>
      <c r="B34">
        <v>9426</v>
      </c>
      <c r="C34" t="s">
        <v>77</v>
      </c>
      <c r="D34" s="19">
        <v>10000</v>
      </c>
      <c r="E34" s="19">
        <f t="shared" si="0"/>
        <v>280000</v>
      </c>
      <c r="F34" s="19">
        <f t="shared" si="1"/>
        <v>40000</v>
      </c>
    </row>
    <row r="35" spans="1:6" x14ac:dyDescent="0.35">
      <c r="A35" s="18">
        <v>45901</v>
      </c>
      <c r="B35">
        <v>10390</v>
      </c>
      <c r="C35" t="s">
        <v>77</v>
      </c>
      <c r="D35" s="19">
        <v>10000</v>
      </c>
      <c r="E35" s="19">
        <f t="shared" si="0"/>
        <v>290000</v>
      </c>
      <c r="F35" s="19">
        <f t="shared" si="1"/>
        <v>30000</v>
      </c>
    </row>
    <row r="36" spans="1:6" x14ac:dyDescent="0.35">
      <c r="A36" s="18">
        <v>45576</v>
      </c>
      <c r="B36">
        <v>10267</v>
      </c>
      <c r="C36" t="s">
        <v>77</v>
      </c>
      <c r="D36" s="19">
        <v>10000</v>
      </c>
      <c r="E36" s="19">
        <f t="shared" si="0"/>
        <v>300000</v>
      </c>
      <c r="F36" s="19">
        <f t="shared" si="1"/>
        <v>20000</v>
      </c>
    </row>
    <row r="37" spans="1:6" x14ac:dyDescent="0.35">
      <c r="A37" s="18">
        <v>45516</v>
      </c>
      <c r="B37">
        <v>12443</v>
      </c>
      <c r="C37" t="s">
        <v>77</v>
      </c>
      <c r="D37" s="19">
        <v>10000</v>
      </c>
      <c r="E37" s="19">
        <f t="shared" si="0"/>
        <v>310000</v>
      </c>
      <c r="F37" s="19">
        <f t="shared" si="1"/>
        <v>10000</v>
      </c>
    </row>
    <row r="38" spans="1:6" x14ac:dyDescent="0.35">
      <c r="A38" s="18">
        <v>45901</v>
      </c>
      <c r="B38">
        <v>12987</v>
      </c>
      <c r="C38" t="s">
        <v>77</v>
      </c>
      <c r="D38" s="19">
        <v>10000</v>
      </c>
      <c r="E38" s="19">
        <f t="shared" si="0"/>
        <v>320000</v>
      </c>
      <c r="F38" s="19">
        <f t="shared" si="1"/>
        <v>0</v>
      </c>
    </row>
    <row r="39" spans="1:6" ht="18.5" x14ac:dyDescent="0.45">
      <c r="A39" s="16" t="s">
        <v>111</v>
      </c>
      <c r="B39" s="16"/>
      <c r="C39" s="16"/>
      <c r="D39" s="25"/>
      <c r="E39" s="25"/>
      <c r="F39" s="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G7"/>
    </sheetView>
  </sheetViews>
  <sheetFormatPr defaultRowHeight="14.5" x14ac:dyDescent="0.35"/>
  <cols>
    <col min="1" max="1" width="9.453125" bestFit="1" customWidth="1"/>
    <col min="3" max="3" width="10.36328125" customWidth="1"/>
  </cols>
  <sheetData>
    <row r="1" spans="1:6" ht="18.5" x14ac:dyDescent="0.45">
      <c r="A1" s="1" t="s">
        <v>64</v>
      </c>
      <c r="B1" s="1"/>
      <c r="C1" s="2"/>
      <c r="D1" s="1"/>
      <c r="E1" s="1"/>
      <c r="F1" s="1"/>
    </row>
    <row r="2" spans="1:6" ht="18.5" x14ac:dyDescent="0.45">
      <c r="A2" s="1" t="s">
        <v>65</v>
      </c>
      <c r="B2" s="16"/>
      <c r="C2" s="1"/>
      <c r="D2" s="1"/>
      <c r="E2" s="1"/>
      <c r="F2" s="1"/>
    </row>
    <row r="3" spans="1:6" ht="18.5" x14ac:dyDescent="0.45">
      <c r="A3" s="1" t="s">
        <v>66</v>
      </c>
      <c r="B3" s="1"/>
      <c r="C3" s="1"/>
      <c r="D3" s="1"/>
      <c r="E3" s="1"/>
      <c r="F3" s="1"/>
    </row>
    <row r="4" spans="1:6" ht="18.5" x14ac:dyDescent="0.45">
      <c r="A4" s="1" t="s">
        <v>70</v>
      </c>
      <c r="B4" s="1"/>
      <c r="C4" s="1"/>
      <c r="D4" s="1"/>
      <c r="E4" s="1"/>
      <c r="F4" s="1"/>
    </row>
    <row r="5" spans="1:6" ht="18.5" x14ac:dyDescent="0.45">
      <c r="A5" s="1" t="s">
        <v>67</v>
      </c>
      <c r="B5" s="1"/>
      <c r="C5" s="1"/>
      <c r="D5" s="1"/>
      <c r="E5" s="1"/>
      <c r="F5" s="1"/>
    </row>
    <row r="6" spans="1:6" ht="18.5" x14ac:dyDescent="0.45">
      <c r="A6" s="1" t="s">
        <v>68</v>
      </c>
      <c r="B6" s="1"/>
      <c r="C6" s="1"/>
      <c r="D6" s="1" t="s">
        <v>69</v>
      </c>
      <c r="E6" s="1"/>
      <c r="F6" s="1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18">
        <v>44873</v>
      </c>
      <c r="B8">
        <v>422</v>
      </c>
      <c r="C8" t="s">
        <v>77</v>
      </c>
      <c r="D8" s="19">
        <v>100000</v>
      </c>
      <c r="E8" s="19">
        <v>100000</v>
      </c>
      <c r="F8" s="19">
        <v>217000</v>
      </c>
    </row>
    <row r="9" spans="1:6" x14ac:dyDescent="0.35">
      <c r="A9" t="s">
        <v>71</v>
      </c>
      <c r="B9">
        <v>25</v>
      </c>
      <c r="C9" t="s">
        <v>78</v>
      </c>
      <c r="D9" s="19">
        <v>35000</v>
      </c>
      <c r="E9" s="19">
        <f>SUM(E8+D9)</f>
        <v>135000</v>
      </c>
      <c r="F9" s="19">
        <f>F8-D9</f>
        <v>182000</v>
      </c>
    </row>
    <row r="10" spans="1:6" x14ac:dyDescent="0.35">
      <c r="A10" t="s">
        <v>72</v>
      </c>
      <c r="B10">
        <v>25</v>
      </c>
      <c r="C10" t="s">
        <v>77</v>
      </c>
      <c r="D10" s="19">
        <v>17500</v>
      </c>
      <c r="E10" s="19">
        <f t="shared" ref="E10:E17" si="0">SUM(E9+D10)</f>
        <v>152500</v>
      </c>
      <c r="F10" s="19">
        <f t="shared" ref="F10:F17" si="1">F9-D10</f>
        <v>164500</v>
      </c>
    </row>
    <row r="11" spans="1:6" x14ac:dyDescent="0.35">
      <c r="A11" t="s">
        <v>73</v>
      </c>
      <c r="B11">
        <v>1218</v>
      </c>
      <c r="C11" t="s">
        <v>77</v>
      </c>
      <c r="D11" s="19">
        <v>17500</v>
      </c>
      <c r="E11" s="19">
        <f t="shared" si="0"/>
        <v>170000</v>
      </c>
      <c r="F11" s="19">
        <f t="shared" si="1"/>
        <v>147000</v>
      </c>
    </row>
    <row r="12" spans="1:6" x14ac:dyDescent="0.35">
      <c r="A12" t="s">
        <v>74</v>
      </c>
      <c r="B12">
        <v>1571</v>
      </c>
      <c r="C12" t="s">
        <v>77</v>
      </c>
      <c r="D12" s="19">
        <v>17500</v>
      </c>
      <c r="E12" s="19">
        <f t="shared" si="0"/>
        <v>187500</v>
      </c>
      <c r="F12" s="19">
        <f t="shared" si="1"/>
        <v>129500</v>
      </c>
    </row>
    <row r="13" spans="1:6" x14ac:dyDescent="0.35">
      <c r="A13" s="18">
        <v>45176</v>
      </c>
      <c r="B13">
        <v>2621</v>
      </c>
      <c r="C13" t="s">
        <v>77</v>
      </c>
      <c r="D13" s="19">
        <v>17500</v>
      </c>
      <c r="E13" s="19">
        <f t="shared" si="0"/>
        <v>205000</v>
      </c>
      <c r="F13" s="19">
        <f t="shared" si="1"/>
        <v>112000</v>
      </c>
    </row>
    <row r="14" spans="1:6" x14ac:dyDescent="0.35">
      <c r="A14" s="18">
        <v>45176</v>
      </c>
      <c r="B14">
        <v>2622</v>
      </c>
      <c r="C14" t="s">
        <v>77</v>
      </c>
      <c r="D14" s="19">
        <v>17500</v>
      </c>
      <c r="E14" s="19">
        <f t="shared" si="0"/>
        <v>222500</v>
      </c>
      <c r="F14" s="19">
        <f t="shared" si="1"/>
        <v>94500</v>
      </c>
    </row>
    <row r="15" spans="1:6" x14ac:dyDescent="0.35">
      <c r="A15" t="s">
        <v>75</v>
      </c>
      <c r="B15">
        <v>4471</v>
      </c>
      <c r="C15" t="s">
        <v>77</v>
      </c>
      <c r="D15" s="19">
        <v>17500</v>
      </c>
      <c r="E15" s="19">
        <f t="shared" si="0"/>
        <v>240000</v>
      </c>
      <c r="F15" s="19">
        <f t="shared" si="1"/>
        <v>77000</v>
      </c>
    </row>
    <row r="16" spans="1:6" x14ac:dyDescent="0.35">
      <c r="A16" t="s">
        <v>76</v>
      </c>
      <c r="B16">
        <v>4472</v>
      </c>
      <c r="C16" t="s">
        <v>77</v>
      </c>
      <c r="D16" s="19">
        <v>17500</v>
      </c>
      <c r="E16" s="19">
        <f t="shared" si="0"/>
        <v>257500</v>
      </c>
      <c r="F16" s="19">
        <f t="shared" si="1"/>
        <v>59500</v>
      </c>
    </row>
    <row r="17" spans="1:6" x14ac:dyDescent="0.35">
      <c r="A17" s="18">
        <v>45117</v>
      </c>
      <c r="B17">
        <v>473</v>
      </c>
      <c r="C17" t="s">
        <v>77</v>
      </c>
      <c r="D17" s="19">
        <v>15000</v>
      </c>
      <c r="E17" s="19">
        <f t="shared" si="0"/>
        <v>272500</v>
      </c>
      <c r="F17" s="19">
        <f t="shared" si="1"/>
        <v>44500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H10" sqref="H10"/>
    </sheetView>
  </sheetViews>
  <sheetFormatPr defaultRowHeight="14.5" x14ac:dyDescent="0.35"/>
  <cols>
    <col min="1" max="1" width="10.26953125" customWidth="1"/>
    <col min="3" max="3" width="9.81640625" customWidth="1"/>
    <col min="6" max="6" width="11.453125" customWidth="1"/>
  </cols>
  <sheetData>
    <row r="1" spans="1:6" ht="18.5" x14ac:dyDescent="0.45">
      <c r="A1" s="1" t="s">
        <v>100</v>
      </c>
      <c r="B1" s="1"/>
      <c r="C1" s="2"/>
      <c r="D1" s="1"/>
      <c r="E1" s="1"/>
      <c r="F1" s="1"/>
    </row>
    <row r="2" spans="1:6" ht="18.5" x14ac:dyDescent="0.45">
      <c r="A2" s="1" t="s">
        <v>37</v>
      </c>
      <c r="C2" s="1"/>
      <c r="D2" s="1"/>
      <c r="E2" s="1"/>
      <c r="F2" s="1"/>
    </row>
    <row r="3" spans="1:6" ht="18.5" x14ac:dyDescent="0.45">
      <c r="A3" s="1" t="s">
        <v>101</v>
      </c>
      <c r="B3" s="1"/>
      <c r="C3" s="1"/>
      <c r="D3" s="1"/>
      <c r="E3" s="1"/>
      <c r="F3" s="1"/>
    </row>
    <row r="4" spans="1:6" ht="18.5" x14ac:dyDescent="0.45">
      <c r="A4" s="1" t="s">
        <v>104</v>
      </c>
      <c r="B4" s="1"/>
      <c r="C4" s="1"/>
      <c r="D4" s="1"/>
      <c r="E4" s="1"/>
      <c r="F4" s="1"/>
    </row>
    <row r="5" spans="1:6" ht="18.5" x14ac:dyDescent="0.45">
      <c r="A5" s="1" t="s">
        <v>102</v>
      </c>
      <c r="B5" s="1"/>
      <c r="C5" s="1"/>
      <c r="D5" s="1"/>
      <c r="E5" s="1"/>
      <c r="F5" s="1"/>
    </row>
    <row r="6" spans="1:6" ht="18.5" x14ac:dyDescent="0.45">
      <c r="A6" s="1" t="s">
        <v>103</v>
      </c>
      <c r="B6" s="1"/>
      <c r="C6" s="1"/>
      <c r="D6" s="1" t="s">
        <v>69</v>
      </c>
      <c r="E6" s="1"/>
      <c r="F6" s="1"/>
    </row>
    <row r="7" spans="1:6" x14ac:dyDescent="0.35">
      <c r="A7" s="4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</row>
    <row r="8" spans="1:6" x14ac:dyDescent="0.35">
      <c r="A8" s="6">
        <v>45115</v>
      </c>
      <c r="B8" s="5">
        <v>14</v>
      </c>
      <c r="C8" s="5" t="s">
        <v>12</v>
      </c>
      <c r="D8" s="7">
        <v>10000</v>
      </c>
      <c r="E8" s="7">
        <v>10000</v>
      </c>
      <c r="F8" s="7">
        <v>440000</v>
      </c>
    </row>
    <row r="9" spans="1:6" x14ac:dyDescent="0.35">
      <c r="A9" s="5" t="s">
        <v>105</v>
      </c>
      <c r="B9" s="5">
        <v>1114</v>
      </c>
      <c r="C9" s="5" t="s">
        <v>107</v>
      </c>
      <c r="D9" s="7">
        <v>110000</v>
      </c>
      <c r="E9" s="7">
        <f>SUM(E8+D9)</f>
        <v>120000</v>
      </c>
      <c r="F9" s="7">
        <f>F8-D9</f>
        <v>330000</v>
      </c>
    </row>
    <row r="10" spans="1:6" x14ac:dyDescent="0.35">
      <c r="A10" s="5" t="s">
        <v>106</v>
      </c>
      <c r="B10" s="5">
        <v>1373</v>
      </c>
      <c r="C10" s="5" t="s">
        <v>108</v>
      </c>
      <c r="D10" s="7">
        <v>10000</v>
      </c>
      <c r="E10" s="7">
        <f t="shared" ref="E10:E19" si="0">SUM(E9+D10)</f>
        <v>130000</v>
      </c>
      <c r="F10" s="7">
        <f t="shared" ref="F10:F18" si="1">F9-D10</f>
        <v>320000</v>
      </c>
    </row>
    <row r="11" spans="1:6" x14ac:dyDescent="0.35">
      <c r="A11" s="5" t="s">
        <v>86</v>
      </c>
      <c r="B11" s="5">
        <v>2256</v>
      </c>
      <c r="C11" s="5" t="s">
        <v>109</v>
      </c>
      <c r="D11" s="7">
        <v>10000</v>
      </c>
      <c r="E11" s="7">
        <f t="shared" si="0"/>
        <v>140000</v>
      </c>
      <c r="F11" s="7">
        <f t="shared" si="1"/>
        <v>310000</v>
      </c>
    </row>
    <row r="12" spans="1:6" x14ac:dyDescent="0.35">
      <c r="A12" s="5" t="s">
        <v>87</v>
      </c>
      <c r="B12" s="5">
        <v>1378</v>
      </c>
      <c r="C12" s="5" t="s">
        <v>109</v>
      </c>
      <c r="D12" s="7">
        <v>50000</v>
      </c>
      <c r="E12" s="7">
        <f t="shared" si="0"/>
        <v>190000</v>
      </c>
      <c r="F12" s="7">
        <f t="shared" si="1"/>
        <v>260000</v>
      </c>
    </row>
    <row r="13" spans="1:6" x14ac:dyDescent="0.35">
      <c r="A13" s="5" t="s">
        <v>105</v>
      </c>
      <c r="B13" s="5">
        <v>2807</v>
      </c>
      <c r="C13" s="5" t="s">
        <v>109</v>
      </c>
      <c r="D13" s="7">
        <v>60000</v>
      </c>
      <c r="E13" s="7">
        <f t="shared" si="0"/>
        <v>250000</v>
      </c>
      <c r="F13" s="7">
        <f t="shared" si="1"/>
        <v>200000</v>
      </c>
    </row>
    <row r="14" spans="1:6" x14ac:dyDescent="0.35">
      <c r="A14" s="5" t="s">
        <v>89</v>
      </c>
      <c r="B14" s="5">
        <v>2808</v>
      </c>
      <c r="C14" s="5" t="s">
        <v>109</v>
      </c>
      <c r="D14" s="7">
        <v>10000</v>
      </c>
      <c r="E14" s="7">
        <f t="shared" si="0"/>
        <v>260000</v>
      </c>
      <c r="F14" s="7">
        <f t="shared" si="1"/>
        <v>190000</v>
      </c>
    </row>
    <row r="15" spans="1:6" x14ac:dyDescent="0.35">
      <c r="A15" s="5" t="s">
        <v>47</v>
      </c>
      <c r="B15" s="5">
        <v>3889</v>
      </c>
      <c r="C15" s="5" t="s">
        <v>109</v>
      </c>
      <c r="D15" s="7">
        <v>20000</v>
      </c>
      <c r="E15" s="7">
        <f t="shared" si="0"/>
        <v>280000</v>
      </c>
      <c r="F15" s="7">
        <f t="shared" si="1"/>
        <v>170000</v>
      </c>
    </row>
    <row r="16" spans="1:6" x14ac:dyDescent="0.35">
      <c r="A16" s="5" t="s">
        <v>91</v>
      </c>
      <c r="B16" s="5">
        <v>4906</v>
      </c>
      <c r="C16" s="5" t="s">
        <v>109</v>
      </c>
      <c r="D16" s="7">
        <v>10000</v>
      </c>
      <c r="E16" s="7">
        <f t="shared" si="0"/>
        <v>290000</v>
      </c>
      <c r="F16" s="7">
        <f t="shared" si="1"/>
        <v>160000</v>
      </c>
    </row>
    <row r="17" spans="1:6" x14ac:dyDescent="0.35">
      <c r="A17" s="5" t="s">
        <v>92</v>
      </c>
      <c r="B17" s="5">
        <v>5645</v>
      </c>
      <c r="C17" s="5" t="s">
        <v>109</v>
      </c>
      <c r="D17" s="7">
        <v>10000</v>
      </c>
      <c r="E17" s="7">
        <f t="shared" si="0"/>
        <v>300000</v>
      </c>
      <c r="F17" s="7">
        <f t="shared" si="1"/>
        <v>150000</v>
      </c>
    </row>
    <row r="18" spans="1:6" x14ac:dyDescent="0.35">
      <c r="A18" s="5" t="s">
        <v>93</v>
      </c>
      <c r="B18" s="5">
        <v>6222</v>
      </c>
      <c r="C18" s="5" t="s">
        <v>109</v>
      </c>
      <c r="D18" s="7">
        <v>20000</v>
      </c>
      <c r="E18" s="7">
        <f t="shared" si="0"/>
        <v>320000</v>
      </c>
      <c r="F18" s="7">
        <f t="shared" si="1"/>
        <v>130000</v>
      </c>
    </row>
    <row r="19" spans="1:6" x14ac:dyDescent="0.35">
      <c r="A19" s="5" t="s">
        <v>94</v>
      </c>
      <c r="B19" s="5">
        <v>6790</v>
      </c>
      <c r="C19" s="5" t="s">
        <v>109</v>
      </c>
      <c r="D19" s="7">
        <v>100000</v>
      </c>
      <c r="E19" s="7">
        <f t="shared" si="0"/>
        <v>420000</v>
      </c>
      <c r="F19" s="7" t="s">
        <v>97</v>
      </c>
    </row>
    <row r="21" spans="1:6" x14ac:dyDescent="0.35">
      <c r="A21" t="s">
        <v>110</v>
      </c>
    </row>
    <row r="22" spans="1:6" x14ac:dyDescent="0.35">
      <c r="A22" t="s">
        <v>111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7" sqref="A7:F7"/>
    </sheetView>
  </sheetViews>
  <sheetFormatPr defaultRowHeight="14.5" x14ac:dyDescent="0.35"/>
  <cols>
    <col min="1" max="1" width="10.26953125" customWidth="1"/>
    <col min="3" max="3" width="11.54296875" customWidth="1"/>
    <col min="6" max="6" width="11.08984375" customWidth="1"/>
  </cols>
  <sheetData>
    <row r="1" spans="1:6" ht="18.5" x14ac:dyDescent="0.45">
      <c r="A1" s="1" t="s">
        <v>79</v>
      </c>
      <c r="B1" s="1"/>
      <c r="C1" s="2"/>
      <c r="D1" s="1"/>
      <c r="E1" s="1"/>
      <c r="F1" s="1"/>
    </row>
    <row r="2" spans="1:6" ht="18.5" x14ac:dyDescent="0.45">
      <c r="A2" s="1" t="s">
        <v>80</v>
      </c>
      <c r="C2" s="1"/>
      <c r="D2" s="1"/>
      <c r="E2" s="1"/>
      <c r="F2" s="1"/>
    </row>
    <row r="3" spans="1:6" ht="18.5" x14ac:dyDescent="0.45">
      <c r="A3" s="1" t="s">
        <v>81</v>
      </c>
      <c r="B3" s="1"/>
      <c r="C3" s="1"/>
      <c r="D3" s="1"/>
      <c r="E3" s="1"/>
      <c r="F3" s="1"/>
    </row>
    <row r="4" spans="1:6" ht="18.5" x14ac:dyDescent="0.45">
      <c r="A4" s="1" t="s">
        <v>84</v>
      </c>
      <c r="B4" s="1"/>
      <c r="C4" s="1"/>
      <c r="D4" s="1"/>
      <c r="E4" s="1"/>
      <c r="F4" s="1"/>
    </row>
    <row r="5" spans="1:6" ht="18.5" x14ac:dyDescent="0.45">
      <c r="A5" s="1" t="s">
        <v>82</v>
      </c>
      <c r="B5" s="1"/>
      <c r="C5" s="1"/>
      <c r="D5" s="1"/>
      <c r="E5" s="1"/>
      <c r="F5" s="1"/>
    </row>
    <row r="6" spans="1:6" ht="18.5" x14ac:dyDescent="0.45">
      <c r="A6" s="1" t="s">
        <v>83</v>
      </c>
      <c r="B6" s="1"/>
      <c r="C6" s="1"/>
      <c r="D6" s="1" t="s">
        <v>69</v>
      </c>
      <c r="E6" s="1"/>
      <c r="F6" s="1"/>
    </row>
    <row r="7" spans="1:6" x14ac:dyDescent="0.35">
      <c r="A7" s="4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</row>
    <row r="8" spans="1:6" x14ac:dyDescent="0.35">
      <c r="A8" s="6">
        <v>44659</v>
      </c>
      <c r="B8" s="5">
        <v>132</v>
      </c>
      <c r="C8" s="5" t="s">
        <v>95</v>
      </c>
      <c r="D8" s="7">
        <v>100000</v>
      </c>
      <c r="E8" s="7">
        <v>100000</v>
      </c>
      <c r="F8" s="7">
        <v>350000</v>
      </c>
    </row>
    <row r="9" spans="1:6" x14ac:dyDescent="0.35">
      <c r="A9" s="5" t="s">
        <v>85</v>
      </c>
      <c r="B9" s="5">
        <v>1371</v>
      </c>
      <c r="C9" s="5" t="s">
        <v>78</v>
      </c>
      <c r="D9" s="7">
        <v>10000</v>
      </c>
      <c r="E9" s="7">
        <f>SUM(E8+D9)</f>
        <v>110000</v>
      </c>
      <c r="F9" s="7">
        <f>F8-D9</f>
        <v>340000</v>
      </c>
    </row>
    <row r="10" spans="1:6" x14ac:dyDescent="0.35">
      <c r="A10" s="5" t="s">
        <v>86</v>
      </c>
      <c r="B10" s="5">
        <v>2257</v>
      </c>
      <c r="C10" s="5" t="s">
        <v>77</v>
      </c>
      <c r="D10" s="7">
        <v>10000</v>
      </c>
      <c r="E10" s="7">
        <f t="shared" ref="E10:E18" si="0">SUM(E9+D10)</f>
        <v>120000</v>
      </c>
      <c r="F10" s="7">
        <f t="shared" ref="F10:F17" si="1">F9-D10</f>
        <v>330000</v>
      </c>
    </row>
    <row r="11" spans="1:6" x14ac:dyDescent="0.35">
      <c r="A11" s="5" t="s">
        <v>87</v>
      </c>
      <c r="B11" s="5">
        <v>1372</v>
      </c>
      <c r="C11" s="5" t="s">
        <v>77</v>
      </c>
      <c r="D11" s="7">
        <v>50000</v>
      </c>
      <c r="E11" s="7">
        <f t="shared" si="0"/>
        <v>170000</v>
      </c>
      <c r="F11" s="7">
        <f t="shared" si="1"/>
        <v>280000</v>
      </c>
    </row>
    <row r="12" spans="1:6" x14ac:dyDescent="0.35">
      <c r="A12" s="5" t="s">
        <v>88</v>
      </c>
      <c r="B12" s="5">
        <v>2809</v>
      </c>
      <c r="C12" s="5" t="s">
        <v>96</v>
      </c>
      <c r="D12" s="7">
        <v>60000</v>
      </c>
      <c r="E12" s="7">
        <f t="shared" si="0"/>
        <v>230000</v>
      </c>
      <c r="F12" s="7">
        <f t="shared" si="1"/>
        <v>220000</v>
      </c>
    </row>
    <row r="13" spans="1:6" x14ac:dyDescent="0.35">
      <c r="A13" s="5" t="s">
        <v>89</v>
      </c>
      <c r="B13" s="5">
        <v>2810</v>
      </c>
      <c r="C13" s="5" t="s">
        <v>77</v>
      </c>
      <c r="D13" s="7">
        <v>10000</v>
      </c>
      <c r="E13" s="7">
        <f t="shared" si="0"/>
        <v>240000</v>
      </c>
      <c r="F13" s="7">
        <f t="shared" si="1"/>
        <v>210000</v>
      </c>
    </row>
    <row r="14" spans="1:6" x14ac:dyDescent="0.35">
      <c r="A14" s="5" t="s">
        <v>90</v>
      </c>
      <c r="B14" s="5">
        <v>3890</v>
      </c>
      <c r="C14" s="5" t="s">
        <v>77</v>
      </c>
      <c r="D14" s="7">
        <v>20000</v>
      </c>
      <c r="E14" s="7">
        <f t="shared" si="0"/>
        <v>260000</v>
      </c>
      <c r="F14" s="7">
        <f t="shared" si="1"/>
        <v>190000</v>
      </c>
    </row>
    <row r="15" spans="1:6" x14ac:dyDescent="0.35">
      <c r="A15" s="5" t="s">
        <v>91</v>
      </c>
      <c r="B15" s="5">
        <v>4905</v>
      </c>
      <c r="C15" s="5" t="s">
        <v>77</v>
      </c>
      <c r="D15" s="7">
        <v>10000</v>
      </c>
      <c r="E15" s="7">
        <f t="shared" si="0"/>
        <v>270000</v>
      </c>
      <c r="F15" s="7">
        <f t="shared" si="1"/>
        <v>180000</v>
      </c>
    </row>
    <row r="16" spans="1:6" x14ac:dyDescent="0.35">
      <c r="A16" s="5" t="s">
        <v>92</v>
      </c>
      <c r="B16" s="5">
        <v>5646</v>
      </c>
      <c r="C16" s="5" t="s">
        <v>77</v>
      </c>
      <c r="D16" s="7">
        <v>10000</v>
      </c>
      <c r="E16" s="7">
        <f t="shared" si="0"/>
        <v>280000</v>
      </c>
      <c r="F16" s="7">
        <f t="shared" si="1"/>
        <v>170000</v>
      </c>
    </row>
    <row r="17" spans="1:6" x14ac:dyDescent="0.35">
      <c r="A17" s="5" t="s">
        <v>93</v>
      </c>
      <c r="B17" s="5">
        <v>6221</v>
      </c>
      <c r="C17" s="5" t="s">
        <v>77</v>
      </c>
      <c r="D17" s="7">
        <v>20000</v>
      </c>
      <c r="E17" s="7">
        <f t="shared" si="0"/>
        <v>300000</v>
      </c>
      <c r="F17" s="7">
        <f t="shared" si="1"/>
        <v>150000</v>
      </c>
    </row>
    <row r="18" spans="1:6" x14ac:dyDescent="0.35">
      <c r="A18" s="5" t="s">
        <v>94</v>
      </c>
      <c r="B18" s="5">
        <v>6789</v>
      </c>
      <c r="C18" s="5" t="s">
        <v>77</v>
      </c>
      <c r="D18" s="7">
        <v>100000</v>
      </c>
      <c r="E18" s="7">
        <f t="shared" si="0"/>
        <v>400000</v>
      </c>
      <c r="F18" s="7" t="s">
        <v>97</v>
      </c>
    </row>
    <row r="19" spans="1:6" x14ac:dyDescent="0.35">
      <c r="C19" t="s">
        <v>98</v>
      </c>
    </row>
    <row r="20" spans="1:6" x14ac:dyDescent="0.35">
      <c r="C20" t="s">
        <v>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249</v>
      </c>
      <c r="B1" t="s">
        <v>281</v>
      </c>
    </row>
    <row r="2" spans="1:6" x14ac:dyDescent="0.35">
      <c r="A2" t="s">
        <v>279</v>
      </c>
      <c r="B2" t="s">
        <v>282</v>
      </c>
    </row>
    <row r="3" spans="1:6" x14ac:dyDescent="0.35">
      <c r="A3" t="s">
        <v>253</v>
      </c>
      <c r="B3" t="s">
        <v>283</v>
      </c>
    </row>
    <row r="4" spans="1:6" x14ac:dyDescent="0.35">
      <c r="A4" t="s">
        <v>251</v>
      </c>
      <c r="B4" t="s">
        <v>284</v>
      </c>
    </row>
    <row r="5" spans="1:6" x14ac:dyDescent="0.35">
      <c r="A5" t="s">
        <v>280</v>
      </c>
    </row>
    <row r="6" spans="1:6" x14ac:dyDescent="0.35">
      <c r="A6" t="s">
        <v>254</v>
      </c>
      <c r="B6">
        <v>5511</v>
      </c>
    </row>
    <row r="8" spans="1:6" x14ac:dyDescent="0.35">
      <c r="A8" s="4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</row>
    <row r="9" spans="1:6" x14ac:dyDescent="0.35">
      <c r="C9" t="s">
        <v>285</v>
      </c>
    </row>
    <row r="11" spans="1:6" x14ac:dyDescent="0.35">
      <c r="A11" t="s">
        <v>286</v>
      </c>
      <c r="B11">
        <v>1620</v>
      </c>
      <c r="C11" t="s">
        <v>287</v>
      </c>
      <c r="D11" s="19">
        <v>200000</v>
      </c>
      <c r="F11" t="s">
        <v>288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249</v>
      </c>
      <c r="B1" t="s">
        <v>325</v>
      </c>
    </row>
    <row r="2" spans="1:6" x14ac:dyDescent="0.35">
      <c r="A2" t="s">
        <v>289</v>
      </c>
      <c r="B2" t="s">
        <v>326</v>
      </c>
    </row>
    <row r="3" spans="1:6" x14ac:dyDescent="0.35">
      <c r="A3" t="s">
        <v>253</v>
      </c>
      <c r="B3" t="s">
        <v>327</v>
      </c>
    </row>
    <row r="4" spans="1:6" x14ac:dyDescent="0.35">
      <c r="A4" t="s">
        <v>290</v>
      </c>
      <c r="B4" t="s">
        <v>328</v>
      </c>
    </row>
    <row r="5" spans="1:6" x14ac:dyDescent="0.35">
      <c r="A5" t="s">
        <v>280</v>
      </c>
      <c r="B5" t="s">
        <v>322</v>
      </c>
    </row>
    <row r="6" spans="1:6" x14ac:dyDescent="0.35">
      <c r="A6" t="s">
        <v>291</v>
      </c>
      <c r="B6">
        <v>5595</v>
      </c>
    </row>
    <row r="8" spans="1:6" x14ac:dyDescent="0.35">
      <c r="A8" s="4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</row>
    <row r="9" spans="1:6" x14ac:dyDescent="0.35">
      <c r="A9" t="s">
        <v>292</v>
      </c>
      <c r="C9" s="19" t="s">
        <v>323</v>
      </c>
      <c r="D9" s="19">
        <v>10000</v>
      </c>
      <c r="E9" s="19">
        <v>10000</v>
      </c>
      <c r="F9" s="19">
        <v>280000</v>
      </c>
    </row>
    <row r="10" spans="1:6" x14ac:dyDescent="0.35">
      <c r="A10" t="s">
        <v>293</v>
      </c>
      <c r="B10">
        <v>1786</v>
      </c>
      <c r="C10" s="19" t="s">
        <v>323</v>
      </c>
      <c r="D10" s="19">
        <v>10000</v>
      </c>
      <c r="E10" s="19">
        <f t="shared" ref="E10:E37" si="0">E9+D10</f>
        <v>20000</v>
      </c>
      <c r="F10" s="19">
        <f t="shared" ref="F10:F37" si="1">F9-D10</f>
        <v>270000</v>
      </c>
    </row>
    <row r="11" spans="1:6" x14ac:dyDescent="0.35">
      <c r="A11" t="s">
        <v>294</v>
      </c>
      <c r="B11">
        <v>2679</v>
      </c>
      <c r="C11" s="19" t="s">
        <v>324</v>
      </c>
      <c r="D11" s="19">
        <v>10000</v>
      </c>
      <c r="E11" s="19">
        <f t="shared" si="0"/>
        <v>30000</v>
      </c>
      <c r="F11" s="19">
        <f t="shared" si="1"/>
        <v>260000</v>
      </c>
    </row>
    <row r="12" spans="1:6" x14ac:dyDescent="0.35">
      <c r="A12" t="s">
        <v>295</v>
      </c>
      <c r="B12">
        <v>2680</v>
      </c>
      <c r="C12" s="19" t="s">
        <v>323</v>
      </c>
      <c r="D12" s="19">
        <v>10000</v>
      </c>
      <c r="E12" s="19">
        <f t="shared" si="0"/>
        <v>40000</v>
      </c>
      <c r="F12" s="19">
        <f t="shared" si="1"/>
        <v>250000</v>
      </c>
    </row>
    <row r="13" spans="1:6" x14ac:dyDescent="0.35">
      <c r="A13" t="s">
        <v>296</v>
      </c>
      <c r="B13">
        <v>1738</v>
      </c>
      <c r="C13" s="19" t="s">
        <v>323</v>
      </c>
      <c r="D13" s="19">
        <v>10000</v>
      </c>
      <c r="E13" s="19">
        <f t="shared" si="0"/>
        <v>50000</v>
      </c>
      <c r="F13" s="19">
        <f t="shared" si="1"/>
        <v>240000</v>
      </c>
    </row>
    <row r="14" spans="1:6" x14ac:dyDescent="0.35">
      <c r="A14" t="s">
        <v>297</v>
      </c>
      <c r="B14">
        <v>38</v>
      </c>
      <c r="C14" s="19" t="s">
        <v>324</v>
      </c>
      <c r="D14" s="19">
        <v>10000</v>
      </c>
      <c r="E14" s="19">
        <f t="shared" si="0"/>
        <v>60000</v>
      </c>
      <c r="F14" s="19">
        <f t="shared" si="1"/>
        <v>230000</v>
      </c>
    </row>
    <row r="15" spans="1:6" x14ac:dyDescent="0.35">
      <c r="A15" t="s">
        <v>298</v>
      </c>
      <c r="B15">
        <v>1491</v>
      </c>
      <c r="C15" s="19" t="s">
        <v>323</v>
      </c>
      <c r="D15" s="19">
        <v>10000</v>
      </c>
      <c r="E15" s="19">
        <f t="shared" si="0"/>
        <v>70000</v>
      </c>
      <c r="F15" s="19">
        <f t="shared" si="1"/>
        <v>220000</v>
      </c>
    </row>
    <row r="16" spans="1:6" x14ac:dyDescent="0.35">
      <c r="A16" t="s">
        <v>299</v>
      </c>
      <c r="B16">
        <v>352</v>
      </c>
      <c r="C16" s="19" t="s">
        <v>323</v>
      </c>
      <c r="D16" s="19">
        <v>10000</v>
      </c>
      <c r="E16" s="19">
        <f t="shared" si="0"/>
        <v>80000</v>
      </c>
      <c r="F16" s="19">
        <f t="shared" si="1"/>
        <v>210000</v>
      </c>
    </row>
    <row r="17" spans="1:6" x14ac:dyDescent="0.35">
      <c r="A17" t="s">
        <v>300</v>
      </c>
      <c r="B17">
        <v>2158</v>
      </c>
      <c r="C17" s="19" t="s">
        <v>323</v>
      </c>
      <c r="D17" s="19">
        <v>10000</v>
      </c>
      <c r="E17" s="19">
        <f t="shared" si="0"/>
        <v>90000</v>
      </c>
      <c r="F17" s="19">
        <f t="shared" si="1"/>
        <v>200000</v>
      </c>
    </row>
    <row r="18" spans="1:6" x14ac:dyDescent="0.35">
      <c r="A18" t="s">
        <v>301</v>
      </c>
      <c r="B18">
        <v>1241</v>
      </c>
      <c r="C18" s="19" t="s">
        <v>323</v>
      </c>
      <c r="D18" s="19">
        <v>10000</v>
      </c>
      <c r="E18" s="19">
        <f t="shared" si="0"/>
        <v>100000</v>
      </c>
      <c r="F18" s="19">
        <f t="shared" si="1"/>
        <v>190000</v>
      </c>
    </row>
    <row r="19" spans="1:6" x14ac:dyDescent="0.35">
      <c r="A19" t="s">
        <v>302</v>
      </c>
      <c r="B19">
        <v>3426</v>
      </c>
      <c r="C19" s="19" t="s">
        <v>323</v>
      </c>
      <c r="D19" s="19">
        <v>10000</v>
      </c>
      <c r="E19" s="19">
        <f t="shared" si="0"/>
        <v>110000</v>
      </c>
      <c r="F19" s="19">
        <f t="shared" si="1"/>
        <v>180000</v>
      </c>
    </row>
    <row r="20" spans="1:6" x14ac:dyDescent="0.35">
      <c r="A20" t="s">
        <v>303</v>
      </c>
      <c r="B20">
        <v>4057</v>
      </c>
      <c r="C20" s="19" t="s">
        <v>323</v>
      </c>
      <c r="D20" s="19">
        <v>10000</v>
      </c>
      <c r="E20" s="19">
        <f t="shared" si="0"/>
        <v>120000</v>
      </c>
      <c r="F20" s="19">
        <f t="shared" si="1"/>
        <v>170000</v>
      </c>
    </row>
    <row r="21" spans="1:6" x14ac:dyDescent="0.35">
      <c r="A21" t="s">
        <v>304</v>
      </c>
      <c r="B21">
        <v>4708</v>
      </c>
      <c r="C21" s="19" t="s">
        <v>323</v>
      </c>
      <c r="D21" s="19">
        <v>10000</v>
      </c>
      <c r="E21" s="19">
        <f t="shared" si="0"/>
        <v>130000</v>
      </c>
      <c r="F21" s="19">
        <f t="shared" si="1"/>
        <v>160000</v>
      </c>
    </row>
    <row r="22" spans="1:6" x14ac:dyDescent="0.35">
      <c r="A22" t="s">
        <v>305</v>
      </c>
      <c r="B22">
        <v>5365</v>
      </c>
      <c r="C22" s="19" t="s">
        <v>323</v>
      </c>
      <c r="D22" s="19">
        <v>10000</v>
      </c>
      <c r="E22" s="19">
        <f t="shared" si="0"/>
        <v>140000</v>
      </c>
      <c r="F22" s="19">
        <f t="shared" si="1"/>
        <v>150000</v>
      </c>
    </row>
    <row r="23" spans="1:6" x14ac:dyDescent="0.35">
      <c r="A23" t="s">
        <v>306</v>
      </c>
      <c r="B23">
        <v>6017</v>
      </c>
      <c r="C23" s="19" t="s">
        <v>323</v>
      </c>
      <c r="D23" s="19">
        <v>10000</v>
      </c>
      <c r="E23" s="19">
        <f t="shared" si="0"/>
        <v>150000</v>
      </c>
      <c r="F23" s="19">
        <f t="shared" si="1"/>
        <v>140000</v>
      </c>
    </row>
    <row r="24" spans="1:6" x14ac:dyDescent="0.35">
      <c r="A24" t="s">
        <v>307</v>
      </c>
      <c r="B24">
        <v>7131</v>
      </c>
      <c r="C24" s="19" t="s">
        <v>323</v>
      </c>
      <c r="D24" s="19">
        <v>10000</v>
      </c>
      <c r="E24" s="19">
        <f t="shared" si="0"/>
        <v>160000</v>
      </c>
      <c r="F24" s="19">
        <f t="shared" si="1"/>
        <v>130000</v>
      </c>
    </row>
    <row r="25" spans="1:6" x14ac:dyDescent="0.35">
      <c r="A25" t="s">
        <v>308</v>
      </c>
      <c r="B25">
        <v>7280</v>
      </c>
      <c r="C25" s="19" t="s">
        <v>323</v>
      </c>
      <c r="D25" s="19">
        <v>10000</v>
      </c>
      <c r="E25" s="19">
        <f t="shared" si="0"/>
        <v>170000</v>
      </c>
      <c r="F25" s="19">
        <f t="shared" si="1"/>
        <v>120000</v>
      </c>
    </row>
    <row r="26" spans="1:6" x14ac:dyDescent="0.35">
      <c r="A26" t="s">
        <v>309</v>
      </c>
      <c r="B26">
        <v>7805</v>
      </c>
      <c r="C26" s="19" t="s">
        <v>323</v>
      </c>
      <c r="D26" s="19">
        <v>10000</v>
      </c>
      <c r="E26" s="19">
        <f t="shared" si="0"/>
        <v>180000</v>
      </c>
      <c r="F26" s="19">
        <f t="shared" si="1"/>
        <v>110000</v>
      </c>
    </row>
    <row r="27" spans="1:6" x14ac:dyDescent="0.35">
      <c r="A27" t="s">
        <v>310</v>
      </c>
      <c r="B27">
        <v>8320</v>
      </c>
      <c r="C27" s="19" t="s">
        <v>323</v>
      </c>
      <c r="D27" s="19">
        <v>10000</v>
      </c>
      <c r="E27" s="19">
        <f t="shared" si="0"/>
        <v>190000</v>
      </c>
      <c r="F27" s="19">
        <f t="shared" si="1"/>
        <v>100000</v>
      </c>
    </row>
    <row r="28" spans="1:6" x14ac:dyDescent="0.35">
      <c r="A28" t="s">
        <v>311</v>
      </c>
      <c r="B28">
        <v>8946</v>
      </c>
      <c r="C28" s="19" t="s">
        <v>323</v>
      </c>
      <c r="D28" s="19">
        <v>10000</v>
      </c>
      <c r="E28" s="19">
        <f t="shared" si="0"/>
        <v>200000</v>
      </c>
      <c r="F28" s="19">
        <f t="shared" si="1"/>
        <v>90000</v>
      </c>
    </row>
    <row r="29" spans="1:6" x14ac:dyDescent="0.35">
      <c r="A29" t="s">
        <v>312</v>
      </c>
      <c r="B29">
        <v>9517</v>
      </c>
      <c r="C29" s="19" t="s">
        <v>323</v>
      </c>
      <c r="D29" s="19">
        <v>10000</v>
      </c>
      <c r="E29" s="19">
        <f t="shared" si="0"/>
        <v>210000</v>
      </c>
      <c r="F29" s="19">
        <f t="shared" si="1"/>
        <v>80000</v>
      </c>
    </row>
    <row r="30" spans="1:6" x14ac:dyDescent="0.35">
      <c r="A30" t="s">
        <v>313</v>
      </c>
      <c r="B30">
        <v>11030</v>
      </c>
      <c r="C30" s="19" t="s">
        <v>323</v>
      </c>
      <c r="D30" s="19">
        <v>10000</v>
      </c>
      <c r="E30" s="19">
        <f t="shared" si="0"/>
        <v>220000</v>
      </c>
      <c r="F30" s="19">
        <f t="shared" si="1"/>
        <v>70000</v>
      </c>
    </row>
    <row r="31" spans="1:6" x14ac:dyDescent="0.35">
      <c r="A31" t="s">
        <v>314</v>
      </c>
      <c r="B31">
        <v>10594</v>
      </c>
      <c r="C31" s="19" t="s">
        <v>323</v>
      </c>
      <c r="D31" s="19">
        <v>10000</v>
      </c>
      <c r="E31" s="19">
        <f t="shared" si="0"/>
        <v>230000</v>
      </c>
      <c r="F31" s="19">
        <f t="shared" si="1"/>
        <v>60000</v>
      </c>
    </row>
    <row r="32" spans="1:6" x14ac:dyDescent="0.35">
      <c r="A32" t="s">
        <v>315</v>
      </c>
      <c r="B32">
        <v>11615</v>
      </c>
      <c r="C32" s="19" t="s">
        <v>323</v>
      </c>
      <c r="D32" s="19">
        <v>10000</v>
      </c>
      <c r="E32" s="19">
        <f t="shared" si="0"/>
        <v>240000</v>
      </c>
      <c r="F32" s="19">
        <f t="shared" si="1"/>
        <v>50000</v>
      </c>
    </row>
    <row r="33" spans="1:6" x14ac:dyDescent="0.35">
      <c r="A33" t="s">
        <v>316</v>
      </c>
      <c r="B33">
        <v>10912</v>
      </c>
      <c r="C33" s="19" t="s">
        <v>323</v>
      </c>
      <c r="D33" s="19">
        <v>10000</v>
      </c>
      <c r="E33" s="19">
        <f t="shared" si="0"/>
        <v>250000</v>
      </c>
      <c r="F33" s="19">
        <f t="shared" si="1"/>
        <v>40000</v>
      </c>
    </row>
    <row r="34" spans="1:6" x14ac:dyDescent="0.35">
      <c r="A34" t="s">
        <v>317</v>
      </c>
      <c r="B34">
        <v>12364</v>
      </c>
      <c r="C34" s="19" t="s">
        <v>323</v>
      </c>
      <c r="D34" s="19">
        <v>10000</v>
      </c>
      <c r="E34" s="19">
        <f t="shared" si="0"/>
        <v>260000</v>
      </c>
      <c r="F34" s="19">
        <f t="shared" si="1"/>
        <v>30000</v>
      </c>
    </row>
    <row r="35" spans="1:6" x14ac:dyDescent="0.35">
      <c r="A35" t="s">
        <v>318</v>
      </c>
      <c r="B35">
        <v>12030</v>
      </c>
      <c r="C35" s="19" t="s">
        <v>323</v>
      </c>
      <c r="D35" s="19">
        <v>10000</v>
      </c>
      <c r="E35" s="19">
        <f t="shared" si="0"/>
        <v>270000</v>
      </c>
      <c r="F35" s="19">
        <f t="shared" si="1"/>
        <v>20000</v>
      </c>
    </row>
    <row r="36" spans="1:6" x14ac:dyDescent="0.35">
      <c r="A36" t="s">
        <v>319</v>
      </c>
      <c r="B36">
        <v>9352</v>
      </c>
      <c r="C36" s="19" t="s">
        <v>323</v>
      </c>
      <c r="D36" s="19">
        <v>10000</v>
      </c>
      <c r="E36" s="19">
        <f t="shared" si="0"/>
        <v>280000</v>
      </c>
      <c r="F36" s="19">
        <f t="shared" si="1"/>
        <v>10000</v>
      </c>
    </row>
    <row r="37" spans="1:6" x14ac:dyDescent="0.35">
      <c r="A37" t="s">
        <v>320</v>
      </c>
      <c r="B37">
        <v>9697</v>
      </c>
      <c r="C37" s="19" t="s">
        <v>323</v>
      </c>
      <c r="D37" s="19">
        <v>10000</v>
      </c>
      <c r="E37" s="19">
        <f t="shared" si="0"/>
        <v>290000</v>
      </c>
      <c r="F37" s="19">
        <f t="shared" si="1"/>
        <v>0</v>
      </c>
    </row>
    <row r="39" spans="1:6" x14ac:dyDescent="0.35">
      <c r="A39" t="s">
        <v>321</v>
      </c>
      <c r="B39">
        <v>671</v>
      </c>
      <c r="C39" s="19" t="s">
        <v>287</v>
      </c>
      <c r="D39" s="19">
        <v>150000</v>
      </c>
      <c r="E39" s="19">
        <v>150000</v>
      </c>
      <c r="F39" t="s">
        <v>288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249</v>
      </c>
      <c r="B1" t="s">
        <v>325</v>
      </c>
    </row>
    <row r="2" spans="1:6" x14ac:dyDescent="0.35">
      <c r="A2" t="s">
        <v>289</v>
      </c>
      <c r="B2" t="s">
        <v>330</v>
      </c>
    </row>
    <row r="3" spans="1:6" x14ac:dyDescent="0.35">
      <c r="A3" t="s">
        <v>253</v>
      </c>
      <c r="B3" t="s">
        <v>331</v>
      </c>
    </row>
    <row r="4" spans="1:6" x14ac:dyDescent="0.35">
      <c r="A4" t="s">
        <v>251</v>
      </c>
      <c r="B4" t="s">
        <v>328</v>
      </c>
    </row>
    <row r="5" spans="1:6" x14ac:dyDescent="0.35">
      <c r="A5" t="s">
        <v>252</v>
      </c>
      <c r="B5" t="s">
        <v>329</v>
      </c>
    </row>
    <row r="6" spans="1:6" x14ac:dyDescent="0.35">
      <c r="A6" t="s">
        <v>254</v>
      </c>
      <c r="B6">
        <v>5596</v>
      </c>
      <c r="E6" s="19">
        <v>450000</v>
      </c>
    </row>
    <row r="8" spans="1:6" x14ac:dyDescent="0.35">
      <c r="A8" s="4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</row>
    <row r="9" spans="1:6" x14ac:dyDescent="0.35">
      <c r="A9" t="s">
        <v>332</v>
      </c>
      <c r="B9">
        <v>470</v>
      </c>
      <c r="C9" t="s">
        <v>339</v>
      </c>
      <c r="D9" s="19">
        <v>10000</v>
      </c>
      <c r="E9" s="19">
        <v>10000</v>
      </c>
      <c r="F9" s="19">
        <v>310000</v>
      </c>
    </row>
    <row r="10" spans="1:6" x14ac:dyDescent="0.35">
      <c r="A10" t="s">
        <v>293</v>
      </c>
      <c r="B10">
        <v>1797</v>
      </c>
      <c r="C10" t="s">
        <v>339</v>
      </c>
      <c r="D10" s="19">
        <v>10000</v>
      </c>
      <c r="E10" s="19">
        <f t="shared" ref="E10:E39" si="0">E9+D10</f>
        <v>20000</v>
      </c>
      <c r="F10" s="19">
        <f t="shared" ref="F10:F39" si="1">F9-D10</f>
        <v>300000</v>
      </c>
    </row>
    <row r="11" spans="1:6" x14ac:dyDescent="0.35">
      <c r="A11" t="s">
        <v>294</v>
      </c>
      <c r="B11">
        <v>37</v>
      </c>
      <c r="C11" t="s">
        <v>324</v>
      </c>
      <c r="D11" s="19">
        <v>20000</v>
      </c>
      <c r="E11" s="19">
        <f t="shared" si="0"/>
        <v>40000</v>
      </c>
      <c r="F11" s="19">
        <f t="shared" si="1"/>
        <v>280000</v>
      </c>
    </row>
    <row r="12" spans="1:6" x14ac:dyDescent="0.35">
      <c r="A12" t="s">
        <v>333</v>
      </c>
      <c r="B12">
        <v>2875</v>
      </c>
      <c r="C12" t="s">
        <v>339</v>
      </c>
      <c r="D12" s="19">
        <v>10000</v>
      </c>
      <c r="E12" s="19">
        <f t="shared" si="0"/>
        <v>50000</v>
      </c>
      <c r="F12" s="19">
        <f t="shared" si="1"/>
        <v>270000</v>
      </c>
    </row>
    <row r="13" spans="1:6" x14ac:dyDescent="0.35">
      <c r="A13" t="s">
        <v>296</v>
      </c>
      <c r="B13">
        <v>1737</v>
      </c>
      <c r="C13" t="s">
        <v>339</v>
      </c>
      <c r="D13" s="19">
        <v>10000</v>
      </c>
      <c r="E13" s="19">
        <f t="shared" si="0"/>
        <v>60000</v>
      </c>
      <c r="F13" s="19">
        <f t="shared" si="1"/>
        <v>260000</v>
      </c>
    </row>
    <row r="14" spans="1:6" x14ac:dyDescent="0.35">
      <c r="A14" t="s">
        <v>334</v>
      </c>
      <c r="B14">
        <v>1492</v>
      </c>
      <c r="C14" t="s">
        <v>339</v>
      </c>
      <c r="D14" s="19">
        <v>10000</v>
      </c>
      <c r="E14" s="19">
        <f t="shared" si="0"/>
        <v>70000</v>
      </c>
      <c r="F14" s="19">
        <f t="shared" si="1"/>
        <v>250000</v>
      </c>
    </row>
    <row r="15" spans="1:6" x14ac:dyDescent="0.35">
      <c r="A15" t="s">
        <v>299</v>
      </c>
      <c r="B15">
        <v>353</v>
      </c>
      <c r="C15" t="s">
        <v>339</v>
      </c>
      <c r="D15" s="19">
        <v>10000</v>
      </c>
      <c r="E15" s="19">
        <f t="shared" si="0"/>
        <v>80000</v>
      </c>
      <c r="F15" s="19">
        <f t="shared" si="1"/>
        <v>240000</v>
      </c>
    </row>
    <row r="16" spans="1:6" x14ac:dyDescent="0.35">
      <c r="A16" t="s">
        <v>300</v>
      </c>
      <c r="B16">
        <v>2159</v>
      </c>
      <c r="C16" t="s">
        <v>339</v>
      </c>
      <c r="D16" s="19">
        <v>10000</v>
      </c>
      <c r="E16" s="19">
        <f t="shared" si="0"/>
        <v>90000</v>
      </c>
      <c r="F16" s="19">
        <f t="shared" si="1"/>
        <v>230000</v>
      </c>
    </row>
    <row r="17" spans="1:6" x14ac:dyDescent="0.35">
      <c r="A17" t="s">
        <v>301</v>
      </c>
      <c r="B17">
        <v>2342</v>
      </c>
      <c r="C17" t="s">
        <v>339</v>
      </c>
      <c r="D17" s="19">
        <v>10000</v>
      </c>
      <c r="E17" s="19">
        <f t="shared" si="0"/>
        <v>100000</v>
      </c>
      <c r="F17" s="19">
        <f t="shared" si="1"/>
        <v>220000</v>
      </c>
    </row>
    <row r="18" spans="1:6" x14ac:dyDescent="0.35">
      <c r="A18" t="s">
        <v>302</v>
      </c>
      <c r="B18">
        <v>3425</v>
      </c>
      <c r="C18" t="s">
        <v>339</v>
      </c>
      <c r="D18" s="19">
        <v>10000</v>
      </c>
      <c r="E18" s="19">
        <f t="shared" si="0"/>
        <v>110000</v>
      </c>
      <c r="F18" s="19">
        <f t="shared" si="1"/>
        <v>210000</v>
      </c>
    </row>
    <row r="19" spans="1:6" x14ac:dyDescent="0.35">
      <c r="A19" t="s">
        <v>303</v>
      </c>
      <c r="B19">
        <v>4058</v>
      </c>
      <c r="C19" t="s">
        <v>339</v>
      </c>
      <c r="D19" s="19">
        <v>10000</v>
      </c>
      <c r="E19" s="19">
        <f t="shared" si="0"/>
        <v>120000</v>
      </c>
      <c r="F19" s="19">
        <f t="shared" si="1"/>
        <v>200000</v>
      </c>
    </row>
    <row r="20" spans="1:6" x14ac:dyDescent="0.35">
      <c r="A20" t="s">
        <v>304</v>
      </c>
      <c r="B20">
        <v>4207</v>
      </c>
      <c r="C20" t="s">
        <v>339</v>
      </c>
      <c r="D20" s="19">
        <v>10000</v>
      </c>
      <c r="E20" s="19">
        <f t="shared" si="0"/>
        <v>130000</v>
      </c>
      <c r="F20" s="19">
        <f t="shared" si="1"/>
        <v>190000</v>
      </c>
    </row>
    <row r="21" spans="1:6" x14ac:dyDescent="0.35">
      <c r="A21" t="s">
        <v>335</v>
      </c>
      <c r="B21">
        <v>5366</v>
      </c>
      <c r="C21" t="s">
        <v>339</v>
      </c>
      <c r="D21" s="19">
        <v>10000</v>
      </c>
      <c r="E21" s="19">
        <f t="shared" si="0"/>
        <v>140000</v>
      </c>
      <c r="F21" s="19">
        <f t="shared" si="1"/>
        <v>180000</v>
      </c>
    </row>
    <row r="22" spans="1:6" x14ac:dyDescent="0.35">
      <c r="A22" t="s">
        <v>306</v>
      </c>
      <c r="B22">
        <v>6018</v>
      </c>
      <c r="C22" t="s">
        <v>339</v>
      </c>
      <c r="D22" s="19">
        <v>10000</v>
      </c>
      <c r="E22" s="19">
        <f t="shared" si="0"/>
        <v>150000</v>
      </c>
      <c r="F22" s="19">
        <f t="shared" si="1"/>
        <v>170000</v>
      </c>
    </row>
    <row r="23" spans="1:6" x14ac:dyDescent="0.35">
      <c r="A23" t="s">
        <v>307</v>
      </c>
      <c r="B23">
        <v>7132</v>
      </c>
      <c r="C23" t="s">
        <v>339</v>
      </c>
      <c r="D23" s="19">
        <v>10000</v>
      </c>
      <c r="E23" s="19">
        <f t="shared" si="0"/>
        <v>160000</v>
      </c>
      <c r="F23" s="19">
        <f t="shared" si="1"/>
        <v>160000</v>
      </c>
    </row>
    <row r="24" spans="1:6" x14ac:dyDescent="0.35">
      <c r="A24" t="s">
        <v>308</v>
      </c>
      <c r="B24">
        <v>7279</v>
      </c>
      <c r="C24" t="s">
        <v>339</v>
      </c>
      <c r="D24" s="19">
        <v>10000</v>
      </c>
      <c r="E24" s="19">
        <f t="shared" si="0"/>
        <v>170000</v>
      </c>
      <c r="F24" s="19">
        <f t="shared" si="1"/>
        <v>150000</v>
      </c>
    </row>
    <row r="25" spans="1:6" x14ac:dyDescent="0.35">
      <c r="A25" t="s">
        <v>309</v>
      </c>
      <c r="B25">
        <v>7806</v>
      </c>
      <c r="C25" t="s">
        <v>339</v>
      </c>
      <c r="D25" s="19">
        <v>10000</v>
      </c>
      <c r="E25" s="19">
        <f t="shared" si="0"/>
        <v>180000</v>
      </c>
      <c r="F25" s="19">
        <f t="shared" si="1"/>
        <v>140000</v>
      </c>
    </row>
    <row r="26" spans="1:6" x14ac:dyDescent="0.35">
      <c r="A26" t="s">
        <v>310</v>
      </c>
      <c r="B26">
        <v>8319</v>
      </c>
      <c r="C26" t="s">
        <v>339</v>
      </c>
      <c r="D26" s="19">
        <v>10000</v>
      </c>
      <c r="E26" s="19">
        <f t="shared" si="0"/>
        <v>190000</v>
      </c>
      <c r="F26" s="19">
        <f t="shared" si="1"/>
        <v>130000</v>
      </c>
    </row>
    <row r="27" spans="1:6" x14ac:dyDescent="0.35">
      <c r="A27" t="s">
        <v>311</v>
      </c>
      <c r="B27">
        <v>3945</v>
      </c>
      <c r="C27" t="s">
        <v>339</v>
      </c>
      <c r="D27" s="19">
        <v>10000</v>
      </c>
      <c r="E27" s="19">
        <f t="shared" si="0"/>
        <v>200000</v>
      </c>
      <c r="F27" s="19">
        <f t="shared" si="1"/>
        <v>120000</v>
      </c>
    </row>
    <row r="28" spans="1:6" x14ac:dyDescent="0.35">
      <c r="A28" t="s">
        <v>312</v>
      </c>
      <c r="B28">
        <v>9518</v>
      </c>
      <c r="C28" t="s">
        <v>339</v>
      </c>
      <c r="D28" s="19">
        <v>10000</v>
      </c>
      <c r="E28" s="19">
        <f t="shared" si="0"/>
        <v>210000</v>
      </c>
      <c r="F28" s="19">
        <f t="shared" si="1"/>
        <v>110000</v>
      </c>
    </row>
    <row r="29" spans="1:6" x14ac:dyDescent="0.35">
      <c r="A29" t="s">
        <v>313</v>
      </c>
      <c r="B29">
        <v>11029</v>
      </c>
      <c r="C29" t="s">
        <v>339</v>
      </c>
      <c r="D29" s="19">
        <v>10000</v>
      </c>
      <c r="E29" s="19">
        <f t="shared" si="0"/>
        <v>220000</v>
      </c>
      <c r="F29" s="19">
        <f t="shared" si="1"/>
        <v>100000</v>
      </c>
    </row>
    <row r="30" spans="1:6" x14ac:dyDescent="0.35">
      <c r="A30" t="s">
        <v>314</v>
      </c>
      <c r="B30">
        <v>10593</v>
      </c>
      <c r="C30" t="s">
        <v>339</v>
      </c>
      <c r="D30" s="19">
        <v>10000</v>
      </c>
      <c r="E30" s="19">
        <f t="shared" si="0"/>
        <v>230000</v>
      </c>
      <c r="F30" s="19">
        <f t="shared" si="1"/>
        <v>90000</v>
      </c>
    </row>
    <row r="31" spans="1:6" x14ac:dyDescent="0.35">
      <c r="A31" t="s">
        <v>315</v>
      </c>
      <c r="B31">
        <v>11614</v>
      </c>
      <c r="C31" t="s">
        <v>339</v>
      </c>
      <c r="D31" s="19">
        <v>10000</v>
      </c>
      <c r="E31" s="19">
        <f t="shared" si="0"/>
        <v>240000</v>
      </c>
      <c r="F31" s="19">
        <f t="shared" si="1"/>
        <v>80000</v>
      </c>
    </row>
    <row r="32" spans="1:6" x14ac:dyDescent="0.35">
      <c r="A32" t="s">
        <v>316</v>
      </c>
      <c r="B32">
        <v>10911</v>
      </c>
      <c r="C32" t="s">
        <v>339</v>
      </c>
      <c r="D32" s="19">
        <v>10000</v>
      </c>
      <c r="E32" s="19">
        <f t="shared" si="0"/>
        <v>250000</v>
      </c>
      <c r="F32" s="19">
        <f t="shared" si="1"/>
        <v>70000</v>
      </c>
    </row>
    <row r="33" spans="1:6" x14ac:dyDescent="0.35">
      <c r="A33" t="s">
        <v>317</v>
      </c>
      <c r="B33">
        <v>12365</v>
      </c>
      <c r="C33" t="s">
        <v>339</v>
      </c>
      <c r="D33" s="19">
        <v>10000</v>
      </c>
      <c r="E33" s="19">
        <f t="shared" si="0"/>
        <v>260000</v>
      </c>
      <c r="F33" s="19">
        <f t="shared" si="1"/>
        <v>60000</v>
      </c>
    </row>
    <row r="34" spans="1:6" x14ac:dyDescent="0.35">
      <c r="A34" t="s">
        <v>318</v>
      </c>
      <c r="B34">
        <v>12031</v>
      </c>
      <c r="C34" t="s">
        <v>339</v>
      </c>
      <c r="D34" s="19">
        <v>10000</v>
      </c>
      <c r="E34" s="19">
        <f t="shared" si="0"/>
        <v>270000</v>
      </c>
      <c r="F34" s="19">
        <f t="shared" si="1"/>
        <v>50000</v>
      </c>
    </row>
    <row r="35" spans="1:6" x14ac:dyDescent="0.35">
      <c r="A35" t="s">
        <v>319</v>
      </c>
      <c r="B35">
        <v>9351</v>
      </c>
      <c r="C35" t="s">
        <v>339</v>
      </c>
      <c r="D35" s="19">
        <v>10000</v>
      </c>
      <c r="E35" s="19">
        <f t="shared" si="0"/>
        <v>280000</v>
      </c>
      <c r="F35" s="19">
        <f t="shared" si="1"/>
        <v>40000</v>
      </c>
    </row>
    <row r="36" spans="1:6" x14ac:dyDescent="0.35">
      <c r="A36" t="s">
        <v>320</v>
      </c>
      <c r="B36">
        <v>9692</v>
      </c>
      <c r="C36" t="s">
        <v>339</v>
      </c>
      <c r="D36" s="19">
        <v>10000</v>
      </c>
      <c r="E36" s="19">
        <f t="shared" si="0"/>
        <v>290000</v>
      </c>
      <c r="F36" s="19">
        <f t="shared" si="1"/>
        <v>30000</v>
      </c>
    </row>
    <row r="37" spans="1:6" x14ac:dyDescent="0.35">
      <c r="A37" t="s">
        <v>336</v>
      </c>
      <c r="B37">
        <v>10102</v>
      </c>
      <c r="C37" t="s">
        <v>339</v>
      </c>
      <c r="D37" s="19">
        <v>10000</v>
      </c>
      <c r="E37" s="19">
        <f t="shared" si="0"/>
        <v>300000</v>
      </c>
      <c r="F37" s="19">
        <f t="shared" si="1"/>
        <v>20000</v>
      </c>
    </row>
    <row r="38" spans="1:6" x14ac:dyDescent="0.35">
      <c r="A38" t="s">
        <v>337</v>
      </c>
      <c r="B38">
        <v>10391</v>
      </c>
      <c r="C38" t="s">
        <v>339</v>
      </c>
      <c r="D38" s="19">
        <v>10000</v>
      </c>
      <c r="E38" s="19">
        <f t="shared" si="0"/>
        <v>310000</v>
      </c>
      <c r="F38" s="19">
        <f t="shared" si="1"/>
        <v>10000</v>
      </c>
    </row>
    <row r="39" spans="1:6" x14ac:dyDescent="0.35">
      <c r="A39" t="s">
        <v>321</v>
      </c>
      <c r="B39">
        <v>9939</v>
      </c>
      <c r="C39" t="s">
        <v>339</v>
      </c>
      <c r="D39" s="19">
        <v>10000</v>
      </c>
      <c r="E39" s="19">
        <f t="shared" si="0"/>
        <v>320000</v>
      </c>
      <c r="F39" s="19">
        <f t="shared" si="1"/>
        <v>0</v>
      </c>
    </row>
    <row r="41" spans="1:6" x14ac:dyDescent="0.35">
      <c r="A41" t="s">
        <v>338</v>
      </c>
      <c r="B41">
        <v>3024</v>
      </c>
      <c r="C41" t="s">
        <v>287</v>
      </c>
      <c r="D41" s="19">
        <v>150000</v>
      </c>
      <c r="E41" s="19">
        <v>150000</v>
      </c>
      <c r="F41" t="s">
        <v>288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1" workbookViewId="0">
      <selection activeCell="B40" sqref="B40"/>
    </sheetView>
  </sheetViews>
  <sheetFormatPr defaultRowHeight="14.5" x14ac:dyDescent="0.35"/>
  <cols>
    <col min="1" max="1" width="9.453125" bestFit="1" customWidth="1"/>
  </cols>
  <sheetData>
    <row r="1" spans="1:6" x14ac:dyDescent="0.35">
      <c r="A1" t="s">
        <v>249</v>
      </c>
      <c r="B1" t="s">
        <v>353</v>
      </c>
    </row>
    <row r="2" spans="1:6" x14ac:dyDescent="0.35">
      <c r="A2" t="s">
        <v>279</v>
      </c>
      <c r="B2" t="s">
        <v>354</v>
      </c>
    </row>
    <row r="3" spans="1:6" x14ac:dyDescent="0.35">
      <c r="A3" t="s">
        <v>253</v>
      </c>
      <c r="B3" t="s">
        <v>355</v>
      </c>
    </row>
    <row r="4" spans="1:6" x14ac:dyDescent="0.35">
      <c r="A4" t="s">
        <v>251</v>
      </c>
      <c r="B4" t="s">
        <v>356</v>
      </c>
    </row>
    <row r="5" spans="1:6" x14ac:dyDescent="0.35">
      <c r="A5" t="s">
        <v>252</v>
      </c>
      <c r="B5" t="s">
        <v>357</v>
      </c>
    </row>
    <row r="6" spans="1:6" x14ac:dyDescent="0.35">
      <c r="A6" t="s">
        <v>254</v>
      </c>
      <c r="B6">
        <v>5519</v>
      </c>
    </row>
    <row r="8" spans="1:6" x14ac:dyDescent="0.35">
      <c r="A8" s="4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</row>
    <row r="9" spans="1:6" x14ac:dyDescent="0.35">
      <c r="A9" t="s">
        <v>340</v>
      </c>
      <c r="B9">
        <v>1432</v>
      </c>
      <c r="C9" t="s">
        <v>276</v>
      </c>
      <c r="D9" s="19">
        <v>10000</v>
      </c>
      <c r="E9" s="19">
        <v>10000</v>
      </c>
      <c r="F9" s="19">
        <v>190000</v>
      </c>
    </row>
    <row r="10" spans="1:6" x14ac:dyDescent="0.35">
      <c r="A10" t="s">
        <v>341</v>
      </c>
      <c r="B10">
        <v>1411</v>
      </c>
      <c r="C10" t="s">
        <v>351</v>
      </c>
      <c r="D10" s="19">
        <v>20000</v>
      </c>
      <c r="E10" s="19">
        <f t="shared" ref="E10:E21" si="0">E9+D10</f>
        <v>30000</v>
      </c>
      <c r="F10" s="19">
        <f t="shared" ref="F10:F20" si="1">F9-D10</f>
        <v>170000</v>
      </c>
    </row>
    <row r="11" spans="1:6" x14ac:dyDescent="0.35">
      <c r="A11" t="s">
        <v>342</v>
      </c>
      <c r="B11">
        <v>1410</v>
      </c>
      <c r="C11" t="s">
        <v>276</v>
      </c>
      <c r="D11" s="19">
        <v>18000</v>
      </c>
      <c r="E11" s="19">
        <f t="shared" si="0"/>
        <v>48000</v>
      </c>
      <c r="F11" s="19">
        <f t="shared" si="1"/>
        <v>152000</v>
      </c>
    </row>
    <row r="12" spans="1:6" x14ac:dyDescent="0.35">
      <c r="A12" t="s">
        <v>343</v>
      </c>
      <c r="B12">
        <v>3309</v>
      </c>
      <c r="C12" t="s">
        <v>276</v>
      </c>
      <c r="D12" s="19">
        <v>20000</v>
      </c>
      <c r="E12" s="19">
        <f t="shared" si="0"/>
        <v>68000</v>
      </c>
      <c r="F12" s="19">
        <f t="shared" si="1"/>
        <v>132000</v>
      </c>
    </row>
    <row r="13" spans="1:6" x14ac:dyDescent="0.35">
      <c r="A13" t="s">
        <v>344</v>
      </c>
      <c r="B13">
        <v>3876</v>
      </c>
      <c r="C13" t="s">
        <v>276</v>
      </c>
      <c r="D13" s="19">
        <v>10000</v>
      </c>
      <c r="E13" s="19">
        <f t="shared" si="0"/>
        <v>78000</v>
      </c>
      <c r="F13" s="19">
        <f t="shared" si="1"/>
        <v>122000</v>
      </c>
    </row>
    <row r="14" spans="1:6" x14ac:dyDescent="0.35">
      <c r="A14" t="s">
        <v>345</v>
      </c>
      <c r="B14">
        <v>4455</v>
      </c>
      <c r="C14" t="s">
        <v>276</v>
      </c>
      <c r="D14" s="19">
        <v>10000</v>
      </c>
      <c r="E14" s="19">
        <f t="shared" si="0"/>
        <v>88000</v>
      </c>
      <c r="F14" s="19">
        <f t="shared" si="1"/>
        <v>112000</v>
      </c>
    </row>
    <row r="15" spans="1:6" x14ac:dyDescent="0.35">
      <c r="A15" t="s">
        <v>346</v>
      </c>
      <c r="B15">
        <v>4625</v>
      </c>
      <c r="C15" t="s">
        <v>276</v>
      </c>
      <c r="D15" s="19">
        <v>10000</v>
      </c>
      <c r="E15" s="19">
        <f t="shared" si="0"/>
        <v>98000</v>
      </c>
      <c r="F15" s="19">
        <f t="shared" si="1"/>
        <v>102000</v>
      </c>
    </row>
    <row r="16" spans="1:6" x14ac:dyDescent="0.35">
      <c r="A16" t="s">
        <v>347</v>
      </c>
      <c r="B16">
        <v>5527</v>
      </c>
      <c r="C16" t="s">
        <v>276</v>
      </c>
      <c r="D16" s="19">
        <v>10000</v>
      </c>
      <c r="E16" s="19">
        <f t="shared" si="0"/>
        <v>108000</v>
      </c>
      <c r="F16" s="19">
        <f t="shared" si="1"/>
        <v>92000</v>
      </c>
    </row>
    <row r="17" spans="1:6" x14ac:dyDescent="0.35">
      <c r="A17" t="s">
        <v>348</v>
      </c>
      <c r="B17">
        <v>6185</v>
      </c>
      <c r="C17" t="s">
        <v>276</v>
      </c>
      <c r="D17" s="19">
        <v>20000</v>
      </c>
      <c r="E17" s="19">
        <f t="shared" si="0"/>
        <v>128000</v>
      </c>
      <c r="F17" s="19">
        <f t="shared" si="1"/>
        <v>72000</v>
      </c>
    </row>
    <row r="18" spans="1:6" x14ac:dyDescent="0.35">
      <c r="A18" t="s">
        <v>349</v>
      </c>
      <c r="B18">
        <v>7067</v>
      </c>
      <c r="C18" t="s">
        <v>276</v>
      </c>
      <c r="D18" s="19">
        <v>10000</v>
      </c>
      <c r="E18" s="19">
        <f t="shared" si="0"/>
        <v>138000</v>
      </c>
      <c r="F18" s="19">
        <f t="shared" si="1"/>
        <v>62000</v>
      </c>
    </row>
    <row r="19" spans="1:6" x14ac:dyDescent="0.35">
      <c r="A19" t="s">
        <v>350</v>
      </c>
      <c r="B19">
        <v>7202</v>
      </c>
      <c r="C19" t="s">
        <v>276</v>
      </c>
      <c r="D19" s="19">
        <v>10000</v>
      </c>
      <c r="E19" s="19">
        <f t="shared" si="0"/>
        <v>148000</v>
      </c>
      <c r="F19" s="19">
        <f t="shared" si="1"/>
        <v>52000</v>
      </c>
    </row>
    <row r="20" spans="1:6" x14ac:dyDescent="0.35">
      <c r="A20" t="s">
        <v>309</v>
      </c>
      <c r="B20">
        <v>7797</v>
      </c>
      <c r="C20" t="s">
        <v>276</v>
      </c>
      <c r="D20" s="19">
        <v>10000</v>
      </c>
      <c r="E20" s="19">
        <f t="shared" si="0"/>
        <v>158000</v>
      </c>
      <c r="F20" s="19">
        <f t="shared" si="1"/>
        <v>42000</v>
      </c>
    </row>
    <row r="21" spans="1:6" x14ac:dyDescent="0.35">
      <c r="A21" t="s">
        <v>352</v>
      </c>
      <c r="B21">
        <v>8240</v>
      </c>
      <c r="C21" t="s">
        <v>276</v>
      </c>
      <c r="D21" s="19">
        <v>39000</v>
      </c>
      <c r="E21" s="19">
        <f t="shared" si="0"/>
        <v>197000</v>
      </c>
      <c r="F21" s="19" t="s">
        <v>61</v>
      </c>
    </row>
    <row r="22" spans="1:6" ht="15.5" x14ac:dyDescent="0.35">
      <c r="B22" s="29" t="s">
        <v>420</v>
      </c>
      <c r="C22" s="29"/>
      <c r="D22" s="29"/>
      <c r="E22" s="29"/>
    </row>
    <row r="24" spans="1:6" ht="15.5" x14ac:dyDescent="0.35">
      <c r="B24" s="29" t="s">
        <v>111</v>
      </c>
      <c r="C24" s="29"/>
      <c r="D24" s="29"/>
    </row>
    <row r="25" spans="1:6" x14ac:dyDescent="0.35">
      <c r="A25" s="5" t="s">
        <v>421</v>
      </c>
      <c r="B25" s="5">
        <v>10288</v>
      </c>
      <c r="C25" s="5" t="s">
        <v>426</v>
      </c>
      <c r="D25" s="7">
        <v>5000</v>
      </c>
      <c r="E25" s="7">
        <v>5000</v>
      </c>
      <c r="F25" s="7">
        <v>445000</v>
      </c>
    </row>
    <row r="26" spans="1:6" x14ac:dyDescent="0.35">
      <c r="A26" s="5" t="s">
        <v>422</v>
      </c>
      <c r="B26" s="5">
        <v>3177</v>
      </c>
      <c r="C26" s="5" t="s">
        <v>426</v>
      </c>
      <c r="D26" s="7">
        <v>5000</v>
      </c>
      <c r="E26" s="7">
        <f t="shared" ref="E26:E35" si="2">E25+D26</f>
        <v>10000</v>
      </c>
      <c r="F26" s="7">
        <f t="shared" ref="F26:F34" si="3">F25-D26</f>
        <v>440000</v>
      </c>
    </row>
    <row r="27" spans="1:6" x14ac:dyDescent="0.35">
      <c r="A27" s="6">
        <v>46121</v>
      </c>
      <c r="B27" s="5">
        <v>3468</v>
      </c>
      <c r="C27" s="5" t="s">
        <v>426</v>
      </c>
      <c r="D27" s="7">
        <v>5000</v>
      </c>
      <c r="E27" s="7">
        <f t="shared" si="2"/>
        <v>15000</v>
      </c>
      <c r="F27" s="7">
        <f t="shared" si="3"/>
        <v>435000</v>
      </c>
    </row>
    <row r="28" spans="1:6" x14ac:dyDescent="0.35">
      <c r="A28" s="6">
        <v>45726</v>
      </c>
      <c r="B28" s="5">
        <v>3239</v>
      </c>
      <c r="C28" s="5" t="s">
        <v>426</v>
      </c>
      <c r="D28" s="7">
        <v>5000</v>
      </c>
      <c r="E28" s="7">
        <f t="shared" si="2"/>
        <v>20000</v>
      </c>
      <c r="F28" s="7">
        <f t="shared" si="3"/>
        <v>430000</v>
      </c>
    </row>
    <row r="29" spans="1:6" x14ac:dyDescent="0.35">
      <c r="A29" s="6">
        <v>46327</v>
      </c>
      <c r="B29" s="5">
        <v>5274</v>
      </c>
      <c r="C29" s="5" t="s">
        <v>426</v>
      </c>
      <c r="D29" s="7">
        <v>10000</v>
      </c>
      <c r="E29" s="7">
        <f t="shared" si="2"/>
        <v>30000</v>
      </c>
      <c r="F29" s="7">
        <f t="shared" si="3"/>
        <v>420000</v>
      </c>
    </row>
    <row r="30" spans="1:6" x14ac:dyDescent="0.35">
      <c r="A30" s="5" t="s">
        <v>423</v>
      </c>
      <c r="B30" s="5">
        <v>5525</v>
      </c>
      <c r="C30" s="5" t="s">
        <v>426</v>
      </c>
      <c r="D30" s="7">
        <v>5000</v>
      </c>
      <c r="E30" s="7">
        <f t="shared" si="2"/>
        <v>35000</v>
      </c>
      <c r="F30" s="7">
        <f t="shared" si="3"/>
        <v>415000</v>
      </c>
    </row>
    <row r="31" spans="1:6" x14ac:dyDescent="0.35">
      <c r="A31" s="5" t="s">
        <v>424</v>
      </c>
      <c r="B31" s="5">
        <v>5725</v>
      </c>
      <c r="C31" s="5" t="s">
        <v>426</v>
      </c>
      <c r="D31" s="7">
        <v>5000</v>
      </c>
      <c r="E31" s="7">
        <f t="shared" si="2"/>
        <v>40000</v>
      </c>
      <c r="F31" s="7">
        <f t="shared" si="3"/>
        <v>410000</v>
      </c>
    </row>
    <row r="32" spans="1:6" x14ac:dyDescent="0.35">
      <c r="A32" s="6">
        <v>46360</v>
      </c>
      <c r="B32" s="5">
        <v>5930</v>
      </c>
      <c r="C32" s="5" t="s">
        <v>426</v>
      </c>
      <c r="D32" s="7">
        <v>5000</v>
      </c>
      <c r="E32" s="7">
        <f t="shared" si="2"/>
        <v>45000</v>
      </c>
      <c r="F32" s="7">
        <f t="shared" si="3"/>
        <v>405000</v>
      </c>
    </row>
    <row r="33" spans="1:6" x14ac:dyDescent="0.35">
      <c r="A33" s="6">
        <v>46300</v>
      </c>
      <c r="B33" s="5">
        <v>1414</v>
      </c>
      <c r="C33" s="5" t="s">
        <v>426</v>
      </c>
      <c r="D33" s="7">
        <v>5000</v>
      </c>
      <c r="E33" s="7">
        <f t="shared" si="2"/>
        <v>50000</v>
      </c>
      <c r="F33" s="7">
        <f t="shared" si="3"/>
        <v>400000</v>
      </c>
    </row>
    <row r="34" spans="1:6" x14ac:dyDescent="0.35">
      <c r="A34" s="5" t="s">
        <v>425</v>
      </c>
      <c r="B34" s="5">
        <v>1634</v>
      </c>
      <c r="C34" s="5" t="s">
        <v>426</v>
      </c>
      <c r="D34" s="7">
        <v>5000</v>
      </c>
      <c r="E34" s="7">
        <f t="shared" si="2"/>
        <v>55000</v>
      </c>
      <c r="F34" s="7">
        <f t="shared" si="3"/>
        <v>395000</v>
      </c>
    </row>
    <row r="35" spans="1:6" x14ac:dyDescent="0.35">
      <c r="A35" s="5" t="s">
        <v>427</v>
      </c>
      <c r="B35" s="5">
        <v>1992</v>
      </c>
      <c r="C35" s="5" t="s">
        <v>426</v>
      </c>
      <c r="D35" s="7">
        <v>100000</v>
      </c>
      <c r="E35" s="7">
        <f t="shared" si="2"/>
        <v>155000</v>
      </c>
      <c r="F35" s="5" t="s">
        <v>97</v>
      </c>
    </row>
    <row r="37" spans="1:6" ht="15.5" x14ac:dyDescent="0.35">
      <c r="B37" s="29" t="s">
        <v>428</v>
      </c>
      <c r="C37" s="29"/>
      <c r="D37" s="29"/>
      <c r="E37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L-5501</vt:lpstr>
      <vt:lpstr>L-5504</vt:lpstr>
      <vt:lpstr>L-5512</vt:lpstr>
      <vt:lpstr>L-5523</vt:lpstr>
      <vt:lpstr>L-5524</vt:lpstr>
      <vt:lpstr>L-5525</vt:lpstr>
      <vt:lpstr>L-5531</vt:lpstr>
      <vt:lpstr>L-5533</vt:lpstr>
      <vt:lpstr>L-5534</vt:lpstr>
      <vt:lpstr>L-5516</vt:lpstr>
      <vt:lpstr>L-5538</vt:lpstr>
      <vt:lpstr>L-5543</vt:lpstr>
      <vt:lpstr>L-5544</vt:lpstr>
      <vt:lpstr>L-5515</vt:lpstr>
      <vt:lpstr>L-5545</vt:lpstr>
      <vt:lpstr>L-5552</vt:lpstr>
      <vt:lpstr>L-5598</vt:lpstr>
      <vt:lpstr>L-5599</vt:lpstr>
      <vt:lpstr>L-5511</vt:lpstr>
      <vt:lpstr>L-5595</vt:lpstr>
      <vt:lpstr>L-5596</vt:lpstr>
      <vt:lpstr>L-5519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2026-02-22T01:25:05Z</dcterms:created>
  <dcterms:modified xsi:type="dcterms:W3CDTF">2026-09-21T11:10:49Z</dcterms:modified>
</cp:coreProperties>
</file>