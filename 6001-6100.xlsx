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LOT-6001-7000\"/>
    </mc:Choice>
  </mc:AlternateContent>
  <xr:revisionPtr revIDLastSave="0" documentId="13_ncr:1_{A2B26D13-F9D5-44A7-BAB7-06C95C142E4E}" xr6:coauthVersionLast="47" xr6:coauthVersionMax="47" xr10:uidLastSave="{00000000-0000-0000-0000-000000000000}"/>
  <bookViews>
    <workbookView xWindow="-110" yWindow="-110" windowWidth="19420" windowHeight="10420" firstSheet="8" activeTab="9" xr2:uid="{56B5DE22-4FCE-4377-8D93-2F62DBE12F58}"/>
  </bookViews>
  <sheets>
    <sheet name="L-6002" sheetId="47" r:id="rId1"/>
    <sheet name="L-6001" sheetId="70" r:id="rId2"/>
    <sheet name="Sheet1" sheetId="89" r:id="rId3"/>
    <sheet name="Sheet2" sheetId="90" r:id="rId4"/>
    <sheet name="Sheet3" sheetId="91" r:id="rId5"/>
    <sheet name="Sheet4" sheetId="92" r:id="rId6"/>
    <sheet name="Sheet5" sheetId="93" r:id="rId7"/>
    <sheet name="L-6003" sheetId="46" r:id="rId8"/>
    <sheet name="L-6005" sheetId="56" r:id="rId9"/>
    <sheet name="L-6012" sheetId="12" r:id="rId10"/>
    <sheet name=" L-6013 B" sheetId="28" r:id="rId11"/>
    <sheet name="L-6013-E" sheetId="14" r:id="rId12"/>
    <sheet name="L-6013-G" sheetId="49" r:id="rId13"/>
    <sheet name="L-6013,A" sheetId="39" r:id="rId14"/>
    <sheet name="L-6013-C" sheetId="41" r:id="rId15"/>
    <sheet name="L-6019" sheetId="10" r:id="rId16"/>
    <sheet name="L-6020" sheetId="62" r:id="rId17"/>
    <sheet name="L-6021" sheetId="43" r:id="rId18"/>
    <sheet name="L-6023" sheetId="67" r:id="rId19"/>
    <sheet name="L-6028" sheetId="37" r:id="rId20"/>
    <sheet name="L-6032" sheetId="38" r:id="rId21"/>
    <sheet name="L-6033" sheetId="26" r:id="rId22"/>
    <sheet name="L-6036" sheetId="65" r:id="rId23"/>
    <sheet name="L-6039" sheetId="21" r:id="rId24"/>
    <sheet name="L-6041" sheetId="59" r:id="rId25"/>
    <sheet name="L-6043" sheetId="3" r:id="rId26"/>
    <sheet name="L-6044" sheetId="4" r:id="rId27"/>
    <sheet name="L-6046" sheetId="50" r:id="rId28"/>
    <sheet name="L-6047" sheetId="53" r:id="rId29"/>
    <sheet name="L-6050" sheetId="68" r:id="rId30"/>
    <sheet name="L-6051" sheetId="69" r:id="rId31"/>
    <sheet name="L-6057" sheetId="64" r:id="rId32"/>
    <sheet name="L-6035" sheetId="66" r:id="rId33"/>
    <sheet name="L-6062" sheetId="60" r:id="rId34"/>
    <sheet name="L-6073" sheetId="48" r:id="rId35"/>
    <sheet name="L-6076" sheetId="58" r:id="rId36"/>
    <sheet name="L-6077" sheetId="55" r:id="rId37"/>
    <sheet name="L-6078" sheetId="27" r:id="rId38"/>
    <sheet name="L-6081" sheetId="36" r:id="rId39"/>
    <sheet name="L-6086" sheetId="1" r:id="rId40"/>
    <sheet name="L-6087" sheetId="2" r:id="rId41"/>
    <sheet name="L-6091" sheetId="29" r:id="rId42"/>
    <sheet name="L-6092" sheetId="30" r:id="rId43"/>
    <sheet name="L-6092 B" sheetId="31" r:id="rId44"/>
    <sheet name="L-6095" sheetId="45" r:id="rId45"/>
    <sheet name="L-6090" sheetId="61" r:id="rId46"/>
    <sheet name="L-6096" sheetId="57" r:id="rId47"/>
    <sheet name="L-6098" sheetId="54" r:id="rId48"/>
    <sheet name="L-6099" sheetId="52" r:id="rId49"/>
    <sheet name="M.Jameel" sheetId="63" r:id="rId50"/>
    <sheet name="L-6066" sheetId="71" r:id="rId51"/>
    <sheet name="L-6070" sheetId="72" r:id="rId52"/>
    <sheet name="L-6069" sheetId="73" r:id="rId53"/>
    <sheet name="L-6027" sheetId="74" r:id="rId54"/>
    <sheet name="L-6016" sheetId="75" r:id="rId55"/>
    <sheet name="L-6015" sheetId="76" r:id="rId56"/>
    <sheet name="L-6017" sheetId="77" r:id="rId57"/>
    <sheet name="L-6100" sheetId="78" r:id="rId58"/>
    <sheet name="L-6025" sheetId="87" r:id="rId59"/>
    <sheet name="L-6093" sheetId="95" r:id="rId60"/>
    <sheet name="L-6094" sheetId="88" r:id="rId6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6" i="12" l="1"/>
  <c r="E46" i="12"/>
  <c r="F15" i="52"/>
  <c r="E15" i="52"/>
  <c r="F40" i="38"/>
  <c r="E40" i="38"/>
  <c r="F12" i="95"/>
  <c r="F13" i="95" s="1"/>
  <c r="F11" i="95"/>
  <c r="F10" i="95"/>
  <c r="F9" i="95"/>
  <c r="E13" i="95"/>
  <c r="E14" i="95" s="1"/>
  <c r="E12" i="95"/>
  <c r="E11" i="95"/>
  <c r="E10" i="95"/>
  <c r="E9" i="95"/>
  <c r="F46" i="70"/>
  <c r="F45" i="70"/>
  <c r="F44" i="70"/>
  <c r="F43" i="70"/>
  <c r="F42" i="70"/>
  <c r="F41" i="70"/>
  <c r="F40" i="70"/>
  <c r="F39" i="70"/>
  <c r="E46" i="70"/>
  <c r="E45" i="70"/>
  <c r="E44" i="70"/>
  <c r="E43" i="70"/>
  <c r="E42" i="70"/>
  <c r="E41" i="70"/>
  <c r="E40" i="70"/>
  <c r="E39" i="70"/>
  <c r="F29" i="37"/>
  <c r="E29" i="37"/>
  <c r="F41" i="3"/>
  <c r="F40" i="3"/>
  <c r="E41" i="3"/>
  <c r="E40" i="3"/>
  <c r="F38" i="45"/>
  <c r="F37" i="45"/>
  <c r="E38" i="45"/>
  <c r="E37" i="45"/>
  <c r="F42" i="4"/>
  <c r="F41" i="4"/>
  <c r="E42" i="4"/>
  <c r="E41" i="4"/>
  <c r="F39" i="54"/>
  <c r="F38" i="54"/>
  <c r="F37" i="54"/>
  <c r="F36" i="54"/>
  <c r="F35" i="54"/>
  <c r="F34" i="54"/>
  <c r="F33" i="54"/>
  <c r="F32" i="54"/>
  <c r="E39" i="54"/>
  <c r="E38" i="54"/>
  <c r="E37" i="54"/>
  <c r="E36" i="54"/>
  <c r="E35" i="54"/>
  <c r="E34" i="54"/>
  <c r="E33" i="54"/>
  <c r="E32" i="54"/>
  <c r="F14" i="29"/>
  <c r="E14" i="29"/>
  <c r="F41" i="10"/>
  <c r="E41" i="10"/>
  <c r="F41" i="48"/>
  <c r="E41" i="48"/>
  <c r="F16" i="27"/>
  <c r="E16" i="27"/>
  <c r="E16" i="26"/>
  <c r="F52" i="28"/>
  <c r="E52" i="28"/>
  <c r="F51" i="28"/>
  <c r="E51" i="28"/>
  <c r="F45" i="1"/>
  <c r="E45" i="1"/>
  <c r="F45" i="2"/>
  <c r="E45" i="2"/>
  <c r="F40" i="48"/>
  <c r="E40" i="48"/>
  <c r="F29" i="60"/>
  <c r="E29" i="60"/>
  <c r="F13" i="29"/>
  <c r="E13" i="29"/>
  <c r="F45" i="12"/>
  <c r="E45" i="12"/>
  <c r="F14" i="52"/>
  <c r="F13" i="52"/>
  <c r="F12" i="52"/>
  <c r="E14" i="52"/>
  <c r="E13" i="52"/>
  <c r="E12" i="52"/>
  <c r="F40" i="10"/>
  <c r="F39" i="10"/>
  <c r="F38" i="10"/>
  <c r="E40" i="10"/>
  <c r="E39" i="10"/>
  <c r="E38" i="10"/>
  <c r="F44" i="43"/>
  <c r="E44" i="43"/>
  <c r="F28" i="37"/>
  <c r="E28" i="37"/>
  <c r="F34" i="14"/>
  <c r="F33" i="14"/>
  <c r="E34" i="14"/>
  <c r="E33" i="14"/>
  <c r="F34" i="49"/>
  <c r="F33" i="49"/>
  <c r="E34" i="49"/>
  <c r="E33" i="49"/>
  <c r="F15" i="27"/>
  <c r="E15" i="27"/>
  <c r="F15" i="26"/>
  <c r="E15" i="26"/>
  <c r="F44" i="1"/>
  <c r="E44" i="1"/>
  <c r="F43" i="1"/>
  <c r="E43" i="1"/>
  <c r="F42" i="1"/>
  <c r="E42" i="1"/>
  <c r="F44" i="2"/>
  <c r="E44" i="2"/>
  <c r="F12" i="29"/>
  <c r="E12" i="29"/>
  <c r="F39" i="48"/>
  <c r="E39" i="48"/>
  <c r="F11" i="78"/>
  <c r="F10" i="78"/>
  <c r="E11" i="78"/>
  <c r="E10" i="78"/>
  <c r="F20" i="77"/>
  <c r="F19" i="77"/>
  <c r="F18" i="77"/>
  <c r="F17" i="77"/>
  <c r="F16" i="77"/>
  <c r="F15" i="77"/>
  <c r="F14" i="77"/>
  <c r="F13" i="77"/>
  <c r="F12" i="77"/>
  <c r="F11" i="77"/>
  <c r="F10" i="77"/>
  <c r="E20" i="77"/>
  <c r="E19" i="77"/>
  <c r="E18" i="77"/>
  <c r="E17" i="77"/>
  <c r="E16" i="77"/>
  <c r="E15" i="77"/>
  <c r="E14" i="77"/>
  <c r="E13" i="77"/>
  <c r="E12" i="77"/>
  <c r="E11" i="77"/>
  <c r="E10" i="77"/>
  <c r="F22" i="75"/>
  <c r="F21" i="75"/>
  <c r="F20" i="75"/>
  <c r="F19" i="75"/>
  <c r="F18" i="75"/>
  <c r="F17" i="75"/>
  <c r="F16" i="75"/>
  <c r="F15" i="75"/>
  <c r="F14" i="75"/>
  <c r="F13" i="75"/>
  <c r="F12" i="75"/>
  <c r="F11" i="75"/>
  <c r="F10" i="75"/>
  <c r="E22" i="75"/>
  <c r="E21" i="75"/>
  <c r="E20" i="75"/>
  <c r="E19" i="75"/>
  <c r="E18" i="75"/>
  <c r="E17" i="75"/>
  <c r="E16" i="75"/>
  <c r="E15" i="75"/>
  <c r="E14" i="75"/>
  <c r="E13" i="75"/>
  <c r="E12" i="75"/>
  <c r="E11" i="75"/>
  <c r="E10" i="75"/>
  <c r="F48" i="39"/>
  <c r="E48" i="39"/>
  <c r="F48" i="41"/>
  <c r="E48" i="41"/>
  <c r="F27" i="76"/>
  <c r="F26" i="76"/>
  <c r="F25" i="76"/>
  <c r="F24" i="76"/>
  <c r="F23" i="76"/>
  <c r="F22" i="76"/>
  <c r="F21" i="76"/>
  <c r="F20" i="76"/>
  <c r="F19" i="76"/>
  <c r="F18" i="76"/>
  <c r="F17" i="76"/>
  <c r="F16" i="76"/>
  <c r="F15" i="76"/>
  <c r="F14" i="76"/>
  <c r="F13" i="76"/>
  <c r="F12" i="76"/>
  <c r="F11" i="76"/>
  <c r="F10" i="76"/>
  <c r="E27" i="76"/>
  <c r="E26" i="76"/>
  <c r="E25" i="76"/>
  <c r="E24" i="76"/>
  <c r="E23" i="76"/>
  <c r="E22" i="76"/>
  <c r="E21" i="76"/>
  <c r="E20" i="76"/>
  <c r="E19" i="76"/>
  <c r="E18" i="76"/>
  <c r="E17" i="76"/>
  <c r="E16" i="76"/>
  <c r="E15" i="76"/>
  <c r="E14" i="76"/>
  <c r="E13" i="76"/>
  <c r="E12" i="76"/>
  <c r="E11" i="76"/>
  <c r="E10" i="76"/>
  <c r="F27" i="37"/>
  <c r="E27" i="37"/>
  <c r="F40" i="4"/>
  <c r="E40" i="4"/>
  <c r="F39" i="3"/>
  <c r="E39" i="3"/>
  <c r="F39" i="38"/>
  <c r="E39" i="38"/>
  <c r="F50" i="28"/>
  <c r="E50" i="28"/>
  <c r="F14" i="26"/>
  <c r="E14" i="26"/>
  <c r="F36" i="45"/>
  <c r="E36" i="45"/>
  <c r="F44" i="12"/>
  <c r="E44" i="12"/>
  <c r="F43" i="43"/>
  <c r="E43" i="43"/>
  <c r="F34" i="74"/>
  <c r="F33" i="74"/>
  <c r="F32" i="74"/>
  <c r="F31" i="74"/>
  <c r="F30" i="74"/>
  <c r="F29" i="74"/>
  <c r="F28" i="74"/>
  <c r="F27" i="74"/>
  <c r="F26" i="74"/>
  <c r="F25" i="74"/>
  <c r="F24" i="74"/>
  <c r="F23" i="74"/>
  <c r="F22" i="74"/>
  <c r="F21" i="74"/>
  <c r="F20" i="74"/>
  <c r="F19" i="74"/>
  <c r="F18" i="74"/>
  <c r="F17" i="74"/>
  <c r="F16" i="74"/>
  <c r="F15" i="74"/>
  <c r="F14" i="74"/>
  <c r="F13" i="74"/>
  <c r="F12" i="74"/>
  <c r="F11" i="74"/>
  <c r="F10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E12" i="74"/>
  <c r="E11" i="74"/>
  <c r="E10" i="74"/>
  <c r="F31" i="73"/>
  <c r="F30" i="73"/>
  <c r="F29" i="73"/>
  <c r="F28" i="73"/>
  <c r="F27" i="73"/>
  <c r="F26" i="73"/>
  <c r="F25" i="73"/>
  <c r="F24" i="73"/>
  <c r="F23" i="73"/>
  <c r="F22" i="73"/>
  <c r="F21" i="73"/>
  <c r="F20" i="73"/>
  <c r="F19" i="73"/>
  <c r="F18" i="73"/>
  <c r="F17" i="73"/>
  <c r="F16" i="73"/>
  <c r="F15" i="73"/>
  <c r="F14" i="73"/>
  <c r="F13" i="73"/>
  <c r="F12" i="73"/>
  <c r="F11" i="73"/>
  <c r="F10" i="73"/>
  <c r="E31" i="73"/>
  <c r="E30" i="73"/>
  <c r="E29" i="73"/>
  <c r="E28" i="73"/>
  <c r="E27" i="73"/>
  <c r="E26" i="73"/>
  <c r="E25" i="73"/>
  <c r="E24" i="73"/>
  <c r="E23" i="73"/>
  <c r="E22" i="73"/>
  <c r="E21" i="73"/>
  <c r="E20" i="73"/>
  <c r="E19" i="73"/>
  <c r="E18" i="73"/>
  <c r="E17" i="73"/>
  <c r="E16" i="73"/>
  <c r="E15" i="73"/>
  <c r="E14" i="73"/>
  <c r="E13" i="73"/>
  <c r="E12" i="73"/>
  <c r="E11" i="73"/>
  <c r="E10" i="73"/>
  <c r="F34" i="71"/>
  <c r="F33" i="71"/>
  <c r="F32" i="71"/>
  <c r="F31" i="71"/>
  <c r="F30" i="71"/>
  <c r="F29" i="71"/>
  <c r="F28" i="71"/>
  <c r="F27" i="71"/>
  <c r="F26" i="71"/>
  <c r="F25" i="71"/>
  <c r="F24" i="71"/>
  <c r="F23" i="71"/>
  <c r="F22" i="71"/>
  <c r="F21" i="71"/>
  <c r="F20" i="71"/>
  <c r="F19" i="71"/>
  <c r="F18" i="71"/>
  <c r="F17" i="71"/>
  <c r="F16" i="71"/>
  <c r="F15" i="71"/>
  <c r="F14" i="71"/>
  <c r="F13" i="71"/>
  <c r="F12" i="71"/>
  <c r="F11" i="71"/>
  <c r="F10" i="71"/>
  <c r="E34" i="71"/>
  <c r="E33" i="71"/>
  <c r="E32" i="71"/>
  <c r="E31" i="71"/>
  <c r="E30" i="71"/>
  <c r="E29" i="71"/>
  <c r="E28" i="71"/>
  <c r="E27" i="71"/>
  <c r="E26" i="71"/>
  <c r="E25" i="71"/>
  <c r="E24" i="71"/>
  <c r="E23" i="71"/>
  <c r="E22" i="71"/>
  <c r="E21" i="71"/>
  <c r="E20" i="71"/>
  <c r="E19" i="71"/>
  <c r="E18" i="71"/>
  <c r="E17" i="71"/>
  <c r="E16" i="71"/>
  <c r="E15" i="71"/>
  <c r="E14" i="71"/>
  <c r="E13" i="71"/>
  <c r="E12" i="71"/>
  <c r="E11" i="71"/>
  <c r="E10" i="71"/>
  <c r="F10" i="29"/>
  <c r="F11" i="29"/>
  <c r="E10" i="29"/>
  <c r="E11" i="29" s="1"/>
  <c r="F19" i="70" l="1"/>
  <c r="F20" i="70" s="1"/>
  <c r="F21" i="70" s="1"/>
  <c r="F22" i="70" s="1"/>
  <c r="F23" i="70" s="1"/>
  <c r="F24" i="70" s="1"/>
  <c r="F25" i="70" s="1"/>
  <c r="F26" i="70" s="1"/>
  <c r="F27" i="70" s="1"/>
  <c r="F28" i="70" s="1"/>
  <c r="F29" i="70" s="1"/>
  <c r="F30" i="70" s="1"/>
  <c r="F31" i="70" s="1"/>
  <c r="F32" i="70" s="1"/>
  <c r="F33" i="70" s="1"/>
  <c r="F34" i="70" s="1"/>
  <c r="F35" i="70" s="1"/>
  <c r="F36" i="70" s="1"/>
  <c r="E19" i="70"/>
  <c r="E20" i="70" s="1"/>
  <c r="E21" i="70" s="1"/>
  <c r="E22" i="70" s="1"/>
  <c r="E23" i="70" s="1"/>
  <c r="E24" i="70" s="1"/>
  <c r="E25" i="70" s="1"/>
  <c r="E26" i="70" s="1"/>
  <c r="E27" i="70" s="1"/>
  <c r="E28" i="70" s="1"/>
  <c r="E29" i="70" s="1"/>
  <c r="E30" i="70" s="1"/>
  <c r="E31" i="70" s="1"/>
  <c r="E32" i="70" s="1"/>
  <c r="E33" i="70" s="1"/>
  <c r="E34" i="70" s="1"/>
  <c r="E35" i="70" s="1"/>
  <c r="E36" i="70" s="1"/>
  <c r="F10" i="70"/>
  <c r="F11" i="70" s="1"/>
  <c r="F12" i="70" s="1"/>
  <c r="F13" i="70" s="1"/>
  <c r="F14" i="70" s="1"/>
  <c r="F15" i="70" s="1"/>
  <c r="F16" i="70" s="1"/>
  <c r="F17" i="70" s="1"/>
  <c r="F18" i="70" s="1"/>
  <c r="E10" i="70"/>
  <c r="E11" i="70"/>
  <c r="E12" i="70" s="1"/>
  <c r="E13" i="70" s="1"/>
  <c r="E14" i="70" s="1"/>
  <c r="E15" i="70" s="1"/>
  <c r="E16" i="70" s="1"/>
  <c r="E17" i="70" s="1"/>
  <c r="E18" i="70" s="1"/>
  <c r="F9" i="70"/>
  <c r="E9" i="70"/>
  <c r="E10" i="69"/>
  <c r="E11" i="69" s="1"/>
  <c r="E12" i="69" s="1"/>
  <c r="E13" i="69" s="1"/>
  <c r="F9" i="69"/>
  <c r="F10" i="69" s="1"/>
  <c r="F11" i="69" s="1"/>
  <c r="F12" i="69" s="1"/>
  <c r="F13" i="69" s="1"/>
  <c r="E9" i="69"/>
  <c r="F10" i="68"/>
  <c r="F11" i="68"/>
  <c r="F12" i="68" s="1"/>
  <c r="F13" i="68" s="1"/>
  <c r="E10" i="68"/>
  <c r="E11" i="68"/>
  <c r="E12" i="68" s="1"/>
  <c r="E13" i="68" s="1"/>
  <c r="F9" i="68"/>
  <c r="E9" i="68"/>
  <c r="F19" i="67"/>
  <c r="F20" i="67" s="1"/>
  <c r="F21" i="67" s="1"/>
  <c r="F22" i="67" s="1"/>
  <c r="F23" i="67" s="1"/>
  <c r="F24" i="67" s="1"/>
  <c r="F25" i="67" s="1"/>
  <c r="F26" i="67" s="1"/>
  <c r="F27" i="67" s="1"/>
  <c r="F28" i="67" s="1"/>
  <c r="F29" i="67" s="1"/>
  <c r="F30" i="67" s="1"/>
  <c r="F31" i="67" s="1"/>
  <c r="F32" i="67" s="1"/>
  <c r="F33" i="67" s="1"/>
  <c r="F34" i="67" s="1"/>
  <c r="F35" i="67" s="1"/>
  <c r="F36" i="67" s="1"/>
  <c r="F37" i="67" s="1"/>
  <c r="F38" i="67" s="1"/>
  <c r="E19" i="67"/>
  <c r="E20" i="67"/>
  <c r="E21" i="67" s="1"/>
  <c r="E22" i="67" s="1"/>
  <c r="E23" i="67" s="1"/>
  <c r="E24" i="67" s="1"/>
  <c r="E25" i="67" s="1"/>
  <c r="E26" i="67" s="1"/>
  <c r="E27" i="67" s="1"/>
  <c r="E28" i="67" s="1"/>
  <c r="E29" i="67" s="1"/>
  <c r="E30" i="67" s="1"/>
  <c r="E31" i="67" s="1"/>
  <c r="E32" i="67" s="1"/>
  <c r="E33" i="67" s="1"/>
  <c r="E34" i="67" s="1"/>
  <c r="E35" i="67" s="1"/>
  <c r="E36" i="67" s="1"/>
  <c r="E37" i="67" s="1"/>
  <c r="E38" i="67" s="1"/>
  <c r="F10" i="67"/>
  <c r="F11" i="67" s="1"/>
  <c r="F12" i="67" s="1"/>
  <c r="F13" i="67" s="1"/>
  <c r="F14" i="67" s="1"/>
  <c r="F15" i="67" s="1"/>
  <c r="F16" i="67" s="1"/>
  <c r="F17" i="67" s="1"/>
  <c r="F18" i="67" s="1"/>
  <c r="E10" i="67"/>
  <c r="E11" i="67" s="1"/>
  <c r="E12" i="67" s="1"/>
  <c r="E13" i="67" s="1"/>
  <c r="E14" i="67" s="1"/>
  <c r="E15" i="67" s="1"/>
  <c r="E16" i="67" s="1"/>
  <c r="E17" i="67" s="1"/>
  <c r="E18" i="67" s="1"/>
  <c r="F9" i="67"/>
  <c r="E9" i="67"/>
  <c r="F34" i="45"/>
  <c r="F35" i="45" s="1"/>
  <c r="E34" i="45"/>
  <c r="E35" i="45" s="1"/>
  <c r="F38" i="4"/>
  <c r="F39" i="4" s="1"/>
  <c r="E38" i="4"/>
  <c r="E39" i="4" s="1"/>
  <c r="F37" i="3"/>
  <c r="F38" i="3" s="1"/>
  <c r="E37" i="3"/>
  <c r="E38" i="3" s="1"/>
  <c r="F41" i="43"/>
  <c r="F42" i="43" s="1"/>
  <c r="E41" i="43"/>
  <c r="E42" i="43" s="1"/>
  <c r="F10" i="66" l="1"/>
  <c r="F11" i="66" s="1"/>
  <c r="F12" i="66" s="1"/>
  <c r="F13" i="66" s="1"/>
  <c r="F14" i="66" s="1"/>
  <c r="F15" i="66" s="1"/>
  <c r="F16" i="66" s="1"/>
  <c r="F17" i="66" s="1"/>
  <c r="E10" i="66"/>
  <c r="E11" i="66" s="1"/>
  <c r="E12" i="66" s="1"/>
  <c r="E13" i="66" s="1"/>
  <c r="E14" i="66" s="1"/>
  <c r="E15" i="66" s="1"/>
  <c r="E16" i="66" s="1"/>
  <c r="E17" i="66" s="1"/>
  <c r="F9" i="66"/>
  <c r="E9" i="66"/>
  <c r="F10" i="65"/>
  <c r="F11" i="65"/>
  <c r="F12" i="65"/>
  <c r="F13" i="65"/>
  <c r="F14" i="65" s="1"/>
  <c r="F15" i="65" s="1"/>
  <c r="F16" i="65" s="1"/>
  <c r="F17" i="65" s="1"/>
  <c r="E10" i="65"/>
  <c r="E11" i="65" s="1"/>
  <c r="E12" i="65" s="1"/>
  <c r="E13" i="65" s="1"/>
  <c r="E14" i="65" s="1"/>
  <c r="E15" i="65" s="1"/>
  <c r="E16" i="65" s="1"/>
  <c r="E17" i="65" s="1"/>
  <c r="F9" i="65"/>
  <c r="E9" i="65"/>
  <c r="F9" i="64" l="1"/>
  <c r="F10" i="64" s="1"/>
  <c r="F11" i="64" s="1"/>
  <c r="F12" i="64" s="1"/>
  <c r="F13" i="64" s="1"/>
  <c r="F14" i="64" s="1"/>
  <c r="F15" i="64" s="1"/>
  <c r="F16" i="64" s="1"/>
  <c r="F17" i="64" s="1"/>
  <c r="F18" i="64" s="1"/>
  <c r="F19" i="64" s="1"/>
  <c r="F20" i="64" s="1"/>
  <c r="F21" i="64" s="1"/>
  <c r="F22" i="64" s="1"/>
  <c r="F23" i="64" s="1"/>
  <c r="F24" i="64" s="1"/>
  <c r="F25" i="64" s="1"/>
  <c r="F26" i="64" s="1"/>
  <c r="F27" i="64" s="1"/>
  <c r="F28" i="64" s="1"/>
  <c r="F29" i="64" s="1"/>
  <c r="F30" i="64" s="1"/>
  <c r="F31" i="64" s="1"/>
  <c r="F32" i="64" s="1"/>
  <c r="E9" i="64"/>
  <c r="E10" i="64" s="1"/>
  <c r="E11" i="64" s="1"/>
  <c r="E12" i="64" s="1"/>
  <c r="E13" i="64" s="1"/>
  <c r="E14" i="64" s="1"/>
  <c r="E15" i="64" s="1"/>
  <c r="E16" i="64" s="1"/>
  <c r="E17" i="64" s="1"/>
  <c r="E18" i="64" s="1"/>
  <c r="E19" i="64" s="1"/>
  <c r="E20" i="64" s="1"/>
  <c r="E21" i="64" s="1"/>
  <c r="E22" i="64" s="1"/>
  <c r="E23" i="64" s="1"/>
  <c r="E24" i="64" s="1"/>
  <c r="E25" i="64" s="1"/>
  <c r="E26" i="64" s="1"/>
  <c r="E27" i="64" s="1"/>
  <c r="E28" i="64" s="1"/>
  <c r="E29" i="64" s="1"/>
  <c r="E30" i="64" s="1"/>
  <c r="E31" i="64" s="1"/>
  <c r="E32" i="64" s="1"/>
  <c r="E33" i="64" s="1"/>
  <c r="F35" i="64" l="1"/>
  <c r="F36" i="64" s="1"/>
  <c r="F37" i="64" s="1"/>
  <c r="E35" i="64"/>
  <c r="E36" i="64" s="1"/>
  <c r="E37" i="64" s="1"/>
  <c r="F42" i="2" l="1"/>
  <c r="F43" i="2" s="1"/>
  <c r="E42" i="2"/>
  <c r="E43" i="2" s="1"/>
  <c r="F14" i="27"/>
  <c r="E14" i="27"/>
  <c r="F13" i="26"/>
  <c r="E13" i="26"/>
  <c r="F47" i="41"/>
  <c r="E47" i="41"/>
  <c r="F47" i="39"/>
  <c r="E47" i="39"/>
  <c r="E49" i="28"/>
  <c r="F49" i="28"/>
  <c r="F25" i="37"/>
  <c r="F26" i="37" s="1"/>
  <c r="E25" i="37"/>
  <c r="E26" i="37" s="1"/>
  <c r="F10" i="61"/>
  <c r="F11" i="61" s="1"/>
  <c r="F12" i="61" s="1"/>
  <c r="F13" i="61" s="1"/>
  <c r="F14" i="61" s="1"/>
  <c r="F15" i="61" s="1"/>
  <c r="F16" i="61" s="1"/>
  <c r="F17" i="61" s="1"/>
  <c r="E10" i="61"/>
  <c r="E11" i="61" s="1"/>
  <c r="E12" i="61" s="1"/>
  <c r="E13" i="61" s="1"/>
  <c r="E14" i="61" s="1"/>
  <c r="E15" i="61" s="1"/>
  <c r="E16" i="61" s="1"/>
  <c r="E17" i="61" s="1"/>
  <c r="F9" i="61"/>
  <c r="E9" i="61"/>
  <c r="E43" i="12"/>
  <c r="F43" i="12"/>
  <c r="F10" i="60"/>
  <c r="F11" i="60" s="1"/>
  <c r="F12" i="60" s="1"/>
  <c r="F13" i="60" s="1"/>
  <c r="F14" i="60" s="1"/>
  <c r="F15" i="60" s="1"/>
  <c r="F16" i="60" s="1"/>
  <c r="F17" i="60" s="1"/>
  <c r="F18" i="60" s="1"/>
  <c r="F19" i="60" s="1"/>
  <c r="F20" i="60" s="1"/>
  <c r="F21" i="60" s="1"/>
  <c r="F22" i="60" s="1"/>
  <c r="F23" i="60" s="1"/>
  <c r="F24" i="60" s="1"/>
  <c r="F25" i="60" s="1"/>
  <c r="F26" i="60" s="1"/>
  <c r="F27" i="60" s="1"/>
  <c r="F28" i="60" s="1"/>
  <c r="E10" i="60"/>
  <c r="E11" i="60" s="1"/>
  <c r="E12" i="60" s="1"/>
  <c r="E13" i="60" s="1"/>
  <c r="E14" i="60" s="1"/>
  <c r="E15" i="60" s="1"/>
  <c r="E16" i="60" s="1"/>
  <c r="E17" i="60" s="1"/>
  <c r="E18" i="60" s="1"/>
  <c r="E19" i="60" s="1"/>
  <c r="E20" i="60" s="1"/>
  <c r="E21" i="60" s="1"/>
  <c r="E22" i="60" s="1"/>
  <c r="E23" i="60" s="1"/>
  <c r="E24" i="60" s="1"/>
  <c r="E25" i="60" s="1"/>
  <c r="E26" i="60" s="1"/>
  <c r="E27" i="60" s="1"/>
  <c r="E28" i="60" s="1"/>
  <c r="F9" i="60"/>
  <c r="E9" i="60"/>
  <c r="F19" i="58"/>
  <c r="E19" i="58"/>
  <c r="E20" i="58" s="1"/>
  <c r="F10" i="58"/>
  <c r="F11" i="58" s="1"/>
  <c r="F12" i="58" s="1"/>
  <c r="F13" i="58" s="1"/>
  <c r="F14" i="58" s="1"/>
  <c r="F15" i="58" s="1"/>
  <c r="F16" i="58" s="1"/>
  <c r="F17" i="58" s="1"/>
  <c r="F18" i="58" s="1"/>
  <c r="E10" i="58"/>
  <c r="E11" i="58"/>
  <c r="E12" i="58"/>
  <c r="E13" i="58" s="1"/>
  <c r="E14" i="58" s="1"/>
  <c r="E15" i="58" s="1"/>
  <c r="E16" i="58" s="1"/>
  <c r="E17" i="58" s="1"/>
  <c r="E18" i="58" s="1"/>
  <c r="F9" i="58"/>
  <c r="E9" i="58"/>
  <c r="F19" i="56"/>
  <c r="F20" i="56" s="1"/>
  <c r="F21" i="56" s="1"/>
  <c r="F22" i="56" s="1"/>
  <c r="F23" i="56" s="1"/>
  <c r="F24" i="56" s="1"/>
  <c r="F25" i="56" s="1"/>
  <c r="F26" i="56" s="1"/>
  <c r="F27" i="56" s="1"/>
  <c r="F28" i="56" s="1"/>
  <c r="F29" i="56" s="1"/>
  <c r="E19" i="56"/>
  <c r="E20" i="56" s="1"/>
  <c r="E21" i="56" s="1"/>
  <c r="E22" i="56" s="1"/>
  <c r="E23" i="56" s="1"/>
  <c r="E24" i="56" s="1"/>
  <c r="E25" i="56" s="1"/>
  <c r="E26" i="56" s="1"/>
  <c r="E27" i="56" s="1"/>
  <c r="E28" i="56" s="1"/>
  <c r="E29" i="56" s="1"/>
  <c r="F10" i="56"/>
  <c r="F11" i="56" s="1"/>
  <c r="F12" i="56" s="1"/>
  <c r="F13" i="56" s="1"/>
  <c r="F14" i="56" s="1"/>
  <c r="F15" i="56" s="1"/>
  <c r="F16" i="56" s="1"/>
  <c r="F17" i="56" s="1"/>
  <c r="F18" i="56" s="1"/>
  <c r="E10" i="56"/>
  <c r="E11" i="56" s="1"/>
  <c r="E12" i="56" s="1"/>
  <c r="E13" i="56" s="1"/>
  <c r="E14" i="56" s="1"/>
  <c r="E15" i="56" s="1"/>
  <c r="E16" i="56" s="1"/>
  <c r="E17" i="56" s="1"/>
  <c r="E18" i="56" s="1"/>
  <c r="F9" i="56"/>
  <c r="E9" i="56"/>
  <c r="F38" i="48"/>
  <c r="E38" i="48"/>
  <c r="F36" i="10"/>
  <c r="F37" i="10"/>
  <c r="E36" i="10"/>
  <c r="E37" i="10" s="1"/>
  <c r="F25" i="54"/>
  <c r="F26" i="54"/>
  <c r="F27" i="54" s="1"/>
  <c r="E25" i="54"/>
  <c r="E26" i="54" s="1"/>
  <c r="E27" i="54" s="1"/>
  <c r="F18" i="54"/>
  <c r="F19" i="54" s="1"/>
  <c r="F20" i="54" s="1"/>
  <c r="F21" i="54" s="1"/>
  <c r="F22" i="54" s="1"/>
  <c r="F23" i="54" s="1"/>
  <c r="F24" i="54" s="1"/>
  <c r="E18" i="54"/>
  <c r="E19" i="54" s="1"/>
  <c r="E20" i="54" s="1"/>
  <c r="E21" i="54" s="1"/>
  <c r="E22" i="54" s="1"/>
  <c r="E23" i="54" s="1"/>
  <c r="E24" i="54" s="1"/>
  <c r="F17" i="54"/>
  <c r="E17" i="54"/>
  <c r="F19" i="53"/>
  <c r="F20" i="53" s="1"/>
  <c r="F21" i="53" s="1"/>
  <c r="F22" i="53" s="1"/>
  <c r="F23" i="53" s="1"/>
  <c r="F24" i="53" s="1"/>
  <c r="F25" i="53" s="1"/>
  <c r="F26" i="53" s="1"/>
  <c r="F27" i="53" s="1"/>
  <c r="F28" i="53" s="1"/>
  <c r="F29" i="53" s="1"/>
  <c r="F30" i="53" s="1"/>
  <c r="F31" i="53" s="1"/>
  <c r="F32" i="53" s="1"/>
  <c r="E19" i="53"/>
  <c r="E20" i="53" s="1"/>
  <c r="E21" i="53" s="1"/>
  <c r="E22" i="53" s="1"/>
  <c r="E23" i="53" s="1"/>
  <c r="E24" i="53" s="1"/>
  <c r="E25" i="53" s="1"/>
  <c r="E26" i="53" s="1"/>
  <c r="E27" i="53" s="1"/>
  <c r="E28" i="53" s="1"/>
  <c r="E29" i="53" s="1"/>
  <c r="E30" i="53" s="1"/>
  <c r="E31" i="53" s="1"/>
  <c r="E32" i="53" s="1"/>
  <c r="E33" i="53" s="1"/>
  <c r="F10" i="53"/>
  <c r="F11" i="53" s="1"/>
  <c r="F12" i="53" s="1"/>
  <c r="F13" i="53" s="1"/>
  <c r="F14" i="53" s="1"/>
  <c r="F15" i="53" s="1"/>
  <c r="F16" i="53" s="1"/>
  <c r="F17" i="53" s="1"/>
  <c r="F18" i="53" s="1"/>
  <c r="E10" i="53"/>
  <c r="E11" i="53" s="1"/>
  <c r="E12" i="53" s="1"/>
  <c r="E13" i="53" s="1"/>
  <c r="E14" i="53" s="1"/>
  <c r="E15" i="53" s="1"/>
  <c r="E16" i="53" s="1"/>
  <c r="E17" i="53" s="1"/>
  <c r="E18" i="53" s="1"/>
  <c r="F9" i="53"/>
  <c r="E9" i="53"/>
  <c r="F38" i="38"/>
  <c r="E38" i="38"/>
  <c r="E37" i="38"/>
  <c r="F10" i="52"/>
  <c r="F11" i="52" s="1"/>
  <c r="E10" i="52"/>
  <c r="E11" i="52" s="1"/>
  <c r="F9" i="52"/>
  <c r="E9" i="52"/>
  <c r="F45" i="39"/>
  <c r="F46" i="39" s="1"/>
  <c r="E45" i="39"/>
  <c r="E46" i="39" s="1"/>
  <c r="F45" i="41"/>
  <c r="F46" i="41" s="1"/>
  <c r="E45" i="41"/>
  <c r="E46" i="41"/>
  <c r="F19" i="50"/>
  <c r="F20" i="50" s="1"/>
  <c r="F21" i="50" s="1"/>
  <c r="F22" i="50" s="1"/>
  <c r="F23" i="50" s="1"/>
  <c r="F24" i="50" s="1"/>
  <c r="F25" i="50" s="1"/>
  <c r="F26" i="50" s="1"/>
  <c r="F27" i="50" s="1"/>
  <c r="F28" i="50" s="1"/>
  <c r="F29" i="50" s="1"/>
  <c r="F30" i="50" s="1"/>
  <c r="F31" i="50" s="1"/>
  <c r="F32" i="50" s="1"/>
  <c r="E19" i="50"/>
  <c r="E20" i="50" s="1"/>
  <c r="E21" i="50" s="1"/>
  <c r="E22" i="50" s="1"/>
  <c r="E23" i="50" s="1"/>
  <c r="E24" i="50" s="1"/>
  <c r="E25" i="50" s="1"/>
  <c r="E26" i="50" s="1"/>
  <c r="E27" i="50" s="1"/>
  <c r="E28" i="50" s="1"/>
  <c r="E29" i="50" s="1"/>
  <c r="E30" i="50" s="1"/>
  <c r="E31" i="50" s="1"/>
  <c r="E32" i="50" s="1"/>
  <c r="E33" i="50" s="1"/>
  <c r="F10" i="50"/>
  <c r="F11" i="50" s="1"/>
  <c r="F12" i="50" s="1"/>
  <c r="F13" i="50" s="1"/>
  <c r="F14" i="50" s="1"/>
  <c r="F15" i="50" s="1"/>
  <c r="F16" i="50" s="1"/>
  <c r="F17" i="50" s="1"/>
  <c r="F18" i="50" s="1"/>
  <c r="E10" i="50"/>
  <c r="E11" i="50"/>
  <c r="E12" i="50" s="1"/>
  <c r="E13" i="50" s="1"/>
  <c r="E14" i="50" s="1"/>
  <c r="E15" i="50" s="1"/>
  <c r="E16" i="50" s="1"/>
  <c r="E17" i="50" s="1"/>
  <c r="E18" i="50" s="1"/>
  <c r="F9" i="50"/>
  <c r="E9" i="50"/>
  <c r="E48" i="28"/>
  <c r="F48" i="28"/>
  <c r="F13" i="27"/>
  <c r="E13" i="27"/>
  <c r="F12" i="26"/>
  <c r="E12" i="26"/>
  <c r="F40" i="12"/>
  <c r="F41" i="12"/>
  <c r="F42" i="12"/>
  <c r="E41" i="12"/>
  <c r="E40" i="12"/>
  <c r="F10" i="49"/>
  <c r="F11" i="49" s="1"/>
  <c r="F12" i="49" s="1"/>
  <c r="F13" i="49" s="1"/>
  <c r="F14" i="49" s="1"/>
  <c r="F15" i="49" s="1"/>
  <c r="F16" i="49" s="1"/>
  <c r="F17" i="49" s="1"/>
  <c r="F18" i="49" s="1"/>
  <c r="F19" i="49" s="1"/>
  <c r="F20" i="49" s="1"/>
  <c r="F21" i="49" s="1"/>
  <c r="F22" i="49" s="1"/>
  <c r="F23" i="49" s="1"/>
  <c r="F24" i="49" s="1"/>
  <c r="F25" i="49" s="1"/>
  <c r="F26" i="49" s="1"/>
  <c r="F27" i="49" s="1"/>
  <c r="F28" i="49" s="1"/>
  <c r="F29" i="49" s="1"/>
  <c r="F30" i="49" s="1"/>
  <c r="F31" i="49" s="1"/>
  <c r="F32" i="49" s="1"/>
  <c r="E10" i="49"/>
  <c r="E11" i="49" s="1"/>
  <c r="E12" i="49" s="1"/>
  <c r="E13" i="49" s="1"/>
  <c r="E14" i="49" s="1"/>
  <c r="E15" i="49" s="1"/>
  <c r="E16" i="49" s="1"/>
  <c r="E17" i="49" s="1"/>
  <c r="E18" i="49" s="1"/>
  <c r="E19" i="49" s="1"/>
  <c r="E20" i="49" s="1"/>
  <c r="E21" i="49" s="1"/>
  <c r="E22" i="49" s="1"/>
  <c r="E23" i="49" s="1"/>
  <c r="E24" i="49" s="1"/>
  <c r="E25" i="49" s="1"/>
  <c r="E26" i="49" s="1"/>
  <c r="E27" i="49" s="1"/>
  <c r="E28" i="49" s="1"/>
  <c r="E29" i="49" s="1"/>
  <c r="E30" i="49" s="1"/>
  <c r="E31" i="49" s="1"/>
  <c r="E32" i="49" s="1"/>
  <c r="F19" i="48"/>
  <c r="F20" i="48"/>
  <c r="F21" i="48" s="1"/>
  <c r="F22" i="48" s="1"/>
  <c r="F23" i="48" s="1"/>
  <c r="F24" i="48" s="1"/>
  <c r="F25" i="48" s="1"/>
  <c r="F26" i="48" s="1"/>
  <c r="F27" i="48" s="1"/>
  <c r="F28" i="48" s="1"/>
  <c r="F29" i="48" s="1"/>
  <c r="F30" i="48" s="1"/>
  <c r="F31" i="48" s="1"/>
  <c r="F32" i="48" s="1"/>
  <c r="F33" i="48" s="1"/>
  <c r="F34" i="48" s="1"/>
  <c r="F35" i="48" s="1"/>
  <c r="F36" i="48" s="1"/>
  <c r="F37" i="48" s="1"/>
  <c r="E19" i="48"/>
  <c r="E20" i="48" s="1"/>
  <c r="E21" i="48" s="1"/>
  <c r="E22" i="48" s="1"/>
  <c r="E23" i="48" s="1"/>
  <c r="E24" i="48" s="1"/>
  <c r="E25" i="48" s="1"/>
  <c r="E26" i="48" s="1"/>
  <c r="E27" i="48" s="1"/>
  <c r="E28" i="48" s="1"/>
  <c r="E29" i="48" s="1"/>
  <c r="E30" i="48" s="1"/>
  <c r="E31" i="48" s="1"/>
  <c r="E32" i="48" s="1"/>
  <c r="E33" i="48" s="1"/>
  <c r="E34" i="48" s="1"/>
  <c r="E35" i="48" s="1"/>
  <c r="E36" i="48" s="1"/>
  <c r="E37" i="48" s="1"/>
  <c r="F10" i="48"/>
  <c r="F11" i="48" s="1"/>
  <c r="F12" i="48" s="1"/>
  <c r="F13" i="48" s="1"/>
  <c r="F14" i="48" s="1"/>
  <c r="F15" i="48" s="1"/>
  <c r="F16" i="48" s="1"/>
  <c r="F17" i="48" s="1"/>
  <c r="F18" i="48" s="1"/>
  <c r="E10" i="48"/>
  <c r="E11" i="48"/>
  <c r="E12" i="48" s="1"/>
  <c r="E13" i="48" s="1"/>
  <c r="E14" i="48" s="1"/>
  <c r="E15" i="48" s="1"/>
  <c r="E16" i="48" s="1"/>
  <c r="E17" i="48" s="1"/>
  <c r="E18" i="48" s="1"/>
  <c r="F9" i="48"/>
  <c r="E9" i="48"/>
  <c r="F11" i="26"/>
  <c r="E11" i="26"/>
  <c r="F37" i="4"/>
  <c r="E37" i="4"/>
  <c r="F19" i="45"/>
  <c r="F20" i="45" s="1"/>
  <c r="F21" i="45" s="1"/>
  <c r="F22" i="45" s="1"/>
  <c r="F23" i="45" s="1"/>
  <c r="F24" i="45" s="1"/>
  <c r="F25" i="45" s="1"/>
  <c r="F26" i="45" s="1"/>
  <c r="F27" i="45" s="1"/>
  <c r="F28" i="45" s="1"/>
  <c r="F29" i="45" s="1"/>
  <c r="F30" i="45" s="1"/>
  <c r="F31" i="45" s="1"/>
  <c r="F32" i="45" s="1"/>
  <c r="F33" i="45" s="1"/>
  <c r="E19" i="45"/>
  <c r="E20" i="45" s="1"/>
  <c r="E21" i="45" s="1"/>
  <c r="E22" i="45" s="1"/>
  <c r="E23" i="45" s="1"/>
  <c r="E24" i="45" s="1"/>
  <c r="E25" i="45" s="1"/>
  <c r="E26" i="45" s="1"/>
  <c r="E27" i="45" s="1"/>
  <c r="E28" i="45" s="1"/>
  <c r="E29" i="45" s="1"/>
  <c r="E30" i="45" s="1"/>
  <c r="E31" i="45" s="1"/>
  <c r="E32" i="45" s="1"/>
  <c r="E33" i="45" s="1"/>
  <c r="F10" i="45"/>
  <c r="F11" i="45" s="1"/>
  <c r="F12" i="45" s="1"/>
  <c r="F13" i="45" s="1"/>
  <c r="F14" i="45" s="1"/>
  <c r="F15" i="45" s="1"/>
  <c r="F16" i="45" s="1"/>
  <c r="F17" i="45" s="1"/>
  <c r="F18" i="45" s="1"/>
  <c r="E10" i="45"/>
  <c r="E11" i="45"/>
  <c r="E12" i="45"/>
  <c r="E13" i="45"/>
  <c r="E14" i="45" s="1"/>
  <c r="E15" i="45" s="1"/>
  <c r="E16" i="45" s="1"/>
  <c r="E17" i="45" s="1"/>
  <c r="E18" i="45" s="1"/>
  <c r="F9" i="45"/>
  <c r="E9" i="45"/>
  <c r="F20" i="43"/>
  <c r="F21" i="43" s="1"/>
  <c r="F22" i="43" s="1"/>
  <c r="F23" i="43" s="1"/>
  <c r="F24" i="43" s="1"/>
  <c r="F25" i="43" s="1"/>
  <c r="F26" i="43" s="1"/>
  <c r="F27" i="43" s="1"/>
  <c r="F28" i="43" s="1"/>
  <c r="F29" i="43" s="1"/>
  <c r="F30" i="43" s="1"/>
  <c r="F31" i="43" s="1"/>
  <c r="F32" i="43" s="1"/>
  <c r="F33" i="43" s="1"/>
  <c r="F34" i="43" s="1"/>
  <c r="F35" i="43" s="1"/>
  <c r="F36" i="43" s="1"/>
  <c r="F37" i="43" s="1"/>
  <c r="F38" i="43" s="1"/>
  <c r="F39" i="43" s="1"/>
  <c r="F40" i="43" s="1"/>
  <c r="E20" i="43"/>
  <c r="E21" i="43"/>
  <c r="E22" i="43"/>
  <c r="E23" i="43"/>
  <c r="E24" i="43" s="1"/>
  <c r="E25" i="43" s="1"/>
  <c r="E26" i="43" s="1"/>
  <c r="E27" i="43" s="1"/>
  <c r="E28" i="43" s="1"/>
  <c r="E29" i="43" s="1"/>
  <c r="E30" i="43" s="1"/>
  <c r="E31" i="43" s="1"/>
  <c r="E32" i="43" s="1"/>
  <c r="E33" i="43" s="1"/>
  <c r="E34" i="43" s="1"/>
  <c r="E35" i="43" s="1"/>
  <c r="E36" i="43" s="1"/>
  <c r="E37" i="43" s="1"/>
  <c r="E38" i="43" s="1"/>
  <c r="E39" i="43" s="1"/>
  <c r="E40" i="43" s="1"/>
  <c r="F19" i="43"/>
  <c r="E19" i="43"/>
  <c r="F10" i="43"/>
  <c r="F11" i="43" s="1"/>
  <c r="F12" i="43" s="1"/>
  <c r="F13" i="43" s="1"/>
  <c r="F14" i="43" s="1"/>
  <c r="F15" i="43" s="1"/>
  <c r="F16" i="43" s="1"/>
  <c r="F17" i="43" s="1"/>
  <c r="F18" i="43" s="1"/>
  <c r="E10" i="43"/>
  <c r="E11" i="43" s="1"/>
  <c r="E12" i="43" s="1"/>
  <c r="E13" i="43" s="1"/>
  <c r="E14" i="43" s="1"/>
  <c r="E15" i="43" s="1"/>
  <c r="E16" i="43" s="1"/>
  <c r="E17" i="43" s="1"/>
  <c r="E18" i="43" s="1"/>
  <c r="E9" i="43"/>
  <c r="F9" i="43"/>
  <c r="F9" i="29"/>
  <c r="E9" i="29"/>
  <c r="F9" i="41"/>
  <c r="F10" i="41" s="1"/>
  <c r="F11" i="41" s="1"/>
  <c r="F12" i="41" s="1"/>
  <c r="F13" i="41" s="1"/>
  <c r="F14" i="41" s="1"/>
  <c r="F15" i="41" s="1"/>
  <c r="F16" i="41" s="1"/>
  <c r="F17" i="41" s="1"/>
  <c r="F18" i="41" s="1"/>
  <c r="F19" i="41" s="1"/>
  <c r="F20" i="41" s="1"/>
  <c r="F21" i="41" s="1"/>
  <c r="F22" i="41" s="1"/>
  <c r="F23" i="41" s="1"/>
  <c r="F24" i="41" s="1"/>
  <c r="F25" i="41" s="1"/>
  <c r="F26" i="41" s="1"/>
  <c r="F27" i="41" s="1"/>
  <c r="F28" i="41" s="1"/>
  <c r="F29" i="41" s="1"/>
  <c r="F30" i="41" s="1"/>
  <c r="F31" i="41" s="1"/>
  <c r="F32" i="41" s="1"/>
  <c r="F33" i="41" s="1"/>
  <c r="F34" i="41" s="1"/>
  <c r="F35" i="41" s="1"/>
  <c r="F36" i="41" s="1"/>
  <c r="F37" i="41" s="1"/>
  <c r="F38" i="41" s="1"/>
  <c r="F39" i="41" s="1"/>
  <c r="F40" i="41" s="1"/>
  <c r="F41" i="41" s="1"/>
  <c r="F42" i="41" s="1"/>
  <c r="F43" i="41" s="1"/>
  <c r="F44" i="41" s="1"/>
  <c r="E9" i="41"/>
  <c r="E10" i="41" s="1"/>
  <c r="E11" i="41" s="1"/>
  <c r="E12" i="41" s="1"/>
  <c r="E13" i="41" s="1"/>
  <c r="E14" i="41" s="1"/>
  <c r="E15" i="41" s="1"/>
  <c r="E16" i="41" s="1"/>
  <c r="E17" i="41" s="1"/>
  <c r="E18" i="41" s="1"/>
  <c r="E19" i="41" s="1"/>
  <c r="E20" i="41" s="1"/>
  <c r="E21" i="41" s="1"/>
  <c r="E22" i="41" s="1"/>
  <c r="E23" i="41" s="1"/>
  <c r="E24" i="41" s="1"/>
  <c r="E25" i="41" s="1"/>
  <c r="E26" i="41" s="1"/>
  <c r="E27" i="41" s="1"/>
  <c r="E28" i="41" s="1"/>
  <c r="E29" i="41" s="1"/>
  <c r="E30" i="41" s="1"/>
  <c r="E31" i="41" s="1"/>
  <c r="E32" i="41" s="1"/>
  <c r="E33" i="41" s="1"/>
  <c r="E34" i="41" s="1"/>
  <c r="E35" i="41" s="1"/>
  <c r="E36" i="41" s="1"/>
  <c r="E37" i="41" s="1"/>
  <c r="E38" i="41" s="1"/>
  <c r="E39" i="41" s="1"/>
  <c r="E40" i="41" s="1"/>
  <c r="E41" i="41" s="1"/>
  <c r="E42" i="41" s="1"/>
  <c r="E43" i="41" s="1"/>
  <c r="E44" i="41" s="1"/>
  <c r="F9" i="39"/>
  <c r="F10" i="39" s="1"/>
  <c r="F11" i="39" s="1"/>
  <c r="F12" i="39" s="1"/>
  <c r="F13" i="39" s="1"/>
  <c r="F14" i="39" s="1"/>
  <c r="F15" i="39" s="1"/>
  <c r="F16" i="39" s="1"/>
  <c r="F17" i="39" s="1"/>
  <c r="F18" i="39" s="1"/>
  <c r="F19" i="39" s="1"/>
  <c r="F20" i="39" s="1"/>
  <c r="F21" i="39" s="1"/>
  <c r="F22" i="39" s="1"/>
  <c r="F23" i="39" s="1"/>
  <c r="F24" i="39" s="1"/>
  <c r="F25" i="39" s="1"/>
  <c r="F26" i="39" s="1"/>
  <c r="F27" i="39" s="1"/>
  <c r="F28" i="39" s="1"/>
  <c r="F29" i="39" s="1"/>
  <c r="F30" i="39" s="1"/>
  <c r="F31" i="39" s="1"/>
  <c r="F32" i="39" s="1"/>
  <c r="F33" i="39" s="1"/>
  <c r="F34" i="39" s="1"/>
  <c r="F35" i="39" s="1"/>
  <c r="F36" i="39" s="1"/>
  <c r="F37" i="39" s="1"/>
  <c r="F38" i="39" s="1"/>
  <c r="F39" i="39" s="1"/>
  <c r="F40" i="39" s="1"/>
  <c r="F41" i="39" s="1"/>
  <c r="F42" i="39" s="1"/>
  <c r="F43" i="39" s="1"/>
  <c r="F44" i="39" s="1"/>
  <c r="E9" i="39"/>
  <c r="E10" i="39" s="1"/>
  <c r="E11" i="39" s="1"/>
  <c r="E12" i="39" s="1"/>
  <c r="E13" i="39" s="1"/>
  <c r="E14" i="39" s="1"/>
  <c r="E15" i="39" s="1"/>
  <c r="E16" i="39" s="1"/>
  <c r="E17" i="39" s="1"/>
  <c r="E18" i="39" s="1"/>
  <c r="E19" i="39" s="1"/>
  <c r="E20" i="39" s="1"/>
  <c r="E21" i="39" s="1"/>
  <c r="E22" i="39" s="1"/>
  <c r="E23" i="39" s="1"/>
  <c r="E24" i="39" s="1"/>
  <c r="E25" i="39" s="1"/>
  <c r="E26" i="39" s="1"/>
  <c r="E27" i="39" s="1"/>
  <c r="E28" i="39" s="1"/>
  <c r="E29" i="39" s="1"/>
  <c r="E30" i="39" s="1"/>
  <c r="E31" i="39" s="1"/>
  <c r="E32" i="39" s="1"/>
  <c r="E33" i="39" s="1"/>
  <c r="E34" i="39" s="1"/>
  <c r="E35" i="39" s="1"/>
  <c r="E36" i="39" s="1"/>
  <c r="E37" i="39" s="1"/>
  <c r="E38" i="39" s="1"/>
  <c r="E39" i="39" s="1"/>
  <c r="E40" i="39" s="1"/>
  <c r="E41" i="39" s="1"/>
  <c r="E42" i="39" s="1"/>
  <c r="E43" i="39" s="1"/>
  <c r="E44" i="39" s="1"/>
  <c r="E10" i="38"/>
  <c r="E11" i="38" s="1"/>
  <c r="E12" i="38" s="1"/>
  <c r="E13" i="38" s="1"/>
  <c r="E14" i="38" s="1"/>
  <c r="E15" i="38" s="1"/>
  <c r="E16" i="38" s="1"/>
  <c r="E17" i="38" s="1"/>
  <c r="E18" i="38" s="1"/>
  <c r="E19" i="38" s="1"/>
  <c r="E20" i="38" s="1"/>
  <c r="E21" i="38" s="1"/>
  <c r="E22" i="38" s="1"/>
  <c r="E23" i="38" s="1"/>
  <c r="E24" i="38" s="1"/>
  <c r="E25" i="38" s="1"/>
  <c r="E26" i="38" s="1"/>
  <c r="E27" i="38" s="1"/>
  <c r="E28" i="38" s="1"/>
  <c r="E29" i="38" s="1"/>
  <c r="E30" i="38" s="1"/>
  <c r="E31" i="38" s="1"/>
  <c r="E32" i="38" s="1"/>
  <c r="E33" i="38" s="1"/>
  <c r="E34" i="38" s="1"/>
  <c r="E35" i="38" s="1"/>
  <c r="E36" i="38" s="1"/>
  <c r="F9" i="38"/>
  <c r="F10" i="38" s="1"/>
  <c r="F11" i="38" s="1"/>
  <c r="F12" i="38" s="1"/>
  <c r="F13" i="38" s="1"/>
  <c r="F14" i="38" s="1"/>
  <c r="F15" i="38" s="1"/>
  <c r="F16" i="38" s="1"/>
  <c r="F17" i="38" s="1"/>
  <c r="F18" i="38" s="1"/>
  <c r="F19" i="38" s="1"/>
  <c r="F20" i="38" s="1"/>
  <c r="F21" i="38" s="1"/>
  <c r="F22" i="38" s="1"/>
  <c r="F23" i="38" s="1"/>
  <c r="F24" i="38" s="1"/>
  <c r="F25" i="38" s="1"/>
  <c r="F26" i="38" s="1"/>
  <c r="F27" i="38" s="1"/>
  <c r="F28" i="38" s="1"/>
  <c r="F29" i="38" s="1"/>
  <c r="F30" i="38" s="1"/>
  <c r="F31" i="38" s="1"/>
  <c r="F32" i="38" s="1"/>
  <c r="F33" i="38" s="1"/>
  <c r="F34" i="38" s="1"/>
  <c r="F35" i="38" s="1"/>
  <c r="F36" i="38" s="1"/>
  <c r="F37" i="38" s="1"/>
  <c r="E9" i="38"/>
  <c r="F10" i="37"/>
  <c r="F11" i="37" s="1"/>
  <c r="F12" i="37" s="1"/>
  <c r="F13" i="37" s="1"/>
  <c r="F14" i="37" s="1"/>
  <c r="F15" i="37" s="1"/>
  <c r="F16" i="37" s="1"/>
  <c r="F17" i="37" s="1"/>
  <c r="F18" i="37" s="1"/>
  <c r="F19" i="37" s="1"/>
  <c r="F20" i="37" s="1"/>
  <c r="F21" i="37" s="1"/>
  <c r="F22" i="37" s="1"/>
  <c r="F23" i="37" s="1"/>
  <c r="F24" i="37" s="1"/>
  <c r="F9" i="37"/>
  <c r="E9" i="37"/>
  <c r="E10" i="37" s="1"/>
  <c r="E11" i="37" s="1"/>
  <c r="E12" i="37" s="1"/>
  <c r="E13" i="37" s="1"/>
  <c r="E14" i="37" s="1"/>
  <c r="E15" i="37" s="1"/>
  <c r="E16" i="37" s="1"/>
  <c r="E17" i="37" s="1"/>
  <c r="E18" i="37" s="1"/>
  <c r="E19" i="37" s="1"/>
  <c r="E20" i="37" s="1"/>
  <c r="E21" i="37" s="1"/>
  <c r="E22" i="37" s="1"/>
  <c r="E23" i="37" s="1"/>
  <c r="E24" i="37" s="1"/>
  <c r="F18" i="36"/>
  <c r="F19" i="36" s="1"/>
  <c r="F20" i="36" s="1"/>
  <c r="F21" i="36" s="1"/>
  <c r="F22" i="36" s="1"/>
  <c r="F23" i="36" s="1"/>
  <c r="F24" i="36" s="1"/>
  <c r="F25" i="36" s="1"/>
  <c r="F26" i="36" s="1"/>
  <c r="F27" i="36" s="1"/>
  <c r="F28" i="36" s="1"/>
  <c r="E18" i="36"/>
  <c r="E19" i="36" s="1"/>
  <c r="E20" i="36" s="1"/>
  <c r="E21" i="36" s="1"/>
  <c r="E22" i="36" s="1"/>
  <c r="E23" i="36" s="1"/>
  <c r="E24" i="36" s="1"/>
  <c r="E25" i="36" s="1"/>
  <c r="E26" i="36" s="1"/>
  <c r="E27" i="36" s="1"/>
  <c r="E28" i="36" s="1"/>
  <c r="F9" i="36"/>
  <c r="F10" i="36" s="1"/>
  <c r="F11" i="36" s="1"/>
  <c r="F12" i="36" s="1"/>
  <c r="F13" i="36" s="1"/>
  <c r="F14" i="36" s="1"/>
  <c r="F15" i="36" s="1"/>
  <c r="F16" i="36" s="1"/>
  <c r="F17" i="36" s="1"/>
  <c r="E9" i="36"/>
  <c r="E10" i="36"/>
  <c r="E11" i="36" s="1"/>
  <c r="E12" i="36" s="1"/>
  <c r="E13" i="36" s="1"/>
  <c r="E14" i="36" s="1"/>
  <c r="E15" i="36" s="1"/>
  <c r="E16" i="36" s="1"/>
  <c r="E17" i="36" s="1"/>
  <c r="F8" i="36"/>
  <c r="E8" i="36"/>
  <c r="F18" i="31"/>
  <c r="F19" i="31" s="1"/>
  <c r="F20" i="31" s="1"/>
  <c r="F21" i="31" s="1"/>
  <c r="F22" i="31" s="1"/>
  <c r="F23" i="31" s="1"/>
  <c r="F24" i="31" s="1"/>
  <c r="F25" i="31" s="1"/>
  <c r="F26" i="31" s="1"/>
  <c r="F27" i="31" s="1"/>
  <c r="F28" i="31" s="1"/>
  <c r="F29" i="31" s="1"/>
  <c r="F30" i="31" s="1"/>
  <c r="F31" i="31" s="1"/>
  <c r="F32" i="31" s="1"/>
  <c r="F33" i="31" s="1"/>
  <c r="F34" i="31" s="1"/>
  <c r="F35" i="31" s="1"/>
  <c r="F36" i="31" s="1"/>
  <c r="E18" i="31"/>
  <c r="E19" i="31" s="1"/>
  <c r="E20" i="31" s="1"/>
  <c r="E21" i="31" s="1"/>
  <c r="E22" i="31" s="1"/>
  <c r="E23" i="31" s="1"/>
  <c r="E24" i="31" s="1"/>
  <c r="E25" i="31" s="1"/>
  <c r="E26" i="31" s="1"/>
  <c r="E27" i="31" s="1"/>
  <c r="E28" i="31" s="1"/>
  <c r="E29" i="31" s="1"/>
  <c r="E30" i="31" s="1"/>
  <c r="E31" i="31" s="1"/>
  <c r="E32" i="31" s="1"/>
  <c r="E33" i="31" s="1"/>
  <c r="E34" i="31" s="1"/>
  <c r="E35" i="31" s="1"/>
  <c r="E36" i="31" s="1"/>
  <c r="F9" i="31"/>
  <c r="F10" i="31" s="1"/>
  <c r="F11" i="31" s="1"/>
  <c r="F12" i="31" s="1"/>
  <c r="F13" i="31" s="1"/>
  <c r="F14" i="31" s="1"/>
  <c r="F15" i="31" s="1"/>
  <c r="F16" i="31" s="1"/>
  <c r="F17" i="31" s="1"/>
  <c r="E9" i="31"/>
  <c r="E10" i="31"/>
  <c r="E11" i="31" s="1"/>
  <c r="E12" i="31" s="1"/>
  <c r="E13" i="31" s="1"/>
  <c r="E14" i="31" s="1"/>
  <c r="E15" i="31" s="1"/>
  <c r="E16" i="31" s="1"/>
  <c r="E17" i="31" s="1"/>
  <c r="F8" i="31"/>
  <c r="E8" i="31"/>
  <c r="F28" i="30"/>
  <c r="F29" i="30" s="1"/>
  <c r="F30" i="30" s="1"/>
  <c r="F31" i="30" s="1"/>
  <c r="F32" i="30" s="1"/>
  <c r="F33" i="30" s="1"/>
  <c r="F34" i="30" s="1"/>
  <c r="F35" i="30" s="1"/>
  <c r="F36" i="30" s="1"/>
  <c r="F37" i="30" s="1"/>
  <c r="E28" i="30"/>
  <c r="E29" i="30" s="1"/>
  <c r="E30" i="30" s="1"/>
  <c r="E31" i="30" s="1"/>
  <c r="E32" i="30" s="1"/>
  <c r="E33" i="30" s="1"/>
  <c r="E34" i="30" s="1"/>
  <c r="E35" i="30" s="1"/>
  <c r="E36" i="30" s="1"/>
  <c r="E37" i="30" s="1"/>
  <c r="F18" i="30"/>
  <c r="F19" i="30"/>
  <c r="F20" i="30"/>
  <c r="F21" i="30"/>
  <c r="F22" i="30" s="1"/>
  <c r="F23" i="30" s="1"/>
  <c r="F24" i="30" s="1"/>
  <c r="F25" i="30" s="1"/>
  <c r="F26" i="30" s="1"/>
  <c r="F27" i="30" s="1"/>
  <c r="E18" i="30"/>
  <c r="E19" i="30" s="1"/>
  <c r="E20" i="30" s="1"/>
  <c r="E21" i="30" s="1"/>
  <c r="E22" i="30" s="1"/>
  <c r="E23" i="30" s="1"/>
  <c r="E24" i="30" s="1"/>
  <c r="E25" i="30" s="1"/>
  <c r="E26" i="30" s="1"/>
  <c r="E27" i="30" s="1"/>
  <c r="F9" i="30"/>
  <c r="F10" i="30"/>
  <c r="F11" i="30"/>
  <c r="F12" i="30"/>
  <c r="F13" i="30" s="1"/>
  <c r="F14" i="30" s="1"/>
  <c r="F15" i="30" s="1"/>
  <c r="F16" i="30" s="1"/>
  <c r="F17" i="30" s="1"/>
  <c r="E9" i="30"/>
  <c r="E10" i="30"/>
  <c r="E11" i="30" s="1"/>
  <c r="E12" i="30" s="1"/>
  <c r="E13" i="30" s="1"/>
  <c r="E14" i="30" s="1"/>
  <c r="E15" i="30" s="1"/>
  <c r="E16" i="30" s="1"/>
  <c r="E17" i="30" s="1"/>
  <c r="F8" i="30"/>
  <c r="E8" i="30"/>
  <c r="F10" i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9" i="1"/>
  <c r="E9" i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F9" i="28"/>
  <c r="F10" i="28" s="1"/>
  <c r="F11" i="28" s="1"/>
  <c r="F12" i="28" s="1"/>
  <c r="F13" i="28" s="1"/>
  <c r="F14" i="28" s="1"/>
  <c r="F15" i="28" s="1"/>
  <c r="F16" i="28" s="1"/>
  <c r="F17" i="28" s="1"/>
  <c r="F18" i="28" s="1"/>
  <c r="F19" i="28" s="1"/>
  <c r="F20" i="28" s="1"/>
  <c r="F21" i="28" s="1"/>
  <c r="F22" i="28" s="1"/>
  <c r="F23" i="28" s="1"/>
  <c r="F24" i="28" s="1"/>
  <c r="F25" i="28" s="1"/>
  <c r="F26" i="28" s="1"/>
  <c r="F27" i="28" s="1"/>
  <c r="F28" i="28" s="1"/>
  <c r="F29" i="28" s="1"/>
  <c r="F30" i="28" s="1"/>
  <c r="F31" i="28" s="1"/>
  <c r="F32" i="28" s="1"/>
  <c r="F33" i="28" s="1"/>
  <c r="F34" i="28" s="1"/>
  <c r="F35" i="28" s="1"/>
  <c r="F36" i="28" s="1"/>
  <c r="F37" i="28" s="1"/>
  <c r="F38" i="28" s="1"/>
  <c r="F39" i="28" s="1"/>
  <c r="F40" i="28" s="1"/>
  <c r="F41" i="28" s="1"/>
  <c r="F42" i="28" s="1"/>
  <c r="F43" i="28" s="1"/>
  <c r="F44" i="28" s="1"/>
  <c r="F45" i="28" s="1"/>
  <c r="F46" i="28" s="1"/>
  <c r="F47" i="28" s="1"/>
  <c r="E9" i="28"/>
  <c r="E10" i="28" s="1"/>
  <c r="E11" i="28" s="1"/>
  <c r="E12" i="28" s="1"/>
  <c r="E13" i="28" s="1"/>
  <c r="E14" i="28" s="1"/>
  <c r="E15" i="28" s="1"/>
  <c r="E16" i="28" s="1"/>
  <c r="E17" i="28" s="1"/>
  <c r="E18" i="28" s="1"/>
  <c r="E19" i="28" s="1"/>
  <c r="E20" i="28" s="1"/>
  <c r="E21" i="28" s="1"/>
  <c r="E22" i="28" s="1"/>
  <c r="E23" i="28" s="1"/>
  <c r="E24" i="28" s="1"/>
  <c r="E25" i="28" s="1"/>
  <c r="E26" i="28" s="1"/>
  <c r="E27" i="28" s="1"/>
  <c r="E28" i="28" s="1"/>
  <c r="E29" i="28" s="1"/>
  <c r="E30" i="28" s="1"/>
  <c r="E31" i="28" s="1"/>
  <c r="E32" i="28" s="1"/>
  <c r="E33" i="28" s="1"/>
  <c r="E34" i="28" s="1"/>
  <c r="E35" i="28" s="1"/>
  <c r="E36" i="28" s="1"/>
  <c r="E37" i="28" s="1"/>
  <c r="E38" i="28" s="1"/>
  <c r="E39" i="28" s="1"/>
  <c r="E40" i="28" s="1"/>
  <c r="E41" i="28" s="1"/>
  <c r="E42" i="28" s="1"/>
  <c r="E43" i="28" s="1"/>
  <c r="E44" i="28" s="1"/>
  <c r="E45" i="28" s="1"/>
  <c r="E46" i="28" s="1"/>
  <c r="E47" i="28" s="1"/>
  <c r="F9" i="27"/>
  <c r="F10" i="27" s="1"/>
  <c r="F11" i="27" s="1"/>
  <c r="F12" i="27" s="1"/>
  <c r="E9" i="27"/>
  <c r="E10" i="27" s="1"/>
  <c r="E11" i="27" s="1"/>
  <c r="E12" i="27" s="1"/>
  <c r="F8" i="21"/>
  <c r="F9" i="21" s="1"/>
  <c r="F10" i="21" s="1"/>
  <c r="F11" i="21" s="1"/>
  <c r="F12" i="21" s="1"/>
  <c r="E8" i="21"/>
  <c r="E9" i="21" s="1"/>
  <c r="E10" i="21" s="1"/>
  <c r="E11" i="21" s="1"/>
  <c r="E12" i="21" s="1"/>
  <c r="F10" i="14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E10" i="14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F10" i="12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F38" i="12" s="1"/>
  <c r="F39" i="12" s="1"/>
  <c r="E10" i="12"/>
  <c r="E11" i="12" s="1"/>
  <c r="E12" i="12" s="1"/>
  <c r="E13" i="12" s="1"/>
  <c r="E14" i="12" s="1"/>
  <c r="E15" i="12" s="1"/>
  <c r="E16" i="12" s="1"/>
  <c r="E17" i="12" s="1"/>
  <c r="E18" i="12" s="1"/>
  <c r="E19" i="12" s="1"/>
  <c r="E20" i="12" s="1"/>
  <c r="E21" i="12" s="1"/>
  <c r="E22" i="12" s="1"/>
  <c r="E23" i="12" s="1"/>
  <c r="E24" i="12" s="1"/>
  <c r="E25" i="12" s="1"/>
  <c r="E26" i="12" s="1"/>
  <c r="E27" i="12" s="1"/>
  <c r="E28" i="12" s="1"/>
  <c r="E29" i="12" s="1"/>
  <c r="E30" i="12" s="1"/>
  <c r="E31" i="12" s="1"/>
  <c r="E32" i="12" s="1"/>
  <c r="E33" i="12" s="1"/>
  <c r="E34" i="12" s="1"/>
  <c r="E35" i="12" s="1"/>
  <c r="E36" i="12" s="1"/>
  <c r="E37" i="12" s="1"/>
  <c r="E38" i="12" s="1"/>
  <c r="E39" i="12" s="1"/>
  <c r="E42" i="12" s="1"/>
  <c r="F10" i="10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E10" i="10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F9" i="4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E9" i="4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E9" i="3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F9" i="2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E9" i="2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</calcChain>
</file>

<file path=xl/sharedStrings.xml><?xml version="1.0" encoding="utf-8"?>
<sst xmlns="http://schemas.openxmlformats.org/spreadsheetml/2006/main" count="2651" uniqueCount="850">
  <si>
    <t>Name : Muhammad Ahsan</t>
  </si>
  <si>
    <t>CNIC # 42401-2550694-3</t>
  </si>
  <si>
    <t>Contact # 0311-0310790</t>
  </si>
  <si>
    <t>Date</t>
  </si>
  <si>
    <t>Description</t>
  </si>
  <si>
    <t>Amount Due</t>
  </si>
  <si>
    <t>Cost : 550,000</t>
  </si>
  <si>
    <t>Instalment</t>
  </si>
  <si>
    <t>R.NO</t>
  </si>
  <si>
    <t>Amount Rec</t>
  </si>
  <si>
    <t>Total Rec</t>
  </si>
  <si>
    <t>Adj Rehman</t>
  </si>
  <si>
    <t>Father Name : M Ashraf</t>
  </si>
  <si>
    <t>Plot No : L-6087</t>
  </si>
  <si>
    <t>19/8/2022</t>
  </si>
  <si>
    <t>13/8/2023</t>
  </si>
  <si>
    <t>16/9/2023</t>
  </si>
  <si>
    <t>13/11/2023</t>
  </si>
  <si>
    <t>13/2/2024</t>
  </si>
  <si>
    <t>13/5/2024</t>
  </si>
  <si>
    <t>16/6/2024</t>
  </si>
  <si>
    <t>13/7/2024</t>
  </si>
  <si>
    <t>21/10/2024</t>
  </si>
  <si>
    <t>22/11/2024</t>
  </si>
  <si>
    <t>23/4/2025</t>
  </si>
  <si>
    <t>18/5/2025</t>
  </si>
  <si>
    <t>21/9/2025</t>
  </si>
  <si>
    <t>19/10/2025</t>
  </si>
  <si>
    <t>25/11/2025</t>
  </si>
  <si>
    <t>14/12/2025</t>
  </si>
  <si>
    <t>14/3/2025</t>
  </si>
  <si>
    <t>Name : Imam Dino</t>
  </si>
  <si>
    <t>Father Name : Saidad Chandio</t>
  </si>
  <si>
    <t>CNIC # 45203-5321172-1</t>
  </si>
  <si>
    <t>Contact # 03048090024</t>
  </si>
  <si>
    <t>Plot No : L-6043</t>
  </si>
  <si>
    <t>Cost : 600,000</t>
  </si>
  <si>
    <t>25/11/22</t>
  </si>
  <si>
    <t>Residential Adj</t>
  </si>
  <si>
    <t>Installment</t>
  </si>
  <si>
    <t>15/3/2023</t>
  </si>
  <si>
    <t>14/4/2024</t>
  </si>
  <si>
    <t>14/7/2024</t>
  </si>
  <si>
    <t>14/12/2024</t>
  </si>
  <si>
    <t>14/1/2025</t>
  </si>
  <si>
    <t>16/2/2025</t>
  </si>
  <si>
    <t>26/5/2025</t>
  </si>
  <si>
    <t>15/11/2025</t>
  </si>
  <si>
    <t>Plot No : L-6044</t>
  </si>
  <si>
    <t>25/11/2022</t>
  </si>
  <si>
    <t>Adj Sobho</t>
  </si>
  <si>
    <t>18/2/2023</t>
  </si>
  <si>
    <t>14/6/2024</t>
  </si>
  <si>
    <t>14/14/2024</t>
  </si>
  <si>
    <t xml:space="preserve">Contact # </t>
  </si>
  <si>
    <t>Cost : 700,000</t>
  </si>
  <si>
    <t>Token</t>
  </si>
  <si>
    <t>Booking</t>
  </si>
  <si>
    <t>Contact # 0304-8090024</t>
  </si>
  <si>
    <t>Name : Munawar Hussain</t>
  </si>
  <si>
    <t>Father Name : Abdul Shakoor</t>
  </si>
  <si>
    <t>CNIC # 42401-8204067-7</t>
  </si>
  <si>
    <t>Contact # 03332222905</t>
  </si>
  <si>
    <t>22/9/2023</t>
  </si>
  <si>
    <t>25/10/2023</t>
  </si>
  <si>
    <t>23/11/2023</t>
  </si>
  <si>
    <t>17/12/2023</t>
  </si>
  <si>
    <t>16/1/2024</t>
  </si>
  <si>
    <t>16/2/2024</t>
  </si>
  <si>
    <t>17/4/2024</t>
  </si>
  <si>
    <t>18/5/2024</t>
  </si>
  <si>
    <t>27/6/2024</t>
  </si>
  <si>
    <t>21/9/2024</t>
  </si>
  <si>
    <t>30/10/2024</t>
  </si>
  <si>
    <t>31/12/2024</t>
  </si>
  <si>
    <t>17/3/2025</t>
  </si>
  <si>
    <t>14/6/2025</t>
  </si>
  <si>
    <t>16/7/2025</t>
  </si>
  <si>
    <t>16/8/2025</t>
  </si>
  <si>
    <t>17/9/2025</t>
  </si>
  <si>
    <t>16/10/2025</t>
  </si>
  <si>
    <t>30/11/2025</t>
  </si>
  <si>
    <t>Plot No : L-6019</t>
  </si>
  <si>
    <t>17/9/2022</t>
  </si>
  <si>
    <t>T0ken</t>
  </si>
  <si>
    <t>18/9/2022</t>
  </si>
  <si>
    <t>Residential</t>
  </si>
  <si>
    <t>22/10/2022</t>
  </si>
  <si>
    <t>instalment</t>
  </si>
  <si>
    <t>Name : M Ayaz Sheikh</t>
  </si>
  <si>
    <t>Father Name : M Sarfaraz Ali</t>
  </si>
  <si>
    <t>CNIC # 42101-2672563-9</t>
  </si>
  <si>
    <t>Contact # 03351285123</t>
  </si>
  <si>
    <t>Plot No : L-6012</t>
  </si>
  <si>
    <t>Cost : 650,000</t>
  </si>
  <si>
    <t>23/6/2023</t>
  </si>
  <si>
    <t>RES Booking</t>
  </si>
  <si>
    <t>31/12/2023</t>
  </si>
  <si>
    <t>21/6/2025</t>
  </si>
  <si>
    <t>13/7/2025</t>
  </si>
  <si>
    <t>Res Booking</t>
  </si>
  <si>
    <t>Name : Muhammad Qasim</t>
  </si>
  <si>
    <t>Father Name : Muhammad Sultan</t>
  </si>
  <si>
    <t>CNIC # 42401-8125456-1</t>
  </si>
  <si>
    <t>Contact # 03133747434</t>
  </si>
  <si>
    <t>18/6/2023</t>
  </si>
  <si>
    <t>18/7/2023</t>
  </si>
  <si>
    <t>26/8/2023</t>
  </si>
  <si>
    <t>27/9/2023</t>
  </si>
  <si>
    <t>24/10/2023</t>
  </si>
  <si>
    <t>26/11/2023</t>
  </si>
  <si>
    <t>31/1/2024</t>
  </si>
  <si>
    <t>26/2/2024</t>
  </si>
  <si>
    <t>30/3/2024</t>
  </si>
  <si>
    <t>15/6/2024</t>
  </si>
  <si>
    <t>16/12/2024</t>
  </si>
  <si>
    <t>20/7/2025</t>
  </si>
  <si>
    <t>25/10/2025</t>
  </si>
  <si>
    <t>26/11/2025</t>
  </si>
  <si>
    <t>Name : Sajjad Ahmed</t>
  </si>
  <si>
    <t>Father Name : Muhammad Iqbal</t>
  </si>
  <si>
    <t>CNIC # 42401-9356970-7</t>
  </si>
  <si>
    <t>Contact # 03429447873</t>
  </si>
  <si>
    <t>Plot No : L-6093</t>
  </si>
  <si>
    <t>B00king</t>
  </si>
  <si>
    <t>15/1/2026</t>
  </si>
  <si>
    <t>21/1/2026</t>
  </si>
  <si>
    <t>25/2/2026</t>
  </si>
  <si>
    <t>Name : Qamar Abbas</t>
  </si>
  <si>
    <t>Father Name : Hussain Abbas</t>
  </si>
  <si>
    <t>CNIC # 21303-3191919-9</t>
  </si>
  <si>
    <t>Cost :450,000</t>
  </si>
  <si>
    <t>Plot No : 6033</t>
  </si>
  <si>
    <t>1/1//2026</t>
  </si>
  <si>
    <t>Name : Muhammad Younus</t>
  </si>
  <si>
    <t>Father Name : Muhammad Sharif Khan</t>
  </si>
  <si>
    <t>CNIC #11201-3175411-9</t>
  </si>
  <si>
    <t>Plot No : 6078</t>
  </si>
  <si>
    <t>Cost :650,000</t>
  </si>
  <si>
    <t>16/9/2025</t>
  </si>
  <si>
    <t>17/11/2025</t>
  </si>
  <si>
    <t>Name : Summaira Raheem</t>
  </si>
  <si>
    <t>Father Name : M.Raheem Qamar</t>
  </si>
  <si>
    <t>CNIC #42101-1942250-2</t>
  </si>
  <si>
    <t>Contact # 03132543707</t>
  </si>
  <si>
    <t>Cost :620,000</t>
  </si>
  <si>
    <t>15/2/2023</t>
  </si>
  <si>
    <t>17/3/2023</t>
  </si>
  <si>
    <t>20/4/2023</t>
  </si>
  <si>
    <t>16/5/2023</t>
  </si>
  <si>
    <t>19/6/2023</t>
  </si>
  <si>
    <t>19/8/2023</t>
  </si>
  <si>
    <t>Adj Booking</t>
  </si>
  <si>
    <t>13/1/2024</t>
  </si>
  <si>
    <t>17/2/2024</t>
  </si>
  <si>
    <t>15/3/2024</t>
  </si>
  <si>
    <t>13/4/2024</t>
  </si>
  <si>
    <t>17/5/2024</t>
  </si>
  <si>
    <t>16/8/2024</t>
  </si>
  <si>
    <t>16/9/2024</t>
  </si>
  <si>
    <t>20/2/2025</t>
  </si>
  <si>
    <t>13/6/2026</t>
  </si>
  <si>
    <t>14/7/2025</t>
  </si>
  <si>
    <t>15/9/2025</t>
  </si>
  <si>
    <t>13/11/2025</t>
  </si>
  <si>
    <t>13/12/2023</t>
  </si>
  <si>
    <t>Plot No : 6013 -B</t>
  </si>
  <si>
    <t>Name : Muhammad iqbal</t>
  </si>
  <si>
    <t>Farther Name : Muhammad Sarwar</t>
  </si>
  <si>
    <t>CNIC # 42401-4760361-1</t>
  </si>
  <si>
    <t>Contact # 03110310790</t>
  </si>
  <si>
    <t>Plot # L-6086</t>
  </si>
  <si>
    <t>17/12/2022</t>
  </si>
  <si>
    <t>12//7/2023</t>
  </si>
  <si>
    <t>Adj Reh</t>
  </si>
  <si>
    <t>19/5/2025</t>
  </si>
  <si>
    <t>18/1/2026</t>
  </si>
  <si>
    <t>Plot # L-6091</t>
  </si>
  <si>
    <t>Name : Yayah Hussain</t>
  </si>
  <si>
    <t>Farther Name : Ghulam Hussain Khan</t>
  </si>
  <si>
    <t>CNIC # 822031-886742-3</t>
  </si>
  <si>
    <t>Plot # L-6092</t>
  </si>
  <si>
    <t>15/9/2022</t>
  </si>
  <si>
    <t>24/1/2023</t>
  </si>
  <si>
    <t>18/4/2023</t>
  </si>
  <si>
    <t>24/5/2023</t>
  </si>
  <si>
    <t>13/7/2023</t>
  </si>
  <si>
    <t>21/10/2023</t>
  </si>
  <si>
    <t>20/11/2023</t>
  </si>
  <si>
    <t>instalment 2 pend</t>
  </si>
  <si>
    <t>20/2/2024</t>
  </si>
  <si>
    <t>23/3/2024</t>
  </si>
  <si>
    <t>25/4/2024</t>
  </si>
  <si>
    <t>22/6/2024</t>
  </si>
  <si>
    <t>23/9/2024</t>
  </si>
  <si>
    <t>23/10/2024</t>
  </si>
  <si>
    <t>24/11/2024</t>
  </si>
  <si>
    <t>23/12/2024</t>
  </si>
  <si>
    <t>Instalment2 pend</t>
  </si>
  <si>
    <t>27/1/2025</t>
  </si>
  <si>
    <t>27/2/2025</t>
  </si>
  <si>
    <t>25/3/2025</t>
  </si>
  <si>
    <t>15/5/2025</t>
  </si>
  <si>
    <t>22/9/2025</t>
  </si>
  <si>
    <t>15/12/2025</t>
  </si>
  <si>
    <t>30/1/2026</t>
  </si>
  <si>
    <t>0ct 2025 Asj</t>
  </si>
  <si>
    <t>Name : Nadia Bibi</t>
  </si>
  <si>
    <t>Farther Name : Haq Nawaz Sheraz</t>
  </si>
  <si>
    <t>CNIC # 32404-1112764-2</t>
  </si>
  <si>
    <t>Contact # 03007074762</t>
  </si>
  <si>
    <t xml:space="preserve"> instalment 2 pend</t>
  </si>
  <si>
    <t>oct 2025 Adj</t>
  </si>
  <si>
    <t>Name : Parveen Akhter</t>
  </si>
  <si>
    <t>Father Name : Muhammad Rafic Rasi</t>
  </si>
  <si>
    <t>CNIC # 31303-6901852-4</t>
  </si>
  <si>
    <t>Contact # 03087168249</t>
  </si>
  <si>
    <t>Plot No : L-6081</t>
  </si>
  <si>
    <t>29/1/2023</t>
  </si>
  <si>
    <t>25/5/2023</t>
  </si>
  <si>
    <t>24/9/2023</t>
  </si>
  <si>
    <t>Toke ADJ</t>
  </si>
  <si>
    <t>Res booking</t>
  </si>
  <si>
    <t>instalment 20000</t>
  </si>
  <si>
    <t>instalment 1 pend</t>
  </si>
  <si>
    <t>23/12/2025</t>
  </si>
  <si>
    <t>25/5/2025</t>
  </si>
  <si>
    <t>22/9/2026</t>
  </si>
  <si>
    <t>24/11/2025</t>
  </si>
  <si>
    <t>19/1/2026</t>
  </si>
  <si>
    <t xml:space="preserve">Name : Sahib Zada </t>
  </si>
  <si>
    <t>Father Name : Gul Zada</t>
  </si>
  <si>
    <t>CNIC # 42401-1900825</t>
  </si>
  <si>
    <t>Contact #03473313542</t>
  </si>
  <si>
    <t>Plot No : L-6028</t>
  </si>
  <si>
    <t>Cost : 750,000</t>
  </si>
  <si>
    <t>20/11/2024</t>
  </si>
  <si>
    <t>19/12/2024</t>
  </si>
  <si>
    <t>20/1/2025</t>
  </si>
  <si>
    <t>20/3/2025</t>
  </si>
  <si>
    <t>19/4/2025</t>
  </si>
  <si>
    <t>21/5/2025</t>
  </si>
  <si>
    <t>20/6/2025</t>
  </si>
  <si>
    <t>22/7/2025</t>
  </si>
  <si>
    <t>20/8/2025</t>
  </si>
  <si>
    <t>20/9/2025</t>
  </si>
  <si>
    <t>20/10/2025</t>
  </si>
  <si>
    <t>20/11/2025</t>
  </si>
  <si>
    <t>22/12/2025</t>
  </si>
  <si>
    <t>18/2/2026</t>
  </si>
  <si>
    <t>Name : Syeda Qurat ul Ain Qadri</t>
  </si>
  <si>
    <t>Father Name : Syed M. Rafeeq</t>
  </si>
  <si>
    <t>CNIC # 42401-2052064</t>
  </si>
  <si>
    <t>Contact #0313229551</t>
  </si>
  <si>
    <t>Plot No : L-6032</t>
  </si>
  <si>
    <t>Cost : 620,000</t>
  </si>
  <si>
    <t>213 217</t>
  </si>
  <si>
    <t>15/4/2023</t>
  </si>
  <si>
    <t>17/7/2023</t>
  </si>
  <si>
    <t>19/10/2023</t>
  </si>
  <si>
    <t>14/12/2023</t>
  </si>
  <si>
    <t>Token  Adj</t>
  </si>
  <si>
    <t>21/12/2024</t>
  </si>
  <si>
    <t>14/4/2025</t>
  </si>
  <si>
    <t>17/2/2026</t>
  </si>
  <si>
    <t>1,00,000</t>
  </si>
  <si>
    <t>Name : Faqeer Hussain</t>
  </si>
  <si>
    <t>Father Name : Ameer Khan</t>
  </si>
  <si>
    <t>Contact # 03463046915</t>
  </si>
  <si>
    <t>Plot No : 6013 -A</t>
  </si>
  <si>
    <t>Cost :550,000</t>
  </si>
  <si>
    <t>CNIC #42201-0539560-7</t>
  </si>
  <si>
    <t>30/9/2023</t>
  </si>
  <si>
    <t>18/11/2023</t>
  </si>
  <si>
    <t>16/12/2023</t>
  </si>
  <si>
    <t>Adv Adj REH</t>
  </si>
  <si>
    <t>14/1/2024</t>
  </si>
  <si>
    <t>17/3/2024</t>
  </si>
  <si>
    <t>15/7/2024</t>
  </si>
  <si>
    <t>15/9/2024</t>
  </si>
  <si>
    <t>14/10/2024</t>
  </si>
  <si>
    <t>15/12/2024</t>
  </si>
  <si>
    <r>
      <t>14/3/202</t>
    </r>
    <r>
      <rPr>
        <strike/>
        <sz val="11"/>
        <color theme="1"/>
        <rFont val="Calibri"/>
        <family val="2"/>
        <scheme val="minor"/>
      </rPr>
      <t>5</t>
    </r>
  </si>
  <si>
    <t>13/5/2025</t>
  </si>
  <si>
    <t>13/12/2025</t>
  </si>
  <si>
    <t>13//1/2026</t>
  </si>
  <si>
    <t>15/2/2026</t>
  </si>
  <si>
    <t>Plot No : 6013 -C</t>
  </si>
  <si>
    <t>15/3/2026</t>
  </si>
  <si>
    <t>Cost : 925,000</t>
  </si>
  <si>
    <t>16/3/2026</t>
  </si>
  <si>
    <t>Contact # 03336492391</t>
  </si>
  <si>
    <t>Name : Muhammad Rehman</t>
  </si>
  <si>
    <t>Contact # 03113216737</t>
  </si>
  <si>
    <t>CNIC #</t>
  </si>
  <si>
    <t>Plot No : 6021</t>
  </si>
  <si>
    <t>Cost :700,000</t>
  </si>
  <si>
    <t>17/6/2023</t>
  </si>
  <si>
    <t>15/8/2023</t>
  </si>
  <si>
    <t>Token site</t>
  </si>
  <si>
    <t>13/1/2025</t>
  </si>
  <si>
    <t>15/3/2025</t>
  </si>
  <si>
    <t>15/4/2025</t>
  </si>
  <si>
    <t>16/6/2025</t>
  </si>
  <si>
    <t>13/10/2025</t>
  </si>
  <si>
    <t>26/1/2026</t>
  </si>
  <si>
    <t>16/2/2026</t>
  </si>
  <si>
    <t>18/3/2026</t>
  </si>
  <si>
    <t>15/4/2024</t>
  </si>
  <si>
    <t>Name : Arsalan</t>
  </si>
  <si>
    <t>Father Name : Dilshad Ahmed</t>
  </si>
  <si>
    <t>CNIC #42401-9510813-1</t>
  </si>
  <si>
    <t>Contact # 03092337948</t>
  </si>
  <si>
    <t>Plot No : 6095</t>
  </si>
  <si>
    <t>Cost :600,0000</t>
  </si>
  <si>
    <t>15/10/2023</t>
  </si>
  <si>
    <t>18/7/2024</t>
  </si>
  <si>
    <t>22/8/2024</t>
  </si>
  <si>
    <t>22/9/2024</t>
  </si>
  <si>
    <t>22/10/2024</t>
  </si>
  <si>
    <t>19/11/2024</t>
  </si>
  <si>
    <t>18/12/2024</t>
  </si>
  <si>
    <t>22/1/2025</t>
  </si>
  <si>
    <t>26/8/2025</t>
  </si>
  <si>
    <t>16/12/2025</t>
  </si>
  <si>
    <t>24/1/2026</t>
  </si>
  <si>
    <t>20/2/2026</t>
  </si>
  <si>
    <t xml:space="preserve">Name : Sadaqat </t>
  </si>
  <si>
    <t>Father Name : Muhammad Shoukat Ali</t>
  </si>
  <si>
    <t>CNIC #42401-8014023</t>
  </si>
  <si>
    <t>Contact # 03147522453</t>
  </si>
  <si>
    <t>Plot No : 6003</t>
  </si>
  <si>
    <t>Code num;CMG2241523</t>
  </si>
  <si>
    <t>26/3/2026</t>
  </si>
  <si>
    <t>Name : Riyafat</t>
  </si>
  <si>
    <t>CNIC #42301-6894569-9</t>
  </si>
  <si>
    <t>Contact # 03441295016</t>
  </si>
  <si>
    <t>Plot No : 6002</t>
  </si>
  <si>
    <t>Code num;AHE5689852</t>
  </si>
  <si>
    <t>Name : Abdul Qayyum</t>
  </si>
  <si>
    <t>Father Name : Muhammad Yousuf</t>
  </si>
  <si>
    <t>CNIC #42401-3148619-7</t>
  </si>
  <si>
    <t>Contact # 03422450732</t>
  </si>
  <si>
    <t>Plot No : 6073</t>
  </si>
  <si>
    <t>Cost :525,000</t>
  </si>
  <si>
    <t>24/12/2022</t>
  </si>
  <si>
    <t>20/3/2023</t>
  </si>
  <si>
    <t>21/7/2023</t>
  </si>
  <si>
    <t>21/8/2023</t>
  </si>
  <si>
    <t>25/9/2023</t>
  </si>
  <si>
    <t>21/11/2023</t>
  </si>
  <si>
    <t>21/12/2023</t>
  </si>
  <si>
    <t>24/3/2024</t>
  </si>
  <si>
    <t>26/4/2024</t>
  </si>
  <si>
    <t>22/5/2024</t>
  </si>
  <si>
    <t>25/6/2024</t>
  </si>
  <si>
    <t>21/8/2024</t>
  </si>
  <si>
    <t>29/9/2024</t>
  </si>
  <si>
    <t>26/10/2024</t>
  </si>
  <si>
    <t>25/12/2024</t>
  </si>
  <si>
    <t>30/1/2025</t>
  </si>
  <si>
    <t>31/7/2025</t>
  </si>
  <si>
    <t>28/8/2025</t>
  </si>
  <si>
    <t>29/9/2025</t>
  </si>
  <si>
    <t>27/10/2025</t>
  </si>
  <si>
    <t>29/12/2025</t>
  </si>
  <si>
    <t>27/1/2026</t>
  </si>
  <si>
    <t>Code num;AWU0012626</t>
  </si>
  <si>
    <t>30/3/2026</t>
  </si>
  <si>
    <t>Plot No : L-6013-E</t>
  </si>
  <si>
    <t>Code Num;CPK7068338</t>
  </si>
  <si>
    <t>Code Num;BEQ3418051</t>
  </si>
  <si>
    <t>Plot No : L-6013-G</t>
  </si>
  <si>
    <t>Name : Muhammad Ajmal</t>
  </si>
  <si>
    <t>Father Name : Mubarak Shah</t>
  </si>
  <si>
    <t>CNIC #42401-1838673-3</t>
  </si>
  <si>
    <t>Plot No : 6046</t>
  </si>
  <si>
    <t>Code num;CRS6034632</t>
  </si>
  <si>
    <t>31/7/2022</t>
  </si>
  <si>
    <t>20/9/2022</t>
  </si>
  <si>
    <t>27/11/2022</t>
  </si>
  <si>
    <t>Nill</t>
  </si>
  <si>
    <t>DEVELOPMENT FULL PAID 120,000</t>
  </si>
  <si>
    <t>INSTALLMENT AND DEVELOPMENT BOTH CLEAR</t>
  </si>
  <si>
    <t>Code num;CKN3538818</t>
  </si>
  <si>
    <t>Plot No : 6099</t>
  </si>
  <si>
    <t>Name : Zahid Ali</t>
  </si>
  <si>
    <t>Father Name : Ishrat Ahmed</t>
  </si>
  <si>
    <t>CNIC #31034-3700653-9</t>
  </si>
  <si>
    <t>Contact # 03406342704</t>
  </si>
  <si>
    <t>Code Num;CCU5948776</t>
  </si>
  <si>
    <t>Name :Faqir Hussain</t>
  </si>
  <si>
    <t>CNIC #42401-0539560-7</t>
  </si>
  <si>
    <t>Plot No : 6047</t>
  </si>
  <si>
    <t>27/1/2023</t>
  </si>
  <si>
    <t>installment</t>
  </si>
  <si>
    <t>19/1/2024</t>
  </si>
  <si>
    <t>NILL</t>
  </si>
  <si>
    <t>DEVELOPMENT CONTINUE</t>
  </si>
  <si>
    <t>Name : Noor Jahan</t>
  </si>
  <si>
    <t>Father Name : javed</t>
  </si>
  <si>
    <t>CNIC #42401-1672636-0</t>
  </si>
  <si>
    <t>Contact # 03218756422</t>
  </si>
  <si>
    <t>THIS FILE IS TRANSFERRED TO</t>
  </si>
  <si>
    <t>DETAIL OF TRANSFERRED</t>
  </si>
  <si>
    <t>Name : Bilal Ali</t>
  </si>
  <si>
    <t>Father Name : Muhammad Yameen</t>
  </si>
  <si>
    <t>CNIC #45402-2362374-1</t>
  </si>
  <si>
    <t>Contact # 03132776722</t>
  </si>
  <si>
    <t>Plot No : 6098</t>
  </si>
  <si>
    <t>13/10/2024</t>
  </si>
  <si>
    <t>17/11/2024</t>
  </si>
  <si>
    <t>17/8/2025</t>
  </si>
  <si>
    <t xml:space="preserve">INSTALLMENT CLEAR </t>
  </si>
  <si>
    <t>Name : Zameer Ahmed</t>
  </si>
  <si>
    <t>Father Name : Zahoor Ali</t>
  </si>
  <si>
    <t>CNIC #42000-0528756-7</t>
  </si>
  <si>
    <t>Contact;033312344688</t>
  </si>
  <si>
    <t>Plot No : 6077</t>
  </si>
  <si>
    <t>Cost :350,000</t>
  </si>
  <si>
    <t>Code num;CDM1062054</t>
  </si>
  <si>
    <t>Adj Amu paid</t>
  </si>
  <si>
    <t>to al rehman</t>
  </si>
  <si>
    <t>builders</t>
  </si>
  <si>
    <t>19/3/2026</t>
  </si>
  <si>
    <t>19/4/2026</t>
  </si>
  <si>
    <t>Code Num;CQU1399294</t>
  </si>
  <si>
    <t>20/4/2026</t>
  </si>
  <si>
    <t>Father Name : Adnan Ahmed</t>
  </si>
  <si>
    <t>CNIC #41307-0235867-4</t>
  </si>
  <si>
    <t>Contact;03128299229</t>
  </si>
  <si>
    <t>Plot No : 6005</t>
  </si>
  <si>
    <t>Cost :430,000</t>
  </si>
  <si>
    <t>Code num;CHR4835183</t>
  </si>
  <si>
    <t>30/10/2022</t>
  </si>
  <si>
    <t>29/4/2023</t>
  </si>
  <si>
    <t>14/11/2023</t>
  </si>
  <si>
    <t>28/12/2023</t>
  </si>
  <si>
    <t>17/8/2024</t>
  </si>
  <si>
    <t>14/9/2024</t>
  </si>
  <si>
    <t>19/2/2025</t>
  </si>
  <si>
    <t>24/12/2025</t>
  </si>
  <si>
    <t xml:space="preserve">development </t>
  </si>
  <si>
    <t>INSTALLMNET AND DEVELOPMENT BOTH CLEAR</t>
  </si>
  <si>
    <t>Name :Arsalan</t>
  </si>
  <si>
    <t>Contact;03092337948</t>
  </si>
  <si>
    <t>Plot No : 6096</t>
  </si>
  <si>
    <t>Cost :600,000</t>
  </si>
  <si>
    <t>13/2/2026</t>
  </si>
  <si>
    <t xml:space="preserve">Booking </t>
  </si>
  <si>
    <t>development</t>
  </si>
  <si>
    <t>nill</t>
  </si>
  <si>
    <t>installment and development both clear</t>
  </si>
  <si>
    <t>Code num;BWP4360248</t>
  </si>
  <si>
    <t>Name :Fatima Siddique</t>
  </si>
  <si>
    <t>Father Name : M.Shareef</t>
  </si>
  <si>
    <t>CNIC #42401-2320029-4</t>
  </si>
  <si>
    <t>Contact;03332341899</t>
  </si>
  <si>
    <t>Plot No : 6076</t>
  </si>
  <si>
    <t>Code num;CNQ7523095</t>
  </si>
  <si>
    <t>29/1/2024</t>
  </si>
  <si>
    <t>28/4/2024</t>
  </si>
  <si>
    <t>Name ;Safa Kousar</t>
  </si>
  <si>
    <t xml:space="preserve">Father Name : </t>
  </si>
  <si>
    <t>Code num;BFS8997886</t>
  </si>
  <si>
    <t>Plot No : 6041</t>
  </si>
  <si>
    <t>Cost :500,000</t>
  </si>
  <si>
    <t>Contact;</t>
  </si>
  <si>
    <t>19/12/2022</t>
  </si>
  <si>
    <t>Name :Shabbir</t>
  </si>
  <si>
    <t>Father Name : M.Yaqoob</t>
  </si>
  <si>
    <t>CNIC #42401-5646661-7</t>
  </si>
  <si>
    <t>Code num;</t>
  </si>
  <si>
    <t>Contact # 03218932944</t>
  </si>
  <si>
    <t>Plot No : 6062</t>
  </si>
  <si>
    <t>22/3/2023</t>
  </si>
  <si>
    <t>13/5/2023</t>
  </si>
  <si>
    <t>26/9/2023</t>
  </si>
  <si>
    <t>25/10/2024</t>
  </si>
  <si>
    <t>25/1/2024</t>
  </si>
  <si>
    <t>16/5/2024</t>
  </si>
  <si>
    <t>23/5/2024</t>
  </si>
  <si>
    <t>16/11/2024</t>
  </si>
  <si>
    <t>23/2/2025</t>
  </si>
  <si>
    <t>27/4/2025</t>
  </si>
  <si>
    <t>28/9/2025</t>
  </si>
  <si>
    <t>26/4/2026</t>
  </si>
  <si>
    <t>Adjustment</t>
  </si>
  <si>
    <t>Instalmnt</t>
  </si>
  <si>
    <t>Code Num;CUB4141400</t>
  </si>
  <si>
    <t>Name : Sajid Hussain</t>
  </si>
  <si>
    <t>Father Name : Zahir Shah</t>
  </si>
  <si>
    <t>CNIC #42401-4169612-3</t>
  </si>
  <si>
    <t>Plot No : 6090</t>
  </si>
  <si>
    <t>Cost :370,000</t>
  </si>
  <si>
    <t>15/8/2022</t>
  </si>
  <si>
    <t>23/10/2022</t>
  </si>
  <si>
    <t>27/5/2023</t>
  </si>
  <si>
    <t>u</t>
  </si>
  <si>
    <t>Name : Muhammad Yousuf</t>
  </si>
  <si>
    <t>Father Name : Abu Al Hassan</t>
  </si>
  <si>
    <t>CNIC # 42000-0536039-3</t>
  </si>
  <si>
    <t>Plot No : L-6020</t>
  </si>
  <si>
    <t>Name : Enson Stephen</t>
  </si>
  <si>
    <t>Father Name : George Stephon</t>
  </si>
  <si>
    <t>CNIC;42401-9704107-5</t>
  </si>
  <si>
    <t>Cost :470,000</t>
  </si>
  <si>
    <t>Cost : 470,000</t>
  </si>
  <si>
    <t>ALL AMOUNT GIVEN TO AL REHMAN BUILDER</t>
  </si>
  <si>
    <t>ADJUSTMENT</t>
  </si>
  <si>
    <t>23/2/2026</t>
  </si>
  <si>
    <t>Devlpmt</t>
  </si>
  <si>
    <t>CODE Num;AYN5683922</t>
  </si>
  <si>
    <t>Code Num;BVN8649822</t>
  </si>
  <si>
    <t>13/4/2026</t>
  </si>
  <si>
    <t>Code Num;CAN0414384</t>
  </si>
  <si>
    <t>Name : M. Naeem</t>
  </si>
  <si>
    <t>Father Name : M.Saleem</t>
  </si>
  <si>
    <t>CNIC #42401-1683281-9</t>
  </si>
  <si>
    <t>Contact # 03158490938</t>
  </si>
  <si>
    <t>Plot No : 6091</t>
  </si>
  <si>
    <t>Detail of Transferred</t>
  </si>
  <si>
    <t>Name : Muhammad Jameel</t>
  </si>
  <si>
    <t>Father Name : Muhammad Rafeeq</t>
  </si>
  <si>
    <t>CNIC #42201-0519082-5</t>
  </si>
  <si>
    <t>Contact # 03172227366</t>
  </si>
  <si>
    <t>Cost :480,000</t>
  </si>
  <si>
    <t>27/8/2022</t>
  </si>
  <si>
    <t>Adjustmnt</t>
  </si>
  <si>
    <t>All AMOUNT GIVEN TO AL REHMAN BUILDER</t>
  </si>
  <si>
    <t>Code Num;CCG1923470</t>
  </si>
  <si>
    <t>Code Num;CGN4213067</t>
  </si>
  <si>
    <t>Code num;BHD7408441</t>
  </si>
  <si>
    <t>Code Num;CDG5515050</t>
  </si>
  <si>
    <t>Code Num;BBT5114976</t>
  </si>
  <si>
    <t>Code Num;CAJ0507326</t>
  </si>
  <si>
    <t>Code Num;BJZ1116505</t>
  </si>
  <si>
    <t>27/3/2026</t>
  </si>
  <si>
    <t>60 thousand discount</t>
  </si>
  <si>
    <t>PLOT CANCEL KR DYA GYA HAI RESALE KA BD PAYMENT KR DY GY</t>
  </si>
  <si>
    <t>Name : MRS Shameem Akhter</t>
  </si>
  <si>
    <t>Name :Muhammad Bilal</t>
  </si>
  <si>
    <t>CNIC # 42101-31226719</t>
  </si>
  <si>
    <t>Contact # 03009200970</t>
  </si>
  <si>
    <t>Plot No : 6036</t>
  </si>
  <si>
    <t>Cost :400,000</t>
  </si>
  <si>
    <t>Code Num;CCX3112033</t>
  </si>
  <si>
    <t>14/9/2022</t>
  </si>
  <si>
    <t>26/6/2023</t>
  </si>
  <si>
    <t>19/7/2023</t>
  </si>
  <si>
    <t>20/9/2023</t>
  </si>
  <si>
    <t>13/5/2026</t>
  </si>
  <si>
    <t>Dvelopment</t>
  </si>
  <si>
    <t>FULL PAID</t>
  </si>
  <si>
    <t>Plot No : 6035</t>
  </si>
  <si>
    <t>Code Num;BTD2194961</t>
  </si>
  <si>
    <t>18/10/2023</t>
  </si>
  <si>
    <t>Adj Rehmaan</t>
  </si>
  <si>
    <t>Code num;CTE8241875</t>
  </si>
  <si>
    <t>Code Num;</t>
  </si>
  <si>
    <t>Name : Haq Nawaz Sheraz</t>
  </si>
  <si>
    <t>Father Name : Ghulam Sarwar</t>
  </si>
  <si>
    <t>CNIC #31303-9902384-9</t>
  </si>
  <si>
    <t>Plot No : 6023</t>
  </si>
  <si>
    <t>24/9/2022</t>
  </si>
  <si>
    <t xml:space="preserve">Token </t>
  </si>
  <si>
    <t>Sobho</t>
  </si>
  <si>
    <t>27/1/22025</t>
  </si>
  <si>
    <t>25/3/2026</t>
  </si>
  <si>
    <t>Name :Rukhsana Aleem</t>
  </si>
  <si>
    <t>Father Name : Aleem uddin</t>
  </si>
  <si>
    <t>CNIC #42302-7243981-8</t>
  </si>
  <si>
    <t>Contact # 03092959233</t>
  </si>
  <si>
    <t>Plot No : 6050</t>
  </si>
  <si>
    <t>Cost :435,000</t>
  </si>
  <si>
    <t>Code num;CQP1871941</t>
  </si>
  <si>
    <t>24/11/2020</t>
  </si>
  <si>
    <t>14/3/2023</t>
  </si>
  <si>
    <t>15/6/2023</t>
  </si>
  <si>
    <t>ADJ REMAN</t>
  </si>
  <si>
    <t>Plot No : 6051</t>
  </si>
  <si>
    <t>Code num;CPK5487858</t>
  </si>
  <si>
    <t>PLOT NUMBER CHNGE HOGH</t>
  </si>
  <si>
    <t>Name : Muhammad Rafiq</t>
  </si>
  <si>
    <t>Father Name : Muhammad Khalil-Ur- Rehman</t>
  </si>
  <si>
    <t>CNIC #42201-0402488-9</t>
  </si>
  <si>
    <t>Plot No : 6001</t>
  </si>
  <si>
    <t>Cost; 450,000</t>
  </si>
  <si>
    <t>Code num;CVT0466852</t>
  </si>
  <si>
    <t>26/8/2022</t>
  </si>
  <si>
    <t>14/11/2022</t>
  </si>
  <si>
    <t>18/1/2023</t>
  </si>
  <si>
    <t>19/3/2023</t>
  </si>
  <si>
    <t>25/4/2023</t>
  </si>
  <si>
    <t>21/5/2023</t>
  </si>
  <si>
    <t>28/6/2023</t>
  </si>
  <si>
    <t>31/7/2023</t>
  </si>
  <si>
    <t>27/8/2023</t>
  </si>
  <si>
    <t>26/10/2023</t>
  </si>
  <si>
    <t xml:space="preserve">Instalment </t>
  </si>
  <si>
    <t>25/11/2023</t>
  </si>
  <si>
    <t>21/1/2024</t>
  </si>
  <si>
    <t>21/2/2024</t>
  </si>
  <si>
    <t>21/4/2024</t>
  </si>
  <si>
    <r>
      <t>21/</t>
    </r>
    <r>
      <rPr>
        <strike/>
        <sz val="11"/>
        <color theme="1"/>
        <rFont val="Calibri"/>
        <family val="2"/>
        <scheme val="minor"/>
      </rPr>
      <t>5/2024</t>
    </r>
  </si>
  <si>
    <t>21/6/2024</t>
  </si>
  <si>
    <t>22/7/2024</t>
  </si>
  <si>
    <t>24/8/2024</t>
  </si>
  <si>
    <t>21/11/2024</t>
  </si>
  <si>
    <t>20/12/2024</t>
  </si>
  <si>
    <t>21/2/2025</t>
  </si>
  <si>
    <t>22/3/2025</t>
  </si>
  <si>
    <t>21/4/2025</t>
  </si>
  <si>
    <t>Father Name : Sakawat ALI</t>
  </si>
  <si>
    <t>16/5/2026 KO POSSION ORDER DIYA HA BOUNDRI KRWAYE GY</t>
  </si>
  <si>
    <t>16/5/2026 KO POSSION ORDER LIYA SIRF BOUNDRI KARWAYE GY</t>
  </si>
  <si>
    <t>BY MISTAKE</t>
  </si>
  <si>
    <t>17/5/2026</t>
  </si>
  <si>
    <t>INSTALLMENT AND DEVELOPMENT BOTH CLLEAR</t>
  </si>
  <si>
    <t>Code num;CMG4750674</t>
  </si>
  <si>
    <t>NAME:</t>
  </si>
  <si>
    <t>F\NAME</t>
  </si>
  <si>
    <t>CNIC:</t>
  </si>
  <si>
    <t>CONTACT:</t>
  </si>
  <si>
    <t>PLOT NO:</t>
  </si>
  <si>
    <t>FAISAL</t>
  </si>
  <si>
    <t>IQBAL YOUSAF</t>
  </si>
  <si>
    <t>42301-5124645-3</t>
  </si>
  <si>
    <t>0335-8236730</t>
  </si>
  <si>
    <t>CODE NO:</t>
  </si>
  <si>
    <t>CJE7149138</t>
  </si>
  <si>
    <t>21\08\022</t>
  </si>
  <si>
    <t>02\10\022</t>
  </si>
  <si>
    <t>26\11\022</t>
  </si>
  <si>
    <t>09\03\023</t>
  </si>
  <si>
    <t>14\05\023</t>
  </si>
  <si>
    <t>21\07\023</t>
  </si>
  <si>
    <t>28\08\023</t>
  </si>
  <si>
    <t>15\10\023</t>
  </si>
  <si>
    <t>15\11\023</t>
  </si>
  <si>
    <t>17\12\023</t>
  </si>
  <si>
    <t>18\01\024</t>
  </si>
  <si>
    <t>13\2\024</t>
  </si>
  <si>
    <t>20\03\024</t>
  </si>
  <si>
    <t>21\04\024</t>
  </si>
  <si>
    <t>19\05\024</t>
  </si>
  <si>
    <t>09\07\024</t>
  </si>
  <si>
    <t>14\08\024</t>
  </si>
  <si>
    <t>05\10\024</t>
  </si>
  <si>
    <t>10\11\024</t>
  </si>
  <si>
    <t>15\12\024</t>
  </si>
  <si>
    <t>05\11\024</t>
  </si>
  <si>
    <t>16\01\025</t>
  </si>
  <si>
    <t>20\04\025</t>
  </si>
  <si>
    <t>19\05\025</t>
  </si>
  <si>
    <t>20\07\025</t>
  </si>
  <si>
    <t>17\08\025</t>
  </si>
  <si>
    <t>INSTALLMENT</t>
  </si>
  <si>
    <t>SOBHO INSTALLMENT</t>
  </si>
  <si>
    <t>INSTALLMENT REHMAN</t>
  </si>
  <si>
    <t>INSTALLMENT ONLINE</t>
  </si>
  <si>
    <t>NIL</t>
  </si>
  <si>
    <t>F\NAME:</t>
  </si>
  <si>
    <t>CONTACT NO:</t>
  </si>
  <si>
    <t>BIBI ASIA</t>
  </si>
  <si>
    <t>ABDUL KHALIQ</t>
  </si>
  <si>
    <t>42401-177438-9</t>
  </si>
  <si>
    <t>CNIC NO:</t>
  </si>
  <si>
    <t>CODE :</t>
  </si>
  <si>
    <t>ROBINA</t>
  </si>
  <si>
    <t>PEER MUHAMMAD</t>
  </si>
  <si>
    <t>0321-2047191</t>
  </si>
  <si>
    <t>42401-0273807-0</t>
  </si>
  <si>
    <t>CMD7803060</t>
  </si>
  <si>
    <t>6\11\20</t>
  </si>
  <si>
    <t>15\3\23</t>
  </si>
  <si>
    <t>15\4\23</t>
  </si>
  <si>
    <t>17\5\23</t>
  </si>
  <si>
    <t>17\6\23</t>
  </si>
  <si>
    <t>13\7\23</t>
  </si>
  <si>
    <t>15\8\23</t>
  </si>
  <si>
    <t>12\9\23</t>
  </si>
  <si>
    <t>12\10\23</t>
  </si>
  <si>
    <t>13\11\23</t>
  </si>
  <si>
    <t>12\12\23</t>
  </si>
  <si>
    <t>adjustment</t>
  </si>
  <si>
    <t>11\1\24</t>
  </si>
  <si>
    <t>10\2\24</t>
  </si>
  <si>
    <t>12\3\24</t>
  </si>
  <si>
    <t>18\2\24</t>
  </si>
  <si>
    <t>13\5\24</t>
  </si>
  <si>
    <t>13\6\24</t>
  </si>
  <si>
    <t>1\7\24</t>
  </si>
  <si>
    <t>12\8\24</t>
  </si>
  <si>
    <t>12\9\24</t>
  </si>
  <si>
    <t>16\10\24</t>
  </si>
  <si>
    <t>12\11\24</t>
  </si>
  <si>
    <t>14\12\24</t>
  </si>
  <si>
    <t>nil</t>
  </si>
  <si>
    <t>CODE:</t>
  </si>
  <si>
    <t>KHAN</t>
  </si>
  <si>
    <t>AMIR MUHAMMAD</t>
  </si>
  <si>
    <t>0317-4743264</t>
  </si>
  <si>
    <t>BNQ4793588</t>
  </si>
  <si>
    <t>9\1\23</t>
  </si>
  <si>
    <t>20\3\23</t>
  </si>
  <si>
    <t>3\5\23</t>
  </si>
  <si>
    <t>3\6\23</t>
  </si>
  <si>
    <t>16\7\23</t>
  </si>
  <si>
    <t>16\8\23</t>
  </si>
  <si>
    <t>18\9\23</t>
  </si>
  <si>
    <t>28\10\23</t>
  </si>
  <si>
    <t>1\12\23</t>
  </si>
  <si>
    <t>28\12\23</t>
  </si>
  <si>
    <t>28\1\24</t>
  </si>
  <si>
    <t>2\3\24</t>
  </si>
  <si>
    <t>7\4\24</t>
  </si>
  <si>
    <t>11\5\24</t>
  </si>
  <si>
    <t>23\6\24</t>
  </si>
  <si>
    <t>29\7\24</t>
  </si>
  <si>
    <t>30\8\24</t>
  </si>
  <si>
    <t>31\10\24</t>
  </si>
  <si>
    <t>3\12\24</t>
  </si>
  <si>
    <t>27\12\24</t>
  </si>
  <si>
    <t>27\2\25</t>
  </si>
  <si>
    <t>11\4\25</t>
  </si>
  <si>
    <t>4\8\26</t>
  </si>
  <si>
    <t>31\8\26</t>
  </si>
  <si>
    <t>26\4\26</t>
  </si>
  <si>
    <t>22\5\26</t>
  </si>
  <si>
    <t>REHMAN ADJUT</t>
  </si>
  <si>
    <t>8\6\026</t>
  </si>
  <si>
    <t>7\6\26</t>
  </si>
  <si>
    <t>4\6\26</t>
  </si>
  <si>
    <t>CPK3358067</t>
  </si>
  <si>
    <t>11\6\26</t>
  </si>
  <si>
    <t>AVE7803391</t>
  </si>
  <si>
    <t>11\6\026</t>
  </si>
  <si>
    <t>ONTACT NO:</t>
  </si>
  <si>
    <t xml:space="preserve">PLOT </t>
  </si>
  <si>
    <t>20\10\20</t>
  </si>
  <si>
    <t>22\5\23</t>
  </si>
  <si>
    <t>22\9\23</t>
  </si>
  <si>
    <t>30\12\23</t>
  </si>
  <si>
    <t>4\5\24</t>
  </si>
  <si>
    <t>6\7\24</t>
  </si>
  <si>
    <t>13\8\24</t>
  </si>
  <si>
    <t>11\9\24</t>
  </si>
  <si>
    <t>12\10\24</t>
  </si>
  <si>
    <t>9\12\24</t>
  </si>
  <si>
    <t>23\1\25</t>
  </si>
  <si>
    <t>10\2\25</t>
  </si>
  <si>
    <t>14\11\25</t>
  </si>
  <si>
    <t>8\12\25</t>
  </si>
  <si>
    <t>3\4\26</t>
  </si>
  <si>
    <t>11\2\26</t>
  </si>
  <si>
    <t>13\6\26</t>
  </si>
  <si>
    <t>REHMAN ADJUSMENT</t>
  </si>
  <si>
    <t>MUHAMMAD ZAKI</t>
  </si>
  <si>
    <t>SAMIULLAH</t>
  </si>
  <si>
    <t>0333-3610952</t>
  </si>
  <si>
    <t>42301-4591661-5</t>
  </si>
  <si>
    <t>CMX3812235</t>
  </si>
  <si>
    <t>CVH1905569</t>
  </si>
  <si>
    <t>17\8\23</t>
  </si>
  <si>
    <t>17\9\23</t>
  </si>
  <si>
    <t>22\11\23</t>
  </si>
  <si>
    <t>14\4\25</t>
  </si>
  <si>
    <t>REHMAN ADJUSTMENT</t>
  </si>
  <si>
    <t>AMI ULLAH KHAN</t>
  </si>
  <si>
    <t>CEN7770807</t>
  </si>
  <si>
    <t>9\12\23</t>
  </si>
  <si>
    <t>SAMI ULLAH</t>
  </si>
  <si>
    <t>CUX3291810</t>
  </si>
  <si>
    <t>5\5\26</t>
  </si>
  <si>
    <t>30\5\26</t>
  </si>
  <si>
    <t>BOOKING</t>
  </si>
  <si>
    <t>ABDUL MATEEN KHAN</t>
  </si>
  <si>
    <t>ABDUL MUDEEN KHAN</t>
  </si>
  <si>
    <t>0334-0261865</t>
  </si>
  <si>
    <t>54400-7155905-7</t>
  </si>
  <si>
    <t>CJS8465939</t>
  </si>
  <si>
    <t>15\6\26</t>
  </si>
  <si>
    <t>DEVELOPMENT</t>
  </si>
  <si>
    <t>16\6\26</t>
  </si>
  <si>
    <t>17\6\26</t>
  </si>
  <si>
    <t>19\6\26</t>
  </si>
  <si>
    <t>11\3\26</t>
  </si>
  <si>
    <t>10\5\26</t>
  </si>
  <si>
    <t>5\7\026</t>
  </si>
  <si>
    <t>CJB4139172</t>
  </si>
  <si>
    <t>25\5\26</t>
  </si>
  <si>
    <t>5\7\26</t>
  </si>
  <si>
    <t>CKW6500051</t>
  </si>
  <si>
    <t>10\7\026</t>
  </si>
  <si>
    <t>11\7\26</t>
  </si>
  <si>
    <t>13\5\26</t>
  </si>
  <si>
    <t>14\7\26</t>
  </si>
  <si>
    <t>CRB2049504</t>
  </si>
  <si>
    <t>13\7\26</t>
  </si>
  <si>
    <t>17\7\26</t>
  </si>
  <si>
    <t>Code num;CGA3295193</t>
  </si>
  <si>
    <t>25\7\26</t>
  </si>
  <si>
    <t>27/7/26</t>
  </si>
  <si>
    <t>24/7/26</t>
  </si>
  <si>
    <t>24/7</t>
  </si>
  <si>
    <t>CWA3475332</t>
  </si>
  <si>
    <t xml:space="preserve">ZUBAIDA </t>
  </si>
  <si>
    <t>MUHAMMAD ZAMAN</t>
  </si>
  <si>
    <t>0316-1268257</t>
  </si>
  <si>
    <t>RES B</t>
  </si>
  <si>
    <t>5,00,000</t>
  </si>
  <si>
    <t>DEVELOPMENT NILL</t>
  </si>
  <si>
    <t>DEV</t>
  </si>
  <si>
    <t>COST# 5,00,000</t>
  </si>
  <si>
    <t>SHAHZAIB AURANGZAIB</t>
  </si>
  <si>
    <t>AURANZAUB</t>
  </si>
  <si>
    <t>0342-9447873</t>
  </si>
  <si>
    <t>CNIC:13503-520662-1</t>
  </si>
  <si>
    <t>TPTAL COST#700,000</t>
  </si>
  <si>
    <t>15/10/25</t>
  </si>
  <si>
    <t>15/8/26</t>
  </si>
  <si>
    <t>16/8/26</t>
  </si>
  <si>
    <t>21/12/25</t>
  </si>
  <si>
    <t>22/1/26</t>
  </si>
  <si>
    <t>17/2/26</t>
  </si>
  <si>
    <t>17/3/26</t>
  </si>
  <si>
    <t>15/4/26</t>
  </si>
  <si>
    <t>14/6/26</t>
  </si>
  <si>
    <t xml:space="preserve">DEVELOPMENT </t>
  </si>
  <si>
    <t>15/7/26</t>
  </si>
  <si>
    <t>22/6/25</t>
  </si>
  <si>
    <t>22/7/25</t>
  </si>
  <si>
    <t>23/8/25</t>
  </si>
  <si>
    <t>22/9/25</t>
  </si>
  <si>
    <t>21/10/25</t>
  </si>
  <si>
    <t>22/11/25</t>
  </si>
  <si>
    <t>22/12/25</t>
  </si>
  <si>
    <t>21/2/26</t>
  </si>
  <si>
    <t>24/3/26</t>
  </si>
  <si>
    <t xml:space="preserve">NILL </t>
  </si>
  <si>
    <t xml:space="preserve">SAJJAD AHMED </t>
  </si>
  <si>
    <t>CNIC:42401-9356970-7</t>
  </si>
  <si>
    <t>MUHAMMAD IQBAL</t>
  </si>
  <si>
    <t>CODE NO:CJB2469684</t>
  </si>
  <si>
    <t>15/1/26</t>
  </si>
  <si>
    <t>21/1/26</t>
  </si>
  <si>
    <t>BOOKINH</t>
  </si>
  <si>
    <t xml:space="preserve">INSTALLMENT </t>
  </si>
  <si>
    <t>20/8/26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</si>
</sst>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strike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6E3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0" xfId="0" applyFont="1"/>
    <xf numFmtId="14" fontId="0" fillId="0" borderId="1" xfId="0" applyNumberFormat="1" applyBorder="1"/>
    <xf numFmtId="0" fontId="0" fillId="0" borderId="1" xfId="0" applyBorder="1"/>
    <xf numFmtId="3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6" fillId="0" borderId="0" xfId="0" applyFont="1"/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3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4" fontId="0" fillId="0" borderId="0" xfId="0" applyNumberFormat="1"/>
    <xf numFmtId="0" fontId="0" fillId="0" borderId="4" xfId="0" applyBorder="1" applyAlignment="1">
      <alignment horizontal="center"/>
    </xf>
    <xf numFmtId="0" fontId="0" fillId="0" borderId="4" xfId="0" applyBorder="1"/>
    <xf numFmtId="0" fontId="8" fillId="0" borderId="0" xfId="0" applyFont="1"/>
    <xf numFmtId="17" fontId="0" fillId="0" borderId="1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3" fontId="0" fillId="0" borderId="0" xfId="0" applyNumberFormat="1"/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2" xfId="0" applyFon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8" xfId="0" applyNumberFormat="1" applyBorder="1"/>
    <xf numFmtId="0" fontId="0" fillId="0" borderId="9" xfId="0" applyBorder="1" applyAlignment="1">
      <alignment horizontal="center"/>
    </xf>
    <xf numFmtId="3" fontId="0" fillId="0" borderId="9" xfId="0" applyNumberFormat="1" applyBorder="1"/>
    <xf numFmtId="3" fontId="0" fillId="0" borderId="9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9" xfId="0" applyNumberFormat="1" applyBorder="1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/>
    </xf>
    <xf numFmtId="17" fontId="0" fillId="0" borderId="0" xfId="0" applyNumberFormat="1"/>
    <xf numFmtId="0" fontId="9" fillId="0" borderId="0" xfId="0" applyFont="1"/>
    <xf numFmtId="14" fontId="0" fillId="0" borderId="8" xfId="0" applyNumberFormat="1" applyBorder="1" applyAlignment="1">
      <alignment horizontal="center"/>
    </xf>
    <xf numFmtId="0" fontId="2" fillId="0" borderId="0" xfId="0" applyFont="1" applyAlignment="1">
      <alignment horizontal="left"/>
    </xf>
    <xf numFmtId="0" fontId="2" fillId="3" borderId="0" xfId="0" applyFont="1" applyFill="1"/>
    <xf numFmtId="0" fontId="0" fillId="3" borderId="0" xfId="0" applyFill="1"/>
    <xf numFmtId="0" fontId="10" fillId="3" borderId="0" xfId="0" applyFont="1" applyFill="1" applyAlignment="1">
      <alignment horizontal="left" vertical="center"/>
    </xf>
    <xf numFmtId="0" fontId="8" fillId="0" borderId="11" xfId="0" applyFont="1" applyBorder="1" applyAlignment="1">
      <alignment horizontal="left"/>
    </xf>
    <xf numFmtId="0" fontId="1" fillId="0" borderId="0" xfId="0" applyFont="1"/>
    <xf numFmtId="0" fontId="5" fillId="0" borderId="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3" fontId="8" fillId="0" borderId="0" xfId="0" applyNumberFormat="1" applyFont="1"/>
    <xf numFmtId="3" fontId="0" fillId="0" borderId="0" xfId="0" applyNumberFormat="1" applyAlignment="1">
      <alignment horizontal="center"/>
    </xf>
    <xf numFmtId="14" fontId="0" fillId="0" borderId="4" xfId="0" applyNumberFormat="1" applyBorder="1"/>
    <xf numFmtId="14" fontId="0" fillId="0" borderId="4" xfId="0" applyNumberFormat="1" applyBorder="1" applyAlignment="1">
      <alignment horizontal="center"/>
    </xf>
    <xf numFmtId="3" fontId="1" fillId="0" borderId="0" xfId="0" applyNumberFormat="1" applyFont="1"/>
    <xf numFmtId="0" fontId="0" fillId="0" borderId="9" xfId="0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0" fontId="0" fillId="0" borderId="9" xfId="0" applyBorder="1"/>
    <xf numFmtId="0" fontId="2" fillId="4" borderId="0" xfId="0" applyFont="1" applyFill="1"/>
    <xf numFmtId="14" fontId="2" fillId="0" borderId="0" xfId="0" applyNumberFormat="1" applyFont="1"/>
    <xf numFmtId="3" fontId="2" fillId="0" borderId="0" xfId="0" applyNumberFormat="1" applyFont="1"/>
    <xf numFmtId="0" fontId="2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19"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500119-1858-4E30-A20A-81B64CCB7ABB}" name="Table1" displayName="Table1" ref="A7:F43" totalsRowShown="0" headerRowDxfId="18" headerRowBorderDxfId="17" tableBorderDxfId="16" totalsRowBorderDxfId="15">
  <autoFilter ref="A7:F43" xr:uid="{D4500119-1858-4E30-A20A-81B64CCB7ABB}"/>
  <tableColumns count="6">
    <tableColumn id="1" xr3:uid="{FE857AF4-5B01-4F81-9CB3-2E07FA21DD07}" name="Date" dataDxfId="14"/>
    <tableColumn id="2" xr3:uid="{606B7441-D6CE-4500-BCC1-44884B6BE086}" name="R.NO" dataDxfId="13"/>
    <tableColumn id="3" xr3:uid="{6636DBC2-FD68-493D-8636-808D277EE3BB}" name="Description" dataDxfId="12"/>
    <tableColumn id="4" xr3:uid="{2ECBD462-D554-4084-9CFE-4197D1B4042E}" name="Amount Rec" dataDxfId="11"/>
    <tableColumn id="5" xr3:uid="{2DC93468-3A20-49A6-83A9-28C505619901}" name="Total Rec" dataDxfId="10">
      <calculatedColumnFormula>SUM(E7+D8)</calculatedColumnFormula>
    </tableColumn>
    <tableColumn id="6" xr3:uid="{FEB88071-1F07-454E-B169-8CC5255EDFDE}" name="Amount Due" dataDxfId="9">
      <calculatedColumnFormula>F7-D8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F44177-0126-4D99-9C58-CA70FD8330F4}" name="Table2" displayName="Table2" ref="A7:F49" totalsRowShown="0" headerRowDxfId="8" headerRowBorderDxfId="7" tableBorderDxfId="6">
  <autoFilter ref="A7:F49" xr:uid="{92F44177-0126-4D99-9C58-CA70FD8330F4}"/>
  <tableColumns count="6">
    <tableColumn id="1" xr3:uid="{DC5441F5-5D66-4FB1-B4F6-F75144A3826C}" name="Date" dataDxfId="5"/>
    <tableColumn id="2" xr3:uid="{9E549BFF-AD48-4EA6-8C15-7BE9D3933D0E}" name="R.NO" dataDxfId="4"/>
    <tableColumn id="3" xr3:uid="{BBE8DB06-505B-4A7A-8CA4-1B892A2A9283}" name="Description" dataDxfId="3"/>
    <tableColumn id="4" xr3:uid="{B053CDA2-751B-468C-A524-FD63BFD01F63}" name="Amount Rec" dataDxfId="2"/>
    <tableColumn id="5" xr3:uid="{A1D96728-DB4E-4DE4-964D-CA7CC1EF0217}" name="Total Rec" dataDxfId="1">
      <calculatedColumnFormula>SUM(E7+D8)</calculatedColumnFormula>
    </tableColumn>
    <tableColumn id="6" xr3:uid="{FDFB856F-FCF5-4D44-AAAF-A622FDF18451}" name="Amount Due" dataDxfId="0">
      <calculatedColumnFormula>F7-D8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5ACA5-A46E-4620-A689-50D46050E038}">
  <dimension ref="A1:F8"/>
  <sheetViews>
    <sheetView workbookViewId="0">
      <selection sqref="A1:G7"/>
    </sheetView>
  </sheetViews>
  <sheetFormatPr defaultRowHeight="14.5" x14ac:dyDescent="0.35"/>
  <sheetData>
    <row r="1" spans="1:6" ht="18.5" x14ac:dyDescent="0.45">
      <c r="A1" s="1" t="s">
        <v>334</v>
      </c>
      <c r="B1" s="1"/>
      <c r="C1" s="17"/>
      <c r="D1" s="1"/>
      <c r="E1" s="1"/>
      <c r="F1" s="1"/>
    </row>
    <row r="2" spans="1:6" ht="18.5" x14ac:dyDescent="0.45">
      <c r="A2" s="1" t="s">
        <v>328</v>
      </c>
      <c r="C2" s="1"/>
      <c r="D2" s="1"/>
      <c r="E2" s="1"/>
      <c r="F2" s="1"/>
    </row>
    <row r="3" spans="1:6" ht="18.5" x14ac:dyDescent="0.45">
      <c r="A3" s="1" t="s">
        <v>335</v>
      </c>
      <c r="B3" s="1"/>
      <c r="C3" s="1"/>
      <c r="D3" s="1"/>
      <c r="E3" s="1"/>
      <c r="F3" s="1"/>
    </row>
    <row r="4" spans="1:6" ht="18.5" x14ac:dyDescent="0.45">
      <c r="A4" s="1" t="s">
        <v>338</v>
      </c>
      <c r="B4" s="33"/>
      <c r="C4" s="1"/>
      <c r="D4" s="1"/>
      <c r="E4" s="1"/>
      <c r="F4" s="1"/>
    </row>
    <row r="5" spans="1:6" ht="18.5" x14ac:dyDescent="0.45">
      <c r="A5" s="1" t="s">
        <v>336</v>
      </c>
      <c r="B5" s="1"/>
      <c r="C5" s="1"/>
      <c r="D5" s="1"/>
      <c r="E5" s="1"/>
      <c r="F5" s="1"/>
    </row>
    <row r="6" spans="1:6" ht="18.5" x14ac:dyDescent="0.45">
      <c r="A6" s="1" t="s">
        <v>337</v>
      </c>
      <c r="B6" s="1"/>
      <c r="C6" s="1"/>
      <c r="D6" s="1" t="s">
        <v>296</v>
      </c>
      <c r="E6" s="1"/>
      <c r="F6" s="1"/>
    </row>
    <row r="7" spans="1:6" x14ac:dyDescent="0.35">
      <c r="A7" s="28" t="s">
        <v>3</v>
      </c>
      <c r="B7" s="29" t="s">
        <v>8</v>
      </c>
      <c r="C7" s="29" t="s">
        <v>4</v>
      </c>
      <c r="D7" s="29" t="s">
        <v>9</v>
      </c>
      <c r="E7" s="29" t="s">
        <v>10</v>
      </c>
      <c r="F7" s="29" t="s">
        <v>5</v>
      </c>
    </row>
    <row r="8" spans="1:6" x14ac:dyDescent="0.35">
      <c r="A8" t="s">
        <v>333</v>
      </c>
      <c r="B8">
        <v>13960</v>
      </c>
      <c r="C8" t="s">
        <v>57</v>
      </c>
      <c r="D8" s="36">
        <v>100000</v>
      </c>
      <c r="E8" s="36">
        <v>100000</v>
      </c>
      <c r="F8" s="36">
        <v>600000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4B9F2-45F5-4FBC-83B3-3E8178CF4B53}">
  <dimension ref="A1:H49"/>
  <sheetViews>
    <sheetView topLeftCell="A37" workbookViewId="0">
      <selection activeCell="F49" sqref="F49"/>
    </sheetView>
  </sheetViews>
  <sheetFormatPr defaultRowHeight="14.5" x14ac:dyDescent="0.35"/>
  <cols>
    <col min="1" max="1" width="9.81640625" customWidth="1"/>
    <col min="3" max="3" width="13.1796875" customWidth="1"/>
    <col min="6" max="6" width="11.81640625" customWidth="1"/>
  </cols>
  <sheetData>
    <row r="1" spans="1:6" ht="18.5" x14ac:dyDescent="0.45">
      <c r="A1" s="1" t="s">
        <v>583</v>
      </c>
      <c r="B1" s="1"/>
      <c r="C1" s="17"/>
      <c r="D1" s="1"/>
      <c r="E1" s="1"/>
      <c r="F1" s="1"/>
    </row>
    <row r="2" spans="1:6" ht="18.5" x14ac:dyDescent="0.45">
      <c r="A2" s="1" t="s">
        <v>584</v>
      </c>
      <c r="C2" s="1"/>
      <c r="D2" s="1"/>
      <c r="E2" s="1"/>
      <c r="F2" s="1"/>
    </row>
    <row r="3" spans="1:6" ht="18.5" x14ac:dyDescent="0.45">
      <c r="A3" s="1" t="s">
        <v>585</v>
      </c>
      <c r="B3" s="1"/>
      <c r="C3" s="1"/>
      <c r="D3" s="1"/>
      <c r="E3" s="1"/>
      <c r="F3" s="1"/>
    </row>
    <row r="4" spans="1:6" ht="18.5" x14ac:dyDescent="0.45">
      <c r="A4" s="1" t="s">
        <v>588</v>
      </c>
      <c r="B4" s="33"/>
      <c r="C4" s="1"/>
      <c r="D4" s="1"/>
      <c r="E4" s="1"/>
      <c r="F4" s="1"/>
    </row>
    <row r="5" spans="1:6" ht="18.5" x14ac:dyDescent="0.45">
      <c r="A5" s="1" t="s">
        <v>54</v>
      </c>
      <c r="B5" s="1"/>
      <c r="C5" s="1"/>
      <c r="D5" s="1"/>
      <c r="E5" s="1"/>
      <c r="F5" s="1"/>
    </row>
    <row r="6" spans="1:6" ht="18.5" x14ac:dyDescent="0.45">
      <c r="A6" s="1" t="s">
        <v>586</v>
      </c>
      <c r="B6" s="1"/>
      <c r="C6" s="1"/>
      <c r="D6" s="1" t="s">
        <v>587</v>
      </c>
      <c r="E6" s="1"/>
      <c r="F6" s="1"/>
    </row>
    <row r="7" spans="1:6" x14ac:dyDescent="0.35">
      <c r="A7" s="28" t="s">
        <v>3</v>
      </c>
      <c r="B7" s="29" t="s">
        <v>8</v>
      </c>
      <c r="C7" s="29" t="s">
        <v>4</v>
      </c>
      <c r="D7" s="29" t="s">
        <v>9</v>
      </c>
      <c r="E7" s="29" t="s">
        <v>10</v>
      </c>
      <c r="F7" s="29" t="s">
        <v>5</v>
      </c>
    </row>
    <row r="8" spans="1:6" x14ac:dyDescent="0.35">
      <c r="A8" t="s">
        <v>589</v>
      </c>
      <c r="B8">
        <v>1286</v>
      </c>
      <c r="C8" t="s">
        <v>599</v>
      </c>
      <c r="D8" s="36">
        <v>10000</v>
      </c>
      <c r="E8" s="36">
        <v>100000</v>
      </c>
      <c r="F8" s="36">
        <v>295000</v>
      </c>
    </row>
    <row r="9" spans="1:6" x14ac:dyDescent="0.35">
      <c r="A9" t="s">
        <v>590</v>
      </c>
      <c r="B9">
        <v>4</v>
      </c>
      <c r="C9" t="s">
        <v>11</v>
      </c>
      <c r="D9" s="36">
        <v>30000</v>
      </c>
      <c r="E9" s="36">
        <f>E8+D9</f>
        <v>130000</v>
      </c>
      <c r="F9" s="36">
        <f>F8-D9</f>
        <v>265000</v>
      </c>
    </row>
    <row r="10" spans="1:6" x14ac:dyDescent="0.35">
      <c r="A10" t="s">
        <v>591</v>
      </c>
      <c r="B10">
        <v>1888</v>
      </c>
      <c r="C10" t="s">
        <v>599</v>
      </c>
      <c r="D10" s="36">
        <v>10000</v>
      </c>
      <c r="E10" s="36">
        <f t="shared" ref="E10:E36" si="0">E9+D10</f>
        <v>140000</v>
      </c>
      <c r="F10" s="36">
        <f t="shared" ref="F10:F36" si="1">F9-D10</f>
        <v>255000</v>
      </c>
    </row>
    <row r="11" spans="1:6" x14ac:dyDescent="0.35">
      <c r="A11" t="s">
        <v>592</v>
      </c>
      <c r="B11">
        <v>5</v>
      </c>
      <c r="C11" t="s">
        <v>599</v>
      </c>
      <c r="D11" s="36">
        <v>10000</v>
      </c>
      <c r="E11" s="36">
        <f t="shared" si="0"/>
        <v>150000</v>
      </c>
      <c r="F11" s="36">
        <f t="shared" si="1"/>
        <v>245000</v>
      </c>
    </row>
    <row r="12" spans="1:6" x14ac:dyDescent="0.35">
      <c r="A12" t="s">
        <v>593</v>
      </c>
      <c r="B12">
        <v>5</v>
      </c>
      <c r="C12" t="s">
        <v>599</v>
      </c>
      <c r="D12" s="36">
        <v>10000</v>
      </c>
      <c r="E12" s="36">
        <f t="shared" si="0"/>
        <v>160000</v>
      </c>
      <c r="F12" s="36">
        <f t="shared" si="1"/>
        <v>235000</v>
      </c>
    </row>
    <row r="13" spans="1:6" x14ac:dyDescent="0.35">
      <c r="A13" t="s">
        <v>594</v>
      </c>
      <c r="B13">
        <v>632</v>
      </c>
      <c r="C13" t="s">
        <v>599</v>
      </c>
      <c r="D13" s="36">
        <v>10000</v>
      </c>
      <c r="E13" s="36">
        <f t="shared" si="0"/>
        <v>170000</v>
      </c>
      <c r="F13" s="36">
        <f t="shared" si="1"/>
        <v>225000</v>
      </c>
    </row>
    <row r="14" spans="1:6" x14ac:dyDescent="0.35">
      <c r="A14" t="s">
        <v>595</v>
      </c>
      <c r="B14">
        <v>2099</v>
      </c>
      <c r="C14" t="s">
        <v>599</v>
      </c>
      <c r="D14" s="36">
        <v>10000</v>
      </c>
      <c r="E14" s="36">
        <f t="shared" si="0"/>
        <v>180000</v>
      </c>
      <c r="F14" s="36">
        <f t="shared" si="1"/>
        <v>215000</v>
      </c>
    </row>
    <row r="15" spans="1:6" x14ac:dyDescent="0.35">
      <c r="A15" t="s">
        <v>596</v>
      </c>
      <c r="B15">
        <v>2574</v>
      </c>
      <c r="C15" t="s">
        <v>599</v>
      </c>
      <c r="D15" s="36">
        <v>10000</v>
      </c>
      <c r="E15" s="36">
        <f t="shared" si="0"/>
        <v>190000</v>
      </c>
      <c r="F15" s="36">
        <f t="shared" si="1"/>
        <v>205000</v>
      </c>
    </row>
    <row r="16" spans="1:6" x14ac:dyDescent="0.35">
      <c r="A16" t="s">
        <v>597</v>
      </c>
      <c r="B16">
        <v>3269</v>
      </c>
      <c r="C16" t="s">
        <v>599</v>
      </c>
      <c r="D16" s="36">
        <v>10000</v>
      </c>
      <c r="E16" s="36">
        <f t="shared" si="0"/>
        <v>200000</v>
      </c>
      <c r="F16" s="36">
        <f t="shared" si="1"/>
        <v>195000</v>
      </c>
    </row>
    <row r="17" spans="1:8" x14ac:dyDescent="0.35">
      <c r="A17" t="s">
        <v>477</v>
      </c>
      <c r="B17">
        <v>3749</v>
      </c>
      <c r="C17" t="s">
        <v>599</v>
      </c>
      <c r="D17" s="36">
        <v>10000</v>
      </c>
      <c r="E17" s="36">
        <f t="shared" si="0"/>
        <v>210000</v>
      </c>
      <c r="F17" s="36">
        <f t="shared" si="1"/>
        <v>185000</v>
      </c>
    </row>
    <row r="18" spans="1:8" x14ac:dyDescent="0.35">
      <c r="A18" t="s">
        <v>598</v>
      </c>
      <c r="B18">
        <v>4539</v>
      </c>
      <c r="C18" t="s">
        <v>599</v>
      </c>
      <c r="D18" s="36">
        <v>10000</v>
      </c>
      <c r="E18" s="36">
        <f t="shared" si="0"/>
        <v>220000</v>
      </c>
      <c r="F18" s="36">
        <f t="shared" si="1"/>
        <v>175000</v>
      </c>
    </row>
    <row r="19" spans="1:8" x14ac:dyDescent="0.35">
      <c r="A19" t="s">
        <v>600</v>
      </c>
      <c r="B19">
        <v>5125</v>
      </c>
      <c r="C19" t="s">
        <v>599</v>
      </c>
      <c r="D19" s="36">
        <v>10000</v>
      </c>
      <c r="E19" s="36">
        <f t="shared" si="0"/>
        <v>230000</v>
      </c>
      <c r="F19" s="36">
        <f t="shared" si="1"/>
        <v>165000</v>
      </c>
    </row>
    <row r="20" spans="1:8" x14ac:dyDescent="0.35">
      <c r="A20" t="s">
        <v>351</v>
      </c>
      <c r="B20">
        <v>5745</v>
      </c>
      <c r="C20" t="s">
        <v>599</v>
      </c>
      <c r="D20" s="36">
        <v>10000</v>
      </c>
      <c r="E20" s="36">
        <f t="shared" si="0"/>
        <v>240000</v>
      </c>
      <c r="F20" s="36">
        <f t="shared" si="1"/>
        <v>155000</v>
      </c>
    </row>
    <row r="21" spans="1:8" x14ac:dyDescent="0.35">
      <c r="A21" t="s">
        <v>601</v>
      </c>
      <c r="B21">
        <v>6748</v>
      </c>
      <c r="C21" t="s">
        <v>599</v>
      </c>
      <c r="D21" s="36">
        <v>10000</v>
      </c>
      <c r="E21" s="36">
        <f t="shared" si="0"/>
        <v>250000</v>
      </c>
      <c r="F21" s="36">
        <f t="shared" si="1"/>
        <v>145000</v>
      </c>
    </row>
    <row r="22" spans="1:8" x14ac:dyDescent="0.35">
      <c r="A22" t="s">
        <v>602</v>
      </c>
      <c r="B22">
        <v>6748</v>
      </c>
      <c r="C22" t="s">
        <v>599</v>
      </c>
      <c r="D22" s="36">
        <v>10000</v>
      </c>
      <c r="E22" s="36">
        <f t="shared" si="0"/>
        <v>260000</v>
      </c>
      <c r="F22" s="36">
        <f t="shared" si="1"/>
        <v>135000</v>
      </c>
    </row>
    <row r="23" spans="1:8" x14ac:dyDescent="0.35">
      <c r="A23" t="s">
        <v>191</v>
      </c>
      <c r="B23">
        <v>7561</v>
      </c>
      <c r="C23" t="s">
        <v>599</v>
      </c>
      <c r="D23" s="36">
        <v>10000</v>
      </c>
      <c r="E23" s="36">
        <f t="shared" si="0"/>
        <v>270000</v>
      </c>
      <c r="F23" s="36">
        <f t="shared" si="1"/>
        <v>125000</v>
      </c>
    </row>
    <row r="24" spans="1:8" x14ac:dyDescent="0.35">
      <c r="A24" t="s">
        <v>603</v>
      </c>
      <c r="B24">
        <v>8023</v>
      </c>
      <c r="C24" t="s">
        <v>599</v>
      </c>
      <c r="D24" s="36">
        <v>10000</v>
      </c>
      <c r="E24" s="36">
        <f t="shared" si="0"/>
        <v>280000</v>
      </c>
      <c r="F24" s="36">
        <f t="shared" si="1"/>
        <v>115000</v>
      </c>
    </row>
    <row r="25" spans="1:8" x14ac:dyDescent="0.35">
      <c r="A25" t="s">
        <v>604</v>
      </c>
      <c r="B25">
        <v>8667</v>
      </c>
      <c r="C25" t="s">
        <v>599</v>
      </c>
      <c r="D25" s="36">
        <v>10000</v>
      </c>
      <c r="E25" s="36">
        <f t="shared" si="0"/>
        <v>290000</v>
      </c>
      <c r="F25" s="36">
        <f t="shared" si="1"/>
        <v>105000</v>
      </c>
    </row>
    <row r="26" spans="1:8" x14ac:dyDescent="0.35">
      <c r="A26" t="s">
        <v>605</v>
      </c>
      <c r="B26">
        <v>9212</v>
      </c>
      <c r="C26" t="s">
        <v>599</v>
      </c>
      <c r="D26" s="36">
        <v>10000</v>
      </c>
      <c r="E26" s="36">
        <f t="shared" si="0"/>
        <v>300000</v>
      </c>
      <c r="F26" s="36">
        <f t="shared" si="1"/>
        <v>95000</v>
      </c>
    </row>
    <row r="27" spans="1:8" x14ac:dyDescent="0.35">
      <c r="A27" t="s">
        <v>606</v>
      </c>
      <c r="B27">
        <v>9743</v>
      </c>
      <c r="C27" t="s">
        <v>599</v>
      </c>
      <c r="D27" s="36">
        <v>10000</v>
      </c>
      <c r="E27" s="36">
        <f t="shared" si="0"/>
        <v>310000</v>
      </c>
      <c r="F27" s="36">
        <f t="shared" si="1"/>
        <v>85000</v>
      </c>
    </row>
    <row r="28" spans="1:8" x14ac:dyDescent="0.35">
      <c r="A28" t="s">
        <v>607</v>
      </c>
      <c r="B28">
        <v>11295</v>
      </c>
      <c r="C28" t="s">
        <v>599</v>
      </c>
      <c r="D28" s="36">
        <v>10000</v>
      </c>
      <c r="E28" s="36">
        <f t="shared" si="0"/>
        <v>320000</v>
      </c>
      <c r="F28" s="36">
        <f t="shared" si="1"/>
        <v>75000</v>
      </c>
      <c r="H28" t="s">
        <v>616</v>
      </c>
    </row>
    <row r="29" spans="1:8" x14ac:dyDescent="0.35">
      <c r="A29" t="s">
        <v>318</v>
      </c>
      <c r="B29">
        <v>388</v>
      </c>
      <c r="C29" t="s">
        <v>599</v>
      </c>
      <c r="D29" s="36">
        <v>10000</v>
      </c>
      <c r="E29" s="36">
        <f t="shared" si="0"/>
        <v>330000</v>
      </c>
      <c r="F29" s="36">
        <f t="shared" si="1"/>
        <v>65000</v>
      </c>
    </row>
    <row r="30" spans="1:8" x14ac:dyDescent="0.35">
      <c r="A30" t="s">
        <v>22</v>
      </c>
      <c r="B30">
        <v>10316</v>
      </c>
      <c r="C30" t="s">
        <v>599</v>
      </c>
      <c r="D30" s="36">
        <v>10000</v>
      </c>
      <c r="E30" s="36">
        <f t="shared" si="0"/>
        <v>340000</v>
      </c>
      <c r="F30" s="36">
        <f t="shared" si="1"/>
        <v>55000</v>
      </c>
    </row>
    <row r="31" spans="1:8" x14ac:dyDescent="0.35">
      <c r="A31" t="s">
        <v>608</v>
      </c>
      <c r="B31">
        <v>12198</v>
      </c>
      <c r="C31" t="s">
        <v>599</v>
      </c>
      <c r="D31" s="36">
        <v>10000</v>
      </c>
      <c r="E31" s="36">
        <f t="shared" si="0"/>
        <v>350000</v>
      </c>
      <c r="F31" s="36">
        <f t="shared" si="1"/>
        <v>45000</v>
      </c>
    </row>
    <row r="32" spans="1:8" x14ac:dyDescent="0.35">
      <c r="A32" t="s">
        <v>609</v>
      </c>
      <c r="B32">
        <v>12688</v>
      </c>
      <c r="C32" t="s">
        <v>599</v>
      </c>
      <c r="D32" s="36">
        <v>10000</v>
      </c>
      <c r="E32" s="36">
        <f t="shared" si="0"/>
        <v>360000</v>
      </c>
      <c r="F32" s="36">
        <f t="shared" si="1"/>
        <v>35000</v>
      </c>
    </row>
    <row r="33" spans="1:6" x14ac:dyDescent="0.35">
      <c r="A33" t="s">
        <v>238</v>
      </c>
      <c r="B33">
        <v>9076</v>
      </c>
      <c r="C33" t="s">
        <v>599</v>
      </c>
      <c r="D33" s="36">
        <v>10000</v>
      </c>
      <c r="E33" s="36">
        <f t="shared" si="0"/>
        <v>370000</v>
      </c>
      <c r="F33" s="36">
        <f t="shared" si="1"/>
        <v>25000</v>
      </c>
    </row>
    <row r="34" spans="1:6" x14ac:dyDescent="0.35">
      <c r="A34" t="s">
        <v>610</v>
      </c>
      <c r="B34">
        <v>9470</v>
      </c>
      <c r="C34" t="s">
        <v>599</v>
      </c>
      <c r="D34" s="36">
        <v>10000</v>
      </c>
      <c r="E34" s="36">
        <f t="shared" si="0"/>
        <v>380000</v>
      </c>
      <c r="F34" s="36">
        <f t="shared" si="1"/>
        <v>15000</v>
      </c>
    </row>
    <row r="35" spans="1:6" x14ac:dyDescent="0.35">
      <c r="A35" t="s">
        <v>611</v>
      </c>
      <c r="B35">
        <v>9860</v>
      </c>
      <c r="C35" t="s">
        <v>599</v>
      </c>
      <c r="D35" s="36">
        <v>10000</v>
      </c>
      <c r="E35" s="36">
        <f t="shared" si="0"/>
        <v>390000</v>
      </c>
      <c r="F35" s="36">
        <f t="shared" si="1"/>
        <v>5000</v>
      </c>
    </row>
    <row r="36" spans="1:6" x14ac:dyDescent="0.35">
      <c r="A36" t="s">
        <v>612</v>
      </c>
      <c r="B36">
        <v>10001</v>
      </c>
      <c r="C36" t="s">
        <v>599</v>
      </c>
      <c r="D36" s="36">
        <v>5000</v>
      </c>
      <c r="E36" s="36">
        <f t="shared" si="0"/>
        <v>395000</v>
      </c>
      <c r="F36" s="36">
        <f t="shared" si="1"/>
        <v>0</v>
      </c>
    </row>
    <row r="37" spans="1:6" ht="18.5" x14ac:dyDescent="0.45">
      <c r="A37" s="82" t="s">
        <v>398</v>
      </c>
      <c r="B37" s="1"/>
      <c r="C37" s="1"/>
      <c r="D37" s="73"/>
      <c r="E37" s="73"/>
      <c r="F37" s="73"/>
    </row>
    <row r="38" spans="1:6" x14ac:dyDescent="0.35">
      <c r="A38" t="s">
        <v>831</v>
      </c>
      <c r="B38">
        <v>11874</v>
      </c>
      <c r="C38" t="s">
        <v>783</v>
      </c>
      <c r="D38" s="36">
        <v>10000</v>
      </c>
      <c r="E38" s="36">
        <v>10000</v>
      </c>
      <c r="F38" s="36">
        <v>440000</v>
      </c>
    </row>
    <row r="39" spans="1:6" x14ac:dyDescent="0.35">
      <c r="A39" t="s">
        <v>832</v>
      </c>
      <c r="B39">
        <v>3116</v>
      </c>
      <c r="C39" t="s">
        <v>783</v>
      </c>
      <c r="D39" s="36">
        <v>10000</v>
      </c>
      <c r="E39" s="36">
        <f t="shared" ref="E39:E46" si="2">E38+D39</f>
        <v>20000</v>
      </c>
      <c r="F39" s="36">
        <f t="shared" ref="F39:F46" si="3">F38-D39</f>
        <v>430000</v>
      </c>
    </row>
    <row r="40" spans="1:6" x14ac:dyDescent="0.35">
      <c r="A40" t="s">
        <v>833</v>
      </c>
      <c r="B40">
        <v>3404</v>
      </c>
      <c r="C40" t="s">
        <v>783</v>
      </c>
      <c r="D40" s="36">
        <v>10000</v>
      </c>
      <c r="E40" s="36">
        <f t="shared" si="2"/>
        <v>30000</v>
      </c>
      <c r="F40" s="36">
        <f t="shared" si="3"/>
        <v>420000</v>
      </c>
    </row>
    <row r="41" spans="1:6" x14ac:dyDescent="0.35">
      <c r="A41" t="s">
        <v>834</v>
      </c>
      <c r="B41">
        <v>3591</v>
      </c>
      <c r="C41" t="s">
        <v>783</v>
      </c>
      <c r="D41" s="36">
        <v>10000</v>
      </c>
      <c r="E41" s="36">
        <f t="shared" si="2"/>
        <v>40000</v>
      </c>
      <c r="F41" s="36">
        <f t="shared" si="3"/>
        <v>410000</v>
      </c>
    </row>
    <row r="42" spans="1:6" x14ac:dyDescent="0.35">
      <c r="A42" t="s">
        <v>835</v>
      </c>
      <c r="B42">
        <v>3367</v>
      </c>
      <c r="C42" t="s">
        <v>783</v>
      </c>
      <c r="D42" s="36">
        <v>10000</v>
      </c>
      <c r="E42" s="36">
        <f t="shared" si="2"/>
        <v>50000</v>
      </c>
      <c r="F42" s="36">
        <f t="shared" si="3"/>
        <v>400000</v>
      </c>
    </row>
    <row r="43" spans="1:6" x14ac:dyDescent="0.35">
      <c r="A43" t="s">
        <v>836</v>
      </c>
      <c r="B43">
        <v>3847</v>
      </c>
      <c r="C43" t="s">
        <v>783</v>
      </c>
      <c r="D43" s="36">
        <v>10000</v>
      </c>
      <c r="E43" s="36">
        <f t="shared" si="2"/>
        <v>60000</v>
      </c>
      <c r="F43" s="36">
        <f t="shared" si="3"/>
        <v>390000</v>
      </c>
    </row>
    <row r="44" spans="1:6" x14ac:dyDescent="0.35">
      <c r="A44" t="s">
        <v>837</v>
      </c>
      <c r="B44">
        <v>5143</v>
      </c>
      <c r="C44" t="s">
        <v>783</v>
      </c>
      <c r="D44" s="36">
        <v>10000</v>
      </c>
      <c r="E44" s="36">
        <f t="shared" si="2"/>
        <v>70000</v>
      </c>
      <c r="F44" s="36">
        <f t="shared" si="3"/>
        <v>380000</v>
      </c>
    </row>
    <row r="45" spans="1:6" x14ac:dyDescent="0.35">
      <c r="A45" t="s">
        <v>838</v>
      </c>
      <c r="B45">
        <v>5574</v>
      </c>
      <c r="C45" t="s">
        <v>783</v>
      </c>
      <c r="D45" s="36">
        <v>10000</v>
      </c>
      <c r="E45" s="36">
        <f t="shared" si="2"/>
        <v>80000</v>
      </c>
      <c r="F45" s="36">
        <f t="shared" si="3"/>
        <v>370000</v>
      </c>
    </row>
    <row r="46" spans="1:6" x14ac:dyDescent="0.35">
      <c r="A46" t="s">
        <v>839</v>
      </c>
      <c r="B46">
        <v>5771</v>
      </c>
      <c r="C46" t="s">
        <v>783</v>
      </c>
      <c r="D46" s="36">
        <v>10000</v>
      </c>
      <c r="E46" s="36">
        <f t="shared" si="2"/>
        <v>90000</v>
      </c>
      <c r="F46" s="36">
        <f t="shared" si="3"/>
        <v>360000</v>
      </c>
    </row>
    <row r="49" spans="1:6" x14ac:dyDescent="0.35">
      <c r="A49" s="30">
        <v>46180</v>
      </c>
      <c r="B49">
        <v>1769</v>
      </c>
      <c r="C49" t="s">
        <v>829</v>
      </c>
      <c r="D49" s="36">
        <v>170000</v>
      </c>
      <c r="E49" s="36">
        <v>170000</v>
      </c>
      <c r="F49" t="s">
        <v>840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354FE-7557-43F2-BDC7-29DE17939F5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BDAFB-4873-4B4D-A527-8FD55D18B37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3C279-7937-4503-996A-EB11EDCCA04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FFF6-5730-4EA3-88A9-36A23EE0086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2FC09-64BE-4E72-A1BD-DE6BF8B10A6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37002-4B05-4D5B-915A-5641002D268E}">
  <dimension ref="A1:F8"/>
  <sheetViews>
    <sheetView workbookViewId="0">
      <selection activeCell="I8" sqref="I8"/>
    </sheetView>
  </sheetViews>
  <sheetFormatPr defaultRowHeight="14.5" x14ac:dyDescent="0.35"/>
  <sheetData>
    <row r="1" spans="1:6" ht="18.5" x14ac:dyDescent="0.45">
      <c r="A1" s="1" t="s">
        <v>327</v>
      </c>
      <c r="B1" s="1"/>
      <c r="C1" s="17"/>
      <c r="D1" s="1"/>
      <c r="E1" s="1"/>
      <c r="F1" s="1"/>
    </row>
    <row r="2" spans="1:6" ht="18.5" x14ac:dyDescent="0.45">
      <c r="A2" s="1" t="s">
        <v>328</v>
      </c>
      <c r="C2" s="1"/>
      <c r="D2" s="1"/>
      <c r="E2" s="1"/>
      <c r="F2" s="1"/>
    </row>
    <row r="3" spans="1:6" ht="18.5" x14ac:dyDescent="0.45">
      <c r="A3" s="1" t="s">
        <v>329</v>
      </c>
      <c r="B3" s="1"/>
      <c r="C3" s="1"/>
      <c r="D3" s="1"/>
      <c r="E3" s="1"/>
      <c r="F3" s="1"/>
    </row>
    <row r="4" spans="1:6" ht="18.5" x14ac:dyDescent="0.45">
      <c r="A4" s="1" t="s">
        <v>332</v>
      </c>
      <c r="B4" s="33"/>
      <c r="C4" s="1"/>
      <c r="D4" s="1"/>
      <c r="E4" s="1"/>
      <c r="F4" s="1"/>
    </row>
    <row r="5" spans="1:6" ht="18.5" x14ac:dyDescent="0.45">
      <c r="A5" s="1" t="s">
        <v>330</v>
      </c>
      <c r="B5" s="1"/>
      <c r="C5" s="1"/>
      <c r="D5" s="1"/>
      <c r="E5" s="1"/>
      <c r="F5" s="1"/>
    </row>
    <row r="6" spans="1:6" ht="18.5" x14ac:dyDescent="0.45">
      <c r="A6" s="1" t="s">
        <v>331</v>
      </c>
      <c r="B6" s="1"/>
      <c r="C6" s="1"/>
      <c r="D6" s="1" t="s">
        <v>296</v>
      </c>
      <c r="E6" s="1"/>
      <c r="F6" s="1"/>
    </row>
    <row r="7" spans="1:6" x14ac:dyDescent="0.35">
      <c r="A7" s="28" t="s">
        <v>3</v>
      </c>
      <c r="B7" s="29" t="s">
        <v>8</v>
      </c>
      <c r="C7" s="29" t="s">
        <v>4</v>
      </c>
      <c r="D7" s="29" t="s">
        <v>9</v>
      </c>
      <c r="E7" s="29" t="s">
        <v>10</v>
      </c>
      <c r="F7" s="29" t="s">
        <v>5</v>
      </c>
    </row>
    <row r="8" spans="1:6" x14ac:dyDescent="0.35">
      <c r="A8" t="s">
        <v>333</v>
      </c>
      <c r="B8">
        <v>13960</v>
      </c>
      <c r="C8" t="s">
        <v>57</v>
      </c>
      <c r="D8" s="36">
        <v>100000</v>
      </c>
      <c r="E8" s="36">
        <v>100000</v>
      </c>
      <c r="F8" s="36">
        <v>600000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11189-6B3D-42A3-B11E-835ADBC379C5}">
  <dimension ref="A1:F32"/>
  <sheetViews>
    <sheetView workbookViewId="0">
      <selection activeCell="H5" sqref="H5"/>
    </sheetView>
  </sheetViews>
  <sheetFormatPr defaultRowHeight="14.5" x14ac:dyDescent="0.35"/>
  <cols>
    <col min="1" max="1" width="10.453125" customWidth="1"/>
    <col min="3" max="3" width="11.26953125" customWidth="1"/>
  </cols>
  <sheetData>
    <row r="1" spans="1:6" ht="18.5" x14ac:dyDescent="0.45">
      <c r="A1" s="1" t="s">
        <v>540</v>
      </c>
      <c r="B1" s="1"/>
      <c r="C1" s="17"/>
      <c r="D1" s="1"/>
      <c r="E1" s="1"/>
      <c r="F1" s="1"/>
    </row>
    <row r="2" spans="1:6" ht="18.5" x14ac:dyDescent="0.45">
      <c r="A2" s="1" t="s">
        <v>428</v>
      </c>
      <c r="C2" s="1"/>
      <c r="D2" s="1"/>
      <c r="E2" s="1"/>
      <c r="F2" s="1"/>
    </row>
    <row r="3" spans="1:6" ht="18.5" x14ac:dyDescent="0.45">
      <c r="A3" s="1" t="s">
        <v>429</v>
      </c>
      <c r="B3" s="1"/>
      <c r="C3" s="1"/>
      <c r="D3" s="1"/>
      <c r="E3" s="1"/>
      <c r="F3" s="1"/>
    </row>
    <row r="4" spans="1:6" ht="18.5" x14ac:dyDescent="0.45">
      <c r="A4" s="1" t="s">
        <v>433</v>
      </c>
      <c r="B4" s="33"/>
      <c r="C4" s="1"/>
      <c r="D4" s="1"/>
      <c r="E4" s="1"/>
      <c r="F4" s="1"/>
    </row>
    <row r="5" spans="1:6" ht="18.5" x14ac:dyDescent="0.45">
      <c r="A5" s="1" t="s">
        <v>430</v>
      </c>
      <c r="B5" s="1"/>
      <c r="C5" s="1"/>
      <c r="D5" s="1"/>
      <c r="E5" s="1"/>
      <c r="F5" s="1"/>
    </row>
    <row r="6" spans="1:6" ht="18.5" x14ac:dyDescent="0.45">
      <c r="A6" s="1" t="s">
        <v>431</v>
      </c>
      <c r="B6" s="1"/>
      <c r="C6" s="1"/>
      <c r="D6" s="1" t="s">
        <v>432</v>
      </c>
      <c r="E6" s="1"/>
      <c r="F6" s="1"/>
    </row>
    <row r="7" spans="1:6" x14ac:dyDescent="0.35">
      <c r="A7" s="28" t="s">
        <v>3</v>
      </c>
      <c r="B7" s="29" t="s">
        <v>8</v>
      </c>
      <c r="C7" s="29" t="s">
        <v>4</v>
      </c>
      <c r="D7" s="29" t="s">
        <v>9</v>
      </c>
      <c r="E7" s="29" t="s">
        <v>10</v>
      </c>
      <c r="F7" s="29" t="s">
        <v>5</v>
      </c>
    </row>
    <row r="8" spans="1:6" x14ac:dyDescent="0.35">
      <c r="A8" s="30">
        <v>44750</v>
      </c>
      <c r="B8">
        <v>191</v>
      </c>
      <c r="C8" t="s">
        <v>39</v>
      </c>
      <c r="D8" s="36">
        <v>10000</v>
      </c>
      <c r="E8" s="36">
        <v>10000</v>
      </c>
      <c r="F8" s="36">
        <v>280000</v>
      </c>
    </row>
    <row r="9" spans="1:6" x14ac:dyDescent="0.35">
      <c r="A9" t="s">
        <v>434</v>
      </c>
      <c r="B9">
        <v>267</v>
      </c>
      <c r="C9" t="s">
        <v>11</v>
      </c>
      <c r="D9" s="36">
        <v>20000</v>
      </c>
      <c r="E9" s="36">
        <f>SUM(E8+D9)</f>
        <v>30000</v>
      </c>
      <c r="F9" s="36">
        <f>F8-D9</f>
        <v>260000</v>
      </c>
    </row>
    <row r="10" spans="1:6" x14ac:dyDescent="0.35">
      <c r="A10" s="30">
        <v>45050</v>
      </c>
      <c r="B10">
        <v>1861</v>
      </c>
      <c r="C10" t="s">
        <v>39</v>
      </c>
      <c r="D10" s="36">
        <v>20000</v>
      </c>
      <c r="E10" s="36">
        <f t="shared" ref="E10:E29" si="0">SUM(E9+D10)</f>
        <v>50000</v>
      </c>
      <c r="F10" s="36">
        <f t="shared" ref="F10:F29" si="1">F9-D10</f>
        <v>240000</v>
      </c>
    </row>
    <row r="11" spans="1:6" x14ac:dyDescent="0.35">
      <c r="A11" t="s">
        <v>435</v>
      </c>
      <c r="B11">
        <v>1336</v>
      </c>
      <c r="C11" t="s">
        <v>39</v>
      </c>
      <c r="D11" s="36">
        <v>20000</v>
      </c>
      <c r="E11" s="36">
        <f t="shared" si="0"/>
        <v>70000</v>
      </c>
      <c r="F11" s="36">
        <f t="shared" si="1"/>
        <v>220000</v>
      </c>
    </row>
    <row r="12" spans="1:6" x14ac:dyDescent="0.35">
      <c r="A12" s="30">
        <v>45022</v>
      </c>
      <c r="B12">
        <v>266</v>
      </c>
      <c r="C12" t="s">
        <v>39</v>
      </c>
      <c r="D12" s="36">
        <v>20000</v>
      </c>
      <c r="E12" s="36">
        <f t="shared" si="0"/>
        <v>90000</v>
      </c>
      <c r="F12" s="36">
        <f t="shared" si="1"/>
        <v>200000</v>
      </c>
    </row>
    <row r="13" spans="1:6" x14ac:dyDescent="0.35">
      <c r="A13" t="s">
        <v>272</v>
      </c>
      <c r="B13">
        <v>3850</v>
      </c>
      <c r="C13" t="s">
        <v>39</v>
      </c>
      <c r="D13" s="36">
        <v>20000</v>
      </c>
      <c r="E13" s="36">
        <f t="shared" si="0"/>
        <v>110000</v>
      </c>
      <c r="F13" s="36">
        <f t="shared" si="1"/>
        <v>180000</v>
      </c>
    </row>
    <row r="14" spans="1:6" x14ac:dyDescent="0.35">
      <c r="A14" s="30" t="s">
        <v>436</v>
      </c>
      <c r="B14">
        <v>4915</v>
      </c>
      <c r="C14" t="s">
        <v>39</v>
      </c>
      <c r="D14" s="36">
        <v>20000</v>
      </c>
      <c r="E14" s="36">
        <f t="shared" si="0"/>
        <v>130000</v>
      </c>
      <c r="F14" s="36">
        <f t="shared" si="1"/>
        <v>160000</v>
      </c>
    </row>
    <row r="15" spans="1:6" x14ac:dyDescent="0.35">
      <c r="A15" t="s">
        <v>437</v>
      </c>
      <c r="B15">
        <v>5839</v>
      </c>
      <c r="C15" t="s">
        <v>39</v>
      </c>
      <c r="D15" s="36">
        <v>20000</v>
      </c>
      <c r="E15" s="36">
        <f t="shared" si="0"/>
        <v>150000</v>
      </c>
      <c r="F15" s="36">
        <f t="shared" si="1"/>
        <v>140000</v>
      </c>
    </row>
    <row r="16" spans="1:6" x14ac:dyDescent="0.35">
      <c r="A16" s="30">
        <v>45293</v>
      </c>
      <c r="B16">
        <v>6495</v>
      </c>
      <c r="C16" t="s">
        <v>39</v>
      </c>
      <c r="D16" s="36">
        <v>10000</v>
      </c>
      <c r="E16" s="36">
        <f t="shared" si="0"/>
        <v>160000</v>
      </c>
      <c r="F16" s="36">
        <f t="shared" si="1"/>
        <v>130000</v>
      </c>
    </row>
    <row r="17" spans="1:6" x14ac:dyDescent="0.35">
      <c r="A17" s="30">
        <v>45385</v>
      </c>
      <c r="B17">
        <v>6880</v>
      </c>
      <c r="C17" t="s">
        <v>39</v>
      </c>
      <c r="D17" s="36">
        <v>10000</v>
      </c>
      <c r="E17" s="36">
        <f t="shared" si="0"/>
        <v>170000</v>
      </c>
      <c r="F17" s="36">
        <f t="shared" si="1"/>
        <v>120000</v>
      </c>
    </row>
    <row r="18" spans="1:6" x14ac:dyDescent="0.35">
      <c r="A18" s="30">
        <v>45447</v>
      </c>
      <c r="B18">
        <v>7700</v>
      </c>
      <c r="C18" t="s">
        <v>39</v>
      </c>
      <c r="D18" s="36">
        <v>10000</v>
      </c>
      <c r="E18" s="36">
        <f t="shared" si="0"/>
        <v>180000</v>
      </c>
      <c r="F18" s="36">
        <f t="shared" si="1"/>
        <v>110000</v>
      </c>
    </row>
    <row r="19" spans="1:6" x14ac:dyDescent="0.35">
      <c r="A19" s="30">
        <v>45540</v>
      </c>
      <c r="B19">
        <v>8341</v>
      </c>
      <c r="C19" t="s">
        <v>39</v>
      </c>
      <c r="D19" s="36">
        <v>10000</v>
      </c>
      <c r="E19" s="36">
        <f t="shared" si="0"/>
        <v>190000</v>
      </c>
      <c r="F19" s="36">
        <f t="shared" si="1"/>
        <v>100000</v>
      </c>
    </row>
    <row r="20" spans="1:6" x14ac:dyDescent="0.35">
      <c r="A20" s="30">
        <v>45541</v>
      </c>
      <c r="B20">
        <v>8904</v>
      </c>
      <c r="C20" t="s">
        <v>39</v>
      </c>
      <c r="D20" s="36">
        <v>10000</v>
      </c>
      <c r="E20" s="36">
        <f t="shared" si="0"/>
        <v>200000</v>
      </c>
      <c r="F20" s="36">
        <f t="shared" si="1"/>
        <v>90000</v>
      </c>
    </row>
    <row r="21" spans="1:6" x14ac:dyDescent="0.35">
      <c r="A21" s="30">
        <v>45572</v>
      </c>
      <c r="B21">
        <v>9470</v>
      </c>
      <c r="C21" t="s">
        <v>39</v>
      </c>
      <c r="D21" s="36">
        <v>10000</v>
      </c>
      <c r="E21" s="36">
        <f t="shared" si="0"/>
        <v>210000</v>
      </c>
      <c r="F21" s="36">
        <f t="shared" si="1"/>
        <v>80000</v>
      </c>
    </row>
    <row r="22" spans="1:6" x14ac:dyDescent="0.35">
      <c r="A22" t="s">
        <v>438</v>
      </c>
      <c r="B22">
        <v>11166</v>
      </c>
      <c r="C22" t="s">
        <v>39</v>
      </c>
      <c r="D22" s="36">
        <v>10000</v>
      </c>
      <c r="E22" s="36">
        <f t="shared" si="0"/>
        <v>220000</v>
      </c>
      <c r="F22" s="36">
        <f t="shared" si="1"/>
        <v>70000</v>
      </c>
    </row>
    <row r="23" spans="1:6" x14ac:dyDescent="0.35">
      <c r="A23" t="s">
        <v>439</v>
      </c>
      <c r="B23">
        <v>10749</v>
      </c>
      <c r="C23" t="s">
        <v>39</v>
      </c>
      <c r="D23" s="36">
        <v>10000</v>
      </c>
      <c r="E23" s="36">
        <f t="shared" si="0"/>
        <v>230000</v>
      </c>
      <c r="F23" s="36">
        <f t="shared" si="1"/>
        <v>60000</v>
      </c>
    </row>
    <row r="24" spans="1:6" x14ac:dyDescent="0.35">
      <c r="A24" s="30">
        <v>45636</v>
      </c>
      <c r="B24">
        <v>11395</v>
      </c>
      <c r="C24" t="s">
        <v>39</v>
      </c>
      <c r="D24" s="36">
        <v>10000</v>
      </c>
      <c r="E24" s="36">
        <f t="shared" si="0"/>
        <v>240000</v>
      </c>
      <c r="F24" s="36">
        <f t="shared" si="1"/>
        <v>50000</v>
      </c>
    </row>
    <row r="25" spans="1:6" x14ac:dyDescent="0.35">
      <c r="A25" s="30">
        <v>45546</v>
      </c>
      <c r="B25">
        <v>11952</v>
      </c>
      <c r="C25" t="s">
        <v>39</v>
      </c>
      <c r="D25" s="36">
        <v>10000</v>
      </c>
      <c r="E25" s="36">
        <f t="shared" si="0"/>
        <v>250000</v>
      </c>
      <c r="F25" s="36">
        <f t="shared" si="1"/>
        <v>40000</v>
      </c>
    </row>
    <row r="26" spans="1:6" x14ac:dyDescent="0.35">
      <c r="A26" s="30">
        <v>45516</v>
      </c>
      <c r="B26">
        <v>12256</v>
      </c>
      <c r="C26" t="s">
        <v>39</v>
      </c>
      <c r="D26" s="36">
        <v>10000</v>
      </c>
      <c r="E26" s="36">
        <f t="shared" si="0"/>
        <v>260000</v>
      </c>
      <c r="F26" s="36">
        <f t="shared" si="1"/>
        <v>30000</v>
      </c>
    </row>
    <row r="27" spans="1:6" x14ac:dyDescent="0.35">
      <c r="A27" t="s">
        <v>300</v>
      </c>
      <c r="B27">
        <v>12066</v>
      </c>
      <c r="C27" t="s">
        <v>39</v>
      </c>
      <c r="D27" s="36">
        <v>10000</v>
      </c>
      <c r="E27" s="36">
        <f t="shared" si="0"/>
        <v>270000</v>
      </c>
      <c r="F27" s="36">
        <f t="shared" si="1"/>
        <v>20000</v>
      </c>
    </row>
    <row r="28" spans="1:6" x14ac:dyDescent="0.35">
      <c r="A28" t="s">
        <v>440</v>
      </c>
      <c r="B28">
        <v>7438</v>
      </c>
      <c r="C28" t="s">
        <v>39</v>
      </c>
      <c r="D28" s="36">
        <v>10000</v>
      </c>
      <c r="E28" s="36">
        <f t="shared" si="0"/>
        <v>280000</v>
      </c>
      <c r="F28" s="36">
        <f t="shared" si="1"/>
        <v>10000</v>
      </c>
    </row>
    <row r="29" spans="1:6" x14ac:dyDescent="0.35">
      <c r="A29" t="s">
        <v>201</v>
      </c>
      <c r="B29">
        <v>9879</v>
      </c>
      <c r="C29" t="s">
        <v>39</v>
      </c>
      <c r="D29" s="36">
        <v>10000</v>
      </c>
      <c r="E29" s="36">
        <f t="shared" si="0"/>
        <v>290000</v>
      </c>
      <c r="F29" s="36">
        <f t="shared" si="1"/>
        <v>0</v>
      </c>
    </row>
    <row r="31" spans="1:6" x14ac:dyDescent="0.35">
      <c r="A31" t="s">
        <v>441</v>
      </c>
      <c r="B31">
        <v>5146</v>
      </c>
      <c r="C31" t="s">
        <v>442</v>
      </c>
      <c r="D31" s="36">
        <v>100000</v>
      </c>
      <c r="E31" s="36">
        <v>100000</v>
      </c>
      <c r="F31" t="s">
        <v>381</v>
      </c>
    </row>
    <row r="32" spans="1:6" ht="18.5" x14ac:dyDescent="0.45">
      <c r="A32" s="33" t="s">
        <v>443</v>
      </c>
      <c r="B32" s="33"/>
      <c r="C32" s="33"/>
      <c r="D32" s="33"/>
      <c r="E32" s="33"/>
      <c r="F32" s="3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4EEC2-A120-4ACB-876F-6D22E3013B5C}">
  <sheetPr codeName="Sheet7"/>
  <dimension ref="A1:F46"/>
  <sheetViews>
    <sheetView tabSelected="1" topLeftCell="A33" workbookViewId="0">
      <selection activeCell="F47" sqref="F47"/>
    </sheetView>
  </sheetViews>
  <sheetFormatPr defaultRowHeight="14.5" x14ac:dyDescent="0.35"/>
  <cols>
    <col min="1" max="1" width="9.453125" bestFit="1" customWidth="1"/>
    <col min="3" max="3" width="12.36328125" customWidth="1"/>
    <col min="4" max="4" width="13" customWidth="1"/>
    <col min="5" max="5" width="10.453125" customWidth="1"/>
    <col min="6" max="6" width="15.81640625" bestFit="1" customWidth="1"/>
  </cols>
  <sheetData>
    <row r="1" spans="1:6" ht="18.5" x14ac:dyDescent="0.45">
      <c r="A1" s="1" t="s">
        <v>89</v>
      </c>
      <c r="B1" s="1"/>
      <c r="C1" s="1"/>
      <c r="D1" s="1"/>
      <c r="E1" s="1"/>
      <c r="F1" s="1"/>
    </row>
    <row r="2" spans="1:6" ht="18.5" x14ac:dyDescent="0.45">
      <c r="A2" s="1" t="s">
        <v>90</v>
      </c>
      <c r="C2" s="1"/>
      <c r="D2" s="1"/>
      <c r="E2" s="1"/>
      <c r="F2" s="1"/>
    </row>
    <row r="3" spans="1:6" ht="18.5" x14ac:dyDescent="0.45">
      <c r="A3" s="1" t="s">
        <v>91</v>
      </c>
      <c r="B3" s="1"/>
      <c r="C3" s="1"/>
      <c r="D3" s="1"/>
      <c r="E3" s="1"/>
      <c r="F3" s="1"/>
    </row>
    <row r="4" spans="1:6" ht="18.5" x14ac:dyDescent="0.45">
      <c r="A4" s="1" t="s">
        <v>489</v>
      </c>
      <c r="B4" s="1"/>
      <c r="C4" s="1"/>
      <c r="D4" s="1"/>
      <c r="E4" s="1"/>
      <c r="F4" s="1"/>
    </row>
    <row r="5" spans="1:6" ht="18.5" x14ac:dyDescent="0.45">
      <c r="A5" s="1" t="s">
        <v>92</v>
      </c>
      <c r="B5" s="1"/>
      <c r="C5" s="1"/>
      <c r="D5" s="1"/>
      <c r="E5" s="1"/>
      <c r="F5" s="1"/>
    </row>
    <row r="6" spans="1:6" ht="18.5" x14ac:dyDescent="0.45">
      <c r="A6" s="1" t="s">
        <v>93</v>
      </c>
      <c r="B6" s="1"/>
      <c r="C6" s="1"/>
      <c r="D6" s="1"/>
      <c r="E6" s="1" t="s">
        <v>94</v>
      </c>
      <c r="F6" s="1"/>
    </row>
    <row r="7" spans="1:6" x14ac:dyDescent="0.35">
      <c r="A7" s="48" t="s">
        <v>3</v>
      </c>
      <c r="B7" s="49" t="s">
        <v>8</v>
      </c>
      <c r="C7" s="49" t="s">
        <v>4</v>
      </c>
      <c r="D7" s="41" t="s">
        <v>9</v>
      </c>
      <c r="E7" s="41" t="s">
        <v>10</v>
      </c>
      <c r="F7" s="42" t="s">
        <v>5</v>
      </c>
    </row>
    <row r="8" spans="1:6" x14ac:dyDescent="0.35">
      <c r="A8" s="16">
        <v>45236</v>
      </c>
      <c r="B8" s="6">
        <v>217</v>
      </c>
      <c r="C8" s="6" t="s">
        <v>56</v>
      </c>
      <c r="D8" s="6">
        <v>5000</v>
      </c>
      <c r="E8" s="6">
        <v>5000</v>
      </c>
      <c r="F8" s="40">
        <v>645000</v>
      </c>
    </row>
    <row r="9" spans="1:6" x14ac:dyDescent="0.35">
      <c r="A9" s="39" t="s">
        <v>95</v>
      </c>
      <c r="B9" s="6">
        <v>2010</v>
      </c>
      <c r="C9" s="6" t="s">
        <v>96</v>
      </c>
      <c r="D9" s="7">
        <v>125000</v>
      </c>
      <c r="E9" s="7">
        <v>130000</v>
      </c>
      <c r="F9" s="40">
        <v>520000</v>
      </c>
    </row>
    <row r="10" spans="1:6" x14ac:dyDescent="0.35">
      <c r="A10" s="16">
        <v>45054</v>
      </c>
      <c r="B10" s="6">
        <v>2231</v>
      </c>
      <c r="C10" s="6" t="s">
        <v>88</v>
      </c>
      <c r="D10" s="7">
        <v>10000</v>
      </c>
      <c r="E10" s="7">
        <f t="shared" ref="E10:E42" si="0">SUM(E9+D10)</f>
        <v>140000</v>
      </c>
      <c r="F10" s="40">
        <f t="shared" ref="F10:F42" si="1">F9-D10</f>
        <v>510000</v>
      </c>
    </row>
    <row r="11" spans="1:6" x14ac:dyDescent="0.35">
      <c r="A11" s="16">
        <v>44994</v>
      </c>
      <c r="B11" s="6">
        <v>3382</v>
      </c>
      <c r="C11" s="6" t="s">
        <v>88</v>
      </c>
      <c r="D11" s="7">
        <v>10000</v>
      </c>
      <c r="E11" s="7">
        <f t="shared" si="0"/>
        <v>150000</v>
      </c>
      <c r="F11" s="40">
        <f t="shared" si="1"/>
        <v>500000</v>
      </c>
    </row>
    <row r="12" spans="1:6" x14ac:dyDescent="0.35">
      <c r="A12" s="16">
        <v>44967</v>
      </c>
      <c r="B12" s="6">
        <v>243</v>
      </c>
      <c r="C12" s="6" t="s">
        <v>88</v>
      </c>
      <c r="D12" s="7">
        <v>10000</v>
      </c>
      <c r="E12" s="7">
        <f t="shared" si="0"/>
        <v>160000</v>
      </c>
      <c r="F12" s="40">
        <f t="shared" si="1"/>
        <v>490000</v>
      </c>
    </row>
    <row r="13" spans="1:6" x14ac:dyDescent="0.35">
      <c r="A13" s="16">
        <v>44968</v>
      </c>
      <c r="B13" s="6">
        <v>4604</v>
      </c>
      <c r="C13" s="6" t="s">
        <v>88</v>
      </c>
      <c r="D13" s="7">
        <v>10000</v>
      </c>
      <c r="E13" s="7">
        <f t="shared" si="0"/>
        <v>170000</v>
      </c>
      <c r="F13" s="40">
        <f t="shared" si="1"/>
        <v>480000</v>
      </c>
    </row>
    <row r="14" spans="1:6" x14ac:dyDescent="0.35">
      <c r="A14" s="16">
        <v>44997</v>
      </c>
      <c r="B14" s="6">
        <v>5279</v>
      </c>
      <c r="C14" s="6" t="s">
        <v>88</v>
      </c>
      <c r="D14" s="7">
        <v>10000</v>
      </c>
      <c r="E14" s="7">
        <f t="shared" si="0"/>
        <v>180000</v>
      </c>
      <c r="F14" s="40">
        <f t="shared" si="1"/>
        <v>470000</v>
      </c>
    </row>
    <row r="15" spans="1:6" x14ac:dyDescent="0.35">
      <c r="A15" s="15" t="s">
        <v>97</v>
      </c>
      <c r="B15" s="6">
        <v>5876</v>
      </c>
      <c r="C15" s="6" t="s">
        <v>88</v>
      </c>
      <c r="D15" s="7">
        <v>10000</v>
      </c>
      <c r="E15" s="7">
        <f t="shared" si="0"/>
        <v>190000</v>
      </c>
      <c r="F15" s="40">
        <f t="shared" si="1"/>
        <v>460000</v>
      </c>
    </row>
    <row r="16" spans="1:6" x14ac:dyDescent="0.35">
      <c r="A16" s="16">
        <v>45414</v>
      </c>
      <c r="B16" s="6">
        <v>6532</v>
      </c>
      <c r="C16" s="6" t="s">
        <v>88</v>
      </c>
      <c r="D16" s="7">
        <v>10000</v>
      </c>
      <c r="E16" s="7">
        <f t="shared" si="0"/>
        <v>200000</v>
      </c>
      <c r="F16" s="40">
        <f t="shared" si="1"/>
        <v>450000</v>
      </c>
    </row>
    <row r="17" spans="1:6" x14ac:dyDescent="0.35">
      <c r="A17" s="16">
        <v>45325</v>
      </c>
      <c r="B17" s="6">
        <v>6877</v>
      </c>
      <c r="C17" s="6" t="s">
        <v>88</v>
      </c>
      <c r="D17" s="7">
        <v>10000</v>
      </c>
      <c r="E17" s="7">
        <f t="shared" si="0"/>
        <v>210000</v>
      </c>
      <c r="F17" s="40">
        <f t="shared" si="1"/>
        <v>440000</v>
      </c>
    </row>
    <row r="18" spans="1:6" x14ac:dyDescent="0.35">
      <c r="A18" s="16">
        <v>45355</v>
      </c>
      <c r="B18" s="6">
        <v>7666</v>
      </c>
      <c r="C18" s="6" t="s">
        <v>88</v>
      </c>
      <c r="D18" s="7">
        <v>10000</v>
      </c>
      <c r="E18" s="7">
        <f t="shared" si="0"/>
        <v>220000</v>
      </c>
      <c r="F18" s="40">
        <f t="shared" si="1"/>
        <v>430000</v>
      </c>
    </row>
    <row r="19" spans="1:6" x14ac:dyDescent="0.35">
      <c r="A19" s="16">
        <v>45356</v>
      </c>
      <c r="B19" s="6">
        <v>8188</v>
      </c>
      <c r="C19" s="6" t="s">
        <v>88</v>
      </c>
      <c r="D19" s="7">
        <v>10000</v>
      </c>
      <c r="E19" s="7">
        <f t="shared" si="0"/>
        <v>230000</v>
      </c>
      <c r="F19" s="40">
        <f t="shared" si="1"/>
        <v>420000</v>
      </c>
    </row>
    <row r="20" spans="1:6" x14ac:dyDescent="0.35">
      <c r="A20" s="16">
        <v>45357</v>
      </c>
      <c r="B20" s="6">
        <v>8836</v>
      </c>
      <c r="C20" s="6" t="s">
        <v>88</v>
      </c>
      <c r="D20" s="7">
        <v>10000</v>
      </c>
      <c r="E20" s="7">
        <f t="shared" si="0"/>
        <v>240000</v>
      </c>
      <c r="F20" s="40">
        <f t="shared" si="1"/>
        <v>410000</v>
      </c>
    </row>
    <row r="21" spans="1:6" x14ac:dyDescent="0.35">
      <c r="A21" s="16">
        <v>45329</v>
      </c>
      <c r="B21" s="6">
        <v>9352</v>
      </c>
      <c r="C21" s="6" t="s">
        <v>88</v>
      </c>
      <c r="D21" s="7">
        <v>10000</v>
      </c>
      <c r="E21" s="7">
        <f t="shared" si="0"/>
        <v>250000</v>
      </c>
      <c r="F21" s="40">
        <f t="shared" si="1"/>
        <v>400000</v>
      </c>
    </row>
    <row r="22" spans="1:6" x14ac:dyDescent="0.35">
      <c r="A22" s="16">
        <v>45330</v>
      </c>
      <c r="B22" s="6">
        <v>10016</v>
      </c>
      <c r="C22" s="6" t="s">
        <v>88</v>
      </c>
      <c r="D22" s="7">
        <v>10000</v>
      </c>
      <c r="E22" s="7">
        <f t="shared" si="0"/>
        <v>260000</v>
      </c>
      <c r="F22" s="40">
        <f t="shared" si="1"/>
        <v>390000</v>
      </c>
    </row>
    <row r="23" spans="1:6" x14ac:dyDescent="0.35">
      <c r="A23" s="16">
        <v>45331</v>
      </c>
      <c r="B23" s="6">
        <v>10415</v>
      </c>
      <c r="C23" s="6" t="s">
        <v>88</v>
      </c>
      <c r="D23" s="7">
        <v>10000</v>
      </c>
      <c r="E23" s="7">
        <f t="shared" si="0"/>
        <v>270000</v>
      </c>
      <c r="F23" s="40">
        <f t="shared" si="1"/>
        <v>380000</v>
      </c>
    </row>
    <row r="24" spans="1:6" x14ac:dyDescent="0.35">
      <c r="A24" s="16">
        <v>45332</v>
      </c>
      <c r="B24" s="6">
        <v>10180</v>
      </c>
      <c r="C24" s="6" t="s">
        <v>88</v>
      </c>
      <c r="D24" s="7">
        <v>10000</v>
      </c>
      <c r="E24" s="7">
        <f t="shared" si="0"/>
        <v>280000</v>
      </c>
      <c r="F24" s="40">
        <f t="shared" si="1"/>
        <v>370000</v>
      </c>
    </row>
    <row r="25" spans="1:6" x14ac:dyDescent="0.35">
      <c r="A25" s="16">
        <v>45333</v>
      </c>
      <c r="B25" s="6">
        <v>11560</v>
      </c>
      <c r="C25" s="6" t="s">
        <v>88</v>
      </c>
      <c r="D25" s="7">
        <v>10000</v>
      </c>
      <c r="E25" s="7">
        <f t="shared" si="0"/>
        <v>290000</v>
      </c>
      <c r="F25" s="40">
        <f t="shared" si="1"/>
        <v>360000</v>
      </c>
    </row>
    <row r="26" spans="1:6" x14ac:dyDescent="0.35">
      <c r="A26" s="16">
        <v>45303</v>
      </c>
      <c r="B26" s="6">
        <v>12548</v>
      </c>
      <c r="C26" s="6" t="s">
        <v>88</v>
      </c>
      <c r="D26" s="7">
        <v>10000</v>
      </c>
      <c r="E26" s="7">
        <f t="shared" si="0"/>
        <v>300000</v>
      </c>
      <c r="F26" s="40">
        <f t="shared" si="1"/>
        <v>350000</v>
      </c>
    </row>
    <row r="27" spans="1:6" x14ac:dyDescent="0.35">
      <c r="A27" s="16">
        <v>45689</v>
      </c>
      <c r="B27" s="6">
        <v>12857</v>
      </c>
      <c r="C27" s="6" t="s">
        <v>88</v>
      </c>
      <c r="D27" s="7">
        <v>10000</v>
      </c>
      <c r="E27" s="7">
        <f t="shared" si="0"/>
        <v>310000</v>
      </c>
      <c r="F27" s="40">
        <f t="shared" si="1"/>
        <v>340000</v>
      </c>
    </row>
    <row r="28" spans="1:6" x14ac:dyDescent="0.35">
      <c r="A28" s="16">
        <v>45659</v>
      </c>
      <c r="B28" s="6">
        <v>9171</v>
      </c>
      <c r="C28" s="6" t="s">
        <v>88</v>
      </c>
      <c r="D28" s="7">
        <v>10000</v>
      </c>
      <c r="E28" s="7">
        <f t="shared" si="0"/>
        <v>320000</v>
      </c>
      <c r="F28" s="40">
        <f t="shared" si="1"/>
        <v>330000</v>
      </c>
    </row>
    <row r="29" spans="1:6" x14ac:dyDescent="0.35">
      <c r="A29" s="16">
        <v>45750</v>
      </c>
      <c r="B29" s="6">
        <v>9612</v>
      </c>
      <c r="C29" s="6" t="s">
        <v>88</v>
      </c>
      <c r="D29" s="7">
        <v>10000</v>
      </c>
      <c r="E29" s="7">
        <f t="shared" si="0"/>
        <v>330000</v>
      </c>
      <c r="F29" s="40">
        <f t="shared" si="1"/>
        <v>320000</v>
      </c>
    </row>
    <row r="30" spans="1:6" x14ac:dyDescent="0.35">
      <c r="A30" s="16">
        <v>45873</v>
      </c>
      <c r="B30" s="6">
        <v>9969</v>
      </c>
      <c r="C30" s="6" t="s">
        <v>88</v>
      </c>
      <c r="D30" s="7">
        <v>10000</v>
      </c>
      <c r="E30" s="7">
        <f t="shared" si="0"/>
        <v>340000</v>
      </c>
      <c r="F30" s="40">
        <f t="shared" si="1"/>
        <v>310000</v>
      </c>
    </row>
    <row r="31" spans="1:6" x14ac:dyDescent="0.35">
      <c r="A31" s="16">
        <v>45874</v>
      </c>
      <c r="B31" s="6">
        <v>10364</v>
      </c>
      <c r="C31" s="6" t="s">
        <v>88</v>
      </c>
      <c r="D31" s="7">
        <v>10000</v>
      </c>
      <c r="E31" s="7">
        <f t="shared" si="0"/>
        <v>350000</v>
      </c>
      <c r="F31" s="40">
        <f t="shared" si="1"/>
        <v>300000</v>
      </c>
    </row>
    <row r="32" spans="1:6" x14ac:dyDescent="0.35">
      <c r="A32" s="15" t="s">
        <v>98</v>
      </c>
      <c r="B32" s="6">
        <v>10421</v>
      </c>
      <c r="C32" s="6" t="s">
        <v>88</v>
      </c>
      <c r="D32" s="7">
        <v>10000</v>
      </c>
      <c r="E32" s="7">
        <f t="shared" si="0"/>
        <v>360000</v>
      </c>
      <c r="F32" s="40">
        <f t="shared" si="1"/>
        <v>290000</v>
      </c>
    </row>
    <row r="33" spans="1:6" x14ac:dyDescent="0.35">
      <c r="A33" s="15" t="s">
        <v>99</v>
      </c>
      <c r="B33" s="6">
        <v>12178</v>
      </c>
      <c r="C33" s="6" t="s">
        <v>88</v>
      </c>
      <c r="D33" s="7">
        <v>10000</v>
      </c>
      <c r="E33" s="7">
        <f t="shared" si="0"/>
        <v>370000</v>
      </c>
      <c r="F33" s="40">
        <f t="shared" si="1"/>
        <v>280000</v>
      </c>
    </row>
    <row r="34" spans="1:6" x14ac:dyDescent="0.35">
      <c r="A34" s="16">
        <v>45665</v>
      </c>
      <c r="B34" s="6">
        <v>12341</v>
      </c>
      <c r="C34" s="6" t="s">
        <v>88</v>
      </c>
      <c r="D34" s="7">
        <v>10000</v>
      </c>
      <c r="E34" s="7">
        <f t="shared" si="0"/>
        <v>380000</v>
      </c>
      <c r="F34" s="40">
        <f t="shared" si="1"/>
        <v>270000</v>
      </c>
    </row>
    <row r="35" spans="1:6" x14ac:dyDescent="0.35">
      <c r="A35" s="16">
        <v>45939</v>
      </c>
      <c r="B35" s="6">
        <v>13854</v>
      </c>
      <c r="C35" s="6" t="s">
        <v>88</v>
      </c>
      <c r="D35" s="7">
        <v>10000</v>
      </c>
      <c r="E35" s="7">
        <f t="shared" si="0"/>
        <v>390000</v>
      </c>
      <c r="F35" s="40">
        <f t="shared" si="1"/>
        <v>260000</v>
      </c>
    </row>
    <row r="36" spans="1:6" x14ac:dyDescent="0.35">
      <c r="A36" s="16">
        <v>45698</v>
      </c>
      <c r="B36" s="6">
        <v>13855</v>
      </c>
      <c r="C36" s="6" t="s">
        <v>88</v>
      </c>
      <c r="D36" s="7">
        <v>10000</v>
      </c>
      <c r="E36" s="7">
        <f t="shared" si="0"/>
        <v>400000</v>
      </c>
      <c r="F36" s="40">
        <f t="shared" si="1"/>
        <v>250000</v>
      </c>
    </row>
    <row r="37" spans="1:6" x14ac:dyDescent="0.35">
      <c r="A37" s="16">
        <v>45758</v>
      </c>
      <c r="B37" s="6">
        <v>13430</v>
      </c>
      <c r="C37" s="6" t="s">
        <v>88</v>
      </c>
      <c r="D37" s="7">
        <v>10000</v>
      </c>
      <c r="E37" s="7">
        <f t="shared" si="0"/>
        <v>410000</v>
      </c>
      <c r="F37" s="40">
        <f t="shared" si="1"/>
        <v>240000</v>
      </c>
    </row>
    <row r="38" spans="1:6" x14ac:dyDescent="0.35">
      <c r="A38" s="16">
        <v>45759</v>
      </c>
      <c r="B38" s="6">
        <v>13275</v>
      </c>
      <c r="C38" s="6" t="s">
        <v>88</v>
      </c>
      <c r="D38" s="7">
        <v>10000</v>
      </c>
      <c r="E38" s="7">
        <f t="shared" si="0"/>
        <v>420000</v>
      </c>
      <c r="F38" s="40">
        <f t="shared" si="1"/>
        <v>230000</v>
      </c>
    </row>
    <row r="39" spans="1:6" x14ac:dyDescent="0.35">
      <c r="A39" s="16">
        <v>46174</v>
      </c>
      <c r="B39" s="6">
        <v>12007</v>
      </c>
      <c r="C39" s="6" t="s">
        <v>88</v>
      </c>
      <c r="D39" s="7">
        <v>10000</v>
      </c>
      <c r="E39" s="7">
        <f t="shared" si="0"/>
        <v>430000</v>
      </c>
      <c r="F39" s="40">
        <f t="shared" si="1"/>
        <v>220000</v>
      </c>
    </row>
    <row r="40" spans="1:6" x14ac:dyDescent="0.35">
      <c r="A40" s="16">
        <v>46083</v>
      </c>
      <c r="B40" s="6">
        <v>12322</v>
      </c>
      <c r="C40" s="6" t="s">
        <v>88</v>
      </c>
      <c r="D40" s="7">
        <v>10000</v>
      </c>
      <c r="E40" s="7">
        <f t="shared" si="0"/>
        <v>440000</v>
      </c>
      <c r="F40" s="40">
        <f t="shared" si="1"/>
        <v>210000</v>
      </c>
    </row>
    <row r="41" spans="1:6" x14ac:dyDescent="0.35">
      <c r="A41" s="16">
        <v>46145</v>
      </c>
      <c r="B41" s="6">
        <v>12750</v>
      </c>
      <c r="C41" s="6" t="s">
        <v>88</v>
      </c>
      <c r="D41" s="7">
        <v>10000</v>
      </c>
      <c r="E41" s="7">
        <f t="shared" si="0"/>
        <v>450000</v>
      </c>
      <c r="F41" s="40">
        <f t="shared" si="1"/>
        <v>200000</v>
      </c>
    </row>
    <row r="42" spans="1:6" x14ac:dyDescent="0.35">
      <c r="A42" s="43">
        <v>46085</v>
      </c>
      <c r="B42" s="44">
        <v>13103</v>
      </c>
      <c r="C42" s="44" t="s">
        <v>88</v>
      </c>
      <c r="D42" s="45">
        <v>10000</v>
      </c>
      <c r="E42" s="46">
        <f t="shared" si="0"/>
        <v>460000</v>
      </c>
      <c r="F42" s="47">
        <f t="shared" si="1"/>
        <v>190000</v>
      </c>
    </row>
    <row r="43" spans="1:6" x14ac:dyDescent="0.35">
      <c r="A43" s="63">
        <v>45752</v>
      </c>
      <c r="B43" s="44">
        <v>12936</v>
      </c>
      <c r="C43" s="44" t="s">
        <v>88</v>
      </c>
      <c r="D43" s="45">
        <v>10000</v>
      </c>
      <c r="E43" s="46">
        <f>SUM(E42+D43)</f>
        <v>470000</v>
      </c>
      <c r="F43" s="47">
        <f>F42-D43</f>
        <v>180000</v>
      </c>
    </row>
    <row r="44" spans="1:6" x14ac:dyDescent="0.35">
      <c r="A44" t="s">
        <v>731</v>
      </c>
      <c r="B44">
        <v>13555</v>
      </c>
      <c r="C44" t="s">
        <v>88</v>
      </c>
      <c r="D44" s="74">
        <v>10000</v>
      </c>
      <c r="E44" s="74">
        <f>E43+D44</f>
        <v>480000</v>
      </c>
      <c r="F44" s="74">
        <f>F43-D44</f>
        <v>170000</v>
      </c>
    </row>
    <row r="45" spans="1:6" x14ac:dyDescent="0.35">
      <c r="A45" t="s">
        <v>799</v>
      </c>
      <c r="B45">
        <v>1479</v>
      </c>
      <c r="C45" t="s">
        <v>657</v>
      </c>
      <c r="D45" s="36">
        <v>10000</v>
      </c>
      <c r="E45" s="36">
        <f>E44+D45</f>
        <v>490000</v>
      </c>
      <c r="F45" s="36">
        <f>F44-D45</f>
        <v>160000</v>
      </c>
    </row>
    <row r="46" spans="1:6" x14ac:dyDescent="0.35">
      <c r="A46" t="s">
        <v>849</v>
      </c>
      <c r="B46">
        <v>1842</v>
      </c>
      <c r="D46" s="36">
        <v>10000</v>
      </c>
      <c r="E46" s="36">
        <f>E45+D46</f>
        <v>500000</v>
      </c>
      <c r="F46" s="36">
        <f>F45-D46</f>
        <v>150000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C0872-A6A2-494C-8A23-34528FD242F6}">
  <dimension ref="A1:F52"/>
  <sheetViews>
    <sheetView workbookViewId="0">
      <selection activeCell="G50" sqref="G50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141</v>
      </c>
      <c r="B1" s="1"/>
      <c r="C1" s="17"/>
      <c r="D1" s="1"/>
      <c r="E1" s="1"/>
      <c r="F1" s="1"/>
    </row>
    <row r="2" spans="1:6" ht="18.5" x14ac:dyDescent="0.45">
      <c r="A2" s="1" t="s">
        <v>142</v>
      </c>
      <c r="C2" s="1"/>
      <c r="D2" s="1"/>
      <c r="E2" s="1"/>
      <c r="F2" s="1"/>
    </row>
    <row r="3" spans="1:6" ht="18.5" x14ac:dyDescent="0.45">
      <c r="A3" s="1" t="s">
        <v>143</v>
      </c>
      <c r="B3" s="1"/>
      <c r="C3" s="1"/>
      <c r="D3" s="1"/>
      <c r="E3" s="1"/>
      <c r="F3" s="1"/>
    </row>
    <row r="4" spans="1:6" ht="18.5" x14ac:dyDescent="0.45">
      <c r="A4" s="1" t="s">
        <v>515</v>
      </c>
      <c r="B4" s="1"/>
      <c r="C4" s="1"/>
      <c r="D4" s="1"/>
      <c r="E4" s="1"/>
      <c r="F4" s="1"/>
    </row>
    <row r="5" spans="1:6" ht="18.5" x14ac:dyDescent="0.45">
      <c r="A5" s="1" t="s">
        <v>144</v>
      </c>
      <c r="B5" s="1"/>
      <c r="C5" s="1"/>
      <c r="D5" s="1"/>
      <c r="E5" s="1"/>
      <c r="F5" s="1"/>
    </row>
    <row r="6" spans="1:6" ht="18.5" x14ac:dyDescent="0.45">
      <c r="A6" s="1" t="s">
        <v>166</v>
      </c>
      <c r="B6" s="1"/>
      <c r="C6" s="1"/>
      <c r="D6" s="1"/>
      <c r="E6" s="1" t="s">
        <v>145</v>
      </c>
      <c r="F6" s="1"/>
    </row>
    <row r="7" spans="1:6" x14ac:dyDescent="0.35">
      <c r="A7" s="52" t="s">
        <v>3</v>
      </c>
      <c r="B7" s="53" t="s">
        <v>8</v>
      </c>
      <c r="C7" s="53" t="s">
        <v>4</v>
      </c>
      <c r="D7" s="50" t="s">
        <v>9</v>
      </c>
      <c r="E7" s="50" t="s">
        <v>10</v>
      </c>
      <c r="F7" s="51" t="s">
        <v>5</v>
      </c>
    </row>
    <row r="8" spans="1:6" x14ac:dyDescent="0.35">
      <c r="A8" s="5">
        <v>44816</v>
      </c>
      <c r="B8" s="6">
        <v>1952</v>
      </c>
      <c r="C8" s="6" t="s">
        <v>152</v>
      </c>
      <c r="D8" s="7">
        <v>120000</v>
      </c>
      <c r="E8" s="7">
        <v>120000</v>
      </c>
      <c r="F8" s="40">
        <v>500000</v>
      </c>
    </row>
    <row r="9" spans="1:6" x14ac:dyDescent="0.35">
      <c r="A9" s="5">
        <v>44958</v>
      </c>
      <c r="B9" s="6">
        <v>1953</v>
      </c>
      <c r="C9" s="6" t="s">
        <v>88</v>
      </c>
      <c r="D9" s="7">
        <v>10000</v>
      </c>
      <c r="E9" s="7">
        <f>SUM(E8+D9)</f>
        <v>130000</v>
      </c>
      <c r="F9" s="40">
        <f>F8-D9</f>
        <v>490000</v>
      </c>
    </row>
    <row r="10" spans="1:6" x14ac:dyDescent="0.35">
      <c r="A10" s="6" t="s">
        <v>146</v>
      </c>
      <c r="B10" s="6">
        <v>1951</v>
      </c>
      <c r="C10" s="6" t="s">
        <v>88</v>
      </c>
      <c r="D10" s="7">
        <v>10000</v>
      </c>
      <c r="E10" s="7">
        <f t="shared" ref="E10:E47" si="0">SUM(E9+D10)</f>
        <v>140000</v>
      </c>
      <c r="F10" s="40">
        <f t="shared" ref="F10:F47" si="1">F9-D10</f>
        <v>480000</v>
      </c>
    </row>
    <row r="11" spans="1:6" x14ac:dyDescent="0.35">
      <c r="A11" s="6" t="s">
        <v>147</v>
      </c>
      <c r="B11" s="6">
        <v>2299</v>
      </c>
      <c r="C11" s="6" t="s">
        <v>88</v>
      </c>
      <c r="D11" s="7">
        <v>10000</v>
      </c>
      <c r="E11" s="7">
        <f t="shared" si="0"/>
        <v>150000</v>
      </c>
      <c r="F11" s="40">
        <f t="shared" si="1"/>
        <v>470000</v>
      </c>
    </row>
    <row r="12" spans="1:6" x14ac:dyDescent="0.35">
      <c r="A12" s="6" t="s">
        <v>148</v>
      </c>
      <c r="B12" s="6">
        <v>1251</v>
      </c>
      <c r="C12" s="6" t="s">
        <v>88</v>
      </c>
      <c r="D12" s="7">
        <v>10000</v>
      </c>
      <c r="E12" s="7">
        <f t="shared" si="0"/>
        <v>160000</v>
      </c>
      <c r="F12" s="40">
        <f t="shared" si="1"/>
        <v>460000</v>
      </c>
    </row>
    <row r="13" spans="1:6" x14ac:dyDescent="0.35">
      <c r="A13" s="6" t="s">
        <v>149</v>
      </c>
      <c r="B13" s="6">
        <v>832</v>
      </c>
      <c r="C13" s="6" t="s">
        <v>88</v>
      </c>
      <c r="D13" s="7">
        <v>10000</v>
      </c>
      <c r="E13" s="7">
        <f t="shared" si="0"/>
        <v>170000</v>
      </c>
      <c r="F13" s="40">
        <f t="shared" si="1"/>
        <v>450000</v>
      </c>
    </row>
    <row r="14" spans="1:6" x14ac:dyDescent="0.35">
      <c r="A14" s="6" t="s">
        <v>150</v>
      </c>
      <c r="B14" s="6">
        <v>937</v>
      </c>
      <c r="C14" s="6" t="s">
        <v>88</v>
      </c>
      <c r="D14" s="7">
        <v>10000</v>
      </c>
      <c r="E14" s="7">
        <f t="shared" si="0"/>
        <v>180000</v>
      </c>
      <c r="F14" s="40">
        <f t="shared" si="1"/>
        <v>440000</v>
      </c>
    </row>
    <row r="15" spans="1:6" x14ac:dyDescent="0.35">
      <c r="A15" s="5">
        <v>45237</v>
      </c>
      <c r="B15" s="6">
        <v>2673</v>
      </c>
      <c r="C15" s="6" t="s">
        <v>88</v>
      </c>
      <c r="D15" s="7">
        <v>10000</v>
      </c>
      <c r="E15" s="7">
        <f t="shared" si="0"/>
        <v>190000</v>
      </c>
      <c r="F15" s="40">
        <f t="shared" si="1"/>
        <v>430000</v>
      </c>
    </row>
    <row r="16" spans="1:6" x14ac:dyDescent="0.35">
      <c r="A16" s="6" t="s">
        <v>151</v>
      </c>
      <c r="B16" s="6">
        <v>3066</v>
      </c>
      <c r="C16" s="6" t="s">
        <v>88</v>
      </c>
      <c r="D16" s="7">
        <v>10000</v>
      </c>
      <c r="E16" s="7">
        <f t="shared" si="0"/>
        <v>200000</v>
      </c>
      <c r="F16" s="40">
        <f t="shared" si="1"/>
        <v>420000</v>
      </c>
    </row>
    <row r="17" spans="1:6" x14ac:dyDescent="0.35">
      <c r="A17" s="5">
        <v>45178</v>
      </c>
      <c r="B17" s="6">
        <v>3460</v>
      </c>
      <c r="C17" s="6" t="s">
        <v>88</v>
      </c>
      <c r="D17" s="7">
        <v>10000</v>
      </c>
      <c r="E17" s="7">
        <f t="shared" si="0"/>
        <v>210000</v>
      </c>
      <c r="F17" s="40">
        <f t="shared" si="1"/>
        <v>410000</v>
      </c>
    </row>
    <row r="18" spans="1:6" x14ac:dyDescent="0.35">
      <c r="A18" s="5">
        <v>45240</v>
      </c>
      <c r="B18" s="6">
        <v>4204</v>
      </c>
      <c r="C18" s="6" t="s">
        <v>88</v>
      </c>
      <c r="D18" s="7">
        <v>10000</v>
      </c>
      <c r="E18" s="7">
        <f t="shared" si="0"/>
        <v>220000</v>
      </c>
      <c r="F18" s="40">
        <f t="shared" si="1"/>
        <v>400000</v>
      </c>
    </row>
    <row r="19" spans="1:6" x14ac:dyDescent="0.35">
      <c r="A19" s="5" t="s">
        <v>17</v>
      </c>
      <c r="B19" s="6">
        <v>4872</v>
      </c>
      <c r="C19" s="6" t="s">
        <v>88</v>
      </c>
      <c r="D19" s="7">
        <v>10000</v>
      </c>
      <c r="E19" s="7">
        <f t="shared" si="0"/>
        <v>230000</v>
      </c>
      <c r="F19" s="40">
        <f t="shared" si="1"/>
        <v>390000</v>
      </c>
    </row>
    <row r="20" spans="1:6" x14ac:dyDescent="0.35">
      <c r="A20" s="5" t="s">
        <v>165</v>
      </c>
      <c r="B20" s="6">
        <v>5542</v>
      </c>
      <c r="C20" s="6" t="s">
        <v>88</v>
      </c>
      <c r="D20" s="7">
        <v>10000</v>
      </c>
      <c r="E20" s="7">
        <f t="shared" si="0"/>
        <v>240000</v>
      </c>
      <c r="F20" s="40">
        <f t="shared" si="1"/>
        <v>380000</v>
      </c>
    </row>
    <row r="21" spans="1:6" x14ac:dyDescent="0.35">
      <c r="A21" s="6" t="s">
        <v>153</v>
      </c>
      <c r="B21" s="6">
        <v>6149</v>
      </c>
      <c r="C21" s="6" t="s">
        <v>88</v>
      </c>
      <c r="D21" s="7">
        <v>10000</v>
      </c>
      <c r="E21" s="7">
        <f t="shared" si="0"/>
        <v>250000</v>
      </c>
      <c r="F21" s="40">
        <f t="shared" si="1"/>
        <v>370000</v>
      </c>
    </row>
    <row r="22" spans="1:6" x14ac:dyDescent="0.35">
      <c r="A22" s="6" t="s">
        <v>154</v>
      </c>
      <c r="B22" s="6">
        <v>6639</v>
      </c>
      <c r="C22" s="6" t="s">
        <v>88</v>
      </c>
      <c r="D22" s="7">
        <v>10000</v>
      </c>
      <c r="E22" s="7">
        <f t="shared" si="0"/>
        <v>260000</v>
      </c>
      <c r="F22" s="40">
        <f t="shared" si="1"/>
        <v>360000</v>
      </c>
    </row>
    <row r="23" spans="1:6" x14ac:dyDescent="0.35">
      <c r="A23" s="6" t="s">
        <v>155</v>
      </c>
      <c r="B23" s="6">
        <v>7370</v>
      </c>
      <c r="C23" s="6" t="s">
        <v>88</v>
      </c>
      <c r="D23" s="7">
        <v>10000</v>
      </c>
      <c r="E23" s="7">
        <f t="shared" si="0"/>
        <v>270000</v>
      </c>
      <c r="F23" s="40">
        <f t="shared" si="1"/>
        <v>350000</v>
      </c>
    </row>
    <row r="24" spans="1:6" x14ac:dyDescent="0.35">
      <c r="A24" s="6" t="s">
        <v>156</v>
      </c>
      <c r="B24" s="6">
        <v>7823</v>
      </c>
      <c r="C24" s="6" t="s">
        <v>88</v>
      </c>
      <c r="D24" s="7">
        <v>10000</v>
      </c>
      <c r="E24" s="7">
        <f t="shared" si="0"/>
        <v>280000</v>
      </c>
      <c r="F24" s="40">
        <f t="shared" si="1"/>
        <v>340000</v>
      </c>
    </row>
    <row r="25" spans="1:6" x14ac:dyDescent="0.35">
      <c r="A25" s="6" t="s">
        <v>157</v>
      </c>
      <c r="B25" s="6">
        <v>8570</v>
      </c>
      <c r="C25" s="6" t="s">
        <v>88</v>
      </c>
      <c r="D25" s="7">
        <v>10000</v>
      </c>
      <c r="E25" s="7">
        <f t="shared" si="0"/>
        <v>290000</v>
      </c>
      <c r="F25" s="40">
        <f t="shared" si="1"/>
        <v>330000</v>
      </c>
    </row>
    <row r="26" spans="1:6" x14ac:dyDescent="0.35">
      <c r="A26" s="6" t="s">
        <v>114</v>
      </c>
      <c r="B26" s="6">
        <v>9110</v>
      </c>
      <c r="C26" s="6" t="s">
        <v>88</v>
      </c>
      <c r="D26" s="7">
        <v>10000</v>
      </c>
      <c r="E26" s="7">
        <f t="shared" si="0"/>
        <v>300000</v>
      </c>
      <c r="F26" s="40">
        <f t="shared" si="1"/>
        <v>320000</v>
      </c>
    </row>
    <row r="27" spans="1:6" x14ac:dyDescent="0.35">
      <c r="A27" s="5">
        <v>45633</v>
      </c>
      <c r="B27" s="6">
        <v>9542</v>
      </c>
      <c r="C27" s="6" t="s">
        <v>88</v>
      </c>
      <c r="D27" s="7">
        <v>10000</v>
      </c>
      <c r="E27" s="7">
        <f t="shared" si="0"/>
        <v>310000</v>
      </c>
      <c r="F27" s="40">
        <f t="shared" si="1"/>
        <v>310000</v>
      </c>
    </row>
    <row r="28" spans="1:6" x14ac:dyDescent="0.35">
      <c r="A28" s="6" t="s">
        <v>158</v>
      </c>
      <c r="B28" s="6">
        <v>11153</v>
      </c>
      <c r="C28" s="6" t="s">
        <v>88</v>
      </c>
      <c r="D28" s="7">
        <v>10000</v>
      </c>
      <c r="E28" s="7">
        <f t="shared" si="0"/>
        <v>320000</v>
      </c>
      <c r="F28" s="40">
        <f t="shared" si="1"/>
        <v>300000</v>
      </c>
    </row>
    <row r="29" spans="1:6" x14ac:dyDescent="0.35">
      <c r="A29" s="6" t="s">
        <v>159</v>
      </c>
      <c r="B29" s="6">
        <v>10804</v>
      </c>
      <c r="C29" s="6" t="s">
        <v>88</v>
      </c>
      <c r="D29" s="7">
        <v>10000</v>
      </c>
      <c r="E29" s="7">
        <f t="shared" si="0"/>
        <v>330000</v>
      </c>
      <c r="F29" s="40">
        <f t="shared" si="1"/>
        <v>290000</v>
      </c>
    </row>
    <row r="30" spans="1:6" x14ac:dyDescent="0.35">
      <c r="A30" s="5">
        <v>45545</v>
      </c>
      <c r="B30" s="6">
        <v>11336</v>
      </c>
      <c r="C30" s="6" t="s">
        <v>88</v>
      </c>
      <c r="D30" s="7">
        <v>10000</v>
      </c>
      <c r="E30" s="7">
        <f t="shared" si="0"/>
        <v>340000</v>
      </c>
      <c r="F30" s="40">
        <f t="shared" si="1"/>
        <v>280000</v>
      </c>
    </row>
    <row r="31" spans="1:6" x14ac:dyDescent="0.35">
      <c r="A31" s="5">
        <v>45515</v>
      </c>
      <c r="B31" s="6">
        <v>11924</v>
      </c>
      <c r="C31" s="6" t="s">
        <v>88</v>
      </c>
      <c r="D31" s="7">
        <v>10000</v>
      </c>
      <c r="E31" s="7">
        <f t="shared" si="0"/>
        <v>350000</v>
      </c>
      <c r="F31" s="40">
        <f t="shared" si="1"/>
        <v>270000</v>
      </c>
    </row>
    <row r="32" spans="1:6" x14ac:dyDescent="0.35">
      <c r="A32" s="5">
        <v>45638</v>
      </c>
      <c r="B32" s="6">
        <v>12362</v>
      </c>
      <c r="C32" s="6" t="s">
        <v>88</v>
      </c>
      <c r="D32" s="7">
        <v>10000</v>
      </c>
      <c r="E32" s="7">
        <f t="shared" si="0"/>
        <v>360000</v>
      </c>
      <c r="F32" s="40">
        <f t="shared" si="1"/>
        <v>260000</v>
      </c>
    </row>
    <row r="33" spans="1:6" x14ac:dyDescent="0.35">
      <c r="A33" s="5">
        <v>45901</v>
      </c>
      <c r="B33" s="6">
        <v>12985</v>
      </c>
      <c r="C33" s="6" t="s">
        <v>88</v>
      </c>
      <c r="D33" s="7">
        <v>10000</v>
      </c>
      <c r="E33" s="7">
        <f t="shared" si="0"/>
        <v>370000</v>
      </c>
      <c r="F33" s="40">
        <f t="shared" si="1"/>
        <v>250000</v>
      </c>
    </row>
    <row r="34" spans="1:6" x14ac:dyDescent="0.35">
      <c r="A34" s="6" t="s">
        <v>160</v>
      </c>
      <c r="B34" s="6">
        <v>9461</v>
      </c>
      <c r="C34" s="6" t="s">
        <v>88</v>
      </c>
      <c r="D34" s="7">
        <v>10000</v>
      </c>
      <c r="E34" s="7">
        <f t="shared" si="0"/>
        <v>380000</v>
      </c>
      <c r="F34" s="40">
        <f t="shared" si="1"/>
        <v>240000</v>
      </c>
    </row>
    <row r="35" spans="1:6" x14ac:dyDescent="0.35">
      <c r="A35" s="5">
        <v>45994</v>
      </c>
      <c r="B35" s="6">
        <v>9749</v>
      </c>
      <c r="C35" s="6" t="s">
        <v>88</v>
      </c>
      <c r="D35" s="7">
        <v>10000</v>
      </c>
      <c r="E35" s="7">
        <f t="shared" si="0"/>
        <v>390000</v>
      </c>
      <c r="F35" s="40">
        <f t="shared" si="1"/>
        <v>230000</v>
      </c>
    </row>
    <row r="36" spans="1:6" x14ac:dyDescent="0.35">
      <c r="A36" s="5">
        <v>45904</v>
      </c>
      <c r="B36" s="6">
        <v>9981</v>
      </c>
      <c r="C36" s="6" t="s">
        <v>88</v>
      </c>
      <c r="D36" s="7">
        <v>10000</v>
      </c>
      <c r="E36" s="7">
        <f t="shared" si="0"/>
        <v>400000</v>
      </c>
      <c r="F36" s="40">
        <f t="shared" si="1"/>
        <v>220000</v>
      </c>
    </row>
    <row r="37" spans="1:6" x14ac:dyDescent="0.35">
      <c r="A37" s="5">
        <v>45966</v>
      </c>
      <c r="B37" s="6">
        <v>10943</v>
      </c>
      <c r="C37" s="6" t="s">
        <v>88</v>
      </c>
      <c r="D37" s="7">
        <v>10000</v>
      </c>
      <c r="E37" s="7">
        <f t="shared" si="0"/>
        <v>410000</v>
      </c>
      <c r="F37" s="40">
        <f t="shared" si="1"/>
        <v>210000</v>
      </c>
    </row>
    <row r="38" spans="1:6" x14ac:dyDescent="0.35">
      <c r="A38" s="6" t="s">
        <v>161</v>
      </c>
      <c r="B38" s="6">
        <v>991</v>
      </c>
      <c r="C38" s="6" t="s">
        <v>88</v>
      </c>
      <c r="D38" s="7">
        <v>10000</v>
      </c>
      <c r="E38" s="7">
        <f t="shared" si="0"/>
        <v>420000</v>
      </c>
      <c r="F38" s="40">
        <f t="shared" si="1"/>
        <v>200000</v>
      </c>
    </row>
    <row r="39" spans="1:6" x14ac:dyDescent="0.35">
      <c r="A39" s="6" t="s">
        <v>162</v>
      </c>
      <c r="B39" s="6">
        <v>12199</v>
      </c>
      <c r="C39" s="6" t="s">
        <v>88</v>
      </c>
      <c r="D39" s="7">
        <v>10000</v>
      </c>
      <c r="E39" s="7">
        <f t="shared" si="0"/>
        <v>430000</v>
      </c>
      <c r="F39" s="40">
        <f t="shared" si="1"/>
        <v>190000</v>
      </c>
    </row>
    <row r="40" spans="1:6" x14ac:dyDescent="0.35">
      <c r="A40" s="5">
        <v>45908</v>
      </c>
      <c r="B40" s="6">
        <v>12446</v>
      </c>
      <c r="C40" s="6" t="s">
        <v>88</v>
      </c>
      <c r="D40" s="7">
        <v>10000</v>
      </c>
      <c r="E40" s="7">
        <f t="shared" si="0"/>
        <v>440000</v>
      </c>
      <c r="F40" s="40">
        <f t="shared" si="1"/>
        <v>180000</v>
      </c>
    </row>
    <row r="41" spans="1:6" x14ac:dyDescent="0.35">
      <c r="A41" s="6" t="s">
        <v>163</v>
      </c>
      <c r="B41" s="6">
        <v>12776</v>
      </c>
      <c r="C41" s="6" t="s">
        <v>88</v>
      </c>
      <c r="D41" s="7">
        <v>10000</v>
      </c>
      <c r="E41" s="7">
        <f t="shared" si="0"/>
        <v>450000</v>
      </c>
      <c r="F41" s="40">
        <f t="shared" si="1"/>
        <v>170000</v>
      </c>
    </row>
    <row r="42" spans="1:6" x14ac:dyDescent="0.35">
      <c r="A42" s="5">
        <v>45848</v>
      </c>
      <c r="B42" s="6">
        <v>13721</v>
      </c>
      <c r="C42" s="6" t="s">
        <v>88</v>
      </c>
      <c r="D42" s="7">
        <v>10000</v>
      </c>
      <c r="E42" s="7">
        <f t="shared" si="0"/>
        <v>460000</v>
      </c>
      <c r="F42" s="40">
        <f t="shared" si="1"/>
        <v>160000</v>
      </c>
    </row>
    <row r="43" spans="1:6" x14ac:dyDescent="0.35">
      <c r="A43" s="6" t="s">
        <v>164</v>
      </c>
      <c r="B43" s="6">
        <v>13365</v>
      </c>
      <c r="C43" s="6" t="s">
        <v>88</v>
      </c>
      <c r="D43" s="7">
        <v>10000</v>
      </c>
      <c r="E43" s="7">
        <f t="shared" si="0"/>
        <v>470000</v>
      </c>
      <c r="F43" s="40">
        <f t="shared" si="1"/>
        <v>150000</v>
      </c>
    </row>
    <row r="44" spans="1:6" x14ac:dyDescent="0.35">
      <c r="A44" s="5">
        <v>45789</v>
      </c>
      <c r="B44" s="6">
        <v>13280</v>
      </c>
      <c r="C44" s="6" t="s">
        <v>88</v>
      </c>
      <c r="D44" s="7">
        <v>10000</v>
      </c>
      <c r="E44" s="7">
        <f t="shared" si="0"/>
        <v>480000</v>
      </c>
      <c r="F44" s="40">
        <f t="shared" si="1"/>
        <v>140000</v>
      </c>
    </row>
    <row r="45" spans="1:6" x14ac:dyDescent="0.35">
      <c r="A45" s="5">
        <v>46204</v>
      </c>
      <c r="B45" s="6">
        <v>12017</v>
      </c>
      <c r="C45" s="6" t="s">
        <v>88</v>
      </c>
      <c r="D45" s="7">
        <v>10000</v>
      </c>
      <c r="E45" s="7">
        <f t="shared" si="0"/>
        <v>490000</v>
      </c>
      <c r="F45" s="40">
        <f t="shared" si="1"/>
        <v>130000</v>
      </c>
    </row>
    <row r="46" spans="1:6" x14ac:dyDescent="0.35">
      <c r="A46" s="5">
        <v>46205</v>
      </c>
      <c r="B46" s="6">
        <v>12384</v>
      </c>
      <c r="C46" s="6" t="s">
        <v>88</v>
      </c>
      <c r="D46" s="7">
        <v>10000</v>
      </c>
      <c r="E46" s="7">
        <f t="shared" si="0"/>
        <v>500000</v>
      </c>
      <c r="F46" s="40">
        <f t="shared" si="1"/>
        <v>120000</v>
      </c>
    </row>
    <row r="47" spans="1:6" x14ac:dyDescent="0.35">
      <c r="A47" s="30">
        <v>46206</v>
      </c>
      <c r="B47" s="31">
        <v>12764</v>
      </c>
      <c r="C47" s="31" t="s">
        <v>88</v>
      </c>
      <c r="D47" s="7">
        <v>10000</v>
      </c>
      <c r="E47" s="7">
        <f t="shared" si="0"/>
        <v>510000</v>
      </c>
      <c r="F47" s="40">
        <f t="shared" si="1"/>
        <v>110000</v>
      </c>
    </row>
    <row r="48" spans="1:6" x14ac:dyDescent="0.35">
      <c r="A48" s="55">
        <v>46177</v>
      </c>
      <c r="B48" s="44">
        <v>13161</v>
      </c>
      <c r="C48" s="31" t="s">
        <v>88</v>
      </c>
      <c r="D48" s="7">
        <v>10000</v>
      </c>
      <c r="E48" s="46">
        <f>SUM(E47+D48)</f>
        <v>520000</v>
      </c>
      <c r="F48" s="47">
        <f>F47-D48</f>
        <v>100000</v>
      </c>
    </row>
    <row r="49" spans="1:6" x14ac:dyDescent="0.35">
      <c r="A49" s="55">
        <v>46239</v>
      </c>
      <c r="B49" s="44">
        <v>12954</v>
      </c>
      <c r="C49" s="31" t="s">
        <v>88</v>
      </c>
      <c r="D49" s="46">
        <v>10000</v>
      </c>
      <c r="E49" s="46">
        <f>SUM(E48+D49)</f>
        <v>530000</v>
      </c>
      <c r="F49" s="47">
        <f>F48-D49</f>
        <v>90000</v>
      </c>
    </row>
    <row r="50" spans="1:6" x14ac:dyDescent="0.35">
      <c r="A50" s="5">
        <v>46179</v>
      </c>
      <c r="B50" s="6">
        <v>13523</v>
      </c>
      <c r="C50" s="6" t="s">
        <v>88</v>
      </c>
      <c r="D50" s="7">
        <v>10000</v>
      </c>
      <c r="E50" s="7">
        <f>E49+D50</f>
        <v>540000</v>
      </c>
      <c r="F50" s="7">
        <f>F49-D50</f>
        <v>80000</v>
      </c>
    </row>
    <row r="51" spans="1:6" x14ac:dyDescent="0.35">
      <c r="A51" s="5">
        <v>46119</v>
      </c>
      <c r="B51" s="6">
        <v>1386</v>
      </c>
      <c r="C51" s="6" t="s">
        <v>88</v>
      </c>
      <c r="D51" s="7">
        <v>10000</v>
      </c>
      <c r="E51" s="7">
        <f>E50+D51</f>
        <v>550000</v>
      </c>
      <c r="F51" s="7">
        <f>F50-D51</f>
        <v>70000</v>
      </c>
    </row>
    <row r="52" spans="1:6" x14ac:dyDescent="0.35">
      <c r="A52" s="5">
        <v>46181</v>
      </c>
      <c r="B52" s="6">
        <v>1658</v>
      </c>
      <c r="C52" s="6" t="s">
        <v>88</v>
      </c>
      <c r="D52" s="7">
        <v>10000</v>
      </c>
      <c r="E52" s="7">
        <f>E51+D52</f>
        <v>560000</v>
      </c>
      <c r="F52" s="7">
        <f>F51-D52</f>
        <v>60000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7A88-1C2A-4EC8-9EDA-26DA80A82413}">
  <sheetPr codeName="Sheet11"/>
  <dimension ref="A1:F34"/>
  <sheetViews>
    <sheetView topLeftCell="A12" workbookViewId="0">
      <selection activeCell="F35" sqref="F35"/>
    </sheetView>
  </sheetViews>
  <sheetFormatPr defaultRowHeight="14.5" x14ac:dyDescent="0.35"/>
  <cols>
    <col min="3" max="3" width="10.81640625" bestFit="1" customWidth="1"/>
    <col min="4" max="4" width="10.90625" bestFit="1" customWidth="1"/>
    <col min="6" max="6" width="11.36328125" bestFit="1" customWidth="1"/>
  </cols>
  <sheetData>
    <row r="1" spans="1:6" ht="18.5" x14ac:dyDescent="0.45">
      <c r="A1" s="1" t="s">
        <v>101</v>
      </c>
      <c r="B1" s="1"/>
      <c r="C1" s="1"/>
      <c r="D1" s="1"/>
      <c r="E1" s="1"/>
      <c r="F1" s="1"/>
    </row>
    <row r="2" spans="1:6" ht="18.5" x14ac:dyDescent="0.45">
      <c r="A2" s="1" t="s">
        <v>102</v>
      </c>
      <c r="C2" s="1"/>
      <c r="D2" s="1"/>
      <c r="E2" s="1"/>
      <c r="F2" s="1"/>
    </row>
    <row r="3" spans="1:6" ht="18.5" x14ac:dyDescent="0.45">
      <c r="A3" s="1" t="s">
        <v>103</v>
      </c>
      <c r="B3" s="1"/>
      <c r="C3" s="1"/>
      <c r="D3" s="1"/>
      <c r="E3" s="1"/>
      <c r="F3" s="1"/>
    </row>
    <row r="4" spans="1:6" ht="18.5" x14ac:dyDescent="0.45">
      <c r="A4" s="1" t="s">
        <v>370</v>
      </c>
      <c r="B4" s="1" t="s">
        <v>793</v>
      </c>
      <c r="C4" s="1"/>
      <c r="D4" s="1"/>
      <c r="E4" s="1"/>
      <c r="F4" s="1"/>
    </row>
    <row r="5" spans="1:6" ht="18.5" x14ac:dyDescent="0.45">
      <c r="A5" s="1" t="s">
        <v>104</v>
      </c>
      <c r="B5" s="1"/>
      <c r="C5" s="1"/>
      <c r="D5" s="1"/>
      <c r="E5" s="1"/>
      <c r="F5" s="1"/>
    </row>
    <row r="6" spans="1:6" ht="18.5" x14ac:dyDescent="0.45">
      <c r="A6" s="1" t="s">
        <v>369</v>
      </c>
      <c r="B6" s="1"/>
      <c r="C6" s="1"/>
      <c r="D6" s="1"/>
      <c r="E6" s="1" t="s">
        <v>36</v>
      </c>
      <c r="F6" s="1"/>
    </row>
    <row r="7" spans="1:6" x14ac:dyDescent="0.35">
      <c r="A7" s="12" t="s">
        <v>3</v>
      </c>
      <c r="B7" s="6" t="s">
        <v>8</v>
      </c>
      <c r="C7" s="6" t="s">
        <v>4</v>
      </c>
      <c r="D7" s="6" t="s">
        <v>9</v>
      </c>
      <c r="E7" s="6" t="s">
        <v>10</v>
      </c>
      <c r="F7" s="6" t="s">
        <v>5</v>
      </c>
    </row>
    <row r="8" spans="1:6" x14ac:dyDescent="0.35">
      <c r="A8" s="5">
        <v>45017</v>
      </c>
      <c r="B8" s="6">
        <v>1950</v>
      </c>
      <c r="C8" s="6" t="s">
        <v>100</v>
      </c>
      <c r="D8" s="7">
        <v>120000</v>
      </c>
      <c r="E8" s="7">
        <v>120000</v>
      </c>
      <c r="F8" s="7">
        <v>480000</v>
      </c>
    </row>
    <row r="9" spans="1:6" x14ac:dyDescent="0.35">
      <c r="A9" s="5">
        <v>45020</v>
      </c>
      <c r="B9" s="6">
        <v>1801</v>
      </c>
      <c r="C9" s="6" t="s">
        <v>88</v>
      </c>
      <c r="D9" s="6">
        <v>10000</v>
      </c>
      <c r="E9" s="7">
        <v>130000</v>
      </c>
      <c r="F9" s="7">
        <v>470000</v>
      </c>
    </row>
    <row r="10" spans="1:6" x14ac:dyDescent="0.35">
      <c r="A10" s="5">
        <v>44990</v>
      </c>
      <c r="B10" s="6">
        <v>1424</v>
      </c>
      <c r="C10" s="6" t="s">
        <v>88</v>
      </c>
      <c r="D10" s="6">
        <v>10000</v>
      </c>
      <c r="E10" s="7">
        <f t="shared" ref="E10:E32" si="0">SUM(E9+D10)</f>
        <v>140000</v>
      </c>
      <c r="F10" s="7">
        <f t="shared" ref="F10:F32" si="1">F9-D10</f>
        <v>460000</v>
      </c>
    </row>
    <row r="11" spans="1:6" x14ac:dyDescent="0.35">
      <c r="A11" s="6" t="s">
        <v>105</v>
      </c>
      <c r="B11" s="6">
        <v>907</v>
      </c>
      <c r="C11" s="6" t="s">
        <v>88</v>
      </c>
      <c r="D11" s="6">
        <v>10000</v>
      </c>
      <c r="E11" s="7">
        <f t="shared" si="0"/>
        <v>150000</v>
      </c>
      <c r="F11" s="7">
        <f t="shared" si="1"/>
        <v>450000</v>
      </c>
    </row>
    <row r="12" spans="1:6" x14ac:dyDescent="0.35">
      <c r="A12" s="6" t="s">
        <v>106</v>
      </c>
      <c r="B12" s="6">
        <v>2852</v>
      </c>
      <c r="C12" s="6" t="s">
        <v>88</v>
      </c>
      <c r="D12" s="6">
        <v>10000</v>
      </c>
      <c r="E12" s="7">
        <f t="shared" si="0"/>
        <v>160000</v>
      </c>
      <c r="F12" s="7">
        <f t="shared" si="1"/>
        <v>440000</v>
      </c>
    </row>
    <row r="13" spans="1:6" x14ac:dyDescent="0.35">
      <c r="A13" s="6" t="s">
        <v>107</v>
      </c>
      <c r="B13" s="6">
        <v>3229</v>
      </c>
      <c r="C13" s="6" t="s">
        <v>88</v>
      </c>
      <c r="D13" s="6">
        <v>10000</v>
      </c>
      <c r="E13" s="7">
        <f t="shared" si="0"/>
        <v>170000</v>
      </c>
      <c r="F13" s="7">
        <f t="shared" si="1"/>
        <v>430000</v>
      </c>
    </row>
    <row r="14" spans="1:6" x14ac:dyDescent="0.35">
      <c r="A14" s="6" t="s">
        <v>108</v>
      </c>
      <c r="B14" s="6">
        <v>3817</v>
      </c>
      <c r="C14" s="6" t="s">
        <v>88</v>
      </c>
      <c r="D14" s="6">
        <v>10000</v>
      </c>
      <c r="E14" s="7">
        <f t="shared" si="0"/>
        <v>180000</v>
      </c>
      <c r="F14" s="7">
        <f t="shared" si="1"/>
        <v>420000</v>
      </c>
    </row>
    <row r="15" spans="1:6" x14ac:dyDescent="0.35">
      <c r="A15" s="6" t="s">
        <v>109</v>
      </c>
      <c r="B15" s="6">
        <v>4494</v>
      </c>
      <c r="C15" s="6" t="s">
        <v>88</v>
      </c>
      <c r="D15" s="6">
        <v>10000</v>
      </c>
      <c r="E15" s="7">
        <f t="shared" si="0"/>
        <v>190000</v>
      </c>
      <c r="F15" s="7">
        <f t="shared" si="1"/>
        <v>410000</v>
      </c>
    </row>
    <row r="16" spans="1:6" x14ac:dyDescent="0.35">
      <c r="A16" s="6" t="s">
        <v>110</v>
      </c>
      <c r="B16" s="6">
        <v>5140</v>
      </c>
      <c r="C16" s="6" t="s">
        <v>88</v>
      </c>
      <c r="D16" s="6">
        <v>10000</v>
      </c>
      <c r="E16" s="7">
        <f t="shared" si="0"/>
        <v>200000</v>
      </c>
      <c r="F16" s="7">
        <f t="shared" si="1"/>
        <v>400000</v>
      </c>
    </row>
    <row r="17" spans="1:6" x14ac:dyDescent="0.35">
      <c r="A17" s="6" t="s">
        <v>97</v>
      </c>
      <c r="B17" s="6">
        <v>5880</v>
      </c>
      <c r="C17" s="6" t="s">
        <v>88</v>
      </c>
      <c r="D17" s="6">
        <v>10000</v>
      </c>
      <c r="E17" s="7">
        <f t="shared" si="0"/>
        <v>210000</v>
      </c>
      <c r="F17" s="7">
        <f t="shared" si="1"/>
        <v>390000</v>
      </c>
    </row>
    <row r="18" spans="1:6" x14ac:dyDescent="0.35">
      <c r="A18" s="6" t="s">
        <v>111</v>
      </c>
      <c r="B18" s="6">
        <v>6487</v>
      </c>
      <c r="C18" s="6" t="s">
        <v>88</v>
      </c>
      <c r="D18" s="6">
        <v>10000</v>
      </c>
      <c r="E18" s="7">
        <f t="shared" si="0"/>
        <v>220000</v>
      </c>
      <c r="F18" s="7">
        <f t="shared" si="1"/>
        <v>380000</v>
      </c>
    </row>
    <row r="19" spans="1:6" x14ac:dyDescent="0.35">
      <c r="A19" s="6" t="s">
        <v>112</v>
      </c>
      <c r="B19" s="6">
        <v>6802</v>
      </c>
      <c r="C19" s="6" t="s">
        <v>88</v>
      </c>
      <c r="D19" s="6">
        <v>10000</v>
      </c>
      <c r="E19" s="7">
        <f t="shared" si="0"/>
        <v>230000</v>
      </c>
      <c r="F19" s="7">
        <f t="shared" si="1"/>
        <v>370000</v>
      </c>
    </row>
    <row r="20" spans="1:6" x14ac:dyDescent="0.35">
      <c r="A20" s="6" t="s">
        <v>113</v>
      </c>
      <c r="B20" s="6">
        <v>7612</v>
      </c>
      <c r="C20" s="6" t="s">
        <v>88</v>
      </c>
      <c r="D20" s="6">
        <v>10000</v>
      </c>
      <c r="E20" s="7">
        <f t="shared" si="0"/>
        <v>240000</v>
      </c>
      <c r="F20" s="7">
        <f t="shared" si="1"/>
        <v>360000</v>
      </c>
    </row>
    <row r="21" spans="1:6" x14ac:dyDescent="0.35">
      <c r="A21" s="5">
        <v>45417</v>
      </c>
      <c r="B21" s="6">
        <v>8241</v>
      </c>
      <c r="C21" s="6" t="s">
        <v>88</v>
      </c>
      <c r="D21" s="6">
        <v>10000</v>
      </c>
      <c r="E21" s="7">
        <f t="shared" si="0"/>
        <v>250000</v>
      </c>
      <c r="F21" s="7">
        <f t="shared" si="1"/>
        <v>350000</v>
      </c>
    </row>
    <row r="22" spans="1:6" x14ac:dyDescent="0.35">
      <c r="A22" s="6" t="s">
        <v>114</v>
      </c>
      <c r="B22" s="6">
        <v>9100</v>
      </c>
      <c r="C22" s="6" t="s">
        <v>88</v>
      </c>
      <c r="D22" s="6">
        <v>10000</v>
      </c>
      <c r="E22" s="7">
        <f t="shared" si="0"/>
        <v>260000</v>
      </c>
      <c r="F22" s="7">
        <f t="shared" si="1"/>
        <v>340000</v>
      </c>
    </row>
    <row r="23" spans="1:6" x14ac:dyDescent="0.35">
      <c r="A23" s="5">
        <v>45451</v>
      </c>
      <c r="B23" s="6">
        <v>10054</v>
      </c>
      <c r="C23" s="6" t="s">
        <v>88</v>
      </c>
      <c r="D23" s="6">
        <v>10000</v>
      </c>
      <c r="E23" s="7">
        <f t="shared" si="0"/>
        <v>270000</v>
      </c>
      <c r="F23" s="7">
        <f t="shared" si="1"/>
        <v>330000</v>
      </c>
    </row>
    <row r="24" spans="1:6" x14ac:dyDescent="0.35">
      <c r="A24" s="6" t="s">
        <v>72</v>
      </c>
      <c r="B24" s="6">
        <v>383</v>
      </c>
      <c r="C24" s="6" t="s">
        <v>88</v>
      </c>
      <c r="D24" s="6">
        <v>20000</v>
      </c>
      <c r="E24" s="7">
        <f t="shared" si="0"/>
        <v>290000</v>
      </c>
      <c r="F24" s="7">
        <f t="shared" si="1"/>
        <v>310000</v>
      </c>
    </row>
    <row r="25" spans="1:6" x14ac:dyDescent="0.35">
      <c r="A25" s="5" t="s">
        <v>115</v>
      </c>
      <c r="B25" s="6">
        <v>12646</v>
      </c>
      <c r="C25" s="6" t="s">
        <v>88</v>
      </c>
      <c r="D25" s="6">
        <v>30000</v>
      </c>
      <c r="E25" s="7">
        <f t="shared" si="0"/>
        <v>320000</v>
      </c>
      <c r="F25" s="7">
        <f t="shared" si="1"/>
        <v>280000</v>
      </c>
    </row>
    <row r="26" spans="1:6" x14ac:dyDescent="0.35">
      <c r="A26" s="6" t="s">
        <v>45</v>
      </c>
      <c r="B26" s="6">
        <v>9420</v>
      </c>
      <c r="C26" s="6" t="s">
        <v>88</v>
      </c>
      <c r="D26" s="6">
        <v>30000</v>
      </c>
      <c r="E26" s="7">
        <f t="shared" si="0"/>
        <v>350000</v>
      </c>
      <c r="F26" s="7">
        <f t="shared" si="1"/>
        <v>250000</v>
      </c>
    </row>
    <row r="27" spans="1:6" x14ac:dyDescent="0.35">
      <c r="A27" s="5">
        <v>45662</v>
      </c>
      <c r="B27" s="6">
        <v>10088</v>
      </c>
      <c r="C27" s="6" t="s">
        <v>88</v>
      </c>
      <c r="D27" s="6">
        <v>30000</v>
      </c>
      <c r="E27" s="7">
        <f t="shared" si="0"/>
        <v>380000</v>
      </c>
      <c r="F27" s="7">
        <f t="shared" si="1"/>
        <v>220000</v>
      </c>
    </row>
    <row r="28" spans="1:6" x14ac:dyDescent="0.35">
      <c r="A28" s="6" t="s">
        <v>116</v>
      </c>
      <c r="B28" s="6">
        <v>12207</v>
      </c>
      <c r="C28" s="6" t="s">
        <v>88</v>
      </c>
      <c r="D28" s="6">
        <v>20000</v>
      </c>
      <c r="E28" s="7">
        <f t="shared" si="0"/>
        <v>400000</v>
      </c>
      <c r="F28" s="7">
        <f t="shared" si="1"/>
        <v>200000</v>
      </c>
    </row>
    <row r="29" spans="1:6" x14ac:dyDescent="0.35">
      <c r="A29" s="5" t="s">
        <v>117</v>
      </c>
      <c r="B29" s="6">
        <v>13562</v>
      </c>
      <c r="C29" s="6" t="s">
        <v>88</v>
      </c>
      <c r="D29" s="6">
        <v>20000</v>
      </c>
      <c r="E29" s="7">
        <f t="shared" si="0"/>
        <v>420000</v>
      </c>
      <c r="F29" s="7">
        <f t="shared" si="1"/>
        <v>180000</v>
      </c>
    </row>
    <row r="30" spans="1:6" x14ac:dyDescent="0.35">
      <c r="A30" s="6" t="s">
        <v>81</v>
      </c>
      <c r="B30" s="6">
        <v>13243</v>
      </c>
      <c r="C30" s="6" t="s">
        <v>88</v>
      </c>
      <c r="D30" s="6">
        <v>20000</v>
      </c>
      <c r="E30" s="7">
        <f t="shared" si="0"/>
        <v>440000</v>
      </c>
      <c r="F30" s="7">
        <f t="shared" si="1"/>
        <v>160000</v>
      </c>
    </row>
    <row r="31" spans="1:6" x14ac:dyDescent="0.35">
      <c r="A31" s="5">
        <v>46114</v>
      </c>
      <c r="B31" s="6">
        <v>12330</v>
      </c>
      <c r="C31" s="6" t="s">
        <v>88</v>
      </c>
      <c r="D31" s="6">
        <v>20000</v>
      </c>
      <c r="E31" s="7">
        <f t="shared" si="0"/>
        <v>460000</v>
      </c>
      <c r="F31" s="7">
        <f t="shared" si="1"/>
        <v>140000</v>
      </c>
    </row>
    <row r="32" spans="1:6" x14ac:dyDescent="0.35">
      <c r="A32" s="31" t="s">
        <v>368</v>
      </c>
      <c r="B32" s="31">
        <v>13983</v>
      </c>
      <c r="C32" s="6" t="s">
        <v>88</v>
      </c>
      <c r="D32" s="36">
        <v>20000</v>
      </c>
      <c r="E32" s="7">
        <f t="shared" si="0"/>
        <v>480000</v>
      </c>
      <c r="F32" s="7">
        <f t="shared" si="1"/>
        <v>120000</v>
      </c>
    </row>
    <row r="33" spans="1:6" x14ac:dyDescent="0.35">
      <c r="A33" s="76" t="s">
        <v>791</v>
      </c>
      <c r="B33" s="31">
        <v>13469</v>
      </c>
      <c r="C33" s="31" t="s">
        <v>88</v>
      </c>
      <c r="D33" s="36">
        <v>20000</v>
      </c>
      <c r="E33" s="36">
        <f>E32+D33</f>
        <v>500000</v>
      </c>
      <c r="F33" s="36">
        <f>F32-D33</f>
        <v>100000</v>
      </c>
    </row>
    <row r="34" spans="1:6" x14ac:dyDescent="0.35">
      <c r="A34" s="31" t="s">
        <v>789</v>
      </c>
      <c r="B34" s="31">
        <v>1389</v>
      </c>
      <c r="C34" s="31" t="s">
        <v>88</v>
      </c>
      <c r="D34" s="36">
        <v>20000</v>
      </c>
      <c r="E34" s="36">
        <f>E33+D34</f>
        <v>520000</v>
      </c>
      <c r="F34" s="36">
        <f>F33-D34</f>
        <v>80000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7FFC4-5950-4773-B64B-74ABDD438F86}">
  <dimension ref="A1:F34"/>
  <sheetViews>
    <sheetView workbookViewId="0">
      <selection activeCell="F35" sqref="F35"/>
    </sheetView>
  </sheetViews>
  <sheetFormatPr defaultRowHeight="14.5" x14ac:dyDescent="0.35"/>
  <cols>
    <col min="3" max="3" width="10.26953125" customWidth="1"/>
  </cols>
  <sheetData>
    <row r="1" spans="1:6" ht="18.5" x14ac:dyDescent="0.45">
      <c r="A1" s="1" t="s">
        <v>101</v>
      </c>
      <c r="B1" s="1"/>
      <c r="C1" s="1"/>
      <c r="D1" s="1"/>
      <c r="E1" s="1"/>
      <c r="F1" s="1"/>
    </row>
    <row r="2" spans="1:6" ht="18.5" x14ac:dyDescent="0.45">
      <c r="A2" s="1" t="s">
        <v>102</v>
      </c>
      <c r="C2" s="1"/>
      <c r="D2" s="1"/>
      <c r="E2" s="1"/>
      <c r="F2" s="1"/>
    </row>
    <row r="3" spans="1:6" ht="18.5" x14ac:dyDescent="0.45">
      <c r="A3" s="1" t="s">
        <v>103</v>
      </c>
      <c r="B3" s="1"/>
      <c r="C3" s="1"/>
      <c r="D3" s="1"/>
      <c r="E3" s="1"/>
      <c r="F3" s="1"/>
    </row>
    <row r="4" spans="1:6" ht="18.5" x14ac:dyDescent="0.45">
      <c r="A4" s="1" t="s">
        <v>371</v>
      </c>
      <c r="B4" s="1" t="s">
        <v>790</v>
      </c>
      <c r="C4" s="1"/>
      <c r="D4" s="1"/>
      <c r="E4" s="1"/>
      <c r="F4" s="1"/>
    </row>
    <row r="5" spans="1:6" ht="18.5" x14ac:dyDescent="0.45">
      <c r="A5" s="1" t="s">
        <v>104</v>
      </c>
      <c r="B5" s="1"/>
      <c r="C5" s="1"/>
      <c r="D5" s="1"/>
      <c r="E5" s="1"/>
      <c r="F5" s="1"/>
    </row>
    <row r="6" spans="1:6" ht="18.5" x14ac:dyDescent="0.45">
      <c r="A6" s="1" t="s">
        <v>372</v>
      </c>
      <c r="B6" s="1"/>
      <c r="C6" s="1"/>
      <c r="D6" s="1"/>
      <c r="E6" s="1" t="s">
        <v>36</v>
      </c>
      <c r="F6" s="1"/>
    </row>
    <row r="7" spans="1:6" x14ac:dyDescent="0.35">
      <c r="A7" s="12" t="s">
        <v>3</v>
      </c>
      <c r="B7" s="6" t="s">
        <v>8</v>
      </c>
      <c r="C7" s="6" t="s">
        <v>4</v>
      </c>
      <c r="D7" s="6" t="s">
        <v>9</v>
      </c>
      <c r="E7" s="6" t="s">
        <v>10</v>
      </c>
      <c r="F7" s="6" t="s">
        <v>5</v>
      </c>
    </row>
    <row r="8" spans="1:6" x14ac:dyDescent="0.35">
      <c r="A8" s="2">
        <v>45017</v>
      </c>
      <c r="B8" s="3">
        <v>1949</v>
      </c>
      <c r="C8" s="3" t="s">
        <v>100</v>
      </c>
      <c r="D8" s="4">
        <v>120000</v>
      </c>
      <c r="E8" s="4">
        <v>120000</v>
      </c>
      <c r="F8" s="4">
        <v>480000</v>
      </c>
    </row>
    <row r="9" spans="1:6" x14ac:dyDescent="0.35">
      <c r="A9" s="2">
        <v>45020</v>
      </c>
      <c r="B9" s="3">
        <v>1800</v>
      </c>
      <c r="C9" s="3" t="s">
        <v>88</v>
      </c>
      <c r="D9" s="3">
        <v>10000</v>
      </c>
      <c r="E9" s="4">
        <v>130000</v>
      </c>
      <c r="F9" s="4">
        <v>470000</v>
      </c>
    </row>
    <row r="10" spans="1:6" x14ac:dyDescent="0.35">
      <c r="A10" s="2">
        <v>44990</v>
      </c>
      <c r="B10" s="3">
        <v>1423</v>
      </c>
      <c r="C10" s="3" t="s">
        <v>88</v>
      </c>
      <c r="D10" s="3">
        <v>10000</v>
      </c>
      <c r="E10" s="4">
        <f t="shared" ref="E10:E32" si="0">SUM(E9+D10)</f>
        <v>140000</v>
      </c>
      <c r="F10" s="4">
        <f t="shared" ref="F10:F32" si="1">F9-D10</f>
        <v>460000</v>
      </c>
    </row>
    <row r="11" spans="1:6" x14ac:dyDescent="0.35">
      <c r="A11" s="3" t="s">
        <v>105</v>
      </c>
      <c r="B11" s="3">
        <v>908</v>
      </c>
      <c r="C11" s="3" t="s">
        <v>88</v>
      </c>
      <c r="D11" s="3">
        <v>10000</v>
      </c>
      <c r="E11" s="4">
        <f t="shared" si="0"/>
        <v>150000</v>
      </c>
      <c r="F11" s="4">
        <f t="shared" si="1"/>
        <v>450000</v>
      </c>
    </row>
    <row r="12" spans="1:6" x14ac:dyDescent="0.35">
      <c r="A12" s="3" t="s">
        <v>106</v>
      </c>
      <c r="B12" s="3">
        <v>2851</v>
      </c>
      <c r="C12" s="3" t="s">
        <v>88</v>
      </c>
      <c r="D12" s="3">
        <v>10000</v>
      </c>
      <c r="E12" s="4">
        <f t="shared" si="0"/>
        <v>160000</v>
      </c>
      <c r="F12" s="4">
        <f t="shared" si="1"/>
        <v>440000</v>
      </c>
    </row>
    <row r="13" spans="1:6" x14ac:dyDescent="0.35">
      <c r="A13" s="3" t="s">
        <v>107</v>
      </c>
      <c r="B13" s="3">
        <v>3232</v>
      </c>
      <c r="C13" s="3" t="s">
        <v>88</v>
      </c>
      <c r="D13" s="3">
        <v>10000</v>
      </c>
      <c r="E13" s="4">
        <f t="shared" si="0"/>
        <v>170000</v>
      </c>
      <c r="F13" s="4">
        <f t="shared" si="1"/>
        <v>430000</v>
      </c>
    </row>
    <row r="14" spans="1:6" x14ac:dyDescent="0.35">
      <c r="A14" s="3" t="s">
        <v>108</v>
      </c>
      <c r="B14" s="3">
        <v>3818</v>
      </c>
      <c r="C14" s="3" t="s">
        <v>88</v>
      </c>
      <c r="D14" s="3">
        <v>10000</v>
      </c>
      <c r="E14" s="4">
        <f t="shared" si="0"/>
        <v>180000</v>
      </c>
      <c r="F14" s="4">
        <f t="shared" si="1"/>
        <v>420000</v>
      </c>
    </row>
    <row r="15" spans="1:6" x14ac:dyDescent="0.35">
      <c r="A15" s="3" t="s">
        <v>109</v>
      </c>
      <c r="B15" s="3">
        <v>4493</v>
      </c>
      <c r="C15" s="3" t="s">
        <v>88</v>
      </c>
      <c r="D15" s="3">
        <v>10000</v>
      </c>
      <c r="E15" s="4">
        <f t="shared" si="0"/>
        <v>190000</v>
      </c>
      <c r="F15" s="4">
        <f t="shared" si="1"/>
        <v>410000</v>
      </c>
    </row>
    <row r="16" spans="1:6" x14ac:dyDescent="0.35">
      <c r="A16" s="3" t="s">
        <v>110</v>
      </c>
      <c r="B16" s="3">
        <v>5139</v>
      </c>
      <c r="C16" s="3" t="s">
        <v>88</v>
      </c>
      <c r="D16" s="3">
        <v>10000</v>
      </c>
      <c r="E16" s="4">
        <f t="shared" si="0"/>
        <v>200000</v>
      </c>
      <c r="F16" s="4">
        <f t="shared" si="1"/>
        <v>400000</v>
      </c>
    </row>
    <row r="17" spans="1:6" x14ac:dyDescent="0.35">
      <c r="A17" s="3" t="s">
        <v>97</v>
      </c>
      <c r="B17" s="3">
        <v>5879</v>
      </c>
      <c r="C17" s="3" t="s">
        <v>88</v>
      </c>
      <c r="D17" s="3">
        <v>10000</v>
      </c>
      <c r="E17" s="4">
        <f t="shared" si="0"/>
        <v>210000</v>
      </c>
      <c r="F17" s="4">
        <f t="shared" si="1"/>
        <v>390000</v>
      </c>
    </row>
    <row r="18" spans="1:6" x14ac:dyDescent="0.35">
      <c r="A18" s="3" t="s">
        <v>111</v>
      </c>
      <c r="B18" s="3">
        <v>6488</v>
      </c>
      <c r="C18" s="3" t="s">
        <v>88</v>
      </c>
      <c r="D18" s="3">
        <v>10000</v>
      </c>
      <c r="E18" s="4">
        <f t="shared" si="0"/>
        <v>220000</v>
      </c>
      <c r="F18" s="4">
        <f t="shared" si="1"/>
        <v>380000</v>
      </c>
    </row>
    <row r="19" spans="1:6" x14ac:dyDescent="0.35">
      <c r="A19" s="3" t="s">
        <v>112</v>
      </c>
      <c r="B19" s="3">
        <v>6803</v>
      </c>
      <c r="C19" s="3" t="s">
        <v>88</v>
      </c>
      <c r="D19" s="3">
        <v>10000</v>
      </c>
      <c r="E19" s="4">
        <f t="shared" si="0"/>
        <v>230000</v>
      </c>
      <c r="F19" s="4">
        <f t="shared" si="1"/>
        <v>370000</v>
      </c>
    </row>
    <row r="20" spans="1:6" x14ac:dyDescent="0.35">
      <c r="A20" s="3" t="s">
        <v>113</v>
      </c>
      <c r="B20" s="3">
        <v>7613</v>
      </c>
      <c r="C20" s="3" t="s">
        <v>88</v>
      </c>
      <c r="D20" s="3">
        <v>10000</v>
      </c>
      <c r="E20" s="4">
        <f t="shared" si="0"/>
        <v>240000</v>
      </c>
      <c r="F20" s="4">
        <f t="shared" si="1"/>
        <v>360000</v>
      </c>
    </row>
    <row r="21" spans="1:6" x14ac:dyDescent="0.35">
      <c r="A21" s="2">
        <v>45417</v>
      </c>
      <c r="B21" s="3">
        <v>8242</v>
      </c>
      <c r="C21" s="3" t="s">
        <v>88</v>
      </c>
      <c r="D21" s="3">
        <v>10000</v>
      </c>
      <c r="E21" s="4">
        <f t="shared" si="0"/>
        <v>250000</v>
      </c>
      <c r="F21" s="4">
        <f t="shared" si="1"/>
        <v>350000</v>
      </c>
    </row>
    <row r="22" spans="1:6" x14ac:dyDescent="0.35">
      <c r="A22" s="3" t="s">
        <v>114</v>
      </c>
      <c r="B22" s="3">
        <v>9099</v>
      </c>
      <c r="C22" s="3" t="s">
        <v>88</v>
      </c>
      <c r="D22" s="3">
        <v>10000</v>
      </c>
      <c r="E22" s="4">
        <f t="shared" si="0"/>
        <v>260000</v>
      </c>
      <c r="F22" s="4">
        <f t="shared" si="1"/>
        <v>340000</v>
      </c>
    </row>
    <row r="23" spans="1:6" x14ac:dyDescent="0.35">
      <c r="A23" s="2">
        <v>45451</v>
      </c>
      <c r="B23" s="3">
        <v>1055</v>
      </c>
      <c r="C23" s="3" t="s">
        <v>88</v>
      </c>
      <c r="D23" s="3">
        <v>10000</v>
      </c>
      <c r="E23" s="4">
        <f t="shared" si="0"/>
        <v>270000</v>
      </c>
      <c r="F23" s="4">
        <f t="shared" si="1"/>
        <v>330000</v>
      </c>
    </row>
    <row r="24" spans="1:6" x14ac:dyDescent="0.35">
      <c r="A24" s="3" t="s">
        <v>72</v>
      </c>
      <c r="B24" s="3">
        <v>384</v>
      </c>
      <c r="C24" s="3" t="s">
        <v>88</v>
      </c>
      <c r="D24" s="3">
        <v>20000</v>
      </c>
      <c r="E24" s="4">
        <f t="shared" si="0"/>
        <v>290000</v>
      </c>
      <c r="F24" s="4">
        <f t="shared" si="1"/>
        <v>310000</v>
      </c>
    </row>
    <row r="25" spans="1:6" x14ac:dyDescent="0.35">
      <c r="A25" s="2" t="s">
        <v>115</v>
      </c>
      <c r="B25" s="3">
        <v>12647</v>
      </c>
      <c r="C25" s="3" t="s">
        <v>88</v>
      </c>
      <c r="D25" s="3">
        <v>30000</v>
      </c>
      <c r="E25" s="4">
        <f t="shared" si="0"/>
        <v>320000</v>
      </c>
      <c r="F25" s="4">
        <f t="shared" si="1"/>
        <v>280000</v>
      </c>
    </row>
    <row r="26" spans="1:6" x14ac:dyDescent="0.35">
      <c r="A26" s="3" t="s">
        <v>45</v>
      </c>
      <c r="B26" s="3">
        <v>9419</v>
      </c>
      <c r="C26" s="3" t="s">
        <v>88</v>
      </c>
      <c r="D26" s="3">
        <v>30000</v>
      </c>
      <c r="E26" s="4">
        <f t="shared" si="0"/>
        <v>350000</v>
      </c>
      <c r="F26" s="4">
        <f t="shared" si="1"/>
        <v>250000</v>
      </c>
    </row>
    <row r="27" spans="1:6" x14ac:dyDescent="0.35">
      <c r="A27" s="2">
        <v>45662</v>
      </c>
      <c r="B27" s="3">
        <v>10087</v>
      </c>
      <c r="C27" s="3" t="s">
        <v>88</v>
      </c>
      <c r="D27" s="3">
        <v>30000</v>
      </c>
      <c r="E27" s="4">
        <f t="shared" si="0"/>
        <v>380000</v>
      </c>
      <c r="F27" s="4">
        <f t="shared" si="1"/>
        <v>220000</v>
      </c>
    </row>
    <row r="28" spans="1:6" x14ac:dyDescent="0.35">
      <c r="A28" s="3" t="s">
        <v>116</v>
      </c>
      <c r="B28" s="3">
        <v>12208</v>
      </c>
      <c r="C28" s="3" t="s">
        <v>88</v>
      </c>
      <c r="D28" s="3">
        <v>20000</v>
      </c>
      <c r="E28" s="4">
        <f t="shared" si="0"/>
        <v>400000</v>
      </c>
      <c r="F28" s="4">
        <f t="shared" si="1"/>
        <v>200000</v>
      </c>
    </row>
    <row r="29" spans="1:6" x14ac:dyDescent="0.35">
      <c r="A29" s="2" t="s">
        <v>117</v>
      </c>
      <c r="B29" s="3">
        <v>13563</v>
      </c>
      <c r="C29" s="3" t="s">
        <v>88</v>
      </c>
      <c r="D29" s="3">
        <v>20000</v>
      </c>
      <c r="E29" s="4">
        <f t="shared" si="0"/>
        <v>420000</v>
      </c>
      <c r="F29" s="4">
        <f t="shared" si="1"/>
        <v>180000</v>
      </c>
    </row>
    <row r="30" spans="1:6" x14ac:dyDescent="0.35">
      <c r="A30" s="3" t="s">
        <v>81</v>
      </c>
      <c r="B30" s="3">
        <v>13244</v>
      </c>
      <c r="C30" s="3" t="s">
        <v>88</v>
      </c>
      <c r="D30" s="3">
        <v>20000</v>
      </c>
      <c r="E30" s="4">
        <f t="shared" si="0"/>
        <v>440000</v>
      </c>
      <c r="F30" s="4">
        <f t="shared" si="1"/>
        <v>160000</v>
      </c>
    </row>
    <row r="31" spans="1:6" x14ac:dyDescent="0.35">
      <c r="A31" s="2">
        <v>46114</v>
      </c>
      <c r="B31" s="3">
        <v>12331</v>
      </c>
      <c r="C31" s="3" t="s">
        <v>88</v>
      </c>
      <c r="D31" s="3">
        <v>20000</v>
      </c>
      <c r="E31" s="4">
        <f t="shared" si="0"/>
        <v>460000</v>
      </c>
      <c r="F31" s="4">
        <f t="shared" si="1"/>
        <v>140000</v>
      </c>
    </row>
    <row r="32" spans="1:6" x14ac:dyDescent="0.35">
      <c r="A32" s="3" t="s">
        <v>368</v>
      </c>
      <c r="B32" s="3">
        <v>13982</v>
      </c>
      <c r="C32" s="3" t="s">
        <v>88</v>
      </c>
      <c r="D32" s="4">
        <v>20000</v>
      </c>
      <c r="E32" s="4">
        <f t="shared" si="0"/>
        <v>480000</v>
      </c>
      <c r="F32" s="4">
        <f t="shared" si="1"/>
        <v>120000</v>
      </c>
    </row>
    <row r="33" spans="1:6" x14ac:dyDescent="0.35">
      <c r="A33" s="75" t="s">
        <v>791</v>
      </c>
      <c r="B33" s="32">
        <v>13470</v>
      </c>
      <c r="C33" s="32" t="s">
        <v>88</v>
      </c>
      <c r="D33" s="36">
        <v>20000</v>
      </c>
      <c r="E33" s="36">
        <f>E32+D33</f>
        <v>500000</v>
      </c>
      <c r="F33" s="36">
        <f>F32-D33</f>
        <v>100000</v>
      </c>
    </row>
    <row r="34" spans="1:6" x14ac:dyDescent="0.35">
      <c r="A34" s="32" t="s">
        <v>792</v>
      </c>
      <c r="B34" s="32">
        <v>1388</v>
      </c>
      <c r="C34" s="32" t="s">
        <v>88</v>
      </c>
      <c r="D34" s="36">
        <v>20000</v>
      </c>
      <c r="E34" s="36">
        <f>E33+D34</f>
        <v>520000</v>
      </c>
      <c r="F34" s="36">
        <f>F33-D34</f>
        <v>80000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F4977-661D-4105-BBB3-E1393F8D171D}">
  <dimension ref="A1:F54"/>
  <sheetViews>
    <sheetView topLeftCell="A37" workbookViewId="0">
      <selection activeCell="F55" sqref="F55"/>
    </sheetView>
  </sheetViews>
  <sheetFormatPr defaultRowHeight="14.5" x14ac:dyDescent="0.35"/>
  <cols>
    <col min="1" max="1" width="10.453125" bestFit="1" customWidth="1"/>
    <col min="3" max="3" width="11.26953125" customWidth="1"/>
    <col min="4" max="4" width="10.90625" bestFit="1" customWidth="1"/>
    <col min="6" max="6" width="11.36328125" bestFit="1" customWidth="1"/>
  </cols>
  <sheetData>
    <row r="1" spans="1:6" ht="18.5" x14ac:dyDescent="0.45">
      <c r="A1" s="1" t="s">
        <v>266</v>
      </c>
      <c r="B1" s="1"/>
      <c r="C1" s="17"/>
      <c r="D1" s="1"/>
      <c r="E1" s="1"/>
      <c r="F1" s="1"/>
    </row>
    <row r="2" spans="1:6" ht="18.5" x14ac:dyDescent="0.45">
      <c r="A2" s="1" t="s">
        <v>267</v>
      </c>
      <c r="C2" s="1"/>
      <c r="D2" s="1"/>
      <c r="E2" s="1"/>
      <c r="F2" s="1"/>
    </row>
    <row r="3" spans="1:6" ht="18.5" x14ac:dyDescent="0.45">
      <c r="A3" s="1" t="s">
        <v>271</v>
      </c>
      <c r="B3" s="1"/>
      <c r="C3" s="1"/>
      <c r="D3" s="1"/>
      <c r="E3" s="1"/>
      <c r="F3" s="1"/>
    </row>
    <row r="4" spans="1:6" ht="18.5" x14ac:dyDescent="0.45">
      <c r="A4" s="1" t="s">
        <v>530</v>
      </c>
      <c r="B4" s="1"/>
      <c r="C4" s="1"/>
      <c r="D4" s="1"/>
      <c r="E4" s="1"/>
      <c r="F4" s="1"/>
    </row>
    <row r="5" spans="1:6" ht="18.5" x14ac:dyDescent="0.45">
      <c r="A5" s="1" t="s">
        <v>268</v>
      </c>
      <c r="B5" s="1"/>
      <c r="C5" s="1"/>
      <c r="D5" s="1"/>
      <c r="E5" s="1"/>
      <c r="F5" s="1"/>
    </row>
    <row r="6" spans="1:6" ht="18.5" x14ac:dyDescent="0.45">
      <c r="A6" s="1" t="s">
        <v>269</v>
      </c>
      <c r="B6" s="1"/>
      <c r="C6" s="1"/>
      <c r="D6" s="1" t="s">
        <v>270</v>
      </c>
      <c r="E6" s="1"/>
      <c r="F6" s="1"/>
    </row>
    <row r="7" spans="1:6" x14ac:dyDescent="0.35">
      <c r="A7" s="28" t="s">
        <v>3</v>
      </c>
      <c r="B7" s="29" t="s">
        <v>8</v>
      </c>
      <c r="C7" s="29" t="s">
        <v>4</v>
      </c>
      <c r="D7" s="29" t="s">
        <v>9</v>
      </c>
      <c r="E7" s="29" t="s">
        <v>10</v>
      </c>
      <c r="F7" s="29" t="s">
        <v>5</v>
      </c>
    </row>
    <row r="8" spans="1:6" x14ac:dyDescent="0.35">
      <c r="A8" s="26">
        <v>44877</v>
      </c>
      <c r="B8" s="9">
        <v>2155</v>
      </c>
      <c r="C8" s="9" t="s">
        <v>275</v>
      </c>
      <c r="D8" s="25">
        <v>120000</v>
      </c>
      <c r="E8" s="25">
        <v>120000</v>
      </c>
      <c r="F8" s="25">
        <v>430000</v>
      </c>
    </row>
    <row r="9" spans="1:6" x14ac:dyDescent="0.35">
      <c r="A9" s="26">
        <v>45019</v>
      </c>
      <c r="B9" s="9">
        <v>2880</v>
      </c>
      <c r="C9" s="9" t="s">
        <v>7</v>
      </c>
      <c r="D9" s="25">
        <v>10000</v>
      </c>
      <c r="E9" s="25">
        <f>SUM(E8+D9)</f>
        <v>130000</v>
      </c>
      <c r="F9" s="25">
        <f>F8-D9</f>
        <v>420000</v>
      </c>
    </row>
    <row r="10" spans="1:6" x14ac:dyDescent="0.35">
      <c r="A10" s="26">
        <v>44930</v>
      </c>
      <c r="B10" s="9">
        <v>1744</v>
      </c>
      <c r="C10" s="9" t="s">
        <v>7</v>
      </c>
      <c r="D10" s="25">
        <v>10000</v>
      </c>
      <c r="E10" s="25">
        <f t="shared" ref="E10:E47" si="0">SUM(E9+D10)</f>
        <v>140000</v>
      </c>
      <c r="F10" s="25">
        <f t="shared" ref="F10:F47" si="1">F9-D10</f>
        <v>410000</v>
      </c>
    </row>
    <row r="11" spans="1:6" x14ac:dyDescent="0.35">
      <c r="A11" s="26">
        <v>44990</v>
      </c>
      <c r="B11" s="9">
        <v>1433</v>
      </c>
      <c r="C11" s="9" t="s">
        <v>7</v>
      </c>
      <c r="D11" s="25">
        <v>10000</v>
      </c>
      <c r="E11" s="25">
        <f t="shared" si="0"/>
        <v>150000</v>
      </c>
      <c r="F11" s="25">
        <f t="shared" si="1"/>
        <v>400000</v>
      </c>
    </row>
    <row r="12" spans="1:6" x14ac:dyDescent="0.35">
      <c r="A12" s="26">
        <v>45022</v>
      </c>
      <c r="B12" s="9">
        <v>288</v>
      </c>
      <c r="C12" s="9" t="s">
        <v>7</v>
      </c>
      <c r="D12" s="25">
        <v>10000</v>
      </c>
      <c r="E12" s="25">
        <f t="shared" si="0"/>
        <v>160000</v>
      </c>
      <c r="F12" s="25">
        <f t="shared" si="1"/>
        <v>390000</v>
      </c>
    </row>
    <row r="13" spans="1:6" x14ac:dyDescent="0.35">
      <c r="A13" s="9" t="s">
        <v>106</v>
      </c>
      <c r="B13" s="9">
        <v>2867</v>
      </c>
      <c r="C13" s="9" t="s">
        <v>7</v>
      </c>
      <c r="D13" s="25">
        <v>10000</v>
      </c>
      <c r="E13" s="25">
        <f t="shared" si="0"/>
        <v>170000</v>
      </c>
      <c r="F13" s="25">
        <f t="shared" si="1"/>
        <v>380000</v>
      </c>
    </row>
    <row r="14" spans="1:6" x14ac:dyDescent="0.35">
      <c r="A14" s="9" t="s">
        <v>107</v>
      </c>
      <c r="B14" s="9">
        <v>3227</v>
      </c>
      <c r="C14" s="9" t="s">
        <v>7</v>
      </c>
      <c r="D14" s="25">
        <v>10000</v>
      </c>
      <c r="E14" s="25">
        <f t="shared" si="0"/>
        <v>180000</v>
      </c>
      <c r="F14" s="25">
        <f t="shared" si="1"/>
        <v>370000</v>
      </c>
    </row>
    <row r="15" spans="1:6" x14ac:dyDescent="0.35">
      <c r="A15" s="9" t="s">
        <v>272</v>
      </c>
      <c r="B15" s="9">
        <v>3860</v>
      </c>
      <c r="C15" s="9" t="s">
        <v>7</v>
      </c>
      <c r="D15" s="25">
        <v>10000</v>
      </c>
      <c r="E15" s="25">
        <f t="shared" si="0"/>
        <v>190000</v>
      </c>
      <c r="F15" s="25">
        <f t="shared" si="1"/>
        <v>360000</v>
      </c>
    </row>
    <row r="16" spans="1:6" x14ac:dyDescent="0.35">
      <c r="A16" s="9" t="s">
        <v>259</v>
      </c>
      <c r="B16" s="9">
        <v>4418</v>
      </c>
      <c r="C16" s="9" t="s">
        <v>7</v>
      </c>
      <c r="D16" s="25">
        <v>10000</v>
      </c>
      <c r="E16" s="25">
        <f t="shared" si="0"/>
        <v>200000</v>
      </c>
      <c r="F16" s="25">
        <f t="shared" si="1"/>
        <v>350000</v>
      </c>
    </row>
    <row r="17" spans="1:6" x14ac:dyDescent="0.35">
      <c r="A17" s="9" t="s">
        <v>273</v>
      </c>
      <c r="B17" s="9">
        <v>4991</v>
      </c>
      <c r="C17" s="9" t="s">
        <v>7</v>
      </c>
      <c r="D17" s="25">
        <v>10000</v>
      </c>
      <c r="E17" s="25">
        <f t="shared" si="0"/>
        <v>210000</v>
      </c>
      <c r="F17" s="25">
        <f t="shared" si="1"/>
        <v>340000</v>
      </c>
    </row>
    <row r="18" spans="1:6" x14ac:dyDescent="0.35">
      <c r="A18" s="9" t="s">
        <v>274</v>
      </c>
      <c r="B18" s="9">
        <v>5614</v>
      </c>
      <c r="C18" s="9" t="s">
        <v>7</v>
      </c>
      <c r="D18" s="25">
        <v>10000</v>
      </c>
      <c r="E18" s="25">
        <f t="shared" si="0"/>
        <v>220000</v>
      </c>
      <c r="F18" s="25">
        <f t="shared" si="1"/>
        <v>330000</v>
      </c>
    </row>
    <row r="19" spans="1:6" x14ac:dyDescent="0.35">
      <c r="A19" s="9" t="s">
        <v>276</v>
      </c>
      <c r="B19" s="9">
        <v>6181</v>
      </c>
      <c r="C19" s="9" t="s">
        <v>7</v>
      </c>
      <c r="D19" s="25">
        <v>10000</v>
      </c>
      <c r="E19" s="25">
        <f t="shared" si="0"/>
        <v>230000</v>
      </c>
      <c r="F19" s="25">
        <f t="shared" si="1"/>
        <v>320000</v>
      </c>
    </row>
    <row r="20" spans="1:6" x14ac:dyDescent="0.35">
      <c r="A20" s="9" t="s">
        <v>68</v>
      </c>
      <c r="B20" s="9">
        <v>6627</v>
      </c>
      <c r="C20" s="9" t="s">
        <v>7</v>
      </c>
      <c r="D20" s="25">
        <v>10000</v>
      </c>
      <c r="E20" s="25">
        <f t="shared" si="0"/>
        <v>240000</v>
      </c>
      <c r="F20" s="25">
        <f t="shared" si="1"/>
        <v>310000</v>
      </c>
    </row>
    <row r="21" spans="1:6" x14ac:dyDescent="0.35">
      <c r="A21" s="9" t="s">
        <v>277</v>
      </c>
      <c r="B21" s="9">
        <v>7414</v>
      </c>
      <c r="C21" s="9" t="s">
        <v>7</v>
      </c>
      <c r="D21" s="25">
        <v>10000</v>
      </c>
      <c r="E21" s="25">
        <f t="shared" si="0"/>
        <v>250000</v>
      </c>
      <c r="F21" s="25">
        <f t="shared" si="1"/>
        <v>300000</v>
      </c>
    </row>
    <row r="22" spans="1:6" x14ac:dyDescent="0.35">
      <c r="A22" s="9" t="s">
        <v>69</v>
      </c>
      <c r="B22" s="9">
        <v>7930</v>
      </c>
      <c r="C22" s="9" t="s">
        <v>7</v>
      </c>
      <c r="D22" s="25">
        <v>10000</v>
      </c>
      <c r="E22" s="25">
        <f t="shared" si="0"/>
        <v>260000</v>
      </c>
      <c r="F22" s="25">
        <f t="shared" si="1"/>
        <v>290000</v>
      </c>
    </row>
    <row r="23" spans="1:6" x14ac:dyDescent="0.35">
      <c r="A23" s="26">
        <v>45631</v>
      </c>
      <c r="B23" s="9">
        <v>8454</v>
      </c>
      <c r="C23" s="9" t="s">
        <v>7</v>
      </c>
      <c r="D23" s="25">
        <v>10000</v>
      </c>
      <c r="E23" s="25">
        <f t="shared" si="0"/>
        <v>270000</v>
      </c>
      <c r="F23" s="25">
        <f t="shared" si="1"/>
        <v>280000</v>
      </c>
    </row>
    <row r="24" spans="1:6" x14ac:dyDescent="0.35">
      <c r="A24" s="26">
        <v>45632</v>
      </c>
      <c r="B24" s="9">
        <v>9035</v>
      </c>
      <c r="C24" s="9" t="s">
        <v>7</v>
      </c>
      <c r="D24" s="25">
        <v>10000</v>
      </c>
      <c r="E24" s="25">
        <f t="shared" si="0"/>
        <v>280000</v>
      </c>
      <c r="F24" s="25">
        <f t="shared" si="1"/>
        <v>270000</v>
      </c>
    </row>
    <row r="25" spans="1:6" x14ac:dyDescent="0.35">
      <c r="A25" s="9" t="s">
        <v>278</v>
      </c>
      <c r="B25" s="9">
        <v>9639</v>
      </c>
      <c r="C25" s="9" t="s">
        <v>7</v>
      </c>
      <c r="D25" s="25">
        <v>10000</v>
      </c>
      <c r="E25" s="25">
        <f t="shared" si="0"/>
        <v>290000</v>
      </c>
      <c r="F25" s="25">
        <f t="shared" si="1"/>
        <v>260000</v>
      </c>
    </row>
    <row r="26" spans="1:6" x14ac:dyDescent="0.35">
      <c r="A26" s="26">
        <v>45573</v>
      </c>
      <c r="B26" s="9">
        <v>11035</v>
      </c>
      <c r="C26" s="9" t="s">
        <v>7</v>
      </c>
      <c r="D26" s="25">
        <v>10000</v>
      </c>
      <c r="E26" s="25">
        <f t="shared" si="0"/>
        <v>300000</v>
      </c>
      <c r="F26" s="25">
        <f t="shared" si="1"/>
        <v>250000</v>
      </c>
    </row>
    <row r="27" spans="1:6" x14ac:dyDescent="0.35">
      <c r="A27" s="9" t="s">
        <v>279</v>
      </c>
      <c r="B27" s="9">
        <v>10774</v>
      </c>
      <c r="C27" s="9" t="s">
        <v>7</v>
      </c>
      <c r="D27" s="25">
        <v>10000</v>
      </c>
      <c r="E27" s="25">
        <f t="shared" si="0"/>
        <v>310000</v>
      </c>
      <c r="F27" s="25">
        <f t="shared" si="1"/>
        <v>240000</v>
      </c>
    </row>
    <row r="28" spans="1:6" x14ac:dyDescent="0.35">
      <c r="A28" s="9" t="s">
        <v>280</v>
      </c>
      <c r="B28" s="9">
        <v>11667</v>
      </c>
      <c r="C28" s="9" t="s">
        <v>7</v>
      </c>
      <c r="D28" s="25">
        <v>10000</v>
      </c>
      <c r="E28" s="25">
        <f t="shared" si="0"/>
        <v>320000</v>
      </c>
      <c r="F28" s="25">
        <f t="shared" si="1"/>
        <v>230000</v>
      </c>
    </row>
    <row r="29" spans="1:6" x14ac:dyDescent="0.35">
      <c r="A29" s="9" t="s">
        <v>236</v>
      </c>
      <c r="B29" s="9">
        <v>12174</v>
      </c>
      <c r="C29" s="9" t="s">
        <v>7</v>
      </c>
      <c r="D29" s="25">
        <v>10000</v>
      </c>
      <c r="E29" s="25">
        <f t="shared" si="0"/>
        <v>330000</v>
      </c>
      <c r="F29" s="25">
        <f t="shared" si="1"/>
        <v>220000</v>
      </c>
    </row>
    <row r="30" spans="1:6" x14ac:dyDescent="0.35">
      <c r="A30" s="9" t="s">
        <v>281</v>
      </c>
      <c r="B30" s="9">
        <v>12623</v>
      </c>
      <c r="C30" s="9" t="s">
        <v>7</v>
      </c>
      <c r="D30" s="25">
        <v>10000</v>
      </c>
      <c r="E30" s="25">
        <f t="shared" si="0"/>
        <v>340000</v>
      </c>
      <c r="F30" s="25">
        <f t="shared" si="1"/>
        <v>210000</v>
      </c>
    </row>
    <row r="31" spans="1:6" x14ac:dyDescent="0.35">
      <c r="A31" s="26">
        <v>45992</v>
      </c>
      <c r="B31" s="9">
        <v>12037</v>
      </c>
      <c r="C31" s="9" t="s">
        <v>7</v>
      </c>
      <c r="D31" s="25">
        <v>10000</v>
      </c>
      <c r="E31" s="25">
        <f t="shared" si="0"/>
        <v>350000</v>
      </c>
      <c r="F31" s="25">
        <f t="shared" si="1"/>
        <v>200000</v>
      </c>
    </row>
    <row r="32" spans="1:6" x14ac:dyDescent="0.35">
      <c r="A32" s="26">
        <v>45902</v>
      </c>
      <c r="B32" s="9">
        <v>9283</v>
      </c>
      <c r="C32" s="9" t="s">
        <v>7</v>
      </c>
      <c r="D32" s="25">
        <v>10000</v>
      </c>
      <c r="E32" s="25">
        <f t="shared" si="0"/>
        <v>360000</v>
      </c>
      <c r="F32" s="25">
        <f t="shared" si="1"/>
        <v>190000</v>
      </c>
    </row>
    <row r="33" spans="1:6" x14ac:dyDescent="0.35">
      <c r="A33" s="9" t="s">
        <v>282</v>
      </c>
      <c r="B33" s="9">
        <v>9773</v>
      </c>
      <c r="C33" s="9" t="s">
        <v>7</v>
      </c>
      <c r="D33" s="25">
        <v>10000</v>
      </c>
      <c r="E33" s="25">
        <f t="shared" si="0"/>
        <v>370000</v>
      </c>
      <c r="F33" s="25">
        <f t="shared" si="1"/>
        <v>180000</v>
      </c>
    </row>
    <row r="34" spans="1:6" x14ac:dyDescent="0.35">
      <c r="A34" s="9" t="s">
        <v>263</v>
      </c>
      <c r="B34" s="9">
        <v>10181</v>
      </c>
      <c r="C34" s="9" t="s">
        <v>7</v>
      </c>
      <c r="D34" s="25">
        <v>10000</v>
      </c>
      <c r="E34" s="25">
        <f t="shared" si="0"/>
        <v>380000</v>
      </c>
      <c r="F34" s="25">
        <f t="shared" si="1"/>
        <v>170000</v>
      </c>
    </row>
    <row r="35" spans="1:6" x14ac:dyDescent="0.35">
      <c r="A35" s="9" t="s">
        <v>283</v>
      </c>
      <c r="B35" s="9">
        <v>10981</v>
      </c>
      <c r="C35" s="9" t="s">
        <v>7</v>
      </c>
      <c r="D35" s="25">
        <v>10000</v>
      </c>
      <c r="E35" s="25">
        <f t="shared" si="0"/>
        <v>390000</v>
      </c>
      <c r="F35" s="25">
        <f t="shared" si="1"/>
        <v>160000</v>
      </c>
    </row>
    <row r="36" spans="1:6" x14ac:dyDescent="0.35">
      <c r="A36" s="9" t="s">
        <v>76</v>
      </c>
      <c r="B36" s="9">
        <v>9904</v>
      </c>
      <c r="C36" s="9" t="s">
        <v>7</v>
      </c>
      <c r="D36" s="25">
        <v>10000</v>
      </c>
      <c r="E36" s="25">
        <f t="shared" si="0"/>
        <v>400000</v>
      </c>
      <c r="F36" s="25">
        <f t="shared" si="1"/>
        <v>150000</v>
      </c>
    </row>
    <row r="37" spans="1:6" x14ac:dyDescent="0.35">
      <c r="A37" s="26">
        <v>45998</v>
      </c>
      <c r="B37" s="9">
        <v>12163</v>
      </c>
      <c r="C37" s="9" t="s">
        <v>7</v>
      </c>
      <c r="D37" s="25">
        <v>10000</v>
      </c>
      <c r="E37" s="25">
        <f t="shared" si="0"/>
        <v>410000</v>
      </c>
      <c r="F37" s="25">
        <f t="shared" si="1"/>
        <v>140000</v>
      </c>
    </row>
    <row r="38" spans="1:6" x14ac:dyDescent="0.35">
      <c r="A38" s="26">
        <v>45969</v>
      </c>
      <c r="B38" s="9">
        <v>12479</v>
      </c>
      <c r="C38" s="9" t="s">
        <v>7</v>
      </c>
      <c r="D38" s="25">
        <v>10000</v>
      </c>
      <c r="E38" s="25">
        <f t="shared" si="0"/>
        <v>420000</v>
      </c>
      <c r="F38" s="25">
        <f t="shared" si="1"/>
        <v>130000</v>
      </c>
    </row>
    <row r="39" spans="1:6" x14ac:dyDescent="0.35">
      <c r="A39" s="26">
        <v>45847</v>
      </c>
      <c r="B39" s="9">
        <v>12669</v>
      </c>
      <c r="C39" s="9" t="s">
        <v>7</v>
      </c>
      <c r="D39" s="25">
        <v>10000</v>
      </c>
      <c r="E39" s="25">
        <f t="shared" si="0"/>
        <v>430000</v>
      </c>
      <c r="F39" s="25">
        <f t="shared" si="1"/>
        <v>120000</v>
      </c>
    </row>
    <row r="40" spans="1:6" x14ac:dyDescent="0.35">
      <c r="A40" s="26">
        <v>45971</v>
      </c>
      <c r="B40" s="9">
        <v>13749</v>
      </c>
      <c r="C40" s="9" t="s">
        <v>7</v>
      </c>
      <c r="D40" s="25">
        <v>10000</v>
      </c>
      <c r="E40" s="25">
        <f t="shared" si="0"/>
        <v>440000</v>
      </c>
      <c r="F40" s="25">
        <f t="shared" si="1"/>
        <v>110000</v>
      </c>
    </row>
    <row r="41" spans="1:6" x14ac:dyDescent="0.35">
      <c r="A41" s="26">
        <v>45880</v>
      </c>
      <c r="B41" s="9">
        <v>13462</v>
      </c>
      <c r="C41" s="9" t="s">
        <v>7</v>
      </c>
      <c r="D41" s="25">
        <v>10000</v>
      </c>
      <c r="E41" s="25">
        <f t="shared" si="0"/>
        <v>450000</v>
      </c>
      <c r="F41" s="25">
        <f t="shared" si="1"/>
        <v>100000</v>
      </c>
    </row>
    <row r="42" spans="1:6" x14ac:dyDescent="0.35">
      <c r="A42" s="9" t="s">
        <v>284</v>
      </c>
      <c r="B42" s="9">
        <v>13180</v>
      </c>
      <c r="C42" s="9" t="s">
        <v>7</v>
      </c>
      <c r="D42" s="25">
        <v>10000</v>
      </c>
      <c r="E42" s="25">
        <f t="shared" si="0"/>
        <v>460000</v>
      </c>
      <c r="F42" s="25">
        <f t="shared" si="1"/>
        <v>90000</v>
      </c>
    </row>
    <row r="43" spans="1:6" x14ac:dyDescent="0.35">
      <c r="A43" s="9" t="s">
        <v>285</v>
      </c>
      <c r="B43" s="9">
        <v>12115</v>
      </c>
      <c r="C43" s="9" t="s">
        <v>7</v>
      </c>
      <c r="D43" s="25">
        <v>10000</v>
      </c>
      <c r="E43" s="25">
        <f t="shared" si="0"/>
        <v>470000</v>
      </c>
      <c r="F43" s="25">
        <f t="shared" si="1"/>
        <v>80000</v>
      </c>
    </row>
    <row r="44" spans="1:6" x14ac:dyDescent="0.35">
      <c r="A44" s="9" t="s">
        <v>286</v>
      </c>
      <c r="B44" s="9">
        <v>12487</v>
      </c>
      <c r="C44" s="9" t="s">
        <v>7</v>
      </c>
      <c r="D44" s="25">
        <v>10000</v>
      </c>
      <c r="E44" s="25">
        <f t="shared" si="0"/>
        <v>480000</v>
      </c>
      <c r="F44" s="25">
        <f t="shared" si="1"/>
        <v>70000</v>
      </c>
    </row>
    <row r="45" spans="1:6" x14ac:dyDescent="0.35">
      <c r="A45" s="30">
        <v>46206</v>
      </c>
      <c r="B45" s="35">
        <v>13760</v>
      </c>
      <c r="C45" s="9" t="s">
        <v>7</v>
      </c>
      <c r="D45" s="25">
        <v>10000</v>
      </c>
      <c r="E45" s="25">
        <f t="shared" si="0"/>
        <v>490000</v>
      </c>
      <c r="F45" s="25">
        <f t="shared" si="1"/>
        <v>60000</v>
      </c>
    </row>
    <row r="46" spans="1:6" x14ac:dyDescent="0.35">
      <c r="A46" s="30">
        <v>46330</v>
      </c>
      <c r="B46" s="35">
        <v>13226</v>
      </c>
      <c r="C46" s="9" t="s">
        <v>7</v>
      </c>
      <c r="D46" s="25">
        <v>10000</v>
      </c>
      <c r="E46" s="25">
        <f t="shared" si="0"/>
        <v>500000</v>
      </c>
      <c r="F46" s="25">
        <f t="shared" si="1"/>
        <v>50000</v>
      </c>
    </row>
    <row r="47" spans="1:6" x14ac:dyDescent="0.35">
      <c r="A47" s="30">
        <v>46300</v>
      </c>
      <c r="B47" s="35">
        <v>13309</v>
      </c>
      <c r="C47" s="9" t="s">
        <v>7</v>
      </c>
      <c r="D47" s="25">
        <v>10000</v>
      </c>
      <c r="E47" s="25">
        <f t="shared" si="0"/>
        <v>510000</v>
      </c>
      <c r="F47" s="25">
        <f t="shared" si="1"/>
        <v>40000</v>
      </c>
    </row>
    <row r="48" spans="1:6" x14ac:dyDescent="0.35">
      <c r="A48" t="s">
        <v>756</v>
      </c>
      <c r="B48" s="35">
        <v>13625</v>
      </c>
      <c r="C48" s="35" t="s">
        <v>7</v>
      </c>
      <c r="D48" s="36">
        <v>10000</v>
      </c>
      <c r="E48" s="36">
        <f>E47+D48</f>
        <v>520000</v>
      </c>
      <c r="F48" s="36">
        <f>F47-D48</f>
        <v>30000</v>
      </c>
    </row>
    <row r="54" spans="1:6" x14ac:dyDescent="0.35">
      <c r="A54" t="s">
        <v>782</v>
      </c>
      <c r="B54">
        <v>1671</v>
      </c>
      <c r="C54" t="s">
        <v>783</v>
      </c>
      <c r="D54" s="36">
        <v>150000</v>
      </c>
      <c r="E54" s="36">
        <v>150000</v>
      </c>
      <c r="F54" t="s">
        <v>661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FE61-54FC-475C-8393-66EBA0D83D71}">
  <dimension ref="A1:F53"/>
  <sheetViews>
    <sheetView topLeftCell="A45" workbookViewId="0">
      <selection activeCell="E53" sqref="E53"/>
    </sheetView>
  </sheetViews>
  <sheetFormatPr defaultRowHeight="14.5" x14ac:dyDescent="0.35"/>
  <cols>
    <col min="1" max="1" width="10.453125" bestFit="1" customWidth="1"/>
    <col min="3" max="3" width="11" bestFit="1" customWidth="1"/>
    <col min="4" max="4" width="10.90625" bestFit="1" customWidth="1"/>
    <col min="6" max="6" width="11.36328125" bestFit="1" customWidth="1"/>
  </cols>
  <sheetData>
    <row r="1" spans="1:6" ht="18.5" x14ac:dyDescent="0.45">
      <c r="A1" s="1" t="s">
        <v>266</v>
      </c>
      <c r="B1" s="1"/>
      <c r="C1" s="17"/>
      <c r="D1" s="1"/>
      <c r="E1" s="1"/>
      <c r="F1" s="1"/>
    </row>
    <row r="2" spans="1:6" ht="18.5" x14ac:dyDescent="0.45">
      <c r="A2" s="1" t="s">
        <v>267</v>
      </c>
      <c r="C2" s="1"/>
      <c r="D2" s="1"/>
      <c r="E2" s="1"/>
      <c r="F2" s="1"/>
    </row>
    <row r="3" spans="1:6" ht="18.5" x14ac:dyDescent="0.45">
      <c r="A3" s="1" t="s">
        <v>271</v>
      </c>
      <c r="B3" s="1"/>
      <c r="C3" s="1"/>
      <c r="D3" s="1"/>
      <c r="E3" s="1"/>
      <c r="F3" s="1"/>
    </row>
    <row r="4" spans="1:6" ht="18.5" x14ac:dyDescent="0.45">
      <c r="A4" s="1" t="s">
        <v>531</v>
      </c>
      <c r="B4" s="1"/>
      <c r="C4" s="1"/>
      <c r="D4" s="1"/>
      <c r="E4" s="1"/>
      <c r="F4" s="1"/>
    </row>
    <row r="5" spans="1:6" ht="18.5" x14ac:dyDescent="0.45">
      <c r="A5" s="1" t="s">
        <v>268</v>
      </c>
      <c r="B5" s="1"/>
      <c r="C5" s="1"/>
      <c r="D5" s="1"/>
      <c r="E5" s="1"/>
      <c r="F5" s="1"/>
    </row>
    <row r="6" spans="1:6" ht="18.5" x14ac:dyDescent="0.45">
      <c r="A6" s="1" t="s">
        <v>287</v>
      </c>
      <c r="B6" s="1"/>
      <c r="C6" s="1"/>
      <c r="D6" s="1" t="s">
        <v>270</v>
      </c>
      <c r="E6" s="1"/>
      <c r="F6" s="1"/>
    </row>
    <row r="7" spans="1:6" x14ac:dyDescent="0.35">
      <c r="A7" s="28" t="s">
        <v>3</v>
      </c>
      <c r="B7" s="29" t="s">
        <v>8</v>
      </c>
      <c r="C7" s="29" t="s">
        <v>4</v>
      </c>
      <c r="D7" s="29" t="s">
        <v>9</v>
      </c>
      <c r="E7" s="29" t="s">
        <v>10</v>
      </c>
      <c r="F7" s="29" t="s">
        <v>5</v>
      </c>
    </row>
    <row r="8" spans="1:6" x14ac:dyDescent="0.35">
      <c r="A8" s="26">
        <v>44877</v>
      </c>
      <c r="B8" s="9">
        <v>2153</v>
      </c>
      <c r="C8" s="9" t="s">
        <v>275</v>
      </c>
      <c r="D8" s="25">
        <v>120000</v>
      </c>
      <c r="E8" s="25">
        <v>120000</v>
      </c>
      <c r="F8" s="25">
        <v>430000</v>
      </c>
    </row>
    <row r="9" spans="1:6" x14ac:dyDescent="0.35">
      <c r="A9" s="26">
        <v>45019</v>
      </c>
      <c r="B9" s="9">
        <v>2883</v>
      </c>
      <c r="C9" s="9" t="s">
        <v>7</v>
      </c>
      <c r="D9" s="25">
        <v>10000</v>
      </c>
      <c r="E9" s="25">
        <f>SUM(E8+D9)</f>
        <v>130000</v>
      </c>
      <c r="F9" s="25">
        <f>F8-D9</f>
        <v>420000</v>
      </c>
    </row>
    <row r="10" spans="1:6" x14ac:dyDescent="0.35">
      <c r="A10" s="26">
        <v>44930</v>
      </c>
      <c r="B10" s="9">
        <v>743</v>
      </c>
      <c r="C10" s="9" t="s">
        <v>7</v>
      </c>
      <c r="D10" s="25">
        <v>10000</v>
      </c>
      <c r="E10" s="25">
        <f t="shared" ref="E10:E47" si="0">SUM(E9+D10)</f>
        <v>140000</v>
      </c>
      <c r="F10" s="25">
        <f t="shared" ref="F10:F47" si="1">F9-D10</f>
        <v>410000</v>
      </c>
    </row>
    <row r="11" spans="1:6" x14ac:dyDescent="0.35">
      <c r="A11" s="26">
        <v>44990</v>
      </c>
      <c r="B11" s="9">
        <v>1432</v>
      </c>
      <c r="C11" s="9" t="s">
        <v>7</v>
      </c>
      <c r="D11" s="25">
        <v>10000</v>
      </c>
      <c r="E11" s="25">
        <f t="shared" si="0"/>
        <v>150000</v>
      </c>
      <c r="F11" s="25">
        <f t="shared" si="1"/>
        <v>400000</v>
      </c>
    </row>
    <row r="12" spans="1:6" x14ac:dyDescent="0.35">
      <c r="A12" s="26">
        <v>45022</v>
      </c>
      <c r="B12" s="9">
        <v>290</v>
      </c>
      <c r="C12" s="9" t="s">
        <v>7</v>
      </c>
      <c r="D12" s="25">
        <v>10000</v>
      </c>
      <c r="E12" s="25">
        <f t="shared" si="0"/>
        <v>160000</v>
      </c>
      <c r="F12" s="25">
        <f t="shared" si="1"/>
        <v>390000</v>
      </c>
    </row>
    <row r="13" spans="1:6" x14ac:dyDescent="0.35">
      <c r="A13" s="9" t="s">
        <v>106</v>
      </c>
      <c r="B13" s="9">
        <v>2866</v>
      </c>
      <c r="C13" s="9" t="s">
        <v>7</v>
      </c>
      <c r="D13" s="25">
        <v>10000</v>
      </c>
      <c r="E13" s="25">
        <f t="shared" si="0"/>
        <v>170000</v>
      </c>
      <c r="F13" s="25">
        <f t="shared" si="1"/>
        <v>380000</v>
      </c>
    </row>
    <row r="14" spans="1:6" x14ac:dyDescent="0.35">
      <c r="A14" s="9" t="s">
        <v>107</v>
      </c>
      <c r="B14" s="9">
        <v>3228</v>
      </c>
      <c r="C14" s="9" t="s">
        <v>7</v>
      </c>
      <c r="D14" s="25">
        <v>10000</v>
      </c>
      <c r="E14" s="25">
        <f t="shared" si="0"/>
        <v>180000</v>
      </c>
      <c r="F14" s="25">
        <f t="shared" si="1"/>
        <v>370000</v>
      </c>
    </row>
    <row r="15" spans="1:6" x14ac:dyDescent="0.35">
      <c r="A15" s="9" t="s">
        <v>272</v>
      </c>
      <c r="B15" s="9">
        <v>3861</v>
      </c>
      <c r="C15" s="9" t="s">
        <v>7</v>
      </c>
      <c r="D15" s="25">
        <v>10000</v>
      </c>
      <c r="E15" s="25">
        <f t="shared" si="0"/>
        <v>190000</v>
      </c>
      <c r="F15" s="25">
        <f t="shared" si="1"/>
        <v>360000</v>
      </c>
    </row>
    <row r="16" spans="1:6" x14ac:dyDescent="0.35">
      <c r="A16" s="9" t="s">
        <v>259</v>
      </c>
      <c r="B16" s="9">
        <v>4420</v>
      </c>
      <c r="C16" s="9" t="s">
        <v>7</v>
      </c>
      <c r="D16" s="25">
        <v>10000</v>
      </c>
      <c r="E16" s="25">
        <f t="shared" si="0"/>
        <v>200000</v>
      </c>
      <c r="F16" s="25">
        <f t="shared" si="1"/>
        <v>350000</v>
      </c>
    </row>
    <row r="17" spans="1:6" x14ac:dyDescent="0.35">
      <c r="A17" s="9" t="s">
        <v>273</v>
      </c>
      <c r="B17" s="9">
        <v>4990</v>
      </c>
      <c r="C17" s="9" t="s">
        <v>7</v>
      </c>
      <c r="D17" s="25">
        <v>10000</v>
      </c>
      <c r="E17" s="25">
        <f t="shared" si="0"/>
        <v>210000</v>
      </c>
      <c r="F17" s="25">
        <f t="shared" si="1"/>
        <v>340000</v>
      </c>
    </row>
    <row r="18" spans="1:6" x14ac:dyDescent="0.35">
      <c r="A18" s="9" t="s">
        <v>274</v>
      </c>
      <c r="B18" s="9">
        <v>5613</v>
      </c>
      <c r="C18" s="9" t="s">
        <v>7</v>
      </c>
      <c r="D18" s="25">
        <v>10000</v>
      </c>
      <c r="E18" s="25">
        <f t="shared" si="0"/>
        <v>220000</v>
      </c>
      <c r="F18" s="25">
        <f t="shared" si="1"/>
        <v>330000</v>
      </c>
    </row>
    <row r="19" spans="1:6" x14ac:dyDescent="0.35">
      <c r="A19" s="9" t="s">
        <v>276</v>
      </c>
      <c r="B19" s="9">
        <v>6182</v>
      </c>
      <c r="C19" s="9" t="s">
        <v>7</v>
      </c>
      <c r="D19" s="25">
        <v>10000</v>
      </c>
      <c r="E19" s="25">
        <f t="shared" si="0"/>
        <v>230000</v>
      </c>
      <c r="F19" s="25">
        <f t="shared" si="1"/>
        <v>320000</v>
      </c>
    </row>
    <row r="20" spans="1:6" x14ac:dyDescent="0.35">
      <c r="A20" s="9" t="s">
        <v>68</v>
      </c>
      <c r="B20" s="9">
        <v>6626</v>
      </c>
      <c r="C20" s="9" t="s">
        <v>7</v>
      </c>
      <c r="D20" s="25">
        <v>10000</v>
      </c>
      <c r="E20" s="25">
        <f t="shared" si="0"/>
        <v>240000</v>
      </c>
      <c r="F20" s="25">
        <f t="shared" si="1"/>
        <v>310000</v>
      </c>
    </row>
    <row r="21" spans="1:6" x14ac:dyDescent="0.35">
      <c r="A21" s="9" t="s">
        <v>277</v>
      </c>
      <c r="B21" s="9">
        <v>7417</v>
      </c>
      <c r="C21" s="9" t="s">
        <v>7</v>
      </c>
      <c r="D21" s="25">
        <v>10000</v>
      </c>
      <c r="E21" s="25">
        <f t="shared" si="0"/>
        <v>250000</v>
      </c>
      <c r="F21" s="25">
        <f t="shared" si="1"/>
        <v>300000</v>
      </c>
    </row>
    <row r="22" spans="1:6" x14ac:dyDescent="0.35">
      <c r="A22" s="9" t="s">
        <v>69</v>
      </c>
      <c r="B22" s="9">
        <v>7927</v>
      </c>
      <c r="C22" s="9" t="s">
        <v>7</v>
      </c>
      <c r="D22" s="25">
        <v>10000</v>
      </c>
      <c r="E22" s="25">
        <f t="shared" si="0"/>
        <v>260000</v>
      </c>
      <c r="F22" s="25">
        <f t="shared" si="1"/>
        <v>290000</v>
      </c>
    </row>
    <row r="23" spans="1:6" x14ac:dyDescent="0.35">
      <c r="A23" s="26">
        <v>45631</v>
      </c>
      <c r="B23" s="9">
        <v>8452</v>
      </c>
      <c r="C23" s="9" t="s">
        <v>7</v>
      </c>
      <c r="D23" s="25">
        <v>10000</v>
      </c>
      <c r="E23" s="25">
        <f t="shared" si="0"/>
        <v>270000</v>
      </c>
      <c r="F23" s="25">
        <f t="shared" si="1"/>
        <v>280000</v>
      </c>
    </row>
    <row r="24" spans="1:6" x14ac:dyDescent="0.35">
      <c r="A24" s="26">
        <v>45632</v>
      </c>
      <c r="B24" s="9">
        <v>9036</v>
      </c>
      <c r="C24" s="9" t="s">
        <v>7</v>
      </c>
      <c r="D24" s="25">
        <v>10000</v>
      </c>
      <c r="E24" s="25">
        <f t="shared" si="0"/>
        <v>280000</v>
      </c>
      <c r="F24" s="25">
        <f t="shared" si="1"/>
        <v>270000</v>
      </c>
    </row>
    <row r="25" spans="1:6" x14ac:dyDescent="0.35">
      <c r="A25" s="9" t="s">
        <v>278</v>
      </c>
      <c r="B25" s="9">
        <v>9841</v>
      </c>
      <c r="C25" s="9" t="s">
        <v>7</v>
      </c>
      <c r="D25" s="25">
        <v>10000</v>
      </c>
      <c r="E25" s="25">
        <f t="shared" si="0"/>
        <v>290000</v>
      </c>
      <c r="F25" s="25">
        <f t="shared" si="1"/>
        <v>260000</v>
      </c>
    </row>
    <row r="26" spans="1:6" x14ac:dyDescent="0.35">
      <c r="A26" s="26">
        <v>45573</v>
      </c>
      <c r="B26" s="9">
        <v>11036</v>
      </c>
      <c r="C26" s="9" t="s">
        <v>7</v>
      </c>
      <c r="D26" s="25">
        <v>10000</v>
      </c>
      <c r="E26" s="25">
        <f t="shared" si="0"/>
        <v>300000</v>
      </c>
      <c r="F26" s="25">
        <f t="shared" si="1"/>
        <v>250000</v>
      </c>
    </row>
    <row r="27" spans="1:6" x14ac:dyDescent="0.35">
      <c r="A27" s="9" t="s">
        <v>279</v>
      </c>
      <c r="B27" s="9">
        <v>10773</v>
      </c>
      <c r="C27" s="9" t="s">
        <v>7</v>
      </c>
      <c r="D27" s="25">
        <v>10000</v>
      </c>
      <c r="E27" s="25">
        <f t="shared" si="0"/>
        <v>310000</v>
      </c>
      <c r="F27" s="25">
        <f t="shared" si="1"/>
        <v>240000</v>
      </c>
    </row>
    <row r="28" spans="1:6" x14ac:dyDescent="0.35">
      <c r="A28" s="9" t="s">
        <v>280</v>
      </c>
      <c r="B28" s="9">
        <v>11669</v>
      </c>
      <c r="C28" s="9" t="s">
        <v>7</v>
      </c>
      <c r="D28" s="25">
        <v>10000</v>
      </c>
      <c r="E28" s="25">
        <f t="shared" si="0"/>
        <v>320000</v>
      </c>
      <c r="F28" s="25">
        <f t="shared" si="1"/>
        <v>230000</v>
      </c>
    </row>
    <row r="29" spans="1:6" x14ac:dyDescent="0.35">
      <c r="A29" s="9" t="s">
        <v>236</v>
      </c>
      <c r="B29" s="9">
        <v>12173</v>
      </c>
      <c r="C29" s="9" t="s">
        <v>7</v>
      </c>
      <c r="D29" s="25">
        <v>10000</v>
      </c>
      <c r="E29" s="25">
        <f t="shared" si="0"/>
        <v>330000</v>
      </c>
      <c r="F29" s="25">
        <f t="shared" si="1"/>
        <v>220000</v>
      </c>
    </row>
    <row r="30" spans="1:6" x14ac:dyDescent="0.35">
      <c r="A30" s="9" t="s">
        <v>281</v>
      </c>
      <c r="B30" s="9">
        <v>12624</v>
      </c>
      <c r="C30" s="9" t="s">
        <v>7</v>
      </c>
      <c r="D30" s="25">
        <v>10000</v>
      </c>
      <c r="E30" s="25">
        <f t="shared" si="0"/>
        <v>340000</v>
      </c>
      <c r="F30" s="25">
        <f t="shared" si="1"/>
        <v>210000</v>
      </c>
    </row>
    <row r="31" spans="1:6" x14ac:dyDescent="0.35">
      <c r="A31" s="26">
        <v>45992</v>
      </c>
      <c r="B31" s="9">
        <v>12036</v>
      </c>
      <c r="C31" s="9" t="s">
        <v>7</v>
      </c>
      <c r="D31" s="25">
        <v>10000</v>
      </c>
      <c r="E31" s="25">
        <f t="shared" si="0"/>
        <v>350000</v>
      </c>
      <c r="F31" s="25">
        <f t="shared" si="1"/>
        <v>200000</v>
      </c>
    </row>
    <row r="32" spans="1:6" x14ac:dyDescent="0.35">
      <c r="A32" s="26">
        <v>45902</v>
      </c>
      <c r="B32" s="9">
        <v>9284</v>
      </c>
      <c r="C32" s="9" t="s">
        <v>7</v>
      </c>
      <c r="D32" s="25">
        <v>10000</v>
      </c>
      <c r="E32" s="25">
        <f t="shared" si="0"/>
        <v>360000</v>
      </c>
      <c r="F32" s="25">
        <f t="shared" si="1"/>
        <v>190000</v>
      </c>
    </row>
    <row r="33" spans="1:6" x14ac:dyDescent="0.35">
      <c r="A33" s="9" t="s">
        <v>282</v>
      </c>
      <c r="B33" s="9">
        <v>9774</v>
      </c>
      <c r="C33" s="9" t="s">
        <v>7</v>
      </c>
      <c r="D33" s="25">
        <v>10000</v>
      </c>
      <c r="E33" s="25">
        <f t="shared" si="0"/>
        <v>370000</v>
      </c>
      <c r="F33" s="25">
        <f t="shared" si="1"/>
        <v>180000</v>
      </c>
    </row>
    <row r="34" spans="1:6" x14ac:dyDescent="0.35">
      <c r="A34" s="9" t="s">
        <v>263</v>
      </c>
      <c r="B34" s="9">
        <v>10182</v>
      </c>
      <c r="C34" s="9" t="s">
        <v>7</v>
      </c>
      <c r="D34" s="25">
        <v>10000</v>
      </c>
      <c r="E34" s="25">
        <f t="shared" si="0"/>
        <v>380000</v>
      </c>
      <c r="F34" s="25">
        <f t="shared" si="1"/>
        <v>170000</v>
      </c>
    </row>
    <row r="35" spans="1:6" x14ac:dyDescent="0.35">
      <c r="A35" s="9" t="s">
        <v>283</v>
      </c>
      <c r="B35" s="9">
        <v>10980</v>
      </c>
      <c r="C35" s="9" t="s">
        <v>7</v>
      </c>
      <c r="D35" s="25">
        <v>10000</v>
      </c>
      <c r="E35" s="25">
        <f t="shared" si="0"/>
        <v>390000</v>
      </c>
      <c r="F35" s="25">
        <f t="shared" si="1"/>
        <v>160000</v>
      </c>
    </row>
    <row r="36" spans="1:6" x14ac:dyDescent="0.35">
      <c r="A36" s="9" t="s">
        <v>76</v>
      </c>
      <c r="B36" s="9">
        <v>9941</v>
      </c>
      <c r="C36" s="9" t="s">
        <v>7</v>
      </c>
      <c r="D36" s="25">
        <v>10000</v>
      </c>
      <c r="E36" s="25">
        <f t="shared" si="0"/>
        <v>400000</v>
      </c>
      <c r="F36" s="25">
        <f t="shared" si="1"/>
        <v>150000</v>
      </c>
    </row>
    <row r="37" spans="1:6" x14ac:dyDescent="0.35">
      <c r="A37" s="26">
        <v>45998</v>
      </c>
      <c r="B37" s="9">
        <v>12162</v>
      </c>
      <c r="C37" s="9" t="s">
        <v>7</v>
      </c>
      <c r="D37" s="25">
        <v>10000</v>
      </c>
      <c r="E37" s="25">
        <f t="shared" si="0"/>
        <v>410000</v>
      </c>
      <c r="F37" s="25">
        <f t="shared" si="1"/>
        <v>140000</v>
      </c>
    </row>
    <row r="38" spans="1:6" x14ac:dyDescent="0.35">
      <c r="A38" s="26">
        <v>45969</v>
      </c>
      <c r="B38" s="9">
        <v>12478</v>
      </c>
      <c r="C38" s="9" t="s">
        <v>7</v>
      </c>
      <c r="D38" s="25">
        <v>10000</v>
      </c>
      <c r="E38" s="25">
        <f t="shared" si="0"/>
        <v>420000</v>
      </c>
      <c r="F38" s="25">
        <f t="shared" si="1"/>
        <v>130000</v>
      </c>
    </row>
    <row r="39" spans="1:6" x14ac:dyDescent="0.35">
      <c r="A39" s="26">
        <v>45847</v>
      </c>
      <c r="B39" s="9">
        <v>12668</v>
      </c>
      <c r="C39" s="9" t="s">
        <v>7</v>
      </c>
      <c r="D39" s="25">
        <v>10000</v>
      </c>
      <c r="E39" s="25">
        <f t="shared" si="0"/>
        <v>430000</v>
      </c>
      <c r="F39" s="25">
        <f t="shared" si="1"/>
        <v>120000</v>
      </c>
    </row>
    <row r="40" spans="1:6" x14ac:dyDescent="0.35">
      <c r="A40" s="26">
        <v>45971</v>
      </c>
      <c r="B40" s="9">
        <v>13748</v>
      </c>
      <c r="C40" s="9" t="s">
        <v>7</v>
      </c>
      <c r="D40" s="25">
        <v>10000</v>
      </c>
      <c r="E40" s="25">
        <f t="shared" si="0"/>
        <v>440000</v>
      </c>
      <c r="F40" s="25">
        <f t="shared" si="1"/>
        <v>110000</v>
      </c>
    </row>
    <row r="41" spans="1:6" x14ac:dyDescent="0.35">
      <c r="A41" s="26">
        <v>45880</v>
      </c>
      <c r="B41" s="9">
        <v>13461</v>
      </c>
      <c r="C41" s="9" t="s">
        <v>7</v>
      </c>
      <c r="D41" s="25">
        <v>10000</v>
      </c>
      <c r="E41" s="25">
        <f t="shared" si="0"/>
        <v>450000</v>
      </c>
      <c r="F41" s="25">
        <f t="shared" si="1"/>
        <v>100000</v>
      </c>
    </row>
    <row r="42" spans="1:6" x14ac:dyDescent="0.35">
      <c r="A42" s="9" t="s">
        <v>284</v>
      </c>
      <c r="B42" s="9">
        <v>13179</v>
      </c>
      <c r="C42" s="9" t="s">
        <v>7</v>
      </c>
      <c r="D42" s="25">
        <v>10000</v>
      </c>
      <c r="E42" s="25">
        <f t="shared" si="0"/>
        <v>460000</v>
      </c>
      <c r="F42" s="25">
        <f t="shared" si="1"/>
        <v>90000</v>
      </c>
    </row>
    <row r="43" spans="1:6" x14ac:dyDescent="0.35">
      <c r="A43" s="9" t="s">
        <v>285</v>
      </c>
      <c r="B43" s="9">
        <v>12116</v>
      </c>
      <c r="C43" s="9" t="s">
        <v>7</v>
      </c>
      <c r="D43" s="25">
        <v>10000</v>
      </c>
      <c r="E43" s="25">
        <f t="shared" si="0"/>
        <v>470000</v>
      </c>
      <c r="F43" s="25">
        <f t="shared" si="1"/>
        <v>80000</v>
      </c>
    </row>
    <row r="44" spans="1:6" x14ac:dyDescent="0.35">
      <c r="A44" s="9" t="s">
        <v>286</v>
      </c>
      <c r="B44" s="9">
        <v>12488</v>
      </c>
      <c r="C44" s="9" t="s">
        <v>7</v>
      </c>
      <c r="D44" s="25">
        <v>10000</v>
      </c>
      <c r="E44" s="25">
        <f t="shared" si="0"/>
        <v>480000</v>
      </c>
      <c r="F44" s="25">
        <f t="shared" si="1"/>
        <v>70000</v>
      </c>
    </row>
    <row r="45" spans="1:6" x14ac:dyDescent="0.35">
      <c r="A45" s="26">
        <v>46206</v>
      </c>
      <c r="B45" s="9">
        <v>12761</v>
      </c>
      <c r="C45" s="9" t="s">
        <v>7</v>
      </c>
      <c r="D45" s="25">
        <v>10000</v>
      </c>
      <c r="E45" s="25">
        <f t="shared" si="0"/>
        <v>490000</v>
      </c>
      <c r="F45" s="25">
        <f t="shared" si="1"/>
        <v>60000</v>
      </c>
    </row>
    <row r="46" spans="1:6" x14ac:dyDescent="0.35">
      <c r="A46" s="2">
        <v>46330</v>
      </c>
      <c r="B46" s="9">
        <v>13325</v>
      </c>
      <c r="C46" s="9" t="s">
        <v>7</v>
      </c>
      <c r="D46" s="25">
        <v>10000</v>
      </c>
      <c r="E46" s="25">
        <f t="shared" si="0"/>
        <v>500000</v>
      </c>
      <c r="F46" s="25">
        <f t="shared" si="1"/>
        <v>50000</v>
      </c>
    </row>
    <row r="47" spans="1:6" x14ac:dyDescent="0.35">
      <c r="A47" s="30">
        <v>46300</v>
      </c>
      <c r="B47" s="35">
        <v>13308</v>
      </c>
      <c r="C47" s="9" t="s">
        <v>7</v>
      </c>
      <c r="D47" s="25">
        <v>10000</v>
      </c>
      <c r="E47" s="25">
        <f t="shared" si="0"/>
        <v>510000</v>
      </c>
      <c r="F47" s="25">
        <f t="shared" si="1"/>
        <v>40000</v>
      </c>
    </row>
    <row r="48" spans="1:6" x14ac:dyDescent="0.35">
      <c r="A48" t="s">
        <v>756</v>
      </c>
      <c r="B48" s="35">
        <v>13629</v>
      </c>
      <c r="C48" s="35" t="s">
        <v>7</v>
      </c>
      <c r="D48" s="36">
        <v>10000</v>
      </c>
      <c r="E48" s="36">
        <f>E47+D48</f>
        <v>520000</v>
      </c>
      <c r="F48" s="36">
        <f>F47-D48</f>
        <v>30000</v>
      </c>
    </row>
    <row r="53" spans="1:6" x14ac:dyDescent="0.35">
      <c r="A53" t="s">
        <v>782</v>
      </c>
      <c r="B53">
        <v>1672</v>
      </c>
      <c r="C53" t="s">
        <v>783</v>
      </c>
      <c r="D53" s="36">
        <v>150000</v>
      </c>
      <c r="E53" s="36">
        <v>150000</v>
      </c>
      <c r="F53" t="s">
        <v>661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6B1CA-49D8-4B6C-B663-71FDE7EE3A80}">
  <sheetPr codeName="Sheet10"/>
  <dimension ref="A1:F53"/>
  <sheetViews>
    <sheetView topLeftCell="A31" workbookViewId="0">
      <selection activeCell="A36" sqref="A36:F41"/>
    </sheetView>
  </sheetViews>
  <sheetFormatPr defaultRowHeight="14.5" x14ac:dyDescent="0.35"/>
  <cols>
    <col min="1" max="1" width="10.453125" bestFit="1" customWidth="1"/>
    <col min="3" max="3" width="10.26953125" bestFit="1" customWidth="1"/>
    <col min="4" max="4" width="10.90625" bestFit="1" customWidth="1"/>
    <col min="5" max="5" width="8.36328125" bestFit="1" customWidth="1"/>
    <col min="6" max="6" width="10.7265625" customWidth="1"/>
  </cols>
  <sheetData>
    <row r="1" spans="1:6" ht="18.5" x14ac:dyDescent="0.45">
      <c r="A1" s="1" t="s">
        <v>59</v>
      </c>
      <c r="B1" s="1"/>
      <c r="C1" s="1"/>
      <c r="D1" s="1"/>
      <c r="E1" s="1"/>
      <c r="F1" s="1"/>
    </row>
    <row r="2" spans="1:6" ht="18.5" x14ac:dyDescent="0.45">
      <c r="A2" s="1" t="s">
        <v>60</v>
      </c>
      <c r="C2" s="1"/>
      <c r="D2" s="1"/>
      <c r="E2" s="1"/>
      <c r="F2" s="1"/>
    </row>
    <row r="3" spans="1:6" ht="18.5" x14ac:dyDescent="0.45">
      <c r="A3" s="1" t="s">
        <v>61</v>
      </c>
      <c r="B3" s="1"/>
      <c r="C3" s="1"/>
      <c r="D3" s="1"/>
      <c r="E3" s="1"/>
      <c r="F3" s="1"/>
    </row>
    <row r="4" spans="1:6" ht="18.5" x14ac:dyDescent="0.45">
      <c r="A4" s="1" t="s">
        <v>426</v>
      </c>
      <c r="B4" s="1"/>
      <c r="C4" s="1"/>
      <c r="D4" s="1"/>
      <c r="E4" s="1"/>
      <c r="F4" s="1"/>
    </row>
    <row r="5" spans="1:6" ht="18.5" x14ac:dyDescent="0.45">
      <c r="A5" s="1" t="s">
        <v>62</v>
      </c>
      <c r="B5" s="1"/>
      <c r="C5" s="1"/>
      <c r="D5" s="1"/>
      <c r="E5" s="1"/>
      <c r="F5" s="1"/>
    </row>
    <row r="6" spans="1:6" ht="18.5" x14ac:dyDescent="0.45">
      <c r="A6" s="1" t="s">
        <v>82</v>
      </c>
      <c r="B6" s="1"/>
      <c r="C6" s="1"/>
      <c r="D6" s="1"/>
      <c r="E6" s="1" t="s">
        <v>36</v>
      </c>
      <c r="F6" s="1"/>
    </row>
    <row r="7" spans="1:6" x14ac:dyDescent="0.35">
      <c r="A7" s="11" t="s">
        <v>3</v>
      </c>
      <c r="B7" s="9" t="s">
        <v>8</v>
      </c>
      <c r="C7" s="9" t="s">
        <v>4</v>
      </c>
      <c r="D7" s="9" t="s">
        <v>9</v>
      </c>
      <c r="E7" s="9" t="s">
        <v>10</v>
      </c>
      <c r="F7" s="9" t="s">
        <v>5</v>
      </c>
    </row>
    <row r="8" spans="1:6" x14ac:dyDescent="0.35">
      <c r="A8" s="24" t="s">
        <v>83</v>
      </c>
      <c r="B8" s="9">
        <v>19</v>
      </c>
      <c r="C8" s="9" t="s">
        <v>84</v>
      </c>
      <c r="D8" s="9">
        <v>10000</v>
      </c>
      <c r="E8" s="9">
        <v>10000</v>
      </c>
      <c r="F8" s="25">
        <v>590000</v>
      </c>
    </row>
    <row r="9" spans="1:6" x14ac:dyDescent="0.35">
      <c r="A9" s="24" t="s">
        <v>85</v>
      </c>
      <c r="B9" s="9">
        <v>1117</v>
      </c>
      <c r="C9" s="9" t="s">
        <v>86</v>
      </c>
      <c r="D9" s="25">
        <v>140000</v>
      </c>
      <c r="E9" s="25">
        <v>150000</v>
      </c>
      <c r="F9" s="25">
        <v>450000</v>
      </c>
    </row>
    <row r="10" spans="1:6" x14ac:dyDescent="0.35">
      <c r="A10" s="9" t="s">
        <v>87</v>
      </c>
      <c r="B10" s="9">
        <v>1931</v>
      </c>
      <c r="C10" s="9" t="s">
        <v>11</v>
      </c>
      <c r="D10" s="9">
        <v>20000</v>
      </c>
      <c r="E10" s="25">
        <f t="shared" ref="E10:E37" si="0">SUM(E9+D10)</f>
        <v>170000</v>
      </c>
      <c r="F10" s="25">
        <f t="shared" ref="F10:F37" si="1">F9-D10</f>
        <v>430000</v>
      </c>
    </row>
    <row r="11" spans="1:6" x14ac:dyDescent="0.35">
      <c r="A11" s="26">
        <v>45234</v>
      </c>
      <c r="B11" s="9">
        <v>1932</v>
      </c>
      <c r="C11" s="9" t="s">
        <v>7</v>
      </c>
      <c r="D11" s="9">
        <v>20000</v>
      </c>
      <c r="E11" s="25">
        <f t="shared" si="0"/>
        <v>190000</v>
      </c>
      <c r="F11" s="25">
        <f t="shared" si="1"/>
        <v>410000</v>
      </c>
    </row>
    <row r="12" spans="1:6" x14ac:dyDescent="0.35">
      <c r="A12" s="9" t="s">
        <v>63</v>
      </c>
      <c r="B12" s="9">
        <v>3771</v>
      </c>
      <c r="C12" s="9" t="s">
        <v>7</v>
      </c>
      <c r="D12" s="25">
        <v>30000</v>
      </c>
      <c r="E12" s="25">
        <f t="shared" si="0"/>
        <v>220000</v>
      </c>
      <c r="F12" s="25">
        <f t="shared" si="1"/>
        <v>380000</v>
      </c>
    </row>
    <row r="13" spans="1:6" x14ac:dyDescent="0.35">
      <c r="A13" s="9" t="s">
        <v>64</v>
      </c>
      <c r="B13" s="9">
        <v>4515</v>
      </c>
      <c r="C13" s="9" t="s">
        <v>7</v>
      </c>
      <c r="D13" s="25">
        <v>10000</v>
      </c>
      <c r="E13" s="25">
        <f t="shared" si="0"/>
        <v>230000</v>
      </c>
      <c r="F13" s="25">
        <f t="shared" si="1"/>
        <v>370000</v>
      </c>
    </row>
    <row r="14" spans="1:6" x14ac:dyDescent="0.35">
      <c r="A14" s="9" t="s">
        <v>65</v>
      </c>
      <c r="B14" s="9">
        <v>5103</v>
      </c>
      <c r="C14" s="9" t="s">
        <v>7</v>
      </c>
      <c r="D14" s="25">
        <v>10000</v>
      </c>
      <c r="E14" s="25">
        <f t="shared" si="0"/>
        <v>240000</v>
      </c>
      <c r="F14" s="25">
        <f t="shared" si="1"/>
        <v>360000</v>
      </c>
    </row>
    <row r="15" spans="1:6" x14ac:dyDescent="0.35">
      <c r="A15" s="9" t="s">
        <v>66</v>
      </c>
      <c r="B15" s="9">
        <v>5633</v>
      </c>
      <c r="C15" s="9" t="s">
        <v>11</v>
      </c>
      <c r="D15" s="25">
        <v>78000</v>
      </c>
      <c r="E15" s="25">
        <f t="shared" si="0"/>
        <v>318000</v>
      </c>
      <c r="F15" s="25">
        <f t="shared" si="1"/>
        <v>282000</v>
      </c>
    </row>
    <row r="16" spans="1:6" x14ac:dyDescent="0.35">
      <c r="A16" s="9" t="s">
        <v>66</v>
      </c>
      <c r="B16" s="9">
        <v>5636</v>
      </c>
      <c r="C16" s="9" t="s">
        <v>7</v>
      </c>
      <c r="D16" s="25">
        <v>10000</v>
      </c>
      <c r="E16" s="25">
        <f t="shared" si="0"/>
        <v>328000</v>
      </c>
      <c r="F16" s="25">
        <f t="shared" si="1"/>
        <v>272000</v>
      </c>
    </row>
    <row r="17" spans="1:6" x14ac:dyDescent="0.35">
      <c r="A17" s="9" t="s">
        <v>67</v>
      </c>
      <c r="B17" s="9">
        <v>6251</v>
      </c>
      <c r="C17" s="9" t="s">
        <v>7</v>
      </c>
      <c r="D17" s="25">
        <v>10000</v>
      </c>
      <c r="E17" s="25">
        <f t="shared" si="0"/>
        <v>338000</v>
      </c>
      <c r="F17" s="25">
        <f t="shared" si="1"/>
        <v>262000</v>
      </c>
    </row>
    <row r="18" spans="1:6" x14ac:dyDescent="0.35">
      <c r="A18" s="9" t="s">
        <v>68</v>
      </c>
      <c r="B18" s="9">
        <v>6612</v>
      </c>
      <c r="C18" s="9" t="s">
        <v>7</v>
      </c>
      <c r="D18" s="25">
        <v>10000</v>
      </c>
      <c r="E18" s="25">
        <f t="shared" si="0"/>
        <v>348000</v>
      </c>
      <c r="F18" s="25">
        <f t="shared" si="1"/>
        <v>252000</v>
      </c>
    </row>
    <row r="19" spans="1:6" x14ac:dyDescent="0.35">
      <c r="A19" s="9"/>
      <c r="B19" s="9">
        <v>7422</v>
      </c>
      <c r="C19" s="9" t="s">
        <v>7</v>
      </c>
      <c r="D19" s="25">
        <v>10000</v>
      </c>
      <c r="E19" s="25">
        <f t="shared" si="0"/>
        <v>358000</v>
      </c>
      <c r="F19" s="25">
        <f t="shared" si="1"/>
        <v>242000</v>
      </c>
    </row>
    <row r="20" spans="1:6" x14ac:dyDescent="0.35">
      <c r="A20" s="9" t="s">
        <v>69</v>
      </c>
      <c r="B20" s="9">
        <v>7919</v>
      </c>
      <c r="C20" s="9" t="s">
        <v>7</v>
      </c>
      <c r="D20" s="25">
        <v>10000</v>
      </c>
      <c r="E20" s="25">
        <f t="shared" si="0"/>
        <v>368000</v>
      </c>
      <c r="F20" s="25">
        <f t="shared" si="1"/>
        <v>232000</v>
      </c>
    </row>
    <row r="21" spans="1:6" x14ac:dyDescent="0.35">
      <c r="A21" s="9" t="s">
        <v>70</v>
      </c>
      <c r="B21" s="9">
        <v>8583</v>
      </c>
      <c r="C21" s="9" t="s">
        <v>7</v>
      </c>
      <c r="D21" s="25">
        <v>10000</v>
      </c>
      <c r="E21" s="25">
        <f t="shared" si="0"/>
        <v>378000</v>
      </c>
      <c r="F21" s="25">
        <f t="shared" si="1"/>
        <v>222000</v>
      </c>
    </row>
    <row r="22" spans="1:6" x14ac:dyDescent="0.35">
      <c r="A22" s="9" t="s">
        <v>71</v>
      </c>
      <c r="B22" s="9">
        <v>9300</v>
      </c>
      <c r="C22" s="9" t="s">
        <v>7</v>
      </c>
      <c r="D22" s="25">
        <v>10000</v>
      </c>
      <c r="E22" s="25">
        <f t="shared" si="0"/>
        <v>388000</v>
      </c>
      <c r="F22" s="25">
        <f t="shared" si="1"/>
        <v>212000</v>
      </c>
    </row>
    <row r="23" spans="1:6" x14ac:dyDescent="0.35">
      <c r="A23" s="9" t="s">
        <v>72</v>
      </c>
      <c r="B23" s="9">
        <v>10857</v>
      </c>
      <c r="C23" s="9" t="s">
        <v>7</v>
      </c>
      <c r="D23" s="25">
        <v>20000</v>
      </c>
      <c r="E23" s="25">
        <f t="shared" si="0"/>
        <v>408000</v>
      </c>
      <c r="F23" s="25">
        <f t="shared" si="1"/>
        <v>192000</v>
      </c>
    </row>
    <row r="24" spans="1:6" x14ac:dyDescent="0.35">
      <c r="A24" s="9" t="s">
        <v>73</v>
      </c>
      <c r="B24" s="9">
        <v>11232</v>
      </c>
      <c r="C24" s="9" t="s">
        <v>7</v>
      </c>
      <c r="D24" s="25">
        <v>10000</v>
      </c>
      <c r="E24" s="25">
        <f t="shared" si="0"/>
        <v>418000</v>
      </c>
      <c r="F24" s="25">
        <f t="shared" si="1"/>
        <v>182000</v>
      </c>
    </row>
    <row r="25" spans="1:6" x14ac:dyDescent="0.35">
      <c r="A25" s="9" t="s">
        <v>23</v>
      </c>
      <c r="B25" s="9">
        <v>12498</v>
      </c>
      <c r="C25" s="9" t="s">
        <v>7</v>
      </c>
      <c r="D25" s="25">
        <v>10000</v>
      </c>
      <c r="E25" s="25">
        <f t="shared" si="0"/>
        <v>428000</v>
      </c>
      <c r="F25" s="25">
        <f t="shared" si="1"/>
        <v>172000</v>
      </c>
    </row>
    <row r="26" spans="1:6" x14ac:dyDescent="0.35">
      <c r="A26" s="9" t="s">
        <v>74</v>
      </c>
      <c r="B26" s="9">
        <v>12849</v>
      </c>
      <c r="C26" s="9" t="s">
        <v>7</v>
      </c>
      <c r="D26" s="25">
        <v>10000</v>
      </c>
      <c r="E26" s="25">
        <f t="shared" si="0"/>
        <v>438000</v>
      </c>
      <c r="F26" s="25">
        <f t="shared" si="1"/>
        <v>162000</v>
      </c>
    </row>
    <row r="27" spans="1:6" x14ac:dyDescent="0.35">
      <c r="A27" s="26">
        <v>45718</v>
      </c>
      <c r="B27" s="9">
        <v>9209</v>
      </c>
      <c r="C27" s="9" t="s">
        <v>7</v>
      </c>
      <c r="D27" s="25">
        <v>10000</v>
      </c>
      <c r="E27" s="25">
        <f t="shared" si="0"/>
        <v>448000</v>
      </c>
      <c r="F27" s="25">
        <f t="shared" si="1"/>
        <v>152000</v>
      </c>
    </row>
    <row r="28" spans="1:6" x14ac:dyDescent="0.35">
      <c r="A28" s="9" t="s">
        <v>75</v>
      </c>
      <c r="B28" s="9">
        <v>9817</v>
      </c>
      <c r="C28" s="9" t="s">
        <v>7</v>
      </c>
      <c r="D28" s="25">
        <v>10000</v>
      </c>
      <c r="E28" s="25">
        <f t="shared" si="0"/>
        <v>458000</v>
      </c>
      <c r="F28" s="25">
        <f t="shared" si="1"/>
        <v>142000</v>
      </c>
    </row>
    <row r="29" spans="1:6" x14ac:dyDescent="0.35">
      <c r="A29" s="9" t="s">
        <v>76</v>
      </c>
      <c r="B29" s="9">
        <v>9926</v>
      </c>
      <c r="C29" s="9" t="s">
        <v>7</v>
      </c>
      <c r="D29" s="25">
        <v>10000</v>
      </c>
      <c r="E29" s="25">
        <f t="shared" si="0"/>
        <v>468000</v>
      </c>
      <c r="F29" s="25">
        <f t="shared" si="1"/>
        <v>132000</v>
      </c>
    </row>
    <row r="30" spans="1:6" x14ac:dyDescent="0.35">
      <c r="A30" s="9" t="s">
        <v>77</v>
      </c>
      <c r="B30" s="9">
        <v>12882</v>
      </c>
      <c r="C30" s="9" t="s">
        <v>7</v>
      </c>
      <c r="D30" s="25">
        <v>10000</v>
      </c>
      <c r="E30" s="25">
        <f t="shared" si="0"/>
        <v>478000</v>
      </c>
      <c r="F30" s="25">
        <f t="shared" si="1"/>
        <v>122000</v>
      </c>
    </row>
    <row r="31" spans="1:6" x14ac:dyDescent="0.35">
      <c r="A31" s="9" t="s">
        <v>78</v>
      </c>
      <c r="B31" s="9">
        <v>12935</v>
      </c>
      <c r="C31" s="9" t="s">
        <v>7</v>
      </c>
      <c r="D31" s="25">
        <v>10000</v>
      </c>
      <c r="E31" s="25">
        <f t="shared" si="0"/>
        <v>488000</v>
      </c>
      <c r="F31" s="25">
        <f t="shared" si="1"/>
        <v>112000</v>
      </c>
    </row>
    <row r="32" spans="1:6" x14ac:dyDescent="0.35">
      <c r="A32" s="9" t="s">
        <v>79</v>
      </c>
      <c r="B32" s="9">
        <v>12797</v>
      </c>
      <c r="C32" s="9" t="s">
        <v>7</v>
      </c>
      <c r="D32" s="25">
        <v>10000</v>
      </c>
      <c r="E32" s="25">
        <f t="shared" si="0"/>
        <v>498000</v>
      </c>
      <c r="F32" s="25">
        <f t="shared" si="1"/>
        <v>102000</v>
      </c>
    </row>
    <row r="33" spans="1:6" x14ac:dyDescent="0.35">
      <c r="A33" s="9" t="s">
        <v>80</v>
      </c>
      <c r="B33" s="9">
        <v>13645</v>
      </c>
      <c r="C33" s="9" t="s">
        <v>7</v>
      </c>
      <c r="D33" s="25">
        <v>10000</v>
      </c>
      <c r="E33" s="25">
        <f t="shared" si="0"/>
        <v>508000</v>
      </c>
      <c r="F33" s="25">
        <f t="shared" si="1"/>
        <v>92000</v>
      </c>
    </row>
    <row r="34" spans="1:6" x14ac:dyDescent="0.35">
      <c r="A34" s="26">
        <v>46357</v>
      </c>
      <c r="B34" s="9">
        <v>12179</v>
      </c>
      <c r="C34" s="9" t="s">
        <v>7</v>
      </c>
      <c r="D34" s="25">
        <v>10000</v>
      </c>
      <c r="E34" s="25">
        <f t="shared" si="0"/>
        <v>518000</v>
      </c>
      <c r="F34" s="25">
        <f t="shared" si="1"/>
        <v>82000</v>
      </c>
    </row>
    <row r="35" spans="1:6" x14ac:dyDescent="0.35">
      <c r="A35" s="26">
        <v>46083</v>
      </c>
      <c r="B35" s="9">
        <v>12319</v>
      </c>
      <c r="C35" s="9" t="s">
        <v>7</v>
      </c>
      <c r="D35" s="25">
        <v>10000</v>
      </c>
      <c r="E35" s="25">
        <f t="shared" si="0"/>
        <v>528000</v>
      </c>
      <c r="F35" s="25">
        <f t="shared" si="1"/>
        <v>72000</v>
      </c>
    </row>
    <row r="36" spans="1:6" x14ac:dyDescent="0.35">
      <c r="A36" s="9" t="s">
        <v>424</v>
      </c>
      <c r="B36" s="9">
        <v>13927</v>
      </c>
      <c r="C36" s="9" t="s">
        <v>7</v>
      </c>
      <c r="D36" s="25">
        <v>10000</v>
      </c>
      <c r="E36" s="25">
        <f t="shared" si="0"/>
        <v>538000</v>
      </c>
      <c r="F36" s="25">
        <f t="shared" si="1"/>
        <v>62000</v>
      </c>
    </row>
    <row r="37" spans="1:6" x14ac:dyDescent="0.35">
      <c r="A37" s="9" t="s">
        <v>425</v>
      </c>
      <c r="B37" s="9">
        <v>13016</v>
      </c>
      <c r="C37" s="9" t="s">
        <v>7</v>
      </c>
      <c r="D37" s="25">
        <v>10000</v>
      </c>
      <c r="E37" s="25">
        <f t="shared" si="0"/>
        <v>548000</v>
      </c>
      <c r="F37" s="25">
        <f t="shared" si="1"/>
        <v>52000</v>
      </c>
    </row>
    <row r="38" spans="1:6" x14ac:dyDescent="0.35">
      <c r="A38" s="9" t="s">
        <v>796</v>
      </c>
      <c r="B38" s="9">
        <v>13349</v>
      </c>
      <c r="C38" s="9" t="s">
        <v>7</v>
      </c>
      <c r="D38" s="25">
        <v>10000</v>
      </c>
      <c r="E38" s="25">
        <f>E37+D38</f>
        <v>558000</v>
      </c>
      <c r="F38" s="25">
        <f>F37-D38</f>
        <v>42000</v>
      </c>
    </row>
    <row r="39" spans="1:6" x14ac:dyDescent="0.35">
      <c r="A39" s="9" t="s">
        <v>756</v>
      </c>
      <c r="B39" s="9">
        <v>13619</v>
      </c>
      <c r="C39" s="9" t="s">
        <v>7</v>
      </c>
      <c r="D39" s="25">
        <v>10000</v>
      </c>
      <c r="E39" s="25">
        <f>E38+D39</f>
        <v>568000</v>
      </c>
      <c r="F39" s="25">
        <f>F38-D39</f>
        <v>32000</v>
      </c>
    </row>
    <row r="40" spans="1:6" x14ac:dyDescent="0.35">
      <c r="A40" s="9" t="s">
        <v>797</v>
      </c>
      <c r="B40" s="9">
        <v>1483</v>
      </c>
      <c r="C40" s="9" t="s">
        <v>7</v>
      </c>
      <c r="D40" s="25">
        <v>10000</v>
      </c>
      <c r="E40" s="25">
        <f>E39+D40</f>
        <v>578000</v>
      </c>
      <c r="F40" s="25">
        <f>F39-D40</f>
        <v>22000</v>
      </c>
    </row>
    <row r="41" spans="1:6" x14ac:dyDescent="0.35">
      <c r="A41" s="9" t="s">
        <v>821</v>
      </c>
      <c r="B41" s="9">
        <v>1793</v>
      </c>
      <c r="C41" s="9" t="s">
        <v>7</v>
      </c>
      <c r="D41" s="25">
        <v>10000</v>
      </c>
      <c r="E41" s="25">
        <f>E40+D41</f>
        <v>588000</v>
      </c>
      <c r="F41" s="25">
        <f>F40-D41</f>
        <v>12000</v>
      </c>
    </row>
    <row r="42" spans="1:6" x14ac:dyDescent="0.35">
      <c r="A42" s="56"/>
      <c r="B42" s="56"/>
      <c r="C42" s="56"/>
      <c r="D42" s="56"/>
      <c r="E42" s="56"/>
      <c r="F42" s="56"/>
    </row>
    <row r="43" spans="1:6" x14ac:dyDescent="0.35">
      <c r="A43" s="56"/>
      <c r="B43" s="56"/>
      <c r="C43" s="56"/>
      <c r="D43" s="56"/>
      <c r="E43" s="56"/>
      <c r="F43" s="56"/>
    </row>
    <row r="44" spans="1:6" x14ac:dyDescent="0.35">
      <c r="A44" s="56"/>
      <c r="B44" s="56"/>
      <c r="C44" s="56"/>
      <c r="D44" s="56"/>
      <c r="E44" s="56"/>
      <c r="F44" s="56"/>
    </row>
    <row r="45" spans="1:6" x14ac:dyDescent="0.35">
      <c r="A45" s="56"/>
      <c r="B45" s="56"/>
      <c r="C45" s="56"/>
      <c r="D45" s="56"/>
      <c r="E45" s="56"/>
      <c r="F45" s="56"/>
    </row>
    <row r="46" spans="1:6" x14ac:dyDescent="0.35">
      <c r="A46" s="56"/>
      <c r="B46" s="56"/>
      <c r="C46" s="56"/>
      <c r="D46" s="56"/>
      <c r="E46" s="56"/>
      <c r="F46" s="56"/>
    </row>
    <row r="47" spans="1:6" x14ac:dyDescent="0.35">
      <c r="A47" s="56"/>
      <c r="B47" s="56"/>
      <c r="C47" s="56"/>
      <c r="D47" s="56"/>
      <c r="E47" s="56"/>
      <c r="F47" s="56"/>
    </row>
    <row r="48" spans="1:6" x14ac:dyDescent="0.35">
      <c r="A48" s="56"/>
      <c r="B48" s="56"/>
      <c r="C48" s="56"/>
      <c r="D48" s="56"/>
      <c r="E48" s="56"/>
      <c r="F48" s="56"/>
    </row>
    <row r="49" spans="1:6" x14ac:dyDescent="0.35">
      <c r="A49" s="56"/>
      <c r="B49" s="56"/>
      <c r="C49" s="56"/>
      <c r="D49" s="56"/>
      <c r="E49" s="56"/>
      <c r="F49" s="56"/>
    </row>
    <row r="50" spans="1:6" x14ac:dyDescent="0.35">
      <c r="A50" s="56"/>
      <c r="B50" s="56"/>
      <c r="C50" s="56"/>
      <c r="D50" s="56"/>
      <c r="E50" s="56"/>
      <c r="F50" s="56"/>
    </row>
    <row r="51" spans="1:6" x14ac:dyDescent="0.35">
      <c r="A51" s="56"/>
      <c r="B51" s="56"/>
      <c r="C51" s="56"/>
      <c r="D51" s="56"/>
      <c r="E51" s="56"/>
      <c r="F51" s="56"/>
    </row>
    <row r="52" spans="1:6" x14ac:dyDescent="0.35">
      <c r="A52" s="56"/>
      <c r="B52" s="56"/>
      <c r="C52" s="56"/>
      <c r="D52" s="56"/>
      <c r="E52" s="56"/>
      <c r="F52" s="56"/>
    </row>
    <row r="53" spans="1:6" x14ac:dyDescent="0.35">
      <c r="A53" s="56"/>
      <c r="B53" s="56"/>
      <c r="C53" s="56"/>
      <c r="D53" s="56"/>
      <c r="E53" s="56"/>
      <c r="F53" s="5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A03C1-0163-4AD0-81A1-8AEBA01FACA7}">
  <dimension ref="A1:F20"/>
  <sheetViews>
    <sheetView topLeftCell="A2" workbookViewId="0">
      <selection activeCell="I10" sqref="I10"/>
    </sheetView>
  </sheetViews>
  <sheetFormatPr defaultRowHeight="14.5" x14ac:dyDescent="0.35"/>
  <sheetData>
    <row r="1" spans="1:6" ht="18.5" x14ac:dyDescent="0.45">
      <c r="A1" s="1" t="s">
        <v>499</v>
      </c>
      <c r="B1" s="1"/>
      <c r="C1" s="1"/>
      <c r="D1" s="1"/>
      <c r="E1" s="1"/>
      <c r="F1" s="1"/>
    </row>
    <row r="2" spans="1:6" ht="18.5" x14ac:dyDescent="0.45">
      <c r="A2" s="1" t="s">
        <v>500</v>
      </c>
      <c r="C2" s="1"/>
      <c r="D2" s="1"/>
      <c r="E2" s="1"/>
      <c r="F2" s="1"/>
    </row>
    <row r="3" spans="1:6" ht="18.5" x14ac:dyDescent="0.45">
      <c r="A3" s="1" t="s">
        <v>501</v>
      </c>
      <c r="B3" s="1"/>
      <c r="C3" s="1"/>
      <c r="D3" s="1"/>
      <c r="E3" s="1"/>
      <c r="F3" s="1"/>
    </row>
    <row r="4" spans="1:6" ht="18.5" x14ac:dyDescent="0.45">
      <c r="A4" s="1" t="s">
        <v>62</v>
      </c>
      <c r="B4" s="1"/>
      <c r="C4" s="1"/>
      <c r="D4" s="1"/>
      <c r="E4" s="1"/>
      <c r="F4" s="1"/>
    </row>
    <row r="5" spans="1:6" ht="18.5" x14ac:dyDescent="0.45">
      <c r="A5" s="1" t="s">
        <v>502</v>
      </c>
      <c r="B5" s="1"/>
      <c r="C5" s="1"/>
      <c r="D5" s="1"/>
      <c r="E5" s="1" t="s">
        <v>507</v>
      </c>
      <c r="F5" s="1"/>
    </row>
    <row r="6" spans="1:6" ht="18.5" x14ac:dyDescent="0.45">
      <c r="A6" s="1" t="s">
        <v>403</v>
      </c>
      <c r="B6" s="1"/>
      <c r="C6" s="1"/>
      <c r="D6" s="1"/>
      <c r="E6" s="1"/>
      <c r="F6" s="1"/>
    </row>
    <row r="7" spans="1:6" ht="18.5" x14ac:dyDescent="0.45">
      <c r="A7" s="64" t="s">
        <v>404</v>
      </c>
      <c r="B7" s="64"/>
      <c r="C7" s="64"/>
      <c r="D7" s="64"/>
      <c r="E7" s="64"/>
      <c r="F7" s="56"/>
    </row>
    <row r="8" spans="1:6" ht="18.5" x14ac:dyDescent="0.45">
      <c r="A8" s="1" t="s">
        <v>503</v>
      </c>
      <c r="B8" s="1"/>
      <c r="C8" s="1"/>
      <c r="D8" s="1"/>
      <c r="E8" s="1"/>
      <c r="F8" s="1"/>
    </row>
    <row r="9" spans="1:6" ht="18.5" x14ac:dyDescent="0.45">
      <c r="A9" s="1" t="s">
        <v>504</v>
      </c>
      <c r="C9" s="1"/>
      <c r="D9" s="1"/>
      <c r="E9" s="1"/>
      <c r="F9" s="1"/>
    </row>
    <row r="10" spans="1:6" ht="18.5" x14ac:dyDescent="0.45">
      <c r="A10" s="1" t="s">
        <v>505</v>
      </c>
      <c r="B10" s="1"/>
      <c r="C10" s="1"/>
      <c r="D10" s="1"/>
      <c r="E10" s="1"/>
      <c r="F10" s="1"/>
    </row>
    <row r="11" spans="1:6" ht="18.5" x14ac:dyDescent="0.45">
      <c r="A11" s="1" t="s">
        <v>512</v>
      </c>
      <c r="B11" s="1"/>
      <c r="C11" s="1"/>
      <c r="D11" s="1"/>
      <c r="E11" s="1"/>
      <c r="F11" s="1"/>
    </row>
    <row r="12" spans="1:6" ht="18.5" x14ac:dyDescent="0.45">
      <c r="A12" s="1" t="s">
        <v>54</v>
      </c>
      <c r="B12" s="1"/>
      <c r="C12" s="1"/>
      <c r="D12" s="1"/>
      <c r="E12" s="1"/>
      <c r="F12" s="1"/>
    </row>
    <row r="13" spans="1:6" ht="18.5" x14ac:dyDescent="0.45">
      <c r="A13" s="1" t="s">
        <v>502</v>
      </c>
      <c r="B13" s="1"/>
      <c r="C13" s="1"/>
      <c r="D13" s="1"/>
      <c r="E13" s="1" t="s">
        <v>506</v>
      </c>
      <c r="F13" s="1"/>
    </row>
    <row r="14" spans="1:6" x14ac:dyDescent="0.35">
      <c r="A14" s="11" t="s">
        <v>3</v>
      </c>
      <c r="B14" s="9" t="s">
        <v>8</v>
      </c>
      <c r="C14" s="9" t="s">
        <v>4</v>
      </c>
      <c r="D14" s="9" t="s">
        <v>9</v>
      </c>
      <c r="E14" s="9" t="s">
        <v>10</v>
      </c>
      <c r="F14" s="9" t="s">
        <v>5</v>
      </c>
    </row>
    <row r="15" spans="1:6" x14ac:dyDescent="0.35">
      <c r="B15" t="s">
        <v>508</v>
      </c>
    </row>
    <row r="16" spans="1:6" x14ac:dyDescent="0.35">
      <c r="B16" t="s">
        <v>509</v>
      </c>
    </row>
    <row r="18" spans="1:6" x14ac:dyDescent="0.35">
      <c r="A18" t="s">
        <v>510</v>
      </c>
      <c r="B18">
        <v>5585</v>
      </c>
      <c r="C18" t="s">
        <v>511</v>
      </c>
      <c r="D18" s="36">
        <v>150000</v>
      </c>
      <c r="E18" s="36">
        <v>150000</v>
      </c>
      <c r="F18" t="s">
        <v>381</v>
      </c>
    </row>
    <row r="20" spans="1:6" ht="18.5" x14ac:dyDescent="0.45">
      <c r="A20" s="33" t="s">
        <v>383</v>
      </c>
      <c r="B20" s="33"/>
      <c r="C20" s="33"/>
      <c r="D20" s="33"/>
      <c r="E20" s="33"/>
      <c r="F20" s="3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AB19F-7BA9-483B-B212-6E82E1425C6A}">
  <dimension ref="A1:F44"/>
  <sheetViews>
    <sheetView topLeftCell="A29" workbookViewId="0">
      <selection activeCell="F45" sqref="F45"/>
    </sheetView>
  </sheetViews>
  <sheetFormatPr defaultRowHeight="14.5" x14ac:dyDescent="0.35"/>
  <cols>
    <col min="1" max="1" width="10.453125" bestFit="1" customWidth="1"/>
    <col min="3" max="3" width="13.453125" customWidth="1"/>
    <col min="6" max="6" width="11.36328125" customWidth="1"/>
  </cols>
  <sheetData>
    <row r="1" spans="1:6" ht="18.5" x14ac:dyDescent="0.45">
      <c r="A1" s="1" t="s">
        <v>292</v>
      </c>
      <c r="B1" s="1"/>
      <c r="C1" s="17"/>
      <c r="D1" s="1"/>
      <c r="E1" s="1"/>
      <c r="F1" s="1"/>
    </row>
    <row r="2" spans="1:6" ht="18.5" x14ac:dyDescent="0.45">
      <c r="A2" s="1" t="s">
        <v>102</v>
      </c>
      <c r="C2" s="1"/>
      <c r="D2" s="1"/>
      <c r="E2" s="1"/>
      <c r="F2" s="1"/>
    </row>
    <row r="3" spans="1:6" ht="18.5" x14ac:dyDescent="0.45">
      <c r="A3" s="1" t="s">
        <v>294</v>
      </c>
      <c r="B3" s="1"/>
      <c r="C3" s="1"/>
      <c r="D3" s="1"/>
      <c r="E3" s="1"/>
      <c r="F3" s="1"/>
    </row>
    <row r="4" spans="1:6" ht="18.5" x14ac:dyDescent="0.45">
      <c r="A4" s="1" t="s">
        <v>558</v>
      </c>
      <c r="B4" s="33"/>
      <c r="C4" s="1"/>
      <c r="D4" s="1"/>
      <c r="E4" s="1"/>
      <c r="F4" s="1"/>
    </row>
    <row r="5" spans="1:6" ht="18.5" x14ac:dyDescent="0.45">
      <c r="A5" s="1" t="s">
        <v>293</v>
      </c>
      <c r="B5" s="1"/>
      <c r="C5" s="1"/>
      <c r="D5" s="1"/>
      <c r="E5" s="1"/>
      <c r="F5" s="1"/>
    </row>
    <row r="6" spans="1:6" ht="18.5" x14ac:dyDescent="0.45">
      <c r="A6" s="1" t="s">
        <v>295</v>
      </c>
      <c r="B6" s="1"/>
      <c r="C6" s="1"/>
      <c r="D6" s="1" t="s">
        <v>296</v>
      </c>
      <c r="E6" s="1"/>
      <c r="F6" s="1"/>
    </row>
    <row r="7" spans="1:6" x14ac:dyDescent="0.35">
      <c r="A7" s="28" t="s">
        <v>3</v>
      </c>
      <c r="B7" s="29" t="s">
        <v>8</v>
      </c>
      <c r="C7" s="29" t="s">
        <v>4</v>
      </c>
      <c r="D7" s="29" t="s">
        <v>9</v>
      </c>
      <c r="E7" s="29" t="s">
        <v>10</v>
      </c>
      <c r="F7" s="29" t="s">
        <v>5</v>
      </c>
    </row>
    <row r="8" spans="1:6" x14ac:dyDescent="0.35">
      <c r="A8" s="9" t="s">
        <v>150</v>
      </c>
      <c r="B8" s="9">
        <v>113</v>
      </c>
      <c r="C8" s="9" t="s">
        <v>299</v>
      </c>
      <c r="D8" s="25">
        <v>5000</v>
      </c>
      <c r="E8" s="25">
        <v>5000</v>
      </c>
      <c r="F8" s="25">
        <v>695000</v>
      </c>
    </row>
    <row r="9" spans="1:6" x14ac:dyDescent="0.35">
      <c r="A9" s="9" t="s">
        <v>297</v>
      </c>
      <c r="B9" s="9">
        <v>586</v>
      </c>
      <c r="C9" s="9" t="s">
        <v>96</v>
      </c>
      <c r="D9" s="25">
        <v>65000</v>
      </c>
      <c r="E9" s="25">
        <f>SUM(E8+D9)</f>
        <v>70000</v>
      </c>
      <c r="F9" s="25">
        <f>F8-D9</f>
        <v>630000</v>
      </c>
    </row>
    <row r="10" spans="1:6" x14ac:dyDescent="0.35">
      <c r="A10" s="9" t="s">
        <v>258</v>
      </c>
      <c r="B10" s="9">
        <v>2814</v>
      </c>
      <c r="C10" s="9" t="s">
        <v>88</v>
      </c>
      <c r="D10" s="25">
        <v>10000</v>
      </c>
      <c r="E10" s="25">
        <f t="shared" ref="E10:E42" si="0">SUM(E9+D10)</f>
        <v>80000</v>
      </c>
      <c r="F10" s="25">
        <f t="shared" ref="F10:F42" si="1">F9-D10</f>
        <v>620000</v>
      </c>
    </row>
    <row r="11" spans="1:6" x14ac:dyDescent="0.35">
      <c r="A11" s="9" t="s">
        <v>298</v>
      </c>
      <c r="B11" s="9">
        <v>2472</v>
      </c>
      <c r="C11" s="9" t="s">
        <v>88</v>
      </c>
      <c r="D11" s="25">
        <v>10000</v>
      </c>
      <c r="E11" s="25">
        <f t="shared" si="0"/>
        <v>90000</v>
      </c>
      <c r="F11" s="25">
        <f t="shared" si="1"/>
        <v>610000</v>
      </c>
    </row>
    <row r="12" spans="1:6" x14ac:dyDescent="0.35">
      <c r="A12" s="26">
        <v>45239</v>
      </c>
      <c r="B12" s="9">
        <v>3546</v>
      </c>
      <c r="C12" s="9" t="s">
        <v>88</v>
      </c>
      <c r="D12" s="25">
        <v>10000</v>
      </c>
      <c r="E12" s="25">
        <f t="shared" si="0"/>
        <v>100000</v>
      </c>
      <c r="F12" s="25">
        <f t="shared" si="1"/>
        <v>600000</v>
      </c>
    </row>
    <row r="13" spans="1:6" x14ac:dyDescent="0.35">
      <c r="A13" s="26">
        <v>45179</v>
      </c>
      <c r="B13" s="9">
        <v>4125</v>
      </c>
      <c r="C13" s="9" t="s">
        <v>88</v>
      </c>
      <c r="D13" s="25">
        <v>10000</v>
      </c>
      <c r="E13" s="25">
        <f t="shared" si="0"/>
        <v>110000</v>
      </c>
      <c r="F13" s="25">
        <f t="shared" si="1"/>
        <v>590000</v>
      </c>
    </row>
    <row r="14" spans="1:6" x14ac:dyDescent="0.35">
      <c r="A14" s="26">
        <v>45118</v>
      </c>
      <c r="B14" s="9">
        <v>4674</v>
      </c>
      <c r="C14" s="9" t="s">
        <v>88</v>
      </c>
      <c r="D14" s="25">
        <v>10000</v>
      </c>
      <c r="E14" s="25">
        <f t="shared" si="0"/>
        <v>120000</v>
      </c>
      <c r="F14" s="25">
        <f t="shared" si="1"/>
        <v>580000</v>
      </c>
    </row>
    <row r="15" spans="1:6" x14ac:dyDescent="0.35">
      <c r="A15" s="26">
        <v>45028</v>
      </c>
      <c r="B15" s="9">
        <v>5292</v>
      </c>
      <c r="C15" s="9" t="s">
        <v>88</v>
      </c>
      <c r="D15" s="25">
        <v>10000</v>
      </c>
      <c r="E15" s="25">
        <f t="shared" si="0"/>
        <v>130000</v>
      </c>
      <c r="F15" s="25">
        <f t="shared" si="1"/>
        <v>570000</v>
      </c>
    </row>
    <row r="16" spans="1:6" x14ac:dyDescent="0.35">
      <c r="A16" s="26">
        <v>45505</v>
      </c>
      <c r="B16" s="9">
        <v>5991</v>
      </c>
      <c r="C16" s="9" t="s">
        <v>88</v>
      </c>
      <c r="D16" s="25">
        <v>10000</v>
      </c>
      <c r="E16" s="25">
        <f t="shared" si="0"/>
        <v>140000</v>
      </c>
      <c r="F16" s="25">
        <f t="shared" si="1"/>
        <v>560000</v>
      </c>
    </row>
    <row r="17" spans="1:6" x14ac:dyDescent="0.35">
      <c r="A17" s="26">
        <v>45475</v>
      </c>
      <c r="B17" s="9">
        <v>6562</v>
      </c>
      <c r="C17" s="9" t="s">
        <v>88</v>
      </c>
      <c r="D17" s="25">
        <v>10000</v>
      </c>
      <c r="E17" s="25">
        <f t="shared" si="0"/>
        <v>150000</v>
      </c>
      <c r="F17" s="25">
        <f t="shared" si="1"/>
        <v>550000</v>
      </c>
    </row>
    <row r="18" spans="1:6" x14ac:dyDescent="0.35">
      <c r="A18" s="26">
        <v>45538</v>
      </c>
      <c r="B18" s="9">
        <v>6971</v>
      </c>
      <c r="C18" s="9" t="s">
        <v>88</v>
      </c>
      <c r="D18" s="25">
        <v>10000</v>
      </c>
      <c r="E18" s="25">
        <f t="shared" si="0"/>
        <v>160000</v>
      </c>
      <c r="F18" s="25">
        <f t="shared" si="1"/>
        <v>540000</v>
      </c>
    </row>
    <row r="19" spans="1:6" x14ac:dyDescent="0.35">
      <c r="A19" s="26" t="s">
        <v>308</v>
      </c>
      <c r="B19" s="9">
        <v>7837</v>
      </c>
      <c r="C19" s="9" t="s">
        <v>88</v>
      </c>
      <c r="D19" s="25">
        <v>10000</v>
      </c>
      <c r="E19" s="25">
        <f t="shared" si="0"/>
        <v>170000</v>
      </c>
      <c r="F19" s="25">
        <f t="shared" si="1"/>
        <v>530000</v>
      </c>
    </row>
    <row r="20" spans="1:6" x14ac:dyDescent="0.35">
      <c r="A20" s="26">
        <v>45601</v>
      </c>
      <c r="B20" s="9">
        <v>8395</v>
      </c>
      <c r="C20" s="9" t="s">
        <v>88</v>
      </c>
      <c r="D20" s="25">
        <v>10000</v>
      </c>
      <c r="E20" s="25">
        <f t="shared" si="0"/>
        <v>180000</v>
      </c>
      <c r="F20" s="25">
        <f t="shared" si="1"/>
        <v>520000</v>
      </c>
    </row>
    <row r="21" spans="1:6" x14ac:dyDescent="0.35">
      <c r="A21" s="26">
        <v>45571</v>
      </c>
      <c r="B21" s="9">
        <v>8957</v>
      </c>
      <c r="C21" s="9" t="s">
        <v>88</v>
      </c>
      <c r="D21" s="25">
        <v>10000</v>
      </c>
      <c r="E21" s="25">
        <f t="shared" si="0"/>
        <v>190000</v>
      </c>
      <c r="F21" s="25">
        <f t="shared" si="1"/>
        <v>510000</v>
      </c>
    </row>
    <row r="22" spans="1:6" x14ac:dyDescent="0.35">
      <c r="A22" s="9" t="s">
        <v>278</v>
      </c>
      <c r="B22" s="9">
        <v>9629</v>
      </c>
      <c r="C22" s="9" t="s">
        <v>88</v>
      </c>
      <c r="D22" s="25">
        <v>10000</v>
      </c>
      <c r="E22" s="25">
        <f t="shared" si="0"/>
        <v>200000</v>
      </c>
      <c r="F22" s="25">
        <f t="shared" si="1"/>
        <v>500000</v>
      </c>
    </row>
    <row r="23" spans="1:6" x14ac:dyDescent="0.35">
      <c r="A23" s="26">
        <v>45634</v>
      </c>
      <c r="B23" s="9">
        <v>318</v>
      </c>
      <c r="C23" s="9" t="s">
        <v>88</v>
      </c>
      <c r="D23" s="25">
        <v>10000</v>
      </c>
      <c r="E23" s="25">
        <f t="shared" si="0"/>
        <v>210000</v>
      </c>
      <c r="F23" s="25">
        <f t="shared" si="1"/>
        <v>490000</v>
      </c>
    </row>
    <row r="24" spans="1:6" x14ac:dyDescent="0.35">
      <c r="A24" s="26">
        <v>45605</v>
      </c>
      <c r="B24" s="9">
        <v>10684</v>
      </c>
      <c r="C24" s="9" t="s">
        <v>88</v>
      </c>
      <c r="D24" s="25">
        <v>10000</v>
      </c>
      <c r="E24" s="25">
        <f t="shared" si="0"/>
        <v>220000</v>
      </c>
      <c r="F24" s="25">
        <f t="shared" si="1"/>
        <v>480000</v>
      </c>
    </row>
    <row r="25" spans="1:6" x14ac:dyDescent="0.35">
      <c r="A25" s="9" t="s">
        <v>280</v>
      </c>
      <c r="B25" s="9">
        <v>11656</v>
      </c>
      <c r="C25" s="9" t="s">
        <v>88</v>
      </c>
      <c r="D25" s="25">
        <v>10000</v>
      </c>
      <c r="E25" s="25">
        <f t="shared" si="0"/>
        <v>230000</v>
      </c>
      <c r="F25" s="25">
        <f t="shared" si="1"/>
        <v>470000</v>
      </c>
    </row>
    <row r="26" spans="1:6" x14ac:dyDescent="0.35">
      <c r="A26" s="26">
        <v>45607</v>
      </c>
      <c r="B26" s="9">
        <v>10907</v>
      </c>
      <c r="C26" s="9" t="s">
        <v>88</v>
      </c>
      <c r="D26" s="25">
        <v>10000</v>
      </c>
      <c r="E26" s="25">
        <f t="shared" si="0"/>
        <v>240000</v>
      </c>
      <c r="F26" s="25">
        <f t="shared" si="1"/>
        <v>460000</v>
      </c>
    </row>
    <row r="27" spans="1:6" x14ac:dyDescent="0.35">
      <c r="A27" s="26">
        <v>45547</v>
      </c>
      <c r="B27" s="9">
        <v>12269</v>
      </c>
      <c r="C27" s="9" t="s">
        <v>88</v>
      </c>
      <c r="D27" s="25">
        <v>10000</v>
      </c>
      <c r="E27" s="25">
        <f t="shared" si="0"/>
        <v>250000</v>
      </c>
      <c r="F27" s="25">
        <f t="shared" si="1"/>
        <v>450000</v>
      </c>
    </row>
    <row r="28" spans="1:6" x14ac:dyDescent="0.35">
      <c r="A28" s="9" t="s">
        <v>300</v>
      </c>
      <c r="B28" s="9">
        <v>12059</v>
      </c>
      <c r="C28" s="9" t="s">
        <v>88</v>
      </c>
      <c r="D28" s="25">
        <v>10000</v>
      </c>
      <c r="E28" s="25">
        <f t="shared" si="0"/>
        <v>260000</v>
      </c>
      <c r="F28" s="25">
        <f t="shared" si="1"/>
        <v>440000</v>
      </c>
    </row>
    <row r="29" spans="1:6" x14ac:dyDescent="0.35">
      <c r="A29" s="26">
        <v>45932</v>
      </c>
      <c r="B29" s="9">
        <v>9308</v>
      </c>
      <c r="C29" s="9" t="s">
        <v>88</v>
      </c>
      <c r="D29" s="25">
        <v>10000</v>
      </c>
      <c r="E29" s="25">
        <f t="shared" si="0"/>
        <v>270000</v>
      </c>
      <c r="F29" s="25">
        <f t="shared" si="1"/>
        <v>430000</v>
      </c>
    </row>
    <row r="30" spans="1:6" x14ac:dyDescent="0.35">
      <c r="A30" s="9" t="s">
        <v>301</v>
      </c>
      <c r="B30" s="9">
        <v>9780</v>
      </c>
      <c r="C30" s="9" t="s">
        <v>88</v>
      </c>
      <c r="D30" s="25">
        <v>10000</v>
      </c>
      <c r="E30" s="25">
        <f t="shared" si="0"/>
        <v>280000</v>
      </c>
      <c r="F30" s="25">
        <f t="shared" si="1"/>
        <v>420000</v>
      </c>
    </row>
    <row r="31" spans="1:6" x14ac:dyDescent="0.35">
      <c r="A31" s="9" t="s">
        <v>302</v>
      </c>
      <c r="B31" s="9">
        <v>10198</v>
      </c>
      <c r="C31" s="9" t="s">
        <v>88</v>
      </c>
      <c r="D31" s="25">
        <v>10000</v>
      </c>
      <c r="E31" s="25">
        <f t="shared" si="0"/>
        <v>290000</v>
      </c>
      <c r="F31" s="25">
        <f t="shared" si="1"/>
        <v>410000</v>
      </c>
    </row>
    <row r="32" spans="1:6" x14ac:dyDescent="0.35">
      <c r="A32" s="9" t="s">
        <v>303</v>
      </c>
      <c r="B32" s="9">
        <v>9976</v>
      </c>
      <c r="C32" s="9" t="s">
        <v>88</v>
      </c>
      <c r="D32" s="25">
        <v>20000</v>
      </c>
      <c r="E32" s="25">
        <f t="shared" si="0"/>
        <v>310000</v>
      </c>
      <c r="F32" s="25">
        <f t="shared" si="1"/>
        <v>390000</v>
      </c>
    </row>
    <row r="33" spans="1:6" x14ac:dyDescent="0.35">
      <c r="A33" s="9" t="s">
        <v>162</v>
      </c>
      <c r="B33" s="9">
        <v>12195</v>
      </c>
      <c r="C33" s="9" t="s">
        <v>88</v>
      </c>
      <c r="D33" s="25">
        <v>10000</v>
      </c>
      <c r="E33" s="25">
        <f t="shared" si="0"/>
        <v>320000</v>
      </c>
      <c r="F33" s="25">
        <f t="shared" si="1"/>
        <v>380000</v>
      </c>
    </row>
    <row r="34" spans="1:6" x14ac:dyDescent="0.35">
      <c r="A34" s="26">
        <v>45999</v>
      </c>
      <c r="B34" s="9">
        <v>12908</v>
      </c>
      <c r="C34" s="9" t="s">
        <v>88</v>
      </c>
      <c r="D34" s="25">
        <v>10000</v>
      </c>
      <c r="E34" s="25">
        <f t="shared" si="0"/>
        <v>330000</v>
      </c>
      <c r="F34" s="25">
        <f t="shared" si="1"/>
        <v>370000</v>
      </c>
    </row>
    <row r="35" spans="1:6" x14ac:dyDescent="0.35">
      <c r="A35" s="9" t="s">
        <v>304</v>
      </c>
      <c r="B35" s="9">
        <v>13794</v>
      </c>
      <c r="C35" s="9" t="s">
        <v>88</v>
      </c>
      <c r="D35" s="25">
        <v>20000</v>
      </c>
      <c r="E35" s="25">
        <f t="shared" si="0"/>
        <v>350000</v>
      </c>
      <c r="F35" s="25">
        <f t="shared" si="1"/>
        <v>350000</v>
      </c>
    </row>
    <row r="36" spans="1:6" x14ac:dyDescent="0.35">
      <c r="A36" s="26">
        <v>45941</v>
      </c>
      <c r="B36" s="9">
        <v>13310</v>
      </c>
      <c r="C36" s="9" t="s">
        <v>88</v>
      </c>
      <c r="D36" s="25">
        <v>10000</v>
      </c>
      <c r="E36" s="25">
        <f t="shared" si="0"/>
        <v>360000</v>
      </c>
      <c r="F36" s="25">
        <f t="shared" si="1"/>
        <v>340000</v>
      </c>
    </row>
    <row r="37" spans="1:6" x14ac:dyDescent="0.35">
      <c r="A37" s="9" t="s">
        <v>204</v>
      </c>
      <c r="B37" s="9">
        <v>12617</v>
      </c>
      <c r="C37" s="9" t="s">
        <v>88</v>
      </c>
      <c r="D37" s="25">
        <v>10000</v>
      </c>
      <c r="E37" s="25">
        <f t="shared" si="0"/>
        <v>370000</v>
      </c>
      <c r="F37" s="25">
        <f t="shared" si="1"/>
        <v>330000</v>
      </c>
    </row>
    <row r="38" spans="1:6" x14ac:dyDescent="0.35">
      <c r="A38" s="26" t="s">
        <v>305</v>
      </c>
      <c r="B38" s="9">
        <v>12275</v>
      </c>
      <c r="C38" s="9" t="s">
        <v>88</v>
      </c>
      <c r="D38" s="25">
        <v>10000</v>
      </c>
      <c r="E38" s="25">
        <f t="shared" si="0"/>
        <v>380000</v>
      </c>
      <c r="F38" s="25">
        <f t="shared" si="1"/>
        <v>320000</v>
      </c>
    </row>
    <row r="39" spans="1:6" x14ac:dyDescent="0.35">
      <c r="A39" s="9" t="s">
        <v>306</v>
      </c>
      <c r="B39" s="9">
        <v>12495</v>
      </c>
      <c r="C39" s="9" t="s">
        <v>88</v>
      </c>
      <c r="D39" s="25">
        <v>10000</v>
      </c>
      <c r="E39" s="25">
        <f t="shared" si="0"/>
        <v>390000</v>
      </c>
      <c r="F39" s="25">
        <f t="shared" si="1"/>
        <v>310000</v>
      </c>
    </row>
    <row r="40" spans="1:6" x14ac:dyDescent="0.35">
      <c r="A40" s="26" t="s">
        <v>307</v>
      </c>
      <c r="B40" s="9">
        <v>13917</v>
      </c>
      <c r="C40" s="9" t="s">
        <v>88</v>
      </c>
      <c r="D40" s="25">
        <v>10000</v>
      </c>
      <c r="E40" s="25">
        <f t="shared" si="0"/>
        <v>400000</v>
      </c>
      <c r="F40" s="25">
        <f t="shared" si="1"/>
        <v>300000</v>
      </c>
    </row>
    <row r="41" spans="1:6" x14ac:dyDescent="0.35">
      <c r="A41" s="35" t="s">
        <v>514</v>
      </c>
      <c r="B41" s="35">
        <v>13267</v>
      </c>
      <c r="C41" s="9" t="s">
        <v>88</v>
      </c>
      <c r="D41" s="25">
        <v>10000</v>
      </c>
      <c r="E41" s="25">
        <f t="shared" si="0"/>
        <v>410000</v>
      </c>
      <c r="F41" s="25">
        <f t="shared" si="1"/>
        <v>290000</v>
      </c>
    </row>
    <row r="42" spans="1:6" x14ac:dyDescent="0.35">
      <c r="A42" s="30">
        <v>46331</v>
      </c>
      <c r="B42" s="35">
        <v>13333</v>
      </c>
      <c r="C42" s="9" t="s">
        <v>88</v>
      </c>
      <c r="D42" s="25">
        <v>10000</v>
      </c>
      <c r="E42" s="25">
        <f t="shared" si="0"/>
        <v>420000</v>
      </c>
      <c r="F42" s="25">
        <f t="shared" si="1"/>
        <v>280000</v>
      </c>
    </row>
    <row r="43" spans="1:6" x14ac:dyDescent="0.35">
      <c r="A43" t="s">
        <v>731</v>
      </c>
      <c r="B43" s="35">
        <v>13554</v>
      </c>
      <c r="C43" s="35" t="s">
        <v>88</v>
      </c>
      <c r="D43" s="25">
        <v>10000</v>
      </c>
      <c r="E43" s="36">
        <f>E42+D43</f>
        <v>430000</v>
      </c>
      <c r="F43" s="36">
        <f>F42-D43</f>
        <v>270000</v>
      </c>
    </row>
    <row r="44" spans="1:6" x14ac:dyDescent="0.35">
      <c r="A44" t="s">
        <v>795</v>
      </c>
      <c r="B44" s="35">
        <v>1449</v>
      </c>
      <c r="C44" s="35" t="s">
        <v>88</v>
      </c>
      <c r="D44" s="36">
        <v>10000</v>
      </c>
      <c r="E44" s="36">
        <f>E43+D44</f>
        <v>440000</v>
      </c>
      <c r="F44" s="36">
        <f>F43-D44</f>
        <v>260000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B1D06-A704-4332-A00C-3288C29ACFE5}">
  <dimension ref="A1:F38"/>
  <sheetViews>
    <sheetView workbookViewId="0">
      <selection activeCell="I14" sqref="I14"/>
    </sheetView>
  </sheetViews>
  <sheetFormatPr defaultRowHeight="14.5" x14ac:dyDescent="0.35"/>
  <cols>
    <col min="1" max="1" width="11" customWidth="1"/>
    <col min="3" max="3" width="10.6328125" customWidth="1"/>
    <col min="6" max="6" width="11.26953125" customWidth="1"/>
  </cols>
  <sheetData>
    <row r="1" spans="1:6" ht="18.5" x14ac:dyDescent="0.45">
      <c r="A1" s="1" t="s">
        <v>560</v>
      </c>
      <c r="B1" s="1"/>
      <c r="C1" s="17"/>
      <c r="D1" s="1"/>
      <c r="E1" s="1"/>
      <c r="F1" s="1"/>
    </row>
    <row r="2" spans="1:6" ht="18.5" x14ac:dyDescent="0.45">
      <c r="A2" s="1" t="s">
        <v>561</v>
      </c>
      <c r="C2" s="1"/>
      <c r="D2" s="1"/>
      <c r="E2" s="1"/>
      <c r="F2" s="1"/>
    </row>
    <row r="3" spans="1:6" ht="18.5" x14ac:dyDescent="0.45">
      <c r="A3" s="1" t="s">
        <v>562</v>
      </c>
      <c r="B3" s="1"/>
      <c r="C3" s="1"/>
      <c r="D3" s="1"/>
      <c r="E3" s="1"/>
      <c r="F3" s="1"/>
    </row>
    <row r="4" spans="1:6" ht="18.5" x14ac:dyDescent="0.45">
      <c r="A4" s="1" t="s">
        <v>472</v>
      </c>
      <c r="B4" s="33"/>
      <c r="C4" s="1"/>
      <c r="D4" s="1"/>
      <c r="E4" s="1"/>
      <c r="F4" s="1"/>
    </row>
    <row r="5" spans="1:6" ht="18.5" x14ac:dyDescent="0.45">
      <c r="A5" s="1" t="s">
        <v>210</v>
      </c>
      <c r="B5" s="1"/>
      <c r="C5" s="1"/>
      <c r="D5" s="1"/>
      <c r="E5" s="1"/>
      <c r="F5" s="1"/>
    </row>
    <row r="6" spans="1:6" ht="18.5" x14ac:dyDescent="0.45">
      <c r="A6" s="1" t="s">
        <v>563</v>
      </c>
      <c r="B6" s="1"/>
      <c r="C6" s="1"/>
      <c r="D6" s="1" t="s">
        <v>447</v>
      </c>
      <c r="E6" s="1"/>
      <c r="F6" s="1"/>
    </row>
    <row r="7" spans="1:6" x14ac:dyDescent="0.35">
      <c r="A7" s="28" t="s">
        <v>3</v>
      </c>
      <c r="B7" s="29" t="s">
        <v>8</v>
      </c>
      <c r="C7" s="29" t="s">
        <v>4</v>
      </c>
      <c r="D7" s="29" t="s">
        <v>9</v>
      </c>
      <c r="E7" s="29" t="s">
        <v>10</v>
      </c>
      <c r="F7" s="29" t="s">
        <v>5</v>
      </c>
    </row>
    <row r="8" spans="1:6" x14ac:dyDescent="0.35">
      <c r="A8" t="s">
        <v>220</v>
      </c>
      <c r="B8">
        <v>38</v>
      </c>
      <c r="C8" t="s">
        <v>565</v>
      </c>
      <c r="D8" s="36">
        <v>10000</v>
      </c>
      <c r="E8" s="36">
        <v>10000</v>
      </c>
      <c r="F8" s="36">
        <v>590000</v>
      </c>
    </row>
    <row r="9" spans="1:6" x14ac:dyDescent="0.35">
      <c r="A9" t="s">
        <v>564</v>
      </c>
      <c r="B9">
        <v>1306</v>
      </c>
      <c r="C9" t="s">
        <v>100</v>
      </c>
      <c r="D9" s="36">
        <v>140000</v>
      </c>
      <c r="E9" s="36">
        <f>E8+D9</f>
        <v>150000</v>
      </c>
      <c r="F9" s="36">
        <f>F8-D9</f>
        <v>450000</v>
      </c>
    </row>
    <row r="10" spans="1:6" x14ac:dyDescent="0.35">
      <c r="A10" t="s">
        <v>183</v>
      </c>
      <c r="B10">
        <v>1492</v>
      </c>
      <c r="C10" t="s">
        <v>11</v>
      </c>
      <c r="D10" s="36">
        <v>10000</v>
      </c>
      <c r="E10" s="36">
        <f t="shared" ref="E10:E38" si="0">E9+D10</f>
        <v>160000</v>
      </c>
      <c r="F10" s="36">
        <f t="shared" ref="F10:F38" si="1">F9-D10</f>
        <v>440000</v>
      </c>
    </row>
    <row r="11" spans="1:6" x14ac:dyDescent="0.35">
      <c r="A11" s="30">
        <v>45019</v>
      </c>
      <c r="B11">
        <v>1493</v>
      </c>
      <c r="C11" t="s">
        <v>566</v>
      </c>
      <c r="D11" s="36">
        <v>10000</v>
      </c>
      <c r="E11" s="36">
        <f t="shared" si="0"/>
        <v>170000</v>
      </c>
      <c r="F11" s="36">
        <f t="shared" si="1"/>
        <v>430000</v>
      </c>
    </row>
    <row r="12" spans="1:6" x14ac:dyDescent="0.35">
      <c r="A12" t="s">
        <v>184</v>
      </c>
      <c r="B12">
        <v>1210</v>
      </c>
      <c r="C12" t="s">
        <v>7</v>
      </c>
      <c r="D12" s="36">
        <v>10000</v>
      </c>
      <c r="E12" s="36">
        <f t="shared" si="0"/>
        <v>180000</v>
      </c>
      <c r="F12" s="36">
        <f t="shared" si="1"/>
        <v>420000</v>
      </c>
    </row>
    <row r="13" spans="1:6" x14ac:dyDescent="0.35">
      <c r="A13" t="s">
        <v>185</v>
      </c>
      <c r="B13">
        <v>119</v>
      </c>
      <c r="C13" t="s">
        <v>7</v>
      </c>
      <c r="D13" s="36">
        <v>10000</v>
      </c>
      <c r="E13" s="36">
        <f t="shared" si="0"/>
        <v>190000</v>
      </c>
      <c r="F13" s="36">
        <f t="shared" si="1"/>
        <v>410000</v>
      </c>
    </row>
    <row r="14" spans="1:6" x14ac:dyDescent="0.35">
      <c r="A14" t="s">
        <v>186</v>
      </c>
      <c r="B14">
        <v>2755</v>
      </c>
      <c r="C14" t="s">
        <v>7</v>
      </c>
      <c r="D14" s="36">
        <v>10000</v>
      </c>
      <c r="E14" s="36">
        <f t="shared" si="0"/>
        <v>200000</v>
      </c>
      <c r="F14" s="36">
        <f t="shared" si="1"/>
        <v>400000</v>
      </c>
    </row>
    <row r="15" spans="1:6" x14ac:dyDescent="0.35">
      <c r="A15" s="30">
        <v>45147</v>
      </c>
      <c r="B15">
        <v>3447</v>
      </c>
      <c r="C15" t="s">
        <v>7</v>
      </c>
      <c r="D15" s="36">
        <v>10000</v>
      </c>
      <c r="E15" s="36">
        <f t="shared" si="0"/>
        <v>210000</v>
      </c>
      <c r="F15" s="36">
        <f t="shared" si="1"/>
        <v>390000</v>
      </c>
    </row>
    <row r="16" spans="1:6" x14ac:dyDescent="0.35">
      <c r="A16" t="s">
        <v>187</v>
      </c>
      <c r="B16">
        <v>4439</v>
      </c>
      <c r="C16" t="s">
        <v>7</v>
      </c>
      <c r="D16" s="36">
        <v>10000</v>
      </c>
      <c r="E16" s="36">
        <f t="shared" si="0"/>
        <v>220000</v>
      </c>
      <c r="F16" s="36">
        <f t="shared" si="1"/>
        <v>380000</v>
      </c>
    </row>
    <row r="17" spans="1:6" x14ac:dyDescent="0.35">
      <c r="A17" t="s">
        <v>188</v>
      </c>
      <c r="B17">
        <v>5047</v>
      </c>
      <c r="C17" t="s">
        <v>7</v>
      </c>
      <c r="D17" s="36">
        <v>10000</v>
      </c>
      <c r="E17" s="36">
        <f t="shared" si="0"/>
        <v>230000</v>
      </c>
      <c r="F17" s="36">
        <f t="shared" si="1"/>
        <v>370000</v>
      </c>
    </row>
    <row r="18" spans="1:6" x14ac:dyDescent="0.35">
      <c r="A18" t="s">
        <v>165</v>
      </c>
      <c r="B18">
        <v>5536</v>
      </c>
      <c r="C18" t="s">
        <v>7</v>
      </c>
      <c r="D18" s="36">
        <v>10000</v>
      </c>
      <c r="E18" s="36">
        <f t="shared" si="0"/>
        <v>240000</v>
      </c>
      <c r="F18" s="36">
        <f t="shared" si="1"/>
        <v>360000</v>
      </c>
    </row>
    <row r="19" spans="1:6" x14ac:dyDescent="0.35">
      <c r="A19" s="30">
        <v>45505</v>
      </c>
      <c r="B19">
        <v>6002</v>
      </c>
      <c r="C19" t="s">
        <v>7</v>
      </c>
      <c r="D19" s="36">
        <v>10000</v>
      </c>
      <c r="E19" s="36">
        <f t="shared" si="0"/>
        <v>250000</v>
      </c>
      <c r="F19" s="36">
        <f t="shared" si="1"/>
        <v>350000</v>
      </c>
    </row>
    <row r="20" spans="1:6" x14ac:dyDescent="0.35">
      <c r="A20" t="s">
        <v>190</v>
      </c>
      <c r="B20">
        <v>6700</v>
      </c>
      <c r="C20" t="s">
        <v>7</v>
      </c>
      <c r="D20" s="36">
        <v>15000</v>
      </c>
      <c r="E20" s="36">
        <f t="shared" si="0"/>
        <v>265000</v>
      </c>
      <c r="F20" s="36">
        <f t="shared" si="1"/>
        <v>335000</v>
      </c>
    </row>
    <row r="21" spans="1:6" x14ac:dyDescent="0.35">
      <c r="A21" t="s">
        <v>191</v>
      </c>
      <c r="B21">
        <v>7518</v>
      </c>
      <c r="C21" t="s">
        <v>7</v>
      </c>
      <c r="D21" s="36">
        <v>15000</v>
      </c>
      <c r="E21" s="36">
        <f t="shared" si="0"/>
        <v>280000</v>
      </c>
      <c r="F21" s="36">
        <f t="shared" si="1"/>
        <v>320000</v>
      </c>
    </row>
    <row r="22" spans="1:6" x14ac:dyDescent="0.35">
      <c r="A22" t="s">
        <v>192</v>
      </c>
      <c r="B22">
        <v>8103</v>
      </c>
      <c r="C22" t="s">
        <v>7</v>
      </c>
      <c r="D22" s="36">
        <v>15000</v>
      </c>
      <c r="E22" s="36">
        <f t="shared" si="0"/>
        <v>295000</v>
      </c>
      <c r="F22" s="36">
        <f t="shared" si="1"/>
        <v>305000</v>
      </c>
    </row>
    <row r="23" spans="1:6" x14ac:dyDescent="0.35">
      <c r="A23" t="s">
        <v>193</v>
      </c>
      <c r="B23">
        <v>9222</v>
      </c>
      <c r="C23" t="s">
        <v>7</v>
      </c>
      <c r="D23" s="36">
        <v>10000</v>
      </c>
      <c r="E23" s="36">
        <f t="shared" si="0"/>
        <v>305000</v>
      </c>
      <c r="F23" s="36">
        <f t="shared" si="1"/>
        <v>295000</v>
      </c>
    </row>
    <row r="24" spans="1:6" x14ac:dyDescent="0.35">
      <c r="A24" s="30">
        <v>45604</v>
      </c>
      <c r="B24">
        <v>11049</v>
      </c>
      <c r="C24" t="s">
        <v>7</v>
      </c>
      <c r="D24" s="36">
        <v>35000</v>
      </c>
      <c r="E24" s="36">
        <f t="shared" si="0"/>
        <v>340000</v>
      </c>
      <c r="F24" s="36">
        <f t="shared" si="1"/>
        <v>260000</v>
      </c>
    </row>
    <row r="25" spans="1:6" x14ac:dyDescent="0.35">
      <c r="A25" t="s">
        <v>194</v>
      </c>
      <c r="B25">
        <v>10896</v>
      </c>
      <c r="C25" t="s">
        <v>7</v>
      </c>
      <c r="D25" s="36">
        <v>10000</v>
      </c>
      <c r="E25" s="36">
        <f t="shared" si="0"/>
        <v>350000</v>
      </c>
      <c r="F25" s="36">
        <f t="shared" si="1"/>
        <v>250000</v>
      </c>
    </row>
    <row r="26" spans="1:6" x14ac:dyDescent="0.35">
      <c r="A26" t="s">
        <v>195</v>
      </c>
      <c r="B26">
        <v>10332</v>
      </c>
      <c r="C26" t="s">
        <v>7</v>
      </c>
      <c r="D26" s="36">
        <v>10000</v>
      </c>
      <c r="E26" s="36">
        <f t="shared" si="0"/>
        <v>360000</v>
      </c>
      <c r="F26" s="36">
        <f t="shared" si="1"/>
        <v>240000</v>
      </c>
    </row>
    <row r="27" spans="1:6" x14ac:dyDescent="0.35">
      <c r="A27" t="s">
        <v>196</v>
      </c>
      <c r="B27">
        <v>12437</v>
      </c>
      <c r="C27" t="s">
        <v>7</v>
      </c>
      <c r="D27" s="36">
        <v>10000</v>
      </c>
      <c r="E27" s="36">
        <f t="shared" si="0"/>
        <v>370000</v>
      </c>
      <c r="F27" s="36">
        <f t="shared" si="1"/>
        <v>230000</v>
      </c>
    </row>
    <row r="28" spans="1:6" x14ac:dyDescent="0.35">
      <c r="A28" t="s">
        <v>197</v>
      </c>
      <c r="B28">
        <v>12735</v>
      </c>
      <c r="C28" t="s">
        <v>7</v>
      </c>
      <c r="D28" s="36">
        <v>10000</v>
      </c>
      <c r="E28" s="36">
        <f t="shared" si="0"/>
        <v>380000</v>
      </c>
      <c r="F28" s="36">
        <f t="shared" si="1"/>
        <v>220000</v>
      </c>
    </row>
    <row r="29" spans="1:6" x14ac:dyDescent="0.35">
      <c r="A29" t="s">
        <v>567</v>
      </c>
      <c r="B29">
        <v>9141</v>
      </c>
      <c r="C29" t="s">
        <v>7</v>
      </c>
      <c r="D29" s="36">
        <v>10000</v>
      </c>
      <c r="E29" s="36">
        <f t="shared" si="0"/>
        <v>390000</v>
      </c>
      <c r="F29" s="36">
        <f t="shared" si="1"/>
        <v>210000</v>
      </c>
    </row>
    <row r="30" spans="1:6" x14ac:dyDescent="0.35">
      <c r="A30" t="s">
        <v>200</v>
      </c>
      <c r="B30">
        <v>9552</v>
      </c>
      <c r="C30" t="s">
        <v>7</v>
      </c>
      <c r="D30" s="36">
        <v>10000</v>
      </c>
      <c r="E30" s="36">
        <f t="shared" si="0"/>
        <v>400000</v>
      </c>
      <c r="F30" s="36">
        <f t="shared" si="1"/>
        <v>200000</v>
      </c>
    </row>
    <row r="31" spans="1:6" x14ac:dyDescent="0.35">
      <c r="A31" t="s">
        <v>201</v>
      </c>
      <c r="B31">
        <v>9877</v>
      </c>
      <c r="C31" t="s">
        <v>7</v>
      </c>
      <c r="D31" s="36">
        <v>10000</v>
      </c>
      <c r="E31" s="36">
        <f t="shared" si="0"/>
        <v>410000</v>
      </c>
      <c r="F31" s="36">
        <f t="shared" si="1"/>
        <v>190000</v>
      </c>
    </row>
    <row r="32" spans="1:6" x14ac:dyDescent="0.35">
      <c r="A32" t="s">
        <v>202</v>
      </c>
      <c r="B32">
        <v>10607</v>
      </c>
      <c r="C32" t="s">
        <v>7</v>
      </c>
      <c r="D32" s="36">
        <v>10000</v>
      </c>
      <c r="E32" s="36">
        <f t="shared" si="0"/>
        <v>420000</v>
      </c>
      <c r="F32" s="36">
        <f t="shared" si="1"/>
        <v>180000</v>
      </c>
    </row>
    <row r="33" spans="1:6" x14ac:dyDescent="0.35">
      <c r="A33" s="30">
        <v>45666</v>
      </c>
      <c r="B33">
        <v>12593</v>
      </c>
      <c r="C33" t="s">
        <v>7</v>
      </c>
      <c r="D33" s="36">
        <v>15000</v>
      </c>
      <c r="E33" s="36">
        <f t="shared" si="0"/>
        <v>435000</v>
      </c>
      <c r="F33" s="36">
        <f t="shared" si="1"/>
        <v>165000</v>
      </c>
    </row>
    <row r="34" spans="1:6" x14ac:dyDescent="0.35">
      <c r="A34" t="s">
        <v>203</v>
      </c>
      <c r="B34">
        <v>13960</v>
      </c>
      <c r="C34" t="s">
        <v>7</v>
      </c>
      <c r="D34" s="36">
        <v>10000</v>
      </c>
      <c r="E34" s="36">
        <f t="shared" si="0"/>
        <v>445000</v>
      </c>
      <c r="F34" s="36">
        <f t="shared" si="1"/>
        <v>155000</v>
      </c>
    </row>
    <row r="35" spans="1:6" x14ac:dyDescent="0.35">
      <c r="A35" t="s">
        <v>204</v>
      </c>
      <c r="B35">
        <v>121612</v>
      </c>
      <c r="C35" t="s">
        <v>7</v>
      </c>
      <c r="D35" s="36">
        <v>10000</v>
      </c>
      <c r="E35" s="36">
        <f t="shared" si="0"/>
        <v>455000</v>
      </c>
      <c r="F35" s="36">
        <f t="shared" si="1"/>
        <v>145000</v>
      </c>
    </row>
    <row r="36" spans="1:6" x14ac:dyDescent="0.35">
      <c r="A36" t="s">
        <v>205</v>
      </c>
      <c r="B36">
        <v>12295</v>
      </c>
      <c r="C36" t="s">
        <v>7</v>
      </c>
      <c r="D36" s="36">
        <v>10000</v>
      </c>
      <c r="E36" s="36">
        <f t="shared" si="0"/>
        <v>465000</v>
      </c>
      <c r="F36" s="36">
        <f t="shared" si="1"/>
        <v>135000</v>
      </c>
    </row>
    <row r="37" spans="1:6" x14ac:dyDescent="0.35">
      <c r="A37" t="s">
        <v>568</v>
      </c>
      <c r="B37">
        <v>1258</v>
      </c>
      <c r="C37" t="s">
        <v>7</v>
      </c>
      <c r="D37" s="36">
        <v>10000</v>
      </c>
      <c r="E37" s="36">
        <f t="shared" si="0"/>
        <v>475000</v>
      </c>
      <c r="F37" s="36">
        <f t="shared" si="1"/>
        <v>125000</v>
      </c>
    </row>
    <row r="38" spans="1:6" x14ac:dyDescent="0.35">
      <c r="A38" t="s">
        <v>551</v>
      </c>
      <c r="B38">
        <v>13356</v>
      </c>
      <c r="C38" t="s">
        <v>7</v>
      </c>
      <c r="D38" s="36">
        <v>20000</v>
      </c>
      <c r="E38" s="36">
        <f t="shared" si="0"/>
        <v>495000</v>
      </c>
      <c r="F38" s="36">
        <f t="shared" si="1"/>
        <v>105000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7DCE-D24B-419A-81B1-88EB9EE28EE3}">
  <dimension ref="A1:F30"/>
  <sheetViews>
    <sheetView topLeftCell="A17" workbookViewId="0">
      <selection activeCell="I26" sqref="I26"/>
    </sheetView>
  </sheetViews>
  <sheetFormatPr defaultRowHeight="14.5" x14ac:dyDescent="0.35"/>
  <cols>
    <col min="1" max="1" width="9.453125" bestFit="1" customWidth="1"/>
    <col min="3" max="3" width="10.26953125" bestFit="1" customWidth="1"/>
    <col min="4" max="4" width="15.81640625" bestFit="1" customWidth="1"/>
    <col min="6" max="6" width="11.36328125" bestFit="1" customWidth="1"/>
  </cols>
  <sheetData>
    <row r="1" spans="1:6" ht="18.5" x14ac:dyDescent="0.45">
      <c r="A1" s="1" t="s">
        <v>230</v>
      </c>
      <c r="B1" s="1"/>
      <c r="C1" s="1"/>
    </row>
    <row r="2" spans="1:6" ht="18.5" x14ac:dyDescent="0.45">
      <c r="A2" s="1" t="s">
        <v>231</v>
      </c>
      <c r="B2" s="1"/>
      <c r="C2" s="1"/>
    </row>
    <row r="3" spans="1:6" ht="18.5" x14ac:dyDescent="0.45">
      <c r="A3" s="1" t="s">
        <v>232</v>
      </c>
      <c r="B3" s="1"/>
      <c r="C3" s="1"/>
    </row>
    <row r="4" spans="1:6" ht="18.5" x14ac:dyDescent="0.45">
      <c r="A4" s="1" t="s">
        <v>513</v>
      </c>
      <c r="B4" s="1"/>
      <c r="C4" s="1"/>
    </row>
    <row r="5" spans="1:6" ht="18.5" x14ac:dyDescent="0.45">
      <c r="A5" s="1" t="s">
        <v>233</v>
      </c>
      <c r="B5" s="1"/>
      <c r="C5" s="1"/>
    </row>
    <row r="6" spans="1:6" ht="18.5" x14ac:dyDescent="0.45">
      <c r="A6" s="1" t="s">
        <v>234</v>
      </c>
      <c r="B6" s="1"/>
      <c r="C6" s="1"/>
      <c r="D6" s="1" t="s">
        <v>235</v>
      </c>
      <c r="E6" s="1"/>
      <c r="F6" s="1"/>
    </row>
    <row r="7" spans="1:6" x14ac:dyDescent="0.35">
      <c r="A7" s="3" t="s">
        <v>3</v>
      </c>
      <c r="B7" s="3" t="s">
        <v>8</v>
      </c>
      <c r="C7" s="3" t="s">
        <v>4</v>
      </c>
      <c r="D7" s="3" t="s">
        <v>9</v>
      </c>
      <c r="E7" s="3" t="s">
        <v>10</v>
      </c>
      <c r="F7" s="3" t="s">
        <v>5</v>
      </c>
    </row>
    <row r="8" spans="1:6" x14ac:dyDescent="0.35">
      <c r="A8" s="3" t="s">
        <v>236</v>
      </c>
      <c r="B8" s="3">
        <v>12167</v>
      </c>
      <c r="C8" s="3" t="s">
        <v>222</v>
      </c>
      <c r="D8" s="4">
        <v>20000</v>
      </c>
      <c r="E8" s="4">
        <v>20000</v>
      </c>
      <c r="F8" s="4">
        <v>730000</v>
      </c>
    </row>
    <row r="9" spans="1:6" x14ac:dyDescent="0.35">
      <c r="A9" s="3" t="s">
        <v>237</v>
      </c>
      <c r="B9" s="3">
        <v>12680</v>
      </c>
      <c r="C9" s="3" t="s">
        <v>88</v>
      </c>
      <c r="D9" s="4">
        <v>10000</v>
      </c>
      <c r="E9" s="4">
        <f>SUM(E8+D9)</f>
        <v>30000</v>
      </c>
      <c r="F9" s="4">
        <f>F8-D9</f>
        <v>720000</v>
      </c>
    </row>
    <row r="10" spans="1:6" x14ac:dyDescent="0.35">
      <c r="A10" s="3" t="s">
        <v>238</v>
      </c>
      <c r="B10" s="3">
        <v>9072</v>
      </c>
      <c r="C10" s="3" t="s">
        <v>88</v>
      </c>
      <c r="D10" s="4">
        <v>10000</v>
      </c>
      <c r="E10" s="4">
        <f t="shared" ref="E10:E26" si="0">SUM(E9+D10)</f>
        <v>40000</v>
      </c>
      <c r="F10" s="4">
        <f t="shared" ref="F10:F26" si="1">F9-D10</f>
        <v>710000</v>
      </c>
    </row>
    <row r="11" spans="1:6" x14ac:dyDescent="0.35">
      <c r="A11" s="3" t="s">
        <v>160</v>
      </c>
      <c r="B11" s="3">
        <v>9456</v>
      </c>
      <c r="C11" s="3" t="s">
        <v>88</v>
      </c>
      <c r="D11" s="4">
        <v>10000</v>
      </c>
      <c r="E11" s="4">
        <f t="shared" si="0"/>
        <v>50000</v>
      </c>
      <c r="F11" s="4">
        <f t="shared" si="1"/>
        <v>700000</v>
      </c>
    </row>
    <row r="12" spans="1:6" x14ac:dyDescent="0.35">
      <c r="A12" s="3" t="s">
        <v>239</v>
      </c>
      <c r="B12" s="3">
        <v>9842</v>
      </c>
      <c r="C12" s="3" t="s">
        <v>88</v>
      </c>
      <c r="D12" s="4">
        <v>10000</v>
      </c>
      <c r="E12" s="4">
        <f t="shared" si="0"/>
        <v>60000</v>
      </c>
      <c r="F12" s="4">
        <f t="shared" si="1"/>
        <v>690000</v>
      </c>
    </row>
    <row r="13" spans="1:6" x14ac:dyDescent="0.35">
      <c r="A13" s="3" t="s">
        <v>240</v>
      </c>
      <c r="B13" s="3">
        <v>10218</v>
      </c>
      <c r="C13" s="3" t="s">
        <v>88</v>
      </c>
      <c r="D13" s="4">
        <v>10000</v>
      </c>
      <c r="E13" s="4">
        <f t="shared" si="0"/>
        <v>70000</v>
      </c>
      <c r="F13" s="4">
        <f t="shared" si="1"/>
        <v>680000</v>
      </c>
    </row>
    <row r="14" spans="1:6" x14ac:dyDescent="0.35">
      <c r="A14" s="3" t="s">
        <v>241</v>
      </c>
      <c r="B14" s="3">
        <v>10836</v>
      </c>
      <c r="C14" s="3" t="s">
        <v>88</v>
      </c>
      <c r="D14" s="4">
        <v>10000</v>
      </c>
      <c r="E14" s="4">
        <f t="shared" si="0"/>
        <v>80000</v>
      </c>
      <c r="F14" s="4">
        <f t="shared" si="1"/>
        <v>670000</v>
      </c>
    </row>
    <row r="15" spans="1:6" x14ac:dyDescent="0.35">
      <c r="A15" s="3" t="s">
        <v>242</v>
      </c>
      <c r="B15" s="3">
        <v>11823</v>
      </c>
      <c r="C15" s="3" t="s">
        <v>88</v>
      </c>
      <c r="D15" s="4">
        <v>10000</v>
      </c>
      <c r="E15" s="4">
        <f t="shared" si="0"/>
        <v>90000</v>
      </c>
      <c r="F15" s="4">
        <f t="shared" si="1"/>
        <v>660000</v>
      </c>
    </row>
    <row r="16" spans="1:6" x14ac:dyDescent="0.35">
      <c r="A16" s="3" t="s">
        <v>243</v>
      </c>
      <c r="B16" s="3">
        <v>12246</v>
      </c>
      <c r="C16" s="3" t="s">
        <v>88</v>
      </c>
      <c r="D16" s="4">
        <v>10000</v>
      </c>
      <c r="E16" s="4">
        <f t="shared" si="0"/>
        <v>100000</v>
      </c>
      <c r="F16" s="4">
        <f t="shared" si="1"/>
        <v>650000</v>
      </c>
    </row>
    <row r="17" spans="1:6" x14ac:dyDescent="0.35">
      <c r="A17" s="3" t="s">
        <v>244</v>
      </c>
      <c r="B17" s="3">
        <v>12985</v>
      </c>
      <c r="C17" s="3" t="s">
        <v>88</v>
      </c>
      <c r="D17" s="4">
        <v>10000</v>
      </c>
      <c r="E17" s="4">
        <f t="shared" si="0"/>
        <v>110000</v>
      </c>
      <c r="F17" s="4">
        <f t="shared" si="1"/>
        <v>640000</v>
      </c>
    </row>
    <row r="18" spans="1:6" x14ac:dyDescent="0.35">
      <c r="A18" s="3" t="s">
        <v>245</v>
      </c>
      <c r="B18" s="3">
        <v>13932</v>
      </c>
      <c r="C18" s="3" t="s">
        <v>88</v>
      </c>
      <c r="D18" s="4">
        <v>10000</v>
      </c>
      <c r="E18" s="4">
        <f t="shared" si="0"/>
        <v>120000</v>
      </c>
      <c r="F18" s="4">
        <f t="shared" si="1"/>
        <v>630000</v>
      </c>
    </row>
    <row r="19" spans="1:6" x14ac:dyDescent="0.35">
      <c r="A19" s="3" t="s">
        <v>246</v>
      </c>
      <c r="B19" s="3">
        <v>13690</v>
      </c>
      <c r="C19" s="3" t="s">
        <v>88</v>
      </c>
      <c r="D19" s="4">
        <v>10000</v>
      </c>
      <c r="E19" s="4">
        <f t="shared" si="0"/>
        <v>130000</v>
      </c>
      <c r="F19" s="4">
        <f t="shared" si="1"/>
        <v>620000</v>
      </c>
    </row>
    <row r="20" spans="1:6" x14ac:dyDescent="0.35">
      <c r="A20" s="3" t="s">
        <v>247</v>
      </c>
      <c r="B20" s="3">
        <v>13050</v>
      </c>
      <c r="C20" s="3" t="s">
        <v>88</v>
      </c>
      <c r="D20" s="4">
        <v>10000</v>
      </c>
      <c r="E20" s="4">
        <f t="shared" si="0"/>
        <v>140000</v>
      </c>
      <c r="F20" s="4">
        <f t="shared" si="1"/>
        <v>610000</v>
      </c>
    </row>
    <row r="21" spans="1:6" x14ac:dyDescent="0.35">
      <c r="A21" s="3" t="s">
        <v>248</v>
      </c>
      <c r="B21" s="3">
        <v>12698</v>
      </c>
      <c r="C21" s="3" t="s">
        <v>88</v>
      </c>
      <c r="D21" s="4">
        <v>10000</v>
      </c>
      <c r="E21" s="4">
        <f t="shared" si="0"/>
        <v>150000</v>
      </c>
      <c r="F21" s="4">
        <f t="shared" si="1"/>
        <v>600000</v>
      </c>
    </row>
    <row r="22" spans="1:6" x14ac:dyDescent="0.35">
      <c r="A22" s="2">
        <v>46357</v>
      </c>
      <c r="B22" s="3">
        <v>12178</v>
      </c>
      <c r="C22" s="3" t="s">
        <v>88</v>
      </c>
      <c r="D22" s="4">
        <v>10000</v>
      </c>
      <c r="E22" s="4">
        <f t="shared" si="0"/>
        <v>160000</v>
      </c>
      <c r="F22" s="4">
        <f t="shared" si="1"/>
        <v>590000</v>
      </c>
    </row>
    <row r="23" spans="1:6" x14ac:dyDescent="0.35">
      <c r="A23" s="3" t="s">
        <v>249</v>
      </c>
      <c r="B23" s="3">
        <v>12518</v>
      </c>
      <c r="C23" s="3" t="s">
        <v>88</v>
      </c>
      <c r="D23" s="4">
        <v>10000</v>
      </c>
      <c r="E23" s="4">
        <f t="shared" si="0"/>
        <v>170000</v>
      </c>
      <c r="F23" s="4">
        <f t="shared" si="1"/>
        <v>580000</v>
      </c>
    </row>
    <row r="24" spans="1:6" x14ac:dyDescent="0.35">
      <c r="A24" s="32" t="s">
        <v>290</v>
      </c>
      <c r="B24" s="32">
        <v>12880</v>
      </c>
      <c r="C24" s="32" t="s">
        <v>88</v>
      </c>
      <c r="D24" s="45">
        <v>10000</v>
      </c>
      <c r="E24" s="45">
        <f t="shared" si="0"/>
        <v>180000</v>
      </c>
      <c r="F24" s="45">
        <f t="shared" si="1"/>
        <v>570000</v>
      </c>
    </row>
    <row r="25" spans="1:6" x14ac:dyDescent="0.35">
      <c r="A25" s="3" t="s">
        <v>514</v>
      </c>
      <c r="B25" s="3">
        <v>113266</v>
      </c>
      <c r="C25" s="3" t="s">
        <v>88</v>
      </c>
      <c r="D25" s="4">
        <v>10000</v>
      </c>
      <c r="E25" s="4">
        <f t="shared" si="0"/>
        <v>190000</v>
      </c>
      <c r="F25" s="4">
        <f t="shared" si="1"/>
        <v>560000</v>
      </c>
    </row>
    <row r="26" spans="1:6" x14ac:dyDescent="0.35">
      <c r="A26" s="2">
        <v>46208</v>
      </c>
      <c r="B26" s="3">
        <v>12953</v>
      </c>
      <c r="C26" s="3" t="s">
        <v>88</v>
      </c>
      <c r="D26" s="4">
        <v>10000</v>
      </c>
      <c r="E26" s="4">
        <f t="shared" si="0"/>
        <v>200000</v>
      </c>
      <c r="F26" s="4">
        <f t="shared" si="1"/>
        <v>550000</v>
      </c>
    </row>
    <row r="27" spans="1:6" x14ac:dyDescent="0.35">
      <c r="A27" s="3" t="s">
        <v>735</v>
      </c>
      <c r="B27" s="3">
        <v>13587</v>
      </c>
      <c r="C27" s="3" t="s">
        <v>88</v>
      </c>
      <c r="D27" s="4">
        <v>10000</v>
      </c>
      <c r="E27" s="4">
        <f>E26+D27</f>
        <v>210000</v>
      </c>
      <c r="F27" s="4">
        <f>F26-D27</f>
        <v>540000</v>
      </c>
    </row>
    <row r="28" spans="1:6" x14ac:dyDescent="0.35">
      <c r="A28" s="32" t="s">
        <v>794</v>
      </c>
      <c r="B28" s="32">
        <v>1442</v>
      </c>
      <c r="C28" s="32" t="s">
        <v>88</v>
      </c>
      <c r="D28" s="36">
        <v>10000</v>
      </c>
      <c r="E28" s="36">
        <f>E27+D28</f>
        <v>220000</v>
      </c>
      <c r="F28" s="36">
        <f>F27-D28</f>
        <v>530000</v>
      </c>
    </row>
    <row r="29" spans="1:6" x14ac:dyDescent="0.35">
      <c r="A29" s="30">
        <v>46273</v>
      </c>
      <c r="B29" s="32">
        <v>1704</v>
      </c>
      <c r="C29" s="32" t="s">
        <v>88</v>
      </c>
      <c r="D29" s="36">
        <v>10000</v>
      </c>
      <c r="E29" s="36">
        <f>E28+D29</f>
        <v>230000</v>
      </c>
      <c r="F29" s="36">
        <f>F28-D29</f>
        <v>520000</v>
      </c>
    </row>
    <row r="30" spans="1:6" x14ac:dyDescent="0.35">
      <c r="D30" s="36"/>
      <c r="E30" s="36"/>
      <c r="F30" s="36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B5BFB-0EE9-4B60-B274-091102006F7A}">
  <dimension ref="A1:F40"/>
  <sheetViews>
    <sheetView topLeftCell="A29" workbookViewId="0">
      <selection activeCell="F41" sqref="F41"/>
    </sheetView>
  </sheetViews>
  <sheetFormatPr defaultRowHeight="14.5" x14ac:dyDescent="0.35"/>
  <cols>
    <col min="1" max="1" width="10.453125" bestFit="1" customWidth="1"/>
    <col min="3" max="3" width="10.26953125" bestFit="1" customWidth="1"/>
    <col min="6" max="6" width="11.36328125" bestFit="1" customWidth="1"/>
  </cols>
  <sheetData>
    <row r="1" spans="1:6" ht="18.5" x14ac:dyDescent="0.45">
      <c r="A1" s="1" t="s">
        <v>250</v>
      </c>
      <c r="B1" s="1"/>
      <c r="C1" s="1"/>
    </row>
    <row r="2" spans="1:6" ht="18.5" x14ac:dyDescent="0.45">
      <c r="A2" s="1" t="s">
        <v>251</v>
      </c>
      <c r="B2" s="1"/>
      <c r="C2" s="1"/>
    </row>
    <row r="3" spans="1:6" ht="18.5" x14ac:dyDescent="0.45">
      <c r="A3" s="1" t="s">
        <v>252</v>
      </c>
      <c r="B3" s="1"/>
      <c r="C3" s="1"/>
    </row>
    <row r="4" spans="1:6" ht="18.5" x14ac:dyDescent="0.45">
      <c r="A4" s="1" t="s">
        <v>390</v>
      </c>
      <c r="B4" s="1"/>
      <c r="C4" s="1"/>
    </row>
    <row r="5" spans="1:6" ht="18.5" x14ac:dyDescent="0.45">
      <c r="A5" s="1" t="s">
        <v>253</v>
      </c>
      <c r="B5" s="1"/>
      <c r="C5" s="1"/>
    </row>
    <row r="6" spans="1:6" ht="18.5" x14ac:dyDescent="0.45">
      <c r="A6" s="1" t="s">
        <v>254</v>
      </c>
      <c r="B6" s="1"/>
      <c r="C6" s="1"/>
      <c r="D6" s="1" t="s">
        <v>255</v>
      </c>
      <c r="E6" s="1"/>
      <c r="F6" s="1"/>
    </row>
    <row r="7" spans="1:6" x14ac:dyDescent="0.35">
      <c r="A7" s="9" t="s">
        <v>3</v>
      </c>
      <c r="B7" s="9" t="s">
        <v>8</v>
      </c>
      <c r="C7" s="9" t="s">
        <v>4</v>
      </c>
      <c r="D7" s="9" t="s">
        <v>9</v>
      </c>
      <c r="E7" s="9" t="s">
        <v>10</v>
      </c>
      <c r="F7" s="9" t="s">
        <v>5</v>
      </c>
    </row>
    <row r="8" spans="1:6" x14ac:dyDescent="0.35">
      <c r="A8" s="26">
        <v>45262</v>
      </c>
      <c r="B8" s="9" t="s">
        <v>256</v>
      </c>
      <c r="C8" s="9" t="s">
        <v>261</v>
      </c>
      <c r="D8" s="25">
        <v>20000</v>
      </c>
      <c r="E8" s="25">
        <v>20000</v>
      </c>
      <c r="F8" s="25">
        <v>600000</v>
      </c>
    </row>
    <row r="9" spans="1:6" x14ac:dyDescent="0.35">
      <c r="A9" s="26">
        <v>44929</v>
      </c>
      <c r="B9" s="9">
        <v>2845</v>
      </c>
      <c r="C9" s="9" t="s">
        <v>86</v>
      </c>
      <c r="D9" s="25">
        <v>100000</v>
      </c>
      <c r="E9" s="25">
        <f>SUM(E8+D9)</f>
        <v>120000</v>
      </c>
      <c r="F9" s="25">
        <f>F8-D9</f>
        <v>500000</v>
      </c>
    </row>
    <row r="10" spans="1:6" x14ac:dyDescent="0.35">
      <c r="A10" s="9" t="s">
        <v>257</v>
      </c>
      <c r="B10" s="9">
        <v>1135</v>
      </c>
      <c r="C10" s="9" t="s">
        <v>88</v>
      </c>
      <c r="D10" s="25">
        <v>10000</v>
      </c>
      <c r="E10" s="25">
        <f t="shared" ref="E10:E36" si="0">SUM(E9+D10)</f>
        <v>130000</v>
      </c>
      <c r="F10" s="25">
        <f t="shared" ref="F10:F38" si="1">F9-D10</f>
        <v>490000</v>
      </c>
    </row>
    <row r="11" spans="1:6" x14ac:dyDescent="0.35">
      <c r="A11" s="26">
        <v>45174</v>
      </c>
      <c r="B11" s="9">
        <v>750</v>
      </c>
      <c r="C11" s="9" t="s">
        <v>88</v>
      </c>
      <c r="D11" s="25">
        <v>10000</v>
      </c>
      <c r="E11" s="25">
        <f t="shared" si="0"/>
        <v>140000</v>
      </c>
      <c r="F11" s="25">
        <f t="shared" si="1"/>
        <v>480000</v>
      </c>
    </row>
    <row r="12" spans="1:6" x14ac:dyDescent="0.35">
      <c r="A12" s="9" t="s">
        <v>258</v>
      </c>
      <c r="B12" s="9">
        <v>2818</v>
      </c>
      <c r="C12" s="9" t="s">
        <v>88</v>
      </c>
      <c r="D12" s="25">
        <v>10000</v>
      </c>
      <c r="E12" s="25">
        <f t="shared" si="0"/>
        <v>150000</v>
      </c>
      <c r="F12" s="25">
        <f t="shared" si="1"/>
        <v>470000</v>
      </c>
    </row>
    <row r="13" spans="1:6" x14ac:dyDescent="0.35">
      <c r="A13" s="26">
        <v>45177</v>
      </c>
      <c r="B13" s="9">
        <v>2298</v>
      </c>
      <c r="C13" s="9" t="s">
        <v>88</v>
      </c>
      <c r="D13" s="25">
        <v>10000</v>
      </c>
      <c r="E13" s="25">
        <f t="shared" si="0"/>
        <v>160000</v>
      </c>
      <c r="F13" s="25">
        <f t="shared" si="1"/>
        <v>460000</v>
      </c>
    </row>
    <row r="14" spans="1:6" x14ac:dyDescent="0.35">
      <c r="A14" s="9" t="s">
        <v>259</v>
      </c>
      <c r="B14" s="9">
        <v>4409</v>
      </c>
      <c r="C14" s="9" t="s">
        <v>88</v>
      </c>
      <c r="D14" s="25">
        <v>20000</v>
      </c>
      <c r="E14" s="25">
        <f t="shared" si="0"/>
        <v>180000</v>
      </c>
      <c r="F14" s="25">
        <f t="shared" si="1"/>
        <v>440000</v>
      </c>
    </row>
    <row r="15" spans="1:6" x14ac:dyDescent="0.35">
      <c r="A15" s="26">
        <v>45027</v>
      </c>
      <c r="B15" s="9">
        <v>4617</v>
      </c>
      <c r="C15" s="9" t="s">
        <v>88</v>
      </c>
      <c r="D15" s="25">
        <v>10000</v>
      </c>
      <c r="E15" s="25">
        <f t="shared" si="0"/>
        <v>190000</v>
      </c>
      <c r="F15" s="25">
        <f t="shared" si="1"/>
        <v>430000</v>
      </c>
    </row>
    <row r="16" spans="1:6" x14ac:dyDescent="0.35">
      <c r="A16" s="9" t="s">
        <v>260</v>
      </c>
      <c r="B16" s="9">
        <v>5554</v>
      </c>
      <c r="C16" s="9" t="s">
        <v>88</v>
      </c>
      <c r="D16" s="25">
        <v>20000</v>
      </c>
      <c r="E16" s="25">
        <f t="shared" si="0"/>
        <v>210000</v>
      </c>
      <c r="F16" s="25">
        <f t="shared" si="1"/>
        <v>410000</v>
      </c>
    </row>
    <row r="17" spans="1:6" x14ac:dyDescent="0.35">
      <c r="A17" s="26">
        <v>45536</v>
      </c>
      <c r="B17" s="9">
        <v>6034</v>
      </c>
      <c r="C17" s="9" t="s">
        <v>88</v>
      </c>
      <c r="D17" s="25">
        <v>10000</v>
      </c>
      <c r="E17" s="25">
        <f t="shared" si="0"/>
        <v>220000</v>
      </c>
      <c r="F17" s="25">
        <f t="shared" si="1"/>
        <v>400000</v>
      </c>
    </row>
    <row r="18" spans="1:6" x14ac:dyDescent="0.35">
      <c r="A18" s="26">
        <v>45445</v>
      </c>
      <c r="B18" s="9">
        <v>6548</v>
      </c>
      <c r="C18" s="9" t="s">
        <v>88</v>
      </c>
      <c r="D18" s="25">
        <v>10000</v>
      </c>
      <c r="E18" s="25">
        <f t="shared" si="0"/>
        <v>230000</v>
      </c>
      <c r="F18" s="25">
        <f t="shared" si="1"/>
        <v>390000</v>
      </c>
    </row>
    <row r="19" spans="1:6" x14ac:dyDescent="0.35">
      <c r="A19" s="26">
        <v>45446</v>
      </c>
      <c r="B19" s="9">
        <v>6902</v>
      </c>
      <c r="C19" s="9" t="s">
        <v>88</v>
      </c>
      <c r="D19" s="25">
        <v>10000</v>
      </c>
      <c r="E19" s="25">
        <f t="shared" si="0"/>
        <v>240000</v>
      </c>
      <c r="F19" s="25">
        <f t="shared" si="1"/>
        <v>380000</v>
      </c>
    </row>
    <row r="20" spans="1:6" x14ac:dyDescent="0.35">
      <c r="A20" s="26">
        <v>45327</v>
      </c>
      <c r="B20" s="9">
        <v>8184</v>
      </c>
      <c r="C20" s="9" t="s">
        <v>88</v>
      </c>
      <c r="D20" s="25">
        <v>10000</v>
      </c>
      <c r="E20" s="25">
        <f t="shared" si="0"/>
        <v>250000</v>
      </c>
      <c r="F20" s="25">
        <f t="shared" si="1"/>
        <v>370000</v>
      </c>
    </row>
    <row r="21" spans="1:6" x14ac:dyDescent="0.35">
      <c r="A21" s="26">
        <v>45508</v>
      </c>
      <c r="B21" s="9">
        <v>10049</v>
      </c>
      <c r="C21" s="9" t="s">
        <v>88</v>
      </c>
      <c r="D21" s="25">
        <v>10000</v>
      </c>
      <c r="E21" s="25">
        <f t="shared" si="0"/>
        <v>260000</v>
      </c>
      <c r="F21" s="25">
        <f t="shared" si="1"/>
        <v>360000</v>
      </c>
    </row>
    <row r="22" spans="1:6" x14ac:dyDescent="0.35">
      <c r="A22" s="26">
        <v>45357</v>
      </c>
      <c r="B22" s="9">
        <v>10050</v>
      </c>
      <c r="C22" s="9" t="s">
        <v>88</v>
      </c>
      <c r="D22" s="25">
        <v>10000</v>
      </c>
      <c r="E22" s="25">
        <f t="shared" si="0"/>
        <v>270000</v>
      </c>
      <c r="F22" s="25">
        <f t="shared" si="1"/>
        <v>350000</v>
      </c>
    </row>
    <row r="23" spans="1:6" x14ac:dyDescent="0.35">
      <c r="A23" s="26">
        <v>45389</v>
      </c>
      <c r="B23" s="9">
        <v>10051</v>
      </c>
      <c r="C23" s="9" t="s">
        <v>88</v>
      </c>
      <c r="D23" s="25">
        <v>10000</v>
      </c>
      <c r="E23" s="25">
        <f t="shared" si="0"/>
        <v>280000</v>
      </c>
      <c r="F23" s="25">
        <f t="shared" si="1"/>
        <v>340000</v>
      </c>
    </row>
    <row r="24" spans="1:6" x14ac:dyDescent="0.35">
      <c r="A24" s="26">
        <v>45451</v>
      </c>
      <c r="B24" s="9">
        <v>10052</v>
      </c>
      <c r="C24" s="9" t="s">
        <v>88</v>
      </c>
      <c r="D24" s="25">
        <v>10000</v>
      </c>
      <c r="E24" s="25">
        <f t="shared" si="0"/>
        <v>290000</v>
      </c>
      <c r="F24" s="25">
        <f t="shared" si="1"/>
        <v>330000</v>
      </c>
    </row>
    <row r="25" spans="1:6" x14ac:dyDescent="0.35">
      <c r="A25" s="26">
        <v>45453</v>
      </c>
      <c r="B25" s="9">
        <v>11429</v>
      </c>
      <c r="C25" s="9" t="s">
        <v>88</v>
      </c>
      <c r="D25" s="25">
        <v>20000</v>
      </c>
      <c r="E25" s="25">
        <f t="shared" si="0"/>
        <v>310000</v>
      </c>
      <c r="F25" s="25">
        <f t="shared" si="1"/>
        <v>310000</v>
      </c>
    </row>
    <row r="26" spans="1:6" x14ac:dyDescent="0.35">
      <c r="A26" s="26">
        <v>45637</v>
      </c>
      <c r="B26" s="9">
        <v>10933</v>
      </c>
      <c r="C26" s="9" t="s">
        <v>88</v>
      </c>
      <c r="D26" s="25">
        <v>10000</v>
      </c>
      <c r="E26" s="25">
        <f t="shared" si="0"/>
        <v>320000</v>
      </c>
      <c r="F26" s="25">
        <f t="shared" si="1"/>
        <v>300000</v>
      </c>
    </row>
    <row r="27" spans="1:6" x14ac:dyDescent="0.35">
      <c r="A27" s="9" t="s">
        <v>262</v>
      </c>
      <c r="B27" s="9">
        <v>12697</v>
      </c>
      <c r="C27" s="9" t="s">
        <v>88</v>
      </c>
      <c r="D27" s="25">
        <v>10000</v>
      </c>
      <c r="E27" s="25">
        <f t="shared" si="0"/>
        <v>330000</v>
      </c>
      <c r="F27" s="25">
        <f t="shared" si="1"/>
        <v>290000</v>
      </c>
    </row>
    <row r="28" spans="1:6" x14ac:dyDescent="0.35">
      <c r="A28" s="26">
        <v>45839</v>
      </c>
      <c r="B28" s="9">
        <v>12957</v>
      </c>
      <c r="C28" s="9" t="s">
        <v>88</v>
      </c>
      <c r="D28" s="25">
        <v>10000</v>
      </c>
      <c r="E28" s="25">
        <f t="shared" si="0"/>
        <v>340000</v>
      </c>
      <c r="F28" s="25">
        <f t="shared" si="1"/>
        <v>280000</v>
      </c>
    </row>
    <row r="29" spans="1:6" x14ac:dyDescent="0.35">
      <c r="A29" s="26">
        <v>45810</v>
      </c>
      <c r="B29" s="9">
        <v>9237</v>
      </c>
      <c r="C29" s="9" t="s">
        <v>88</v>
      </c>
      <c r="D29" s="25">
        <v>10000</v>
      </c>
      <c r="E29" s="25">
        <f t="shared" si="0"/>
        <v>350000</v>
      </c>
      <c r="F29" s="25">
        <f t="shared" si="1"/>
        <v>270000</v>
      </c>
    </row>
    <row r="30" spans="1:6" x14ac:dyDescent="0.35">
      <c r="A30" s="9" t="s">
        <v>263</v>
      </c>
      <c r="B30" s="9">
        <v>10448</v>
      </c>
      <c r="C30" s="9" t="s">
        <v>88</v>
      </c>
      <c r="D30" s="25">
        <v>20000</v>
      </c>
      <c r="E30" s="25">
        <f t="shared" si="0"/>
        <v>370000</v>
      </c>
      <c r="F30" s="25">
        <f t="shared" si="1"/>
        <v>250000</v>
      </c>
    </row>
    <row r="31" spans="1:6" x14ac:dyDescent="0.35">
      <c r="A31" s="26">
        <v>45996</v>
      </c>
      <c r="B31" s="9">
        <v>10449</v>
      </c>
      <c r="C31" s="9" t="s">
        <v>88</v>
      </c>
      <c r="D31" s="25">
        <v>10000</v>
      </c>
      <c r="E31" s="25">
        <f t="shared" si="0"/>
        <v>380000</v>
      </c>
      <c r="F31" s="25">
        <f t="shared" si="1"/>
        <v>240000</v>
      </c>
    </row>
    <row r="32" spans="1:6" x14ac:dyDescent="0.35">
      <c r="A32" s="26">
        <v>45753</v>
      </c>
      <c r="B32" s="9">
        <v>10450</v>
      </c>
      <c r="C32" s="9" t="s">
        <v>88</v>
      </c>
      <c r="D32" s="25">
        <v>10000</v>
      </c>
      <c r="E32" s="25">
        <f t="shared" si="0"/>
        <v>390000</v>
      </c>
      <c r="F32" s="25">
        <f t="shared" si="1"/>
        <v>230000</v>
      </c>
    </row>
    <row r="33" spans="1:6" x14ac:dyDescent="0.35">
      <c r="A33" s="26">
        <v>45723</v>
      </c>
      <c r="B33" s="9">
        <v>12042</v>
      </c>
      <c r="C33" s="9" t="s">
        <v>88</v>
      </c>
      <c r="D33" s="25">
        <v>10000</v>
      </c>
      <c r="E33" s="25">
        <f t="shared" si="0"/>
        <v>400000</v>
      </c>
      <c r="F33" s="25">
        <f t="shared" si="1"/>
        <v>220000</v>
      </c>
    </row>
    <row r="34" spans="1:6" x14ac:dyDescent="0.35">
      <c r="A34" s="26">
        <v>45878</v>
      </c>
      <c r="B34" s="9">
        <v>12680</v>
      </c>
      <c r="C34" s="9" t="s">
        <v>88</v>
      </c>
      <c r="D34" s="25">
        <v>10000</v>
      </c>
      <c r="E34" s="25">
        <f t="shared" si="0"/>
        <v>410000</v>
      </c>
      <c r="F34" s="25">
        <f t="shared" si="1"/>
        <v>210000</v>
      </c>
    </row>
    <row r="35" spans="1:6" x14ac:dyDescent="0.35">
      <c r="A35" s="26">
        <v>45848</v>
      </c>
      <c r="B35" s="9">
        <v>13706</v>
      </c>
      <c r="C35" s="9" t="s">
        <v>88</v>
      </c>
      <c r="D35" s="25">
        <v>10000</v>
      </c>
      <c r="E35" s="25">
        <f t="shared" si="0"/>
        <v>420000</v>
      </c>
      <c r="F35" s="25">
        <f t="shared" si="1"/>
        <v>200000</v>
      </c>
    </row>
    <row r="36" spans="1:6" x14ac:dyDescent="0.35">
      <c r="A36" s="26">
        <v>45820</v>
      </c>
      <c r="B36" s="9">
        <v>13285</v>
      </c>
      <c r="C36" s="9" t="s">
        <v>88</v>
      </c>
      <c r="D36" s="25">
        <v>20000</v>
      </c>
      <c r="E36" s="25">
        <f t="shared" si="0"/>
        <v>440000</v>
      </c>
      <c r="F36" s="25">
        <f t="shared" si="1"/>
        <v>180000</v>
      </c>
    </row>
    <row r="37" spans="1:6" x14ac:dyDescent="0.35">
      <c r="A37" s="9" t="s">
        <v>264</v>
      </c>
      <c r="B37" s="9">
        <v>12513</v>
      </c>
      <c r="C37" s="9" t="s">
        <v>88</v>
      </c>
      <c r="D37" s="25">
        <v>20000</v>
      </c>
      <c r="E37" s="25">
        <f>SUM(E36+D37)</f>
        <v>460000</v>
      </c>
      <c r="F37" s="25">
        <f t="shared" si="1"/>
        <v>160000</v>
      </c>
    </row>
    <row r="38" spans="1:6" x14ac:dyDescent="0.35">
      <c r="A38" s="30">
        <v>46330</v>
      </c>
      <c r="B38" s="35">
        <v>13216</v>
      </c>
      <c r="C38" s="9" t="s">
        <v>88</v>
      </c>
      <c r="D38" s="25">
        <v>20000</v>
      </c>
      <c r="E38" s="25">
        <f>SUM(E37+D38)</f>
        <v>480000</v>
      </c>
      <c r="F38" s="25">
        <f t="shared" si="1"/>
        <v>140000</v>
      </c>
    </row>
    <row r="39" spans="1:6" x14ac:dyDescent="0.35">
      <c r="A39" t="s">
        <v>733</v>
      </c>
      <c r="B39" s="35">
        <v>13512</v>
      </c>
      <c r="C39" s="35" t="s">
        <v>88</v>
      </c>
      <c r="D39" s="57">
        <v>20000</v>
      </c>
      <c r="E39" s="57">
        <f>E38+D39</f>
        <v>500000</v>
      </c>
      <c r="F39" s="57">
        <f>F38-D39</f>
        <v>120000</v>
      </c>
    </row>
    <row r="40" spans="1:6" x14ac:dyDescent="0.35">
      <c r="A40" s="30">
        <v>46181</v>
      </c>
      <c r="B40" s="35">
        <v>1663</v>
      </c>
      <c r="D40" s="36">
        <v>20000</v>
      </c>
      <c r="E40" s="36">
        <f>E39+D40</f>
        <v>520000</v>
      </c>
      <c r="F40" s="36">
        <f>F39-D40</f>
        <v>100000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1B585-6737-45F0-B546-56BC51412036}">
  <sheetPr codeName="Sheet22"/>
  <dimension ref="A1:G16"/>
  <sheetViews>
    <sheetView workbookViewId="0">
      <selection activeCell="A15" sqref="A15:F16"/>
    </sheetView>
  </sheetViews>
  <sheetFormatPr defaultRowHeight="14.5" x14ac:dyDescent="0.35"/>
  <cols>
    <col min="1" max="1" width="9.453125" bestFit="1" customWidth="1"/>
    <col min="2" max="2" width="10.453125" bestFit="1" customWidth="1"/>
    <col min="4" max="4" width="10.26953125" bestFit="1" customWidth="1"/>
    <col min="5" max="5" width="10.90625" bestFit="1" customWidth="1"/>
    <col min="6" max="6" width="11.36328125" bestFit="1" customWidth="1"/>
  </cols>
  <sheetData>
    <row r="1" spans="1:7" ht="18.5" x14ac:dyDescent="0.45">
      <c r="A1" s="1" t="s">
        <v>128</v>
      </c>
      <c r="B1" s="1"/>
      <c r="C1" s="1"/>
      <c r="D1" s="1"/>
      <c r="E1" s="1"/>
      <c r="F1" s="1"/>
    </row>
    <row r="2" spans="1:7" ht="18.5" x14ac:dyDescent="0.45">
      <c r="A2" s="1" t="s">
        <v>129</v>
      </c>
      <c r="C2" s="1"/>
      <c r="D2" s="1"/>
      <c r="E2" s="1"/>
      <c r="F2" s="1"/>
    </row>
    <row r="3" spans="1:7" ht="18.5" x14ac:dyDescent="0.45">
      <c r="A3" s="1" t="s">
        <v>130</v>
      </c>
      <c r="B3" s="1"/>
      <c r="C3" s="1"/>
      <c r="D3" s="1"/>
      <c r="E3" s="1"/>
      <c r="F3" s="1"/>
    </row>
    <row r="4" spans="1:7" ht="18.5" x14ac:dyDescent="0.45">
      <c r="A4" s="1" t="s">
        <v>534</v>
      </c>
      <c r="B4" s="1"/>
      <c r="C4" s="1"/>
      <c r="D4" s="1"/>
      <c r="E4" s="1"/>
      <c r="F4" s="1"/>
    </row>
    <row r="5" spans="1:7" ht="18.5" x14ac:dyDescent="0.45">
      <c r="A5" s="1" t="s">
        <v>54</v>
      </c>
      <c r="B5" s="1"/>
      <c r="C5" s="1"/>
      <c r="D5" s="1"/>
      <c r="E5" s="1"/>
      <c r="F5" s="1"/>
    </row>
    <row r="6" spans="1:7" ht="18.5" x14ac:dyDescent="0.45">
      <c r="A6" s="1" t="s">
        <v>132</v>
      </c>
      <c r="B6" s="1"/>
      <c r="C6" s="1"/>
      <c r="D6" s="1"/>
      <c r="E6" s="1" t="s">
        <v>131</v>
      </c>
      <c r="F6" s="1"/>
    </row>
    <row r="7" spans="1:7" x14ac:dyDescent="0.35">
      <c r="A7" s="14" t="s">
        <v>3</v>
      </c>
      <c r="B7" s="6" t="s">
        <v>8</v>
      </c>
      <c r="C7" s="6" t="s">
        <v>4</v>
      </c>
      <c r="D7" s="6" t="s">
        <v>9</v>
      </c>
      <c r="E7" s="6" t="s">
        <v>10</v>
      </c>
      <c r="F7" s="6" t="s">
        <v>5</v>
      </c>
      <c r="G7" s="8"/>
    </row>
    <row r="8" spans="1:7" x14ac:dyDescent="0.35">
      <c r="A8" s="15" t="s">
        <v>118</v>
      </c>
      <c r="B8" s="6">
        <v>13216</v>
      </c>
      <c r="C8" s="6" t="s">
        <v>57</v>
      </c>
      <c r="D8" s="7">
        <v>65000</v>
      </c>
      <c r="E8" s="7">
        <v>65000</v>
      </c>
      <c r="F8" s="7">
        <v>385000</v>
      </c>
      <c r="G8" s="8"/>
    </row>
    <row r="9" spans="1:7" x14ac:dyDescent="0.35">
      <c r="A9" s="15" t="s">
        <v>133</v>
      </c>
      <c r="B9" s="6">
        <v>13864</v>
      </c>
      <c r="C9" s="6" t="s">
        <v>88</v>
      </c>
      <c r="D9" s="7">
        <v>35000</v>
      </c>
      <c r="E9" s="7">
        <v>100000</v>
      </c>
      <c r="F9" s="7">
        <v>350000</v>
      </c>
      <c r="G9" s="8"/>
    </row>
    <row r="10" spans="1:7" x14ac:dyDescent="0.35">
      <c r="A10" s="16">
        <v>46144</v>
      </c>
      <c r="B10" s="6">
        <v>12348</v>
      </c>
      <c r="C10" s="6" t="s">
        <v>88</v>
      </c>
      <c r="D10" s="7">
        <v>50000</v>
      </c>
      <c r="E10" s="7">
        <v>150000</v>
      </c>
      <c r="F10" s="7">
        <v>300000</v>
      </c>
      <c r="G10" s="8"/>
    </row>
    <row r="11" spans="1:7" x14ac:dyDescent="0.35">
      <c r="A11" s="2">
        <v>46237</v>
      </c>
      <c r="B11" s="6">
        <v>12789</v>
      </c>
      <c r="C11" s="6" t="s">
        <v>88</v>
      </c>
      <c r="D11" s="7">
        <v>50000</v>
      </c>
      <c r="E11" s="7">
        <f>SUM(E10+D11)</f>
        <v>200000</v>
      </c>
      <c r="F11" s="7">
        <f>F10-D11</f>
        <v>250000</v>
      </c>
    </row>
    <row r="12" spans="1:7" x14ac:dyDescent="0.35">
      <c r="A12" s="2">
        <v>46146</v>
      </c>
      <c r="B12" s="6">
        <v>13139</v>
      </c>
      <c r="C12" s="6" t="s">
        <v>88</v>
      </c>
      <c r="D12" s="7">
        <v>50000</v>
      </c>
      <c r="E12" s="7">
        <f>SUM(E11+D12)</f>
        <v>250000</v>
      </c>
      <c r="F12" s="7">
        <f>F11-D12</f>
        <v>200000</v>
      </c>
    </row>
    <row r="13" spans="1:7" x14ac:dyDescent="0.35">
      <c r="A13" s="2">
        <v>46300</v>
      </c>
      <c r="B13" s="6">
        <v>13302</v>
      </c>
      <c r="C13" s="6" t="s">
        <v>88</v>
      </c>
      <c r="D13" s="7">
        <v>50000</v>
      </c>
      <c r="E13" s="7">
        <f>SUM(E12+D13)</f>
        <v>300000</v>
      </c>
      <c r="F13" s="7">
        <f>F12-D13</f>
        <v>150000</v>
      </c>
    </row>
    <row r="14" spans="1:7" x14ac:dyDescent="0.35">
      <c r="A14" s="3" t="s">
        <v>732</v>
      </c>
      <c r="B14" s="6">
        <v>13531</v>
      </c>
      <c r="C14" s="6" t="s">
        <v>88</v>
      </c>
      <c r="D14" s="7">
        <v>50000</v>
      </c>
      <c r="E14" s="7">
        <f>E13+D14</f>
        <v>350000</v>
      </c>
      <c r="F14" s="7">
        <f>F13-D14</f>
        <v>100000</v>
      </c>
    </row>
    <row r="15" spans="1:7" x14ac:dyDescent="0.35">
      <c r="A15" s="3" t="s">
        <v>789</v>
      </c>
      <c r="B15" s="6">
        <v>1393</v>
      </c>
      <c r="C15" s="6" t="s">
        <v>88</v>
      </c>
      <c r="D15" s="7">
        <v>50000</v>
      </c>
      <c r="E15" s="7">
        <f>E14+D15</f>
        <v>400000</v>
      </c>
      <c r="F15" s="7">
        <f>F14-D15</f>
        <v>50000</v>
      </c>
    </row>
    <row r="16" spans="1:7" x14ac:dyDescent="0.35">
      <c r="A16" s="2">
        <v>46273</v>
      </c>
      <c r="B16" s="6">
        <v>1695</v>
      </c>
      <c r="C16" s="6" t="s">
        <v>88</v>
      </c>
      <c r="D16" s="4">
        <v>50000</v>
      </c>
      <c r="E16" s="4">
        <f>E15+D16</f>
        <v>450000</v>
      </c>
      <c r="F16" s="3" t="s">
        <v>397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C8FEE-07DD-4F0C-92FD-32A22799467D}">
  <dimension ref="A1:P20"/>
  <sheetViews>
    <sheetView workbookViewId="0">
      <selection activeCell="G7" sqref="G7"/>
    </sheetView>
  </sheetViews>
  <sheetFormatPr defaultRowHeight="14.5" x14ac:dyDescent="0.35"/>
  <cols>
    <col min="1" max="1" width="11.90625" customWidth="1"/>
    <col min="3" max="3" width="13.08984375" customWidth="1"/>
  </cols>
  <sheetData>
    <row r="1" spans="1:16" ht="18.5" x14ac:dyDescent="0.45">
      <c r="A1" s="1" t="s">
        <v>541</v>
      </c>
      <c r="B1" s="1"/>
      <c r="C1" s="1"/>
      <c r="D1" s="1"/>
      <c r="E1" s="1"/>
      <c r="F1" s="1"/>
    </row>
    <row r="2" spans="1:16" ht="18.5" x14ac:dyDescent="0.45">
      <c r="A2" s="1" t="s">
        <v>613</v>
      </c>
      <c r="C2" s="1"/>
      <c r="D2" s="1"/>
      <c r="E2" s="1"/>
      <c r="F2" s="1"/>
    </row>
    <row r="3" spans="1:16" ht="18.5" x14ac:dyDescent="0.45">
      <c r="A3" s="1" t="s">
        <v>542</v>
      </c>
      <c r="B3" s="1"/>
      <c r="C3" s="1"/>
      <c r="D3" s="1"/>
      <c r="E3" s="1"/>
      <c r="F3" s="1"/>
    </row>
    <row r="4" spans="1:16" ht="18.5" x14ac:dyDescent="0.45">
      <c r="A4" s="1" t="s">
        <v>546</v>
      </c>
      <c r="B4" s="1"/>
      <c r="C4" s="1"/>
      <c r="D4" s="1"/>
      <c r="E4" s="1"/>
      <c r="F4" s="1"/>
    </row>
    <row r="5" spans="1:16" ht="18.5" x14ac:dyDescent="0.45">
      <c r="A5" s="1" t="s">
        <v>543</v>
      </c>
      <c r="B5" s="1"/>
      <c r="C5" s="1"/>
      <c r="D5" s="1"/>
      <c r="E5" s="1"/>
      <c r="F5" s="1"/>
    </row>
    <row r="6" spans="1:16" ht="18.5" x14ac:dyDescent="0.45">
      <c r="A6" s="1" t="s">
        <v>544</v>
      </c>
      <c r="B6" s="1"/>
      <c r="C6" s="1"/>
      <c r="D6" s="1"/>
      <c r="E6" s="1" t="s">
        <v>545</v>
      </c>
      <c r="F6" s="1"/>
      <c r="I6" s="62" t="s">
        <v>614</v>
      </c>
      <c r="J6" s="62"/>
      <c r="K6" s="62"/>
      <c r="L6" s="62"/>
      <c r="M6" s="62"/>
      <c r="N6" s="62"/>
      <c r="O6" s="62"/>
      <c r="P6" s="62"/>
    </row>
    <row r="7" spans="1:16" x14ac:dyDescent="0.35">
      <c r="A7" s="14" t="s">
        <v>3</v>
      </c>
      <c r="B7" s="6" t="s">
        <v>8</v>
      </c>
      <c r="C7" s="6" t="s">
        <v>4</v>
      </c>
      <c r="D7" s="6" t="s">
        <v>9</v>
      </c>
      <c r="E7" s="6" t="s">
        <v>10</v>
      </c>
      <c r="F7" s="6" t="s">
        <v>5</v>
      </c>
    </row>
    <row r="8" spans="1:16" x14ac:dyDescent="0.35">
      <c r="A8" s="30">
        <v>43897</v>
      </c>
      <c r="B8">
        <v>723</v>
      </c>
      <c r="C8" t="s">
        <v>11</v>
      </c>
      <c r="D8" s="36">
        <v>260000</v>
      </c>
      <c r="E8" s="36">
        <v>260000</v>
      </c>
      <c r="F8" s="36">
        <v>140000</v>
      </c>
    </row>
    <row r="9" spans="1:16" x14ac:dyDescent="0.35">
      <c r="A9" s="69" t="s">
        <v>547</v>
      </c>
      <c r="B9">
        <v>1244</v>
      </c>
      <c r="C9" t="s">
        <v>7</v>
      </c>
      <c r="D9" s="36">
        <v>15000</v>
      </c>
      <c r="E9" s="36">
        <f>E8+D9</f>
        <v>275000</v>
      </c>
      <c r="F9" s="36">
        <f>F8-D9</f>
        <v>125000</v>
      </c>
    </row>
    <row r="10" spans="1:16" x14ac:dyDescent="0.35">
      <c r="A10" s="30">
        <v>45143</v>
      </c>
      <c r="B10">
        <v>724</v>
      </c>
      <c r="C10" t="s">
        <v>7</v>
      </c>
      <c r="D10" s="36">
        <v>30000</v>
      </c>
      <c r="E10" s="36">
        <f t="shared" ref="E10:E17" si="0">E9+D10</f>
        <v>305000</v>
      </c>
      <c r="F10" s="36">
        <f t="shared" ref="F10:F17" si="1">F9-D10</f>
        <v>95000</v>
      </c>
    </row>
    <row r="11" spans="1:16" x14ac:dyDescent="0.35">
      <c r="A11" s="30">
        <v>43897</v>
      </c>
      <c r="B11">
        <v>753</v>
      </c>
      <c r="C11" t="s">
        <v>11</v>
      </c>
      <c r="D11" s="36">
        <v>5000</v>
      </c>
      <c r="E11" s="36">
        <f t="shared" si="0"/>
        <v>310000</v>
      </c>
      <c r="F11" s="36">
        <f t="shared" si="1"/>
        <v>90000</v>
      </c>
    </row>
    <row r="12" spans="1:16" x14ac:dyDescent="0.35">
      <c r="A12" t="s">
        <v>548</v>
      </c>
      <c r="B12">
        <v>2062</v>
      </c>
      <c r="C12" t="s">
        <v>7</v>
      </c>
      <c r="D12" s="36">
        <v>15000</v>
      </c>
      <c r="E12" s="36">
        <f t="shared" si="0"/>
        <v>325000</v>
      </c>
      <c r="F12" s="36">
        <f t="shared" si="1"/>
        <v>75000</v>
      </c>
    </row>
    <row r="13" spans="1:16" x14ac:dyDescent="0.35">
      <c r="A13" t="s">
        <v>549</v>
      </c>
      <c r="B13">
        <v>2873</v>
      </c>
      <c r="C13" t="s">
        <v>7</v>
      </c>
      <c r="D13" s="36">
        <v>15000</v>
      </c>
      <c r="E13" s="36">
        <f t="shared" si="0"/>
        <v>340000</v>
      </c>
      <c r="F13" s="36">
        <f t="shared" si="1"/>
        <v>60000</v>
      </c>
    </row>
    <row r="14" spans="1:16" x14ac:dyDescent="0.35">
      <c r="A14" s="30">
        <v>45207</v>
      </c>
      <c r="B14">
        <v>2325</v>
      </c>
      <c r="C14" t="s">
        <v>7</v>
      </c>
      <c r="D14" s="36">
        <v>15000</v>
      </c>
      <c r="E14" s="36">
        <f t="shared" si="0"/>
        <v>355000</v>
      </c>
      <c r="F14" s="36">
        <f t="shared" si="1"/>
        <v>45000</v>
      </c>
    </row>
    <row r="15" spans="1:16" x14ac:dyDescent="0.35">
      <c r="A15" t="s">
        <v>550</v>
      </c>
      <c r="B15">
        <v>3746</v>
      </c>
      <c r="C15" t="s">
        <v>7</v>
      </c>
      <c r="D15" s="36">
        <v>15000</v>
      </c>
      <c r="E15" s="36">
        <f t="shared" si="0"/>
        <v>370000</v>
      </c>
      <c r="F15" s="36">
        <f t="shared" si="1"/>
        <v>30000</v>
      </c>
    </row>
    <row r="16" spans="1:16" x14ac:dyDescent="0.35">
      <c r="A16" s="30">
        <v>45148</v>
      </c>
      <c r="B16">
        <v>4405</v>
      </c>
      <c r="C16" t="s">
        <v>7</v>
      </c>
      <c r="D16" s="36">
        <v>15000</v>
      </c>
      <c r="E16" s="36">
        <f t="shared" si="0"/>
        <v>385000</v>
      </c>
      <c r="F16" s="36">
        <f t="shared" si="1"/>
        <v>15000</v>
      </c>
    </row>
    <row r="17" spans="1:6" x14ac:dyDescent="0.35">
      <c r="A17" s="30">
        <v>45088</v>
      </c>
      <c r="B17">
        <v>4884</v>
      </c>
      <c r="C17" t="s">
        <v>7</v>
      </c>
      <c r="D17" s="36">
        <v>15000</v>
      </c>
      <c r="E17" s="36">
        <f t="shared" si="0"/>
        <v>400000</v>
      </c>
      <c r="F17" s="36">
        <f t="shared" si="1"/>
        <v>0</v>
      </c>
    </row>
    <row r="18" spans="1:6" x14ac:dyDescent="0.35">
      <c r="A18" t="s">
        <v>551</v>
      </c>
      <c r="B18">
        <v>1465</v>
      </c>
      <c r="C18" t="s">
        <v>552</v>
      </c>
      <c r="D18" s="36">
        <v>75000</v>
      </c>
      <c r="E18" s="36">
        <v>750000</v>
      </c>
      <c r="F18" t="s">
        <v>381</v>
      </c>
    </row>
    <row r="19" spans="1:6" ht="18.5" x14ac:dyDescent="0.45">
      <c r="A19" s="33" t="s">
        <v>383</v>
      </c>
      <c r="B19" s="33"/>
      <c r="C19" s="33"/>
      <c r="D19" s="33"/>
      <c r="E19" s="33"/>
      <c r="F19" s="33"/>
    </row>
    <row r="20" spans="1:6" ht="18.5" x14ac:dyDescent="0.45">
      <c r="A20" s="33" t="s">
        <v>553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7B22B-4EA4-4BD9-B020-1325E2DD91A5}">
  <sheetPr codeName="Sheet17"/>
  <dimension ref="A1:G12"/>
  <sheetViews>
    <sheetView workbookViewId="0">
      <selection sqref="A1:G12"/>
    </sheetView>
  </sheetViews>
  <sheetFormatPr defaultRowHeight="14.5" x14ac:dyDescent="0.35"/>
  <cols>
    <col min="1" max="1" width="10.453125" bestFit="1" customWidth="1"/>
    <col min="3" max="3" width="10.26953125" bestFit="1" customWidth="1"/>
  </cols>
  <sheetData>
    <row r="1" spans="1:7" ht="18.5" x14ac:dyDescent="0.45">
      <c r="A1" s="1" t="s">
        <v>119</v>
      </c>
      <c r="B1" s="1"/>
      <c r="C1" s="1"/>
      <c r="D1" s="1"/>
      <c r="E1" s="1"/>
      <c r="F1" s="1"/>
    </row>
    <row r="2" spans="1:7" ht="18.5" x14ac:dyDescent="0.45">
      <c r="A2" s="1" t="s">
        <v>120</v>
      </c>
      <c r="C2" s="1"/>
      <c r="D2" s="1"/>
      <c r="E2" s="1"/>
      <c r="F2" s="1"/>
    </row>
    <row r="3" spans="1:7" ht="18.5" x14ac:dyDescent="0.45">
      <c r="A3" s="1" t="s">
        <v>121</v>
      </c>
      <c r="B3" s="1"/>
      <c r="C3" s="1"/>
      <c r="D3" s="1"/>
      <c r="E3" s="1"/>
      <c r="F3" s="1"/>
    </row>
    <row r="4" spans="1:7" ht="18.5" x14ac:dyDescent="0.45">
      <c r="A4" s="1" t="s">
        <v>122</v>
      </c>
      <c r="B4" s="1"/>
      <c r="C4" s="1"/>
      <c r="D4" s="1"/>
      <c r="E4" s="1"/>
      <c r="F4" s="1"/>
    </row>
    <row r="5" spans="1:7" ht="18.5" x14ac:dyDescent="0.45">
      <c r="A5" s="1" t="s">
        <v>123</v>
      </c>
      <c r="B5" s="1"/>
      <c r="C5" s="1"/>
      <c r="D5" s="1"/>
      <c r="E5" s="1" t="s">
        <v>55</v>
      </c>
      <c r="F5" s="1"/>
    </row>
    <row r="6" spans="1:7" x14ac:dyDescent="0.35">
      <c r="A6" s="13" t="s">
        <v>3</v>
      </c>
      <c r="B6" s="3" t="s">
        <v>8</v>
      </c>
      <c r="C6" s="3" t="s">
        <v>4</v>
      </c>
      <c r="D6" s="3" t="s">
        <v>9</v>
      </c>
      <c r="E6" s="3" t="s">
        <v>10</v>
      </c>
      <c r="F6" s="3" t="s">
        <v>5</v>
      </c>
      <c r="G6" s="3"/>
    </row>
    <row r="7" spans="1:7" x14ac:dyDescent="0.35">
      <c r="A7" s="2">
        <v>46001</v>
      </c>
      <c r="B7" s="3">
        <v>13772</v>
      </c>
      <c r="C7" s="3" t="s">
        <v>124</v>
      </c>
      <c r="D7" s="4">
        <v>100000</v>
      </c>
      <c r="E7" s="4">
        <v>100000</v>
      </c>
      <c r="F7" s="4">
        <v>600000</v>
      </c>
    </row>
    <row r="8" spans="1:7" x14ac:dyDescent="0.35">
      <c r="A8" s="2">
        <v>45880</v>
      </c>
      <c r="B8" s="3">
        <v>13173</v>
      </c>
      <c r="C8" s="3" t="s">
        <v>88</v>
      </c>
      <c r="D8" s="4">
        <v>10000</v>
      </c>
      <c r="E8" s="4">
        <f>SUM(E7+D8)</f>
        <v>110000</v>
      </c>
      <c r="F8" s="4">
        <f>F7-D8</f>
        <v>590000</v>
      </c>
    </row>
    <row r="9" spans="1:7" x14ac:dyDescent="0.35">
      <c r="A9" s="2">
        <v>46003</v>
      </c>
      <c r="B9" s="3">
        <v>13170</v>
      </c>
      <c r="C9" s="3" t="s">
        <v>88</v>
      </c>
      <c r="D9" s="4">
        <v>10000</v>
      </c>
      <c r="E9" s="4">
        <f>SUM(E8+D9)</f>
        <v>120000</v>
      </c>
      <c r="F9" s="4">
        <f>F8-D9</f>
        <v>580000</v>
      </c>
    </row>
    <row r="10" spans="1:7" x14ac:dyDescent="0.35">
      <c r="A10" s="3" t="s">
        <v>125</v>
      </c>
      <c r="B10" s="3">
        <v>12142</v>
      </c>
      <c r="C10" s="3" t="s">
        <v>88</v>
      </c>
      <c r="D10" s="4">
        <v>10000</v>
      </c>
      <c r="E10" s="4">
        <f>SUM(E9+D10)</f>
        <v>130000</v>
      </c>
      <c r="F10" s="4">
        <f>F9-D10</f>
        <v>570000</v>
      </c>
    </row>
    <row r="11" spans="1:7" x14ac:dyDescent="0.35">
      <c r="A11" s="3" t="s">
        <v>126</v>
      </c>
      <c r="B11" s="3">
        <v>12232</v>
      </c>
      <c r="C11" s="3" t="s">
        <v>88</v>
      </c>
      <c r="D11" s="4">
        <v>180000</v>
      </c>
      <c r="E11" s="4">
        <f>SUM(E10+D11)</f>
        <v>310000</v>
      </c>
      <c r="F11" s="4">
        <f>F10-D11</f>
        <v>390000</v>
      </c>
    </row>
    <row r="12" spans="1:7" x14ac:dyDescent="0.35">
      <c r="A12" s="2" t="s">
        <v>127</v>
      </c>
      <c r="B12" s="3">
        <v>12340</v>
      </c>
      <c r="C12" s="3" t="s">
        <v>88</v>
      </c>
      <c r="D12" s="4">
        <v>10000</v>
      </c>
      <c r="E12" s="4">
        <f>SUM(E11+D12)</f>
        <v>320000</v>
      </c>
      <c r="F12" s="4">
        <f>F11-D12</f>
        <v>380000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5242E-3A31-45A3-A3EC-C11FF863FB10}">
  <dimension ref="A1:F8"/>
  <sheetViews>
    <sheetView workbookViewId="0">
      <selection activeCell="K20" sqref="K20"/>
    </sheetView>
  </sheetViews>
  <sheetFormatPr defaultRowHeight="14.5" x14ac:dyDescent="0.35"/>
  <sheetData>
    <row r="1" spans="1:6" ht="18.5" x14ac:dyDescent="0.45">
      <c r="A1" s="1" t="s">
        <v>462</v>
      </c>
      <c r="B1" s="1"/>
      <c r="C1" s="17"/>
      <c r="D1" s="1"/>
      <c r="E1" s="1"/>
      <c r="F1" s="1"/>
    </row>
    <row r="2" spans="1:6" ht="18.5" x14ac:dyDescent="0.45">
      <c r="A2" s="1" t="s">
        <v>463</v>
      </c>
      <c r="C2" s="1"/>
      <c r="D2" s="1"/>
      <c r="E2" s="1"/>
      <c r="F2" s="1"/>
    </row>
    <row r="3" spans="1:6" ht="18.5" x14ac:dyDescent="0.45">
      <c r="A3" s="1" t="s">
        <v>294</v>
      </c>
      <c r="B3" s="1"/>
      <c r="C3" s="1"/>
      <c r="D3" s="1"/>
      <c r="E3" s="1"/>
      <c r="F3" s="1"/>
    </row>
    <row r="4" spans="1:6" ht="18.5" x14ac:dyDescent="0.45">
      <c r="A4" s="1" t="s">
        <v>464</v>
      </c>
      <c r="B4" s="33"/>
      <c r="C4" s="1"/>
      <c r="D4" s="1"/>
      <c r="E4" s="1"/>
      <c r="F4" s="1"/>
    </row>
    <row r="5" spans="1:6" ht="18.5" x14ac:dyDescent="0.45">
      <c r="A5" s="1" t="s">
        <v>467</v>
      </c>
      <c r="B5" s="1"/>
      <c r="C5" s="1"/>
      <c r="D5" s="1"/>
      <c r="E5" s="1"/>
      <c r="F5" s="1"/>
    </row>
    <row r="6" spans="1:6" ht="18.5" x14ac:dyDescent="0.45">
      <c r="A6" s="1" t="s">
        <v>465</v>
      </c>
      <c r="B6" s="1"/>
      <c r="C6" s="1"/>
      <c r="D6" s="1" t="s">
        <v>466</v>
      </c>
      <c r="E6" s="1"/>
      <c r="F6" s="1"/>
    </row>
    <row r="7" spans="1:6" x14ac:dyDescent="0.35">
      <c r="A7" s="28" t="s">
        <v>3</v>
      </c>
      <c r="B7" s="29" t="s">
        <v>8</v>
      </c>
      <c r="C7" s="29" t="s">
        <v>4</v>
      </c>
      <c r="D7" s="29" t="s">
        <v>9</v>
      </c>
      <c r="E7" s="29" t="s">
        <v>10</v>
      </c>
      <c r="F7" s="29" t="s">
        <v>5</v>
      </c>
    </row>
    <row r="8" spans="1:6" x14ac:dyDescent="0.35">
      <c r="A8" t="s">
        <v>468</v>
      </c>
      <c r="C8" t="s">
        <v>174</v>
      </c>
      <c r="D8" s="36">
        <v>500000</v>
      </c>
      <c r="E8" s="36">
        <v>500000</v>
      </c>
      <c r="F8" t="s">
        <v>451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D0268-9E56-441F-9A36-DABF0CC3DDB8}">
  <sheetPr codeName="Sheet1"/>
  <dimension ref="A1:F41"/>
  <sheetViews>
    <sheetView topLeftCell="A25" workbookViewId="0">
      <selection activeCell="F42" sqref="F42"/>
    </sheetView>
  </sheetViews>
  <sheetFormatPr defaultRowHeight="14.5" x14ac:dyDescent="0.35"/>
  <cols>
    <col min="1" max="1" width="10.453125" bestFit="1" customWidth="1"/>
    <col min="3" max="3" width="13.453125" customWidth="1"/>
    <col min="4" max="4" width="10.90625" bestFit="1" customWidth="1"/>
    <col min="5" max="5" width="8.36328125" bestFit="1" customWidth="1"/>
    <col min="6" max="6" width="15.81640625" bestFit="1" customWidth="1"/>
  </cols>
  <sheetData>
    <row r="1" spans="1:6" ht="18.5" x14ac:dyDescent="0.45">
      <c r="A1" s="1" t="s">
        <v>31</v>
      </c>
      <c r="B1" s="1"/>
      <c r="C1" s="1"/>
      <c r="D1" s="1"/>
      <c r="E1" s="1"/>
      <c r="F1" s="1"/>
    </row>
    <row r="2" spans="1:6" ht="18.5" x14ac:dyDescent="0.45">
      <c r="A2" s="1" t="s">
        <v>32</v>
      </c>
      <c r="B2" s="1"/>
      <c r="C2" s="1"/>
      <c r="D2" s="1"/>
      <c r="E2" s="1"/>
      <c r="F2" s="1"/>
    </row>
    <row r="3" spans="1:6" ht="18.5" x14ac:dyDescent="0.45">
      <c r="A3" s="1" t="s">
        <v>33</v>
      </c>
      <c r="B3" s="1"/>
      <c r="C3" s="1"/>
      <c r="D3" s="1"/>
      <c r="E3" s="1"/>
      <c r="F3" s="1"/>
    </row>
    <row r="4" spans="1:6" ht="18.5" x14ac:dyDescent="0.45">
      <c r="A4" s="1" t="s">
        <v>559</v>
      </c>
      <c r="B4" s="1" t="s">
        <v>734</v>
      </c>
      <c r="C4" s="1"/>
      <c r="D4" s="1"/>
      <c r="E4" s="1"/>
      <c r="F4" s="1"/>
    </row>
    <row r="5" spans="1:6" ht="18.5" x14ac:dyDescent="0.45">
      <c r="A5" s="1" t="s">
        <v>58</v>
      </c>
      <c r="B5" s="1"/>
      <c r="C5" s="1"/>
      <c r="D5" s="1"/>
      <c r="E5" s="1"/>
      <c r="F5" s="1"/>
    </row>
    <row r="6" spans="1:6" ht="18.5" x14ac:dyDescent="0.45">
      <c r="A6" s="1" t="s">
        <v>35</v>
      </c>
      <c r="B6" s="1"/>
      <c r="C6" s="1"/>
      <c r="D6" s="1" t="s">
        <v>36</v>
      </c>
      <c r="E6" s="1"/>
      <c r="F6" s="1"/>
    </row>
    <row r="7" spans="1:6" x14ac:dyDescent="0.35">
      <c r="A7" s="9" t="s">
        <v>3</v>
      </c>
      <c r="B7" s="9" t="s">
        <v>8</v>
      </c>
      <c r="C7" s="9" t="s">
        <v>4</v>
      </c>
      <c r="D7" s="9" t="s">
        <v>9</v>
      </c>
      <c r="E7" s="9" t="s">
        <v>10</v>
      </c>
      <c r="F7" s="9" t="s">
        <v>5</v>
      </c>
    </row>
    <row r="8" spans="1:6" x14ac:dyDescent="0.35">
      <c r="A8" s="27" t="s">
        <v>37</v>
      </c>
      <c r="B8" s="27">
        <v>1894</v>
      </c>
      <c r="C8" s="9" t="s">
        <v>38</v>
      </c>
      <c r="D8" s="25">
        <v>50000</v>
      </c>
      <c r="E8" s="25">
        <v>50000</v>
      </c>
      <c r="F8" s="25">
        <v>550000</v>
      </c>
    </row>
    <row r="9" spans="1:6" x14ac:dyDescent="0.35">
      <c r="A9" s="26">
        <v>45201</v>
      </c>
      <c r="B9" s="9">
        <v>1892</v>
      </c>
      <c r="C9" s="9" t="s">
        <v>39</v>
      </c>
      <c r="D9" s="9">
        <v>10000</v>
      </c>
      <c r="E9" s="25">
        <f t="shared" ref="E9:E38" si="0">SUM(E8 +D9)</f>
        <v>60000</v>
      </c>
      <c r="F9" s="25">
        <f t="shared" ref="F9:F38" si="1">F8-D9</f>
        <v>540000</v>
      </c>
    </row>
    <row r="10" spans="1:6" x14ac:dyDescent="0.35">
      <c r="A10" s="9" t="s">
        <v>40</v>
      </c>
      <c r="B10" s="9">
        <v>2397</v>
      </c>
      <c r="C10" s="9" t="s">
        <v>39</v>
      </c>
      <c r="D10" s="9">
        <v>10000</v>
      </c>
      <c r="E10" s="25">
        <f t="shared" si="0"/>
        <v>70000</v>
      </c>
      <c r="F10" s="25">
        <f t="shared" si="1"/>
        <v>530000</v>
      </c>
    </row>
    <row r="11" spans="1:6" x14ac:dyDescent="0.35">
      <c r="A11" s="26">
        <v>44932</v>
      </c>
      <c r="B11" s="9">
        <v>224</v>
      </c>
      <c r="C11" s="9" t="s">
        <v>39</v>
      </c>
      <c r="D11" s="9">
        <v>20000</v>
      </c>
      <c r="E11" s="25">
        <f t="shared" si="0"/>
        <v>90000</v>
      </c>
      <c r="F11" s="25">
        <f t="shared" si="1"/>
        <v>510000</v>
      </c>
    </row>
    <row r="12" spans="1:6" x14ac:dyDescent="0.35">
      <c r="A12" s="26">
        <v>45024</v>
      </c>
      <c r="B12" s="9">
        <v>2217</v>
      </c>
      <c r="C12" s="9" t="s">
        <v>39</v>
      </c>
      <c r="D12" s="9">
        <v>20000</v>
      </c>
      <c r="E12" s="25">
        <f t="shared" si="0"/>
        <v>110000</v>
      </c>
      <c r="F12" s="25">
        <f t="shared" si="1"/>
        <v>490000</v>
      </c>
    </row>
    <row r="13" spans="1:6" x14ac:dyDescent="0.35">
      <c r="A13" s="26">
        <v>45239</v>
      </c>
      <c r="B13" s="9">
        <v>3573</v>
      </c>
      <c r="C13" s="9" t="s">
        <v>39</v>
      </c>
      <c r="D13" s="9">
        <v>10000</v>
      </c>
      <c r="E13" s="25">
        <f t="shared" si="0"/>
        <v>120000</v>
      </c>
      <c r="F13" s="25">
        <f t="shared" si="1"/>
        <v>480000</v>
      </c>
    </row>
    <row r="14" spans="1:6" x14ac:dyDescent="0.35">
      <c r="A14" s="26">
        <v>45240</v>
      </c>
      <c r="B14" s="9">
        <v>4210</v>
      </c>
      <c r="C14" s="9" t="s">
        <v>39</v>
      </c>
      <c r="D14" s="9">
        <v>10000</v>
      </c>
      <c r="E14" s="25">
        <f t="shared" si="0"/>
        <v>130000</v>
      </c>
      <c r="F14" s="25">
        <f t="shared" si="1"/>
        <v>470000</v>
      </c>
    </row>
    <row r="15" spans="1:6" x14ac:dyDescent="0.35">
      <c r="A15" s="26">
        <v>45241</v>
      </c>
      <c r="B15" s="9">
        <v>4819</v>
      </c>
      <c r="C15" s="9" t="s">
        <v>39</v>
      </c>
      <c r="D15" s="9">
        <v>10000</v>
      </c>
      <c r="E15" s="25">
        <f t="shared" si="0"/>
        <v>140000</v>
      </c>
      <c r="F15" s="25">
        <f t="shared" si="1"/>
        <v>460000</v>
      </c>
    </row>
    <row r="16" spans="1:6" x14ac:dyDescent="0.35">
      <c r="A16" s="26">
        <v>45242</v>
      </c>
      <c r="B16" s="9">
        <v>5485</v>
      </c>
      <c r="C16" s="9" t="s">
        <v>39</v>
      </c>
      <c r="D16" s="9">
        <v>10000</v>
      </c>
      <c r="E16" s="25">
        <f t="shared" si="0"/>
        <v>150000</v>
      </c>
      <c r="F16" s="25">
        <f t="shared" si="1"/>
        <v>450000</v>
      </c>
    </row>
    <row r="17" spans="1:6" x14ac:dyDescent="0.35">
      <c r="A17" s="26">
        <v>45566</v>
      </c>
      <c r="B17" s="9">
        <v>6086</v>
      </c>
      <c r="C17" s="9" t="s">
        <v>39</v>
      </c>
      <c r="D17" s="9">
        <v>10000</v>
      </c>
      <c r="E17" s="25">
        <f t="shared" si="0"/>
        <v>160000</v>
      </c>
      <c r="F17" s="25">
        <f t="shared" si="1"/>
        <v>440000</v>
      </c>
    </row>
    <row r="18" spans="1:6" x14ac:dyDescent="0.35">
      <c r="A18" s="26">
        <v>45567</v>
      </c>
      <c r="B18" s="9">
        <v>7036</v>
      </c>
      <c r="C18" s="9" t="s">
        <v>39</v>
      </c>
      <c r="D18" s="9">
        <v>9000</v>
      </c>
      <c r="E18" s="25">
        <f t="shared" si="0"/>
        <v>169000</v>
      </c>
      <c r="F18" s="25">
        <f t="shared" si="1"/>
        <v>431000</v>
      </c>
    </row>
    <row r="19" spans="1:6" x14ac:dyDescent="0.35">
      <c r="A19" s="26">
        <v>45629</v>
      </c>
      <c r="B19" s="9">
        <v>7330</v>
      </c>
      <c r="C19" s="9" t="s">
        <v>39</v>
      </c>
      <c r="D19" s="9">
        <v>11000</v>
      </c>
      <c r="E19" s="25">
        <f t="shared" si="0"/>
        <v>180000</v>
      </c>
      <c r="F19" s="25">
        <f t="shared" si="1"/>
        <v>420000</v>
      </c>
    </row>
    <row r="20" spans="1:6" x14ac:dyDescent="0.35">
      <c r="A20" s="9" t="s">
        <v>41</v>
      </c>
      <c r="B20" s="9">
        <v>7834</v>
      </c>
      <c r="C20" s="9" t="s">
        <v>39</v>
      </c>
      <c r="D20" s="9">
        <v>10000</v>
      </c>
      <c r="E20" s="25">
        <f t="shared" si="0"/>
        <v>190000</v>
      </c>
      <c r="F20" s="25">
        <f t="shared" si="1"/>
        <v>410000</v>
      </c>
    </row>
    <row r="21" spans="1:6" x14ac:dyDescent="0.35">
      <c r="A21" s="26">
        <v>45601</v>
      </c>
      <c r="B21" s="9">
        <v>8388</v>
      </c>
      <c r="C21" s="9" t="s">
        <v>39</v>
      </c>
      <c r="D21" s="9">
        <v>10000</v>
      </c>
      <c r="E21" s="25">
        <f t="shared" si="0"/>
        <v>200000</v>
      </c>
      <c r="F21" s="25">
        <f t="shared" si="1"/>
        <v>400000</v>
      </c>
    </row>
    <row r="22" spans="1:6" x14ac:dyDescent="0.35">
      <c r="A22" s="26">
        <v>45632</v>
      </c>
      <c r="B22" s="9">
        <v>9046</v>
      </c>
      <c r="C22" s="9" t="s">
        <v>39</v>
      </c>
      <c r="D22" s="9">
        <v>10000</v>
      </c>
      <c r="E22" s="25">
        <f t="shared" si="0"/>
        <v>210000</v>
      </c>
      <c r="F22" s="25">
        <f t="shared" si="1"/>
        <v>390000</v>
      </c>
    </row>
    <row r="23" spans="1:6" x14ac:dyDescent="0.35">
      <c r="A23" s="9" t="s">
        <v>42</v>
      </c>
      <c r="B23" s="9">
        <v>9607</v>
      </c>
      <c r="C23" s="9" t="s">
        <v>39</v>
      </c>
      <c r="D23" s="9">
        <v>10000</v>
      </c>
      <c r="E23" s="25">
        <f t="shared" si="0"/>
        <v>220000</v>
      </c>
      <c r="F23" s="25">
        <f t="shared" si="1"/>
        <v>380000</v>
      </c>
    </row>
    <row r="24" spans="1:6" x14ac:dyDescent="0.35">
      <c r="A24" s="26">
        <v>45513</v>
      </c>
      <c r="B24" s="9">
        <v>10615</v>
      </c>
      <c r="C24" s="9" t="s">
        <v>39</v>
      </c>
      <c r="D24" s="9">
        <v>20000</v>
      </c>
      <c r="E24" s="25">
        <f t="shared" si="0"/>
        <v>240000</v>
      </c>
      <c r="F24" s="25">
        <f t="shared" si="1"/>
        <v>360000</v>
      </c>
    </row>
    <row r="25" spans="1:6" x14ac:dyDescent="0.35">
      <c r="A25" s="26">
        <v>45575</v>
      </c>
      <c r="B25" s="9">
        <v>11356</v>
      </c>
      <c r="C25" s="9" t="s">
        <v>39</v>
      </c>
      <c r="D25" s="9">
        <v>10000</v>
      </c>
      <c r="E25" s="25">
        <f t="shared" si="0"/>
        <v>250000</v>
      </c>
      <c r="F25" s="25">
        <f t="shared" si="1"/>
        <v>350000</v>
      </c>
    </row>
    <row r="26" spans="1:6" x14ac:dyDescent="0.35">
      <c r="A26" s="26">
        <v>45637</v>
      </c>
      <c r="B26" s="9">
        <v>10946</v>
      </c>
      <c r="C26" s="9" t="s">
        <v>39</v>
      </c>
      <c r="D26" s="9">
        <v>10000</v>
      </c>
      <c r="E26" s="25">
        <f t="shared" si="0"/>
        <v>260000</v>
      </c>
      <c r="F26" s="25">
        <f t="shared" si="1"/>
        <v>340000</v>
      </c>
    </row>
    <row r="27" spans="1:6" x14ac:dyDescent="0.35">
      <c r="A27" s="9" t="s">
        <v>43</v>
      </c>
      <c r="B27" s="9">
        <v>12391</v>
      </c>
      <c r="C27" s="9" t="s">
        <v>39</v>
      </c>
      <c r="D27" s="9">
        <v>10000</v>
      </c>
      <c r="E27" s="25">
        <f t="shared" si="0"/>
        <v>270000</v>
      </c>
      <c r="F27" s="25">
        <f t="shared" si="1"/>
        <v>330000</v>
      </c>
    </row>
    <row r="28" spans="1:6" x14ac:dyDescent="0.35">
      <c r="A28" s="9" t="s">
        <v>44</v>
      </c>
      <c r="B28" s="9">
        <v>12084</v>
      </c>
      <c r="C28" s="9" t="s">
        <v>39</v>
      </c>
      <c r="D28" s="9">
        <v>10000</v>
      </c>
      <c r="E28" s="25">
        <f t="shared" si="0"/>
        <v>280000</v>
      </c>
      <c r="F28" s="25">
        <f t="shared" si="1"/>
        <v>320000</v>
      </c>
    </row>
    <row r="29" spans="1:6" x14ac:dyDescent="0.35">
      <c r="A29" s="9" t="s">
        <v>45</v>
      </c>
      <c r="B29" s="9">
        <v>9418</v>
      </c>
      <c r="C29" s="9" t="s">
        <v>39</v>
      </c>
      <c r="D29" s="9">
        <v>10000</v>
      </c>
      <c r="E29" s="25">
        <f t="shared" si="0"/>
        <v>290000</v>
      </c>
      <c r="F29" s="25">
        <f t="shared" si="1"/>
        <v>310000</v>
      </c>
    </row>
    <row r="30" spans="1:6" x14ac:dyDescent="0.35">
      <c r="A30" s="9" t="s">
        <v>46</v>
      </c>
      <c r="B30" s="9">
        <v>10899</v>
      </c>
      <c r="C30" s="9" t="s">
        <v>39</v>
      </c>
      <c r="D30" s="9">
        <v>10000</v>
      </c>
      <c r="E30" s="25">
        <f t="shared" si="0"/>
        <v>300000</v>
      </c>
      <c r="F30" s="25">
        <f t="shared" si="1"/>
        <v>300000</v>
      </c>
    </row>
    <row r="31" spans="1:6" x14ac:dyDescent="0.35">
      <c r="A31" s="26">
        <v>45907</v>
      </c>
      <c r="B31" s="9">
        <v>12842</v>
      </c>
      <c r="C31" s="9" t="s">
        <v>39</v>
      </c>
      <c r="D31" s="9">
        <v>10000</v>
      </c>
      <c r="E31" s="25">
        <f t="shared" si="0"/>
        <v>310000</v>
      </c>
      <c r="F31" s="25">
        <f t="shared" si="1"/>
        <v>290000</v>
      </c>
    </row>
    <row r="32" spans="1:6" x14ac:dyDescent="0.35">
      <c r="A32" s="26">
        <v>45878</v>
      </c>
      <c r="B32" s="9">
        <v>12677</v>
      </c>
      <c r="C32" s="9" t="s">
        <v>39</v>
      </c>
      <c r="D32" s="9">
        <v>10000</v>
      </c>
      <c r="E32" s="25">
        <f t="shared" si="0"/>
        <v>320000</v>
      </c>
      <c r="F32" s="25">
        <f t="shared" si="1"/>
        <v>280000</v>
      </c>
    </row>
    <row r="33" spans="1:6" x14ac:dyDescent="0.35">
      <c r="A33" s="26">
        <v>45971</v>
      </c>
      <c r="B33" s="9">
        <v>13751</v>
      </c>
      <c r="C33" s="9" t="s">
        <v>39</v>
      </c>
      <c r="D33" s="9">
        <v>10000</v>
      </c>
      <c r="E33" s="25">
        <f t="shared" si="0"/>
        <v>330000</v>
      </c>
      <c r="F33" s="25">
        <f t="shared" si="1"/>
        <v>270000</v>
      </c>
    </row>
    <row r="34" spans="1:6" x14ac:dyDescent="0.35">
      <c r="A34" s="9" t="s">
        <v>47</v>
      </c>
      <c r="B34" s="9">
        <v>13375</v>
      </c>
      <c r="C34" s="9" t="s">
        <v>39</v>
      </c>
      <c r="D34" s="9">
        <v>10000</v>
      </c>
      <c r="E34" s="25">
        <f t="shared" si="0"/>
        <v>340000</v>
      </c>
      <c r="F34" s="25">
        <f t="shared" si="1"/>
        <v>260000</v>
      </c>
    </row>
    <row r="35" spans="1:6" x14ac:dyDescent="0.35">
      <c r="A35" s="26">
        <v>46024</v>
      </c>
      <c r="B35" s="9">
        <v>12293</v>
      </c>
      <c r="C35" s="9" t="s">
        <v>39</v>
      </c>
      <c r="D35" s="9">
        <v>10000</v>
      </c>
      <c r="E35" s="25">
        <f t="shared" si="0"/>
        <v>350000</v>
      </c>
      <c r="F35" s="25">
        <f t="shared" si="1"/>
        <v>250000</v>
      </c>
    </row>
    <row r="36" spans="1:6" x14ac:dyDescent="0.35">
      <c r="A36" s="26">
        <v>46298</v>
      </c>
      <c r="B36" s="9">
        <v>12807</v>
      </c>
      <c r="C36" s="9" t="s">
        <v>39</v>
      </c>
      <c r="D36" s="9">
        <v>10000</v>
      </c>
      <c r="E36" s="25">
        <f t="shared" si="0"/>
        <v>360000</v>
      </c>
      <c r="F36" s="25">
        <f t="shared" si="1"/>
        <v>240000</v>
      </c>
    </row>
    <row r="37" spans="1:6" x14ac:dyDescent="0.35">
      <c r="A37" s="9" t="s">
        <v>514</v>
      </c>
      <c r="B37" s="9">
        <v>13271</v>
      </c>
      <c r="C37" s="9" t="s">
        <v>39</v>
      </c>
      <c r="D37" s="9">
        <v>10000</v>
      </c>
      <c r="E37" s="25">
        <f t="shared" si="0"/>
        <v>370000</v>
      </c>
      <c r="F37" s="25">
        <f t="shared" si="1"/>
        <v>230000</v>
      </c>
    </row>
    <row r="38" spans="1:6" x14ac:dyDescent="0.35">
      <c r="A38" s="26">
        <v>46331</v>
      </c>
      <c r="B38" s="9">
        <v>13330</v>
      </c>
      <c r="C38" s="9" t="s">
        <v>39</v>
      </c>
      <c r="D38" s="9">
        <v>10000</v>
      </c>
      <c r="E38" s="25">
        <f t="shared" si="0"/>
        <v>380000</v>
      </c>
      <c r="F38" s="25">
        <f t="shared" si="1"/>
        <v>220000</v>
      </c>
    </row>
    <row r="39" spans="1:6" x14ac:dyDescent="0.35">
      <c r="A39" s="9" t="s">
        <v>735</v>
      </c>
      <c r="B39" s="9">
        <v>13584</v>
      </c>
      <c r="C39" s="9" t="s">
        <v>39</v>
      </c>
      <c r="D39" s="25">
        <v>50000</v>
      </c>
      <c r="E39" s="25">
        <f>E38+D39</f>
        <v>430000</v>
      </c>
      <c r="F39" s="25">
        <f>F38-D39</f>
        <v>170000</v>
      </c>
    </row>
    <row r="40" spans="1:6" x14ac:dyDescent="0.35">
      <c r="A40" t="s">
        <v>830</v>
      </c>
      <c r="B40" s="35">
        <v>1499</v>
      </c>
      <c r="C40" s="9" t="s">
        <v>39</v>
      </c>
      <c r="D40" s="36">
        <v>50000</v>
      </c>
      <c r="E40" s="36">
        <f>E39+D40</f>
        <v>480000</v>
      </c>
      <c r="F40" s="36">
        <f>F39-D40</f>
        <v>120000</v>
      </c>
    </row>
    <row r="41" spans="1:6" x14ac:dyDescent="0.35">
      <c r="A41" s="30">
        <v>46303</v>
      </c>
      <c r="B41" s="35">
        <v>1712</v>
      </c>
      <c r="C41" s="9" t="s">
        <v>39</v>
      </c>
      <c r="D41" s="36">
        <v>10000</v>
      </c>
      <c r="E41" s="36">
        <f>E40+D41</f>
        <v>490000</v>
      </c>
      <c r="F41" s="36">
        <f>F40-D41</f>
        <v>110000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FC78-8A00-488B-A2AE-37533E19CE7F}">
  <sheetPr codeName="Sheet2"/>
  <dimension ref="A1:F42"/>
  <sheetViews>
    <sheetView topLeftCell="A25" workbookViewId="0">
      <selection activeCell="F43" sqref="F43"/>
    </sheetView>
  </sheetViews>
  <sheetFormatPr defaultRowHeight="14.5" x14ac:dyDescent="0.35"/>
  <cols>
    <col min="1" max="1" width="12.6328125" bestFit="1" customWidth="1"/>
    <col min="2" max="2" width="5.81640625" bestFit="1" customWidth="1"/>
    <col min="3" max="3" width="12.08984375" customWidth="1"/>
    <col min="4" max="4" width="12.1796875" customWidth="1"/>
    <col min="5" max="5" width="11.1796875" customWidth="1"/>
    <col min="6" max="6" width="14.90625" customWidth="1"/>
  </cols>
  <sheetData>
    <row r="1" spans="1:6" ht="18.5" x14ac:dyDescent="0.45">
      <c r="A1" s="1" t="s">
        <v>31</v>
      </c>
      <c r="B1" s="1"/>
      <c r="C1" s="1"/>
    </row>
    <row r="2" spans="1:6" ht="18.5" x14ac:dyDescent="0.45">
      <c r="A2" s="1" t="s">
        <v>32</v>
      </c>
      <c r="B2" s="1"/>
      <c r="C2" s="1"/>
    </row>
    <row r="3" spans="1:6" ht="18.5" x14ac:dyDescent="0.45">
      <c r="A3" s="1" t="s">
        <v>33</v>
      </c>
      <c r="B3" s="1"/>
      <c r="C3" s="1"/>
    </row>
    <row r="4" spans="1:6" ht="18.5" x14ac:dyDescent="0.45">
      <c r="A4" s="1" t="s">
        <v>559</v>
      </c>
      <c r="B4" s="1" t="s">
        <v>736</v>
      </c>
      <c r="C4" s="1"/>
    </row>
    <row r="5" spans="1:6" ht="18.5" x14ac:dyDescent="0.45">
      <c r="A5" s="1" t="s">
        <v>34</v>
      </c>
      <c r="B5" s="1"/>
      <c r="C5" s="1"/>
    </row>
    <row r="6" spans="1:6" ht="18.5" x14ac:dyDescent="0.45">
      <c r="A6" s="1" t="s">
        <v>48</v>
      </c>
      <c r="B6" s="1"/>
      <c r="C6" s="1"/>
      <c r="D6" s="1" t="s">
        <v>36</v>
      </c>
      <c r="E6" s="1"/>
      <c r="F6" s="1"/>
    </row>
    <row r="7" spans="1:6" x14ac:dyDescent="0.35">
      <c r="A7" s="10" t="s">
        <v>3</v>
      </c>
      <c r="B7" s="10" t="s">
        <v>8</v>
      </c>
      <c r="C7" s="10" t="s">
        <v>4</v>
      </c>
      <c r="D7" s="10" t="s">
        <v>9</v>
      </c>
      <c r="E7" s="10" t="s">
        <v>10</v>
      </c>
      <c r="F7" s="10" t="s">
        <v>5</v>
      </c>
    </row>
    <row r="8" spans="1:6" x14ac:dyDescent="0.35">
      <c r="A8" s="6" t="s">
        <v>49</v>
      </c>
      <c r="B8" s="6">
        <v>1895</v>
      </c>
      <c r="C8" s="6" t="s">
        <v>50</v>
      </c>
      <c r="D8" s="6">
        <v>50000</v>
      </c>
      <c r="E8" s="6">
        <v>50000</v>
      </c>
      <c r="F8" s="7">
        <v>550000</v>
      </c>
    </row>
    <row r="9" spans="1:6" x14ac:dyDescent="0.35">
      <c r="A9" s="6" t="s">
        <v>51</v>
      </c>
      <c r="B9" s="6">
        <v>1893</v>
      </c>
      <c r="C9" s="6" t="s">
        <v>39</v>
      </c>
      <c r="D9" s="6">
        <v>10000</v>
      </c>
      <c r="E9" s="6">
        <f t="shared" ref="E9:E22" si="0">SUM(E8+D9)</f>
        <v>60000</v>
      </c>
      <c r="F9" s="7">
        <f t="shared" ref="F9:F22" si="1">F8-D9</f>
        <v>540000</v>
      </c>
    </row>
    <row r="10" spans="1:6" x14ac:dyDescent="0.35">
      <c r="A10" s="6" t="s">
        <v>40</v>
      </c>
      <c r="B10" s="6">
        <v>2396</v>
      </c>
      <c r="C10" s="6" t="s">
        <v>39</v>
      </c>
      <c r="D10" s="6">
        <v>10000</v>
      </c>
      <c r="E10" s="6">
        <f t="shared" si="0"/>
        <v>70000</v>
      </c>
      <c r="F10" s="7">
        <f t="shared" si="1"/>
        <v>530000</v>
      </c>
    </row>
    <row r="11" spans="1:6" x14ac:dyDescent="0.35">
      <c r="A11" s="5">
        <v>44932</v>
      </c>
      <c r="B11" s="6">
        <v>225</v>
      </c>
      <c r="C11" s="6" t="s">
        <v>39</v>
      </c>
      <c r="D11" s="6">
        <v>20000</v>
      </c>
      <c r="E11" s="6">
        <f t="shared" si="0"/>
        <v>90000</v>
      </c>
      <c r="F11" s="7">
        <f t="shared" si="1"/>
        <v>510000</v>
      </c>
    </row>
    <row r="12" spans="1:6" x14ac:dyDescent="0.35">
      <c r="A12" s="5">
        <v>45024</v>
      </c>
      <c r="B12" s="6">
        <v>2218</v>
      </c>
      <c r="C12" s="6" t="s">
        <v>39</v>
      </c>
      <c r="D12" s="6">
        <v>10000</v>
      </c>
      <c r="E12" s="6">
        <f t="shared" si="0"/>
        <v>100000</v>
      </c>
      <c r="F12" s="7">
        <f t="shared" si="1"/>
        <v>500000</v>
      </c>
    </row>
    <row r="13" spans="1:6" x14ac:dyDescent="0.35">
      <c r="A13" s="5">
        <v>45239</v>
      </c>
      <c r="B13" s="6">
        <v>3544</v>
      </c>
      <c r="C13" s="6" t="s">
        <v>39</v>
      </c>
      <c r="D13" s="6">
        <v>10000</v>
      </c>
      <c r="E13" s="6">
        <f t="shared" si="0"/>
        <v>110000</v>
      </c>
      <c r="F13" s="7">
        <f t="shared" si="1"/>
        <v>490000</v>
      </c>
    </row>
    <row r="14" spans="1:6" x14ac:dyDescent="0.35">
      <c r="A14" s="5">
        <v>45239</v>
      </c>
      <c r="B14" s="6">
        <v>3545</v>
      </c>
      <c r="C14" s="6" t="s">
        <v>39</v>
      </c>
      <c r="D14" s="6">
        <v>10000</v>
      </c>
      <c r="E14" s="6">
        <f t="shared" si="0"/>
        <v>120000</v>
      </c>
      <c r="F14" s="7">
        <f t="shared" si="1"/>
        <v>480000</v>
      </c>
    </row>
    <row r="15" spans="1:6" x14ac:dyDescent="0.35">
      <c r="A15" s="5">
        <v>45240</v>
      </c>
      <c r="B15" s="6">
        <v>4209</v>
      </c>
      <c r="C15" s="6" t="s">
        <v>39</v>
      </c>
      <c r="D15" s="6">
        <v>10000</v>
      </c>
      <c r="E15" s="6">
        <f t="shared" si="0"/>
        <v>130000</v>
      </c>
      <c r="F15" s="7">
        <f t="shared" si="1"/>
        <v>470000</v>
      </c>
    </row>
    <row r="16" spans="1:6" x14ac:dyDescent="0.35">
      <c r="A16" s="6"/>
      <c r="B16" s="6">
        <v>4818</v>
      </c>
      <c r="C16" s="6" t="s">
        <v>39</v>
      </c>
      <c r="D16" s="6">
        <v>10000</v>
      </c>
      <c r="E16" s="6">
        <f t="shared" si="0"/>
        <v>140000</v>
      </c>
      <c r="F16" s="7">
        <f t="shared" si="1"/>
        <v>460000</v>
      </c>
    </row>
    <row r="17" spans="1:6" x14ac:dyDescent="0.35">
      <c r="A17" s="5">
        <v>45242</v>
      </c>
      <c r="B17" s="6">
        <v>5484</v>
      </c>
      <c r="C17" s="6" t="s">
        <v>39</v>
      </c>
      <c r="D17" s="6">
        <v>10000</v>
      </c>
      <c r="E17" s="6">
        <f t="shared" si="0"/>
        <v>150000</v>
      </c>
      <c r="F17" s="7">
        <f t="shared" si="1"/>
        <v>450000</v>
      </c>
    </row>
    <row r="18" spans="1:6" x14ac:dyDescent="0.35">
      <c r="A18" s="5">
        <v>45566</v>
      </c>
      <c r="B18" s="6">
        <v>6087</v>
      </c>
      <c r="C18" s="6" t="s">
        <v>39</v>
      </c>
      <c r="D18" s="6">
        <v>10000</v>
      </c>
      <c r="E18" s="6">
        <f t="shared" si="0"/>
        <v>160000</v>
      </c>
      <c r="F18" s="7">
        <f t="shared" si="1"/>
        <v>440000</v>
      </c>
    </row>
    <row r="19" spans="1:6" x14ac:dyDescent="0.35">
      <c r="A19" s="5">
        <v>45567</v>
      </c>
      <c r="B19" s="6">
        <v>7035</v>
      </c>
      <c r="C19" s="6" t="s">
        <v>39</v>
      </c>
      <c r="D19" s="6">
        <v>10000</v>
      </c>
      <c r="E19" s="6">
        <f t="shared" si="0"/>
        <v>170000</v>
      </c>
      <c r="F19" s="7">
        <f t="shared" si="1"/>
        <v>430000</v>
      </c>
    </row>
    <row r="20" spans="1:6" x14ac:dyDescent="0.35">
      <c r="A20" s="5">
        <v>45629</v>
      </c>
      <c r="B20" s="6">
        <v>7329</v>
      </c>
      <c r="C20" s="6" t="s">
        <v>39</v>
      </c>
      <c r="D20" s="6">
        <v>10000</v>
      </c>
      <c r="E20" s="6">
        <f t="shared" si="0"/>
        <v>180000</v>
      </c>
      <c r="F20" s="7">
        <f t="shared" si="1"/>
        <v>420000</v>
      </c>
    </row>
    <row r="21" spans="1:6" x14ac:dyDescent="0.35">
      <c r="A21" s="6" t="s">
        <v>41</v>
      </c>
      <c r="B21" s="6">
        <v>7835</v>
      </c>
      <c r="C21" s="6" t="s">
        <v>39</v>
      </c>
      <c r="D21" s="6">
        <v>10000</v>
      </c>
      <c r="E21" s="6">
        <f t="shared" si="0"/>
        <v>190000</v>
      </c>
      <c r="F21" s="7">
        <f t="shared" si="1"/>
        <v>410000</v>
      </c>
    </row>
    <row r="22" spans="1:6" x14ac:dyDescent="0.35">
      <c r="A22" s="5">
        <v>45601</v>
      </c>
      <c r="B22" s="6">
        <v>8387</v>
      </c>
      <c r="C22" s="6" t="s">
        <v>39</v>
      </c>
      <c r="D22" s="6">
        <v>10000</v>
      </c>
      <c r="E22" s="6">
        <f t="shared" si="0"/>
        <v>200000</v>
      </c>
      <c r="F22" s="7">
        <f t="shared" si="1"/>
        <v>400000</v>
      </c>
    </row>
    <row r="23" spans="1:6" x14ac:dyDescent="0.35">
      <c r="A23" s="5">
        <v>45632</v>
      </c>
      <c r="B23" s="6">
        <v>9047</v>
      </c>
      <c r="C23" s="6" t="s">
        <v>39</v>
      </c>
      <c r="D23" s="6">
        <v>5000</v>
      </c>
      <c r="E23" s="6">
        <f t="shared" ref="E23" si="2">SUM(E22+D23)</f>
        <v>205000</v>
      </c>
      <c r="F23" s="7">
        <f t="shared" ref="F23:F39" si="3">F22-D23</f>
        <v>395000</v>
      </c>
    </row>
    <row r="24" spans="1:6" x14ac:dyDescent="0.35">
      <c r="A24" s="6" t="s">
        <v>52</v>
      </c>
      <c r="B24" s="6">
        <v>9608</v>
      </c>
      <c r="C24" s="6" t="s">
        <v>39</v>
      </c>
      <c r="D24" s="6">
        <v>10000</v>
      </c>
      <c r="E24" s="6">
        <f t="shared" ref="E24:E39" si="4">SUM(E23+D24)</f>
        <v>215000</v>
      </c>
      <c r="F24" s="7">
        <f t="shared" si="3"/>
        <v>385000</v>
      </c>
    </row>
    <row r="25" spans="1:6" x14ac:dyDescent="0.35">
      <c r="A25" s="5">
        <v>45513</v>
      </c>
      <c r="B25" s="6">
        <v>10614</v>
      </c>
      <c r="C25" s="6" t="s">
        <v>39</v>
      </c>
      <c r="D25" s="6">
        <v>15000</v>
      </c>
      <c r="E25" s="6">
        <f t="shared" si="4"/>
        <v>230000</v>
      </c>
      <c r="F25" s="7">
        <f t="shared" si="3"/>
        <v>370000</v>
      </c>
    </row>
    <row r="26" spans="1:6" x14ac:dyDescent="0.35">
      <c r="A26" s="5">
        <v>45575</v>
      </c>
      <c r="B26" s="6">
        <v>11355</v>
      </c>
      <c r="C26" s="6" t="s">
        <v>39</v>
      </c>
      <c r="D26" s="6">
        <v>15000</v>
      </c>
      <c r="E26" s="6">
        <f t="shared" si="4"/>
        <v>245000</v>
      </c>
      <c r="F26" s="7">
        <f t="shared" si="3"/>
        <v>355000</v>
      </c>
    </row>
    <row r="27" spans="1:6" x14ac:dyDescent="0.35">
      <c r="A27" s="5">
        <v>45637</v>
      </c>
      <c r="B27" s="6">
        <v>10945</v>
      </c>
      <c r="C27" s="6" t="s">
        <v>39</v>
      </c>
      <c r="D27" s="6">
        <v>10000</v>
      </c>
      <c r="E27" s="6">
        <f t="shared" si="4"/>
        <v>255000</v>
      </c>
      <c r="F27" s="7">
        <f t="shared" si="3"/>
        <v>345000</v>
      </c>
    </row>
    <row r="28" spans="1:6" x14ac:dyDescent="0.35">
      <c r="A28" s="6" t="s">
        <v>53</v>
      </c>
      <c r="B28" s="6">
        <v>12390</v>
      </c>
      <c r="C28" s="6" t="s">
        <v>39</v>
      </c>
      <c r="D28" s="6">
        <v>10000</v>
      </c>
      <c r="E28" s="6">
        <f t="shared" si="4"/>
        <v>265000</v>
      </c>
      <c r="F28" s="7">
        <f t="shared" si="3"/>
        <v>335000</v>
      </c>
    </row>
    <row r="29" spans="1:6" x14ac:dyDescent="0.35">
      <c r="A29" s="6" t="s">
        <v>44</v>
      </c>
      <c r="B29" s="6">
        <v>12083</v>
      </c>
      <c r="C29" s="6" t="s">
        <v>39</v>
      </c>
      <c r="D29" s="6">
        <v>10000</v>
      </c>
      <c r="E29" s="6">
        <f t="shared" si="4"/>
        <v>275000</v>
      </c>
      <c r="F29" s="7">
        <f t="shared" si="3"/>
        <v>325000</v>
      </c>
    </row>
    <row r="30" spans="1:6" x14ac:dyDescent="0.35">
      <c r="A30" s="6" t="s">
        <v>45</v>
      </c>
      <c r="B30" s="6">
        <v>9417</v>
      </c>
      <c r="C30" s="6" t="s">
        <v>39</v>
      </c>
      <c r="D30" s="6">
        <v>10000</v>
      </c>
      <c r="E30" s="6">
        <f t="shared" si="4"/>
        <v>285000</v>
      </c>
      <c r="F30" s="7">
        <f t="shared" si="3"/>
        <v>315000</v>
      </c>
    </row>
    <row r="31" spans="1:6" x14ac:dyDescent="0.35">
      <c r="A31" s="6" t="s">
        <v>46</v>
      </c>
      <c r="B31" s="6">
        <v>10898</v>
      </c>
      <c r="C31" s="6" t="s">
        <v>39</v>
      </c>
      <c r="D31" s="6">
        <v>10000</v>
      </c>
      <c r="E31" s="6">
        <f t="shared" si="4"/>
        <v>295000</v>
      </c>
      <c r="F31" s="7">
        <f t="shared" si="3"/>
        <v>305000</v>
      </c>
    </row>
    <row r="32" spans="1:6" x14ac:dyDescent="0.35">
      <c r="A32" s="5">
        <v>45907</v>
      </c>
      <c r="B32" s="6">
        <v>12841</v>
      </c>
      <c r="C32" s="6" t="s">
        <v>39</v>
      </c>
      <c r="D32" s="6">
        <v>10000</v>
      </c>
      <c r="E32" s="6">
        <f t="shared" si="4"/>
        <v>305000</v>
      </c>
      <c r="F32" s="7">
        <f t="shared" si="3"/>
        <v>295000</v>
      </c>
    </row>
    <row r="33" spans="1:6" x14ac:dyDescent="0.35">
      <c r="A33" s="5">
        <v>45847</v>
      </c>
      <c r="B33" s="6">
        <v>12678</v>
      </c>
      <c r="C33" s="6" t="s">
        <v>39</v>
      </c>
      <c r="D33" s="6">
        <v>10000</v>
      </c>
      <c r="E33" s="6">
        <f t="shared" si="4"/>
        <v>315000</v>
      </c>
      <c r="F33" s="7">
        <f t="shared" si="3"/>
        <v>285000</v>
      </c>
    </row>
    <row r="34" spans="1:6" x14ac:dyDescent="0.35">
      <c r="A34" s="5">
        <v>45971</v>
      </c>
      <c r="B34" s="6">
        <v>13750</v>
      </c>
      <c r="C34" s="6" t="s">
        <v>39</v>
      </c>
      <c r="D34" s="6">
        <v>10000</v>
      </c>
      <c r="E34" s="6">
        <f t="shared" si="4"/>
        <v>325000</v>
      </c>
      <c r="F34" s="7">
        <f t="shared" si="3"/>
        <v>275000</v>
      </c>
    </row>
    <row r="35" spans="1:6" x14ac:dyDescent="0.35">
      <c r="A35" s="6" t="s">
        <v>47</v>
      </c>
      <c r="B35" s="6">
        <v>13374</v>
      </c>
      <c r="C35" s="6" t="s">
        <v>39</v>
      </c>
      <c r="D35" s="6">
        <v>10000</v>
      </c>
      <c r="E35" s="6">
        <f t="shared" si="4"/>
        <v>335000</v>
      </c>
      <c r="F35" s="7">
        <f t="shared" si="3"/>
        <v>265000</v>
      </c>
    </row>
    <row r="36" spans="1:6" x14ac:dyDescent="0.35">
      <c r="A36" s="5">
        <v>46024</v>
      </c>
      <c r="B36" s="6">
        <v>12299</v>
      </c>
      <c r="C36" s="6" t="s">
        <v>39</v>
      </c>
      <c r="D36" s="6">
        <v>10000</v>
      </c>
      <c r="E36" s="6">
        <f t="shared" si="4"/>
        <v>345000</v>
      </c>
      <c r="F36" s="7">
        <f t="shared" si="3"/>
        <v>255000</v>
      </c>
    </row>
    <row r="37" spans="1:6" x14ac:dyDescent="0.35">
      <c r="A37" s="26">
        <v>46298</v>
      </c>
      <c r="B37" s="9">
        <v>12806</v>
      </c>
      <c r="C37" s="9" t="s">
        <v>39</v>
      </c>
      <c r="D37" s="6">
        <v>10000</v>
      </c>
      <c r="E37" s="6">
        <f t="shared" si="4"/>
        <v>355000</v>
      </c>
      <c r="F37" s="7">
        <f t="shared" si="3"/>
        <v>245000</v>
      </c>
    </row>
    <row r="38" spans="1:6" x14ac:dyDescent="0.35">
      <c r="A38" s="9" t="s">
        <v>514</v>
      </c>
      <c r="B38" s="9">
        <v>13272</v>
      </c>
      <c r="C38" s="9" t="s">
        <v>39</v>
      </c>
      <c r="D38" s="6">
        <v>10000</v>
      </c>
      <c r="E38" s="6">
        <f t="shared" si="4"/>
        <v>365000</v>
      </c>
      <c r="F38" s="7">
        <f t="shared" si="3"/>
        <v>235000</v>
      </c>
    </row>
    <row r="39" spans="1:6" x14ac:dyDescent="0.35">
      <c r="A39" s="26">
        <v>46331</v>
      </c>
      <c r="B39" s="9">
        <v>13329</v>
      </c>
      <c r="C39" s="9" t="s">
        <v>39</v>
      </c>
      <c r="D39" s="6">
        <v>10000</v>
      </c>
      <c r="E39" s="6">
        <f t="shared" si="4"/>
        <v>375000</v>
      </c>
      <c r="F39" s="7">
        <f t="shared" si="3"/>
        <v>225000</v>
      </c>
    </row>
    <row r="40" spans="1:6" x14ac:dyDescent="0.35">
      <c r="A40" s="9" t="s">
        <v>737</v>
      </c>
      <c r="B40" s="9">
        <v>13583</v>
      </c>
      <c r="C40" s="9" t="s">
        <v>39</v>
      </c>
      <c r="D40" s="7">
        <v>50000</v>
      </c>
      <c r="E40" s="7">
        <f>E39+D40</f>
        <v>425000</v>
      </c>
      <c r="F40" s="7">
        <f>F39-D40</f>
        <v>175000</v>
      </c>
    </row>
    <row r="41" spans="1:6" x14ac:dyDescent="0.35">
      <c r="A41" t="s">
        <v>830</v>
      </c>
      <c r="B41" s="35">
        <v>1497</v>
      </c>
      <c r="C41" s="9" t="s">
        <v>39</v>
      </c>
      <c r="D41" s="36">
        <v>15000</v>
      </c>
      <c r="E41" s="36">
        <f>E40+D41</f>
        <v>440000</v>
      </c>
      <c r="F41" s="36">
        <f>F40-D41</f>
        <v>160000</v>
      </c>
    </row>
    <row r="42" spans="1:6" x14ac:dyDescent="0.35">
      <c r="A42" s="30">
        <v>46303</v>
      </c>
      <c r="B42" s="35">
        <v>1713</v>
      </c>
      <c r="C42" s="9" t="s">
        <v>39</v>
      </c>
      <c r="D42" s="36">
        <v>45000</v>
      </c>
      <c r="E42" s="36">
        <f>E41+D42</f>
        <v>485000</v>
      </c>
      <c r="F42" s="36">
        <f>F41-D42</f>
        <v>115000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23C11-48A2-4E66-A308-6FB54C0AA5F2}">
  <dimension ref="A1:F36"/>
  <sheetViews>
    <sheetView topLeftCell="A13" workbookViewId="0">
      <selection activeCell="B5" sqref="B5"/>
    </sheetView>
  </sheetViews>
  <sheetFormatPr defaultRowHeight="14.5" x14ac:dyDescent="0.35"/>
  <cols>
    <col min="1" max="1" width="10.81640625" customWidth="1"/>
    <col min="3" max="3" width="11.6328125" customWidth="1"/>
    <col min="6" max="6" width="11.26953125" customWidth="1"/>
  </cols>
  <sheetData>
    <row r="1" spans="1:6" ht="18.5" x14ac:dyDescent="0.45">
      <c r="A1" s="1" t="s">
        <v>373</v>
      </c>
      <c r="B1" s="1"/>
      <c r="C1" s="17"/>
      <c r="D1" s="1"/>
      <c r="E1" s="1"/>
      <c r="F1" s="1"/>
    </row>
    <row r="2" spans="1:6" ht="18.5" x14ac:dyDescent="0.45">
      <c r="A2" s="1" t="s">
        <v>374</v>
      </c>
      <c r="C2" s="1"/>
      <c r="D2" s="1"/>
      <c r="E2" s="1"/>
      <c r="F2" s="1"/>
    </row>
    <row r="3" spans="1:6" ht="18.5" x14ac:dyDescent="0.45">
      <c r="A3" s="1" t="s">
        <v>375</v>
      </c>
      <c r="B3" s="1"/>
      <c r="C3" s="1"/>
      <c r="D3" s="1"/>
      <c r="E3" s="1"/>
      <c r="F3" s="1"/>
    </row>
    <row r="4" spans="1:6" ht="18.5" x14ac:dyDescent="0.45">
      <c r="A4" s="1" t="s">
        <v>377</v>
      </c>
      <c r="B4" s="33" t="s">
        <v>781</v>
      </c>
      <c r="C4" s="1"/>
      <c r="D4" s="1"/>
      <c r="E4" s="1"/>
      <c r="F4" s="1"/>
    </row>
    <row r="5" spans="1:6" ht="18.5" x14ac:dyDescent="0.45">
      <c r="A5" s="1" t="s">
        <v>268</v>
      </c>
      <c r="B5" s="1"/>
      <c r="C5" s="1"/>
      <c r="D5" s="1"/>
      <c r="E5" s="1"/>
      <c r="F5" s="1"/>
    </row>
    <row r="6" spans="1:6" ht="18.5" x14ac:dyDescent="0.45">
      <c r="A6" s="1" t="s">
        <v>376</v>
      </c>
      <c r="B6" s="1"/>
      <c r="C6" s="1"/>
      <c r="D6" s="1" t="s">
        <v>131</v>
      </c>
      <c r="E6" s="1"/>
      <c r="F6" s="1"/>
    </row>
    <row r="7" spans="1:6" x14ac:dyDescent="0.35">
      <c r="A7" s="28" t="s">
        <v>3</v>
      </c>
      <c r="B7" s="29" t="s">
        <v>8</v>
      </c>
      <c r="C7" s="29" t="s">
        <v>4</v>
      </c>
      <c r="D7" s="29" t="s">
        <v>9</v>
      </c>
      <c r="E7" s="29" t="s">
        <v>10</v>
      </c>
      <c r="F7" s="29" t="s">
        <v>5</v>
      </c>
    </row>
    <row r="8" spans="1:6" x14ac:dyDescent="0.35">
      <c r="A8" s="56" t="s">
        <v>378</v>
      </c>
      <c r="B8" s="56">
        <v>2153</v>
      </c>
      <c r="C8" s="56" t="s">
        <v>39</v>
      </c>
      <c r="D8" s="57">
        <v>10000</v>
      </c>
      <c r="E8" s="57">
        <v>10000</v>
      </c>
      <c r="F8" s="57">
        <v>270000</v>
      </c>
    </row>
    <row r="9" spans="1:6" x14ac:dyDescent="0.35">
      <c r="A9" s="56" t="s">
        <v>379</v>
      </c>
      <c r="B9" s="56">
        <v>2153</v>
      </c>
      <c r="C9" s="56" t="s">
        <v>39</v>
      </c>
      <c r="D9" s="57">
        <v>10000</v>
      </c>
      <c r="E9" s="57">
        <f>SUM(E8+D9)</f>
        <v>20000</v>
      </c>
      <c r="F9" s="57">
        <f>F8-D9</f>
        <v>260000</v>
      </c>
    </row>
    <row r="10" spans="1:6" x14ac:dyDescent="0.35">
      <c r="A10" s="56" t="s">
        <v>380</v>
      </c>
      <c r="B10" s="56">
        <v>2153</v>
      </c>
      <c r="C10" s="56" t="s">
        <v>11</v>
      </c>
      <c r="D10" s="57">
        <v>20000</v>
      </c>
      <c r="E10" s="57">
        <f t="shared" ref="E10:E33" si="0">SUM(E9+D10)</f>
        <v>40000</v>
      </c>
      <c r="F10" s="57">
        <f t="shared" ref="F10:F32" si="1">F9-D10</f>
        <v>240000</v>
      </c>
    </row>
    <row r="11" spans="1:6" x14ac:dyDescent="0.35">
      <c r="A11" s="58">
        <v>45019</v>
      </c>
      <c r="B11" s="56">
        <v>2879</v>
      </c>
      <c r="C11" s="56" t="s">
        <v>88</v>
      </c>
      <c r="D11" s="57">
        <v>10000</v>
      </c>
      <c r="E11" s="57">
        <f t="shared" si="0"/>
        <v>50000</v>
      </c>
      <c r="F11" s="57">
        <f t="shared" si="1"/>
        <v>230000</v>
      </c>
    </row>
    <row r="12" spans="1:6" x14ac:dyDescent="0.35">
      <c r="A12" s="58">
        <v>44930</v>
      </c>
      <c r="B12" s="56">
        <v>1741</v>
      </c>
      <c r="C12" s="56" t="s">
        <v>88</v>
      </c>
      <c r="D12" s="57">
        <v>10000</v>
      </c>
      <c r="E12" s="57">
        <f t="shared" si="0"/>
        <v>60000</v>
      </c>
      <c r="F12" s="57">
        <f t="shared" si="1"/>
        <v>220000</v>
      </c>
    </row>
    <row r="13" spans="1:6" x14ac:dyDescent="0.35">
      <c r="A13" s="58">
        <v>44990</v>
      </c>
      <c r="B13" s="56">
        <v>1429</v>
      </c>
      <c r="C13" s="56" t="s">
        <v>88</v>
      </c>
      <c r="D13" s="57">
        <v>10000</v>
      </c>
      <c r="E13" s="57">
        <f t="shared" si="0"/>
        <v>70000</v>
      </c>
      <c r="F13" s="57">
        <f t="shared" si="1"/>
        <v>210000</v>
      </c>
    </row>
    <row r="14" spans="1:6" x14ac:dyDescent="0.35">
      <c r="A14" s="58">
        <v>45022</v>
      </c>
      <c r="B14" s="56">
        <v>289</v>
      </c>
      <c r="C14" s="56" t="s">
        <v>88</v>
      </c>
      <c r="D14" s="57">
        <v>10000</v>
      </c>
      <c r="E14" s="57">
        <f t="shared" si="0"/>
        <v>80000</v>
      </c>
      <c r="F14" s="57">
        <f t="shared" si="1"/>
        <v>200000</v>
      </c>
    </row>
    <row r="15" spans="1:6" x14ac:dyDescent="0.35">
      <c r="A15" s="56" t="s">
        <v>106</v>
      </c>
      <c r="B15" s="56">
        <v>2868</v>
      </c>
      <c r="C15" s="56" t="s">
        <v>88</v>
      </c>
      <c r="D15" s="57">
        <v>10000</v>
      </c>
      <c r="E15" s="57">
        <f t="shared" si="0"/>
        <v>90000</v>
      </c>
      <c r="F15" s="57">
        <f t="shared" si="1"/>
        <v>190000</v>
      </c>
    </row>
    <row r="16" spans="1:6" x14ac:dyDescent="0.35">
      <c r="A16" s="56" t="s">
        <v>107</v>
      </c>
      <c r="B16" s="56">
        <v>3224</v>
      </c>
      <c r="C16" s="56" t="s">
        <v>88</v>
      </c>
      <c r="D16" s="57">
        <v>10000</v>
      </c>
      <c r="E16" s="57">
        <f t="shared" si="0"/>
        <v>100000</v>
      </c>
      <c r="F16" s="57">
        <f t="shared" si="1"/>
        <v>180000</v>
      </c>
    </row>
    <row r="17" spans="1:6" x14ac:dyDescent="0.35">
      <c r="A17" s="56" t="s">
        <v>272</v>
      </c>
      <c r="B17" s="56">
        <v>3859</v>
      </c>
      <c r="C17" s="56" t="s">
        <v>88</v>
      </c>
      <c r="D17" s="57">
        <v>10000</v>
      </c>
      <c r="E17" s="57">
        <f t="shared" si="0"/>
        <v>110000</v>
      </c>
      <c r="F17" s="57">
        <f t="shared" si="1"/>
        <v>170000</v>
      </c>
    </row>
    <row r="18" spans="1:6" x14ac:dyDescent="0.35">
      <c r="A18" s="56" t="s">
        <v>259</v>
      </c>
      <c r="B18" s="56">
        <v>4421</v>
      </c>
      <c r="C18" s="56" t="s">
        <v>88</v>
      </c>
      <c r="D18" s="57">
        <v>10000</v>
      </c>
      <c r="E18" s="57">
        <f t="shared" si="0"/>
        <v>120000</v>
      </c>
      <c r="F18" s="57">
        <f t="shared" si="1"/>
        <v>160000</v>
      </c>
    </row>
    <row r="19" spans="1:6" x14ac:dyDescent="0.35">
      <c r="A19" s="56" t="s">
        <v>273</v>
      </c>
      <c r="B19" s="56">
        <v>4995</v>
      </c>
      <c r="C19" s="56" t="s">
        <v>88</v>
      </c>
      <c r="D19" s="57">
        <v>10000</v>
      </c>
      <c r="E19" s="57">
        <f t="shared" si="0"/>
        <v>130000</v>
      </c>
      <c r="F19" s="57">
        <f t="shared" si="1"/>
        <v>150000</v>
      </c>
    </row>
    <row r="20" spans="1:6" x14ac:dyDescent="0.35">
      <c r="A20" s="56" t="s">
        <v>274</v>
      </c>
      <c r="B20" s="56">
        <v>5612</v>
      </c>
      <c r="C20" s="56" t="s">
        <v>88</v>
      </c>
      <c r="D20" s="57">
        <v>10000</v>
      </c>
      <c r="E20" s="57">
        <f t="shared" si="0"/>
        <v>140000</v>
      </c>
      <c r="F20" s="57">
        <f t="shared" si="1"/>
        <v>140000</v>
      </c>
    </row>
    <row r="21" spans="1:6" x14ac:dyDescent="0.35">
      <c r="A21" s="56" t="s">
        <v>276</v>
      </c>
      <c r="B21" s="56">
        <v>6179</v>
      </c>
      <c r="C21" s="56" t="s">
        <v>88</v>
      </c>
      <c r="D21" s="57">
        <v>10000</v>
      </c>
      <c r="E21" s="57">
        <f t="shared" si="0"/>
        <v>150000</v>
      </c>
      <c r="F21" s="57">
        <f t="shared" si="1"/>
        <v>130000</v>
      </c>
    </row>
    <row r="22" spans="1:6" x14ac:dyDescent="0.35">
      <c r="A22" s="56" t="s">
        <v>68</v>
      </c>
      <c r="B22" s="56">
        <v>6625</v>
      </c>
      <c r="C22" s="56" t="s">
        <v>88</v>
      </c>
      <c r="D22" s="57">
        <v>10000</v>
      </c>
      <c r="E22" s="57">
        <f t="shared" si="0"/>
        <v>160000</v>
      </c>
      <c r="F22" s="57">
        <f t="shared" si="1"/>
        <v>120000</v>
      </c>
    </row>
    <row r="23" spans="1:6" x14ac:dyDescent="0.35">
      <c r="A23" s="56" t="s">
        <v>75</v>
      </c>
      <c r="B23" s="56">
        <v>7415</v>
      </c>
      <c r="C23" s="56" t="s">
        <v>88</v>
      </c>
      <c r="D23" s="57">
        <v>10000</v>
      </c>
      <c r="E23" s="57">
        <f t="shared" si="0"/>
        <v>170000</v>
      </c>
      <c r="F23" s="57">
        <f t="shared" si="1"/>
        <v>110000</v>
      </c>
    </row>
    <row r="24" spans="1:6" x14ac:dyDescent="0.35">
      <c r="A24" s="56" t="s">
        <v>69</v>
      </c>
      <c r="B24" s="56">
        <v>7929</v>
      </c>
      <c r="C24" s="56" t="s">
        <v>88</v>
      </c>
      <c r="D24" s="57">
        <v>10000</v>
      </c>
      <c r="E24" s="57">
        <f t="shared" si="0"/>
        <v>180000</v>
      </c>
      <c r="F24" s="57">
        <f t="shared" si="1"/>
        <v>100000</v>
      </c>
    </row>
    <row r="25" spans="1:6" x14ac:dyDescent="0.35">
      <c r="A25" s="58">
        <v>45631</v>
      </c>
      <c r="B25" s="56">
        <v>8453</v>
      </c>
      <c r="C25" s="56" t="s">
        <v>88</v>
      </c>
      <c r="D25" s="57">
        <v>10000</v>
      </c>
      <c r="E25" s="57">
        <f t="shared" si="0"/>
        <v>190000</v>
      </c>
      <c r="F25" s="57">
        <f t="shared" si="1"/>
        <v>90000</v>
      </c>
    </row>
    <row r="26" spans="1:6" x14ac:dyDescent="0.35">
      <c r="A26" s="58">
        <v>45632</v>
      </c>
      <c r="B26" s="56">
        <v>9038</v>
      </c>
      <c r="C26" s="56" t="s">
        <v>88</v>
      </c>
      <c r="D26" s="57">
        <v>10000</v>
      </c>
      <c r="E26" s="57">
        <f t="shared" si="0"/>
        <v>200000</v>
      </c>
      <c r="F26" s="57">
        <f t="shared" si="1"/>
        <v>80000</v>
      </c>
    </row>
    <row r="27" spans="1:6" x14ac:dyDescent="0.35">
      <c r="A27" s="56" t="s">
        <v>278</v>
      </c>
      <c r="B27" s="56">
        <v>9642</v>
      </c>
      <c r="C27" s="56" t="s">
        <v>88</v>
      </c>
      <c r="D27" s="57">
        <v>10000</v>
      </c>
      <c r="E27" s="57">
        <f t="shared" si="0"/>
        <v>210000</v>
      </c>
      <c r="F27" s="57">
        <f t="shared" si="1"/>
        <v>70000</v>
      </c>
    </row>
    <row r="28" spans="1:6" x14ac:dyDescent="0.35">
      <c r="A28" s="58">
        <v>45573</v>
      </c>
      <c r="B28" s="56">
        <v>11031</v>
      </c>
      <c r="C28" s="56" t="s">
        <v>88</v>
      </c>
      <c r="D28" s="57">
        <v>10000</v>
      </c>
      <c r="E28" s="57">
        <f t="shared" si="0"/>
        <v>220000</v>
      </c>
      <c r="F28" s="57">
        <f t="shared" si="1"/>
        <v>60000</v>
      </c>
    </row>
    <row r="29" spans="1:6" x14ac:dyDescent="0.35">
      <c r="A29" s="56" t="s">
        <v>279</v>
      </c>
      <c r="B29" s="56">
        <v>10775</v>
      </c>
      <c r="C29" s="56" t="s">
        <v>88</v>
      </c>
      <c r="D29" s="57">
        <v>10000</v>
      </c>
      <c r="E29" s="57">
        <f t="shared" si="0"/>
        <v>230000</v>
      </c>
      <c r="F29" s="57">
        <f t="shared" si="1"/>
        <v>50000</v>
      </c>
    </row>
    <row r="30" spans="1:6" x14ac:dyDescent="0.35">
      <c r="A30" s="56" t="s">
        <v>280</v>
      </c>
      <c r="B30" s="56">
        <v>11666</v>
      </c>
      <c r="C30" s="56" t="s">
        <v>88</v>
      </c>
      <c r="D30" s="57">
        <v>10000</v>
      </c>
      <c r="E30" s="57">
        <f t="shared" si="0"/>
        <v>240000</v>
      </c>
      <c r="F30" s="57">
        <f t="shared" si="1"/>
        <v>40000</v>
      </c>
    </row>
    <row r="31" spans="1:6" x14ac:dyDescent="0.35">
      <c r="A31" s="56" t="s">
        <v>236</v>
      </c>
      <c r="B31" s="56">
        <v>12171</v>
      </c>
      <c r="C31" s="56" t="s">
        <v>88</v>
      </c>
      <c r="D31" s="57">
        <v>10000</v>
      </c>
      <c r="E31" s="57">
        <f t="shared" si="0"/>
        <v>250000</v>
      </c>
      <c r="F31" s="57">
        <f t="shared" si="1"/>
        <v>30000</v>
      </c>
    </row>
    <row r="32" spans="1:6" x14ac:dyDescent="0.35">
      <c r="A32" s="56" t="s">
        <v>281</v>
      </c>
      <c r="B32" s="56">
        <v>12625</v>
      </c>
      <c r="C32" s="56" t="s">
        <v>88</v>
      </c>
      <c r="D32" s="57">
        <v>10000</v>
      </c>
      <c r="E32" s="57">
        <f t="shared" si="0"/>
        <v>260000</v>
      </c>
      <c r="F32" s="57">
        <f t="shared" si="1"/>
        <v>20000</v>
      </c>
    </row>
    <row r="33" spans="1:6" x14ac:dyDescent="0.35">
      <c r="A33" s="58">
        <v>45992</v>
      </c>
      <c r="B33" s="56">
        <v>12040</v>
      </c>
      <c r="C33" s="56" t="s">
        <v>88</v>
      </c>
      <c r="D33" s="57">
        <v>10000</v>
      </c>
      <c r="E33" s="57">
        <f t="shared" si="0"/>
        <v>270000</v>
      </c>
      <c r="F33" s="57" t="s">
        <v>381</v>
      </c>
    </row>
    <row r="35" spans="1:6" x14ac:dyDescent="0.35">
      <c r="A35" s="30">
        <v>45969</v>
      </c>
      <c r="B35">
        <v>3944</v>
      </c>
      <c r="C35" t="s">
        <v>382</v>
      </c>
    </row>
    <row r="36" spans="1:6" ht="18.5" x14ac:dyDescent="0.45">
      <c r="A36" s="33" t="s">
        <v>383</v>
      </c>
      <c r="B36" s="33"/>
      <c r="C36" s="33"/>
      <c r="D36" s="33"/>
      <c r="E36" s="33"/>
      <c r="F36" s="3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D35A3-A909-40DE-B088-7F0DC1BE6B1A}">
  <dimension ref="A1:F34"/>
  <sheetViews>
    <sheetView topLeftCell="A21" workbookViewId="0">
      <selection sqref="A1:F7"/>
    </sheetView>
  </sheetViews>
  <sheetFormatPr defaultRowHeight="14.5" x14ac:dyDescent="0.35"/>
  <cols>
    <col min="1" max="1" width="10.453125" bestFit="1" customWidth="1"/>
    <col min="3" max="3" width="14.6328125" customWidth="1"/>
    <col min="6" max="6" width="10.08984375" customWidth="1"/>
  </cols>
  <sheetData>
    <row r="1" spans="1:6" ht="18.5" x14ac:dyDescent="0.45">
      <c r="A1" s="1" t="s">
        <v>391</v>
      </c>
      <c r="B1" s="1"/>
      <c r="C1" s="17"/>
      <c r="D1" s="1"/>
      <c r="E1" s="1"/>
      <c r="F1" s="1"/>
    </row>
    <row r="2" spans="1:6" ht="18.5" x14ac:dyDescent="0.45">
      <c r="A2" s="1" t="s">
        <v>267</v>
      </c>
      <c r="C2" s="1"/>
      <c r="D2" s="1"/>
      <c r="E2" s="1"/>
      <c r="F2" s="1"/>
    </row>
    <row r="3" spans="1:6" ht="18.5" x14ac:dyDescent="0.45">
      <c r="A3" s="1" t="s">
        <v>392</v>
      </c>
      <c r="B3" s="1"/>
      <c r="C3" s="1"/>
      <c r="D3" s="1"/>
      <c r="E3" s="1"/>
      <c r="F3" s="1"/>
    </row>
    <row r="4" spans="1:6" ht="18.5" x14ac:dyDescent="0.45">
      <c r="A4" s="1" t="s">
        <v>532</v>
      </c>
      <c r="B4" s="33"/>
      <c r="C4" s="1"/>
      <c r="D4" s="1"/>
      <c r="E4" s="1"/>
      <c r="F4" s="1"/>
    </row>
    <row r="5" spans="1:6" ht="18.5" x14ac:dyDescent="0.45">
      <c r="A5" s="1" t="s">
        <v>268</v>
      </c>
      <c r="B5" s="1"/>
      <c r="C5" s="1"/>
      <c r="D5" s="1"/>
      <c r="E5" s="1"/>
      <c r="F5" s="1"/>
    </row>
    <row r="6" spans="1:6" ht="18.5" x14ac:dyDescent="0.45">
      <c r="A6" s="1" t="s">
        <v>393</v>
      </c>
      <c r="B6" s="1"/>
      <c r="C6" s="1"/>
      <c r="D6" s="1" t="s">
        <v>131</v>
      </c>
      <c r="E6" s="1"/>
      <c r="F6" s="1"/>
    </row>
    <row r="7" spans="1:6" x14ac:dyDescent="0.35">
      <c r="A7" s="28" t="s">
        <v>3</v>
      </c>
      <c r="B7" s="29" t="s">
        <v>8</v>
      </c>
      <c r="C7" s="29" t="s">
        <v>4</v>
      </c>
      <c r="D7" s="29" t="s">
        <v>9</v>
      </c>
      <c r="E7" s="29" t="s">
        <v>10</v>
      </c>
      <c r="F7" s="29" t="s">
        <v>5</v>
      </c>
    </row>
    <row r="8" spans="1:6" x14ac:dyDescent="0.35">
      <c r="A8" t="s">
        <v>378</v>
      </c>
      <c r="B8">
        <v>2152</v>
      </c>
      <c r="C8" t="s">
        <v>395</v>
      </c>
      <c r="D8" s="36">
        <v>10000</v>
      </c>
      <c r="E8" s="36">
        <v>10000</v>
      </c>
      <c r="F8" s="36">
        <v>270000</v>
      </c>
    </row>
    <row r="9" spans="1:6" x14ac:dyDescent="0.35">
      <c r="A9" t="s">
        <v>379</v>
      </c>
      <c r="B9">
        <v>2152</v>
      </c>
      <c r="C9" t="s">
        <v>395</v>
      </c>
      <c r="D9" s="36">
        <v>10000</v>
      </c>
      <c r="E9" s="36">
        <f>SUM(E8+D9)</f>
        <v>20000</v>
      </c>
      <c r="F9" s="36">
        <f>F8-D9</f>
        <v>260000</v>
      </c>
    </row>
    <row r="10" spans="1:6" x14ac:dyDescent="0.35">
      <c r="A10" t="s">
        <v>394</v>
      </c>
      <c r="B10">
        <v>2152</v>
      </c>
      <c r="C10" t="s">
        <v>11</v>
      </c>
      <c r="D10" s="36">
        <v>20000</v>
      </c>
      <c r="E10" s="36">
        <f t="shared" ref="E10:E33" si="0">SUM(E9+D10)</f>
        <v>40000</v>
      </c>
      <c r="F10" s="36">
        <f t="shared" ref="F10:F32" si="1">F9-D10</f>
        <v>240000</v>
      </c>
    </row>
    <row r="11" spans="1:6" x14ac:dyDescent="0.35">
      <c r="A11" s="30">
        <v>45019</v>
      </c>
      <c r="B11">
        <v>1434</v>
      </c>
      <c r="C11" t="s">
        <v>395</v>
      </c>
      <c r="D11" s="36">
        <v>10000</v>
      </c>
      <c r="E11" s="36">
        <f t="shared" si="0"/>
        <v>50000</v>
      </c>
      <c r="F11" s="36">
        <f t="shared" si="1"/>
        <v>230000</v>
      </c>
    </row>
    <row r="12" spans="1:6" x14ac:dyDescent="0.35">
      <c r="A12" s="30">
        <v>44930</v>
      </c>
      <c r="B12">
        <v>1748</v>
      </c>
      <c r="C12" t="s">
        <v>395</v>
      </c>
      <c r="D12" s="36">
        <v>10000</v>
      </c>
      <c r="E12" s="36">
        <f t="shared" si="0"/>
        <v>60000</v>
      </c>
      <c r="F12" s="36">
        <f t="shared" si="1"/>
        <v>220000</v>
      </c>
    </row>
    <row r="13" spans="1:6" x14ac:dyDescent="0.35">
      <c r="A13" s="30">
        <v>44990</v>
      </c>
      <c r="B13">
        <v>1434</v>
      </c>
      <c r="C13" t="s">
        <v>395</v>
      </c>
      <c r="D13" s="36">
        <v>10000</v>
      </c>
      <c r="E13" s="36">
        <f t="shared" si="0"/>
        <v>70000</v>
      </c>
      <c r="F13" s="36">
        <f t="shared" si="1"/>
        <v>210000</v>
      </c>
    </row>
    <row r="14" spans="1:6" x14ac:dyDescent="0.35">
      <c r="A14" s="30">
        <v>45236</v>
      </c>
      <c r="B14">
        <v>287</v>
      </c>
      <c r="C14" t="s">
        <v>395</v>
      </c>
      <c r="D14" s="36">
        <v>10000</v>
      </c>
      <c r="E14" s="36">
        <f t="shared" si="0"/>
        <v>80000</v>
      </c>
      <c r="F14" s="36">
        <f t="shared" si="1"/>
        <v>200000</v>
      </c>
    </row>
    <row r="15" spans="1:6" x14ac:dyDescent="0.35">
      <c r="A15" t="s">
        <v>106</v>
      </c>
      <c r="B15">
        <v>2869</v>
      </c>
      <c r="C15" t="s">
        <v>395</v>
      </c>
      <c r="D15" s="36">
        <v>10000</v>
      </c>
      <c r="E15" s="36">
        <f t="shared" si="0"/>
        <v>90000</v>
      </c>
      <c r="F15" s="36">
        <f t="shared" si="1"/>
        <v>190000</v>
      </c>
    </row>
    <row r="16" spans="1:6" x14ac:dyDescent="0.35">
      <c r="A16" t="s">
        <v>107</v>
      </c>
      <c r="B16">
        <v>3226</v>
      </c>
      <c r="C16" t="s">
        <v>395</v>
      </c>
      <c r="D16" s="36">
        <v>10000</v>
      </c>
      <c r="E16" s="36">
        <f t="shared" si="0"/>
        <v>100000</v>
      </c>
      <c r="F16" s="36">
        <f t="shared" si="1"/>
        <v>180000</v>
      </c>
    </row>
    <row r="17" spans="1:6" x14ac:dyDescent="0.35">
      <c r="A17" t="s">
        <v>272</v>
      </c>
      <c r="B17">
        <v>3858</v>
      </c>
      <c r="C17" t="s">
        <v>395</v>
      </c>
      <c r="D17" s="36">
        <v>10000</v>
      </c>
      <c r="E17" s="36">
        <f t="shared" si="0"/>
        <v>110000</v>
      </c>
      <c r="F17" s="36">
        <f t="shared" si="1"/>
        <v>170000</v>
      </c>
    </row>
    <row r="18" spans="1:6" x14ac:dyDescent="0.35">
      <c r="A18" t="s">
        <v>259</v>
      </c>
      <c r="B18">
        <v>4419</v>
      </c>
      <c r="C18" t="s">
        <v>395</v>
      </c>
      <c r="D18" s="36">
        <v>10000</v>
      </c>
      <c r="E18" s="36">
        <f t="shared" si="0"/>
        <v>120000</v>
      </c>
      <c r="F18" s="36">
        <f t="shared" si="1"/>
        <v>160000</v>
      </c>
    </row>
    <row r="19" spans="1:6" x14ac:dyDescent="0.35">
      <c r="A19" t="s">
        <v>273</v>
      </c>
      <c r="B19">
        <v>4992</v>
      </c>
      <c r="C19" t="s">
        <v>395</v>
      </c>
      <c r="D19" s="36">
        <v>10000</v>
      </c>
      <c r="E19" s="36">
        <f t="shared" si="0"/>
        <v>130000</v>
      </c>
      <c r="F19" s="36">
        <f t="shared" si="1"/>
        <v>150000</v>
      </c>
    </row>
    <row r="20" spans="1:6" x14ac:dyDescent="0.35">
      <c r="A20" s="30">
        <v>45242</v>
      </c>
      <c r="B20">
        <v>5615</v>
      </c>
      <c r="C20" t="s">
        <v>395</v>
      </c>
      <c r="D20" s="36">
        <v>10000</v>
      </c>
      <c r="E20" s="36">
        <f t="shared" si="0"/>
        <v>140000</v>
      </c>
      <c r="F20" s="36">
        <f t="shared" si="1"/>
        <v>140000</v>
      </c>
    </row>
    <row r="21" spans="1:6" x14ac:dyDescent="0.35">
      <c r="A21" t="s">
        <v>396</v>
      </c>
      <c r="B21">
        <v>6180</v>
      </c>
      <c r="C21" t="s">
        <v>395</v>
      </c>
      <c r="D21" s="36">
        <v>10000</v>
      </c>
      <c r="E21" s="36">
        <f t="shared" si="0"/>
        <v>150000</v>
      </c>
      <c r="F21" s="36">
        <f t="shared" si="1"/>
        <v>130000</v>
      </c>
    </row>
    <row r="22" spans="1:6" x14ac:dyDescent="0.35">
      <c r="A22" t="s">
        <v>68</v>
      </c>
      <c r="B22">
        <v>6628</v>
      </c>
      <c r="C22" t="s">
        <v>395</v>
      </c>
      <c r="D22" s="36">
        <v>10000</v>
      </c>
      <c r="E22" s="36">
        <f t="shared" si="0"/>
        <v>160000</v>
      </c>
      <c r="F22" s="36">
        <f t="shared" si="1"/>
        <v>120000</v>
      </c>
    </row>
    <row r="23" spans="1:6" x14ac:dyDescent="0.35">
      <c r="A23" t="s">
        <v>277</v>
      </c>
      <c r="B23">
        <v>7418</v>
      </c>
      <c r="C23" t="s">
        <v>395</v>
      </c>
      <c r="D23" s="36">
        <v>10000</v>
      </c>
      <c r="E23" s="36">
        <f t="shared" si="0"/>
        <v>170000</v>
      </c>
      <c r="F23" s="36">
        <f t="shared" si="1"/>
        <v>110000</v>
      </c>
    </row>
    <row r="24" spans="1:6" x14ac:dyDescent="0.35">
      <c r="A24" t="s">
        <v>69</v>
      </c>
      <c r="B24">
        <v>7928</v>
      </c>
      <c r="C24" t="s">
        <v>395</v>
      </c>
      <c r="D24" s="36">
        <v>10000</v>
      </c>
      <c r="E24" s="36">
        <f t="shared" si="0"/>
        <v>180000</v>
      </c>
      <c r="F24" s="36">
        <f t="shared" si="1"/>
        <v>100000</v>
      </c>
    </row>
    <row r="25" spans="1:6" x14ac:dyDescent="0.35">
      <c r="A25" s="30">
        <v>45327</v>
      </c>
      <c r="B25">
        <v>8457</v>
      </c>
      <c r="C25" t="s">
        <v>395</v>
      </c>
      <c r="D25" s="36">
        <v>10000</v>
      </c>
      <c r="E25" s="36">
        <f t="shared" si="0"/>
        <v>190000</v>
      </c>
      <c r="F25" s="36">
        <f t="shared" si="1"/>
        <v>90000</v>
      </c>
    </row>
    <row r="26" spans="1:6" x14ac:dyDescent="0.35">
      <c r="A26" s="30">
        <v>45632</v>
      </c>
      <c r="B26">
        <v>9037</v>
      </c>
      <c r="C26" t="s">
        <v>395</v>
      </c>
      <c r="D26" s="36">
        <v>10000</v>
      </c>
      <c r="E26" s="36">
        <f t="shared" si="0"/>
        <v>200000</v>
      </c>
      <c r="F26" s="36">
        <f t="shared" si="1"/>
        <v>80000</v>
      </c>
    </row>
    <row r="27" spans="1:6" x14ac:dyDescent="0.35">
      <c r="A27" t="s">
        <v>278</v>
      </c>
      <c r="B27">
        <v>9640</v>
      </c>
      <c r="C27" t="s">
        <v>395</v>
      </c>
      <c r="D27" s="36">
        <v>10000</v>
      </c>
      <c r="E27" s="36">
        <f t="shared" si="0"/>
        <v>210000</v>
      </c>
      <c r="F27" s="36">
        <f t="shared" si="1"/>
        <v>70000</v>
      </c>
    </row>
    <row r="28" spans="1:6" x14ac:dyDescent="0.35">
      <c r="A28" s="30">
        <v>45573</v>
      </c>
      <c r="B28">
        <v>11037</v>
      </c>
      <c r="C28" t="s">
        <v>395</v>
      </c>
      <c r="D28" s="36">
        <v>10000</v>
      </c>
      <c r="E28" s="36">
        <f t="shared" si="0"/>
        <v>220000</v>
      </c>
      <c r="F28" s="36">
        <f t="shared" si="1"/>
        <v>60000</v>
      </c>
    </row>
    <row r="29" spans="1:6" x14ac:dyDescent="0.35">
      <c r="A29" t="s">
        <v>279</v>
      </c>
      <c r="B29">
        <v>10776</v>
      </c>
      <c r="C29" t="s">
        <v>395</v>
      </c>
      <c r="D29" s="36">
        <v>10000</v>
      </c>
      <c r="E29" s="36">
        <f t="shared" si="0"/>
        <v>230000</v>
      </c>
      <c r="F29" s="36">
        <f t="shared" si="1"/>
        <v>50000</v>
      </c>
    </row>
    <row r="30" spans="1:6" x14ac:dyDescent="0.35">
      <c r="A30" t="s">
        <v>280</v>
      </c>
      <c r="B30">
        <v>11668</v>
      </c>
      <c r="C30" t="s">
        <v>395</v>
      </c>
      <c r="D30" s="36">
        <v>10000</v>
      </c>
      <c r="E30" s="36">
        <f t="shared" si="0"/>
        <v>240000</v>
      </c>
      <c r="F30" s="36">
        <f t="shared" si="1"/>
        <v>40000</v>
      </c>
    </row>
    <row r="31" spans="1:6" x14ac:dyDescent="0.35">
      <c r="A31" t="s">
        <v>236</v>
      </c>
      <c r="B31">
        <v>12172</v>
      </c>
      <c r="C31" t="s">
        <v>395</v>
      </c>
      <c r="D31" s="36">
        <v>10000</v>
      </c>
      <c r="E31" s="36">
        <f t="shared" si="0"/>
        <v>250000</v>
      </c>
      <c r="F31" s="36">
        <f t="shared" si="1"/>
        <v>30000</v>
      </c>
    </row>
    <row r="32" spans="1:6" x14ac:dyDescent="0.35">
      <c r="A32" t="s">
        <v>281</v>
      </c>
      <c r="B32">
        <v>12626</v>
      </c>
      <c r="C32" t="s">
        <v>395</v>
      </c>
      <c r="D32" s="36">
        <v>10000</v>
      </c>
      <c r="E32" s="36">
        <f t="shared" si="0"/>
        <v>260000</v>
      </c>
      <c r="F32" s="36">
        <f t="shared" si="1"/>
        <v>20000</v>
      </c>
    </row>
    <row r="33" spans="1:6" x14ac:dyDescent="0.35">
      <c r="A33" s="30">
        <v>45992</v>
      </c>
      <c r="B33">
        <v>12039</v>
      </c>
      <c r="C33" t="s">
        <v>395</v>
      </c>
      <c r="D33" s="36">
        <v>10000</v>
      </c>
      <c r="E33" s="36">
        <f t="shared" si="0"/>
        <v>270000</v>
      </c>
      <c r="F33" s="36" t="s">
        <v>397</v>
      </c>
    </row>
    <row r="34" spans="1:6" ht="18.5" x14ac:dyDescent="0.45">
      <c r="A34" s="33" t="s">
        <v>398</v>
      </c>
      <c r="B34" s="33"/>
      <c r="C34" s="33"/>
      <c r="D34" s="33"/>
      <c r="E34" s="33"/>
      <c r="F34" s="33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E22CF-1429-425F-9DA8-EA3561A68D6D}">
  <dimension ref="A1:F15"/>
  <sheetViews>
    <sheetView workbookViewId="0">
      <selection sqref="A1:F15"/>
    </sheetView>
  </sheetViews>
  <sheetFormatPr defaultRowHeight="14.5" x14ac:dyDescent="0.35"/>
  <cols>
    <col min="1" max="1" width="10.90625" customWidth="1"/>
    <col min="3" max="3" width="13.453125" customWidth="1"/>
    <col min="6" max="6" width="10.81640625" customWidth="1"/>
  </cols>
  <sheetData>
    <row r="1" spans="1:6" ht="18.5" x14ac:dyDescent="0.45">
      <c r="A1" s="1" t="s">
        <v>569</v>
      </c>
      <c r="B1" s="1"/>
      <c r="C1" s="17"/>
      <c r="D1" s="1"/>
      <c r="E1" s="1"/>
      <c r="F1" s="1"/>
    </row>
    <row r="2" spans="1:6" ht="18.5" x14ac:dyDescent="0.45">
      <c r="A2" s="1" t="s">
        <v>570</v>
      </c>
      <c r="C2" s="1"/>
      <c r="D2" s="1"/>
      <c r="E2" s="1"/>
      <c r="F2" s="1"/>
    </row>
    <row r="3" spans="1:6" ht="18.5" x14ac:dyDescent="0.45">
      <c r="A3" s="1" t="s">
        <v>571</v>
      </c>
      <c r="B3" s="1"/>
      <c r="C3" s="1"/>
      <c r="D3" s="1"/>
      <c r="E3" s="1"/>
      <c r="F3" s="1"/>
    </row>
    <row r="4" spans="1:6" ht="18.5" x14ac:dyDescent="0.45">
      <c r="A4" s="1" t="s">
        <v>575</v>
      </c>
      <c r="B4" s="33"/>
      <c r="C4" s="1"/>
      <c r="D4" s="1"/>
      <c r="E4" s="1"/>
      <c r="F4" s="1"/>
    </row>
    <row r="5" spans="1:6" ht="18.5" x14ac:dyDescent="0.45">
      <c r="A5" s="1" t="s">
        <v>572</v>
      </c>
      <c r="B5" s="1"/>
      <c r="C5" s="1"/>
      <c r="D5" s="1"/>
      <c r="E5" s="1"/>
      <c r="F5" s="1"/>
    </row>
    <row r="6" spans="1:6" ht="18.5" x14ac:dyDescent="0.45">
      <c r="A6" s="1" t="s">
        <v>573</v>
      </c>
      <c r="B6" s="1"/>
      <c r="C6" s="1"/>
      <c r="D6" s="1" t="s">
        <v>574</v>
      </c>
      <c r="E6" s="1"/>
      <c r="F6" s="1"/>
    </row>
    <row r="7" spans="1:6" x14ac:dyDescent="0.35">
      <c r="A7" s="28" t="s">
        <v>3</v>
      </c>
      <c r="B7" s="29" t="s">
        <v>8</v>
      </c>
      <c r="C7" s="29" t="s">
        <v>4</v>
      </c>
      <c r="D7" s="29" t="s">
        <v>9</v>
      </c>
      <c r="E7" s="29" t="s">
        <v>10</v>
      </c>
      <c r="F7" s="29" t="s">
        <v>5</v>
      </c>
    </row>
    <row r="8" spans="1:6" x14ac:dyDescent="0.35">
      <c r="A8" t="s">
        <v>576</v>
      </c>
      <c r="B8">
        <v>2944</v>
      </c>
      <c r="C8" t="s">
        <v>579</v>
      </c>
      <c r="D8" s="36">
        <v>296000</v>
      </c>
      <c r="E8" s="36">
        <v>296000</v>
      </c>
      <c r="F8" s="36">
        <v>139000</v>
      </c>
    </row>
    <row r="9" spans="1:6" x14ac:dyDescent="0.35">
      <c r="A9" t="s">
        <v>577</v>
      </c>
      <c r="B9">
        <v>2385</v>
      </c>
      <c r="C9" t="s">
        <v>39</v>
      </c>
      <c r="D9">
        <v>28000</v>
      </c>
      <c r="E9" s="36">
        <f>E8+D9</f>
        <v>324000</v>
      </c>
      <c r="F9" s="36">
        <f>F8-D9</f>
        <v>111000</v>
      </c>
    </row>
    <row r="10" spans="1:6" x14ac:dyDescent="0.35">
      <c r="A10" t="s">
        <v>578</v>
      </c>
      <c r="B10">
        <v>551</v>
      </c>
      <c r="C10" t="s">
        <v>39</v>
      </c>
      <c r="D10">
        <v>28000</v>
      </c>
      <c r="E10" s="36">
        <f t="shared" ref="E10:E13" si="0">E9+D10</f>
        <v>352000</v>
      </c>
      <c r="F10" s="36">
        <f t="shared" ref="F10:F13" si="1">F9-D10</f>
        <v>83000</v>
      </c>
    </row>
    <row r="11" spans="1:6" x14ac:dyDescent="0.35">
      <c r="A11" s="30">
        <v>45025</v>
      </c>
      <c r="B11">
        <v>3385</v>
      </c>
      <c r="C11" t="s">
        <v>39</v>
      </c>
      <c r="D11">
        <v>42000</v>
      </c>
      <c r="E11" s="36">
        <f t="shared" si="0"/>
        <v>394000</v>
      </c>
      <c r="F11" s="36">
        <f t="shared" si="1"/>
        <v>41000</v>
      </c>
    </row>
    <row r="12" spans="1:6" x14ac:dyDescent="0.35">
      <c r="A12" s="30">
        <v>45210</v>
      </c>
      <c r="B12">
        <v>4766</v>
      </c>
      <c r="C12" t="s">
        <v>39</v>
      </c>
      <c r="D12">
        <v>28000</v>
      </c>
      <c r="E12" s="36">
        <f t="shared" si="0"/>
        <v>422000</v>
      </c>
      <c r="F12" s="36">
        <f t="shared" si="1"/>
        <v>13000</v>
      </c>
    </row>
    <row r="13" spans="1:6" x14ac:dyDescent="0.35">
      <c r="A13" s="30">
        <v>45181</v>
      </c>
      <c r="B13">
        <v>5377</v>
      </c>
      <c r="C13" t="s">
        <v>39</v>
      </c>
      <c r="D13">
        <v>13000</v>
      </c>
      <c r="E13" s="36">
        <f t="shared" si="0"/>
        <v>435000</v>
      </c>
      <c r="F13" s="36">
        <f t="shared" si="1"/>
        <v>0</v>
      </c>
    </row>
    <row r="15" spans="1:6" ht="18.5" x14ac:dyDescent="0.45">
      <c r="A15" s="33" t="s">
        <v>398</v>
      </c>
      <c r="B15" s="33"/>
      <c r="C15" s="33"/>
      <c r="D15" s="33"/>
      <c r="E15" s="33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9290D-1768-4C0E-86F4-75C0761BA8A8}">
  <dimension ref="A1:F15"/>
  <sheetViews>
    <sheetView workbookViewId="0">
      <selection activeCell="I12" sqref="I12"/>
    </sheetView>
  </sheetViews>
  <sheetFormatPr defaultRowHeight="14.5" x14ac:dyDescent="0.35"/>
  <cols>
    <col min="6" max="6" width="11.36328125" customWidth="1"/>
  </cols>
  <sheetData>
    <row r="1" spans="1:6" ht="18.5" x14ac:dyDescent="0.45">
      <c r="A1" s="1" t="s">
        <v>569</v>
      </c>
      <c r="B1" s="1"/>
      <c r="C1" s="17"/>
      <c r="D1" s="1"/>
      <c r="E1" s="1"/>
      <c r="F1" s="1"/>
    </row>
    <row r="2" spans="1:6" ht="18.5" x14ac:dyDescent="0.45">
      <c r="A2" s="1" t="s">
        <v>570</v>
      </c>
      <c r="C2" s="1"/>
      <c r="D2" s="1"/>
      <c r="E2" s="1"/>
      <c r="F2" s="1"/>
    </row>
    <row r="3" spans="1:6" ht="18.5" x14ac:dyDescent="0.45">
      <c r="A3" s="1" t="s">
        <v>571</v>
      </c>
      <c r="B3" s="1"/>
      <c r="C3" s="1"/>
      <c r="D3" s="1"/>
      <c r="E3" s="1"/>
      <c r="F3" s="1"/>
    </row>
    <row r="4" spans="1:6" ht="18.5" x14ac:dyDescent="0.45">
      <c r="A4" s="1" t="s">
        <v>581</v>
      </c>
      <c r="B4" s="33"/>
      <c r="C4" s="1"/>
      <c r="D4" s="1"/>
      <c r="E4" s="1"/>
      <c r="F4" s="1"/>
    </row>
    <row r="5" spans="1:6" ht="18.5" x14ac:dyDescent="0.45">
      <c r="A5" s="1" t="s">
        <v>572</v>
      </c>
      <c r="B5" s="1"/>
      <c r="C5" s="1"/>
      <c r="D5" s="1"/>
      <c r="E5" s="1"/>
      <c r="F5" s="1"/>
    </row>
    <row r="6" spans="1:6" ht="18.5" x14ac:dyDescent="0.45">
      <c r="A6" s="1" t="s">
        <v>580</v>
      </c>
      <c r="B6" s="1"/>
      <c r="C6" s="1"/>
      <c r="D6" s="1" t="s">
        <v>574</v>
      </c>
      <c r="E6" s="1"/>
      <c r="F6" s="1"/>
    </row>
    <row r="7" spans="1:6" x14ac:dyDescent="0.35">
      <c r="A7" s="28" t="s">
        <v>3</v>
      </c>
      <c r="B7" s="29" t="s">
        <v>8</v>
      </c>
      <c r="C7" s="29" t="s">
        <v>4</v>
      </c>
      <c r="D7" s="29" t="s">
        <v>9</v>
      </c>
      <c r="E7" s="29" t="s">
        <v>10</v>
      </c>
      <c r="F7" s="29" t="s">
        <v>5</v>
      </c>
    </row>
    <row r="8" spans="1:6" x14ac:dyDescent="0.35">
      <c r="A8" t="s">
        <v>576</v>
      </c>
      <c r="B8">
        <v>2945</v>
      </c>
      <c r="C8" t="s">
        <v>579</v>
      </c>
      <c r="D8" s="36">
        <v>296000</v>
      </c>
      <c r="E8" s="36">
        <v>296000</v>
      </c>
      <c r="F8" s="36">
        <v>139000</v>
      </c>
    </row>
    <row r="9" spans="1:6" x14ac:dyDescent="0.35">
      <c r="A9" t="s">
        <v>577</v>
      </c>
      <c r="B9">
        <v>2384</v>
      </c>
      <c r="C9" t="s">
        <v>39</v>
      </c>
      <c r="D9">
        <v>28000</v>
      </c>
      <c r="E9" s="36">
        <f>E8+D9</f>
        <v>324000</v>
      </c>
      <c r="F9" s="36">
        <f>F8-D9</f>
        <v>111000</v>
      </c>
    </row>
    <row r="10" spans="1:6" x14ac:dyDescent="0.35">
      <c r="A10" t="s">
        <v>578</v>
      </c>
      <c r="B10">
        <v>551</v>
      </c>
      <c r="C10" t="s">
        <v>39</v>
      </c>
      <c r="D10">
        <v>28000</v>
      </c>
      <c r="E10" s="36">
        <f t="shared" ref="E10:E13" si="0">E9+D10</f>
        <v>352000</v>
      </c>
      <c r="F10" s="36">
        <f t="shared" ref="F10:F13" si="1">F9-D10</f>
        <v>83000</v>
      </c>
    </row>
    <row r="11" spans="1:6" x14ac:dyDescent="0.35">
      <c r="A11" s="30">
        <v>45025</v>
      </c>
      <c r="B11">
        <v>3387</v>
      </c>
      <c r="C11" t="s">
        <v>39</v>
      </c>
      <c r="D11">
        <v>42000</v>
      </c>
      <c r="E11" s="36">
        <f t="shared" si="0"/>
        <v>394000</v>
      </c>
      <c r="F11" s="36">
        <f t="shared" si="1"/>
        <v>41000</v>
      </c>
    </row>
    <row r="12" spans="1:6" x14ac:dyDescent="0.35">
      <c r="A12" s="30">
        <v>45210</v>
      </c>
      <c r="B12">
        <v>4767</v>
      </c>
      <c r="C12" t="s">
        <v>39</v>
      </c>
      <c r="D12">
        <v>28000</v>
      </c>
      <c r="E12" s="36">
        <f t="shared" si="0"/>
        <v>422000</v>
      </c>
      <c r="F12" s="36">
        <f t="shared" si="1"/>
        <v>13000</v>
      </c>
    </row>
    <row r="13" spans="1:6" x14ac:dyDescent="0.35">
      <c r="A13" s="30">
        <v>45181</v>
      </c>
      <c r="B13">
        <v>5378</v>
      </c>
      <c r="C13" t="s">
        <v>39</v>
      </c>
      <c r="D13">
        <v>13000</v>
      </c>
      <c r="E13" s="36">
        <f t="shared" si="0"/>
        <v>435000</v>
      </c>
      <c r="F13" s="36">
        <f t="shared" si="1"/>
        <v>0</v>
      </c>
    </row>
    <row r="15" spans="1:6" ht="18.5" x14ac:dyDescent="0.45">
      <c r="A15" s="33" t="s">
        <v>398</v>
      </c>
      <c r="B15" s="33"/>
      <c r="C15" s="33"/>
      <c r="D15" s="33"/>
      <c r="E15" s="33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33A58-32C3-4E10-8789-DC4411E8F9B4}">
  <dimension ref="A1:F39"/>
  <sheetViews>
    <sheetView workbookViewId="0">
      <selection activeCell="I21" sqref="I21"/>
    </sheetView>
  </sheetViews>
  <sheetFormatPr defaultRowHeight="14.5" x14ac:dyDescent="0.35"/>
  <cols>
    <col min="1" max="1" width="11.36328125" customWidth="1"/>
    <col min="3" max="3" width="12.6328125" customWidth="1"/>
    <col min="6" max="6" width="11.90625" customWidth="1"/>
  </cols>
  <sheetData>
    <row r="1" spans="1:6" ht="18.5" x14ac:dyDescent="0.45">
      <c r="A1" s="1" t="s">
        <v>391</v>
      </c>
      <c r="B1" s="1"/>
      <c r="C1" s="17"/>
      <c r="D1" s="1"/>
      <c r="E1" s="1"/>
      <c r="F1" s="1"/>
    </row>
    <row r="2" spans="1:6" ht="18.5" x14ac:dyDescent="0.45">
      <c r="A2" s="1" t="s">
        <v>267</v>
      </c>
      <c r="C2" s="1"/>
      <c r="D2" s="1"/>
      <c r="E2" s="1"/>
      <c r="F2" s="1"/>
    </row>
    <row r="3" spans="1:6" ht="18.5" x14ac:dyDescent="0.45">
      <c r="A3" s="1" t="s">
        <v>392</v>
      </c>
      <c r="B3" s="1"/>
      <c r="C3" s="1"/>
      <c r="D3" s="1"/>
      <c r="E3" s="1"/>
      <c r="F3" s="1"/>
    </row>
    <row r="4" spans="1:6" ht="18.5" x14ac:dyDescent="0.45">
      <c r="A4" s="1" t="s">
        <v>532</v>
      </c>
      <c r="B4" s="33"/>
      <c r="C4" s="1"/>
      <c r="D4" s="1"/>
      <c r="E4" s="1"/>
      <c r="F4" s="1"/>
    </row>
    <row r="5" spans="1:6" ht="18.5" x14ac:dyDescent="0.45">
      <c r="A5" s="1" t="s">
        <v>268</v>
      </c>
      <c r="B5" s="1"/>
      <c r="C5" s="1"/>
      <c r="D5" s="1"/>
      <c r="E5" s="1"/>
      <c r="F5" s="1"/>
    </row>
    <row r="6" spans="1:6" ht="18.5" x14ac:dyDescent="0.45">
      <c r="A6" s="1" t="s">
        <v>393</v>
      </c>
      <c r="B6" s="1"/>
      <c r="C6" s="1"/>
      <c r="D6" s="1" t="s">
        <v>131</v>
      </c>
      <c r="E6" s="1"/>
      <c r="F6" s="1"/>
    </row>
    <row r="7" spans="1:6" x14ac:dyDescent="0.35">
      <c r="A7" s="28" t="s">
        <v>3</v>
      </c>
      <c r="B7" s="29" t="s">
        <v>8</v>
      </c>
      <c r="C7" s="29" t="s">
        <v>4</v>
      </c>
      <c r="D7" s="29" t="s">
        <v>9</v>
      </c>
      <c r="E7" s="29" t="s">
        <v>10</v>
      </c>
      <c r="F7" s="29" t="s">
        <v>5</v>
      </c>
    </row>
    <row r="8" spans="1:6" x14ac:dyDescent="0.35">
      <c r="A8" t="s">
        <v>378</v>
      </c>
      <c r="B8">
        <v>2152</v>
      </c>
      <c r="C8" t="s">
        <v>395</v>
      </c>
      <c r="D8" s="36">
        <v>10000</v>
      </c>
      <c r="E8" s="36">
        <v>10000</v>
      </c>
      <c r="F8" s="36">
        <v>270000</v>
      </c>
    </row>
    <row r="9" spans="1:6" x14ac:dyDescent="0.35">
      <c r="A9" t="s">
        <v>379</v>
      </c>
      <c r="B9">
        <v>2152</v>
      </c>
      <c r="C9" t="s">
        <v>395</v>
      </c>
      <c r="D9" s="36">
        <v>10000</v>
      </c>
      <c r="E9" s="36">
        <f>SUM(E8+D9)</f>
        <v>20000</v>
      </c>
      <c r="F9" s="36">
        <f>F8-D9</f>
        <v>260000</v>
      </c>
    </row>
    <row r="10" spans="1:6" x14ac:dyDescent="0.35">
      <c r="A10" t="s">
        <v>394</v>
      </c>
      <c r="B10">
        <v>2152</v>
      </c>
      <c r="C10" t="s">
        <v>11</v>
      </c>
      <c r="D10" s="36">
        <v>20000</v>
      </c>
      <c r="E10" s="36">
        <f t="shared" ref="E10:E33" si="0">SUM(E9+D10)</f>
        <v>40000</v>
      </c>
      <c r="F10" s="36">
        <f t="shared" ref="F10:F32" si="1">F9-D10</f>
        <v>240000</v>
      </c>
    </row>
    <row r="11" spans="1:6" x14ac:dyDescent="0.35">
      <c r="A11" s="30">
        <v>45019</v>
      </c>
      <c r="B11">
        <v>1434</v>
      </c>
      <c r="C11" t="s">
        <v>395</v>
      </c>
      <c r="D11" s="36">
        <v>10000</v>
      </c>
      <c r="E11" s="36">
        <f t="shared" si="0"/>
        <v>50000</v>
      </c>
      <c r="F11" s="36">
        <f t="shared" si="1"/>
        <v>230000</v>
      </c>
    </row>
    <row r="12" spans="1:6" x14ac:dyDescent="0.35">
      <c r="A12" s="30">
        <v>44930</v>
      </c>
      <c r="B12">
        <v>1748</v>
      </c>
      <c r="C12" t="s">
        <v>395</v>
      </c>
      <c r="D12" s="36">
        <v>10000</v>
      </c>
      <c r="E12" s="36">
        <f t="shared" si="0"/>
        <v>60000</v>
      </c>
      <c r="F12" s="36">
        <f t="shared" si="1"/>
        <v>220000</v>
      </c>
    </row>
    <row r="13" spans="1:6" x14ac:dyDescent="0.35">
      <c r="A13" s="30">
        <v>44990</v>
      </c>
      <c r="B13">
        <v>1434</v>
      </c>
      <c r="C13" t="s">
        <v>395</v>
      </c>
      <c r="D13" s="36">
        <v>10000</v>
      </c>
      <c r="E13" s="36">
        <f t="shared" si="0"/>
        <v>70000</v>
      </c>
      <c r="F13" s="36">
        <f t="shared" si="1"/>
        <v>210000</v>
      </c>
    </row>
    <row r="14" spans="1:6" x14ac:dyDescent="0.35">
      <c r="A14" s="30">
        <v>45236</v>
      </c>
      <c r="B14">
        <v>287</v>
      </c>
      <c r="C14" t="s">
        <v>395</v>
      </c>
      <c r="D14" s="36">
        <v>10000</v>
      </c>
      <c r="E14" s="36">
        <f t="shared" si="0"/>
        <v>80000</v>
      </c>
      <c r="F14" s="36">
        <f t="shared" si="1"/>
        <v>200000</v>
      </c>
    </row>
    <row r="15" spans="1:6" x14ac:dyDescent="0.35">
      <c r="A15" t="s">
        <v>106</v>
      </c>
      <c r="B15">
        <v>2869</v>
      </c>
      <c r="C15" t="s">
        <v>395</v>
      </c>
      <c r="D15" s="36">
        <v>10000</v>
      </c>
      <c r="E15" s="36">
        <f t="shared" si="0"/>
        <v>90000</v>
      </c>
      <c r="F15" s="36">
        <f t="shared" si="1"/>
        <v>190000</v>
      </c>
    </row>
    <row r="16" spans="1:6" x14ac:dyDescent="0.35">
      <c r="A16" t="s">
        <v>107</v>
      </c>
      <c r="B16">
        <v>3226</v>
      </c>
      <c r="C16" t="s">
        <v>395</v>
      </c>
      <c r="D16" s="36">
        <v>10000</v>
      </c>
      <c r="E16" s="36">
        <f t="shared" si="0"/>
        <v>100000</v>
      </c>
      <c r="F16" s="36">
        <f t="shared" si="1"/>
        <v>180000</v>
      </c>
    </row>
    <row r="17" spans="1:6" x14ac:dyDescent="0.35">
      <c r="A17" t="s">
        <v>272</v>
      </c>
      <c r="B17">
        <v>3858</v>
      </c>
      <c r="C17" t="s">
        <v>395</v>
      </c>
      <c r="D17" s="36">
        <v>10000</v>
      </c>
      <c r="E17" s="36">
        <f t="shared" si="0"/>
        <v>110000</v>
      </c>
      <c r="F17" s="36">
        <f t="shared" si="1"/>
        <v>170000</v>
      </c>
    </row>
    <row r="18" spans="1:6" x14ac:dyDescent="0.35">
      <c r="A18" t="s">
        <v>259</v>
      </c>
      <c r="B18">
        <v>4419</v>
      </c>
      <c r="C18" t="s">
        <v>395</v>
      </c>
      <c r="D18" s="36">
        <v>10000</v>
      </c>
      <c r="E18" s="36">
        <f t="shared" si="0"/>
        <v>120000</v>
      </c>
      <c r="F18" s="36">
        <f t="shared" si="1"/>
        <v>160000</v>
      </c>
    </row>
    <row r="19" spans="1:6" x14ac:dyDescent="0.35">
      <c r="A19" t="s">
        <v>273</v>
      </c>
      <c r="B19">
        <v>4992</v>
      </c>
      <c r="C19" t="s">
        <v>395</v>
      </c>
      <c r="D19" s="36">
        <v>10000</v>
      </c>
      <c r="E19" s="36">
        <f t="shared" si="0"/>
        <v>130000</v>
      </c>
      <c r="F19" s="36">
        <f t="shared" si="1"/>
        <v>150000</v>
      </c>
    </row>
    <row r="20" spans="1:6" x14ac:dyDescent="0.35">
      <c r="A20" s="30">
        <v>45242</v>
      </c>
      <c r="B20">
        <v>5615</v>
      </c>
      <c r="C20" t="s">
        <v>395</v>
      </c>
      <c r="D20" s="36">
        <v>10000</v>
      </c>
      <c r="E20" s="36">
        <f t="shared" si="0"/>
        <v>140000</v>
      </c>
      <c r="F20" s="36">
        <f t="shared" si="1"/>
        <v>140000</v>
      </c>
    </row>
    <row r="21" spans="1:6" x14ac:dyDescent="0.35">
      <c r="A21" t="s">
        <v>396</v>
      </c>
      <c r="B21">
        <v>6180</v>
      </c>
      <c r="C21" t="s">
        <v>395</v>
      </c>
      <c r="D21" s="36">
        <v>10000</v>
      </c>
      <c r="E21" s="36">
        <f t="shared" si="0"/>
        <v>150000</v>
      </c>
      <c r="F21" s="36">
        <f t="shared" si="1"/>
        <v>130000</v>
      </c>
    </row>
    <row r="22" spans="1:6" x14ac:dyDescent="0.35">
      <c r="A22" t="s">
        <v>68</v>
      </c>
      <c r="B22">
        <v>6628</v>
      </c>
      <c r="C22" t="s">
        <v>395</v>
      </c>
      <c r="D22" s="36">
        <v>10000</v>
      </c>
      <c r="E22" s="36">
        <f t="shared" si="0"/>
        <v>160000</v>
      </c>
      <c r="F22" s="36">
        <f t="shared" si="1"/>
        <v>120000</v>
      </c>
    </row>
    <row r="23" spans="1:6" x14ac:dyDescent="0.35">
      <c r="A23" t="s">
        <v>277</v>
      </c>
      <c r="B23">
        <v>7418</v>
      </c>
      <c r="C23" t="s">
        <v>395</v>
      </c>
      <c r="D23" s="36">
        <v>10000</v>
      </c>
      <c r="E23" s="36">
        <f t="shared" si="0"/>
        <v>170000</v>
      </c>
      <c r="F23" s="36">
        <f t="shared" si="1"/>
        <v>110000</v>
      </c>
    </row>
    <row r="24" spans="1:6" x14ac:dyDescent="0.35">
      <c r="A24" t="s">
        <v>69</v>
      </c>
      <c r="B24">
        <v>7928</v>
      </c>
      <c r="C24" t="s">
        <v>395</v>
      </c>
      <c r="D24" s="36">
        <v>10000</v>
      </c>
      <c r="E24" s="36">
        <f t="shared" si="0"/>
        <v>180000</v>
      </c>
      <c r="F24" s="36">
        <f t="shared" si="1"/>
        <v>100000</v>
      </c>
    </row>
    <row r="25" spans="1:6" x14ac:dyDescent="0.35">
      <c r="A25" s="30">
        <v>45327</v>
      </c>
      <c r="B25">
        <v>8457</v>
      </c>
      <c r="C25" t="s">
        <v>395</v>
      </c>
      <c r="D25" s="36">
        <v>10000</v>
      </c>
      <c r="E25" s="36">
        <f t="shared" si="0"/>
        <v>190000</v>
      </c>
      <c r="F25" s="36">
        <f t="shared" si="1"/>
        <v>90000</v>
      </c>
    </row>
    <row r="26" spans="1:6" x14ac:dyDescent="0.35">
      <c r="A26" s="30">
        <v>45632</v>
      </c>
      <c r="B26">
        <v>9037</v>
      </c>
      <c r="C26" t="s">
        <v>395</v>
      </c>
      <c r="D26" s="36">
        <v>10000</v>
      </c>
      <c r="E26" s="36">
        <f t="shared" si="0"/>
        <v>200000</v>
      </c>
      <c r="F26" s="36">
        <f t="shared" si="1"/>
        <v>80000</v>
      </c>
    </row>
    <row r="27" spans="1:6" x14ac:dyDescent="0.35">
      <c r="A27" t="s">
        <v>278</v>
      </c>
      <c r="B27">
        <v>9640</v>
      </c>
      <c r="C27" t="s">
        <v>395</v>
      </c>
      <c r="D27" s="36">
        <v>10000</v>
      </c>
      <c r="E27" s="36">
        <f t="shared" si="0"/>
        <v>210000</v>
      </c>
      <c r="F27" s="36">
        <f t="shared" si="1"/>
        <v>70000</v>
      </c>
    </row>
    <row r="28" spans="1:6" x14ac:dyDescent="0.35">
      <c r="A28" s="30">
        <v>45573</v>
      </c>
      <c r="B28">
        <v>11037</v>
      </c>
      <c r="C28" t="s">
        <v>395</v>
      </c>
      <c r="D28" s="36">
        <v>10000</v>
      </c>
      <c r="E28" s="36">
        <f t="shared" si="0"/>
        <v>220000</v>
      </c>
      <c r="F28" s="36">
        <f t="shared" si="1"/>
        <v>60000</v>
      </c>
    </row>
    <row r="29" spans="1:6" x14ac:dyDescent="0.35">
      <c r="A29" t="s">
        <v>279</v>
      </c>
      <c r="B29">
        <v>10776</v>
      </c>
      <c r="C29" t="s">
        <v>395</v>
      </c>
      <c r="D29" s="36">
        <v>10000</v>
      </c>
      <c r="E29" s="36">
        <f t="shared" si="0"/>
        <v>230000</v>
      </c>
      <c r="F29" s="36">
        <f t="shared" si="1"/>
        <v>50000</v>
      </c>
    </row>
    <row r="30" spans="1:6" x14ac:dyDescent="0.35">
      <c r="A30" t="s">
        <v>280</v>
      </c>
      <c r="B30">
        <v>11668</v>
      </c>
      <c r="C30" t="s">
        <v>395</v>
      </c>
      <c r="D30" s="36">
        <v>10000</v>
      </c>
      <c r="E30" s="36">
        <f t="shared" si="0"/>
        <v>240000</v>
      </c>
      <c r="F30" s="36">
        <f t="shared" si="1"/>
        <v>40000</v>
      </c>
    </row>
    <row r="31" spans="1:6" x14ac:dyDescent="0.35">
      <c r="A31" t="s">
        <v>236</v>
      </c>
      <c r="B31">
        <v>12172</v>
      </c>
      <c r="C31" t="s">
        <v>395</v>
      </c>
      <c r="D31" s="36">
        <v>10000</v>
      </c>
      <c r="E31" s="36">
        <f t="shared" si="0"/>
        <v>250000</v>
      </c>
      <c r="F31" s="36">
        <f t="shared" si="1"/>
        <v>30000</v>
      </c>
    </row>
    <row r="32" spans="1:6" x14ac:dyDescent="0.35">
      <c r="A32" t="s">
        <v>281</v>
      </c>
      <c r="B32">
        <v>12626</v>
      </c>
      <c r="C32" t="s">
        <v>395</v>
      </c>
      <c r="D32" s="36">
        <v>10000</v>
      </c>
      <c r="E32" s="36">
        <f t="shared" si="0"/>
        <v>260000</v>
      </c>
      <c r="F32" s="36">
        <f t="shared" si="1"/>
        <v>20000</v>
      </c>
    </row>
    <row r="33" spans="1:6" x14ac:dyDescent="0.35">
      <c r="A33" s="30">
        <v>45992</v>
      </c>
      <c r="B33">
        <v>12039</v>
      </c>
      <c r="C33" t="s">
        <v>395</v>
      </c>
      <c r="D33" s="36">
        <v>10000</v>
      </c>
      <c r="E33" s="36">
        <f t="shared" si="0"/>
        <v>270000</v>
      </c>
      <c r="F33" s="36" t="s">
        <v>397</v>
      </c>
    </row>
    <row r="34" spans="1:6" ht="18.5" x14ac:dyDescent="0.45">
      <c r="A34" s="33" t="s">
        <v>398</v>
      </c>
      <c r="B34" s="33"/>
      <c r="C34" s="33"/>
      <c r="D34" s="33"/>
      <c r="E34" s="33"/>
      <c r="F34" s="33"/>
    </row>
    <row r="35" spans="1:6" x14ac:dyDescent="0.35">
      <c r="A35" s="9" t="s">
        <v>176</v>
      </c>
      <c r="B35" s="9">
        <v>12175</v>
      </c>
      <c r="C35" s="9" t="s">
        <v>39</v>
      </c>
      <c r="D35" s="25">
        <v>10000</v>
      </c>
      <c r="E35" s="25">
        <f t="shared" ref="E35:E37" si="2">E34+D35</f>
        <v>10000</v>
      </c>
      <c r="F35" s="25">
        <f t="shared" ref="F35:F37" si="3">F34-D35</f>
        <v>-10000</v>
      </c>
    </row>
    <row r="36" spans="1:6" x14ac:dyDescent="0.35">
      <c r="A36" s="9" t="s">
        <v>537</v>
      </c>
      <c r="B36" s="9">
        <v>13968</v>
      </c>
      <c r="C36" s="9" t="s">
        <v>39</v>
      </c>
      <c r="D36" s="25">
        <v>10000</v>
      </c>
      <c r="E36" s="25">
        <f t="shared" si="2"/>
        <v>20000</v>
      </c>
      <c r="F36" s="25">
        <f t="shared" si="3"/>
        <v>-20000</v>
      </c>
    </row>
    <row r="37" spans="1:6" x14ac:dyDescent="0.35">
      <c r="A37" s="26">
        <v>46300</v>
      </c>
      <c r="B37" s="9">
        <v>12990</v>
      </c>
      <c r="C37" s="9" t="s">
        <v>39</v>
      </c>
      <c r="D37" s="25">
        <v>100000</v>
      </c>
      <c r="E37" s="25">
        <f t="shared" si="2"/>
        <v>120000</v>
      </c>
      <c r="F37" s="25">
        <f t="shared" si="3"/>
        <v>-120000</v>
      </c>
    </row>
    <row r="38" spans="1:6" ht="18.5" x14ac:dyDescent="0.45">
      <c r="A38" s="33" t="s">
        <v>538</v>
      </c>
      <c r="B38" s="33"/>
      <c r="C38" s="33"/>
    </row>
    <row r="39" spans="1:6" ht="18.5" x14ac:dyDescent="0.45">
      <c r="A39" s="33" t="s">
        <v>398</v>
      </c>
      <c r="B39" s="33"/>
      <c r="C39" s="33"/>
      <c r="D39" s="33"/>
      <c r="E39" s="33"/>
      <c r="F39" s="33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509C6-798D-4E7C-9AFE-8D841D80A882}">
  <dimension ref="A1:O19"/>
  <sheetViews>
    <sheetView workbookViewId="0">
      <selection activeCell="H12" sqref="H12"/>
    </sheetView>
  </sheetViews>
  <sheetFormatPr defaultRowHeight="14.5" x14ac:dyDescent="0.35"/>
  <cols>
    <col min="1" max="1" width="12.26953125" customWidth="1"/>
    <col min="3" max="3" width="14.08984375" customWidth="1"/>
  </cols>
  <sheetData>
    <row r="1" spans="1:15" ht="18.5" x14ac:dyDescent="0.45">
      <c r="A1" s="1" t="s">
        <v>541</v>
      </c>
      <c r="B1" s="1"/>
      <c r="C1" s="1"/>
      <c r="D1" s="1"/>
      <c r="E1" s="1"/>
      <c r="F1" s="1"/>
    </row>
    <row r="2" spans="1:15" ht="18.5" x14ac:dyDescent="0.45">
      <c r="A2" s="1" t="s">
        <v>613</v>
      </c>
      <c r="C2" s="1"/>
      <c r="D2" s="1"/>
      <c r="E2" s="1"/>
      <c r="F2" s="1"/>
    </row>
    <row r="3" spans="1:15" ht="18.5" x14ac:dyDescent="0.45">
      <c r="A3" s="1" t="s">
        <v>542</v>
      </c>
      <c r="B3" s="1"/>
      <c r="C3" s="1"/>
      <c r="D3" s="1"/>
      <c r="E3" s="1"/>
      <c r="F3" s="1"/>
    </row>
    <row r="4" spans="1:15" ht="18.5" x14ac:dyDescent="0.45">
      <c r="A4" s="1" t="s">
        <v>555</v>
      </c>
      <c r="B4" s="1"/>
      <c r="C4" s="1"/>
      <c r="D4" s="1"/>
      <c r="E4" s="1"/>
      <c r="F4" s="1"/>
    </row>
    <row r="5" spans="1:15" ht="18.5" x14ac:dyDescent="0.45">
      <c r="A5" s="1" t="s">
        <v>543</v>
      </c>
      <c r="B5" s="1"/>
      <c r="C5" s="1"/>
      <c r="D5" s="1"/>
      <c r="E5" s="1"/>
      <c r="F5" s="1"/>
    </row>
    <row r="6" spans="1:15" ht="18.5" x14ac:dyDescent="0.45">
      <c r="A6" s="1" t="s">
        <v>554</v>
      </c>
      <c r="B6" s="1"/>
      <c r="C6" s="1"/>
      <c r="D6" s="1"/>
      <c r="E6" s="1" t="s">
        <v>419</v>
      </c>
      <c r="F6" s="1"/>
    </row>
    <row r="7" spans="1:15" ht="18.5" x14ac:dyDescent="0.45">
      <c r="A7" s="70" t="s">
        <v>3</v>
      </c>
      <c r="B7" s="9" t="s">
        <v>8</v>
      </c>
      <c r="C7" s="9" t="s">
        <v>4</v>
      </c>
      <c r="D7" s="9" t="s">
        <v>9</v>
      </c>
      <c r="E7" s="9" t="s">
        <v>10</v>
      </c>
      <c r="F7" s="9" t="s">
        <v>5</v>
      </c>
      <c r="I7" s="71" t="s">
        <v>615</v>
      </c>
      <c r="J7" s="33"/>
      <c r="K7" s="33"/>
      <c r="L7" s="33"/>
      <c r="M7" s="33"/>
      <c r="N7" s="33"/>
      <c r="O7" s="33"/>
    </row>
    <row r="8" spans="1:15" x14ac:dyDescent="0.35">
      <c r="A8" s="58">
        <v>43897</v>
      </c>
      <c r="B8" s="56">
        <v>722</v>
      </c>
      <c r="C8" s="56" t="s">
        <v>557</v>
      </c>
      <c r="D8" s="57">
        <v>137500</v>
      </c>
      <c r="E8" s="57">
        <v>137500</v>
      </c>
      <c r="F8" s="57">
        <v>212500</v>
      </c>
    </row>
    <row r="9" spans="1:15" x14ac:dyDescent="0.35">
      <c r="A9" s="56" t="s">
        <v>547</v>
      </c>
      <c r="B9" s="56">
        <v>1245</v>
      </c>
      <c r="C9" s="56" t="s">
        <v>7</v>
      </c>
      <c r="D9" s="57">
        <v>15000</v>
      </c>
      <c r="E9" s="57">
        <f>E8+D9</f>
        <v>152500</v>
      </c>
      <c r="F9" s="57">
        <f>F8-D9</f>
        <v>197500</v>
      </c>
    </row>
    <row r="10" spans="1:15" x14ac:dyDescent="0.35">
      <c r="A10" s="58">
        <v>45143</v>
      </c>
      <c r="B10" s="56">
        <v>725</v>
      </c>
      <c r="C10" s="56" t="s">
        <v>7</v>
      </c>
      <c r="D10" s="57">
        <v>25000</v>
      </c>
      <c r="E10" s="57">
        <f t="shared" ref="E10:E17" si="0">E9+D10</f>
        <v>177500</v>
      </c>
      <c r="F10" s="57">
        <f t="shared" ref="F10:F17" si="1">F9-D10</f>
        <v>172500</v>
      </c>
    </row>
    <row r="11" spans="1:15" x14ac:dyDescent="0.35">
      <c r="A11" s="58">
        <v>43897</v>
      </c>
      <c r="B11" s="56">
        <v>754</v>
      </c>
      <c r="C11" s="56" t="s">
        <v>557</v>
      </c>
      <c r="D11" s="57">
        <v>100000</v>
      </c>
      <c r="E11" s="57">
        <f t="shared" si="0"/>
        <v>277500</v>
      </c>
      <c r="F11" s="57">
        <f t="shared" si="1"/>
        <v>72500</v>
      </c>
    </row>
    <row r="12" spans="1:15" x14ac:dyDescent="0.35">
      <c r="A12" s="56" t="s">
        <v>548</v>
      </c>
      <c r="B12" s="56">
        <v>2061</v>
      </c>
      <c r="C12" s="56" t="s">
        <v>7</v>
      </c>
      <c r="D12" s="57">
        <v>12500</v>
      </c>
      <c r="E12" s="57">
        <f t="shared" si="0"/>
        <v>290000</v>
      </c>
      <c r="F12" s="57">
        <f t="shared" si="1"/>
        <v>60000</v>
      </c>
    </row>
    <row r="13" spans="1:15" x14ac:dyDescent="0.35">
      <c r="A13" s="56" t="s">
        <v>549</v>
      </c>
      <c r="B13" s="56">
        <v>2874</v>
      </c>
      <c r="C13" s="56" t="s">
        <v>7</v>
      </c>
      <c r="D13" s="57">
        <v>12500</v>
      </c>
      <c r="E13" s="57">
        <f t="shared" si="0"/>
        <v>302500</v>
      </c>
      <c r="F13" s="57">
        <f t="shared" si="1"/>
        <v>47500</v>
      </c>
    </row>
    <row r="14" spans="1:15" x14ac:dyDescent="0.35">
      <c r="A14" s="58">
        <v>45207</v>
      </c>
      <c r="B14" s="56">
        <v>2326</v>
      </c>
      <c r="C14" s="56" t="s">
        <v>7</v>
      </c>
      <c r="D14" s="57">
        <v>12500</v>
      </c>
      <c r="E14" s="57">
        <f t="shared" si="0"/>
        <v>315000</v>
      </c>
      <c r="F14" s="57">
        <f t="shared" si="1"/>
        <v>35000</v>
      </c>
    </row>
    <row r="15" spans="1:15" x14ac:dyDescent="0.35">
      <c r="A15" s="56" t="s">
        <v>550</v>
      </c>
      <c r="B15" s="56">
        <v>3745</v>
      </c>
      <c r="C15" s="56" t="s">
        <v>7</v>
      </c>
      <c r="D15" s="57">
        <v>12500</v>
      </c>
      <c r="E15" s="57">
        <f t="shared" si="0"/>
        <v>327500</v>
      </c>
      <c r="F15" s="57">
        <f t="shared" si="1"/>
        <v>22500</v>
      </c>
    </row>
    <row r="16" spans="1:15" x14ac:dyDescent="0.35">
      <c r="A16" s="56" t="s">
        <v>556</v>
      </c>
      <c r="B16" s="56">
        <v>4404</v>
      </c>
      <c r="C16" s="56" t="s">
        <v>7</v>
      </c>
      <c r="D16" s="57">
        <v>12500</v>
      </c>
      <c r="E16" s="57">
        <f t="shared" si="0"/>
        <v>340000</v>
      </c>
      <c r="F16" s="57">
        <f t="shared" si="1"/>
        <v>10000</v>
      </c>
    </row>
    <row r="17" spans="1:6" x14ac:dyDescent="0.35">
      <c r="A17" s="56" t="s">
        <v>17</v>
      </c>
      <c r="B17" s="56">
        <v>4865</v>
      </c>
      <c r="C17" s="56" t="s">
        <v>7</v>
      </c>
      <c r="D17" s="57">
        <v>10000</v>
      </c>
      <c r="E17" s="57">
        <f t="shared" si="0"/>
        <v>350000</v>
      </c>
      <c r="F17" s="57">
        <f t="shared" si="1"/>
        <v>0</v>
      </c>
    </row>
    <row r="18" spans="1:6" ht="18.5" x14ac:dyDescent="0.45">
      <c r="A18" s="71" t="s">
        <v>383</v>
      </c>
      <c r="B18" s="33"/>
      <c r="C18" s="33"/>
      <c r="D18" s="33"/>
      <c r="E18" s="33"/>
      <c r="F18" s="33"/>
    </row>
    <row r="19" spans="1:6" x14ac:dyDescent="0.35">
      <c r="A19" s="56" t="s">
        <v>553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618DD-C1F7-4B67-B758-3B6B58BFF643}">
  <dimension ref="A1:F29"/>
  <sheetViews>
    <sheetView topLeftCell="A17" workbookViewId="0">
      <selection activeCell="F30" sqref="F30"/>
    </sheetView>
  </sheetViews>
  <sheetFormatPr defaultRowHeight="14.5" x14ac:dyDescent="0.35"/>
  <cols>
    <col min="1" max="1" width="9.453125" bestFit="1" customWidth="1"/>
    <col min="3" max="3" width="10.36328125" customWidth="1"/>
    <col min="6" max="6" width="10.6328125" customWidth="1"/>
  </cols>
  <sheetData>
    <row r="1" spans="1:6" ht="18.5" x14ac:dyDescent="0.45">
      <c r="A1" s="1" t="s">
        <v>469</v>
      </c>
      <c r="B1" s="1"/>
      <c r="C1" s="17"/>
      <c r="D1" s="1"/>
      <c r="E1" s="1"/>
      <c r="F1" s="1"/>
    </row>
    <row r="2" spans="1:6" ht="18.5" x14ac:dyDescent="0.45">
      <c r="A2" s="1" t="s">
        <v>470</v>
      </c>
      <c r="C2" s="1"/>
      <c r="D2" s="1"/>
      <c r="E2" s="1"/>
      <c r="F2" s="1"/>
    </row>
    <row r="3" spans="1:6" ht="18.5" x14ac:dyDescent="0.45">
      <c r="A3" s="1" t="s">
        <v>471</v>
      </c>
      <c r="B3" s="1"/>
      <c r="C3" s="1"/>
      <c r="D3" s="1"/>
      <c r="E3" s="1"/>
      <c r="F3" s="1"/>
    </row>
    <row r="4" spans="1:6" ht="18.5" x14ac:dyDescent="0.45">
      <c r="A4" s="1" t="s">
        <v>801</v>
      </c>
      <c r="B4" s="33"/>
      <c r="C4" s="1"/>
      <c r="D4" s="1"/>
      <c r="E4" s="1"/>
      <c r="F4" s="1"/>
    </row>
    <row r="5" spans="1:6" ht="18.5" x14ac:dyDescent="0.45">
      <c r="A5" s="1" t="s">
        <v>473</v>
      </c>
      <c r="B5" s="1"/>
      <c r="C5" s="1"/>
      <c r="D5" s="1"/>
      <c r="E5" s="1"/>
      <c r="F5" s="1"/>
    </row>
    <row r="6" spans="1:6" ht="18.5" x14ac:dyDescent="0.45">
      <c r="A6" s="1" t="s">
        <v>474</v>
      </c>
      <c r="B6" s="1"/>
      <c r="C6" s="1"/>
      <c r="D6" s="1" t="s">
        <v>270</v>
      </c>
      <c r="E6" s="1"/>
      <c r="F6" s="1"/>
    </row>
    <row r="7" spans="1:6" x14ac:dyDescent="0.35">
      <c r="A7" s="28" t="s">
        <v>3</v>
      </c>
      <c r="B7" s="29" t="s">
        <v>8</v>
      </c>
      <c r="C7" s="29" t="s">
        <v>4</v>
      </c>
      <c r="D7" s="29" t="s">
        <v>9</v>
      </c>
      <c r="E7" s="29" t="s">
        <v>10</v>
      </c>
      <c r="F7" s="29" t="s">
        <v>5</v>
      </c>
    </row>
    <row r="8" spans="1:6" x14ac:dyDescent="0.35">
      <c r="A8" s="30">
        <v>44631</v>
      </c>
      <c r="B8">
        <v>3</v>
      </c>
      <c r="C8" t="s">
        <v>487</v>
      </c>
      <c r="D8" s="36">
        <v>50000</v>
      </c>
      <c r="E8" s="36">
        <v>50000</v>
      </c>
      <c r="F8" s="36">
        <v>500000</v>
      </c>
    </row>
    <row r="9" spans="1:6" x14ac:dyDescent="0.35">
      <c r="A9" s="30">
        <v>45149</v>
      </c>
      <c r="B9">
        <v>4</v>
      </c>
      <c r="C9" t="s">
        <v>487</v>
      </c>
      <c r="D9" s="36">
        <v>20000</v>
      </c>
      <c r="E9" s="36">
        <f>SUM(E8+D9)</f>
        <v>70000</v>
      </c>
      <c r="F9" s="36">
        <f>F8-D9</f>
        <v>480000</v>
      </c>
    </row>
    <row r="10" spans="1:6" x14ac:dyDescent="0.35">
      <c r="A10" t="s">
        <v>475</v>
      </c>
      <c r="B10">
        <v>5</v>
      </c>
      <c r="C10" t="s">
        <v>488</v>
      </c>
      <c r="D10" s="36">
        <v>20000</v>
      </c>
      <c r="E10" s="36">
        <f t="shared" ref="E10:E28" si="0">SUM(E9+D10)</f>
        <v>90000</v>
      </c>
      <c r="F10" s="36">
        <f t="shared" ref="F10:F28" si="1">F9-D10</f>
        <v>460000</v>
      </c>
    </row>
    <row r="11" spans="1:6" x14ac:dyDescent="0.35">
      <c r="A11" t="s">
        <v>476</v>
      </c>
      <c r="B11">
        <v>1531</v>
      </c>
      <c r="C11" t="s">
        <v>488</v>
      </c>
      <c r="D11" s="36">
        <v>10000</v>
      </c>
      <c r="E11" s="36">
        <f t="shared" si="0"/>
        <v>100000</v>
      </c>
      <c r="F11" s="36">
        <f t="shared" si="1"/>
        <v>450000</v>
      </c>
    </row>
    <row r="12" spans="1:6" x14ac:dyDescent="0.35">
      <c r="A12" s="30">
        <v>44963</v>
      </c>
      <c r="B12">
        <v>235</v>
      </c>
      <c r="C12" t="s">
        <v>488</v>
      </c>
      <c r="D12" s="36">
        <v>10000</v>
      </c>
      <c r="E12" s="36">
        <f t="shared" si="0"/>
        <v>110000</v>
      </c>
      <c r="F12" s="36">
        <f t="shared" si="1"/>
        <v>440000</v>
      </c>
    </row>
    <row r="13" spans="1:6" x14ac:dyDescent="0.35">
      <c r="A13" s="30">
        <v>44965</v>
      </c>
      <c r="B13">
        <v>2591</v>
      </c>
      <c r="C13" t="s">
        <v>488</v>
      </c>
      <c r="D13" s="36">
        <v>20000</v>
      </c>
      <c r="E13" s="36">
        <f t="shared" si="0"/>
        <v>130000</v>
      </c>
      <c r="F13" s="36">
        <f t="shared" si="1"/>
        <v>420000</v>
      </c>
    </row>
    <row r="14" spans="1:6" x14ac:dyDescent="0.35">
      <c r="A14" t="s">
        <v>477</v>
      </c>
      <c r="B14">
        <v>3925</v>
      </c>
      <c r="C14" t="s">
        <v>488</v>
      </c>
      <c r="D14" s="36">
        <v>10000</v>
      </c>
      <c r="E14" s="36">
        <f t="shared" si="0"/>
        <v>140000</v>
      </c>
      <c r="F14" s="36">
        <f t="shared" si="1"/>
        <v>410000</v>
      </c>
    </row>
    <row r="15" spans="1:6" x14ac:dyDescent="0.35">
      <c r="A15" t="s">
        <v>478</v>
      </c>
      <c r="B15">
        <v>4503</v>
      </c>
      <c r="C15" t="s">
        <v>488</v>
      </c>
      <c r="D15" s="36">
        <v>10000</v>
      </c>
      <c r="E15" s="36">
        <f t="shared" si="0"/>
        <v>150000</v>
      </c>
      <c r="F15" s="36">
        <f t="shared" si="1"/>
        <v>400000</v>
      </c>
    </row>
    <row r="16" spans="1:6" x14ac:dyDescent="0.35">
      <c r="A16" t="s">
        <v>350</v>
      </c>
      <c r="B16">
        <v>5055</v>
      </c>
      <c r="C16" t="s">
        <v>488</v>
      </c>
      <c r="D16" s="36">
        <v>10000</v>
      </c>
      <c r="E16" s="36">
        <f t="shared" si="0"/>
        <v>160000</v>
      </c>
      <c r="F16" s="36">
        <f t="shared" si="1"/>
        <v>390000</v>
      </c>
    </row>
    <row r="17" spans="1:6" x14ac:dyDescent="0.35">
      <c r="A17" t="s">
        <v>479</v>
      </c>
      <c r="B17">
        <v>6423</v>
      </c>
      <c r="C17" t="s">
        <v>488</v>
      </c>
      <c r="D17" s="36">
        <v>10000</v>
      </c>
      <c r="E17" s="36">
        <f t="shared" si="0"/>
        <v>170000</v>
      </c>
      <c r="F17" s="36">
        <f t="shared" si="1"/>
        <v>380000</v>
      </c>
    </row>
    <row r="18" spans="1:6" x14ac:dyDescent="0.35">
      <c r="A18" s="30">
        <v>45539</v>
      </c>
      <c r="B18">
        <v>7770</v>
      </c>
      <c r="C18" t="s">
        <v>488</v>
      </c>
      <c r="D18" s="36">
        <v>20000</v>
      </c>
      <c r="E18" s="36">
        <f t="shared" si="0"/>
        <v>190000</v>
      </c>
      <c r="F18" s="36">
        <f t="shared" si="1"/>
        <v>360000</v>
      </c>
    </row>
    <row r="19" spans="1:6" x14ac:dyDescent="0.35">
      <c r="A19" t="s">
        <v>480</v>
      </c>
      <c r="B19">
        <v>8547</v>
      </c>
      <c r="C19" t="s">
        <v>488</v>
      </c>
      <c r="D19" s="36">
        <v>10000</v>
      </c>
      <c r="E19" s="36">
        <f t="shared" si="0"/>
        <v>200000</v>
      </c>
      <c r="F19" s="36">
        <f t="shared" si="1"/>
        <v>350000</v>
      </c>
    </row>
    <row r="20" spans="1:6" x14ac:dyDescent="0.35">
      <c r="A20" t="s">
        <v>481</v>
      </c>
      <c r="B20">
        <v>8687</v>
      </c>
      <c r="C20" t="s">
        <v>488</v>
      </c>
      <c r="D20" s="36">
        <v>10000</v>
      </c>
      <c r="E20" s="36">
        <f t="shared" si="0"/>
        <v>210000</v>
      </c>
      <c r="F20" s="36">
        <f t="shared" si="1"/>
        <v>340000</v>
      </c>
    </row>
    <row r="21" spans="1:6" x14ac:dyDescent="0.35">
      <c r="A21" t="s">
        <v>482</v>
      </c>
      <c r="B21">
        <v>12104</v>
      </c>
      <c r="C21" t="s">
        <v>488</v>
      </c>
      <c r="D21" s="36">
        <v>60000</v>
      </c>
      <c r="E21" s="36">
        <f t="shared" si="0"/>
        <v>270000</v>
      </c>
      <c r="F21" s="36">
        <f t="shared" si="1"/>
        <v>280000</v>
      </c>
    </row>
    <row r="22" spans="1:6" x14ac:dyDescent="0.35">
      <c r="A22" t="s">
        <v>262</v>
      </c>
      <c r="B22">
        <v>12695</v>
      </c>
      <c r="C22" t="s">
        <v>488</v>
      </c>
      <c r="D22" s="36">
        <v>20000</v>
      </c>
      <c r="E22" s="36">
        <f t="shared" si="0"/>
        <v>290000</v>
      </c>
      <c r="F22" s="36">
        <f t="shared" si="1"/>
        <v>260000</v>
      </c>
    </row>
    <row r="23" spans="1:6" x14ac:dyDescent="0.35">
      <c r="A23" t="s">
        <v>483</v>
      </c>
      <c r="B23">
        <v>9512</v>
      </c>
      <c r="C23" t="s">
        <v>488</v>
      </c>
      <c r="D23" s="36">
        <v>20000</v>
      </c>
      <c r="E23" s="36">
        <f t="shared" si="0"/>
        <v>310000</v>
      </c>
      <c r="F23" s="36">
        <f t="shared" si="1"/>
        <v>240000</v>
      </c>
    </row>
    <row r="24" spans="1:6" x14ac:dyDescent="0.35">
      <c r="A24" t="s">
        <v>484</v>
      </c>
      <c r="B24">
        <v>10055</v>
      </c>
      <c r="C24" t="s">
        <v>488</v>
      </c>
      <c r="D24" s="36">
        <v>20000</v>
      </c>
      <c r="E24" s="36">
        <f t="shared" si="0"/>
        <v>330000</v>
      </c>
      <c r="F24" s="36">
        <f t="shared" si="1"/>
        <v>220000</v>
      </c>
    </row>
    <row r="25" spans="1:6" x14ac:dyDescent="0.35">
      <c r="A25" t="s">
        <v>99</v>
      </c>
      <c r="B25">
        <v>12168</v>
      </c>
      <c r="C25" t="s">
        <v>488</v>
      </c>
      <c r="D25" s="36">
        <v>30000</v>
      </c>
      <c r="E25" s="36">
        <f t="shared" si="0"/>
        <v>360000</v>
      </c>
      <c r="F25" s="36">
        <f t="shared" si="1"/>
        <v>190000</v>
      </c>
    </row>
    <row r="26" spans="1:6" x14ac:dyDescent="0.35">
      <c r="A26" t="s">
        <v>485</v>
      </c>
      <c r="B26">
        <v>13827</v>
      </c>
      <c r="C26" t="s">
        <v>488</v>
      </c>
      <c r="D26" s="36">
        <v>20000</v>
      </c>
      <c r="E26" s="36">
        <f t="shared" si="0"/>
        <v>380000</v>
      </c>
      <c r="F26" s="36">
        <f t="shared" si="1"/>
        <v>170000</v>
      </c>
    </row>
    <row r="27" spans="1:6" x14ac:dyDescent="0.35">
      <c r="A27" s="30">
        <v>46327</v>
      </c>
      <c r="B27">
        <v>12085</v>
      </c>
      <c r="C27" t="s">
        <v>488</v>
      </c>
      <c r="D27" s="36">
        <v>40000</v>
      </c>
      <c r="E27" s="36">
        <f t="shared" si="0"/>
        <v>420000</v>
      </c>
      <c r="F27" s="36">
        <f t="shared" si="1"/>
        <v>130000</v>
      </c>
    </row>
    <row r="28" spans="1:6" x14ac:dyDescent="0.35">
      <c r="A28" t="s">
        <v>486</v>
      </c>
      <c r="B28">
        <v>13064</v>
      </c>
      <c r="C28" t="s">
        <v>488</v>
      </c>
      <c r="D28" s="36">
        <v>30000</v>
      </c>
      <c r="E28" s="36">
        <f t="shared" si="0"/>
        <v>450000</v>
      </c>
      <c r="F28" s="36">
        <f t="shared" si="1"/>
        <v>100000</v>
      </c>
    </row>
    <row r="29" spans="1:6" x14ac:dyDescent="0.35">
      <c r="A29" t="s">
        <v>802</v>
      </c>
      <c r="B29">
        <v>1587</v>
      </c>
      <c r="C29" t="s">
        <v>488</v>
      </c>
      <c r="D29" s="36">
        <v>30000</v>
      </c>
      <c r="E29" s="36">
        <f>E28+D29</f>
        <v>480000</v>
      </c>
      <c r="F29" s="36">
        <f>F28-D29</f>
        <v>70000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F4FEA-0D01-454B-8D6A-944EE659E493}">
  <dimension ref="A1:F41"/>
  <sheetViews>
    <sheetView topLeftCell="A32" workbookViewId="0">
      <selection activeCell="C47" sqref="C47"/>
    </sheetView>
  </sheetViews>
  <sheetFormatPr defaultRowHeight="14.5" x14ac:dyDescent="0.35"/>
  <cols>
    <col min="1" max="1" width="9.453125" bestFit="1" customWidth="1"/>
    <col min="3" max="3" width="13.54296875" customWidth="1"/>
    <col min="6" max="6" width="10.90625" customWidth="1"/>
  </cols>
  <sheetData>
    <row r="1" spans="1:6" ht="18.5" x14ac:dyDescent="0.45">
      <c r="A1" s="1" t="s">
        <v>339</v>
      </c>
      <c r="B1" s="1"/>
      <c r="C1" s="17"/>
      <c r="D1" s="1"/>
      <c r="E1" s="1"/>
      <c r="F1" s="1"/>
    </row>
    <row r="2" spans="1:6" ht="18.5" x14ac:dyDescent="0.45">
      <c r="A2" s="1" t="s">
        <v>340</v>
      </c>
      <c r="C2" s="1"/>
      <c r="D2" s="1"/>
      <c r="E2" s="1"/>
      <c r="F2" s="1"/>
    </row>
    <row r="3" spans="1:6" ht="18.5" x14ac:dyDescent="0.45">
      <c r="A3" s="1" t="s">
        <v>341</v>
      </c>
      <c r="B3" s="1"/>
      <c r="C3" s="1"/>
      <c r="D3" s="1"/>
      <c r="E3" s="1"/>
      <c r="F3" s="1"/>
    </row>
    <row r="4" spans="1:6" ht="18.5" x14ac:dyDescent="0.45">
      <c r="A4" s="1" t="s">
        <v>367</v>
      </c>
      <c r="B4" s="33"/>
      <c r="C4" s="1"/>
      <c r="D4" s="1"/>
      <c r="E4" s="1"/>
      <c r="F4" s="1"/>
    </row>
    <row r="5" spans="1:6" ht="18.5" x14ac:dyDescent="0.45">
      <c r="A5" s="1" t="s">
        <v>342</v>
      </c>
      <c r="B5" s="1"/>
      <c r="C5" s="1"/>
      <c r="D5" s="1"/>
      <c r="E5" s="1"/>
      <c r="F5" s="1"/>
    </row>
    <row r="6" spans="1:6" ht="18.5" x14ac:dyDescent="0.45">
      <c r="A6" s="1" t="s">
        <v>343</v>
      </c>
      <c r="B6" s="1"/>
      <c r="C6" s="1"/>
      <c r="D6" s="1" t="s">
        <v>344</v>
      </c>
      <c r="E6" s="1"/>
      <c r="F6" s="1"/>
    </row>
    <row r="7" spans="1:6" x14ac:dyDescent="0.35">
      <c r="A7" s="37" t="s">
        <v>3</v>
      </c>
      <c r="B7" s="38" t="s">
        <v>8</v>
      </c>
      <c r="C7" s="38" t="s">
        <v>4</v>
      </c>
      <c r="D7" s="38" t="s">
        <v>9</v>
      </c>
      <c r="E7" s="38" t="s">
        <v>10</v>
      </c>
      <c r="F7" s="38" t="s">
        <v>5</v>
      </c>
    </row>
    <row r="8" spans="1:6" x14ac:dyDescent="0.35">
      <c r="A8" s="3" t="s">
        <v>345</v>
      </c>
      <c r="B8" s="3">
        <v>2494</v>
      </c>
      <c r="C8" s="3" t="s">
        <v>299</v>
      </c>
      <c r="D8" s="4">
        <v>10000</v>
      </c>
      <c r="E8" s="4">
        <v>10000</v>
      </c>
      <c r="F8" s="4">
        <v>515000</v>
      </c>
    </row>
    <row r="9" spans="1:6" x14ac:dyDescent="0.35">
      <c r="A9" s="2">
        <v>45231</v>
      </c>
      <c r="B9" s="3">
        <v>1947</v>
      </c>
      <c r="C9" s="3" t="s">
        <v>100</v>
      </c>
      <c r="D9" s="4">
        <v>110000</v>
      </c>
      <c r="E9" s="4">
        <f>SUM(E8+D9)</f>
        <v>120000</v>
      </c>
      <c r="F9" s="4">
        <f>F8-D9</f>
        <v>405000</v>
      </c>
    </row>
    <row r="10" spans="1:6" x14ac:dyDescent="0.35">
      <c r="A10" s="3" t="s">
        <v>146</v>
      </c>
      <c r="B10" s="3">
        <v>1948</v>
      </c>
      <c r="C10" s="3" t="s">
        <v>88</v>
      </c>
      <c r="D10" s="4">
        <v>10000</v>
      </c>
      <c r="E10" s="4">
        <f t="shared" ref="E10:E38" si="0">SUM(E9+D10)</f>
        <v>130000</v>
      </c>
      <c r="F10" s="4">
        <f t="shared" ref="F10:F38" si="1">F9-D10</f>
        <v>395000</v>
      </c>
    </row>
    <row r="11" spans="1:6" x14ac:dyDescent="0.35">
      <c r="A11" s="3" t="s">
        <v>346</v>
      </c>
      <c r="B11" s="3">
        <v>1947</v>
      </c>
      <c r="C11" s="3" t="s">
        <v>88</v>
      </c>
      <c r="D11" s="4">
        <v>10000</v>
      </c>
      <c r="E11" s="4">
        <f t="shared" si="0"/>
        <v>140000</v>
      </c>
      <c r="F11" s="4">
        <f t="shared" si="1"/>
        <v>385000</v>
      </c>
    </row>
    <row r="12" spans="1:6" x14ac:dyDescent="0.35">
      <c r="A12" s="2">
        <v>45144</v>
      </c>
      <c r="B12" s="3">
        <v>719</v>
      </c>
      <c r="C12" s="3" t="s">
        <v>88</v>
      </c>
      <c r="D12" s="4">
        <v>20000</v>
      </c>
      <c r="E12" s="4">
        <f t="shared" si="0"/>
        <v>160000</v>
      </c>
      <c r="F12" s="4">
        <f t="shared" si="1"/>
        <v>365000</v>
      </c>
    </row>
    <row r="13" spans="1:6" x14ac:dyDescent="0.35">
      <c r="A13" s="3" t="s">
        <v>347</v>
      </c>
      <c r="B13" s="3">
        <v>2909</v>
      </c>
      <c r="C13" s="3" t="s">
        <v>88</v>
      </c>
      <c r="D13" s="4">
        <v>10000</v>
      </c>
      <c r="E13" s="4">
        <f t="shared" si="0"/>
        <v>170000</v>
      </c>
      <c r="F13" s="4">
        <f t="shared" si="1"/>
        <v>355000</v>
      </c>
    </row>
    <row r="14" spans="1:6" x14ac:dyDescent="0.35">
      <c r="A14" s="3" t="s">
        <v>348</v>
      </c>
      <c r="B14" s="3">
        <v>3116</v>
      </c>
      <c r="C14" s="3" t="s">
        <v>88</v>
      </c>
      <c r="D14" s="4">
        <v>10000</v>
      </c>
      <c r="E14" s="4">
        <f t="shared" si="0"/>
        <v>180000</v>
      </c>
      <c r="F14" s="4">
        <f t="shared" si="1"/>
        <v>345000</v>
      </c>
    </row>
    <row r="15" spans="1:6" x14ac:dyDescent="0.35">
      <c r="A15" s="3" t="s">
        <v>349</v>
      </c>
      <c r="B15" s="3">
        <v>3902</v>
      </c>
      <c r="C15" s="3" t="s">
        <v>88</v>
      </c>
      <c r="D15" s="4">
        <v>10000</v>
      </c>
      <c r="E15" s="4">
        <f t="shared" si="0"/>
        <v>190000</v>
      </c>
      <c r="F15" s="4">
        <f t="shared" si="1"/>
        <v>335000</v>
      </c>
    </row>
    <row r="16" spans="1:6" x14ac:dyDescent="0.35">
      <c r="A16" s="3" t="s">
        <v>259</v>
      </c>
      <c r="B16" s="3">
        <v>4413</v>
      </c>
      <c r="C16" s="3" t="s">
        <v>88</v>
      </c>
      <c r="D16" s="4">
        <v>15000</v>
      </c>
      <c r="E16" s="4">
        <f t="shared" si="0"/>
        <v>205000</v>
      </c>
      <c r="F16" s="4">
        <f t="shared" si="1"/>
        <v>320000</v>
      </c>
    </row>
    <row r="17" spans="1:6" x14ac:dyDescent="0.35">
      <c r="A17" s="3" t="s">
        <v>350</v>
      </c>
      <c r="B17" s="3">
        <v>5060</v>
      </c>
      <c r="C17" s="3" t="s">
        <v>88</v>
      </c>
      <c r="D17" s="4">
        <v>15000</v>
      </c>
      <c r="E17" s="4">
        <f t="shared" si="0"/>
        <v>220000</v>
      </c>
      <c r="F17" s="4">
        <f t="shared" si="1"/>
        <v>305000</v>
      </c>
    </row>
    <row r="18" spans="1:6" x14ac:dyDescent="0.35">
      <c r="A18" s="3" t="s">
        <v>351</v>
      </c>
      <c r="B18" s="3">
        <v>5738</v>
      </c>
      <c r="C18" s="3" t="s">
        <v>88</v>
      </c>
      <c r="D18" s="4">
        <v>10000</v>
      </c>
      <c r="E18" s="4">
        <f t="shared" si="0"/>
        <v>230000</v>
      </c>
      <c r="F18" s="4">
        <f t="shared" si="1"/>
        <v>295000</v>
      </c>
    </row>
    <row r="19" spans="1:6" x14ac:dyDescent="0.35">
      <c r="A19" s="3" t="s">
        <v>112</v>
      </c>
      <c r="B19" s="3">
        <v>6799</v>
      </c>
      <c r="C19" s="3" t="s">
        <v>88</v>
      </c>
      <c r="D19" s="4">
        <v>15000</v>
      </c>
      <c r="E19" s="4">
        <f t="shared" si="0"/>
        <v>245000</v>
      </c>
      <c r="F19" s="4">
        <f t="shared" si="1"/>
        <v>280000</v>
      </c>
    </row>
    <row r="20" spans="1:6" x14ac:dyDescent="0.35">
      <c r="A20" s="3" t="s">
        <v>352</v>
      </c>
      <c r="B20" s="3">
        <v>7555</v>
      </c>
      <c r="C20" s="3" t="s">
        <v>88</v>
      </c>
      <c r="D20" s="4">
        <v>10000</v>
      </c>
      <c r="E20" s="4">
        <f t="shared" si="0"/>
        <v>255000</v>
      </c>
      <c r="F20" s="4">
        <f t="shared" si="1"/>
        <v>270000</v>
      </c>
    </row>
    <row r="21" spans="1:6" x14ac:dyDescent="0.35">
      <c r="A21" s="3" t="s">
        <v>353</v>
      </c>
      <c r="B21" s="3">
        <v>8115</v>
      </c>
      <c r="C21" s="3" t="s">
        <v>88</v>
      </c>
      <c r="D21" s="4">
        <v>10000</v>
      </c>
      <c r="E21" s="4">
        <f t="shared" si="0"/>
        <v>265000</v>
      </c>
      <c r="F21" s="4">
        <f t="shared" si="1"/>
        <v>260000</v>
      </c>
    </row>
    <row r="22" spans="1:6" x14ac:dyDescent="0.35">
      <c r="A22" s="3" t="s">
        <v>354</v>
      </c>
      <c r="B22" s="3">
        <v>8678</v>
      </c>
      <c r="C22" s="3" t="s">
        <v>88</v>
      </c>
      <c r="D22" s="4">
        <v>10000</v>
      </c>
      <c r="E22" s="4">
        <f t="shared" si="0"/>
        <v>275000</v>
      </c>
      <c r="F22" s="4">
        <f t="shared" si="1"/>
        <v>250000</v>
      </c>
    </row>
    <row r="23" spans="1:6" x14ac:dyDescent="0.35">
      <c r="A23" s="3" t="s">
        <v>355</v>
      </c>
      <c r="B23" s="3">
        <v>9283</v>
      </c>
      <c r="C23" s="3" t="s">
        <v>88</v>
      </c>
      <c r="D23" s="4">
        <v>10000</v>
      </c>
      <c r="E23" s="4">
        <f t="shared" si="0"/>
        <v>285000</v>
      </c>
      <c r="F23" s="4">
        <f t="shared" si="1"/>
        <v>240000</v>
      </c>
    </row>
    <row r="24" spans="1:6" x14ac:dyDescent="0.35">
      <c r="A24" s="3" t="s">
        <v>356</v>
      </c>
      <c r="B24" s="3">
        <v>11265</v>
      </c>
      <c r="C24" s="3" t="s">
        <v>88</v>
      </c>
      <c r="D24" s="4">
        <v>10000</v>
      </c>
      <c r="E24" s="4">
        <f t="shared" si="0"/>
        <v>295000</v>
      </c>
      <c r="F24" s="4">
        <f t="shared" si="1"/>
        <v>230000</v>
      </c>
    </row>
    <row r="25" spans="1:6" x14ac:dyDescent="0.35">
      <c r="A25" s="3" t="s">
        <v>357</v>
      </c>
      <c r="B25" s="3">
        <v>10153</v>
      </c>
      <c r="C25" s="3" t="s">
        <v>88</v>
      </c>
      <c r="D25" s="4">
        <v>10000</v>
      </c>
      <c r="E25" s="4">
        <f t="shared" si="0"/>
        <v>305000</v>
      </c>
      <c r="F25" s="4">
        <f t="shared" si="1"/>
        <v>220000</v>
      </c>
    </row>
    <row r="26" spans="1:6" x14ac:dyDescent="0.35">
      <c r="A26" s="3" t="s">
        <v>358</v>
      </c>
      <c r="B26" s="3">
        <v>11508</v>
      </c>
      <c r="C26" s="3" t="s">
        <v>88</v>
      </c>
      <c r="D26" s="4">
        <v>10000</v>
      </c>
      <c r="E26" s="4">
        <f t="shared" si="0"/>
        <v>315000</v>
      </c>
      <c r="F26" s="4">
        <f t="shared" si="1"/>
        <v>210000</v>
      </c>
    </row>
    <row r="27" spans="1:6" x14ac:dyDescent="0.35">
      <c r="A27" s="3" t="s">
        <v>359</v>
      </c>
      <c r="B27" s="3">
        <v>12771</v>
      </c>
      <c r="C27" s="3" t="s">
        <v>88</v>
      </c>
      <c r="D27" s="4">
        <v>15000</v>
      </c>
      <c r="E27" s="4">
        <f t="shared" si="0"/>
        <v>330000</v>
      </c>
      <c r="F27" s="4">
        <f t="shared" si="1"/>
        <v>195000</v>
      </c>
    </row>
    <row r="28" spans="1:6" x14ac:dyDescent="0.35">
      <c r="A28" s="3" t="s">
        <v>360</v>
      </c>
      <c r="B28" s="3">
        <v>9162</v>
      </c>
      <c r="C28" s="3" t="s">
        <v>88</v>
      </c>
      <c r="D28" s="4">
        <v>10000</v>
      </c>
      <c r="E28" s="4">
        <f t="shared" si="0"/>
        <v>340000</v>
      </c>
      <c r="F28" s="4">
        <f t="shared" si="1"/>
        <v>185000</v>
      </c>
    </row>
    <row r="29" spans="1:6" x14ac:dyDescent="0.35">
      <c r="A29" s="2">
        <v>45782</v>
      </c>
      <c r="B29" s="3">
        <v>10337</v>
      </c>
      <c r="C29" s="3" t="s">
        <v>88</v>
      </c>
      <c r="D29" s="4">
        <v>10000</v>
      </c>
      <c r="E29" s="4">
        <f t="shared" si="0"/>
        <v>350000</v>
      </c>
      <c r="F29" s="4">
        <f t="shared" si="1"/>
        <v>175000</v>
      </c>
    </row>
    <row r="30" spans="1:6" x14ac:dyDescent="0.35">
      <c r="A30" s="3" t="s">
        <v>361</v>
      </c>
      <c r="B30" s="3">
        <v>12337</v>
      </c>
      <c r="C30" s="3" t="s">
        <v>88</v>
      </c>
      <c r="D30" s="4">
        <v>10000</v>
      </c>
      <c r="E30" s="4">
        <f t="shared" si="0"/>
        <v>360000</v>
      </c>
      <c r="F30" s="4">
        <f t="shared" si="1"/>
        <v>165000</v>
      </c>
    </row>
    <row r="31" spans="1:6" x14ac:dyDescent="0.35">
      <c r="A31" s="3" t="s">
        <v>362</v>
      </c>
      <c r="B31" s="3">
        <v>12332</v>
      </c>
      <c r="C31" s="3" t="s">
        <v>88</v>
      </c>
      <c r="D31" s="4">
        <v>10000</v>
      </c>
      <c r="E31" s="4">
        <f t="shared" si="0"/>
        <v>370000</v>
      </c>
      <c r="F31" s="4">
        <f t="shared" si="1"/>
        <v>155000</v>
      </c>
    </row>
    <row r="32" spans="1:6" x14ac:dyDescent="0.35">
      <c r="A32" s="3" t="s">
        <v>363</v>
      </c>
      <c r="B32" s="3">
        <v>13843</v>
      </c>
      <c r="C32" s="3" t="s">
        <v>88</v>
      </c>
      <c r="D32" s="4">
        <v>10000</v>
      </c>
      <c r="E32" s="4">
        <f t="shared" si="0"/>
        <v>380000</v>
      </c>
      <c r="F32" s="4">
        <f t="shared" si="1"/>
        <v>145000</v>
      </c>
    </row>
    <row r="33" spans="1:6" x14ac:dyDescent="0.35">
      <c r="A33" s="3" t="s">
        <v>364</v>
      </c>
      <c r="B33" s="3">
        <v>13582</v>
      </c>
      <c r="C33" s="3" t="s">
        <v>88</v>
      </c>
      <c r="D33" s="4">
        <v>10000</v>
      </c>
      <c r="E33" s="4">
        <f t="shared" si="0"/>
        <v>390000</v>
      </c>
      <c r="F33" s="4">
        <f t="shared" si="1"/>
        <v>135000</v>
      </c>
    </row>
    <row r="34" spans="1:6" x14ac:dyDescent="0.35">
      <c r="A34" s="3" t="s">
        <v>118</v>
      </c>
      <c r="B34" s="3">
        <v>13202</v>
      </c>
      <c r="C34" s="3" t="s">
        <v>88</v>
      </c>
      <c r="D34" s="4">
        <v>10000</v>
      </c>
      <c r="E34" s="4">
        <f t="shared" si="0"/>
        <v>400000</v>
      </c>
      <c r="F34" s="4">
        <f t="shared" si="1"/>
        <v>125000</v>
      </c>
    </row>
    <row r="35" spans="1:6" x14ac:dyDescent="0.35">
      <c r="A35" s="3" t="s">
        <v>365</v>
      </c>
      <c r="B35" s="3">
        <v>13842</v>
      </c>
      <c r="C35" s="3" t="s">
        <v>88</v>
      </c>
      <c r="D35" s="4">
        <v>10000</v>
      </c>
      <c r="E35" s="4">
        <f t="shared" si="0"/>
        <v>410000</v>
      </c>
      <c r="F35" s="4">
        <f t="shared" si="1"/>
        <v>115000</v>
      </c>
    </row>
    <row r="36" spans="1:6" x14ac:dyDescent="0.35">
      <c r="A36" s="3" t="s">
        <v>366</v>
      </c>
      <c r="B36" s="3">
        <v>12282</v>
      </c>
      <c r="C36" s="3" t="s">
        <v>88</v>
      </c>
      <c r="D36" s="4">
        <v>10000</v>
      </c>
      <c r="E36" s="4">
        <f t="shared" si="0"/>
        <v>420000</v>
      </c>
      <c r="F36" s="4">
        <f t="shared" si="1"/>
        <v>105000</v>
      </c>
    </row>
    <row r="37" spans="1:6" x14ac:dyDescent="0.35">
      <c r="A37" s="3" t="s">
        <v>333</v>
      </c>
      <c r="B37" s="3">
        <v>13964</v>
      </c>
      <c r="C37" s="3" t="s">
        <v>88</v>
      </c>
      <c r="D37" s="4">
        <v>10000</v>
      </c>
      <c r="E37" s="4">
        <f t="shared" si="0"/>
        <v>430000</v>
      </c>
      <c r="F37" s="4">
        <f t="shared" si="1"/>
        <v>95000</v>
      </c>
    </row>
    <row r="38" spans="1:6" x14ac:dyDescent="0.35">
      <c r="A38" s="80" t="s">
        <v>427</v>
      </c>
      <c r="B38" s="32">
        <v>13035</v>
      </c>
      <c r="C38" s="80" t="s">
        <v>88</v>
      </c>
      <c r="D38" s="45">
        <v>10000</v>
      </c>
      <c r="E38" s="45">
        <f t="shared" si="0"/>
        <v>440000</v>
      </c>
      <c r="F38" s="45">
        <f t="shared" si="1"/>
        <v>85000</v>
      </c>
    </row>
    <row r="39" spans="1:6" x14ac:dyDescent="0.35">
      <c r="A39" s="3" t="s">
        <v>784</v>
      </c>
      <c r="B39" s="3">
        <v>13653</v>
      </c>
      <c r="C39" s="3" t="s">
        <v>88</v>
      </c>
      <c r="D39" s="4">
        <v>15000</v>
      </c>
      <c r="E39" s="4">
        <f>E38+D39</f>
        <v>455000</v>
      </c>
      <c r="F39" s="4">
        <f>F38-D39</f>
        <v>70000</v>
      </c>
    </row>
    <row r="40" spans="1:6" x14ac:dyDescent="0.35">
      <c r="A40" s="3" t="s">
        <v>803</v>
      </c>
      <c r="B40" s="3">
        <v>1592</v>
      </c>
      <c r="C40" s="3" t="s">
        <v>88</v>
      </c>
      <c r="D40" s="4">
        <v>10000</v>
      </c>
      <c r="E40" s="4">
        <f>E39+D40</f>
        <v>465000</v>
      </c>
      <c r="F40" s="4">
        <f>F39-D40</f>
        <v>60000</v>
      </c>
    </row>
    <row r="41" spans="1:6" x14ac:dyDescent="0.35">
      <c r="A41" s="3" t="s">
        <v>821</v>
      </c>
      <c r="B41" s="3">
        <v>1796</v>
      </c>
      <c r="C41" s="3" t="s">
        <v>88</v>
      </c>
      <c r="D41" s="4">
        <v>10000</v>
      </c>
      <c r="E41" s="4">
        <f>E40+D41</f>
        <v>475000</v>
      </c>
      <c r="F41" s="4">
        <f>F40-D41</f>
        <v>50000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73BF5-55A7-4A0C-B5FB-7DCDF8F4F1EF}">
  <dimension ref="A1:F21"/>
  <sheetViews>
    <sheetView zoomScale="93" workbookViewId="0">
      <selection activeCell="K22" sqref="K22"/>
    </sheetView>
  </sheetViews>
  <sheetFormatPr defaultRowHeight="14.5" x14ac:dyDescent="0.35"/>
  <cols>
    <col min="1" max="1" width="9.6328125" customWidth="1"/>
    <col min="3" max="3" width="13.26953125" customWidth="1"/>
    <col min="6" max="6" width="11.7265625" customWidth="1"/>
  </cols>
  <sheetData>
    <row r="1" spans="1:6" ht="18.5" x14ac:dyDescent="0.45">
      <c r="A1" s="1" t="s">
        <v>454</v>
      </c>
      <c r="B1" s="1"/>
      <c r="C1" s="17"/>
      <c r="D1" s="1"/>
      <c r="E1" s="1"/>
      <c r="F1" s="1"/>
    </row>
    <row r="2" spans="1:6" ht="18.5" x14ac:dyDescent="0.45">
      <c r="A2" s="1" t="s">
        <v>455</v>
      </c>
      <c r="C2" s="1"/>
      <c r="D2" s="1"/>
      <c r="E2" s="1"/>
      <c r="F2" s="1"/>
    </row>
    <row r="3" spans="1:6" ht="18.5" x14ac:dyDescent="0.45">
      <c r="A3" s="1" t="s">
        <v>456</v>
      </c>
      <c r="B3" s="1"/>
      <c r="C3" s="1"/>
      <c r="D3" s="1"/>
      <c r="E3" s="1"/>
      <c r="F3" s="1"/>
    </row>
    <row r="4" spans="1:6" ht="18.5" x14ac:dyDescent="0.45">
      <c r="A4" s="1" t="s">
        <v>459</v>
      </c>
      <c r="B4" s="33"/>
      <c r="C4" s="1"/>
      <c r="D4" s="1"/>
      <c r="E4" s="1"/>
      <c r="F4" s="1"/>
    </row>
    <row r="5" spans="1:6" ht="18.5" x14ac:dyDescent="0.45">
      <c r="A5" s="1" t="s">
        <v>457</v>
      </c>
      <c r="B5" s="1"/>
      <c r="C5" s="1"/>
      <c r="D5" s="1"/>
      <c r="E5" s="1"/>
      <c r="F5" s="1"/>
    </row>
    <row r="6" spans="1:6" ht="18.5" x14ac:dyDescent="0.45">
      <c r="A6" s="1" t="s">
        <v>458</v>
      </c>
      <c r="B6" s="1"/>
      <c r="C6" s="1"/>
      <c r="D6" s="1" t="s">
        <v>296</v>
      </c>
      <c r="E6" s="1"/>
      <c r="F6" s="1"/>
    </row>
    <row r="7" spans="1:6" x14ac:dyDescent="0.35">
      <c r="A7" s="28" t="s">
        <v>3</v>
      </c>
      <c r="B7" s="29" t="s">
        <v>8</v>
      </c>
      <c r="C7" s="29" t="s">
        <v>4</v>
      </c>
      <c r="D7" s="29" t="s">
        <v>9</v>
      </c>
      <c r="E7" s="29" t="s">
        <v>10</v>
      </c>
      <c r="F7" s="29" t="s">
        <v>5</v>
      </c>
    </row>
    <row r="8" spans="1:6" x14ac:dyDescent="0.35">
      <c r="A8" t="s">
        <v>460</v>
      </c>
      <c r="B8">
        <v>6463</v>
      </c>
      <c r="C8" t="s">
        <v>100</v>
      </c>
      <c r="D8" s="36">
        <v>50000</v>
      </c>
      <c r="E8" s="36">
        <v>50000</v>
      </c>
      <c r="F8" s="36">
        <v>650000</v>
      </c>
    </row>
    <row r="9" spans="1:6" x14ac:dyDescent="0.35">
      <c r="A9" t="s">
        <v>112</v>
      </c>
      <c r="B9">
        <v>6806</v>
      </c>
      <c r="C9" t="s">
        <v>7</v>
      </c>
      <c r="D9" s="36">
        <v>10000</v>
      </c>
      <c r="E9" s="36">
        <f>SUM(E8+D9)</f>
        <v>60000</v>
      </c>
      <c r="F9" s="36">
        <f>F8-D9</f>
        <v>640000</v>
      </c>
    </row>
    <row r="10" spans="1:6" x14ac:dyDescent="0.35">
      <c r="A10" t="s">
        <v>461</v>
      </c>
      <c r="B10">
        <v>8149</v>
      </c>
      <c r="C10" t="s">
        <v>7</v>
      </c>
      <c r="D10" s="36">
        <v>100000</v>
      </c>
      <c r="E10" s="36">
        <f t="shared" ref="E10:E20" si="0">SUM(E9+D10)</f>
        <v>160000</v>
      </c>
      <c r="F10" s="36">
        <f t="shared" ref="F10:F19" si="1">F9-D10</f>
        <v>540000</v>
      </c>
    </row>
    <row r="11" spans="1:6" x14ac:dyDescent="0.35">
      <c r="A11" s="30">
        <v>45418</v>
      </c>
      <c r="B11">
        <v>8864</v>
      </c>
      <c r="C11" t="s">
        <v>7</v>
      </c>
      <c r="D11" s="36">
        <v>10000</v>
      </c>
      <c r="E11" s="36">
        <f t="shared" si="0"/>
        <v>170000</v>
      </c>
      <c r="F11" s="36">
        <f t="shared" si="1"/>
        <v>530000</v>
      </c>
    </row>
    <row r="12" spans="1:6" x14ac:dyDescent="0.35">
      <c r="A12" s="30">
        <v>45511</v>
      </c>
      <c r="B12">
        <v>9450</v>
      </c>
      <c r="C12" t="s">
        <v>7</v>
      </c>
      <c r="D12" s="36">
        <v>15000</v>
      </c>
      <c r="E12" s="36">
        <f t="shared" si="0"/>
        <v>185000</v>
      </c>
      <c r="F12" s="36">
        <f t="shared" si="1"/>
        <v>515000</v>
      </c>
    </row>
    <row r="13" spans="1:6" x14ac:dyDescent="0.35">
      <c r="A13" s="30">
        <v>45543</v>
      </c>
      <c r="B13">
        <v>11081</v>
      </c>
      <c r="C13" t="s">
        <v>7</v>
      </c>
      <c r="D13" s="36">
        <v>10000</v>
      </c>
      <c r="E13" s="36">
        <f t="shared" si="0"/>
        <v>195000</v>
      </c>
      <c r="F13" s="36">
        <f t="shared" si="1"/>
        <v>505000</v>
      </c>
    </row>
    <row r="14" spans="1:6" x14ac:dyDescent="0.35">
      <c r="A14" s="30">
        <v>45482</v>
      </c>
      <c r="B14">
        <v>10577</v>
      </c>
      <c r="C14" t="s">
        <v>7</v>
      </c>
      <c r="D14" s="36">
        <v>10000</v>
      </c>
      <c r="E14" s="36">
        <f t="shared" si="0"/>
        <v>205000</v>
      </c>
      <c r="F14" s="36">
        <f t="shared" si="1"/>
        <v>495000</v>
      </c>
    </row>
    <row r="15" spans="1:6" x14ac:dyDescent="0.35">
      <c r="A15" s="30">
        <v>45483</v>
      </c>
      <c r="B15">
        <v>11466</v>
      </c>
      <c r="C15" t="s">
        <v>7</v>
      </c>
      <c r="D15" s="36">
        <v>10000</v>
      </c>
      <c r="E15" s="36">
        <f t="shared" si="0"/>
        <v>215000</v>
      </c>
      <c r="F15" s="36">
        <f t="shared" si="1"/>
        <v>485000</v>
      </c>
    </row>
    <row r="16" spans="1:6" x14ac:dyDescent="0.35">
      <c r="A16" s="30">
        <v>45484</v>
      </c>
      <c r="B16">
        <v>11919</v>
      </c>
      <c r="C16" t="s">
        <v>7</v>
      </c>
      <c r="D16" s="36">
        <v>10000</v>
      </c>
      <c r="E16" s="36">
        <f t="shared" si="0"/>
        <v>225000</v>
      </c>
      <c r="F16" s="36">
        <f t="shared" si="1"/>
        <v>475000</v>
      </c>
    </row>
    <row r="17" spans="1:6" x14ac:dyDescent="0.35">
      <c r="A17" s="30">
        <v>45577</v>
      </c>
      <c r="B17">
        <v>12300</v>
      </c>
      <c r="C17" t="s">
        <v>7</v>
      </c>
      <c r="D17" s="36">
        <v>10000</v>
      </c>
      <c r="E17" s="36">
        <f t="shared" si="0"/>
        <v>235000</v>
      </c>
      <c r="F17" s="36">
        <f t="shared" si="1"/>
        <v>465000</v>
      </c>
    </row>
    <row r="18" spans="1:6" x14ac:dyDescent="0.35">
      <c r="A18" s="30">
        <v>45992</v>
      </c>
      <c r="B18">
        <v>12013</v>
      </c>
      <c r="C18" t="s">
        <v>7</v>
      </c>
      <c r="D18" s="36">
        <v>10000</v>
      </c>
      <c r="E18" s="36">
        <f t="shared" si="0"/>
        <v>245000</v>
      </c>
      <c r="F18" s="36">
        <f t="shared" si="1"/>
        <v>455000</v>
      </c>
    </row>
    <row r="19" spans="1:6" x14ac:dyDescent="0.35">
      <c r="A19" s="30">
        <v>45963</v>
      </c>
      <c r="C19" t="s">
        <v>7</v>
      </c>
      <c r="D19" s="36">
        <v>10000</v>
      </c>
      <c r="E19" s="36">
        <f t="shared" si="0"/>
        <v>255000</v>
      </c>
      <c r="F19" s="36">
        <f t="shared" si="1"/>
        <v>445000</v>
      </c>
    </row>
    <row r="20" spans="1:6" x14ac:dyDescent="0.35">
      <c r="A20" s="30">
        <v>45967</v>
      </c>
      <c r="B20">
        <v>10275</v>
      </c>
      <c r="C20" t="s">
        <v>7</v>
      </c>
      <c r="D20" s="36">
        <v>50000</v>
      </c>
      <c r="E20" s="36">
        <f t="shared" si="0"/>
        <v>305000</v>
      </c>
      <c r="F20" s="36" t="s">
        <v>397</v>
      </c>
    </row>
    <row r="21" spans="1:6" ht="18.5" x14ac:dyDescent="0.45">
      <c r="A21" s="33" t="s">
        <v>398</v>
      </c>
      <c r="B21" s="33"/>
      <c r="C21" s="33"/>
      <c r="D21" s="33"/>
      <c r="E21" s="33"/>
      <c r="F21" s="33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09760-6FC6-4174-A656-8037ED005444}">
  <dimension ref="A1:G11"/>
  <sheetViews>
    <sheetView workbookViewId="0">
      <selection activeCell="F11" sqref="F11"/>
    </sheetView>
  </sheetViews>
  <sheetFormatPr defaultRowHeight="14.5" x14ac:dyDescent="0.35"/>
  <cols>
    <col min="3" max="3" width="11.1796875" customWidth="1"/>
  </cols>
  <sheetData>
    <row r="1" spans="1:7" ht="18.5" x14ac:dyDescent="0.45">
      <c r="A1" s="1" t="s">
        <v>414</v>
      </c>
      <c r="B1" s="1"/>
      <c r="C1" s="17"/>
      <c r="D1" s="1"/>
      <c r="E1" s="1"/>
      <c r="F1" s="1"/>
    </row>
    <row r="2" spans="1:7" ht="18.5" x14ac:dyDescent="0.45">
      <c r="A2" s="1" t="s">
        <v>415</v>
      </c>
      <c r="C2" s="1"/>
      <c r="D2" s="1"/>
      <c r="E2" s="1"/>
      <c r="F2" s="1"/>
    </row>
    <row r="3" spans="1:7" ht="18.5" x14ac:dyDescent="0.45">
      <c r="A3" s="1" t="s">
        <v>416</v>
      </c>
      <c r="B3" s="1"/>
      <c r="C3" s="1"/>
      <c r="D3" s="1"/>
      <c r="E3" s="1"/>
      <c r="F3" s="1"/>
    </row>
    <row r="4" spans="1:7" ht="18.5" x14ac:dyDescent="0.45">
      <c r="A4" s="1" t="s">
        <v>420</v>
      </c>
      <c r="B4" s="33"/>
      <c r="C4" s="1"/>
      <c r="D4" s="1"/>
      <c r="E4" s="1"/>
      <c r="F4" s="1"/>
    </row>
    <row r="5" spans="1:7" ht="18.5" x14ac:dyDescent="0.45">
      <c r="A5" s="1" t="s">
        <v>417</v>
      </c>
      <c r="B5" s="1"/>
      <c r="C5" s="1"/>
      <c r="D5" s="1"/>
      <c r="E5" s="1"/>
      <c r="F5" s="1"/>
    </row>
    <row r="6" spans="1:7" ht="18.5" x14ac:dyDescent="0.45">
      <c r="A6" s="1" t="s">
        <v>418</v>
      </c>
      <c r="B6" s="1"/>
      <c r="C6" s="1"/>
      <c r="D6" s="1" t="s">
        <v>419</v>
      </c>
      <c r="E6" s="1"/>
      <c r="F6" s="1"/>
    </row>
    <row r="7" spans="1:7" x14ac:dyDescent="0.35">
      <c r="A7" s="28" t="s">
        <v>3</v>
      </c>
      <c r="B7" s="29" t="s">
        <v>8</v>
      </c>
      <c r="C7" s="29" t="s">
        <v>4</v>
      </c>
      <c r="D7" s="29" t="s">
        <v>9</v>
      </c>
      <c r="E7" s="29" t="s">
        <v>10</v>
      </c>
      <c r="F7" s="29" t="s">
        <v>5</v>
      </c>
    </row>
    <row r="8" spans="1:7" x14ac:dyDescent="0.35">
      <c r="B8">
        <v>685</v>
      </c>
      <c r="C8" t="s">
        <v>421</v>
      </c>
      <c r="D8" s="36"/>
      <c r="E8" s="36"/>
      <c r="F8" s="36"/>
    </row>
    <row r="9" spans="1:7" x14ac:dyDescent="0.35">
      <c r="C9" t="s">
        <v>422</v>
      </c>
    </row>
    <row r="10" spans="1:7" x14ac:dyDescent="0.35">
      <c r="C10" t="s">
        <v>423</v>
      </c>
    </row>
    <row r="11" spans="1:7" ht="18.5" x14ac:dyDescent="0.45">
      <c r="A11" s="33" t="s">
        <v>398</v>
      </c>
      <c r="B11" s="33"/>
      <c r="C11" s="33"/>
      <c r="D11" s="33"/>
      <c r="E11" s="33"/>
      <c r="F11" s="33"/>
      <c r="G11" s="33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7463D-DC08-4830-978A-0300A1792E71}">
  <dimension ref="A1:G16"/>
  <sheetViews>
    <sheetView topLeftCell="A5" workbookViewId="0">
      <selection activeCell="A17" sqref="A17"/>
    </sheetView>
  </sheetViews>
  <sheetFormatPr defaultRowHeight="14.5" x14ac:dyDescent="0.35"/>
  <cols>
    <col min="1" max="1" width="9.453125" bestFit="1" customWidth="1"/>
    <col min="3" max="3" width="10.26953125" bestFit="1" customWidth="1"/>
    <col min="4" max="4" width="10.90625" bestFit="1" customWidth="1"/>
    <col min="6" max="6" width="15.26953125" bestFit="1" customWidth="1"/>
  </cols>
  <sheetData>
    <row r="1" spans="1:7" ht="18.5" x14ac:dyDescent="0.45">
      <c r="A1" s="1" t="s">
        <v>134</v>
      </c>
      <c r="B1" s="1"/>
      <c r="C1" s="17"/>
      <c r="D1" s="1"/>
      <c r="E1" s="1"/>
      <c r="F1" s="1"/>
    </row>
    <row r="2" spans="1:7" ht="18.5" x14ac:dyDescent="0.45">
      <c r="A2" s="1" t="s">
        <v>135</v>
      </c>
      <c r="C2" s="1"/>
      <c r="D2" s="1"/>
      <c r="E2" s="1"/>
      <c r="F2" s="1"/>
    </row>
    <row r="3" spans="1:7" ht="18.5" x14ac:dyDescent="0.45">
      <c r="A3" s="1" t="s">
        <v>136</v>
      </c>
      <c r="B3" s="1"/>
      <c r="C3" s="1"/>
      <c r="D3" s="1"/>
      <c r="E3" s="1"/>
      <c r="F3" s="1"/>
    </row>
    <row r="4" spans="1:7" ht="18.5" x14ac:dyDescent="0.45">
      <c r="A4" s="1" t="s">
        <v>535</v>
      </c>
      <c r="B4" s="1"/>
      <c r="C4" s="1"/>
      <c r="D4" s="1"/>
      <c r="E4" s="1"/>
      <c r="F4" s="1"/>
    </row>
    <row r="5" spans="1:7" ht="18.5" x14ac:dyDescent="0.45">
      <c r="A5" s="1" t="s">
        <v>54</v>
      </c>
      <c r="B5" s="1"/>
      <c r="C5" s="1"/>
      <c r="D5" s="1"/>
      <c r="E5" s="1"/>
      <c r="F5" s="1"/>
    </row>
    <row r="6" spans="1:7" ht="18.5" x14ac:dyDescent="0.45">
      <c r="A6" s="1" t="s">
        <v>137</v>
      </c>
      <c r="B6" s="1"/>
      <c r="C6" s="1"/>
      <c r="D6" s="1" t="s">
        <v>138</v>
      </c>
      <c r="E6" s="1"/>
      <c r="F6" s="1"/>
    </row>
    <row r="7" spans="1:7" x14ac:dyDescent="0.35">
      <c r="A7" s="19" t="s">
        <v>3</v>
      </c>
      <c r="B7" s="18" t="s">
        <v>8</v>
      </c>
      <c r="C7" s="18" t="s">
        <v>4</v>
      </c>
      <c r="D7" s="18" t="s">
        <v>9</v>
      </c>
      <c r="E7" s="18" t="s">
        <v>10</v>
      </c>
      <c r="F7" s="18" t="s">
        <v>5</v>
      </c>
      <c r="G7" s="8"/>
    </row>
    <row r="8" spans="1:7" x14ac:dyDescent="0.35">
      <c r="A8" s="20" t="s">
        <v>139</v>
      </c>
      <c r="B8" s="18">
        <v>13914</v>
      </c>
      <c r="C8" s="18" t="s">
        <v>57</v>
      </c>
      <c r="D8" s="21">
        <v>10000</v>
      </c>
      <c r="E8" s="21">
        <v>10000</v>
      </c>
      <c r="F8" s="21">
        <v>640000</v>
      </c>
    </row>
    <row r="9" spans="1:7" x14ac:dyDescent="0.35">
      <c r="A9" s="22" t="s">
        <v>140</v>
      </c>
      <c r="B9" s="18">
        <v>13400</v>
      </c>
      <c r="C9" s="18" t="s">
        <v>88</v>
      </c>
      <c r="D9" s="21">
        <v>50000</v>
      </c>
      <c r="E9" s="21">
        <f t="shared" ref="E9:E14" si="0">SUM(E8+D9)</f>
        <v>60000</v>
      </c>
      <c r="F9" s="21">
        <f t="shared" ref="F9:F14" si="1">F8-D9</f>
        <v>590000</v>
      </c>
    </row>
    <row r="10" spans="1:7" x14ac:dyDescent="0.35">
      <c r="A10" s="18" t="s">
        <v>140</v>
      </c>
      <c r="B10" s="18">
        <v>13001</v>
      </c>
      <c r="C10" s="18" t="s">
        <v>88</v>
      </c>
      <c r="D10" s="21">
        <v>20000</v>
      </c>
      <c r="E10" s="21">
        <f t="shared" si="0"/>
        <v>80000</v>
      </c>
      <c r="F10" s="21">
        <f t="shared" si="1"/>
        <v>570000</v>
      </c>
    </row>
    <row r="11" spans="1:7" x14ac:dyDescent="0.35">
      <c r="A11" s="18" t="s">
        <v>29</v>
      </c>
      <c r="B11" s="18">
        <v>13197</v>
      </c>
      <c r="C11" s="18" t="s">
        <v>88</v>
      </c>
      <c r="D11" s="21">
        <v>10000</v>
      </c>
      <c r="E11" s="21">
        <f t="shared" si="0"/>
        <v>90000</v>
      </c>
      <c r="F11" s="21">
        <f t="shared" si="1"/>
        <v>560000</v>
      </c>
    </row>
    <row r="12" spans="1:7" x14ac:dyDescent="0.35">
      <c r="A12" s="23">
        <v>46144</v>
      </c>
      <c r="B12" s="18">
        <v>12349</v>
      </c>
      <c r="C12" s="18" t="s">
        <v>88</v>
      </c>
      <c r="D12" s="21">
        <v>16000</v>
      </c>
      <c r="E12" s="21">
        <f t="shared" si="0"/>
        <v>106000</v>
      </c>
      <c r="F12" s="21">
        <f t="shared" si="1"/>
        <v>544000</v>
      </c>
    </row>
    <row r="13" spans="1:7" x14ac:dyDescent="0.35">
      <c r="A13" s="30">
        <v>46146</v>
      </c>
      <c r="B13" s="54">
        <v>13137</v>
      </c>
      <c r="C13" s="18" t="s">
        <v>88</v>
      </c>
      <c r="D13" s="21">
        <v>16000</v>
      </c>
      <c r="E13" s="21">
        <f t="shared" si="0"/>
        <v>122000</v>
      </c>
      <c r="F13" s="21">
        <f t="shared" si="1"/>
        <v>528000</v>
      </c>
    </row>
    <row r="14" spans="1:7" x14ac:dyDescent="0.35">
      <c r="A14" s="30">
        <v>46300</v>
      </c>
      <c r="B14" s="54">
        <v>12999</v>
      </c>
      <c r="C14" s="78" t="s">
        <v>88</v>
      </c>
      <c r="D14" s="74">
        <v>8000</v>
      </c>
      <c r="E14" s="79">
        <f t="shared" si="0"/>
        <v>130000</v>
      </c>
      <c r="F14" s="79">
        <f t="shared" si="1"/>
        <v>520000</v>
      </c>
    </row>
    <row r="15" spans="1:7" x14ac:dyDescent="0.35">
      <c r="A15" s="3" t="s">
        <v>789</v>
      </c>
      <c r="B15" s="18">
        <v>1394</v>
      </c>
      <c r="C15" s="18" t="s">
        <v>88</v>
      </c>
      <c r="D15" s="7">
        <v>16000</v>
      </c>
      <c r="E15" s="7">
        <f>E14+D15</f>
        <v>146000</v>
      </c>
      <c r="F15" s="7">
        <f>F14-D15</f>
        <v>504000</v>
      </c>
    </row>
    <row r="16" spans="1:7" x14ac:dyDescent="0.35">
      <c r="A16" s="2">
        <v>46273</v>
      </c>
      <c r="B16" s="18">
        <v>1693</v>
      </c>
      <c r="C16" s="18" t="s">
        <v>88</v>
      </c>
      <c r="D16" s="4">
        <v>8000</v>
      </c>
      <c r="E16" s="4">
        <f>E15+D16</f>
        <v>154000</v>
      </c>
      <c r="F16" s="4">
        <f>F15-D16</f>
        <v>496000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5B644-320D-42C7-BA4F-24EE57E7A0E7}">
  <dimension ref="A1:N28"/>
  <sheetViews>
    <sheetView topLeftCell="A19" workbookViewId="0">
      <selection activeCell="C27" sqref="C27"/>
    </sheetView>
  </sheetViews>
  <sheetFormatPr defaultRowHeight="14.5" x14ac:dyDescent="0.35"/>
  <cols>
    <col min="1" max="1" width="10.453125" bestFit="1" customWidth="1"/>
    <col min="3" max="3" width="17.1796875" customWidth="1"/>
    <col min="4" max="4" width="12.7265625" customWidth="1"/>
    <col min="6" max="6" width="11.36328125" bestFit="1" customWidth="1"/>
  </cols>
  <sheetData>
    <row r="1" spans="1:14" ht="18.5" x14ac:dyDescent="0.45">
      <c r="A1" s="1" t="s">
        <v>213</v>
      </c>
      <c r="B1" s="1"/>
      <c r="C1" s="1"/>
    </row>
    <row r="2" spans="1:14" ht="18.5" x14ac:dyDescent="0.45">
      <c r="A2" s="1" t="s">
        <v>214</v>
      </c>
      <c r="B2" s="1"/>
      <c r="C2" s="1"/>
    </row>
    <row r="3" spans="1:14" ht="18.5" x14ac:dyDescent="0.45">
      <c r="A3" s="1" t="s">
        <v>215</v>
      </c>
      <c r="B3" s="1"/>
      <c r="C3" s="1"/>
    </row>
    <row r="4" spans="1:14" ht="18.5" x14ac:dyDescent="0.45">
      <c r="A4" s="1" t="s">
        <v>216</v>
      </c>
      <c r="B4" s="1"/>
      <c r="C4" s="1"/>
    </row>
    <row r="5" spans="1:14" ht="18.5" x14ac:dyDescent="0.45">
      <c r="A5" s="1" t="s">
        <v>217</v>
      </c>
      <c r="B5" s="1"/>
      <c r="C5" s="1"/>
      <c r="D5" s="1" t="s">
        <v>36</v>
      </c>
      <c r="E5" s="1"/>
      <c r="F5" s="1"/>
    </row>
    <row r="6" spans="1:14" ht="18.5" x14ac:dyDescent="0.45">
      <c r="A6" s="9" t="s">
        <v>3</v>
      </c>
      <c r="B6" s="9" t="s">
        <v>8</v>
      </c>
      <c r="C6" s="9" t="s">
        <v>4</v>
      </c>
      <c r="D6" s="9" t="s">
        <v>9</v>
      </c>
      <c r="E6" s="9" t="s">
        <v>10</v>
      </c>
      <c r="F6" s="9" t="s">
        <v>5</v>
      </c>
      <c r="H6" s="68" t="s">
        <v>539</v>
      </c>
      <c r="I6" s="33"/>
      <c r="J6" s="33"/>
      <c r="K6" s="33"/>
      <c r="L6" s="33"/>
      <c r="M6" s="33"/>
      <c r="N6" s="33"/>
    </row>
    <row r="7" spans="1:14" x14ac:dyDescent="0.35">
      <c r="A7" s="9" t="s">
        <v>218</v>
      </c>
      <c r="B7" s="9">
        <v>25</v>
      </c>
      <c r="C7" s="9" t="s">
        <v>221</v>
      </c>
      <c r="D7" s="25">
        <v>10000</v>
      </c>
      <c r="E7" s="25">
        <v>10000</v>
      </c>
      <c r="F7" s="25">
        <v>590000</v>
      </c>
    </row>
    <row r="8" spans="1:14" x14ac:dyDescent="0.35">
      <c r="A8" s="26">
        <v>45019</v>
      </c>
      <c r="B8" s="9">
        <v>2870</v>
      </c>
      <c r="C8" s="9" t="s">
        <v>222</v>
      </c>
      <c r="D8" s="25">
        <v>110000</v>
      </c>
      <c r="E8" s="25">
        <f>SUM(E7+D8)</f>
        <v>120000</v>
      </c>
      <c r="F8" s="25">
        <f>F7-D8</f>
        <v>480000</v>
      </c>
    </row>
    <row r="9" spans="1:14" x14ac:dyDescent="0.35">
      <c r="A9" s="26">
        <v>45019</v>
      </c>
      <c r="B9" s="9">
        <v>2872</v>
      </c>
      <c r="C9" s="9" t="s">
        <v>88</v>
      </c>
      <c r="D9" s="25">
        <v>10000</v>
      </c>
      <c r="E9" s="25">
        <f t="shared" ref="E9:E28" si="0">SUM(E8+D9)</f>
        <v>130000</v>
      </c>
      <c r="F9" s="25">
        <f t="shared" ref="F9:F28" si="1">F8-D9</f>
        <v>470000</v>
      </c>
    </row>
    <row r="10" spans="1:14" x14ac:dyDescent="0.35">
      <c r="A10" s="9" t="s">
        <v>184</v>
      </c>
      <c r="B10" s="9">
        <v>1214</v>
      </c>
      <c r="C10" s="9" t="s">
        <v>223</v>
      </c>
      <c r="D10" s="25">
        <v>10000</v>
      </c>
      <c r="E10" s="25">
        <f t="shared" si="0"/>
        <v>140000</v>
      </c>
      <c r="F10" s="25">
        <f t="shared" si="1"/>
        <v>460000</v>
      </c>
    </row>
    <row r="11" spans="1:14" x14ac:dyDescent="0.35">
      <c r="A11" s="9" t="s">
        <v>219</v>
      </c>
      <c r="B11" s="9">
        <v>118</v>
      </c>
      <c r="C11" s="9" t="s">
        <v>88</v>
      </c>
      <c r="D11" s="25">
        <v>10000</v>
      </c>
      <c r="E11" s="25">
        <f t="shared" si="0"/>
        <v>150000</v>
      </c>
      <c r="F11" s="25">
        <f t="shared" si="1"/>
        <v>450000</v>
      </c>
    </row>
    <row r="12" spans="1:14" x14ac:dyDescent="0.35">
      <c r="A12" s="9" t="s">
        <v>186</v>
      </c>
      <c r="B12" s="9">
        <v>2759</v>
      </c>
      <c r="C12" s="9" t="s">
        <v>88</v>
      </c>
      <c r="D12" s="25">
        <v>10000</v>
      </c>
      <c r="E12" s="25">
        <f t="shared" si="0"/>
        <v>160000</v>
      </c>
      <c r="F12" s="25">
        <f t="shared" si="1"/>
        <v>440000</v>
      </c>
    </row>
    <row r="13" spans="1:14" x14ac:dyDescent="0.35">
      <c r="A13" s="9" t="s">
        <v>220</v>
      </c>
      <c r="B13" s="9">
        <v>3883</v>
      </c>
      <c r="C13" s="9" t="s">
        <v>224</v>
      </c>
      <c r="D13" s="25">
        <v>20000</v>
      </c>
      <c r="E13" s="25">
        <f t="shared" si="0"/>
        <v>180000</v>
      </c>
      <c r="F13" s="25">
        <f t="shared" si="1"/>
        <v>420000</v>
      </c>
    </row>
    <row r="14" spans="1:14" x14ac:dyDescent="0.35">
      <c r="A14" s="9" t="s">
        <v>188</v>
      </c>
      <c r="B14" s="9">
        <v>5043</v>
      </c>
      <c r="C14" s="9" t="s">
        <v>88</v>
      </c>
      <c r="D14" s="25">
        <v>20000</v>
      </c>
      <c r="E14" s="25">
        <f t="shared" si="0"/>
        <v>200000</v>
      </c>
      <c r="F14" s="25">
        <f t="shared" si="1"/>
        <v>400000</v>
      </c>
    </row>
    <row r="15" spans="1:14" x14ac:dyDescent="0.35">
      <c r="A15" s="26">
        <v>45272</v>
      </c>
      <c r="B15" s="9">
        <v>5534</v>
      </c>
      <c r="C15" s="9" t="s">
        <v>88</v>
      </c>
      <c r="D15" s="25">
        <v>10000</v>
      </c>
      <c r="E15" s="25">
        <f t="shared" si="0"/>
        <v>210000</v>
      </c>
      <c r="F15" s="25">
        <f t="shared" si="1"/>
        <v>390000</v>
      </c>
    </row>
    <row r="16" spans="1:14" x14ac:dyDescent="0.35">
      <c r="A16" s="26">
        <v>45505</v>
      </c>
      <c r="B16" s="9">
        <v>5997</v>
      </c>
      <c r="C16" s="9" t="s">
        <v>88</v>
      </c>
      <c r="D16" s="25">
        <v>20000</v>
      </c>
      <c r="E16" s="25">
        <f t="shared" si="0"/>
        <v>230000</v>
      </c>
      <c r="F16" s="25">
        <f t="shared" si="1"/>
        <v>370000</v>
      </c>
    </row>
    <row r="17" spans="1:6" x14ac:dyDescent="0.35">
      <c r="A17" s="9" t="s">
        <v>190</v>
      </c>
      <c r="B17" s="9">
        <v>6695</v>
      </c>
      <c r="C17" s="9" t="s">
        <v>88</v>
      </c>
      <c r="D17" s="25">
        <v>10000</v>
      </c>
      <c r="E17" s="25">
        <f t="shared" si="0"/>
        <v>240000</v>
      </c>
      <c r="F17" s="25">
        <f t="shared" si="1"/>
        <v>360000</v>
      </c>
    </row>
    <row r="18" spans="1:6" x14ac:dyDescent="0.35">
      <c r="A18" s="9" t="s">
        <v>191</v>
      </c>
      <c r="B18" s="9">
        <v>7515</v>
      </c>
      <c r="C18" s="9" t="s">
        <v>88</v>
      </c>
      <c r="D18" s="25">
        <v>10000</v>
      </c>
      <c r="E18" s="25">
        <f t="shared" si="0"/>
        <v>250000</v>
      </c>
      <c r="F18" s="25">
        <f t="shared" si="1"/>
        <v>350000</v>
      </c>
    </row>
    <row r="19" spans="1:6" x14ac:dyDescent="0.35">
      <c r="A19" s="9" t="s">
        <v>192</v>
      </c>
      <c r="B19" s="9">
        <v>8101</v>
      </c>
      <c r="C19" s="9" t="s">
        <v>88</v>
      </c>
      <c r="D19" s="25">
        <v>10000</v>
      </c>
      <c r="E19" s="25">
        <f t="shared" si="0"/>
        <v>260000</v>
      </c>
      <c r="F19" s="25">
        <f t="shared" si="1"/>
        <v>340000</v>
      </c>
    </row>
    <row r="20" spans="1:6" x14ac:dyDescent="0.35">
      <c r="A20" s="9" t="s">
        <v>114</v>
      </c>
      <c r="B20" s="9">
        <v>9094</v>
      </c>
      <c r="C20" s="9" t="s">
        <v>88</v>
      </c>
      <c r="D20" s="25">
        <v>20000</v>
      </c>
      <c r="E20" s="25">
        <f t="shared" si="0"/>
        <v>280000</v>
      </c>
      <c r="F20" s="25">
        <f t="shared" si="1"/>
        <v>320000</v>
      </c>
    </row>
    <row r="21" spans="1:6" x14ac:dyDescent="0.35">
      <c r="A21" s="26">
        <v>45604</v>
      </c>
      <c r="B21" s="9">
        <v>11046</v>
      </c>
      <c r="C21" s="9" t="s">
        <v>88</v>
      </c>
      <c r="D21" s="25">
        <v>10000</v>
      </c>
      <c r="E21" s="25">
        <f t="shared" si="0"/>
        <v>290000</v>
      </c>
      <c r="F21" s="25">
        <f t="shared" si="1"/>
        <v>310000</v>
      </c>
    </row>
    <row r="22" spans="1:6" x14ac:dyDescent="0.35">
      <c r="A22" s="26">
        <v>45393</v>
      </c>
      <c r="B22" s="9">
        <v>11587</v>
      </c>
      <c r="C22" s="9" t="s">
        <v>88</v>
      </c>
      <c r="D22" s="25">
        <v>10000</v>
      </c>
      <c r="E22" s="25">
        <f t="shared" si="0"/>
        <v>300000</v>
      </c>
      <c r="F22" s="25">
        <f t="shared" si="1"/>
        <v>300000</v>
      </c>
    </row>
    <row r="23" spans="1:6" x14ac:dyDescent="0.35">
      <c r="A23" s="9" t="s">
        <v>225</v>
      </c>
      <c r="B23" s="9">
        <v>12736</v>
      </c>
      <c r="C23" s="9" t="s">
        <v>88</v>
      </c>
      <c r="D23" s="25">
        <v>10000</v>
      </c>
      <c r="E23" s="25">
        <f t="shared" si="0"/>
        <v>310000</v>
      </c>
      <c r="F23" s="25">
        <f t="shared" si="1"/>
        <v>290000</v>
      </c>
    </row>
    <row r="24" spans="1:6" x14ac:dyDescent="0.35">
      <c r="A24" s="9" t="s">
        <v>226</v>
      </c>
      <c r="B24" s="9">
        <v>10871</v>
      </c>
      <c r="C24" s="9" t="s">
        <v>88</v>
      </c>
      <c r="D24" s="25">
        <v>35000</v>
      </c>
      <c r="E24" s="25">
        <f t="shared" si="0"/>
        <v>345000</v>
      </c>
      <c r="F24" s="25">
        <f t="shared" si="1"/>
        <v>255000</v>
      </c>
    </row>
    <row r="25" spans="1:6" x14ac:dyDescent="0.35">
      <c r="A25" s="9" t="s">
        <v>227</v>
      </c>
      <c r="B25" s="9">
        <v>13956</v>
      </c>
      <c r="C25" s="9" t="s">
        <v>88</v>
      </c>
      <c r="D25" s="25">
        <v>20000</v>
      </c>
      <c r="E25" s="25">
        <f t="shared" si="0"/>
        <v>365000</v>
      </c>
      <c r="F25" s="25">
        <f t="shared" si="1"/>
        <v>235000</v>
      </c>
    </row>
    <row r="26" spans="1:6" x14ac:dyDescent="0.35">
      <c r="A26" s="9" t="s">
        <v>228</v>
      </c>
      <c r="B26" s="9">
        <v>13088</v>
      </c>
      <c r="C26" s="9" t="s">
        <v>88</v>
      </c>
      <c r="D26" s="25">
        <v>15000</v>
      </c>
      <c r="E26" s="25">
        <f t="shared" si="0"/>
        <v>380000</v>
      </c>
      <c r="F26" s="25">
        <f t="shared" si="1"/>
        <v>220000</v>
      </c>
    </row>
    <row r="27" spans="1:6" x14ac:dyDescent="0.35">
      <c r="A27" s="9" t="s">
        <v>229</v>
      </c>
      <c r="B27" s="9">
        <v>12205</v>
      </c>
      <c r="C27" s="9" t="s">
        <v>88</v>
      </c>
      <c r="D27" s="25">
        <v>15000</v>
      </c>
      <c r="E27" s="25">
        <f t="shared" si="0"/>
        <v>395000</v>
      </c>
      <c r="F27" s="25">
        <f t="shared" si="1"/>
        <v>205000</v>
      </c>
    </row>
    <row r="28" spans="1:6" x14ac:dyDescent="0.35">
      <c r="A28" s="26">
        <v>46358</v>
      </c>
      <c r="B28" s="9">
        <v>12441</v>
      </c>
      <c r="C28" s="9" t="s">
        <v>88</v>
      </c>
      <c r="D28" s="25">
        <v>5000</v>
      </c>
      <c r="E28" s="25">
        <f t="shared" si="0"/>
        <v>400000</v>
      </c>
      <c r="F28" s="25">
        <f t="shared" si="1"/>
        <v>200000</v>
      </c>
    </row>
  </sheetData>
  <pageMargins left="0.7" right="0.7" top="0.75" bottom="0.75" header="0.3" footer="0.3"/>
  <pageSetup orientation="portrait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CE038-E289-4172-9E42-DDA48A622D5D}">
  <sheetPr codeName="Sheet4"/>
  <dimension ref="A1:F45"/>
  <sheetViews>
    <sheetView topLeftCell="A37" workbookViewId="0">
      <selection activeCell="F46" sqref="F46"/>
    </sheetView>
  </sheetViews>
  <sheetFormatPr defaultRowHeight="14.5" x14ac:dyDescent="0.35"/>
  <cols>
    <col min="1" max="1" width="9.90625" customWidth="1"/>
    <col min="3" max="3" width="13.08984375" bestFit="1" customWidth="1"/>
    <col min="4" max="4" width="10.90625" bestFit="1" customWidth="1"/>
    <col min="5" max="5" width="15.6328125" bestFit="1" customWidth="1"/>
    <col min="6" max="6" width="15.81640625" bestFit="1" customWidth="1"/>
  </cols>
  <sheetData>
    <row r="1" spans="1:6" ht="18.5" x14ac:dyDescent="0.45">
      <c r="A1" s="1" t="s">
        <v>167</v>
      </c>
      <c r="B1" s="1"/>
      <c r="C1" s="1"/>
      <c r="D1" s="1"/>
      <c r="E1" s="1"/>
      <c r="F1" s="1"/>
    </row>
    <row r="2" spans="1:6" ht="18.5" x14ac:dyDescent="0.45">
      <c r="A2" s="1" t="s">
        <v>168</v>
      </c>
      <c r="B2" s="1"/>
      <c r="C2" s="1"/>
      <c r="D2" s="1"/>
      <c r="E2" s="1"/>
      <c r="F2" s="1"/>
    </row>
    <row r="3" spans="1:6" ht="18.5" x14ac:dyDescent="0.45">
      <c r="A3" s="1" t="s">
        <v>169</v>
      </c>
      <c r="B3" s="1"/>
      <c r="C3" s="1"/>
      <c r="D3" s="1"/>
      <c r="E3" s="1"/>
      <c r="F3" s="1"/>
    </row>
    <row r="4" spans="1:6" ht="18.5" x14ac:dyDescent="0.45">
      <c r="A4" s="1" t="s">
        <v>533</v>
      </c>
      <c r="B4" s="1"/>
      <c r="C4" s="1"/>
      <c r="D4" s="1"/>
      <c r="E4" s="1"/>
      <c r="F4" s="1"/>
    </row>
    <row r="5" spans="1:6" ht="18.5" x14ac:dyDescent="0.45">
      <c r="A5" s="1" t="s">
        <v>170</v>
      </c>
      <c r="B5" s="1"/>
      <c r="C5" s="1"/>
      <c r="D5" s="1"/>
      <c r="E5" s="1"/>
      <c r="F5" s="1"/>
    </row>
    <row r="6" spans="1:6" ht="18.5" x14ac:dyDescent="0.45">
      <c r="A6" s="1" t="s">
        <v>171</v>
      </c>
      <c r="B6" s="1"/>
      <c r="C6" s="1"/>
      <c r="D6" s="1" t="s">
        <v>6</v>
      </c>
      <c r="E6" s="1"/>
      <c r="F6" s="1"/>
    </row>
    <row r="7" spans="1:6" x14ac:dyDescent="0.35">
      <c r="A7" s="3" t="s">
        <v>3</v>
      </c>
      <c r="B7" s="3" t="s">
        <v>8</v>
      </c>
      <c r="C7" s="3" t="s">
        <v>4</v>
      </c>
      <c r="D7" s="3" t="s">
        <v>9</v>
      </c>
      <c r="E7" s="3" t="s">
        <v>10</v>
      </c>
      <c r="F7" s="3" t="s">
        <v>5</v>
      </c>
    </row>
    <row r="8" spans="1:6" x14ac:dyDescent="0.35">
      <c r="A8" s="3" t="s">
        <v>14</v>
      </c>
      <c r="B8" s="3">
        <v>1110</v>
      </c>
      <c r="C8" s="3" t="s">
        <v>88</v>
      </c>
      <c r="D8" s="4">
        <v>10000</v>
      </c>
      <c r="E8" s="4">
        <v>10000</v>
      </c>
      <c r="F8" s="4">
        <v>440000</v>
      </c>
    </row>
    <row r="9" spans="1:6" x14ac:dyDescent="0.35">
      <c r="A9" s="3" t="s">
        <v>83</v>
      </c>
      <c r="B9" s="3">
        <v>1210</v>
      </c>
      <c r="C9" s="3" t="s">
        <v>88</v>
      </c>
      <c r="D9" s="4">
        <v>10000</v>
      </c>
      <c r="E9" s="4">
        <f>SUM(E8+D9)</f>
        <v>20000</v>
      </c>
      <c r="F9" s="4">
        <f>F8-D9</f>
        <v>430000</v>
      </c>
    </row>
    <row r="10" spans="1:6" ht="30" customHeight="1" x14ac:dyDescent="0.35">
      <c r="A10" s="3" t="s">
        <v>172</v>
      </c>
      <c r="B10" s="3">
        <v>1808</v>
      </c>
      <c r="C10" s="3" t="s">
        <v>174</v>
      </c>
      <c r="D10" s="4">
        <v>20000</v>
      </c>
      <c r="E10" s="4">
        <f t="shared" ref="E10:E28" si="0">SUM(E9+D10)</f>
        <v>40000</v>
      </c>
      <c r="F10" s="4">
        <f t="shared" ref="F10:F41" si="1">F9-D10</f>
        <v>410000</v>
      </c>
    </row>
    <row r="11" spans="1:6" x14ac:dyDescent="0.35">
      <c r="A11" s="2">
        <v>45020</v>
      </c>
      <c r="B11" s="3">
        <v>1809</v>
      </c>
      <c r="C11" s="3" t="s">
        <v>88</v>
      </c>
      <c r="D11" s="4">
        <v>20000</v>
      </c>
      <c r="E11" s="4">
        <f t="shared" si="0"/>
        <v>60000</v>
      </c>
      <c r="F11" s="4">
        <f t="shared" si="1"/>
        <v>390000</v>
      </c>
    </row>
    <row r="12" spans="1:6" x14ac:dyDescent="0.35">
      <c r="A12" s="2">
        <v>45265</v>
      </c>
      <c r="B12" s="3">
        <v>1526</v>
      </c>
      <c r="C12" s="3" t="s">
        <v>88</v>
      </c>
      <c r="D12" s="4">
        <v>10000</v>
      </c>
      <c r="E12" s="4">
        <f t="shared" si="0"/>
        <v>70000</v>
      </c>
      <c r="F12" s="4">
        <f t="shared" si="1"/>
        <v>380000</v>
      </c>
    </row>
    <row r="13" spans="1:6" x14ac:dyDescent="0.35">
      <c r="A13" s="3" t="s">
        <v>173</v>
      </c>
      <c r="B13" s="3">
        <v>2732</v>
      </c>
      <c r="C13" s="3" t="s">
        <v>88</v>
      </c>
      <c r="D13" s="4">
        <v>20000</v>
      </c>
      <c r="E13" s="4">
        <f t="shared" si="0"/>
        <v>90000</v>
      </c>
      <c r="F13" s="4">
        <f t="shared" si="1"/>
        <v>360000</v>
      </c>
    </row>
    <row r="14" spans="1:6" x14ac:dyDescent="0.35">
      <c r="A14" s="3" t="s">
        <v>15</v>
      </c>
      <c r="B14" s="3">
        <v>2419</v>
      </c>
      <c r="C14" s="3" t="s">
        <v>88</v>
      </c>
      <c r="D14" s="4">
        <v>10000</v>
      </c>
      <c r="E14" s="4">
        <f t="shared" si="0"/>
        <v>100000</v>
      </c>
      <c r="F14" s="4">
        <f t="shared" si="1"/>
        <v>350000</v>
      </c>
    </row>
    <row r="15" spans="1:6" x14ac:dyDescent="0.35">
      <c r="A15" s="3" t="s">
        <v>16</v>
      </c>
      <c r="B15" s="3">
        <v>3653</v>
      </c>
      <c r="C15" s="3" t="s">
        <v>88</v>
      </c>
      <c r="D15" s="4">
        <v>10000</v>
      </c>
      <c r="E15" s="4">
        <f t="shared" si="0"/>
        <v>110000</v>
      </c>
      <c r="F15" s="4">
        <f t="shared" si="1"/>
        <v>340000</v>
      </c>
    </row>
    <row r="16" spans="1:6" x14ac:dyDescent="0.35">
      <c r="A16" s="2">
        <v>45240</v>
      </c>
      <c r="B16" s="3">
        <v>4223</v>
      </c>
      <c r="C16" s="3" t="s">
        <v>88</v>
      </c>
      <c r="D16" s="4">
        <v>10000</v>
      </c>
      <c r="E16" s="4">
        <f t="shared" si="0"/>
        <v>120000</v>
      </c>
      <c r="F16" s="4">
        <f t="shared" si="1"/>
        <v>330000</v>
      </c>
    </row>
    <row r="17" spans="1:6" x14ac:dyDescent="0.35">
      <c r="A17" s="3" t="s">
        <v>17</v>
      </c>
      <c r="B17" s="3">
        <v>4888</v>
      </c>
      <c r="C17" s="3" t="s">
        <v>88</v>
      </c>
      <c r="D17" s="4">
        <v>10000</v>
      </c>
      <c r="E17" s="4">
        <f t="shared" si="0"/>
        <v>130000</v>
      </c>
      <c r="F17" s="4">
        <f t="shared" si="1"/>
        <v>320000</v>
      </c>
    </row>
    <row r="18" spans="1:6" x14ac:dyDescent="0.35">
      <c r="A18" s="2">
        <v>45272</v>
      </c>
      <c r="B18" s="3">
        <v>5521</v>
      </c>
      <c r="C18" s="3" t="s">
        <v>88</v>
      </c>
      <c r="D18" s="4">
        <v>10000</v>
      </c>
      <c r="E18" s="4">
        <f t="shared" si="0"/>
        <v>140000</v>
      </c>
      <c r="F18" s="4">
        <f t="shared" si="1"/>
        <v>310000</v>
      </c>
    </row>
    <row r="19" spans="1:6" x14ac:dyDescent="0.35">
      <c r="A19" s="2">
        <v>45627</v>
      </c>
      <c r="B19" s="3">
        <v>6181</v>
      </c>
      <c r="C19" s="3" t="s">
        <v>88</v>
      </c>
      <c r="D19" s="4">
        <v>10000</v>
      </c>
      <c r="E19" s="4">
        <f t="shared" si="0"/>
        <v>150000</v>
      </c>
      <c r="F19" s="4">
        <f t="shared" si="1"/>
        <v>300000</v>
      </c>
    </row>
    <row r="20" spans="1:6" x14ac:dyDescent="0.35">
      <c r="A20" s="3" t="s">
        <v>18</v>
      </c>
      <c r="B20" s="3">
        <v>7148</v>
      </c>
      <c r="C20" s="3" t="s">
        <v>88</v>
      </c>
      <c r="D20" s="4">
        <v>10000</v>
      </c>
      <c r="E20" s="4">
        <f t="shared" si="0"/>
        <v>160000</v>
      </c>
      <c r="F20" s="4">
        <f t="shared" si="1"/>
        <v>290000</v>
      </c>
    </row>
    <row r="21" spans="1:6" x14ac:dyDescent="0.35">
      <c r="A21" s="2">
        <v>45629</v>
      </c>
      <c r="B21" s="3">
        <v>7318</v>
      </c>
      <c r="C21" s="3" t="s">
        <v>88</v>
      </c>
      <c r="D21" s="4">
        <v>10000</v>
      </c>
      <c r="E21" s="4">
        <f t="shared" si="0"/>
        <v>170000</v>
      </c>
      <c r="F21" s="4">
        <f t="shared" si="1"/>
        <v>280000</v>
      </c>
    </row>
    <row r="22" spans="1:6" x14ac:dyDescent="0.35">
      <c r="A22" s="2">
        <v>45539</v>
      </c>
      <c r="B22" s="3">
        <v>7798</v>
      </c>
      <c r="C22" s="3" t="s">
        <v>88</v>
      </c>
      <c r="D22" s="4">
        <v>10000</v>
      </c>
      <c r="E22" s="4">
        <f t="shared" si="0"/>
        <v>180000</v>
      </c>
      <c r="F22" s="4">
        <f t="shared" si="1"/>
        <v>270000</v>
      </c>
    </row>
    <row r="23" spans="1:6" x14ac:dyDescent="0.35">
      <c r="A23" s="3" t="s">
        <v>19</v>
      </c>
      <c r="B23" s="3">
        <v>8502</v>
      </c>
      <c r="C23" s="3" t="s">
        <v>88</v>
      </c>
      <c r="D23" s="4">
        <v>10000</v>
      </c>
      <c r="E23" s="4">
        <f t="shared" si="0"/>
        <v>190000</v>
      </c>
      <c r="F23" s="4">
        <f t="shared" si="1"/>
        <v>260000</v>
      </c>
    </row>
    <row r="24" spans="1:6" x14ac:dyDescent="0.35">
      <c r="A24" s="3" t="s">
        <v>20</v>
      </c>
      <c r="B24" s="3">
        <v>9132</v>
      </c>
      <c r="C24" s="3" t="s">
        <v>88</v>
      </c>
      <c r="D24" s="4">
        <v>10000</v>
      </c>
      <c r="E24" s="4">
        <f t="shared" si="0"/>
        <v>200000</v>
      </c>
      <c r="F24" s="4">
        <f t="shared" si="1"/>
        <v>250000</v>
      </c>
    </row>
    <row r="25" spans="1:6" x14ac:dyDescent="0.35">
      <c r="A25" s="3" t="s">
        <v>21</v>
      </c>
      <c r="B25" s="3">
        <v>12406</v>
      </c>
      <c r="C25" s="3" t="s">
        <v>88</v>
      </c>
      <c r="D25" s="4">
        <v>10000</v>
      </c>
      <c r="E25" s="4">
        <f t="shared" si="0"/>
        <v>210000</v>
      </c>
      <c r="F25" s="4">
        <f t="shared" si="1"/>
        <v>240000</v>
      </c>
    </row>
    <row r="26" spans="1:6" x14ac:dyDescent="0.35">
      <c r="A26" s="2">
        <v>45635</v>
      </c>
      <c r="B26" s="3">
        <v>10723</v>
      </c>
      <c r="C26" s="3" t="s">
        <v>88</v>
      </c>
      <c r="D26" s="4">
        <v>20000</v>
      </c>
      <c r="E26" s="4">
        <f t="shared" si="0"/>
        <v>230000</v>
      </c>
      <c r="F26" s="4">
        <f t="shared" si="1"/>
        <v>220000</v>
      </c>
    </row>
    <row r="27" spans="1:6" x14ac:dyDescent="0.35">
      <c r="A27" s="3" t="s">
        <v>22</v>
      </c>
      <c r="B27" s="3">
        <v>10305</v>
      </c>
      <c r="C27" s="3" t="s">
        <v>88</v>
      </c>
      <c r="D27" s="4">
        <v>10000</v>
      </c>
      <c r="E27" s="4">
        <f t="shared" si="0"/>
        <v>240000</v>
      </c>
      <c r="F27" s="4">
        <f t="shared" si="1"/>
        <v>210000</v>
      </c>
    </row>
    <row r="28" spans="1:6" x14ac:dyDescent="0.35">
      <c r="A28" s="3" t="s">
        <v>23</v>
      </c>
      <c r="B28" s="3">
        <v>12410</v>
      </c>
      <c r="C28" s="3" t="s">
        <v>88</v>
      </c>
      <c r="D28" s="4">
        <v>10000</v>
      </c>
      <c r="E28" s="4">
        <f t="shared" si="0"/>
        <v>250000</v>
      </c>
      <c r="F28" s="4">
        <f t="shared" si="1"/>
        <v>200000</v>
      </c>
    </row>
    <row r="29" spans="1:6" x14ac:dyDescent="0.35">
      <c r="A29" s="2">
        <v>45577</v>
      </c>
      <c r="B29" s="3">
        <v>12315</v>
      </c>
      <c r="C29" s="3" t="s">
        <v>88</v>
      </c>
      <c r="D29" s="4">
        <v>10000</v>
      </c>
      <c r="E29" s="4">
        <f>SUM(E28+D29)</f>
        <v>260000</v>
      </c>
      <c r="F29" s="4">
        <f t="shared" si="1"/>
        <v>190000</v>
      </c>
    </row>
    <row r="30" spans="1:6" x14ac:dyDescent="0.35">
      <c r="A30" s="2">
        <v>45992</v>
      </c>
      <c r="B30" s="3">
        <v>12816</v>
      </c>
      <c r="C30" s="3" t="s">
        <v>88</v>
      </c>
      <c r="D30" s="4">
        <v>10000</v>
      </c>
      <c r="E30" s="4">
        <f t="shared" ref="E30:E41" si="2">SUM(E29+D30)</f>
        <v>270000</v>
      </c>
      <c r="F30" s="4">
        <f t="shared" si="1"/>
        <v>180000</v>
      </c>
    </row>
    <row r="31" spans="1:6" x14ac:dyDescent="0.35">
      <c r="A31" s="2">
        <v>45840</v>
      </c>
      <c r="B31" s="3">
        <v>13816</v>
      </c>
      <c r="C31" s="3" t="s">
        <v>88</v>
      </c>
      <c r="D31" s="4">
        <v>10000</v>
      </c>
      <c r="E31" s="4">
        <f t="shared" si="2"/>
        <v>280000</v>
      </c>
      <c r="F31" s="4">
        <f t="shared" si="1"/>
        <v>170000</v>
      </c>
    </row>
    <row r="32" spans="1:6" x14ac:dyDescent="0.35">
      <c r="A32" s="3" t="s">
        <v>30</v>
      </c>
      <c r="B32" s="3">
        <v>13816</v>
      </c>
      <c r="C32" s="3" t="s">
        <v>88</v>
      </c>
      <c r="D32" s="4">
        <v>10000</v>
      </c>
      <c r="E32" s="4">
        <f t="shared" si="2"/>
        <v>290000</v>
      </c>
      <c r="F32" s="4">
        <f t="shared" si="1"/>
        <v>160000</v>
      </c>
    </row>
    <row r="33" spans="1:6" x14ac:dyDescent="0.35">
      <c r="A33" s="3" t="s">
        <v>24</v>
      </c>
      <c r="B33" s="3">
        <v>13816</v>
      </c>
      <c r="C33" s="3" t="s">
        <v>88</v>
      </c>
      <c r="D33" s="4">
        <v>10000</v>
      </c>
      <c r="E33" s="4">
        <f t="shared" si="2"/>
        <v>300000</v>
      </c>
      <c r="F33" s="4">
        <f t="shared" si="1"/>
        <v>150000</v>
      </c>
    </row>
    <row r="34" spans="1:6" x14ac:dyDescent="0.35">
      <c r="A34" s="3" t="s">
        <v>175</v>
      </c>
      <c r="B34" s="3">
        <v>13816</v>
      </c>
      <c r="C34" s="3" t="s">
        <v>88</v>
      </c>
      <c r="D34" s="4">
        <v>10000</v>
      </c>
      <c r="E34" s="4">
        <f t="shared" si="2"/>
        <v>310000</v>
      </c>
      <c r="F34" s="4">
        <f t="shared" si="1"/>
        <v>140000</v>
      </c>
    </row>
    <row r="35" spans="1:6" x14ac:dyDescent="0.35">
      <c r="A35" s="2">
        <v>45877</v>
      </c>
      <c r="B35" s="3">
        <v>12438</v>
      </c>
      <c r="C35" s="3" t="s">
        <v>88</v>
      </c>
      <c r="D35" s="4">
        <v>30000</v>
      </c>
      <c r="E35" s="4">
        <f t="shared" si="2"/>
        <v>340000</v>
      </c>
      <c r="F35" s="4">
        <f t="shared" si="1"/>
        <v>110000</v>
      </c>
    </row>
    <row r="36" spans="1:6" x14ac:dyDescent="0.35">
      <c r="A36" s="3" t="s">
        <v>26</v>
      </c>
      <c r="B36" s="3">
        <v>13948</v>
      </c>
      <c r="C36" s="3" t="s">
        <v>88</v>
      </c>
      <c r="D36" s="4">
        <v>10000</v>
      </c>
      <c r="E36" s="4">
        <f t="shared" si="2"/>
        <v>350000</v>
      </c>
      <c r="F36" s="4">
        <f t="shared" si="1"/>
        <v>100000</v>
      </c>
    </row>
    <row r="37" spans="1:6" x14ac:dyDescent="0.35">
      <c r="A37" s="3" t="s">
        <v>27</v>
      </c>
      <c r="B37" s="3">
        <v>13678</v>
      </c>
      <c r="C37" s="3" t="s">
        <v>88</v>
      </c>
      <c r="D37" s="4">
        <v>10000</v>
      </c>
      <c r="E37" s="4">
        <f t="shared" si="2"/>
        <v>360000</v>
      </c>
      <c r="F37" s="4">
        <f t="shared" si="1"/>
        <v>90000</v>
      </c>
    </row>
    <row r="38" spans="1:6" x14ac:dyDescent="0.35">
      <c r="A38" s="3" t="s">
        <v>28</v>
      </c>
      <c r="B38" s="3">
        <v>13094</v>
      </c>
      <c r="C38" s="3" t="s">
        <v>88</v>
      </c>
      <c r="D38" s="4">
        <v>10000</v>
      </c>
      <c r="E38" s="4">
        <f t="shared" si="2"/>
        <v>370000</v>
      </c>
      <c r="F38" s="4">
        <f t="shared" si="1"/>
        <v>80000</v>
      </c>
    </row>
    <row r="39" spans="1:6" x14ac:dyDescent="0.35">
      <c r="A39" s="3" t="s">
        <v>29</v>
      </c>
      <c r="B39" s="3">
        <v>13190</v>
      </c>
      <c r="C39" s="3" t="s">
        <v>88</v>
      </c>
      <c r="D39" s="4">
        <v>10000</v>
      </c>
      <c r="E39" s="4">
        <f t="shared" si="2"/>
        <v>380000</v>
      </c>
      <c r="F39" s="4">
        <f t="shared" si="1"/>
        <v>70000</v>
      </c>
    </row>
    <row r="40" spans="1:6" x14ac:dyDescent="0.35">
      <c r="A40" s="3" t="s">
        <v>176</v>
      </c>
      <c r="B40" s="3">
        <v>12194</v>
      </c>
      <c r="C40" s="3" t="s">
        <v>88</v>
      </c>
      <c r="D40" s="4">
        <v>10000</v>
      </c>
      <c r="E40" s="4">
        <f t="shared" si="2"/>
        <v>390000</v>
      </c>
      <c r="F40" s="4">
        <f t="shared" si="1"/>
        <v>60000</v>
      </c>
    </row>
    <row r="41" spans="1:6" x14ac:dyDescent="0.35">
      <c r="A41" s="2">
        <v>46358</v>
      </c>
      <c r="B41" s="3">
        <v>12450</v>
      </c>
      <c r="C41" s="3" t="s">
        <v>88</v>
      </c>
      <c r="D41" s="4">
        <v>10000</v>
      </c>
      <c r="E41" s="4">
        <f t="shared" si="2"/>
        <v>400000</v>
      </c>
      <c r="F41" s="4">
        <f t="shared" si="1"/>
        <v>50000</v>
      </c>
    </row>
    <row r="42" spans="1:6" x14ac:dyDescent="0.35">
      <c r="A42" s="32" t="s">
        <v>787</v>
      </c>
      <c r="B42" s="32">
        <v>12822</v>
      </c>
      <c r="C42" s="32" t="s">
        <v>88</v>
      </c>
      <c r="D42" s="36">
        <v>10000</v>
      </c>
      <c r="E42" s="36">
        <f>E41+D42</f>
        <v>410000</v>
      </c>
      <c r="F42" s="36">
        <f>F41-D42</f>
        <v>40000</v>
      </c>
    </row>
    <row r="43" spans="1:6" x14ac:dyDescent="0.35">
      <c r="A43" s="32" t="s">
        <v>788</v>
      </c>
      <c r="B43" s="32">
        <v>13318</v>
      </c>
      <c r="C43" s="32" t="s">
        <v>88</v>
      </c>
      <c r="D43" s="36">
        <v>20000</v>
      </c>
      <c r="E43" s="36">
        <f>E42+D43</f>
        <v>430000</v>
      </c>
      <c r="F43" s="36">
        <f>F42-D43</f>
        <v>20000</v>
      </c>
    </row>
    <row r="44" spans="1:6" x14ac:dyDescent="0.35">
      <c r="A44" s="32" t="s">
        <v>786</v>
      </c>
      <c r="B44" s="32">
        <v>13682</v>
      </c>
      <c r="C44" s="32" t="s">
        <v>88</v>
      </c>
      <c r="D44" s="36">
        <v>10000</v>
      </c>
      <c r="E44" s="36">
        <f>E43+D44</f>
        <v>440000</v>
      </c>
      <c r="F44" s="36">
        <f>F43-D44</f>
        <v>10000</v>
      </c>
    </row>
    <row r="45" spans="1:6" x14ac:dyDescent="0.35">
      <c r="A45" s="32" t="s">
        <v>805</v>
      </c>
      <c r="B45" s="32">
        <v>1582</v>
      </c>
      <c r="C45" s="32" t="s">
        <v>88</v>
      </c>
      <c r="D45" s="36">
        <v>10000</v>
      </c>
      <c r="E45" s="36">
        <f>E44+D45</f>
        <v>450000</v>
      </c>
      <c r="F45" s="36">
        <f>F44-D45</f>
        <v>0</v>
      </c>
    </row>
  </sheetData>
  <pageMargins left="0.7" right="0.7" top="0.75" bottom="0.75" header="0.3" footer="0.3"/>
  <pageSetup orientation="portrait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DA903-A7DF-451C-93B6-3CD64EF9FA09}">
  <sheetPr codeName="Sheet5"/>
  <dimension ref="A1:F48"/>
  <sheetViews>
    <sheetView topLeftCell="A33" workbookViewId="0">
      <selection activeCell="A48" sqref="A48"/>
    </sheetView>
  </sheetViews>
  <sheetFormatPr defaultRowHeight="14.5" x14ac:dyDescent="0.35"/>
  <cols>
    <col min="1" max="1" width="10.453125" bestFit="1" customWidth="1"/>
    <col min="3" max="3" width="14.81640625" bestFit="1" customWidth="1"/>
    <col min="4" max="4" width="10.90625" bestFit="1" customWidth="1"/>
    <col min="6" max="6" width="15.81640625" bestFit="1" customWidth="1"/>
  </cols>
  <sheetData>
    <row r="1" spans="1:6" ht="18.5" x14ac:dyDescent="0.45">
      <c r="A1" s="1" t="s">
        <v>0</v>
      </c>
      <c r="B1" s="1"/>
      <c r="C1" s="1"/>
      <c r="D1" s="1"/>
      <c r="E1" s="1"/>
      <c r="F1" s="1"/>
    </row>
    <row r="2" spans="1:6" ht="18.5" x14ac:dyDescent="0.45">
      <c r="A2" s="1" t="s">
        <v>12</v>
      </c>
      <c r="C2" s="1"/>
      <c r="D2" s="1"/>
      <c r="E2" s="1"/>
      <c r="F2" s="1"/>
    </row>
    <row r="3" spans="1:6" ht="18.5" x14ac:dyDescent="0.45">
      <c r="A3" s="1" t="s">
        <v>1</v>
      </c>
      <c r="B3" s="1"/>
      <c r="C3" s="1"/>
      <c r="D3" s="1"/>
      <c r="E3" s="1"/>
      <c r="F3" s="1"/>
    </row>
    <row r="4" spans="1:6" ht="18.5" x14ac:dyDescent="0.45">
      <c r="A4" s="1" t="s">
        <v>536</v>
      </c>
      <c r="B4" s="1"/>
      <c r="C4" s="1"/>
      <c r="D4" s="1"/>
      <c r="E4" s="1"/>
      <c r="F4" s="1"/>
    </row>
    <row r="5" spans="1:6" ht="18.5" x14ac:dyDescent="0.45">
      <c r="A5" s="1" t="s">
        <v>2</v>
      </c>
      <c r="B5" s="1"/>
      <c r="C5" s="1"/>
      <c r="D5" s="1"/>
      <c r="E5" s="1"/>
      <c r="F5" s="1"/>
    </row>
    <row r="6" spans="1:6" ht="18.5" x14ac:dyDescent="0.45">
      <c r="A6" s="1" t="s">
        <v>13</v>
      </c>
      <c r="B6" s="1"/>
      <c r="C6" s="1"/>
      <c r="D6" s="1" t="s">
        <v>6</v>
      </c>
      <c r="E6" s="1"/>
      <c r="F6" s="1"/>
    </row>
    <row r="7" spans="1:6" x14ac:dyDescent="0.35">
      <c r="A7" s="3" t="s">
        <v>3</v>
      </c>
      <c r="B7" s="3" t="s">
        <v>8</v>
      </c>
      <c r="C7" s="3" t="s">
        <v>4</v>
      </c>
      <c r="D7" s="3" t="s">
        <v>9</v>
      </c>
      <c r="E7" s="3" t="s">
        <v>10</v>
      </c>
      <c r="F7" s="3" t="s">
        <v>5</v>
      </c>
    </row>
    <row r="8" spans="1:6" x14ac:dyDescent="0.35">
      <c r="A8" s="5">
        <v>44565</v>
      </c>
      <c r="B8" s="6">
        <v>1818</v>
      </c>
      <c r="C8" s="6" t="s">
        <v>11</v>
      </c>
      <c r="D8" s="6" t="s">
        <v>265</v>
      </c>
      <c r="E8" s="7">
        <v>100000</v>
      </c>
      <c r="F8" s="7">
        <v>450000</v>
      </c>
    </row>
    <row r="9" spans="1:6" x14ac:dyDescent="0.35">
      <c r="A9" s="5" t="s">
        <v>14</v>
      </c>
      <c r="B9" s="6">
        <v>1819</v>
      </c>
      <c r="C9" s="6" t="s">
        <v>7</v>
      </c>
      <c r="D9" s="7">
        <v>20000</v>
      </c>
      <c r="E9" s="7">
        <f>SUM(E8+D9)</f>
        <v>120000</v>
      </c>
      <c r="F9" s="7">
        <f>F8-D9</f>
        <v>430000</v>
      </c>
    </row>
    <row r="10" spans="1:6" x14ac:dyDescent="0.35">
      <c r="A10" s="5">
        <v>45020</v>
      </c>
      <c r="B10" s="6">
        <v>1820</v>
      </c>
      <c r="C10" s="6" t="s">
        <v>7</v>
      </c>
      <c r="D10" s="7">
        <v>20000</v>
      </c>
      <c r="E10" s="7">
        <f t="shared" ref="E10:E31" si="0">SUM(E9+D10)</f>
        <v>140000</v>
      </c>
      <c r="F10" s="7">
        <f t="shared" ref="F10:F37" si="1">F9-D10</f>
        <v>410000</v>
      </c>
    </row>
    <row r="11" spans="1:6" x14ac:dyDescent="0.35">
      <c r="A11" s="5">
        <v>45265</v>
      </c>
      <c r="B11" s="6">
        <v>1821</v>
      </c>
      <c r="C11" s="6" t="s">
        <v>7</v>
      </c>
      <c r="D11" s="7">
        <v>20000</v>
      </c>
      <c r="E11" s="7">
        <f t="shared" si="0"/>
        <v>160000</v>
      </c>
      <c r="F11" s="7">
        <f t="shared" si="1"/>
        <v>390000</v>
      </c>
    </row>
    <row r="12" spans="1:6" x14ac:dyDescent="0.35">
      <c r="A12" s="5">
        <v>45265</v>
      </c>
      <c r="B12" s="6">
        <v>1524</v>
      </c>
      <c r="C12" s="6" t="s">
        <v>7</v>
      </c>
      <c r="D12" s="7">
        <v>10000</v>
      </c>
      <c r="E12" s="7">
        <f t="shared" si="0"/>
        <v>170000</v>
      </c>
      <c r="F12" s="7">
        <f t="shared" si="1"/>
        <v>380000</v>
      </c>
    </row>
    <row r="13" spans="1:6" x14ac:dyDescent="0.35">
      <c r="A13" s="5">
        <v>45267</v>
      </c>
      <c r="B13" s="6">
        <v>2737</v>
      </c>
      <c r="C13" s="6" t="s">
        <v>7</v>
      </c>
      <c r="D13" s="7">
        <v>10000</v>
      </c>
      <c r="E13" s="7">
        <f t="shared" si="0"/>
        <v>180000</v>
      </c>
      <c r="F13" s="7">
        <f t="shared" si="1"/>
        <v>370000</v>
      </c>
    </row>
    <row r="14" spans="1:6" x14ac:dyDescent="0.35">
      <c r="A14" s="5" t="s">
        <v>15</v>
      </c>
      <c r="B14" s="6">
        <v>2417</v>
      </c>
      <c r="C14" s="6" t="s">
        <v>7</v>
      </c>
      <c r="D14" s="7">
        <v>10000</v>
      </c>
      <c r="E14" s="7">
        <f t="shared" si="0"/>
        <v>190000</v>
      </c>
      <c r="F14" s="7">
        <f t="shared" si="1"/>
        <v>360000</v>
      </c>
    </row>
    <row r="15" spans="1:6" x14ac:dyDescent="0.35">
      <c r="A15" s="5" t="s">
        <v>16</v>
      </c>
      <c r="B15" s="6">
        <v>3655</v>
      </c>
      <c r="C15" s="6" t="s">
        <v>7</v>
      </c>
      <c r="D15" s="7">
        <v>10000</v>
      </c>
      <c r="E15" s="7">
        <f t="shared" si="0"/>
        <v>200000</v>
      </c>
      <c r="F15" s="7">
        <f t="shared" si="1"/>
        <v>350000</v>
      </c>
    </row>
    <row r="16" spans="1:6" x14ac:dyDescent="0.35">
      <c r="A16" s="5">
        <v>45240</v>
      </c>
      <c r="B16" s="6">
        <v>4219</v>
      </c>
      <c r="C16" s="6" t="s">
        <v>7</v>
      </c>
      <c r="D16" s="7">
        <v>10000</v>
      </c>
      <c r="E16" s="7">
        <f t="shared" si="0"/>
        <v>210000</v>
      </c>
      <c r="F16" s="7">
        <f t="shared" si="1"/>
        <v>340000</v>
      </c>
    </row>
    <row r="17" spans="1:6" x14ac:dyDescent="0.35">
      <c r="A17" s="6" t="s">
        <v>17</v>
      </c>
      <c r="B17" s="6">
        <v>4886</v>
      </c>
      <c r="C17" s="6" t="s">
        <v>7</v>
      </c>
      <c r="D17" s="7">
        <v>10000</v>
      </c>
      <c r="E17" s="7">
        <f t="shared" si="0"/>
        <v>220000</v>
      </c>
      <c r="F17" s="7">
        <f t="shared" si="1"/>
        <v>330000</v>
      </c>
    </row>
    <row r="18" spans="1:6" x14ac:dyDescent="0.35">
      <c r="A18" s="5">
        <v>45272</v>
      </c>
      <c r="B18" s="6">
        <v>5520</v>
      </c>
      <c r="C18" s="6" t="s">
        <v>7</v>
      </c>
      <c r="D18" s="7">
        <v>10000</v>
      </c>
      <c r="E18" s="7">
        <f t="shared" si="0"/>
        <v>230000</v>
      </c>
      <c r="F18" s="7">
        <f t="shared" si="1"/>
        <v>320000</v>
      </c>
    </row>
    <row r="19" spans="1:6" x14ac:dyDescent="0.35">
      <c r="A19" s="5">
        <v>45627</v>
      </c>
      <c r="B19" s="6">
        <v>6133</v>
      </c>
      <c r="C19" s="6" t="s">
        <v>7</v>
      </c>
      <c r="D19" s="7">
        <v>10000</v>
      </c>
      <c r="E19" s="7">
        <f t="shared" si="0"/>
        <v>240000</v>
      </c>
      <c r="F19" s="7">
        <f t="shared" si="1"/>
        <v>310000</v>
      </c>
    </row>
    <row r="20" spans="1:6" x14ac:dyDescent="0.35">
      <c r="A20" s="6" t="s">
        <v>18</v>
      </c>
      <c r="B20" s="6">
        <v>7152</v>
      </c>
      <c r="C20" s="6" t="s">
        <v>7</v>
      </c>
      <c r="D20" s="7">
        <v>20000</v>
      </c>
      <c r="E20" s="7">
        <f t="shared" si="0"/>
        <v>260000</v>
      </c>
      <c r="F20" s="7">
        <f t="shared" si="1"/>
        <v>290000</v>
      </c>
    </row>
    <row r="21" spans="1:6" x14ac:dyDescent="0.35">
      <c r="A21" s="5">
        <v>45629</v>
      </c>
      <c r="B21" s="6">
        <v>7315</v>
      </c>
      <c r="C21" s="6" t="s">
        <v>7</v>
      </c>
      <c r="D21" s="7">
        <v>10000</v>
      </c>
      <c r="E21" s="7">
        <f t="shared" si="0"/>
        <v>270000</v>
      </c>
      <c r="F21" s="7">
        <f t="shared" si="1"/>
        <v>280000</v>
      </c>
    </row>
    <row r="22" spans="1:6" x14ac:dyDescent="0.35">
      <c r="A22" s="5">
        <v>45539</v>
      </c>
      <c r="B22" s="6">
        <v>7799</v>
      </c>
      <c r="C22" s="6" t="s">
        <v>7</v>
      </c>
      <c r="D22" s="7">
        <v>10000</v>
      </c>
      <c r="E22" s="7">
        <f t="shared" si="0"/>
        <v>280000</v>
      </c>
      <c r="F22" s="7">
        <f t="shared" si="1"/>
        <v>270000</v>
      </c>
    </row>
    <row r="23" spans="1:6" x14ac:dyDescent="0.35">
      <c r="A23" s="6" t="s">
        <v>19</v>
      </c>
      <c r="B23" s="6">
        <v>8563</v>
      </c>
      <c r="C23" s="6" t="s">
        <v>7</v>
      </c>
      <c r="D23" s="7">
        <v>10000</v>
      </c>
      <c r="E23" s="7">
        <f t="shared" si="0"/>
        <v>290000</v>
      </c>
      <c r="F23" s="7">
        <f t="shared" si="1"/>
        <v>260000</v>
      </c>
    </row>
    <row r="24" spans="1:6" x14ac:dyDescent="0.35">
      <c r="A24" s="6" t="s">
        <v>20</v>
      </c>
      <c r="B24" s="6">
        <v>9133</v>
      </c>
      <c r="C24" s="6" t="s">
        <v>7</v>
      </c>
      <c r="D24" s="7">
        <v>10000</v>
      </c>
      <c r="E24" s="7">
        <f t="shared" si="0"/>
        <v>300000</v>
      </c>
      <c r="F24" s="7">
        <f t="shared" si="1"/>
        <v>250000</v>
      </c>
    </row>
    <row r="25" spans="1:6" x14ac:dyDescent="0.35">
      <c r="A25" s="6" t="s">
        <v>21</v>
      </c>
      <c r="B25" s="6">
        <v>12407</v>
      </c>
      <c r="C25" s="6" t="s">
        <v>7</v>
      </c>
      <c r="D25" s="7">
        <v>10000</v>
      </c>
      <c r="E25" s="7">
        <f t="shared" si="0"/>
        <v>310000</v>
      </c>
      <c r="F25" s="7">
        <f t="shared" si="1"/>
        <v>240000</v>
      </c>
    </row>
    <row r="26" spans="1:6" x14ac:dyDescent="0.35">
      <c r="A26" s="5">
        <v>45635</v>
      </c>
      <c r="B26" s="6">
        <v>10726</v>
      </c>
      <c r="C26" s="6" t="s">
        <v>7</v>
      </c>
      <c r="D26" s="7">
        <v>20000</v>
      </c>
      <c r="E26" s="7">
        <f t="shared" si="0"/>
        <v>330000</v>
      </c>
      <c r="F26" s="7">
        <f t="shared" si="1"/>
        <v>220000</v>
      </c>
    </row>
    <row r="27" spans="1:6" x14ac:dyDescent="0.35">
      <c r="A27" s="6" t="s">
        <v>22</v>
      </c>
      <c r="B27" s="6">
        <v>10306</v>
      </c>
      <c r="C27" s="6" t="s">
        <v>7</v>
      </c>
      <c r="D27" s="7">
        <v>10000</v>
      </c>
      <c r="E27" s="7">
        <f t="shared" si="0"/>
        <v>340000</v>
      </c>
      <c r="F27" s="7">
        <f t="shared" si="1"/>
        <v>210000</v>
      </c>
    </row>
    <row r="28" spans="1:6" x14ac:dyDescent="0.35">
      <c r="A28" s="6" t="s">
        <v>23</v>
      </c>
      <c r="B28" s="6">
        <v>12411</v>
      </c>
      <c r="C28" s="6" t="s">
        <v>7</v>
      </c>
      <c r="D28" s="7">
        <v>10000</v>
      </c>
      <c r="E28" s="7">
        <f t="shared" si="0"/>
        <v>350000</v>
      </c>
      <c r="F28" s="7">
        <f t="shared" si="1"/>
        <v>200000</v>
      </c>
    </row>
    <row r="29" spans="1:6" x14ac:dyDescent="0.35">
      <c r="A29" s="5">
        <v>45577</v>
      </c>
      <c r="B29" s="6">
        <v>12314</v>
      </c>
      <c r="C29" s="6" t="s">
        <v>7</v>
      </c>
      <c r="D29" s="7">
        <v>10000</v>
      </c>
      <c r="E29" s="7">
        <f t="shared" si="0"/>
        <v>360000</v>
      </c>
      <c r="F29" s="7">
        <f t="shared" si="1"/>
        <v>190000</v>
      </c>
    </row>
    <row r="30" spans="1:6" x14ac:dyDescent="0.35">
      <c r="A30" s="5">
        <v>45992</v>
      </c>
      <c r="B30" s="6">
        <v>13820</v>
      </c>
      <c r="C30" s="6" t="s">
        <v>7</v>
      </c>
      <c r="D30" s="7">
        <v>10000</v>
      </c>
      <c r="E30" s="7">
        <f t="shared" si="0"/>
        <v>370000</v>
      </c>
      <c r="F30" s="7">
        <f t="shared" si="1"/>
        <v>180000</v>
      </c>
    </row>
    <row r="31" spans="1:6" x14ac:dyDescent="0.35">
      <c r="A31" s="5">
        <v>45840</v>
      </c>
      <c r="B31" s="6">
        <v>13820</v>
      </c>
      <c r="C31" s="6" t="s">
        <v>7</v>
      </c>
      <c r="D31" s="7">
        <v>10000</v>
      </c>
      <c r="E31" s="7">
        <f t="shared" si="0"/>
        <v>380000</v>
      </c>
      <c r="F31" s="7">
        <f t="shared" si="1"/>
        <v>170000</v>
      </c>
    </row>
    <row r="32" spans="1:6" x14ac:dyDescent="0.35">
      <c r="A32" s="6" t="s">
        <v>30</v>
      </c>
      <c r="B32" s="6">
        <v>13820</v>
      </c>
      <c r="C32" s="6" t="s">
        <v>7</v>
      </c>
      <c r="D32" s="7">
        <v>10000</v>
      </c>
      <c r="E32" s="7">
        <f t="shared" ref="E32:E43" si="2">SUM(E31+D32)</f>
        <v>390000</v>
      </c>
      <c r="F32" s="7">
        <f t="shared" si="1"/>
        <v>160000</v>
      </c>
    </row>
    <row r="33" spans="1:6" x14ac:dyDescent="0.35">
      <c r="A33" s="6" t="s">
        <v>24</v>
      </c>
      <c r="B33" s="6">
        <v>13820</v>
      </c>
      <c r="C33" s="6" t="s">
        <v>7</v>
      </c>
      <c r="D33" s="7">
        <v>10000</v>
      </c>
      <c r="E33" s="7">
        <f t="shared" si="2"/>
        <v>400000</v>
      </c>
      <c r="F33" s="7">
        <f t="shared" si="1"/>
        <v>150000</v>
      </c>
    </row>
    <row r="34" spans="1:6" x14ac:dyDescent="0.35">
      <c r="A34" s="6" t="s">
        <v>25</v>
      </c>
      <c r="B34" s="6">
        <v>13820</v>
      </c>
      <c r="C34" s="6" t="s">
        <v>7</v>
      </c>
      <c r="D34" s="7">
        <v>10000</v>
      </c>
      <c r="E34" s="7">
        <f t="shared" si="2"/>
        <v>410000</v>
      </c>
      <c r="F34" s="7">
        <f t="shared" si="1"/>
        <v>140000</v>
      </c>
    </row>
    <row r="35" spans="1:6" x14ac:dyDescent="0.35">
      <c r="A35" s="5">
        <v>45877</v>
      </c>
      <c r="B35" s="6">
        <v>13820</v>
      </c>
      <c r="C35" s="6" t="s">
        <v>7</v>
      </c>
      <c r="D35" s="7">
        <v>30000</v>
      </c>
      <c r="E35" s="7">
        <f t="shared" si="2"/>
        <v>440000</v>
      </c>
      <c r="F35" s="7">
        <f t="shared" si="1"/>
        <v>110000</v>
      </c>
    </row>
    <row r="36" spans="1:6" x14ac:dyDescent="0.35">
      <c r="A36" s="6" t="s">
        <v>26</v>
      </c>
      <c r="B36" s="6">
        <v>13820</v>
      </c>
      <c r="C36" s="6" t="s">
        <v>7</v>
      </c>
      <c r="D36" s="7">
        <v>10000</v>
      </c>
      <c r="E36" s="7">
        <f t="shared" si="2"/>
        <v>450000</v>
      </c>
      <c r="F36" s="7">
        <f t="shared" si="1"/>
        <v>100000</v>
      </c>
    </row>
    <row r="37" spans="1:6" x14ac:dyDescent="0.35">
      <c r="A37" s="6" t="s">
        <v>27</v>
      </c>
      <c r="B37" s="6">
        <v>13679</v>
      </c>
      <c r="C37" s="6" t="s">
        <v>7</v>
      </c>
      <c r="D37" s="7">
        <v>10000</v>
      </c>
      <c r="E37" s="7">
        <f t="shared" si="2"/>
        <v>460000</v>
      </c>
      <c r="F37" s="7">
        <f t="shared" si="1"/>
        <v>90000</v>
      </c>
    </row>
    <row r="38" spans="1:6" x14ac:dyDescent="0.35">
      <c r="A38" s="6" t="s">
        <v>28</v>
      </c>
      <c r="B38" s="6">
        <v>13095</v>
      </c>
      <c r="C38" s="6" t="s">
        <v>7</v>
      </c>
      <c r="D38" s="7">
        <v>10000</v>
      </c>
      <c r="E38" s="7">
        <f t="shared" si="2"/>
        <v>470000</v>
      </c>
      <c r="F38" s="7">
        <f>F37-D38</f>
        <v>80000</v>
      </c>
    </row>
    <row r="39" spans="1:6" x14ac:dyDescent="0.35">
      <c r="A39" s="6" t="s">
        <v>29</v>
      </c>
      <c r="B39" s="6">
        <v>13195</v>
      </c>
      <c r="C39" s="6" t="s">
        <v>7</v>
      </c>
      <c r="D39" s="7">
        <v>10000</v>
      </c>
      <c r="E39" s="7">
        <f t="shared" si="2"/>
        <v>480000</v>
      </c>
      <c r="F39" s="7">
        <f>F38-D39</f>
        <v>70000</v>
      </c>
    </row>
    <row r="40" spans="1:6" ht="14.5" customHeight="1" x14ac:dyDescent="0.35">
      <c r="A40" s="5">
        <v>46054</v>
      </c>
      <c r="B40" s="6">
        <v>12195</v>
      </c>
      <c r="C40" s="6" t="s">
        <v>7</v>
      </c>
      <c r="D40" s="7">
        <v>10000</v>
      </c>
      <c r="E40" s="7">
        <f t="shared" si="2"/>
        <v>490000</v>
      </c>
      <c r="F40" s="7">
        <f>F39-D40</f>
        <v>60000</v>
      </c>
    </row>
    <row r="41" spans="1:6" ht="14.5" customHeight="1" x14ac:dyDescent="0.35">
      <c r="A41" s="5">
        <v>46358</v>
      </c>
      <c r="B41" s="6">
        <v>12415</v>
      </c>
      <c r="C41" s="6" t="s">
        <v>7</v>
      </c>
      <c r="D41" s="7">
        <v>10000</v>
      </c>
      <c r="E41" s="7">
        <f t="shared" si="2"/>
        <v>500000</v>
      </c>
      <c r="F41" s="7">
        <f>F40-D41</f>
        <v>50000</v>
      </c>
    </row>
    <row r="42" spans="1:6" x14ac:dyDescent="0.35">
      <c r="A42" s="2">
        <v>46300</v>
      </c>
      <c r="B42" s="6">
        <v>13315</v>
      </c>
      <c r="C42" s="6" t="s">
        <v>7</v>
      </c>
      <c r="D42" s="4">
        <v>20000</v>
      </c>
      <c r="E42" s="7">
        <f t="shared" si="2"/>
        <v>520000</v>
      </c>
      <c r="F42" s="7">
        <f t="shared" ref="F42:F43" si="3">F41-D42</f>
        <v>30000</v>
      </c>
    </row>
    <row r="43" spans="1:6" x14ac:dyDescent="0.35">
      <c r="A43" s="2">
        <v>46329</v>
      </c>
      <c r="B43" s="6">
        <v>12823</v>
      </c>
      <c r="C43" s="6" t="s">
        <v>7</v>
      </c>
      <c r="D43" s="4">
        <v>10000</v>
      </c>
      <c r="E43" s="7">
        <f t="shared" si="2"/>
        <v>530000</v>
      </c>
      <c r="F43" s="7">
        <f t="shared" si="3"/>
        <v>20000</v>
      </c>
    </row>
    <row r="44" spans="1:6" x14ac:dyDescent="0.35">
      <c r="A44" t="s">
        <v>786</v>
      </c>
      <c r="B44" s="31">
        <v>13681</v>
      </c>
      <c r="C44" s="31" t="s">
        <v>7</v>
      </c>
      <c r="D44" s="36">
        <v>10000</v>
      </c>
      <c r="E44" s="36">
        <f>E43+D44</f>
        <v>540000</v>
      </c>
      <c r="F44" s="36">
        <f>F43-D44</f>
        <v>10000</v>
      </c>
    </row>
    <row r="45" spans="1:6" x14ac:dyDescent="0.35">
      <c r="A45" t="s">
        <v>804</v>
      </c>
      <c r="B45" s="31">
        <v>1581</v>
      </c>
      <c r="D45" s="36">
        <v>10000</v>
      </c>
      <c r="E45" s="36">
        <f>E44+D45</f>
        <v>550000</v>
      </c>
      <c r="F45" s="36">
        <f>F44-D45</f>
        <v>0</v>
      </c>
    </row>
    <row r="48" spans="1:6" x14ac:dyDescent="0.35">
      <c r="A48" t="s">
        <v>442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93F0C-C466-47A8-98DD-B316A7A2CAF1}">
  <dimension ref="A1:K14"/>
  <sheetViews>
    <sheetView workbookViewId="0">
      <selection activeCell="D15" sqref="D15"/>
    </sheetView>
  </sheetViews>
  <sheetFormatPr defaultRowHeight="14.5" x14ac:dyDescent="0.35"/>
  <cols>
    <col min="1" max="1" width="9.453125" bestFit="1" customWidth="1"/>
    <col min="3" max="3" width="10.453125" customWidth="1"/>
    <col min="6" max="6" width="11.36328125" bestFit="1" customWidth="1"/>
  </cols>
  <sheetData>
    <row r="1" spans="1:11" ht="18.5" x14ac:dyDescent="0.45">
      <c r="A1" s="1" t="s">
        <v>178</v>
      </c>
      <c r="B1" s="1"/>
      <c r="C1" s="1"/>
      <c r="D1" s="1"/>
      <c r="E1" s="1"/>
      <c r="F1" s="1"/>
    </row>
    <row r="2" spans="1:11" ht="18.5" x14ac:dyDescent="0.45">
      <c r="A2" s="1" t="s">
        <v>179</v>
      </c>
      <c r="B2" s="1"/>
      <c r="C2" s="1"/>
      <c r="D2" s="1"/>
      <c r="E2" s="1"/>
      <c r="F2" s="1"/>
    </row>
    <row r="3" spans="1:11" ht="18.5" x14ac:dyDescent="0.45">
      <c r="A3" s="1" t="s">
        <v>180</v>
      </c>
      <c r="B3" s="1"/>
      <c r="C3" s="1"/>
      <c r="D3" s="1"/>
      <c r="E3" s="1"/>
      <c r="F3" s="1"/>
    </row>
    <row r="4" spans="1:11" ht="18.5" x14ac:dyDescent="0.45">
      <c r="A4" s="1" t="s">
        <v>559</v>
      </c>
      <c r="B4" s="1"/>
      <c r="C4" s="1"/>
      <c r="D4" s="1"/>
      <c r="E4" s="1"/>
      <c r="F4" s="1"/>
    </row>
    <row r="5" spans="1:11" ht="18.5" x14ac:dyDescent="0.45">
      <c r="A5" s="1" t="s">
        <v>291</v>
      </c>
      <c r="B5" s="1"/>
      <c r="C5" s="1"/>
      <c r="D5" s="1"/>
      <c r="E5" s="1"/>
      <c r="F5" s="1"/>
    </row>
    <row r="6" spans="1:11" ht="21" x14ac:dyDescent="0.5">
      <c r="A6" s="1" t="s">
        <v>177</v>
      </c>
      <c r="B6" s="1"/>
      <c r="C6" s="1"/>
      <c r="D6" s="1" t="s">
        <v>289</v>
      </c>
      <c r="E6" s="1"/>
      <c r="F6" s="1"/>
      <c r="H6" s="72" t="s">
        <v>582</v>
      </c>
      <c r="I6" s="72"/>
      <c r="J6" s="72"/>
      <c r="K6" s="72"/>
    </row>
    <row r="7" spans="1:11" x14ac:dyDescent="0.35">
      <c r="A7" s="3" t="s">
        <v>3</v>
      </c>
      <c r="B7" s="3" t="s">
        <v>8</v>
      </c>
      <c r="C7" s="3" t="s">
        <v>4</v>
      </c>
      <c r="D7" s="3" t="s">
        <v>9</v>
      </c>
      <c r="E7" s="3" t="s">
        <v>10</v>
      </c>
      <c r="F7" s="3" t="s">
        <v>5</v>
      </c>
    </row>
    <row r="8" spans="1:11" x14ac:dyDescent="0.35">
      <c r="A8" s="2">
        <v>46328</v>
      </c>
      <c r="B8" s="3">
        <v>12439</v>
      </c>
      <c r="C8" s="3" t="s">
        <v>57</v>
      </c>
      <c r="D8" s="4">
        <v>200000</v>
      </c>
      <c r="E8" s="4">
        <v>200000</v>
      </c>
      <c r="F8" s="4">
        <v>725000</v>
      </c>
    </row>
    <row r="9" spans="1:11" x14ac:dyDescent="0.35">
      <c r="A9" s="3" t="s">
        <v>288</v>
      </c>
      <c r="B9" s="3">
        <v>12872</v>
      </c>
      <c r="C9" s="3" t="s">
        <v>88</v>
      </c>
      <c r="D9" s="4">
        <v>25000</v>
      </c>
      <c r="E9" s="4">
        <f>SUM(E8+D9)</f>
        <v>225000</v>
      </c>
      <c r="F9" s="4">
        <f>F8-D9</f>
        <v>700000</v>
      </c>
    </row>
    <row r="10" spans="1:11" x14ac:dyDescent="0.35">
      <c r="A10" t="s">
        <v>425</v>
      </c>
      <c r="B10">
        <v>13030</v>
      </c>
      <c r="C10" s="3" t="s">
        <v>88</v>
      </c>
      <c r="D10" s="36">
        <v>20000</v>
      </c>
      <c r="E10" s="4">
        <f t="shared" ref="E10:E11" si="0">SUM(E9+D10)</f>
        <v>245000</v>
      </c>
      <c r="F10" s="4">
        <f t="shared" ref="F10:F11" si="1">F9-D10</f>
        <v>680000</v>
      </c>
    </row>
    <row r="11" spans="1:11" x14ac:dyDescent="0.35">
      <c r="A11" t="s">
        <v>617</v>
      </c>
      <c r="B11">
        <v>13409</v>
      </c>
      <c r="C11" s="3" t="s">
        <v>88</v>
      </c>
      <c r="D11" s="36">
        <v>10000</v>
      </c>
      <c r="E11" s="4">
        <f t="shared" si="0"/>
        <v>255000</v>
      </c>
      <c r="F11" s="4">
        <f t="shared" si="1"/>
        <v>670000</v>
      </c>
    </row>
    <row r="12" spans="1:11" x14ac:dyDescent="0.35">
      <c r="A12" t="s">
        <v>785</v>
      </c>
      <c r="B12">
        <v>13672</v>
      </c>
      <c r="C12" s="32" t="s">
        <v>88</v>
      </c>
      <c r="D12" s="36">
        <v>10000</v>
      </c>
      <c r="E12" s="36">
        <f>E11+D12</f>
        <v>265000</v>
      </c>
      <c r="F12" s="36">
        <f>F11-D12</f>
        <v>660000</v>
      </c>
    </row>
    <row r="13" spans="1:11" x14ac:dyDescent="0.35">
      <c r="A13" t="s">
        <v>800</v>
      </c>
      <c r="B13">
        <v>1522</v>
      </c>
      <c r="C13" s="32" t="s">
        <v>88</v>
      </c>
      <c r="D13" s="36">
        <v>10000</v>
      </c>
      <c r="E13" s="36">
        <f>E12+D13</f>
        <v>275000</v>
      </c>
      <c r="F13" s="36">
        <f>F12-D13</f>
        <v>650000</v>
      </c>
    </row>
    <row r="14" spans="1:11" x14ac:dyDescent="0.35">
      <c r="A14" t="s">
        <v>822</v>
      </c>
      <c r="B14">
        <v>1817</v>
      </c>
      <c r="C14" s="32" t="s">
        <v>88</v>
      </c>
      <c r="D14" s="36">
        <v>10000</v>
      </c>
      <c r="E14" s="36">
        <f>E13+D14</f>
        <v>285000</v>
      </c>
      <c r="F14" s="36">
        <f>F13-D14</f>
        <v>640000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8139-1EE7-4BB9-A8C4-0C8711E995BC}">
  <dimension ref="A1:F37"/>
  <sheetViews>
    <sheetView workbookViewId="0">
      <selection activeCell="J20" sqref="J20"/>
    </sheetView>
  </sheetViews>
  <sheetFormatPr defaultRowHeight="14.5" x14ac:dyDescent="0.35"/>
  <cols>
    <col min="1" max="1" width="9.453125" bestFit="1" customWidth="1"/>
    <col min="3" max="3" width="16.81640625" customWidth="1"/>
    <col min="4" max="4" width="10.90625" bestFit="1" customWidth="1"/>
    <col min="6" max="6" width="11.36328125" bestFit="1" customWidth="1"/>
  </cols>
  <sheetData>
    <row r="1" spans="1:6" ht="18.5" x14ac:dyDescent="0.45">
      <c r="A1" s="1" t="s">
        <v>207</v>
      </c>
      <c r="B1" s="1"/>
      <c r="C1" s="1"/>
      <c r="D1" s="1"/>
      <c r="E1" s="1"/>
      <c r="F1" s="1"/>
    </row>
    <row r="2" spans="1:6" ht="18.5" x14ac:dyDescent="0.45">
      <c r="A2" s="1" t="s">
        <v>208</v>
      </c>
      <c r="B2" s="1"/>
      <c r="C2" s="1"/>
      <c r="D2" s="1"/>
      <c r="E2" s="1"/>
      <c r="F2" s="1"/>
    </row>
    <row r="3" spans="1:6" ht="18.5" x14ac:dyDescent="0.45">
      <c r="A3" s="1" t="s">
        <v>209</v>
      </c>
      <c r="B3" s="1"/>
      <c r="C3" s="1"/>
      <c r="D3" s="1"/>
      <c r="E3" s="1"/>
      <c r="F3" s="1"/>
    </row>
    <row r="4" spans="1:6" ht="18.5" x14ac:dyDescent="0.45">
      <c r="A4" s="1" t="s">
        <v>210</v>
      </c>
      <c r="B4" s="1"/>
      <c r="C4" s="1"/>
      <c r="D4" s="1"/>
      <c r="E4" s="1"/>
      <c r="F4" s="1"/>
    </row>
    <row r="5" spans="1:6" ht="18.5" x14ac:dyDescent="0.45">
      <c r="A5" s="1" t="s">
        <v>181</v>
      </c>
      <c r="B5" s="1"/>
      <c r="C5" s="1"/>
      <c r="D5" s="1" t="s">
        <v>36</v>
      </c>
      <c r="E5" s="1"/>
      <c r="F5" s="1"/>
    </row>
    <row r="6" spans="1:6" x14ac:dyDescent="0.35">
      <c r="A6" s="3" t="s">
        <v>3</v>
      </c>
      <c r="B6" s="3" t="s">
        <v>8</v>
      </c>
      <c r="C6" s="3" t="s">
        <v>4</v>
      </c>
      <c r="D6" s="3" t="s">
        <v>9</v>
      </c>
      <c r="E6" s="3" t="s">
        <v>10</v>
      </c>
      <c r="F6" s="3" t="s">
        <v>5</v>
      </c>
    </row>
    <row r="7" spans="1:6" x14ac:dyDescent="0.35">
      <c r="A7" s="3" t="s">
        <v>182</v>
      </c>
      <c r="B7" s="3">
        <v>17</v>
      </c>
      <c r="C7" s="3" t="s">
        <v>56</v>
      </c>
      <c r="D7" s="4">
        <v>10000</v>
      </c>
      <c r="E7" s="4">
        <v>10000</v>
      </c>
      <c r="F7" s="4">
        <v>590000</v>
      </c>
    </row>
    <row r="8" spans="1:6" x14ac:dyDescent="0.35">
      <c r="A8" s="3" t="s">
        <v>83</v>
      </c>
      <c r="B8" s="3">
        <v>1670</v>
      </c>
      <c r="C8" s="3" t="s">
        <v>57</v>
      </c>
      <c r="D8" s="4">
        <v>110000</v>
      </c>
      <c r="E8" s="4">
        <f>SUM(E7+D8)</f>
        <v>120000</v>
      </c>
      <c r="F8" s="4">
        <f>F7-D8</f>
        <v>480000</v>
      </c>
    </row>
    <row r="9" spans="1:6" x14ac:dyDescent="0.35">
      <c r="A9" s="3" t="s">
        <v>183</v>
      </c>
      <c r="B9" s="3">
        <v>1499</v>
      </c>
      <c r="C9" s="3" t="s">
        <v>11</v>
      </c>
      <c r="D9" s="4">
        <v>10000</v>
      </c>
      <c r="E9" s="4">
        <f t="shared" ref="E9:E37" si="0">SUM(E8+D9)</f>
        <v>130000</v>
      </c>
      <c r="F9" s="4">
        <f t="shared" ref="F9:F37" si="1">F8-D9</f>
        <v>470000</v>
      </c>
    </row>
    <row r="10" spans="1:6" x14ac:dyDescent="0.35">
      <c r="A10" s="2">
        <v>45019</v>
      </c>
      <c r="B10" s="3">
        <v>1500</v>
      </c>
      <c r="C10" s="3" t="s">
        <v>88</v>
      </c>
      <c r="D10" s="4">
        <v>10000</v>
      </c>
      <c r="E10" s="4">
        <f t="shared" si="0"/>
        <v>140000</v>
      </c>
      <c r="F10" s="4">
        <f t="shared" si="1"/>
        <v>460000</v>
      </c>
    </row>
    <row r="11" spans="1:6" x14ac:dyDescent="0.35">
      <c r="A11" s="3" t="s">
        <v>184</v>
      </c>
      <c r="B11" s="3">
        <v>1213</v>
      </c>
      <c r="C11" s="3" t="s">
        <v>88</v>
      </c>
      <c r="D11" s="4">
        <v>10000</v>
      </c>
      <c r="E11" s="4">
        <f t="shared" si="0"/>
        <v>150000</v>
      </c>
      <c r="F11" s="4">
        <f t="shared" si="1"/>
        <v>450000</v>
      </c>
    </row>
    <row r="12" spans="1:6" x14ac:dyDescent="0.35">
      <c r="A12" s="3" t="s">
        <v>185</v>
      </c>
      <c r="B12" s="3">
        <v>116</v>
      </c>
      <c r="C12" s="3" t="s">
        <v>88</v>
      </c>
      <c r="D12" s="4">
        <v>10000</v>
      </c>
      <c r="E12" s="4">
        <f t="shared" si="0"/>
        <v>160000</v>
      </c>
      <c r="F12" s="4">
        <f t="shared" si="1"/>
        <v>440000</v>
      </c>
    </row>
    <row r="13" spans="1:6" x14ac:dyDescent="0.35">
      <c r="A13" s="3" t="s">
        <v>186</v>
      </c>
      <c r="B13" s="3">
        <v>2758</v>
      </c>
      <c r="C13" s="3" t="s">
        <v>88</v>
      </c>
      <c r="D13" s="4">
        <v>10000</v>
      </c>
      <c r="E13" s="4">
        <f t="shared" si="0"/>
        <v>170000</v>
      </c>
      <c r="F13" s="4">
        <f t="shared" si="1"/>
        <v>430000</v>
      </c>
    </row>
    <row r="14" spans="1:6" x14ac:dyDescent="0.35">
      <c r="A14" s="2">
        <v>45147</v>
      </c>
      <c r="B14" s="3">
        <v>3449</v>
      </c>
      <c r="C14" s="3" t="s">
        <v>88</v>
      </c>
      <c r="D14" s="4">
        <v>10000</v>
      </c>
      <c r="E14" s="4">
        <f t="shared" si="0"/>
        <v>180000</v>
      </c>
      <c r="F14" s="4">
        <f t="shared" si="1"/>
        <v>420000</v>
      </c>
    </row>
    <row r="15" spans="1:6" x14ac:dyDescent="0.35">
      <c r="A15" s="3" t="s">
        <v>187</v>
      </c>
      <c r="B15" s="3">
        <v>4437</v>
      </c>
      <c r="C15" s="3" t="s">
        <v>88</v>
      </c>
      <c r="D15" s="4">
        <v>10000</v>
      </c>
      <c r="E15" s="4">
        <f t="shared" si="0"/>
        <v>190000</v>
      </c>
      <c r="F15" s="4">
        <f t="shared" si="1"/>
        <v>410000</v>
      </c>
    </row>
    <row r="16" spans="1:6" x14ac:dyDescent="0.35">
      <c r="A16" s="3" t="s">
        <v>188</v>
      </c>
      <c r="B16" s="3">
        <v>5049</v>
      </c>
      <c r="C16" s="3" t="s">
        <v>189</v>
      </c>
      <c r="D16" s="4">
        <v>10000</v>
      </c>
      <c r="E16" s="4">
        <f t="shared" si="0"/>
        <v>200000</v>
      </c>
      <c r="F16" s="4">
        <f t="shared" si="1"/>
        <v>400000</v>
      </c>
    </row>
    <row r="17" spans="1:6" x14ac:dyDescent="0.35">
      <c r="A17" s="3" t="s">
        <v>165</v>
      </c>
      <c r="B17" s="3">
        <v>5535</v>
      </c>
      <c r="C17" s="3" t="s">
        <v>189</v>
      </c>
      <c r="D17" s="4">
        <v>10000</v>
      </c>
      <c r="E17" s="4">
        <f t="shared" si="0"/>
        <v>210000</v>
      </c>
      <c r="F17" s="4">
        <f t="shared" si="1"/>
        <v>390000</v>
      </c>
    </row>
    <row r="18" spans="1:6" x14ac:dyDescent="0.35">
      <c r="A18" s="2">
        <v>45505</v>
      </c>
      <c r="B18" s="3">
        <v>6001</v>
      </c>
      <c r="C18" s="3" t="s">
        <v>198</v>
      </c>
      <c r="D18" s="4">
        <v>10000</v>
      </c>
      <c r="E18" s="4">
        <f t="shared" si="0"/>
        <v>220000</v>
      </c>
      <c r="F18" s="4">
        <f t="shared" si="1"/>
        <v>380000</v>
      </c>
    </row>
    <row r="19" spans="1:6" x14ac:dyDescent="0.35">
      <c r="A19" s="3" t="s">
        <v>190</v>
      </c>
      <c r="B19" s="3">
        <v>6699</v>
      </c>
      <c r="C19" s="3" t="s">
        <v>88</v>
      </c>
      <c r="D19" s="4">
        <v>15000</v>
      </c>
      <c r="E19" s="4">
        <f t="shared" si="0"/>
        <v>235000</v>
      </c>
      <c r="F19" s="4">
        <f t="shared" si="1"/>
        <v>365000</v>
      </c>
    </row>
    <row r="20" spans="1:6" x14ac:dyDescent="0.35">
      <c r="A20" s="3" t="s">
        <v>191</v>
      </c>
      <c r="B20" s="3">
        <v>7519</v>
      </c>
      <c r="C20" s="3" t="s">
        <v>88</v>
      </c>
      <c r="D20" s="4">
        <v>15000</v>
      </c>
      <c r="E20" s="4">
        <f t="shared" si="0"/>
        <v>250000</v>
      </c>
      <c r="F20" s="4">
        <f t="shared" si="1"/>
        <v>350000</v>
      </c>
    </row>
    <row r="21" spans="1:6" x14ac:dyDescent="0.35">
      <c r="A21" s="3" t="s">
        <v>192</v>
      </c>
      <c r="B21" s="3">
        <v>8102</v>
      </c>
      <c r="C21" s="3" t="s">
        <v>88</v>
      </c>
      <c r="D21" s="4">
        <v>15000</v>
      </c>
      <c r="E21" s="4">
        <f t="shared" si="0"/>
        <v>265000</v>
      </c>
      <c r="F21" s="4">
        <f t="shared" si="1"/>
        <v>335000</v>
      </c>
    </row>
    <row r="22" spans="1:6" x14ac:dyDescent="0.35">
      <c r="A22" s="3" t="s">
        <v>193</v>
      </c>
      <c r="B22" s="3">
        <v>9223</v>
      </c>
      <c r="C22" s="3" t="s">
        <v>88</v>
      </c>
      <c r="D22" s="4">
        <v>10000</v>
      </c>
      <c r="E22" s="4">
        <f t="shared" si="0"/>
        <v>275000</v>
      </c>
      <c r="F22" s="4">
        <f t="shared" si="1"/>
        <v>325000</v>
      </c>
    </row>
    <row r="23" spans="1:6" x14ac:dyDescent="0.35">
      <c r="A23" s="2">
        <v>45604</v>
      </c>
      <c r="B23" s="3">
        <v>11048</v>
      </c>
      <c r="C23" s="3" t="s">
        <v>88</v>
      </c>
      <c r="D23" s="4">
        <v>35000</v>
      </c>
      <c r="E23" s="4">
        <f t="shared" si="0"/>
        <v>310000</v>
      </c>
      <c r="F23" s="4">
        <f t="shared" si="1"/>
        <v>290000</v>
      </c>
    </row>
    <row r="24" spans="1:6" x14ac:dyDescent="0.35">
      <c r="A24" s="3" t="s">
        <v>194</v>
      </c>
      <c r="B24" s="3">
        <v>10897</v>
      </c>
      <c r="C24" s="3" t="s">
        <v>88</v>
      </c>
      <c r="D24" s="4">
        <v>10000</v>
      </c>
      <c r="E24" s="4">
        <f t="shared" si="0"/>
        <v>320000</v>
      </c>
      <c r="F24" s="4">
        <f t="shared" si="1"/>
        <v>280000</v>
      </c>
    </row>
    <row r="25" spans="1:6" x14ac:dyDescent="0.35">
      <c r="A25" s="3" t="s">
        <v>195</v>
      </c>
      <c r="B25" s="3">
        <v>10333</v>
      </c>
      <c r="C25" s="3" t="s">
        <v>88</v>
      </c>
      <c r="D25" s="4">
        <v>10000</v>
      </c>
      <c r="E25" s="4">
        <f t="shared" si="0"/>
        <v>330000</v>
      </c>
      <c r="F25" s="4">
        <f t="shared" si="1"/>
        <v>270000</v>
      </c>
    </row>
    <row r="26" spans="1:6" x14ac:dyDescent="0.35">
      <c r="A26" s="3" t="s">
        <v>196</v>
      </c>
      <c r="B26" s="3">
        <v>12440</v>
      </c>
      <c r="C26" s="3" t="s">
        <v>88</v>
      </c>
      <c r="D26" s="4">
        <v>10000</v>
      </c>
      <c r="E26" s="4">
        <f t="shared" si="0"/>
        <v>340000</v>
      </c>
      <c r="F26" s="4">
        <f t="shared" si="1"/>
        <v>260000</v>
      </c>
    </row>
    <row r="27" spans="1:6" x14ac:dyDescent="0.35">
      <c r="A27" s="3" t="s">
        <v>197</v>
      </c>
      <c r="B27" s="3">
        <v>12737</v>
      </c>
      <c r="C27" s="3" t="s">
        <v>88</v>
      </c>
      <c r="D27" s="4">
        <v>10000</v>
      </c>
      <c r="E27" s="4">
        <f t="shared" si="0"/>
        <v>350000</v>
      </c>
      <c r="F27" s="4">
        <f t="shared" si="1"/>
        <v>250000</v>
      </c>
    </row>
    <row r="28" spans="1:6" x14ac:dyDescent="0.35">
      <c r="A28" s="3" t="s">
        <v>199</v>
      </c>
      <c r="B28" s="3">
        <v>9142</v>
      </c>
      <c r="C28" s="3" t="s">
        <v>88</v>
      </c>
      <c r="D28" s="4">
        <v>10000</v>
      </c>
      <c r="E28" s="4">
        <f t="shared" si="0"/>
        <v>360000</v>
      </c>
      <c r="F28" s="4">
        <f t="shared" si="1"/>
        <v>240000</v>
      </c>
    </row>
    <row r="29" spans="1:6" x14ac:dyDescent="0.35">
      <c r="A29" s="3" t="s">
        <v>200</v>
      </c>
      <c r="B29" s="3">
        <v>9553</v>
      </c>
      <c r="C29" s="3" t="s">
        <v>88</v>
      </c>
      <c r="D29" s="4">
        <v>10000</v>
      </c>
      <c r="E29" s="4">
        <f t="shared" si="0"/>
        <v>370000</v>
      </c>
      <c r="F29" s="4">
        <f t="shared" si="1"/>
        <v>230000</v>
      </c>
    </row>
    <row r="30" spans="1:6" x14ac:dyDescent="0.35">
      <c r="A30" s="3" t="s">
        <v>201</v>
      </c>
      <c r="B30" s="3">
        <v>9876</v>
      </c>
      <c r="C30" s="3" t="s">
        <v>88</v>
      </c>
      <c r="D30" s="4">
        <v>10000</v>
      </c>
      <c r="E30" s="4">
        <f t="shared" si="0"/>
        <v>380000</v>
      </c>
      <c r="F30" s="4">
        <f t="shared" si="1"/>
        <v>220000</v>
      </c>
    </row>
    <row r="31" spans="1:6" x14ac:dyDescent="0.35">
      <c r="A31" s="3" t="s">
        <v>202</v>
      </c>
      <c r="B31" s="3">
        <v>10608</v>
      </c>
      <c r="C31" s="3" t="s">
        <v>88</v>
      </c>
      <c r="D31" s="4">
        <v>20000</v>
      </c>
      <c r="E31" s="4">
        <f t="shared" si="0"/>
        <v>400000</v>
      </c>
      <c r="F31" s="4">
        <f t="shared" si="1"/>
        <v>200000</v>
      </c>
    </row>
    <row r="32" spans="1:6" x14ac:dyDescent="0.35">
      <c r="A32" s="2">
        <v>45666</v>
      </c>
      <c r="B32" s="3">
        <v>12598</v>
      </c>
      <c r="C32" s="3" t="s">
        <v>88</v>
      </c>
      <c r="D32" s="4">
        <v>15000</v>
      </c>
      <c r="E32" s="4">
        <f t="shared" si="0"/>
        <v>415000</v>
      </c>
      <c r="F32" s="4">
        <f t="shared" si="1"/>
        <v>185000</v>
      </c>
    </row>
    <row r="33" spans="1:6" x14ac:dyDescent="0.35">
      <c r="A33" s="3" t="s">
        <v>203</v>
      </c>
      <c r="B33" s="3">
        <v>13958</v>
      </c>
      <c r="C33" s="3" t="s">
        <v>88</v>
      </c>
      <c r="D33" s="4">
        <v>10000</v>
      </c>
      <c r="E33" s="4">
        <f t="shared" si="0"/>
        <v>425000</v>
      </c>
      <c r="F33" s="4">
        <f t="shared" si="1"/>
        <v>175000</v>
      </c>
    </row>
    <row r="34" spans="1:6" x14ac:dyDescent="0.35">
      <c r="A34" s="3" t="s">
        <v>204</v>
      </c>
      <c r="B34" s="3">
        <v>12613</v>
      </c>
      <c r="C34" s="3" t="s">
        <v>88</v>
      </c>
      <c r="D34" s="4">
        <v>10000</v>
      </c>
      <c r="E34" s="4">
        <f t="shared" si="0"/>
        <v>435000</v>
      </c>
      <c r="F34" s="4">
        <f t="shared" si="1"/>
        <v>165000</v>
      </c>
    </row>
    <row r="35" spans="1:6" x14ac:dyDescent="0.35">
      <c r="A35" s="3" t="s">
        <v>205</v>
      </c>
      <c r="B35" s="3">
        <v>12293</v>
      </c>
      <c r="C35" s="3" t="s">
        <v>88</v>
      </c>
      <c r="D35" s="4">
        <v>5000</v>
      </c>
      <c r="E35" s="4">
        <f t="shared" si="0"/>
        <v>440000</v>
      </c>
      <c r="F35" s="4">
        <f t="shared" si="1"/>
        <v>160000</v>
      </c>
    </row>
    <row r="36" spans="1:6" x14ac:dyDescent="0.35">
      <c r="A36" s="3" t="s">
        <v>127</v>
      </c>
      <c r="B36" s="3">
        <v>12583</v>
      </c>
      <c r="C36" s="3" t="s">
        <v>206</v>
      </c>
      <c r="D36" s="4">
        <v>10000</v>
      </c>
      <c r="E36" s="4">
        <f t="shared" si="0"/>
        <v>450000</v>
      </c>
      <c r="F36" s="4">
        <f t="shared" si="1"/>
        <v>150000</v>
      </c>
    </row>
    <row r="37" spans="1:6" x14ac:dyDescent="0.35">
      <c r="A37" s="3" t="s">
        <v>127</v>
      </c>
      <c r="B37" s="3">
        <v>12588</v>
      </c>
      <c r="C37" s="3" t="s">
        <v>88</v>
      </c>
      <c r="D37" s="4">
        <v>150000</v>
      </c>
      <c r="E37" s="4">
        <f t="shared" si="0"/>
        <v>600000</v>
      </c>
      <c r="F37" s="4">
        <f t="shared" si="1"/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8F48F-A307-440C-A981-A4D1F4CC299E}">
  <dimension ref="A1:F36"/>
  <sheetViews>
    <sheetView topLeftCell="A6" workbookViewId="0">
      <selection activeCell="B18" sqref="B18"/>
    </sheetView>
  </sheetViews>
  <sheetFormatPr defaultRowHeight="14.5" x14ac:dyDescent="0.35"/>
  <cols>
    <col min="1" max="1" width="10.453125" bestFit="1" customWidth="1"/>
    <col min="3" max="3" width="17.26953125" customWidth="1"/>
    <col min="4" max="4" width="10.90625" bestFit="1" customWidth="1"/>
    <col min="5" max="5" width="11.81640625" customWidth="1"/>
    <col min="6" max="6" width="11.36328125" bestFit="1" customWidth="1"/>
  </cols>
  <sheetData>
    <row r="1" spans="1:6" ht="18.5" x14ac:dyDescent="0.45">
      <c r="A1" s="1" t="s">
        <v>207</v>
      </c>
      <c r="B1" s="1"/>
      <c r="C1" s="1"/>
      <c r="D1" s="1"/>
      <c r="E1" s="1"/>
      <c r="F1" s="1"/>
    </row>
    <row r="2" spans="1:6" ht="18.5" x14ac:dyDescent="0.45">
      <c r="A2" s="1" t="s">
        <v>208</v>
      </c>
      <c r="B2" s="1"/>
      <c r="C2" s="1"/>
      <c r="D2" s="1"/>
      <c r="E2" s="1"/>
      <c r="F2" s="1"/>
    </row>
    <row r="3" spans="1:6" ht="18.5" x14ac:dyDescent="0.45">
      <c r="A3" s="1" t="s">
        <v>209</v>
      </c>
      <c r="B3" s="1"/>
      <c r="C3" s="1"/>
      <c r="D3" s="1"/>
      <c r="E3" s="1"/>
      <c r="F3" s="1"/>
    </row>
    <row r="4" spans="1:6" ht="18.5" x14ac:dyDescent="0.45">
      <c r="A4" s="1" t="s">
        <v>210</v>
      </c>
      <c r="B4" s="1"/>
      <c r="C4" s="1"/>
      <c r="D4" s="1"/>
      <c r="E4" s="1"/>
      <c r="F4" s="1"/>
    </row>
    <row r="5" spans="1:6" ht="18.5" x14ac:dyDescent="0.45">
      <c r="A5" s="1" t="s">
        <v>181</v>
      </c>
      <c r="B5" s="1"/>
      <c r="C5" s="1"/>
      <c r="D5" s="1" t="s">
        <v>36</v>
      </c>
      <c r="E5" s="1"/>
      <c r="F5" s="1"/>
    </row>
    <row r="6" spans="1:6" x14ac:dyDescent="0.35">
      <c r="A6" s="9" t="s">
        <v>3</v>
      </c>
      <c r="B6" s="9" t="s">
        <v>8</v>
      </c>
      <c r="C6" s="9" t="s">
        <v>4</v>
      </c>
      <c r="D6" s="9" t="s">
        <v>9</v>
      </c>
      <c r="E6" s="9" t="s">
        <v>10</v>
      </c>
      <c r="F6" s="9" t="s">
        <v>5</v>
      </c>
    </row>
    <row r="7" spans="1:6" x14ac:dyDescent="0.35">
      <c r="A7" s="9" t="s">
        <v>182</v>
      </c>
      <c r="B7" s="9">
        <v>17</v>
      </c>
      <c r="C7" s="9" t="s">
        <v>56</v>
      </c>
      <c r="D7" s="25">
        <v>10000</v>
      </c>
      <c r="E7" s="25">
        <v>10000</v>
      </c>
      <c r="F7" s="25">
        <v>590000</v>
      </c>
    </row>
    <row r="8" spans="1:6" x14ac:dyDescent="0.35">
      <c r="A8" s="9" t="s">
        <v>83</v>
      </c>
      <c r="B8" s="9">
        <v>1670</v>
      </c>
      <c r="C8" s="9" t="s">
        <v>57</v>
      </c>
      <c r="D8" s="25">
        <v>110000</v>
      </c>
      <c r="E8" s="25">
        <f>SUM(E7+D8)</f>
        <v>120000</v>
      </c>
      <c r="F8" s="25">
        <f>F7-D8</f>
        <v>480000</v>
      </c>
    </row>
    <row r="9" spans="1:6" x14ac:dyDescent="0.35">
      <c r="A9" s="26" t="s">
        <v>183</v>
      </c>
      <c r="B9" s="9">
        <v>1499</v>
      </c>
      <c r="C9" s="9" t="s">
        <v>11</v>
      </c>
      <c r="D9" s="25">
        <v>10000</v>
      </c>
      <c r="E9" s="25">
        <f t="shared" ref="E9:E36" si="0">SUM(E8+D9)</f>
        <v>130000</v>
      </c>
      <c r="F9" s="25">
        <f t="shared" ref="F9:F36" si="1">F8-D9</f>
        <v>470000</v>
      </c>
    </row>
    <row r="10" spans="1:6" x14ac:dyDescent="0.35">
      <c r="A10" s="26">
        <v>45019</v>
      </c>
      <c r="B10" s="9">
        <v>1500</v>
      </c>
      <c r="C10" s="9" t="s">
        <v>88</v>
      </c>
      <c r="D10" s="25">
        <v>10000</v>
      </c>
      <c r="E10" s="25">
        <f t="shared" si="0"/>
        <v>140000</v>
      </c>
      <c r="F10" s="25">
        <f t="shared" si="1"/>
        <v>460000</v>
      </c>
    </row>
    <row r="11" spans="1:6" x14ac:dyDescent="0.35">
      <c r="A11" s="9" t="s">
        <v>184</v>
      </c>
      <c r="B11" s="9">
        <v>1213</v>
      </c>
      <c r="C11" s="9" t="s">
        <v>88</v>
      </c>
      <c r="D11" s="25">
        <v>10000</v>
      </c>
      <c r="E11" s="25">
        <f t="shared" si="0"/>
        <v>150000</v>
      </c>
      <c r="F11" s="25">
        <f t="shared" si="1"/>
        <v>450000</v>
      </c>
    </row>
    <row r="12" spans="1:6" x14ac:dyDescent="0.35">
      <c r="A12" s="9" t="s">
        <v>185</v>
      </c>
      <c r="B12" s="9">
        <v>116</v>
      </c>
      <c r="C12" s="9" t="s">
        <v>88</v>
      </c>
      <c r="D12" s="25">
        <v>10000</v>
      </c>
      <c r="E12" s="25">
        <f t="shared" si="0"/>
        <v>160000</v>
      </c>
      <c r="F12" s="25">
        <f t="shared" si="1"/>
        <v>440000</v>
      </c>
    </row>
    <row r="13" spans="1:6" x14ac:dyDescent="0.35">
      <c r="A13" s="26" t="s">
        <v>186</v>
      </c>
      <c r="B13" s="9">
        <v>2758</v>
      </c>
      <c r="C13" s="9" t="s">
        <v>88</v>
      </c>
      <c r="D13" s="25">
        <v>10000</v>
      </c>
      <c r="E13" s="25">
        <f t="shared" si="0"/>
        <v>170000</v>
      </c>
      <c r="F13" s="25">
        <f t="shared" si="1"/>
        <v>430000</v>
      </c>
    </row>
    <row r="14" spans="1:6" x14ac:dyDescent="0.35">
      <c r="A14" s="26">
        <v>45147</v>
      </c>
      <c r="B14" s="9">
        <v>3449</v>
      </c>
      <c r="C14" s="9" t="s">
        <v>88</v>
      </c>
      <c r="D14" s="25">
        <v>10000</v>
      </c>
      <c r="E14" s="25">
        <f t="shared" si="0"/>
        <v>180000</v>
      </c>
      <c r="F14" s="25">
        <f t="shared" si="1"/>
        <v>420000</v>
      </c>
    </row>
    <row r="15" spans="1:6" x14ac:dyDescent="0.35">
      <c r="A15" s="26" t="s">
        <v>187</v>
      </c>
      <c r="B15" s="9">
        <v>4437</v>
      </c>
      <c r="C15" s="9" t="s">
        <v>88</v>
      </c>
      <c r="D15" s="25">
        <v>10000</v>
      </c>
      <c r="E15" s="25">
        <f t="shared" si="0"/>
        <v>190000</v>
      </c>
      <c r="F15" s="25">
        <f t="shared" si="1"/>
        <v>410000</v>
      </c>
    </row>
    <row r="16" spans="1:6" x14ac:dyDescent="0.35">
      <c r="A16" s="26" t="s">
        <v>188</v>
      </c>
      <c r="B16" s="9">
        <v>5049</v>
      </c>
      <c r="C16" s="9" t="s">
        <v>211</v>
      </c>
      <c r="D16" s="25">
        <v>10000</v>
      </c>
      <c r="E16" s="25">
        <f t="shared" si="0"/>
        <v>200000</v>
      </c>
      <c r="F16" s="25">
        <f t="shared" si="1"/>
        <v>400000</v>
      </c>
    </row>
    <row r="17" spans="1:6" x14ac:dyDescent="0.35">
      <c r="A17" s="26">
        <v>45272</v>
      </c>
      <c r="B17" s="9">
        <v>5535</v>
      </c>
      <c r="C17" s="9" t="s">
        <v>189</v>
      </c>
      <c r="D17" s="25">
        <v>10000</v>
      </c>
      <c r="E17" s="25">
        <f t="shared" si="0"/>
        <v>210000</v>
      </c>
      <c r="F17" s="25">
        <f t="shared" si="1"/>
        <v>390000</v>
      </c>
    </row>
    <row r="18" spans="1:6" x14ac:dyDescent="0.35">
      <c r="A18" s="26">
        <v>45505</v>
      </c>
      <c r="B18" s="9">
        <v>6001</v>
      </c>
      <c r="C18" s="9" t="s">
        <v>189</v>
      </c>
      <c r="D18" s="25">
        <v>10000</v>
      </c>
      <c r="E18" s="25">
        <f t="shared" si="0"/>
        <v>220000</v>
      </c>
      <c r="F18" s="25">
        <f t="shared" si="1"/>
        <v>380000</v>
      </c>
    </row>
    <row r="19" spans="1:6" x14ac:dyDescent="0.35">
      <c r="A19" s="26" t="s">
        <v>190</v>
      </c>
      <c r="B19" s="9">
        <v>6699</v>
      </c>
      <c r="C19" s="9" t="s">
        <v>7</v>
      </c>
      <c r="D19" s="25">
        <v>15000</v>
      </c>
      <c r="E19" s="25">
        <f t="shared" si="0"/>
        <v>235000</v>
      </c>
      <c r="F19" s="25">
        <f t="shared" si="1"/>
        <v>365000</v>
      </c>
    </row>
    <row r="20" spans="1:6" x14ac:dyDescent="0.35">
      <c r="A20" s="26" t="s">
        <v>191</v>
      </c>
      <c r="B20" s="9">
        <v>7519</v>
      </c>
      <c r="C20" s="9" t="s">
        <v>7</v>
      </c>
      <c r="D20" s="25">
        <v>15000</v>
      </c>
      <c r="E20" s="25">
        <f t="shared" si="0"/>
        <v>250000</v>
      </c>
      <c r="F20" s="25">
        <f t="shared" si="1"/>
        <v>350000</v>
      </c>
    </row>
    <row r="21" spans="1:6" x14ac:dyDescent="0.35">
      <c r="A21" s="26" t="s">
        <v>192</v>
      </c>
      <c r="B21" s="9">
        <v>8102</v>
      </c>
      <c r="C21" s="9" t="s">
        <v>7</v>
      </c>
      <c r="D21" s="25">
        <v>15000</v>
      </c>
      <c r="E21" s="25">
        <f t="shared" si="0"/>
        <v>265000</v>
      </c>
      <c r="F21" s="25">
        <f t="shared" si="1"/>
        <v>335000</v>
      </c>
    </row>
    <row r="22" spans="1:6" x14ac:dyDescent="0.35">
      <c r="A22" s="26" t="s">
        <v>193</v>
      </c>
      <c r="B22" s="9">
        <v>9223</v>
      </c>
      <c r="C22" s="9" t="s">
        <v>7</v>
      </c>
      <c r="D22" s="25">
        <v>10000</v>
      </c>
      <c r="E22" s="25">
        <f t="shared" si="0"/>
        <v>275000</v>
      </c>
      <c r="F22" s="25">
        <f t="shared" si="1"/>
        <v>325000</v>
      </c>
    </row>
    <row r="23" spans="1:6" x14ac:dyDescent="0.35">
      <c r="A23" s="26">
        <v>45604</v>
      </c>
      <c r="B23" s="9">
        <v>11048</v>
      </c>
      <c r="C23" s="9" t="s">
        <v>7</v>
      </c>
      <c r="D23" s="25">
        <v>35000</v>
      </c>
      <c r="E23" s="25">
        <f t="shared" si="0"/>
        <v>310000</v>
      </c>
      <c r="F23" s="25">
        <f t="shared" si="1"/>
        <v>290000</v>
      </c>
    </row>
    <row r="24" spans="1:6" x14ac:dyDescent="0.35">
      <c r="A24" s="26" t="s">
        <v>194</v>
      </c>
      <c r="B24" s="9">
        <v>10897</v>
      </c>
      <c r="C24" s="9" t="s">
        <v>7</v>
      </c>
      <c r="D24" s="25">
        <v>10000</v>
      </c>
      <c r="E24" s="25">
        <f t="shared" si="0"/>
        <v>320000</v>
      </c>
      <c r="F24" s="25">
        <f t="shared" si="1"/>
        <v>280000</v>
      </c>
    </row>
    <row r="25" spans="1:6" x14ac:dyDescent="0.35">
      <c r="A25" s="26" t="s">
        <v>195</v>
      </c>
      <c r="B25" s="9">
        <v>10333</v>
      </c>
      <c r="C25" s="9" t="s">
        <v>7</v>
      </c>
      <c r="D25" s="25">
        <v>10000</v>
      </c>
      <c r="E25" s="25">
        <f t="shared" si="0"/>
        <v>330000</v>
      </c>
      <c r="F25" s="25">
        <f t="shared" si="1"/>
        <v>270000</v>
      </c>
    </row>
    <row r="26" spans="1:6" x14ac:dyDescent="0.35">
      <c r="A26" s="26" t="s">
        <v>196</v>
      </c>
      <c r="B26" s="9">
        <v>12440</v>
      </c>
      <c r="C26" s="9" t="s">
        <v>7</v>
      </c>
      <c r="D26" s="25">
        <v>10000</v>
      </c>
      <c r="E26" s="25">
        <f t="shared" si="0"/>
        <v>340000</v>
      </c>
      <c r="F26" s="25">
        <f t="shared" si="1"/>
        <v>260000</v>
      </c>
    </row>
    <row r="27" spans="1:6" x14ac:dyDescent="0.35">
      <c r="A27" s="26" t="s">
        <v>197</v>
      </c>
      <c r="B27" s="9">
        <v>12737</v>
      </c>
      <c r="C27" s="9" t="s">
        <v>7</v>
      </c>
      <c r="D27" s="25">
        <v>10000</v>
      </c>
      <c r="E27" s="25">
        <f t="shared" si="0"/>
        <v>350000</v>
      </c>
      <c r="F27" s="25">
        <f t="shared" si="1"/>
        <v>250000</v>
      </c>
    </row>
    <row r="28" spans="1:6" x14ac:dyDescent="0.35">
      <c r="A28" s="26" t="s">
        <v>199</v>
      </c>
      <c r="B28" s="9">
        <v>9142</v>
      </c>
      <c r="C28" s="9" t="s">
        <v>7</v>
      </c>
      <c r="D28" s="25">
        <v>10000</v>
      </c>
      <c r="E28" s="25">
        <f t="shared" si="0"/>
        <v>360000</v>
      </c>
      <c r="F28" s="25">
        <f t="shared" si="1"/>
        <v>240000</v>
      </c>
    </row>
    <row r="29" spans="1:6" x14ac:dyDescent="0.35">
      <c r="A29" s="26" t="s">
        <v>200</v>
      </c>
      <c r="B29" s="9">
        <v>9553</v>
      </c>
      <c r="C29" s="9" t="s">
        <v>7</v>
      </c>
      <c r="D29" s="25">
        <v>10000</v>
      </c>
      <c r="E29" s="25">
        <f t="shared" si="0"/>
        <v>370000</v>
      </c>
      <c r="F29" s="25">
        <f t="shared" si="1"/>
        <v>230000</v>
      </c>
    </row>
    <row r="30" spans="1:6" x14ac:dyDescent="0.35">
      <c r="A30" s="26" t="s">
        <v>201</v>
      </c>
      <c r="B30" s="9">
        <v>9876</v>
      </c>
      <c r="C30" s="9" t="s">
        <v>7</v>
      </c>
      <c r="D30" s="25">
        <v>10000</v>
      </c>
      <c r="E30" s="25">
        <f t="shared" si="0"/>
        <v>380000</v>
      </c>
      <c r="F30" s="25">
        <f t="shared" si="1"/>
        <v>220000</v>
      </c>
    </row>
    <row r="31" spans="1:6" x14ac:dyDescent="0.35">
      <c r="A31" s="26" t="s">
        <v>202</v>
      </c>
      <c r="B31" s="9">
        <v>10608</v>
      </c>
      <c r="C31" s="9" t="s">
        <v>7</v>
      </c>
      <c r="D31" s="25">
        <v>20000</v>
      </c>
      <c r="E31" s="25">
        <f t="shared" si="0"/>
        <v>400000</v>
      </c>
      <c r="F31" s="25">
        <f t="shared" si="1"/>
        <v>200000</v>
      </c>
    </row>
    <row r="32" spans="1:6" x14ac:dyDescent="0.35">
      <c r="A32" s="26">
        <v>45666</v>
      </c>
      <c r="B32" s="9">
        <v>12598</v>
      </c>
      <c r="C32" s="9" t="s">
        <v>7</v>
      </c>
      <c r="D32" s="25">
        <v>15000</v>
      </c>
      <c r="E32" s="25">
        <f t="shared" si="0"/>
        <v>415000</v>
      </c>
      <c r="F32" s="25">
        <f t="shared" si="1"/>
        <v>185000</v>
      </c>
    </row>
    <row r="33" spans="1:6" x14ac:dyDescent="0.35">
      <c r="A33" s="26" t="s">
        <v>203</v>
      </c>
      <c r="B33" s="9">
        <v>13958</v>
      </c>
      <c r="C33" s="9" t="s">
        <v>7</v>
      </c>
      <c r="D33" s="25">
        <v>10000</v>
      </c>
      <c r="E33" s="25">
        <f t="shared" si="0"/>
        <v>425000</v>
      </c>
      <c r="F33" s="25">
        <f t="shared" si="1"/>
        <v>175000</v>
      </c>
    </row>
    <row r="34" spans="1:6" x14ac:dyDescent="0.35">
      <c r="A34" s="26" t="s">
        <v>204</v>
      </c>
      <c r="B34" s="9">
        <v>12613</v>
      </c>
      <c r="C34" s="9" t="s">
        <v>7</v>
      </c>
      <c r="D34" s="25">
        <v>10000</v>
      </c>
      <c r="E34" s="25">
        <f t="shared" si="0"/>
        <v>435000</v>
      </c>
      <c r="F34" s="25">
        <f t="shared" si="1"/>
        <v>165000</v>
      </c>
    </row>
    <row r="35" spans="1:6" x14ac:dyDescent="0.35">
      <c r="A35" s="26" t="s">
        <v>205</v>
      </c>
      <c r="B35" s="9">
        <v>12293</v>
      </c>
      <c r="C35" s="9" t="s">
        <v>7</v>
      </c>
      <c r="D35" s="25">
        <v>5000</v>
      </c>
      <c r="E35" s="25">
        <f t="shared" si="0"/>
        <v>440000</v>
      </c>
      <c r="F35" s="25">
        <f t="shared" si="1"/>
        <v>160000</v>
      </c>
    </row>
    <row r="36" spans="1:6" x14ac:dyDescent="0.35">
      <c r="A36" s="26" t="s">
        <v>127</v>
      </c>
      <c r="B36" s="9">
        <v>12583</v>
      </c>
      <c r="C36" s="9" t="s">
        <v>212</v>
      </c>
      <c r="D36" s="25">
        <v>10000</v>
      </c>
      <c r="E36" s="25">
        <f t="shared" si="0"/>
        <v>450000</v>
      </c>
      <c r="F36" s="25">
        <f t="shared" si="1"/>
        <v>150000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02C97-4460-4484-A17C-852492A6BA53}">
  <dimension ref="A1:I41"/>
  <sheetViews>
    <sheetView topLeftCell="A24" workbookViewId="0">
      <selection activeCell="F39" sqref="F39"/>
    </sheetView>
  </sheetViews>
  <sheetFormatPr defaultRowHeight="14.5" x14ac:dyDescent="0.35"/>
  <cols>
    <col min="1" max="1" width="9.453125" bestFit="1" customWidth="1"/>
    <col min="3" max="3" width="10.81640625" customWidth="1"/>
    <col min="6" max="6" width="10.90625" customWidth="1"/>
  </cols>
  <sheetData>
    <row r="1" spans="1:9" ht="18.5" x14ac:dyDescent="0.45">
      <c r="A1" s="1" t="s">
        <v>309</v>
      </c>
      <c r="B1" s="1"/>
      <c r="C1" s="17"/>
      <c r="D1" s="1"/>
      <c r="E1" s="1"/>
      <c r="F1" s="1"/>
    </row>
    <row r="2" spans="1:9" ht="18.5" x14ac:dyDescent="0.45">
      <c r="A2" s="1" t="s">
        <v>310</v>
      </c>
      <c r="C2" s="1"/>
      <c r="D2" s="1"/>
      <c r="E2" s="1"/>
      <c r="F2" s="1"/>
    </row>
    <row r="3" spans="1:9" ht="18.5" x14ac:dyDescent="0.45">
      <c r="A3" s="1" t="s">
        <v>311</v>
      </c>
      <c r="B3" s="1"/>
      <c r="C3" s="1"/>
      <c r="D3" s="1"/>
      <c r="E3" s="1"/>
      <c r="F3" s="1"/>
    </row>
    <row r="4" spans="1:9" ht="18.5" x14ac:dyDescent="0.45">
      <c r="A4" s="1" t="s">
        <v>472</v>
      </c>
      <c r="B4" s="33"/>
      <c r="C4" s="1"/>
      <c r="D4" s="1"/>
      <c r="E4" s="1"/>
      <c r="F4" s="1"/>
    </row>
    <row r="5" spans="1:9" ht="18.5" x14ac:dyDescent="0.45">
      <c r="A5" s="1" t="s">
        <v>312</v>
      </c>
      <c r="B5" s="1"/>
      <c r="C5" s="1"/>
      <c r="D5" s="1"/>
      <c r="E5" s="1"/>
      <c r="F5" s="1"/>
    </row>
    <row r="6" spans="1:9" ht="18.5" x14ac:dyDescent="0.45">
      <c r="A6" s="1" t="s">
        <v>313</v>
      </c>
      <c r="B6" s="1"/>
      <c r="C6" s="1"/>
      <c r="D6" s="1" t="s">
        <v>314</v>
      </c>
      <c r="E6" s="1"/>
      <c r="F6" s="1"/>
    </row>
    <row r="7" spans="1:9" x14ac:dyDescent="0.35">
      <c r="A7" s="28" t="s">
        <v>3</v>
      </c>
      <c r="B7" s="29" t="s">
        <v>8</v>
      </c>
      <c r="C7" s="29" t="s">
        <v>4</v>
      </c>
      <c r="D7" s="29" t="s">
        <v>9</v>
      </c>
      <c r="E7" s="29" t="s">
        <v>10</v>
      </c>
      <c r="F7" s="29" t="s">
        <v>5</v>
      </c>
    </row>
    <row r="8" spans="1:9" x14ac:dyDescent="0.35">
      <c r="A8" s="26">
        <v>45083</v>
      </c>
      <c r="B8" s="9">
        <v>340</v>
      </c>
      <c r="C8" s="9" t="s">
        <v>96</v>
      </c>
      <c r="D8" s="25">
        <v>125000</v>
      </c>
      <c r="E8" s="25">
        <v>125000</v>
      </c>
      <c r="F8" s="25">
        <v>475000</v>
      </c>
    </row>
    <row r="9" spans="1:9" x14ac:dyDescent="0.35">
      <c r="A9" s="9" t="s">
        <v>220</v>
      </c>
      <c r="B9" s="9">
        <v>3800</v>
      </c>
      <c r="C9" s="9" t="s">
        <v>88</v>
      </c>
      <c r="D9" s="25">
        <v>30000</v>
      </c>
      <c r="E9" s="25">
        <f>SUM(E8+D9)</f>
        <v>155000</v>
      </c>
      <c r="F9" s="25">
        <f>F8-D9</f>
        <v>445000</v>
      </c>
      <c r="I9" t="s">
        <v>498</v>
      </c>
    </row>
    <row r="10" spans="1:9" x14ac:dyDescent="0.35">
      <c r="A10" s="9" t="s">
        <v>315</v>
      </c>
      <c r="B10" s="9">
        <v>4296</v>
      </c>
      <c r="C10" s="9" t="s">
        <v>88</v>
      </c>
      <c r="D10" s="25">
        <v>10000</v>
      </c>
      <c r="E10" s="25">
        <f t="shared" ref="E10:E35" si="0">SUM(E9+D10)</f>
        <v>165000</v>
      </c>
      <c r="F10" s="25">
        <f t="shared" ref="F10:F35" si="1">F9-D10</f>
        <v>435000</v>
      </c>
    </row>
    <row r="11" spans="1:9" x14ac:dyDescent="0.35">
      <c r="A11" s="26">
        <v>44968</v>
      </c>
      <c r="B11" s="9">
        <v>4843</v>
      </c>
      <c r="C11" s="9" t="s">
        <v>88</v>
      </c>
      <c r="D11" s="25">
        <v>10000</v>
      </c>
      <c r="E11" s="25">
        <f t="shared" si="0"/>
        <v>175000</v>
      </c>
      <c r="F11" s="25">
        <f t="shared" si="1"/>
        <v>425000</v>
      </c>
    </row>
    <row r="12" spans="1:9" x14ac:dyDescent="0.35">
      <c r="A12" s="34">
        <v>45261</v>
      </c>
      <c r="B12" s="9">
        <v>5875</v>
      </c>
      <c r="C12" s="9" t="s">
        <v>88</v>
      </c>
      <c r="D12" s="25">
        <v>10000</v>
      </c>
      <c r="E12" s="25">
        <f t="shared" si="0"/>
        <v>185000</v>
      </c>
      <c r="F12" s="25">
        <f t="shared" si="1"/>
        <v>415000</v>
      </c>
    </row>
    <row r="13" spans="1:9" x14ac:dyDescent="0.35">
      <c r="A13" s="34">
        <v>45292</v>
      </c>
      <c r="B13" s="9">
        <v>6452</v>
      </c>
      <c r="C13" s="9" t="s">
        <v>88</v>
      </c>
      <c r="D13" s="25">
        <v>10000</v>
      </c>
      <c r="E13" s="25">
        <f t="shared" si="0"/>
        <v>195000</v>
      </c>
      <c r="F13" s="25">
        <f t="shared" si="1"/>
        <v>405000</v>
      </c>
    </row>
    <row r="14" spans="1:9" x14ac:dyDescent="0.35">
      <c r="A14" s="34">
        <v>45323</v>
      </c>
      <c r="B14" s="9">
        <v>6661</v>
      </c>
      <c r="C14" s="9" t="s">
        <v>88</v>
      </c>
      <c r="D14" s="25">
        <v>10000</v>
      </c>
      <c r="E14" s="25">
        <f t="shared" si="0"/>
        <v>205000</v>
      </c>
      <c r="F14" s="25">
        <f t="shared" si="1"/>
        <v>395000</v>
      </c>
    </row>
    <row r="15" spans="1:9" x14ac:dyDescent="0.35">
      <c r="A15" s="34">
        <v>45352</v>
      </c>
      <c r="B15" s="9">
        <v>7539</v>
      </c>
      <c r="C15" s="9" t="s">
        <v>88</v>
      </c>
      <c r="D15" s="25">
        <v>10000</v>
      </c>
      <c r="E15" s="25">
        <f t="shared" si="0"/>
        <v>215000</v>
      </c>
      <c r="F15" s="25">
        <f t="shared" si="1"/>
        <v>385000</v>
      </c>
    </row>
    <row r="16" spans="1:9" x14ac:dyDescent="0.35">
      <c r="A16" s="34">
        <v>45383</v>
      </c>
      <c r="B16" s="9">
        <v>7855</v>
      </c>
      <c r="C16" s="9" t="s">
        <v>88</v>
      </c>
      <c r="D16" s="25">
        <v>10000</v>
      </c>
      <c r="E16" s="25">
        <f t="shared" si="0"/>
        <v>225000</v>
      </c>
      <c r="F16" s="25">
        <f t="shared" si="1"/>
        <v>375000</v>
      </c>
    </row>
    <row r="17" spans="1:6" x14ac:dyDescent="0.35">
      <c r="A17" s="34">
        <v>45413</v>
      </c>
      <c r="B17" s="9">
        <v>8536</v>
      </c>
      <c r="C17" s="9" t="s">
        <v>88</v>
      </c>
      <c r="D17" s="25">
        <v>10000</v>
      </c>
      <c r="E17" s="25">
        <f t="shared" si="0"/>
        <v>235000</v>
      </c>
      <c r="F17" s="25">
        <f t="shared" si="1"/>
        <v>365000</v>
      </c>
    </row>
    <row r="18" spans="1:6" x14ac:dyDescent="0.35">
      <c r="A18" s="34">
        <v>45444</v>
      </c>
      <c r="B18" s="9">
        <v>9120</v>
      </c>
      <c r="C18" s="9" t="s">
        <v>88</v>
      </c>
      <c r="D18" s="25">
        <v>10000</v>
      </c>
      <c r="E18" s="25">
        <f t="shared" si="0"/>
        <v>245000</v>
      </c>
      <c r="F18" s="25">
        <f t="shared" si="1"/>
        <v>355000</v>
      </c>
    </row>
    <row r="19" spans="1:6" x14ac:dyDescent="0.35">
      <c r="A19" s="9" t="s">
        <v>316</v>
      </c>
      <c r="B19" s="9">
        <v>9668</v>
      </c>
      <c r="C19" s="9" t="s">
        <v>88</v>
      </c>
      <c r="D19" s="25">
        <v>10000</v>
      </c>
      <c r="E19" s="25">
        <f t="shared" si="0"/>
        <v>255000</v>
      </c>
      <c r="F19" s="25">
        <f t="shared" si="1"/>
        <v>345000</v>
      </c>
    </row>
    <row r="20" spans="1:6" x14ac:dyDescent="0.35">
      <c r="A20" s="9" t="s">
        <v>317</v>
      </c>
      <c r="B20" s="9">
        <v>11280</v>
      </c>
      <c r="C20" s="9" t="s">
        <v>88</v>
      </c>
      <c r="D20" s="25">
        <v>10000</v>
      </c>
      <c r="E20" s="25">
        <f t="shared" si="0"/>
        <v>265000</v>
      </c>
      <c r="F20" s="25">
        <f t="shared" si="1"/>
        <v>335000</v>
      </c>
    </row>
    <row r="21" spans="1:6" x14ac:dyDescent="0.35">
      <c r="A21" s="9" t="s">
        <v>318</v>
      </c>
      <c r="B21" s="9">
        <v>10891</v>
      </c>
      <c r="C21" s="9" t="s">
        <v>88</v>
      </c>
      <c r="D21" s="25">
        <v>10000</v>
      </c>
      <c r="E21" s="25">
        <f t="shared" si="0"/>
        <v>275000</v>
      </c>
      <c r="F21" s="25">
        <f t="shared" si="1"/>
        <v>325000</v>
      </c>
    </row>
    <row r="22" spans="1:6" x14ac:dyDescent="0.35">
      <c r="A22" s="9" t="s">
        <v>319</v>
      </c>
      <c r="B22" s="9">
        <v>10326</v>
      </c>
      <c r="C22" s="9" t="s">
        <v>88</v>
      </c>
      <c r="D22" s="25">
        <v>10000</v>
      </c>
      <c r="E22" s="25">
        <f t="shared" si="0"/>
        <v>285000</v>
      </c>
      <c r="F22" s="25">
        <f t="shared" si="1"/>
        <v>315000</v>
      </c>
    </row>
    <row r="23" spans="1:6" x14ac:dyDescent="0.35">
      <c r="A23" s="9" t="s">
        <v>320</v>
      </c>
      <c r="B23" s="9">
        <v>12157</v>
      </c>
      <c r="C23" s="9" t="s">
        <v>88</v>
      </c>
      <c r="D23" s="25">
        <v>10000</v>
      </c>
      <c r="E23" s="25">
        <f t="shared" si="0"/>
        <v>295000</v>
      </c>
      <c r="F23" s="25">
        <f t="shared" si="1"/>
        <v>305000</v>
      </c>
    </row>
    <row r="24" spans="1:6" x14ac:dyDescent="0.35">
      <c r="A24" s="9" t="s">
        <v>321</v>
      </c>
      <c r="B24" s="9">
        <v>12667</v>
      </c>
      <c r="C24" s="9" t="s">
        <v>88</v>
      </c>
      <c r="D24" s="25">
        <v>10000</v>
      </c>
      <c r="E24" s="25">
        <f t="shared" si="0"/>
        <v>305000</v>
      </c>
      <c r="F24" s="25">
        <f t="shared" si="1"/>
        <v>295000</v>
      </c>
    </row>
    <row r="25" spans="1:6" x14ac:dyDescent="0.35">
      <c r="A25" s="9" t="s">
        <v>322</v>
      </c>
      <c r="B25" s="9">
        <v>9088</v>
      </c>
      <c r="C25" s="9" t="s">
        <v>88</v>
      </c>
      <c r="D25" s="25">
        <v>10000</v>
      </c>
      <c r="E25" s="25">
        <f t="shared" si="0"/>
        <v>315000</v>
      </c>
      <c r="F25" s="25">
        <f t="shared" si="1"/>
        <v>285000</v>
      </c>
    </row>
    <row r="26" spans="1:6" x14ac:dyDescent="0.35">
      <c r="A26" s="9" t="s">
        <v>323</v>
      </c>
      <c r="B26" s="9">
        <v>9887</v>
      </c>
      <c r="C26" s="9" t="s">
        <v>88</v>
      </c>
      <c r="D26" s="25">
        <v>20000</v>
      </c>
      <c r="E26" s="25">
        <f t="shared" si="0"/>
        <v>335000</v>
      </c>
      <c r="F26" s="25">
        <f t="shared" si="1"/>
        <v>265000</v>
      </c>
    </row>
    <row r="27" spans="1:6" x14ac:dyDescent="0.35">
      <c r="A27" s="9" t="s">
        <v>79</v>
      </c>
      <c r="B27" s="9">
        <v>12794</v>
      </c>
      <c r="C27" s="9" t="s">
        <v>88</v>
      </c>
      <c r="D27" s="25">
        <v>40000</v>
      </c>
      <c r="E27" s="25">
        <f t="shared" si="0"/>
        <v>375000</v>
      </c>
      <c r="F27" s="25">
        <f t="shared" si="1"/>
        <v>225000</v>
      </c>
    </row>
    <row r="28" spans="1:6" x14ac:dyDescent="0.35">
      <c r="A28" s="9" t="s">
        <v>246</v>
      </c>
      <c r="B28" s="9">
        <v>13699</v>
      </c>
      <c r="C28" s="9" t="s">
        <v>88</v>
      </c>
      <c r="D28" s="25">
        <v>10000</v>
      </c>
      <c r="E28" s="25">
        <f t="shared" si="0"/>
        <v>385000</v>
      </c>
      <c r="F28" s="25">
        <f t="shared" si="1"/>
        <v>215000</v>
      </c>
    </row>
    <row r="29" spans="1:6" x14ac:dyDescent="0.35">
      <c r="A29" s="9" t="s">
        <v>228</v>
      </c>
      <c r="B29" s="9">
        <v>13089</v>
      </c>
      <c r="C29" s="9" t="s">
        <v>88</v>
      </c>
      <c r="D29" s="25">
        <v>10000</v>
      </c>
      <c r="E29" s="25">
        <f t="shared" si="0"/>
        <v>395000</v>
      </c>
      <c r="F29" s="25">
        <f t="shared" si="1"/>
        <v>205000</v>
      </c>
    </row>
    <row r="30" spans="1:6" x14ac:dyDescent="0.35">
      <c r="A30" s="9" t="s">
        <v>324</v>
      </c>
      <c r="B30" s="9">
        <v>12634</v>
      </c>
      <c r="C30" s="9" t="s">
        <v>88</v>
      </c>
      <c r="D30" s="25">
        <v>10000</v>
      </c>
      <c r="E30" s="25">
        <f t="shared" si="0"/>
        <v>405000</v>
      </c>
      <c r="F30" s="25">
        <f t="shared" si="1"/>
        <v>195000</v>
      </c>
    </row>
    <row r="31" spans="1:6" x14ac:dyDescent="0.35">
      <c r="A31" s="9" t="s">
        <v>325</v>
      </c>
      <c r="B31" s="9">
        <v>12257</v>
      </c>
      <c r="C31" s="9" t="s">
        <v>88</v>
      </c>
      <c r="D31" s="25">
        <v>10000</v>
      </c>
      <c r="E31" s="25">
        <f t="shared" si="0"/>
        <v>415000</v>
      </c>
      <c r="F31" s="25">
        <f t="shared" si="1"/>
        <v>185000</v>
      </c>
    </row>
    <row r="32" spans="1:6" x14ac:dyDescent="0.35">
      <c r="A32" s="9" t="s">
        <v>326</v>
      </c>
      <c r="B32" s="9">
        <v>12541</v>
      </c>
      <c r="C32" s="9" t="s">
        <v>88</v>
      </c>
      <c r="D32" s="25">
        <v>10000</v>
      </c>
      <c r="E32" s="25">
        <f t="shared" si="0"/>
        <v>425000</v>
      </c>
      <c r="F32" s="25">
        <f t="shared" si="1"/>
        <v>175000</v>
      </c>
    </row>
    <row r="33" spans="1:6" x14ac:dyDescent="0.35">
      <c r="A33" s="9" t="s">
        <v>307</v>
      </c>
      <c r="B33" s="9">
        <v>13918</v>
      </c>
      <c r="C33" s="9" t="s">
        <v>88</v>
      </c>
      <c r="D33" s="25">
        <v>10000</v>
      </c>
      <c r="E33" s="25">
        <f t="shared" si="0"/>
        <v>435000</v>
      </c>
      <c r="F33" s="25">
        <f t="shared" si="1"/>
        <v>165000</v>
      </c>
    </row>
    <row r="34" spans="1:6" x14ac:dyDescent="0.35">
      <c r="A34" s="2">
        <v>46360</v>
      </c>
      <c r="B34" s="9">
        <v>13247</v>
      </c>
      <c r="C34" s="9" t="s">
        <v>88</v>
      </c>
      <c r="D34" s="25">
        <v>10000</v>
      </c>
      <c r="E34" s="25">
        <f t="shared" si="0"/>
        <v>445000</v>
      </c>
      <c r="F34" s="25">
        <f t="shared" si="1"/>
        <v>155000</v>
      </c>
    </row>
    <row r="35" spans="1:6" x14ac:dyDescent="0.35">
      <c r="A35" s="2">
        <v>46331</v>
      </c>
      <c r="B35" s="9">
        <v>13340</v>
      </c>
      <c r="C35" s="9" t="s">
        <v>88</v>
      </c>
      <c r="D35" s="25">
        <v>10000</v>
      </c>
      <c r="E35" s="25">
        <f t="shared" si="0"/>
        <v>455000</v>
      </c>
      <c r="F35" s="25">
        <f t="shared" si="1"/>
        <v>145000</v>
      </c>
    </row>
    <row r="36" spans="1:6" x14ac:dyDescent="0.35">
      <c r="A36" s="9" t="s">
        <v>732</v>
      </c>
      <c r="B36" s="9">
        <v>13539</v>
      </c>
      <c r="C36" s="9" t="s">
        <v>88</v>
      </c>
      <c r="D36" s="25">
        <v>10000</v>
      </c>
      <c r="E36" s="25">
        <f>E35+D36</f>
        <v>465000</v>
      </c>
      <c r="F36" s="25">
        <f>F35-D36</f>
        <v>135000</v>
      </c>
    </row>
    <row r="37" spans="1:6" x14ac:dyDescent="0.35">
      <c r="A37" s="2">
        <v>46210</v>
      </c>
      <c r="B37" s="3">
        <v>1416</v>
      </c>
      <c r="C37" s="9" t="s">
        <v>88</v>
      </c>
      <c r="D37" s="4">
        <v>10000</v>
      </c>
      <c r="E37" s="4">
        <f>E36+D37</f>
        <v>475000</v>
      </c>
      <c r="F37" s="4">
        <f>F36-D37</f>
        <v>125000</v>
      </c>
    </row>
    <row r="38" spans="1:6" x14ac:dyDescent="0.35">
      <c r="A38" s="2">
        <v>46303</v>
      </c>
      <c r="B38" s="3">
        <v>1719</v>
      </c>
      <c r="C38" s="9" t="s">
        <v>88</v>
      </c>
      <c r="D38" s="4">
        <v>10000</v>
      </c>
      <c r="E38" s="4">
        <f>E37+D38</f>
        <v>485000</v>
      </c>
      <c r="F38" s="4">
        <f>F37-D38</f>
        <v>115000</v>
      </c>
    </row>
    <row r="39" spans="1:6" x14ac:dyDescent="0.35">
      <c r="A39" s="3"/>
      <c r="B39" s="3"/>
      <c r="C39" s="3"/>
      <c r="D39" s="3"/>
      <c r="E39" s="3"/>
      <c r="F39" s="3"/>
    </row>
    <row r="40" spans="1:6" x14ac:dyDescent="0.35">
      <c r="A40" s="3"/>
      <c r="B40" s="3"/>
      <c r="C40" s="3"/>
      <c r="D40" s="3"/>
      <c r="E40" s="3"/>
      <c r="F40" s="3"/>
    </row>
    <row r="41" spans="1:6" x14ac:dyDescent="0.35">
      <c r="A41" s="3"/>
      <c r="B41" s="3"/>
      <c r="C41" s="3"/>
      <c r="D41" s="3"/>
      <c r="E41" s="3"/>
      <c r="F41" s="3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D12D2-8296-4834-BA3C-A0EA7CB273CF}">
  <dimension ref="A1:F18"/>
  <sheetViews>
    <sheetView workbookViewId="0">
      <selection activeCell="K14" sqref="K14"/>
    </sheetView>
  </sheetViews>
  <sheetFormatPr defaultRowHeight="14.5" x14ac:dyDescent="0.35"/>
  <cols>
    <col min="1" max="1" width="10.26953125" customWidth="1"/>
    <col min="3" max="3" width="11.6328125" customWidth="1"/>
    <col min="6" max="6" width="11.453125" customWidth="1"/>
  </cols>
  <sheetData>
    <row r="1" spans="1:6" ht="18.5" x14ac:dyDescent="0.45">
      <c r="A1" s="1" t="s">
        <v>490</v>
      </c>
      <c r="B1" s="1"/>
      <c r="C1" s="17"/>
      <c r="D1" s="1"/>
      <c r="E1" s="1"/>
      <c r="F1" s="1"/>
    </row>
    <row r="2" spans="1:6" ht="18.5" x14ac:dyDescent="0.45">
      <c r="A2" s="1" t="s">
        <v>491</v>
      </c>
      <c r="C2" s="1"/>
      <c r="D2" s="1"/>
      <c r="E2" s="1"/>
      <c r="F2" s="1"/>
    </row>
    <row r="3" spans="1:6" ht="18.5" x14ac:dyDescent="0.45">
      <c r="A3" s="1" t="s">
        <v>492</v>
      </c>
      <c r="B3" s="1"/>
      <c r="C3" s="1"/>
      <c r="D3" s="1"/>
      <c r="E3" s="1"/>
      <c r="F3" s="1"/>
    </row>
    <row r="4" spans="1:6" ht="18.5" x14ac:dyDescent="0.45">
      <c r="A4" s="1" t="s">
        <v>619</v>
      </c>
      <c r="B4" s="33"/>
      <c r="C4" s="1"/>
      <c r="D4" s="1"/>
      <c r="E4" s="1"/>
      <c r="F4" s="1"/>
    </row>
    <row r="5" spans="1:6" ht="18.5" x14ac:dyDescent="0.45">
      <c r="A5" s="1" t="s">
        <v>54</v>
      </c>
      <c r="B5" s="1"/>
      <c r="C5" s="1"/>
      <c r="D5" s="1"/>
      <c r="E5" s="1"/>
      <c r="F5" s="1"/>
    </row>
    <row r="6" spans="1:6" ht="18.5" x14ac:dyDescent="0.45">
      <c r="A6" s="1" t="s">
        <v>493</v>
      </c>
      <c r="B6" s="1"/>
      <c r="C6" s="1"/>
      <c r="D6" s="1" t="s">
        <v>494</v>
      </c>
      <c r="E6" s="1"/>
      <c r="F6" s="1"/>
    </row>
    <row r="7" spans="1:6" x14ac:dyDescent="0.35">
      <c r="A7" s="28" t="s">
        <v>3</v>
      </c>
      <c r="B7" s="29" t="s">
        <v>8</v>
      </c>
      <c r="C7" s="29" t="s">
        <v>4</v>
      </c>
      <c r="D7" s="29" t="s">
        <v>9</v>
      </c>
      <c r="E7" s="29" t="s">
        <v>10</v>
      </c>
      <c r="F7" s="29" t="s">
        <v>5</v>
      </c>
    </row>
    <row r="8" spans="1:6" x14ac:dyDescent="0.35">
      <c r="A8" t="s">
        <v>495</v>
      </c>
      <c r="B8">
        <v>1313</v>
      </c>
      <c r="C8" t="s">
        <v>39</v>
      </c>
      <c r="D8" s="36">
        <v>10000</v>
      </c>
      <c r="E8" s="36">
        <v>10000</v>
      </c>
      <c r="F8" s="36">
        <v>140000</v>
      </c>
    </row>
    <row r="9" spans="1:6" x14ac:dyDescent="0.35">
      <c r="A9" t="s">
        <v>85</v>
      </c>
      <c r="B9">
        <v>1684</v>
      </c>
      <c r="C9" t="s">
        <v>39</v>
      </c>
      <c r="D9" s="36">
        <v>10000</v>
      </c>
      <c r="E9" s="36">
        <f>SUM(E8+D9)</f>
        <v>20000</v>
      </c>
      <c r="F9" s="36">
        <f>F8-D9</f>
        <v>130000</v>
      </c>
    </row>
    <row r="10" spans="1:6" x14ac:dyDescent="0.35">
      <c r="A10" t="s">
        <v>496</v>
      </c>
      <c r="B10">
        <v>1863</v>
      </c>
      <c r="C10" t="s">
        <v>39</v>
      </c>
      <c r="D10" s="36">
        <v>40000</v>
      </c>
      <c r="E10" s="36">
        <f t="shared" ref="E10:E17" si="0">SUM(E9+D10)</f>
        <v>60000</v>
      </c>
      <c r="F10" s="36">
        <f t="shared" ref="F10:F17" si="1">F9-D10</f>
        <v>90000</v>
      </c>
    </row>
    <row r="11" spans="1:6" x14ac:dyDescent="0.35">
      <c r="A11" s="30">
        <v>45019</v>
      </c>
      <c r="B11">
        <v>2891</v>
      </c>
      <c r="C11" t="s">
        <v>39</v>
      </c>
      <c r="D11" s="36">
        <v>10000</v>
      </c>
      <c r="E11" s="36">
        <f t="shared" si="0"/>
        <v>70000</v>
      </c>
      <c r="F11" s="36">
        <f t="shared" si="1"/>
        <v>80000</v>
      </c>
    </row>
    <row r="12" spans="1:6" x14ac:dyDescent="0.35">
      <c r="A12" s="30">
        <v>45081</v>
      </c>
      <c r="B12">
        <v>1864</v>
      </c>
      <c r="C12" t="s">
        <v>39</v>
      </c>
      <c r="D12" s="36">
        <v>10000</v>
      </c>
      <c r="E12" s="36">
        <f t="shared" si="0"/>
        <v>80000</v>
      </c>
      <c r="F12" s="36">
        <f t="shared" si="1"/>
        <v>70000</v>
      </c>
    </row>
    <row r="13" spans="1:6" x14ac:dyDescent="0.35">
      <c r="A13" t="s">
        <v>497</v>
      </c>
      <c r="B13">
        <v>144</v>
      </c>
      <c r="C13" t="s">
        <v>39</v>
      </c>
      <c r="D13" s="36">
        <v>10000</v>
      </c>
      <c r="E13" s="36">
        <f t="shared" si="0"/>
        <v>90000</v>
      </c>
      <c r="F13" s="36">
        <f t="shared" si="1"/>
        <v>60000</v>
      </c>
    </row>
    <row r="14" spans="1:6" x14ac:dyDescent="0.35">
      <c r="A14" t="s">
        <v>106</v>
      </c>
      <c r="B14">
        <v>2849</v>
      </c>
      <c r="C14" t="s">
        <v>39</v>
      </c>
      <c r="D14" s="36">
        <v>10000</v>
      </c>
      <c r="E14" s="36">
        <f t="shared" si="0"/>
        <v>100000</v>
      </c>
      <c r="F14" s="36">
        <f t="shared" si="1"/>
        <v>50000</v>
      </c>
    </row>
    <row r="15" spans="1:6" x14ac:dyDescent="0.35">
      <c r="A15" s="30">
        <v>45207</v>
      </c>
      <c r="B15">
        <v>2349</v>
      </c>
      <c r="C15" t="s">
        <v>39</v>
      </c>
      <c r="D15" s="36">
        <v>10000</v>
      </c>
      <c r="E15" s="36">
        <f t="shared" si="0"/>
        <v>110000</v>
      </c>
      <c r="F15" s="36">
        <f t="shared" si="1"/>
        <v>40000</v>
      </c>
    </row>
    <row r="16" spans="1:6" x14ac:dyDescent="0.35">
      <c r="A16" s="30">
        <v>45239</v>
      </c>
      <c r="B16">
        <v>3526</v>
      </c>
      <c r="C16" t="s">
        <v>39</v>
      </c>
      <c r="D16" s="36">
        <v>20000</v>
      </c>
      <c r="E16" s="36">
        <f t="shared" si="0"/>
        <v>130000</v>
      </c>
      <c r="F16" s="36">
        <f t="shared" si="1"/>
        <v>20000</v>
      </c>
    </row>
    <row r="17" spans="1:6" x14ac:dyDescent="0.35">
      <c r="A17" s="30">
        <v>45056</v>
      </c>
      <c r="B17">
        <v>4012</v>
      </c>
      <c r="C17" t="s">
        <v>39</v>
      </c>
      <c r="D17" s="36">
        <v>20000</v>
      </c>
      <c r="E17" s="36">
        <f t="shared" si="0"/>
        <v>150000</v>
      </c>
      <c r="F17" s="36">
        <f t="shared" si="1"/>
        <v>0</v>
      </c>
    </row>
    <row r="18" spans="1:6" ht="18.5" x14ac:dyDescent="0.45">
      <c r="A18" s="33" t="s">
        <v>618</v>
      </c>
      <c r="B18" s="33"/>
      <c r="C18" s="33"/>
      <c r="D18" s="33"/>
      <c r="E18" s="33"/>
      <c r="F18" s="33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014F3-78F2-418A-989C-6CB9A520766A}">
  <dimension ref="A1:F11"/>
  <sheetViews>
    <sheetView workbookViewId="0">
      <selection activeCell="K19" sqref="K19"/>
    </sheetView>
  </sheetViews>
  <sheetFormatPr defaultRowHeight="14.5" x14ac:dyDescent="0.35"/>
  <cols>
    <col min="1" max="1" width="9.453125" bestFit="1" customWidth="1"/>
    <col min="3" max="3" width="12.26953125" customWidth="1"/>
  </cols>
  <sheetData>
    <row r="1" spans="1:6" ht="18.5" x14ac:dyDescent="0.45">
      <c r="A1" s="1" t="s">
        <v>444</v>
      </c>
      <c r="B1" s="1"/>
      <c r="C1" s="17"/>
      <c r="D1" s="1"/>
      <c r="E1" s="1"/>
      <c r="F1" s="1"/>
    </row>
    <row r="2" spans="1:6" ht="18.5" x14ac:dyDescent="0.45">
      <c r="A2" s="1" t="s">
        <v>310</v>
      </c>
      <c r="C2" s="1"/>
      <c r="D2" s="1"/>
      <c r="E2" s="1"/>
      <c r="F2" s="1"/>
    </row>
    <row r="3" spans="1:6" ht="18.5" x14ac:dyDescent="0.45">
      <c r="A3" s="1" t="s">
        <v>311</v>
      </c>
      <c r="B3" s="1"/>
      <c r="C3" s="1"/>
      <c r="D3" s="1"/>
      <c r="E3" s="1"/>
      <c r="F3" s="1"/>
    </row>
    <row r="4" spans="1:6" ht="18.5" x14ac:dyDescent="0.45">
      <c r="A4" s="1" t="s">
        <v>453</v>
      </c>
      <c r="B4" s="33"/>
      <c r="C4" s="1"/>
      <c r="D4" s="1"/>
      <c r="E4" s="1"/>
      <c r="F4" s="1"/>
    </row>
    <row r="5" spans="1:6" ht="18.5" x14ac:dyDescent="0.45">
      <c r="A5" s="1" t="s">
        <v>445</v>
      </c>
      <c r="B5" s="1"/>
      <c r="C5" s="1"/>
      <c r="D5" s="1"/>
      <c r="E5" s="1"/>
      <c r="F5" s="1"/>
    </row>
    <row r="6" spans="1:6" ht="18.5" x14ac:dyDescent="0.45">
      <c r="A6" s="1" t="s">
        <v>446</v>
      </c>
      <c r="B6" s="1"/>
      <c r="C6" s="1"/>
      <c r="D6" s="1" t="s">
        <v>447</v>
      </c>
      <c r="E6" s="1"/>
      <c r="F6" s="1"/>
    </row>
    <row r="7" spans="1:6" x14ac:dyDescent="0.35">
      <c r="A7" s="28" t="s">
        <v>3</v>
      </c>
      <c r="B7" s="29" t="s">
        <v>8</v>
      </c>
      <c r="C7" s="29" t="s">
        <v>4</v>
      </c>
      <c r="D7" s="29" t="s">
        <v>9</v>
      </c>
      <c r="E7" s="29" t="s">
        <v>10</v>
      </c>
      <c r="F7" s="29" t="s">
        <v>5</v>
      </c>
    </row>
    <row r="8" spans="1:6" x14ac:dyDescent="0.35">
      <c r="A8" s="30">
        <v>45083</v>
      </c>
      <c r="B8">
        <v>341</v>
      </c>
      <c r="C8" t="s">
        <v>449</v>
      </c>
      <c r="D8" s="36">
        <v>125000</v>
      </c>
      <c r="E8" s="36">
        <v>125000</v>
      </c>
      <c r="F8" s="36">
        <v>475000</v>
      </c>
    </row>
    <row r="9" spans="1:6" x14ac:dyDescent="0.35">
      <c r="A9" s="30">
        <v>45239</v>
      </c>
      <c r="B9">
        <v>3547</v>
      </c>
      <c r="C9" t="s">
        <v>88</v>
      </c>
      <c r="D9" s="36">
        <v>200000</v>
      </c>
      <c r="E9" s="36">
        <v>325000</v>
      </c>
      <c r="F9" t="s">
        <v>451</v>
      </c>
    </row>
    <row r="10" spans="1:6" x14ac:dyDescent="0.35">
      <c r="A10" t="s">
        <v>448</v>
      </c>
      <c r="B10">
        <v>5513</v>
      </c>
      <c r="C10" t="s">
        <v>450</v>
      </c>
      <c r="D10" s="36">
        <v>150000</v>
      </c>
      <c r="E10" s="36">
        <v>150000</v>
      </c>
      <c r="F10" t="s">
        <v>451</v>
      </c>
    </row>
    <row r="11" spans="1:6" ht="18.5" x14ac:dyDescent="0.45">
      <c r="A11" s="33" t="s">
        <v>452</v>
      </c>
      <c r="B11" s="33"/>
      <c r="C11" s="33"/>
      <c r="D11" s="33"/>
      <c r="E11" s="33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E04C2-8842-4DFA-AEA9-29B99D5B126D}">
  <dimension ref="A1:F41"/>
  <sheetViews>
    <sheetView topLeftCell="A25" workbookViewId="0">
      <selection activeCell="F41" sqref="F41"/>
    </sheetView>
  </sheetViews>
  <sheetFormatPr defaultRowHeight="14.5" x14ac:dyDescent="0.35"/>
  <cols>
    <col min="1" max="1" width="10.81640625" bestFit="1" customWidth="1"/>
    <col min="3" max="3" width="14" customWidth="1"/>
    <col min="4" max="4" width="11.81640625" customWidth="1"/>
    <col min="5" max="5" width="11.453125" customWidth="1"/>
    <col min="6" max="6" width="11.90625" customWidth="1"/>
  </cols>
  <sheetData>
    <row r="1" spans="1:6" ht="18.5" x14ac:dyDescent="0.45">
      <c r="A1" s="1" t="s">
        <v>399</v>
      </c>
      <c r="B1" s="1"/>
      <c r="C1" s="17"/>
      <c r="D1" s="1"/>
      <c r="E1" s="1"/>
      <c r="F1" s="1"/>
    </row>
    <row r="2" spans="1:6" ht="18.5" x14ac:dyDescent="0.45">
      <c r="A2" s="1" t="s">
        <v>400</v>
      </c>
      <c r="C2" s="1"/>
      <c r="D2" s="1"/>
      <c r="E2" s="1"/>
      <c r="F2" s="1"/>
    </row>
    <row r="3" spans="1:6" ht="18.5" x14ac:dyDescent="0.45">
      <c r="A3" s="1" t="s">
        <v>401</v>
      </c>
      <c r="B3" s="1"/>
      <c r="C3" s="1"/>
      <c r="D3" s="1"/>
      <c r="E3" s="1"/>
      <c r="F3" s="1"/>
    </row>
    <row r="4" spans="1:6" ht="18.5" x14ac:dyDescent="0.45">
      <c r="A4" s="1" t="s">
        <v>384</v>
      </c>
      <c r="B4" s="33"/>
      <c r="C4" s="1"/>
      <c r="D4" s="1"/>
      <c r="E4" s="1"/>
      <c r="F4" s="1"/>
    </row>
    <row r="5" spans="1:6" ht="18.5" x14ac:dyDescent="0.45">
      <c r="A5" s="1" t="s">
        <v>402</v>
      </c>
      <c r="B5" s="1"/>
      <c r="C5" s="1"/>
      <c r="D5" s="1"/>
      <c r="E5" s="1"/>
      <c r="F5" s="1"/>
    </row>
    <row r="6" spans="1:6" ht="18.5" x14ac:dyDescent="0.45">
      <c r="A6" s="1" t="s">
        <v>409</v>
      </c>
      <c r="B6" s="1"/>
      <c r="C6" s="1"/>
      <c r="D6" s="1" t="s">
        <v>296</v>
      </c>
      <c r="E6" s="1"/>
      <c r="F6" s="1"/>
    </row>
    <row r="7" spans="1:6" ht="15.5" x14ac:dyDescent="0.35">
      <c r="A7" s="60" t="s">
        <v>403</v>
      </c>
      <c r="B7" s="60"/>
      <c r="C7" s="60"/>
      <c r="D7" s="60"/>
      <c r="E7" s="60"/>
      <c r="F7" s="59"/>
    </row>
    <row r="8" spans="1:6" ht="18.5" x14ac:dyDescent="0.45">
      <c r="A8" s="1" t="s">
        <v>404</v>
      </c>
    </row>
    <row r="9" spans="1:6" ht="18.5" x14ac:dyDescent="0.45">
      <c r="A9" s="1" t="s">
        <v>405</v>
      </c>
      <c r="B9" s="1"/>
      <c r="C9" s="17"/>
    </row>
    <row r="10" spans="1:6" ht="18.5" x14ac:dyDescent="0.45">
      <c r="A10" s="1" t="s">
        <v>406</v>
      </c>
      <c r="C10" s="1"/>
    </row>
    <row r="11" spans="1:6" ht="18.5" x14ac:dyDescent="0.45">
      <c r="A11" s="1" t="s">
        <v>407</v>
      </c>
      <c r="B11" s="1"/>
      <c r="C11" s="1"/>
    </row>
    <row r="12" spans="1:6" ht="18.5" x14ac:dyDescent="0.45">
      <c r="A12" s="1" t="s">
        <v>408</v>
      </c>
      <c r="B12" s="1"/>
      <c r="C12" s="1"/>
    </row>
    <row r="13" spans="1:6" x14ac:dyDescent="0.35">
      <c r="A13" s="28" t="s">
        <v>3</v>
      </c>
      <c r="B13" s="29" t="s">
        <v>8</v>
      </c>
      <c r="C13" s="29" t="s">
        <v>4</v>
      </c>
      <c r="D13" s="29" t="s">
        <v>9</v>
      </c>
      <c r="E13" s="29" t="s">
        <v>10</v>
      </c>
      <c r="F13" s="29" t="s">
        <v>5</v>
      </c>
    </row>
    <row r="14" spans="1:6" x14ac:dyDescent="0.35">
      <c r="A14" s="30">
        <v>44599</v>
      </c>
      <c r="B14">
        <v>1204</v>
      </c>
      <c r="C14" t="s">
        <v>395</v>
      </c>
      <c r="D14" s="36">
        <v>10000</v>
      </c>
      <c r="E14" s="36">
        <v>10000</v>
      </c>
      <c r="F14" s="36">
        <v>625000</v>
      </c>
    </row>
    <row r="15" spans="1:6" x14ac:dyDescent="0.35">
      <c r="A15" s="30">
        <v>44602</v>
      </c>
      <c r="B15">
        <v>1789</v>
      </c>
      <c r="C15" t="s">
        <v>395</v>
      </c>
      <c r="D15">
        <v>62500</v>
      </c>
      <c r="E15">
        <v>72500</v>
      </c>
      <c r="F15" t="s">
        <v>381</v>
      </c>
    </row>
    <row r="16" spans="1:6" x14ac:dyDescent="0.35">
      <c r="A16" t="s">
        <v>318</v>
      </c>
      <c r="B16">
        <v>10879</v>
      </c>
      <c r="C16" t="s">
        <v>395</v>
      </c>
      <c r="D16" s="36">
        <v>20000</v>
      </c>
      <c r="E16">
        <v>92500</v>
      </c>
      <c r="F16" s="36">
        <v>330000</v>
      </c>
    </row>
    <row r="17" spans="1:6" x14ac:dyDescent="0.35">
      <c r="A17" t="s">
        <v>410</v>
      </c>
      <c r="B17">
        <v>11639</v>
      </c>
      <c r="C17" t="s">
        <v>395</v>
      </c>
      <c r="D17" s="36">
        <v>50000</v>
      </c>
      <c r="E17" s="36">
        <f>SUM(E16+D17)</f>
        <v>142500</v>
      </c>
      <c r="F17" s="36">
        <f>F16-D17</f>
        <v>280000</v>
      </c>
    </row>
    <row r="18" spans="1:6" x14ac:dyDescent="0.35">
      <c r="A18" t="s">
        <v>411</v>
      </c>
      <c r="B18">
        <v>12114</v>
      </c>
      <c r="C18" t="s">
        <v>395</v>
      </c>
      <c r="D18" s="36">
        <v>30000</v>
      </c>
      <c r="E18" s="36">
        <f t="shared" ref="E18:E27" si="0">SUM(E17+D18)</f>
        <v>172500</v>
      </c>
      <c r="F18" s="36">
        <f t="shared" ref="F18:F27" si="1">F17-D18</f>
        <v>250000</v>
      </c>
    </row>
    <row r="19" spans="1:6" x14ac:dyDescent="0.35">
      <c r="A19" t="s">
        <v>281</v>
      </c>
      <c r="B19">
        <v>12634</v>
      </c>
      <c r="C19" t="s">
        <v>395</v>
      </c>
      <c r="D19" s="36">
        <v>50000</v>
      </c>
      <c r="E19" s="36">
        <f t="shared" si="0"/>
        <v>222500</v>
      </c>
      <c r="F19" s="36">
        <f t="shared" si="1"/>
        <v>200000</v>
      </c>
    </row>
    <row r="20" spans="1:6" x14ac:dyDescent="0.35">
      <c r="A20" s="30">
        <v>45992</v>
      </c>
      <c r="B20">
        <v>12033</v>
      </c>
      <c r="C20" t="s">
        <v>395</v>
      </c>
      <c r="D20" s="36">
        <v>20000</v>
      </c>
      <c r="E20" s="36">
        <f t="shared" si="0"/>
        <v>242500</v>
      </c>
      <c r="F20" s="36">
        <f t="shared" si="1"/>
        <v>180000</v>
      </c>
    </row>
    <row r="21" spans="1:6" x14ac:dyDescent="0.35">
      <c r="A21" s="30">
        <v>45903</v>
      </c>
      <c r="B21">
        <v>9677</v>
      </c>
      <c r="C21" t="s">
        <v>395</v>
      </c>
      <c r="D21" s="36">
        <v>40000</v>
      </c>
      <c r="E21" s="36">
        <f t="shared" si="0"/>
        <v>282500</v>
      </c>
      <c r="F21" s="36">
        <f t="shared" si="1"/>
        <v>140000</v>
      </c>
    </row>
    <row r="22" spans="1:6" x14ac:dyDescent="0.35">
      <c r="A22" s="30">
        <v>45966</v>
      </c>
      <c r="B22">
        <v>10938</v>
      </c>
      <c r="C22" t="s">
        <v>395</v>
      </c>
      <c r="D22" s="36">
        <v>20000</v>
      </c>
      <c r="E22" s="36">
        <f t="shared" si="0"/>
        <v>302500</v>
      </c>
      <c r="F22" s="36">
        <f t="shared" si="1"/>
        <v>120000</v>
      </c>
    </row>
    <row r="23" spans="1:6" x14ac:dyDescent="0.35">
      <c r="A23" s="30">
        <v>45997</v>
      </c>
      <c r="B23">
        <v>11884</v>
      </c>
      <c r="C23" t="s">
        <v>395</v>
      </c>
      <c r="D23" s="36">
        <v>15000</v>
      </c>
      <c r="E23" s="36">
        <f t="shared" si="0"/>
        <v>317500</v>
      </c>
      <c r="F23" s="36">
        <f t="shared" si="1"/>
        <v>105000</v>
      </c>
    </row>
    <row r="24" spans="1:6" x14ac:dyDescent="0.35">
      <c r="A24" s="61">
        <v>45839</v>
      </c>
      <c r="B24">
        <v>12888</v>
      </c>
      <c r="C24" t="s">
        <v>395</v>
      </c>
      <c r="D24" s="36">
        <v>15000</v>
      </c>
      <c r="E24" s="36">
        <f t="shared" si="0"/>
        <v>332500</v>
      </c>
      <c r="F24" s="36">
        <f t="shared" si="1"/>
        <v>90000</v>
      </c>
    </row>
    <row r="25" spans="1:6" x14ac:dyDescent="0.35">
      <c r="A25" t="s">
        <v>412</v>
      </c>
      <c r="B25">
        <v>12962</v>
      </c>
      <c r="C25" t="s">
        <v>395</v>
      </c>
      <c r="D25" s="36">
        <v>40000</v>
      </c>
      <c r="E25" s="36">
        <f t="shared" si="0"/>
        <v>372500</v>
      </c>
      <c r="F25" s="36">
        <f t="shared" si="1"/>
        <v>50000</v>
      </c>
    </row>
    <row r="26" spans="1:6" x14ac:dyDescent="0.35">
      <c r="A26" t="s">
        <v>139</v>
      </c>
      <c r="B26">
        <v>12791</v>
      </c>
      <c r="C26" t="s">
        <v>395</v>
      </c>
      <c r="D26" s="36">
        <v>30000</v>
      </c>
      <c r="E26" s="36">
        <f t="shared" si="0"/>
        <v>402500</v>
      </c>
      <c r="F26" s="36">
        <f t="shared" si="1"/>
        <v>20000</v>
      </c>
    </row>
    <row r="27" spans="1:6" x14ac:dyDescent="0.35">
      <c r="A27" t="s">
        <v>27</v>
      </c>
      <c r="B27">
        <v>13677</v>
      </c>
      <c r="C27" t="s">
        <v>395</v>
      </c>
      <c r="D27" s="36">
        <v>20000</v>
      </c>
      <c r="E27" s="36">
        <f t="shared" si="0"/>
        <v>422500</v>
      </c>
      <c r="F27" s="36">
        <f t="shared" si="1"/>
        <v>0</v>
      </c>
    </row>
    <row r="28" spans="1:6" x14ac:dyDescent="0.35">
      <c r="A28" t="s">
        <v>413</v>
      </c>
    </row>
    <row r="29" spans="1:6" ht="18.5" x14ac:dyDescent="0.45">
      <c r="A29" s="81" t="s">
        <v>398</v>
      </c>
      <c r="B29" s="81"/>
      <c r="C29" s="81"/>
      <c r="D29" s="62"/>
      <c r="E29" s="62"/>
      <c r="F29" s="62"/>
    </row>
    <row r="30" spans="1:6" x14ac:dyDescent="0.35">
      <c r="A30" s="28" t="s">
        <v>3</v>
      </c>
      <c r="B30" s="29" t="s">
        <v>8</v>
      </c>
      <c r="C30" s="29" t="s">
        <v>4</v>
      </c>
      <c r="D30" s="29" t="s">
        <v>9</v>
      </c>
      <c r="E30" s="29" t="s">
        <v>10</v>
      </c>
      <c r="F30" s="29" t="s">
        <v>5</v>
      </c>
    </row>
    <row r="31" spans="1:6" x14ac:dyDescent="0.35">
      <c r="A31" t="s">
        <v>823</v>
      </c>
      <c r="B31">
        <v>5124</v>
      </c>
      <c r="C31" t="s">
        <v>829</v>
      </c>
      <c r="D31">
        <v>25000</v>
      </c>
      <c r="E31">
        <v>25000</v>
      </c>
      <c r="F31" s="36">
        <v>425000</v>
      </c>
    </row>
    <row r="32" spans="1:6" x14ac:dyDescent="0.35">
      <c r="A32" t="s">
        <v>824</v>
      </c>
      <c r="B32">
        <v>5359</v>
      </c>
      <c r="C32" t="s">
        <v>829</v>
      </c>
      <c r="D32" s="36">
        <v>10000</v>
      </c>
      <c r="E32" s="36">
        <f t="shared" ref="E32:E39" si="2">E31+D32</f>
        <v>35000</v>
      </c>
      <c r="F32" s="36">
        <f t="shared" ref="F32:F39" si="3">F31-D32</f>
        <v>415000</v>
      </c>
    </row>
    <row r="33" spans="1:6" x14ac:dyDescent="0.35">
      <c r="A33" t="s">
        <v>825</v>
      </c>
      <c r="B33">
        <v>5551</v>
      </c>
      <c r="C33" t="s">
        <v>829</v>
      </c>
      <c r="D33" s="36">
        <v>10000</v>
      </c>
      <c r="E33" s="36">
        <f t="shared" si="2"/>
        <v>45000</v>
      </c>
      <c r="F33" s="36">
        <f t="shared" si="3"/>
        <v>405000</v>
      </c>
    </row>
    <row r="34" spans="1:6" x14ac:dyDescent="0.35">
      <c r="A34" t="s">
        <v>826</v>
      </c>
      <c r="B34">
        <v>5756</v>
      </c>
      <c r="C34" t="s">
        <v>829</v>
      </c>
      <c r="D34" s="36">
        <v>10000</v>
      </c>
      <c r="E34" s="36">
        <f t="shared" si="2"/>
        <v>55000</v>
      </c>
      <c r="F34" s="36">
        <f t="shared" si="3"/>
        <v>395000</v>
      </c>
    </row>
    <row r="35" spans="1:6" x14ac:dyDescent="0.35">
      <c r="A35" t="s">
        <v>827</v>
      </c>
      <c r="B35">
        <v>5954</v>
      </c>
      <c r="C35" t="s">
        <v>829</v>
      </c>
      <c r="D35" s="36">
        <v>10000</v>
      </c>
      <c r="E35" s="36">
        <f t="shared" si="2"/>
        <v>65000</v>
      </c>
      <c r="F35" s="36">
        <f t="shared" si="3"/>
        <v>385000</v>
      </c>
    </row>
    <row r="36" spans="1:6" x14ac:dyDescent="0.35">
      <c r="A36" s="30">
        <v>46331</v>
      </c>
      <c r="B36">
        <v>1448</v>
      </c>
      <c r="C36" t="s">
        <v>829</v>
      </c>
      <c r="D36" s="36">
        <v>10000</v>
      </c>
      <c r="E36" s="36">
        <f t="shared" si="2"/>
        <v>75000</v>
      </c>
      <c r="F36" s="36">
        <f t="shared" si="3"/>
        <v>375000</v>
      </c>
    </row>
    <row r="37" spans="1:6" x14ac:dyDescent="0.35">
      <c r="A37" t="s">
        <v>828</v>
      </c>
      <c r="B37">
        <v>1640</v>
      </c>
      <c r="C37" t="s">
        <v>829</v>
      </c>
      <c r="D37" s="36">
        <v>10000</v>
      </c>
      <c r="E37" s="36">
        <f t="shared" si="2"/>
        <v>85000</v>
      </c>
      <c r="F37" s="36">
        <f t="shared" si="3"/>
        <v>365000</v>
      </c>
    </row>
    <row r="38" spans="1:6" x14ac:dyDescent="0.35">
      <c r="A38" s="30">
        <v>46363</v>
      </c>
      <c r="B38">
        <v>1824</v>
      </c>
      <c r="C38" t="s">
        <v>829</v>
      </c>
      <c r="D38" s="36">
        <v>10000</v>
      </c>
      <c r="E38" s="36">
        <f t="shared" si="2"/>
        <v>95000</v>
      </c>
      <c r="F38" s="36">
        <f t="shared" si="3"/>
        <v>355000</v>
      </c>
    </row>
    <row r="39" spans="1:6" x14ac:dyDescent="0.35">
      <c r="A39" s="30">
        <v>46303</v>
      </c>
      <c r="B39">
        <v>3772</v>
      </c>
      <c r="C39" t="s">
        <v>829</v>
      </c>
      <c r="D39" s="36">
        <v>10000</v>
      </c>
      <c r="E39" s="36">
        <f t="shared" si="2"/>
        <v>105000</v>
      </c>
      <c r="F39" s="36">
        <f t="shared" si="3"/>
        <v>345000</v>
      </c>
    </row>
    <row r="40" spans="1:6" x14ac:dyDescent="0.35">
      <c r="F40" s="36"/>
    </row>
    <row r="41" spans="1:6" x14ac:dyDescent="0.35">
      <c r="F41" s="36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D370B-8913-43EF-A8DF-FCE0A24BDF8D}">
  <dimension ref="A1:F15"/>
  <sheetViews>
    <sheetView workbookViewId="0">
      <selection activeCell="F10" sqref="F10"/>
    </sheetView>
  </sheetViews>
  <sheetFormatPr defaultRowHeight="14.5" x14ac:dyDescent="0.35"/>
  <cols>
    <col min="1" max="1" width="10.81640625" customWidth="1"/>
    <col min="3" max="3" width="12.453125" customWidth="1"/>
    <col min="4" max="4" width="9.81640625" customWidth="1"/>
    <col min="5" max="5" width="10.6328125" customWidth="1"/>
    <col min="6" max="6" width="13.90625" customWidth="1"/>
  </cols>
  <sheetData>
    <row r="1" spans="1:6" ht="18.5" x14ac:dyDescent="0.45">
      <c r="A1" s="1" t="s">
        <v>386</v>
      </c>
      <c r="B1" s="1"/>
      <c r="C1" s="17"/>
      <c r="D1" s="1"/>
      <c r="E1" s="1"/>
      <c r="F1" s="1"/>
    </row>
    <row r="2" spans="1:6" ht="18.5" x14ac:dyDescent="0.45">
      <c r="A2" s="1" t="s">
        <v>387</v>
      </c>
      <c r="C2" s="1"/>
      <c r="D2" s="1"/>
      <c r="E2" s="1"/>
      <c r="F2" s="1"/>
    </row>
    <row r="3" spans="1:6" ht="18.5" x14ac:dyDescent="0.45">
      <c r="A3" s="1" t="s">
        <v>388</v>
      </c>
      <c r="B3" s="1"/>
      <c r="C3" s="1"/>
      <c r="D3" s="1"/>
      <c r="E3" s="1"/>
      <c r="F3" s="1"/>
    </row>
    <row r="4" spans="1:6" ht="18.5" x14ac:dyDescent="0.45">
      <c r="A4" s="1" t="s">
        <v>384</v>
      </c>
      <c r="B4" s="33" t="s">
        <v>798</v>
      </c>
      <c r="C4" s="1"/>
      <c r="D4" s="1"/>
      <c r="E4" s="1"/>
      <c r="F4" s="1"/>
    </row>
    <row r="5" spans="1:6" ht="18.5" x14ac:dyDescent="0.45">
      <c r="A5" s="1" t="s">
        <v>389</v>
      </c>
      <c r="B5" s="1"/>
      <c r="C5" s="1"/>
      <c r="D5" s="1"/>
      <c r="E5" s="1"/>
      <c r="F5" s="1"/>
    </row>
    <row r="6" spans="1:6" ht="18.5" x14ac:dyDescent="0.45">
      <c r="A6" s="1" t="s">
        <v>385</v>
      </c>
      <c r="B6" s="1"/>
      <c r="C6" s="1"/>
      <c r="D6" s="1" t="s">
        <v>296</v>
      </c>
      <c r="E6" s="1"/>
      <c r="F6" s="1"/>
    </row>
    <row r="7" spans="1:6" ht="18.5" x14ac:dyDescent="0.35">
      <c r="A7" s="84" t="s">
        <v>3</v>
      </c>
      <c r="B7" s="84" t="s">
        <v>8</v>
      </c>
      <c r="C7" s="84" t="s">
        <v>4</v>
      </c>
      <c r="D7" s="84" t="s">
        <v>9</v>
      </c>
      <c r="E7" s="84" t="s">
        <v>10</v>
      </c>
      <c r="F7" s="84" t="s">
        <v>5</v>
      </c>
    </row>
    <row r="8" spans="1:6" x14ac:dyDescent="0.35">
      <c r="A8" s="3" t="s">
        <v>81</v>
      </c>
      <c r="B8" s="3">
        <v>13245</v>
      </c>
      <c r="C8" s="3" t="s">
        <v>57</v>
      </c>
      <c r="D8" s="4">
        <v>150000</v>
      </c>
      <c r="E8" s="4">
        <v>150000</v>
      </c>
      <c r="F8" s="4">
        <v>550000</v>
      </c>
    </row>
    <row r="9" spans="1:6" x14ac:dyDescent="0.35">
      <c r="A9" s="2">
        <v>46327</v>
      </c>
      <c r="B9" s="3">
        <v>12078</v>
      </c>
      <c r="C9" s="3" t="s">
        <v>88</v>
      </c>
      <c r="D9" s="4">
        <v>10000</v>
      </c>
      <c r="E9" s="4">
        <f>SUM(E8+D9)</f>
        <v>160000</v>
      </c>
      <c r="F9" s="4">
        <f>F8-D9</f>
        <v>540000</v>
      </c>
    </row>
    <row r="10" spans="1:6" x14ac:dyDescent="0.35">
      <c r="A10" s="2">
        <v>46083</v>
      </c>
      <c r="B10" s="3">
        <v>12408</v>
      </c>
      <c r="C10" s="3" t="s">
        <v>88</v>
      </c>
      <c r="D10" s="4">
        <v>10000</v>
      </c>
      <c r="E10" s="4">
        <f t="shared" ref="E10:E11" si="0">SUM(E9+D10)</f>
        <v>170000</v>
      </c>
      <c r="F10" s="4">
        <f t="shared" ref="F10:F11" si="1">F9-D10</f>
        <v>530000</v>
      </c>
    </row>
    <row r="11" spans="1:6" x14ac:dyDescent="0.35">
      <c r="A11" s="2">
        <v>46330</v>
      </c>
      <c r="B11" s="3">
        <v>13219</v>
      </c>
      <c r="C11" s="3" t="s">
        <v>88</v>
      </c>
      <c r="D11" s="4">
        <v>20000</v>
      </c>
      <c r="E11" s="4">
        <f t="shared" si="0"/>
        <v>190000</v>
      </c>
      <c r="F11" s="4">
        <f t="shared" si="1"/>
        <v>510000</v>
      </c>
    </row>
    <row r="12" spans="1:6" x14ac:dyDescent="0.35">
      <c r="A12" s="3" t="s">
        <v>788</v>
      </c>
      <c r="B12" s="3">
        <v>13317</v>
      </c>
      <c r="C12" s="3" t="s">
        <v>88</v>
      </c>
      <c r="D12" s="4">
        <v>10000</v>
      </c>
      <c r="E12" s="4">
        <f>E11+D12</f>
        <v>200000</v>
      </c>
      <c r="F12" s="4">
        <f>F11-D12</f>
        <v>500000</v>
      </c>
    </row>
    <row r="13" spans="1:6" x14ac:dyDescent="0.35">
      <c r="A13" s="3" t="s">
        <v>735</v>
      </c>
      <c r="B13" s="3">
        <v>13589</v>
      </c>
      <c r="C13" s="3" t="s">
        <v>88</v>
      </c>
      <c r="D13" s="4">
        <v>10000</v>
      </c>
      <c r="E13" s="4">
        <f>E12+D13</f>
        <v>210000</v>
      </c>
      <c r="F13" s="4">
        <f>F12-D13</f>
        <v>490000</v>
      </c>
    </row>
    <row r="14" spans="1:6" x14ac:dyDescent="0.35">
      <c r="A14" s="3" t="s">
        <v>797</v>
      </c>
      <c r="B14" s="3">
        <v>1489</v>
      </c>
      <c r="C14" s="3" t="s">
        <v>88</v>
      </c>
      <c r="D14" s="4">
        <v>10000</v>
      </c>
      <c r="E14" s="4">
        <f>E13+D14</f>
        <v>220000</v>
      </c>
      <c r="F14" s="4">
        <f>F13-D14</f>
        <v>480000</v>
      </c>
    </row>
    <row r="15" spans="1:6" x14ac:dyDescent="0.35">
      <c r="A15" s="2">
        <v>46334</v>
      </c>
      <c r="B15" s="3">
        <v>1732</v>
      </c>
      <c r="C15" s="3" t="s">
        <v>848</v>
      </c>
      <c r="D15" s="4">
        <v>10000</v>
      </c>
      <c r="E15" s="4">
        <f>E14+D15</f>
        <v>230000</v>
      </c>
      <c r="F15" s="4">
        <f>F14-D15</f>
        <v>470000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EFA8-3B40-40E6-86B0-2F5B27E4641A}">
  <dimension ref="A1:G16"/>
  <sheetViews>
    <sheetView workbookViewId="0">
      <selection activeCell="G14" sqref="G14"/>
    </sheetView>
  </sheetViews>
  <sheetFormatPr defaultRowHeight="14.5" x14ac:dyDescent="0.35"/>
  <cols>
    <col min="1" max="1" width="9.7265625" customWidth="1"/>
    <col min="3" max="3" width="10" customWidth="1"/>
  </cols>
  <sheetData>
    <row r="1" spans="1:7" ht="18.5" x14ac:dyDescent="0.45">
      <c r="A1" s="1" t="s">
        <v>516</v>
      </c>
      <c r="B1" s="1"/>
      <c r="C1" s="17"/>
      <c r="D1" s="1"/>
      <c r="E1" s="1"/>
      <c r="F1" s="1"/>
    </row>
    <row r="2" spans="1:7" ht="18.5" x14ac:dyDescent="0.45">
      <c r="A2" s="1" t="s">
        <v>517</v>
      </c>
      <c r="C2" s="1"/>
      <c r="D2" s="1"/>
      <c r="E2" s="1"/>
      <c r="F2" s="1"/>
    </row>
    <row r="3" spans="1:7" ht="18.5" x14ac:dyDescent="0.45">
      <c r="A3" s="1" t="s">
        <v>518</v>
      </c>
      <c r="B3" s="1"/>
      <c r="C3" s="1"/>
      <c r="D3" s="1"/>
      <c r="E3" s="1"/>
      <c r="F3" s="1"/>
    </row>
    <row r="4" spans="1:7" ht="18.5" x14ac:dyDescent="0.45">
      <c r="A4" s="1" t="s">
        <v>519</v>
      </c>
      <c r="B4" s="1"/>
      <c r="C4" s="1"/>
      <c r="D4" s="1"/>
      <c r="E4" s="1"/>
      <c r="F4" s="1"/>
    </row>
    <row r="5" spans="1:7" ht="18.5" x14ac:dyDescent="0.45">
      <c r="A5" s="1" t="s">
        <v>520</v>
      </c>
      <c r="B5" s="1"/>
      <c r="C5" s="1"/>
      <c r="D5" s="1" t="s">
        <v>526</v>
      </c>
      <c r="E5" s="1"/>
      <c r="F5" s="1"/>
    </row>
    <row r="6" spans="1:7" ht="18.5" x14ac:dyDescent="0.45">
      <c r="A6" s="65"/>
      <c r="B6" s="65"/>
      <c r="C6" s="65"/>
      <c r="D6" s="65"/>
      <c r="E6" s="65"/>
      <c r="F6" s="65"/>
      <c r="G6" s="66"/>
    </row>
    <row r="7" spans="1:7" ht="15.5" x14ac:dyDescent="0.35">
      <c r="A7" s="67" t="s">
        <v>403</v>
      </c>
      <c r="B7" s="67"/>
      <c r="C7" s="67"/>
      <c r="D7" s="67"/>
      <c r="E7" s="67"/>
      <c r="F7" s="67"/>
      <c r="G7" s="66"/>
    </row>
    <row r="8" spans="1:7" ht="18.5" x14ac:dyDescent="0.45">
      <c r="A8" s="1" t="s">
        <v>521</v>
      </c>
    </row>
    <row r="9" spans="1:7" ht="18.5" x14ac:dyDescent="0.45">
      <c r="A9" s="1" t="s">
        <v>522</v>
      </c>
      <c r="B9" s="1"/>
      <c r="C9" s="17"/>
      <c r="D9" s="1"/>
      <c r="E9" s="1"/>
    </row>
    <row r="10" spans="1:7" ht="18.5" x14ac:dyDescent="0.45">
      <c r="A10" s="1" t="s">
        <v>523</v>
      </c>
      <c r="C10" s="1"/>
      <c r="D10" s="1"/>
      <c r="E10" s="1"/>
    </row>
    <row r="11" spans="1:7" ht="18.5" x14ac:dyDescent="0.45">
      <c r="A11" s="1" t="s">
        <v>524</v>
      </c>
      <c r="B11" s="1"/>
      <c r="C11" s="1"/>
      <c r="D11" s="1"/>
      <c r="E11" s="1"/>
    </row>
    <row r="12" spans="1:7" ht="18.5" x14ac:dyDescent="0.45">
      <c r="A12" s="1" t="s">
        <v>525</v>
      </c>
      <c r="B12" s="1"/>
      <c r="C12" s="1"/>
      <c r="D12" s="1"/>
      <c r="E12" s="1"/>
    </row>
    <row r="13" spans="1:7" ht="18.5" x14ac:dyDescent="0.45">
      <c r="A13" s="1" t="s">
        <v>520</v>
      </c>
      <c r="B13" s="1"/>
      <c r="C13" s="1"/>
      <c r="D13" s="1" t="s">
        <v>526</v>
      </c>
      <c r="E13" s="1"/>
    </row>
    <row r="14" spans="1:7" x14ac:dyDescent="0.35">
      <c r="A14" s="28" t="s">
        <v>3</v>
      </c>
      <c r="B14" s="29" t="s">
        <v>8</v>
      </c>
      <c r="C14" s="29" t="s">
        <v>4</v>
      </c>
      <c r="D14" s="29" t="s">
        <v>9</v>
      </c>
      <c r="E14" s="29" t="s">
        <v>10</v>
      </c>
      <c r="F14" s="29" t="s">
        <v>5</v>
      </c>
    </row>
    <row r="15" spans="1:7" x14ac:dyDescent="0.35">
      <c r="A15" t="s">
        <v>527</v>
      </c>
      <c r="B15">
        <v>1434</v>
      </c>
      <c r="C15" t="s">
        <v>88</v>
      </c>
      <c r="D15" s="36">
        <v>5000</v>
      </c>
      <c r="E15" s="36">
        <v>5000</v>
      </c>
      <c r="F15" t="s">
        <v>528</v>
      </c>
    </row>
    <row r="16" spans="1:7" x14ac:dyDescent="0.35">
      <c r="B16" t="s">
        <v>529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183-C12A-46DA-80B2-733071313C3D}">
  <dimension ref="A1:F35"/>
  <sheetViews>
    <sheetView workbookViewId="0">
      <selection activeCell="A8" sqref="A8:F8"/>
    </sheetView>
  </sheetViews>
  <sheetFormatPr defaultRowHeight="14.5" x14ac:dyDescent="0.35"/>
  <cols>
    <col min="1" max="1" width="10" customWidth="1"/>
  </cols>
  <sheetData>
    <row r="1" spans="1:6" x14ac:dyDescent="0.35">
      <c r="A1" t="s">
        <v>620</v>
      </c>
      <c r="B1" t="s">
        <v>625</v>
      </c>
    </row>
    <row r="2" spans="1:6" x14ac:dyDescent="0.35">
      <c r="A2" t="s">
        <v>621</v>
      </c>
      <c r="B2" t="s">
        <v>626</v>
      </c>
    </row>
    <row r="3" spans="1:6" x14ac:dyDescent="0.35">
      <c r="A3" t="s">
        <v>622</v>
      </c>
      <c r="B3" t="s">
        <v>627</v>
      </c>
    </row>
    <row r="4" spans="1:6" x14ac:dyDescent="0.35">
      <c r="A4" t="s">
        <v>623</v>
      </c>
      <c r="B4" t="s">
        <v>628</v>
      </c>
    </row>
    <row r="5" spans="1:6" x14ac:dyDescent="0.35">
      <c r="A5" t="s">
        <v>624</v>
      </c>
      <c r="B5">
        <v>6066</v>
      </c>
    </row>
    <row r="6" spans="1:6" x14ac:dyDescent="0.35">
      <c r="A6" t="s">
        <v>629</v>
      </c>
      <c r="B6" t="s">
        <v>630</v>
      </c>
    </row>
    <row r="8" spans="1:6" x14ac:dyDescent="0.35">
      <c r="A8" s="28" t="s">
        <v>3</v>
      </c>
      <c r="B8" s="29" t="s">
        <v>8</v>
      </c>
      <c r="C8" s="29" t="s">
        <v>4</v>
      </c>
      <c r="D8" s="29" t="s">
        <v>9</v>
      </c>
      <c r="E8" s="29" t="s">
        <v>10</v>
      </c>
      <c r="F8" s="29" t="s">
        <v>5</v>
      </c>
    </row>
    <row r="9" spans="1:6" x14ac:dyDescent="0.35">
      <c r="A9" t="s">
        <v>631</v>
      </c>
      <c r="B9">
        <v>1240</v>
      </c>
      <c r="C9" t="s">
        <v>657</v>
      </c>
      <c r="D9" s="36">
        <v>10000</v>
      </c>
      <c r="E9" s="36">
        <v>10000</v>
      </c>
      <c r="F9" s="36">
        <v>270000</v>
      </c>
    </row>
    <row r="10" spans="1:6" x14ac:dyDescent="0.35">
      <c r="A10" t="s">
        <v>632</v>
      </c>
      <c r="B10">
        <v>2800</v>
      </c>
      <c r="C10" t="s">
        <v>658</v>
      </c>
      <c r="D10" s="36">
        <v>10000</v>
      </c>
      <c r="E10" s="36">
        <f t="shared" ref="E10:E34" si="0">E9+D10</f>
        <v>20000</v>
      </c>
      <c r="F10" s="36">
        <f t="shared" ref="F10:F34" si="1">F9-D10</f>
        <v>260000</v>
      </c>
    </row>
    <row r="11" spans="1:6" x14ac:dyDescent="0.35">
      <c r="A11" t="s">
        <v>633</v>
      </c>
      <c r="B11">
        <v>2101</v>
      </c>
      <c r="C11" t="s">
        <v>659</v>
      </c>
      <c r="D11" s="36">
        <v>20000</v>
      </c>
      <c r="E11" s="36">
        <f t="shared" si="0"/>
        <v>40000</v>
      </c>
      <c r="F11" s="36">
        <f t="shared" si="1"/>
        <v>240000</v>
      </c>
    </row>
    <row r="12" spans="1:6" x14ac:dyDescent="0.35">
      <c r="A12" t="s">
        <v>634</v>
      </c>
      <c r="B12">
        <v>2102</v>
      </c>
      <c r="C12" t="s">
        <v>660</v>
      </c>
      <c r="D12" s="36">
        <v>10000</v>
      </c>
      <c r="E12" s="36">
        <f t="shared" si="0"/>
        <v>50000</v>
      </c>
      <c r="F12" s="36">
        <f t="shared" si="1"/>
        <v>230000</v>
      </c>
    </row>
    <row r="13" spans="1:6" x14ac:dyDescent="0.35">
      <c r="A13" t="s">
        <v>635</v>
      </c>
      <c r="B13">
        <v>1560</v>
      </c>
      <c r="C13" t="s">
        <v>660</v>
      </c>
      <c r="D13" s="36">
        <v>20000</v>
      </c>
      <c r="E13" s="36">
        <f t="shared" si="0"/>
        <v>70000</v>
      </c>
      <c r="F13" s="36">
        <f t="shared" si="1"/>
        <v>210000</v>
      </c>
    </row>
    <row r="14" spans="1:6" x14ac:dyDescent="0.35">
      <c r="A14" t="s">
        <v>636</v>
      </c>
      <c r="B14">
        <v>4286</v>
      </c>
      <c r="C14" t="s">
        <v>657</v>
      </c>
      <c r="D14" s="36">
        <v>15000</v>
      </c>
      <c r="E14" s="36">
        <f t="shared" si="0"/>
        <v>85000</v>
      </c>
      <c r="F14" s="36">
        <f t="shared" si="1"/>
        <v>195000</v>
      </c>
    </row>
    <row r="15" spans="1:6" x14ac:dyDescent="0.35">
      <c r="A15" t="s">
        <v>637</v>
      </c>
      <c r="B15">
        <v>4287</v>
      </c>
      <c r="C15" t="s">
        <v>657</v>
      </c>
      <c r="D15" s="36">
        <v>10000</v>
      </c>
      <c r="E15" s="36">
        <f t="shared" si="0"/>
        <v>95000</v>
      </c>
      <c r="F15" s="36">
        <f t="shared" si="1"/>
        <v>185000</v>
      </c>
    </row>
    <row r="16" spans="1:6" x14ac:dyDescent="0.35">
      <c r="A16" t="s">
        <v>638</v>
      </c>
      <c r="B16">
        <v>4288</v>
      </c>
      <c r="C16" t="s">
        <v>657</v>
      </c>
      <c r="D16" s="36">
        <v>10000</v>
      </c>
      <c r="E16" s="36">
        <f t="shared" si="0"/>
        <v>105000</v>
      </c>
      <c r="F16" s="36">
        <f t="shared" si="1"/>
        <v>175000</v>
      </c>
    </row>
    <row r="17" spans="1:6" x14ac:dyDescent="0.35">
      <c r="A17" t="s">
        <v>639</v>
      </c>
      <c r="B17">
        <v>4946</v>
      </c>
      <c r="C17" t="s">
        <v>657</v>
      </c>
      <c r="D17" s="36">
        <v>10000</v>
      </c>
      <c r="E17" s="36">
        <f t="shared" si="0"/>
        <v>115000</v>
      </c>
      <c r="F17" s="36">
        <f t="shared" si="1"/>
        <v>165000</v>
      </c>
    </row>
    <row r="18" spans="1:6" x14ac:dyDescent="0.35">
      <c r="A18" t="s">
        <v>640</v>
      </c>
      <c r="B18">
        <v>5680</v>
      </c>
      <c r="C18" t="s">
        <v>657</v>
      </c>
      <c r="D18" s="36">
        <v>10000</v>
      </c>
      <c r="E18" s="36">
        <f t="shared" si="0"/>
        <v>125000</v>
      </c>
      <c r="F18" s="36">
        <f t="shared" si="1"/>
        <v>155000</v>
      </c>
    </row>
    <row r="19" spans="1:6" x14ac:dyDescent="0.35">
      <c r="A19" t="s">
        <v>641</v>
      </c>
      <c r="B19">
        <v>6292</v>
      </c>
      <c r="C19" t="s">
        <v>657</v>
      </c>
      <c r="D19" s="36">
        <v>10000</v>
      </c>
      <c r="E19" s="36">
        <f t="shared" si="0"/>
        <v>135000</v>
      </c>
      <c r="F19" s="36">
        <f t="shared" si="1"/>
        <v>145000</v>
      </c>
    </row>
    <row r="20" spans="1:6" x14ac:dyDescent="0.35">
      <c r="A20" t="s">
        <v>642</v>
      </c>
      <c r="B20">
        <v>7135</v>
      </c>
      <c r="C20" t="s">
        <v>657</v>
      </c>
      <c r="D20" s="36">
        <v>10000</v>
      </c>
      <c r="E20" s="36">
        <f t="shared" si="0"/>
        <v>145000</v>
      </c>
      <c r="F20" s="36">
        <f t="shared" si="1"/>
        <v>135000</v>
      </c>
    </row>
    <row r="21" spans="1:6" x14ac:dyDescent="0.35">
      <c r="A21" t="s">
        <v>643</v>
      </c>
      <c r="B21">
        <v>7471</v>
      </c>
      <c r="C21" t="s">
        <v>657</v>
      </c>
      <c r="D21" s="36">
        <v>10000</v>
      </c>
      <c r="E21" s="36">
        <f t="shared" si="0"/>
        <v>155000</v>
      </c>
      <c r="F21" s="36">
        <f t="shared" si="1"/>
        <v>125000</v>
      </c>
    </row>
    <row r="22" spans="1:6" x14ac:dyDescent="0.35">
      <c r="A22" t="s">
        <v>644</v>
      </c>
      <c r="B22">
        <v>8041</v>
      </c>
      <c r="C22" t="s">
        <v>657</v>
      </c>
      <c r="D22" s="36">
        <v>10000</v>
      </c>
      <c r="E22" s="36">
        <f t="shared" si="0"/>
        <v>165000</v>
      </c>
      <c r="F22" s="36">
        <f t="shared" si="1"/>
        <v>115000</v>
      </c>
    </row>
    <row r="23" spans="1:6" x14ac:dyDescent="0.35">
      <c r="A23" t="s">
        <v>645</v>
      </c>
      <c r="B23">
        <v>12613</v>
      </c>
      <c r="C23" t="s">
        <v>657</v>
      </c>
      <c r="D23" s="36">
        <v>10000</v>
      </c>
      <c r="E23" s="36">
        <f t="shared" si="0"/>
        <v>175000</v>
      </c>
      <c r="F23" s="36">
        <f t="shared" si="1"/>
        <v>105000</v>
      </c>
    </row>
    <row r="24" spans="1:6" x14ac:dyDescent="0.35">
      <c r="A24" t="s">
        <v>646</v>
      </c>
      <c r="B24">
        <v>12614</v>
      </c>
      <c r="C24" t="s">
        <v>657</v>
      </c>
      <c r="D24" s="36">
        <v>10000</v>
      </c>
      <c r="E24" s="36">
        <f t="shared" si="0"/>
        <v>185000</v>
      </c>
      <c r="F24" s="36">
        <f t="shared" si="1"/>
        <v>95000</v>
      </c>
    </row>
    <row r="25" spans="1:6" x14ac:dyDescent="0.35">
      <c r="A25" t="s">
        <v>647</v>
      </c>
      <c r="B25">
        <v>12615</v>
      </c>
      <c r="C25" t="s">
        <v>657</v>
      </c>
      <c r="D25" s="36">
        <v>10000</v>
      </c>
      <c r="E25" s="36">
        <f t="shared" si="0"/>
        <v>195000</v>
      </c>
      <c r="F25" s="36">
        <f t="shared" si="1"/>
        <v>85000</v>
      </c>
    </row>
    <row r="26" spans="1:6" x14ac:dyDescent="0.35">
      <c r="A26" t="s">
        <v>648</v>
      </c>
      <c r="B26">
        <v>12616</v>
      </c>
      <c r="C26" t="s">
        <v>657</v>
      </c>
      <c r="D26" s="36">
        <v>10000</v>
      </c>
      <c r="E26" s="36">
        <f t="shared" si="0"/>
        <v>205000</v>
      </c>
      <c r="F26" s="36">
        <f t="shared" si="1"/>
        <v>75000</v>
      </c>
    </row>
    <row r="27" spans="1:6" x14ac:dyDescent="0.35">
      <c r="A27" t="s">
        <v>649</v>
      </c>
      <c r="B27">
        <v>12617</v>
      </c>
      <c r="C27" t="s">
        <v>657</v>
      </c>
      <c r="D27" s="36">
        <v>10000</v>
      </c>
      <c r="E27" s="36">
        <f t="shared" si="0"/>
        <v>215000</v>
      </c>
      <c r="F27" s="36">
        <f t="shared" si="1"/>
        <v>65000</v>
      </c>
    </row>
    <row r="28" spans="1:6" x14ac:dyDescent="0.35">
      <c r="A28" t="s">
        <v>650</v>
      </c>
      <c r="B28">
        <v>12618</v>
      </c>
      <c r="C28" t="s">
        <v>657</v>
      </c>
      <c r="D28" s="36">
        <v>10000</v>
      </c>
      <c r="E28" s="36">
        <f t="shared" si="0"/>
        <v>225000</v>
      </c>
      <c r="F28" s="36">
        <f t="shared" si="1"/>
        <v>55000</v>
      </c>
    </row>
    <row r="29" spans="1:6" x14ac:dyDescent="0.35">
      <c r="A29" t="s">
        <v>651</v>
      </c>
      <c r="B29">
        <v>342</v>
      </c>
      <c r="C29" t="s">
        <v>657</v>
      </c>
      <c r="D29" s="36">
        <v>10000</v>
      </c>
      <c r="E29" s="36">
        <f t="shared" si="0"/>
        <v>235000</v>
      </c>
      <c r="F29" s="36">
        <f t="shared" si="1"/>
        <v>45000</v>
      </c>
    </row>
    <row r="30" spans="1:6" x14ac:dyDescent="0.35">
      <c r="A30" t="s">
        <v>652</v>
      </c>
      <c r="B30">
        <v>12970</v>
      </c>
      <c r="C30" t="s">
        <v>657</v>
      </c>
      <c r="D30" s="36">
        <v>10000</v>
      </c>
      <c r="E30" s="36">
        <f t="shared" si="0"/>
        <v>245000</v>
      </c>
      <c r="F30" s="36">
        <f t="shared" si="1"/>
        <v>35000</v>
      </c>
    </row>
    <row r="31" spans="1:6" x14ac:dyDescent="0.35">
      <c r="A31" t="s">
        <v>653</v>
      </c>
      <c r="B31">
        <v>12970</v>
      </c>
      <c r="C31" t="s">
        <v>657</v>
      </c>
      <c r="D31" s="36">
        <v>10000</v>
      </c>
      <c r="E31" s="36">
        <f t="shared" si="0"/>
        <v>255000</v>
      </c>
      <c r="F31" s="36">
        <f t="shared" si="1"/>
        <v>25000</v>
      </c>
    </row>
    <row r="32" spans="1:6" x14ac:dyDescent="0.35">
      <c r="A32" t="s">
        <v>654</v>
      </c>
      <c r="B32">
        <v>12970</v>
      </c>
      <c r="C32" t="s">
        <v>657</v>
      </c>
      <c r="D32" s="36">
        <v>10000</v>
      </c>
      <c r="E32" s="36">
        <f t="shared" si="0"/>
        <v>265000</v>
      </c>
      <c r="F32" s="36">
        <f t="shared" si="1"/>
        <v>15000</v>
      </c>
    </row>
    <row r="33" spans="1:6" x14ac:dyDescent="0.35">
      <c r="A33" t="s">
        <v>655</v>
      </c>
      <c r="B33">
        <v>12219</v>
      </c>
      <c r="C33" t="s">
        <v>657</v>
      </c>
      <c r="D33" s="36">
        <v>10000</v>
      </c>
      <c r="E33" s="36">
        <f t="shared" si="0"/>
        <v>275000</v>
      </c>
      <c r="F33" s="36">
        <f t="shared" si="1"/>
        <v>5000</v>
      </c>
    </row>
    <row r="34" spans="1:6" x14ac:dyDescent="0.35">
      <c r="A34" t="s">
        <v>656</v>
      </c>
      <c r="B34">
        <v>12969</v>
      </c>
      <c r="C34" t="s">
        <v>657</v>
      </c>
      <c r="D34" s="36">
        <v>5000</v>
      </c>
      <c r="E34" s="36">
        <f t="shared" si="0"/>
        <v>280000</v>
      </c>
      <c r="F34" s="36">
        <f t="shared" si="1"/>
        <v>0</v>
      </c>
    </row>
    <row r="35" spans="1:6" x14ac:dyDescent="0.35">
      <c r="F35" t="s">
        <v>661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214DA-68B4-4D6C-96F1-FA85879F5C86}">
  <dimension ref="A1:F8"/>
  <sheetViews>
    <sheetView workbookViewId="0">
      <selection activeCell="A8" sqref="A8:F8"/>
    </sheetView>
  </sheetViews>
  <sheetFormatPr defaultRowHeight="14.5" x14ac:dyDescent="0.35"/>
  <sheetData>
    <row r="1" spans="1:6" x14ac:dyDescent="0.35">
      <c r="A1" t="s">
        <v>620</v>
      </c>
      <c r="B1" t="s">
        <v>664</v>
      </c>
    </row>
    <row r="2" spans="1:6" x14ac:dyDescent="0.35">
      <c r="A2" t="s">
        <v>662</v>
      </c>
      <c r="B2" t="s">
        <v>665</v>
      </c>
    </row>
    <row r="3" spans="1:6" x14ac:dyDescent="0.35">
      <c r="A3" t="s">
        <v>629</v>
      </c>
    </row>
    <row r="4" spans="1:6" x14ac:dyDescent="0.35">
      <c r="A4" t="s">
        <v>663</v>
      </c>
    </row>
    <row r="5" spans="1:6" x14ac:dyDescent="0.35">
      <c r="A5" t="s">
        <v>622</v>
      </c>
      <c r="B5" t="s">
        <v>666</v>
      </c>
    </row>
    <row r="6" spans="1:6" x14ac:dyDescent="0.35">
      <c r="A6" t="s">
        <v>624</v>
      </c>
      <c r="B6">
        <v>6070</v>
      </c>
    </row>
    <row r="8" spans="1:6" x14ac:dyDescent="0.35">
      <c r="A8" s="28" t="s">
        <v>3</v>
      </c>
      <c r="B8" s="29" t="s">
        <v>8</v>
      </c>
      <c r="C8" s="29" t="s">
        <v>4</v>
      </c>
      <c r="D8" s="29" t="s">
        <v>9</v>
      </c>
      <c r="E8" s="29" t="s">
        <v>10</v>
      </c>
      <c r="F8" s="29" t="s">
        <v>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B21E3-A647-4BDD-9E0A-98B57F3492BF}">
  <dimension ref="A1:F32"/>
  <sheetViews>
    <sheetView workbookViewId="0">
      <selection activeCell="A8" sqref="A8:F8"/>
    </sheetView>
  </sheetViews>
  <sheetFormatPr defaultRowHeight="14.5" x14ac:dyDescent="0.35"/>
  <sheetData>
    <row r="1" spans="1:6" x14ac:dyDescent="0.35">
      <c r="A1" t="s">
        <v>620</v>
      </c>
      <c r="B1" t="s">
        <v>669</v>
      </c>
    </row>
    <row r="2" spans="1:6" x14ac:dyDescent="0.35">
      <c r="A2" t="s">
        <v>662</v>
      </c>
      <c r="B2" t="s">
        <v>670</v>
      </c>
    </row>
    <row r="3" spans="1:6" x14ac:dyDescent="0.35">
      <c r="A3" t="s">
        <v>663</v>
      </c>
      <c r="B3" t="s">
        <v>671</v>
      </c>
    </row>
    <row r="4" spans="1:6" x14ac:dyDescent="0.35">
      <c r="A4" t="s">
        <v>667</v>
      </c>
      <c r="B4" t="s">
        <v>672</v>
      </c>
    </row>
    <row r="5" spans="1:6" x14ac:dyDescent="0.35">
      <c r="A5" t="s">
        <v>668</v>
      </c>
      <c r="B5" t="s">
        <v>673</v>
      </c>
    </row>
    <row r="6" spans="1:6" x14ac:dyDescent="0.35">
      <c r="A6" t="s">
        <v>624</v>
      </c>
      <c r="B6">
        <v>6069</v>
      </c>
    </row>
    <row r="8" spans="1:6" x14ac:dyDescent="0.35">
      <c r="A8" s="28" t="s">
        <v>3</v>
      </c>
      <c r="B8" s="29" t="s">
        <v>8</v>
      </c>
      <c r="C8" s="29" t="s">
        <v>4</v>
      </c>
      <c r="D8" s="29" t="s">
        <v>9</v>
      </c>
      <c r="E8" s="29" t="s">
        <v>10</v>
      </c>
      <c r="F8" s="29" t="s">
        <v>5</v>
      </c>
    </row>
    <row r="9" spans="1:6" x14ac:dyDescent="0.35">
      <c r="A9" t="s">
        <v>674</v>
      </c>
      <c r="B9">
        <v>2205</v>
      </c>
      <c r="C9" t="s">
        <v>685</v>
      </c>
      <c r="D9" s="36">
        <v>232500</v>
      </c>
      <c r="E9" s="36">
        <v>232500</v>
      </c>
      <c r="F9" s="36">
        <v>217500</v>
      </c>
    </row>
    <row r="10" spans="1:6" x14ac:dyDescent="0.35">
      <c r="A10" t="s">
        <v>675</v>
      </c>
      <c r="B10">
        <v>2206</v>
      </c>
      <c r="C10" t="s">
        <v>395</v>
      </c>
      <c r="D10" s="36">
        <v>10000</v>
      </c>
      <c r="E10" s="36">
        <f t="shared" ref="E10:E31" si="0">E9+D10</f>
        <v>242500</v>
      </c>
      <c r="F10" s="36">
        <f t="shared" ref="F10:F31" si="1">F9-D10</f>
        <v>207500</v>
      </c>
    </row>
    <row r="11" spans="1:6" x14ac:dyDescent="0.35">
      <c r="A11" t="s">
        <v>676</v>
      </c>
      <c r="B11">
        <v>1143</v>
      </c>
      <c r="C11" t="s">
        <v>395</v>
      </c>
      <c r="D11" s="36">
        <v>10000</v>
      </c>
      <c r="E11" s="36">
        <f t="shared" si="0"/>
        <v>252500</v>
      </c>
      <c r="F11" s="36">
        <f t="shared" si="1"/>
        <v>197500</v>
      </c>
    </row>
    <row r="12" spans="1:6" x14ac:dyDescent="0.35">
      <c r="A12" t="s">
        <v>677</v>
      </c>
      <c r="B12">
        <v>860</v>
      </c>
      <c r="C12" t="s">
        <v>395</v>
      </c>
      <c r="D12" s="36">
        <v>10000</v>
      </c>
      <c r="E12" s="36">
        <f t="shared" si="0"/>
        <v>262500</v>
      </c>
      <c r="F12" s="36">
        <f t="shared" si="1"/>
        <v>187500</v>
      </c>
    </row>
    <row r="13" spans="1:6" x14ac:dyDescent="0.35">
      <c r="A13" t="s">
        <v>678</v>
      </c>
      <c r="B13">
        <v>573</v>
      </c>
      <c r="C13" t="s">
        <v>395</v>
      </c>
      <c r="D13" s="36">
        <v>10000</v>
      </c>
      <c r="E13" s="36">
        <f t="shared" si="0"/>
        <v>272500</v>
      </c>
      <c r="F13" s="36">
        <f t="shared" si="1"/>
        <v>177500</v>
      </c>
    </row>
    <row r="14" spans="1:6" x14ac:dyDescent="0.35">
      <c r="A14" t="s">
        <v>679</v>
      </c>
      <c r="B14">
        <v>2747</v>
      </c>
      <c r="C14" t="s">
        <v>395</v>
      </c>
      <c r="D14" s="36">
        <v>10000</v>
      </c>
      <c r="E14" s="36">
        <f t="shared" si="0"/>
        <v>282500</v>
      </c>
      <c r="F14" s="36">
        <f t="shared" si="1"/>
        <v>167500</v>
      </c>
    </row>
    <row r="15" spans="1:6" x14ac:dyDescent="0.35">
      <c r="A15" t="s">
        <v>680</v>
      </c>
      <c r="B15">
        <v>2451</v>
      </c>
      <c r="C15" t="s">
        <v>395</v>
      </c>
      <c r="D15" s="36">
        <v>10000</v>
      </c>
      <c r="E15" s="36">
        <f t="shared" si="0"/>
        <v>292500</v>
      </c>
      <c r="F15" s="36">
        <f t="shared" si="1"/>
        <v>157500</v>
      </c>
    </row>
    <row r="16" spans="1:6" x14ac:dyDescent="0.35">
      <c r="A16" t="s">
        <v>681</v>
      </c>
      <c r="B16">
        <v>3556</v>
      </c>
      <c r="C16" t="s">
        <v>395</v>
      </c>
      <c r="D16" s="36">
        <v>10000</v>
      </c>
      <c r="E16" s="36">
        <f t="shared" si="0"/>
        <v>302500</v>
      </c>
      <c r="F16" s="36">
        <f t="shared" si="1"/>
        <v>147500</v>
      </c>
    </row>
    <row r="17" spans="1:6" x14ac:dyDescent="0.35">
      <c r="A17" t="s">
        <v>682</v>
      </c>
      <c r="B17">
        <v>4228</v>
      </c>
      <c r="C17" t="s">
        <v>395</v>
      </c>
      <c r="D17" s="36">
        <v>10000</v>
      </c>
      <c r="E17" s="36">
        <f t="shared" si="0"/>
        <v>312500</v>
      </c>
      <c r="F17" s="36">
        <f t="shared" si="1"/>
        <v>137500</v>
      </c>
    </row>
    <row r="18" spans="1:6" x14ac:dyDescent="0.35">
      <c r="A18" t="s">
        <v>683</v>
      </c>
      <c r="B18">
        <v>4857</v>
      </c>
      <c r="C18" t="s">
        <v>395</v>
      </c>
      <c r="D18" s="36">
        <v>10000</v>
      </c>
      <c r="E18" s="36">
        <f t="shared" si="0"/>
        <v>322500</v>
      </c>
      <c r="F18" s="36">
        <f t="shared" si="1"/>
        <v>127500</v>
      </c>
    </row>
    <row r="19" spans="1:6" x14ac:dyDescent="0.35">
      <c r="A19" t="s">
        <v>684</v>
      </c>
      <c r="B19">
        <v>5495</v>
      </c>
      <c r="C19" t="s">
        <v>395</v>
      </c>
      <c r="D19" s="36">
        <v>10000</v>
      </c>
      <c r="E19" s="36">
        <f t="shared" si="0"/>
        <v>332500</v>
      </c>
      <c r="F19" s="36">
        <f t="shared" si="1"/>
        <v>117500</v>
      </c>
    </row>
    <row r="20" spans="1:6" x14ac:dyDescent="0.35">
      <c r="A20" t="s">
        <v>686</v>
      </c>
      <c r="B20">
        <v>6095</v>
      </c>
      <c r="C20" t="s">
        <v>395</v>
      </c>
      <c r="D20" s="36">
        <v>10000</v>
      </c>
      <c r="E20" s="36">
        <f t="shared" si="0"/>
        <v>342500</v>
      </c>
      <c r="F20" s="36">
        <f t="shared" si="1"/>
        <v>107500</v>
      </c>
    </row>
    <row r="21" spans="1:6" x14ac:dyDescent="0.35">
      <c r="A21" t="s">
        <v>687</v>
      </c>
      <c r="B21">
        <v>6599</v>
      </c>
      <c r="C21" t="s">
        <v>395</v>
      </c>
      <c r="D21" s="36">
        <v>10000</v>
      </c>
      <c r="E21" s="36">
        <f t="shared" si="0"/>
        <v>352500</v>
      </c>
      <c r="F21" s="36">
        <f t="shared" si="1"/>
        <v>97500</v>
      </c>
    </row>
    <row r="22" spans="1:6" x14ac:dyDescent="0.35">
      <c r="A22" t="s">
        <v>688</v>
      </c>
      <c r="B22">
        <v>7325</v>
      </c>
      <c r="C22" t="s">
        <v>395</v>
      </c>
      <c r="D22" s="36">
        <v>10000</v>
      </c>
      <c r="E22" s="36">
        <f t="shared" si="0"/>
        <v>362500</v>
      </c>
      <c r="F22" s="36">
        <f t="shared" si="1"/>
        <v>87500</v>
      </c>
    </row>
    <row r="23" spans="1:6" x14ac:dyDescent="0.35">
      <c r="A23" t="s">
        <v>689</v>
      </c>
      <c r="B23">
        <v>7874</v>
      </c>
      <c r="C23" t="s">
        <v>395</v>
      </c>
      <c r="D23" s="36">
        <v>10000</v>
      </c>
      <c r="E23" s="36">
        <f t="shared" si="0"/>
        <v>372500</v>
      </c>
      <c r="F23" s="36">
        <f t="shared" si="1"/>
        <v>77500</v>
      </c>
    </row>
    <row r="24" spans="1:6" x14ac:dyDescent="0.35">
      <c r="A24" t="s">
        <v>690</v>
      </c>
      <c r="B24">
        <v>8473</v>
      </c>
      <c r="C24" t="s">
        <v>395</v>
      </c>
      <c r="D24" s="36">
        <v>10000</v>
      </c>
      <c r="E24" s="36">
        <f t="shared" si="0"/>
        <v>382500</v>
      </c>
      <c r="F24" s="36">
        <f t="shared" si="1"/>
        <v>67500</v>
      </c>
    </row>
    <row r="25" spans="1:6" x14ac:dyDescent="0.35">
      <c r="A25" t="s">
        <v>691</v>
      </c>
      <c r="B25">
        <v>10704</v>
      </c>
      <c r="C25" t="s">
        <v>395</v>
      </c>
      <c r="D25" s="36">
        <v>10000</v>
      </c>
      <c r="E25" s="36">
        <f t="shared" si="0"/>
        <v>392500</v>
      </c>
      <c r="F25" s="36">
        <f t="shared" si="1"/>
        <v>57500</v>
      </c>
    </row>
    <row r="26" spans="1:6" x14ac:dyDescent="0.35">
      <c r="A26" t="s">
        <v>692</v>
      </c>
      <c r="B26">
        <v>10705</v>
      </c>
      <c r="C26" t="s">
        <v>395</v>
      </c>
      <c r="D26" s="36">
        <v>10000</v>
      </c>
      <c r="E26" s="36">
        <f t="shared" si="0"/>
        <v>402500</v>
      </c>
      <c r="F26" s="36">
        <f t="shared" si="1"/>
        <v>47500</v>
      </c>
    </row>
    <row r="27" spans="1:6" x14ac:dyDescent="0.35">
      <c r="A27" t="s">
        <v>693</v>
      </c>
      <c r="B27">
        <v>11096</v>
      </c>
      <c r="C27" t="s">
        <v>395</v>
      </c>
      <c r="D27" s="36">
        <v>10000</v>
      </c>
      <c r="E27" s="36">
        <f t="shared" si="0"/>
        <v>412500</v>
      </c>
      <c r="F27" s="36">
        <f t="shared" si="1"/>
        <v>37500</v>
      </c>
    </row>
    <row r="28" spans="1:6" x14ac:dyDescent="0.35">
      <c r="A28" t="s">
        <v>694</v>
      </c>
      <c r="B28">
        <v>10706</v>
      </c>
      <c r="C28" t="s">
        <v>395</v>
      </c>
      <c r="D28" s="36">
        <v>10000</v>
      </c>
      <c r="E28" s="36">
        <f t="shared" si="0"/>
        <v>422500</v>
      </c>
      <c r="F28" s="36">
        <f t="shared" si="1"/>
        <v>27500</v>
      </c>
    </row>
    <row r="29" spans="1:6" x14ac:dyDescent="0.35">
      <c r="A29" t="s">
        <v>695</v>
      </c>
      <c r="B29">
        <v>10209</v>
      </c>
      <c r="C29" t="s">
        <v>395</v>
      </c>
      <c r="D29" s="36">
        <v>10000</v>
      </c>
      <c r="E29" s="36">
        <f t="shared" si="0"/>
        <v>432500</v>
      </c>
      <c r="F29" s="36">
        <f t="shared" si="1"/>
        <v>17500</v>
      </c>
    </row>
    <row r="30" spans="1:6" x14ac:dyDescent="0.35">
      <c r="A30" t="s">
        <v>696</v>
      </c>
      <c r="B30">
        <v>10952</v>
      </c>
      <c r="C30" t="s">
        <v>395</v>
      </c>
      <c r="D30" s="36">
        <v>10000</v>
      </c>
      <c r="E30" s="36">
        <f t="shared" si="0"/>
        <v>442500</v>
      </c>
      <c r="F30" s="36">
        <f t="shared" si="1"/>
        <v>7500</v>
      </c>
    </row>
    <row r="31" spans="1:6" x14ac:dyDescent="0.35">
      <c r="A31" t="s">
        <v>697</v>
      </c>
      <c r="B31">
        <v>12383</v>
      </c>
      <c r="C31" t="s">
        <v>395</v>
      </c>
      <c r="D31" s="36">
        <v>6500</v>
      </c>
      <c r="E31" s="36">
        <f t="shared" si="0"/>
        <v>449000</v>
      </c>
      <c r="F31" s="36">
        <f t="shared" si="1"/>
        <v>1000</v>
      </c>
    </row>
    <row r="32" spans="1:6" x14ac:dyDescent="0.35">
      <c r="F32" t="s">
        <v>698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B8283-DA71-44B2-BDC6-32924060E81A}">
  <dimension ref="A1:F34"/>
  <sheetViews>
    <sheetView workbookViewId="0">
      <selection activeCell="A8" sqref="A8:F8"/>
    </sheetView>
  </sheetViews>
  <sheetFormatPr defaultRowHeight="14.5" x14ac:dyDescent="0.35"/>
  <cols>
    <col min="1" max="1" width="10" customWidth="1"/>
    <col min="2" max="2" width="10.81640625" bestFit="1" customWidth="1"/>
  </cols>
  <sheetData>
    <row r="1" spans="1:6" x14ac:dyDescent="0.35">
      <c r="A1" t="s">
        <v>620</v>
      </c>
      <c r="B1" t="s">
        <v>700</v>
      </c>
    </row>
    <row r="2" spans="1:6" x14ac:dyDescent="0.35">
      <c r="A2" t="s">
        <v>662</v>
      </c>
      <c r="B2" t="s">
        <v>701</v>
      </c>
    </row>
    <row r="3" spans="1:6" x14ac:dyDescent="0.35">
      <c r="A3" t="s">
        <v>699</v>
      </c>
      <c r="B3" t="s">
        <v>703</v>
      </c>
    </row>
    <row r="4" spans="1:6" x14ac:dyDescent="0.35">
      <c r="A4" t="s">
        <v>663</v>
      </c>
      <c r="B4" t="s">
        <v>702</v>
      </c>
    </row>
    <row r="5" spans="1:6" x14ac:dyDescent="0.35">
      <c r="A5" t="s">
        <v>622</v>
      </c>
      <c r="B5">
        <v>2319644901</v>
      </c>
    </row>
    <row r="6" spans="1:6" x14ac:dyDescent="0.35">
      <c r="A6" t="s">
        <v>624</v>
      </c>
      <c r="B6">
        <v>6027</v>
      </c>
    </row>
    <row r="8" spans="1:6" x14ac:dyDescent="0.35">
      <c r="A8" s="28" t="s">
        <v>3</v>
      </c>
      <c r="B8" s="29" t="s">
        <v>8</v>
      </c>
      <c r="C8" s="29" t="s">
        <v>4</v>
      </c>
      <c r="D8" s="29" t="s">
        <v>9</v>
      </c>
      <c r="E8" s="29" t="s">
        <v>10</v>
      </c>
      <c r="F8" s="29" t="s">
        <v>5</v>
      </c>
    </row>
    <row r="9" spans="1:6" x14ac:dyDescent="0.35">
      <c r="A9" t="s">
        <v>704</v>
      </c>
      <c r="B9">
        <v>1013</v>
      </c>
      <c r="C9" t="s">
        <v>730</v>
      </c>
      <c r="D9" s="36">
        <v>110000</v>
      </c>
      <c r="E9" s="36">
        <v>110000</v>
      </c>
      <c r="F9" s="36">
        <v>440000</v>
      </c>
    </row>
    <row r="10" spans="1:6" x14ac:dyDescent="0.35">
      <c r="A10" t="s">
        <v>705</v>
      </c>
      <c r="B10">
        <v>1437</v>
      </c>
      <c r="C10" t="s">
        <v>657</v>
      </c>
      <c r="D10" s="36">
        <v>10000</v>
      </c>
      <c r="E10" s="36">
        <f t="shared" ref="E10:E34" si="0">E9+D10</f>
        <v>120000</v>
      </c>
      <c r="F10" s="36">
        <f t="shared" ref="F10:F34" si="1">F9-D10</f>
        <v>430000</v>
      </c>
    </row>
    <row r="11" spans="1:6" x14ac:dyDescent="0.35">
      <c r="A11" t="s">
        <v>706</v>
      </c>
      <c r="B11">
        <v>1436</v>
      </c>
      <c r="C11" t="s">
        <v>657</v>
      </c>
      <c r="D11" s="36">
        <v>10000</v>
      </c>
      <c r="E11" s="36">
        <f t="shared" si="0"/>
        <v>130000</v>
      </c>
      <c r="F11" s="36">
        <f t="shared" si="1"/>
        <v>420000</v>
      </c>
    </row>
    <row r="12" spans="1:6" x14ac:dyDescent="0.35">
      <c r="A12" t="s">
        <v>707</v>
      </c>
      <c r="B12">
        <v>257</v>
      </c>
      <c r="C12" t="s">
        <v>657</v>
      </c>
      <c r="D12" s="36">
        <v>10000</v>
      </c>
      <c r="E12" s="36">
        <f t="shared" si="0"/>
        <v>140000</v>
      </c>
      <c r="F12" s="36">
        <f t="shared" si="1"/>
        <v>410000</v>
      </c>
    </row>
    <row r="13" spans="1:6" x14ac:dyDescent="0.35">
      <c r="A13" t="s">
        <v>708</v>
      </c>
      <c r="B13">
        <v>3006</v>
      </c>
      <c r="C13" t="s">
        <v>657</v>
      </c>
      <c r="D13" s="36">
        <v>15000</v>
      </c>
      <c r="E13" s="36">
        <f t="shared" si="0"/>
        <v>155000</v>
      </c>
      <c r="F13" s="36">
        <f t="shared" si="1"/>
        <v>395000</v>
      </c>
    </row>
    <row r="14" spans="1:6" x14ac:dyDescent="0.35">
      <c r="A14" t="s">
        <v>709</v>
      </c>
      <c r="B14">
        <v>3006</v>
      </c>
      <c r="C14" t="s">
        <v>657</v>
      </c>
      <c r="D14" s="36">
        <v>5000</v>
      </c>
      <c r="E14" s="36">
        <f t="shared" si="0"/>
        <v>160000</v>
      </c>
      <c r="F14" s="36">
        <f t="shared" si="1"/>
        <v>390000</v>
      </c>
    </row>
    <row r="15" spans="1:6" x14ac:dyDescent="0.35">
      <c r="A15" t="s">
        <v>710</v>
      </c>
      <c r="B15">
        <v>3708</v>
      </c>
      <c r="C15" t="s">
        <v>657</v>
      </c>
      <c r="D15" s="36">
        <v>10000</v>
      </c>
      <c r="E15" s="36">
        <f t="shared" si="0"/>
        <v>170000</v>
      </c>
      <c r="F15" s="36">
        <f t="shared" si="1"/>
        <v>380000</v>
      </c>
    </row>
    <row r="16" spans="1:6" x14ac:dyDescent="0.35">
      <c r="A16" t="s">
        <v>711</v>
      </c>
      <c r="B16">
        <v>4545</v>
      </c>
      <c r="C16" t="s">
        <v>657</v>
      </c>
      <c r="D16" s="36">
        <v>10000</v>
      </c>
      <c r="E16" s="36">
        <f t="shared" si="0"/>
        <v>180000</v>
      </c>
      <c r="F16" s="36">
        <f t="shared" si="1"/>
        <v>370000</v>
      </c>
    </row>
    <row r="17" spans="1:6" x14ac:dyDescent="0.35">
      <c r="A17" t="s">
        <v>712</v>
      </c>
      <c r="B17">
        <v>5229</v>
      </c>
      <c r="C17" t="s">
        <v>657</v>
      </c>
      <c r="D17" s="36">
        <v>10000</v>
      </c>
      <c r="E17" s="36">
        <f t="shared" si="0"/>
        <v>190000</v>
      </c>
      <c r="F17" s="36">
        <f t="shared" si="1"/>
        <v>360000</v>
      </c>
    </row>
    <row r="18" spans="1:6" x14ac:dyDescent="0.35">
      <c r="A18" t="s">
        <v>713</v>
      </c>
      <c r="B18">
        <v>5843</v>
      </c>
      <c r="C18" t="s">
        <v>657</v>
      </c>
      <c r="D18" s="36">
        <v>10000</v>
      </c>
      <c r="E18" s="36">
        <f t="shared" si="0"/>
        <v>200000</v>
      </c>
      <c r="F18" s="36">
        <f t="shared" si="1"/>
        <v>350000</v>
      </c>
    </row>
    <row r="19" spans="1:6" x14ac:dyDescent="0.35">
      <c r="A19" t="s">
        <v>714</v>
      </c>
      <c r="B19">
        <v>6453</v>
      </c>
      <c r="C19" t="s">
        <v>657</v>
      </c>
      <c r="D19" s="36">
        <v>10000</v>
      </c>
      <c r="E19" s="36">
        <f t="shared" si="0"/>
        <v>210000</v>
      </c>
      <c r="F19" s="36">
        <f t="shared" si="1"/>
        <v>340000</v>
      </c>
    </row>
    <row r="20" spans="1:6" x14ac:dyDescent="0.35">
      <c r="A20" t="s">
        <v>715</v>
      </c>
      <c r="B20">
        <v>6857</v>
      </c>
      <c r="C20" t="s">
        <v>657</v>
      </c>
      <c r="D20" s="36">
        <v>10000</v>
      </c>
      <c r="E20" s="36">
        <f t="shared" si="0"/>
        <v>220000</v>
      </c>
      <c r="F20" s="36">
        <f t="shared" si="1"/>
        <v>330000</v>
      </c>
    </row>
    <row r="21" spans="1:6" x14ac:dyDescent="0.35">
      <c r="A21" t="s">
        <v>716</v>
      </c>
      <c r="B21">
        <v>7728</v>
      </c>
      <c r="C21" t="s">
        <v>657</v>
      </c>
      <c r="D21" s="36">
        <v>10000</v>
      </c>
      <c r="E21" s="36">
        <f t="shared" si="0"/>
        <v>230000</v>
      </c>
      <c r="F21" s="36">
        <f t="shared" si="1"/>
        <v>320000</v>
      </c>
    </row>
    <row r="22" spans="1:6" x14ac:dyDescent="0.35">
      <c r="A22" t="s">
        <v>717</v>
      </c>
      <c r="B22">
        <v>8398</v>
      </c>
      <c r="C22" t="s">
        <v>657</v>
      </c>
      <c r="D22" s="36">
        <v>10000</v>
      </c>
      <c r="E22" s="36">
        <f t="shared" si="0"/>
        <v>240000</v>
      </c>
      <c r="F22" s="36">
        <f t="shared" si="1"/>
        <v>310000</v>
      </c>
    </row>
    <row r="23" spans="1:6" x14ac:dyDescent="0.35">
      <c r="A23" t="s">
        <v>718</v>
      </c>
      <c r="B23">
        <v>10462</v>
      </c>
      <c r="C23" t="s">
        <v>657</v>
      </c>
      <c r="D23" s="36">
        <v>10000</v>
      </c>
      <c r="E23" s="36">
        <f t="shared" si="0"/>
        <v>250000</v>
      </c>
      <c r="F23" s="36">
        <f t="shared" si="1"/>
        <v>300000</v>
      </c>
    </row>
    <row r="24" spans="1:6" x14ac:dyDescent="0.35">
      <c r="A24" t="s">
        <v>719</v>
      </c>
      <c r="B24">
        <v>10463</v>
      </c>
      <c r="C24" t="s">
        <v>657</v>
      </c>
      <c r="D24" s="36">
        <v>10000</v>
      </c>
      <c r="E24" s="36">
        <f t="shared" si="0"/>
        <v>260000</v>
      </c>
      <c r="F24" s="36">
        <f t="shared" si="1"/>
        <v>290000</v>
      </c>
    </row>
    <row r="25" spans="1:6" x14ac:dyDescent="0.35">
      <c r="A25" t="s">
        <v>720</v>
      </c>
      <c r="B25">
        <v>10461</v>
      </c>
      <c r="C25" t="s">
        <v>657</v>
      </c>
      <c r="D25" s="36">
        <v>10000</v>
      </c>
      <c r="E25" s="36">
        <f t="shared" si="0"/>
        <v>270000</v>
      </c>
      <c r="F25" s="36">
        <f t="shared" si="1"/>
        <v>280000</v>
      </c>
    </row>
    <row r="26" spans="1:6" x14ac:dyDescent="0.35">
      <c r="A26" t="s">
        <v>721</v>
      </c>
      <c r="B26">
        <v>11540</v>
      </c>
      <c r="C26" t="s">
        <v>657</v>
      </c>
      <c r="D26" s="36">
        <v>10000</v>
      </c>
      <c r="E26" s="36">
        <f t="shared" si="0"/>
        <v>280000</v>
      </c>
      <c r="F26" s="36">
        <f t="shared" si="1"/>
        <v>270000</v>
      </c>
    </row>
    <row r="27" spans="1:6" x14ac:dyDescent="0.35">
      <c r="A27" t="s">
        <v>722</v>
      </c>
      <c r="B27">
        <v>12569</v>
      </c>
      <c r="C27" t="s">
        <v>657</v>
      </c>
      <c r="D27" s="36">
        <v>10000</v>
      </c>
      <c r="E27" s="36">
        <f t="shared" si="0"/>
        <v>290000</v>
      </c>
      <c r="F27" s="36">
        <f t="shared" si="1"/>
        <v>260000</v>
      </c>
    </row>
    <row r="28" spans="1:6" x14ac:dyDescent="0.35">
      <c r="A28" t="s">
        <v>723</v>
      </c>
      <c r="B28">
        <v>12793</v>
      </c>
      <c r="C28" t="s">
        <v>657</v>
      </c>
      <c r="D28" s="36">
        <v>10000</v>
      </c>
      <c r="E28" s="36">
        <f t="shared" si="0"/>
        <v>300000</v>
      </c>
      <c r="F28" s="36">
        <f t="shared" si="1"/>
        <v>250000</v>
      </c>
    </row>
    <row r="29" spans="1:6" x14ac:dyDescent="0.35">
      <c r="A29" t="s">
        <v>724</v>
      </c>
      <c r="B29">
        <v>10105</v>
      </c>
      <c r="C29" t="s">
        <v>657</v>
      </c>
      <c r="D29" s="36">
        <v>10000</v>
      </c>
      <c r="E29" s="36">
        <f t="shared" si="0"/>
        <v>310000</v>
      </c>
      <c r="F29" s="36">
        <f t="shared" si="1"/>
        <v>240000</v>
      </c>
    </row>
    <row r="30" spans="1:6" x14ac:dyDescent="0.35">
      <c r="A30" t="s">
        <v>725</v>
      </c>
      <c r="B30">
        <v>10104</v>
      </c>
      <c r="C30" t="s">
        <v>657</v>
      </c>
      <c r="D30" s="36">
        <v>10000</v>
      </c>
      <c r="E30" s="36">
        <f t="shared" si="0"/>
        <v>320000</v>
      </c>
      <c r="F30" s="36">
        <f t="shared" si="1"/>
        <v>230000</v>
      </c>
    </row>
    <row r="31" spans="1:6" x14ac:dyDescent="0.35">
      <c r="A31" t="s">
        <v>726</v>
      </c>
      <c r="B31">
        <v>12381</v>
      </c>
      <c r="C31" t="s">
        <v>657</v>
      </c>
      <c r="D31" s="36">
        <v>10000</v>
      </c>
      <c r="E31" s="36">
        <f t="shared" si="0"/>
        <v>330000</v>
      </c>
      <c r="F31" s="36">
        <f t="shared" si="1"/>
        <v>220000</v>
      </c>
    </row>
    <row r="32" spans="1:6" x14ac:dyDescent="0.35">
      <c r="A32" t="s">
        <v>727</v>
      </c>
      <c r="B32">
        <v>12583</v>
      </c>
      <c r="C32" t="s">
        <v>657</v>
      </c>
      <c r="D32" s="36">
        <v>10000</v>
      </c>
      <c r="E32" s="36">
        <f t="shared" si="0"/>
        <v>340000</v>
      </c>
      <c r="F32" s="36">
        <f t="shared" si="1"/>
        <v>210000</v>
      </c>
    </row>
    <row r="33" spans="1:6" x14ac:dyDescent="0.35">
      <c r="A33" t="s">
        <v>728</v>
      </c>
      <c r="B33">
        <v>13073</v>
      </c>
      <c r="C33" t="s">
        <v>657</v>
      </c>
      <c r="D33" s="36">
        <v>50000</v>
      </c>
      <c r="E33" s="36">
        <f t="shared" si="0"/>
        <v>390000</v>
      </c>
      <c r="F33" s="36">
        <f t="shared" si="1"/>
        <v>160000</v>
      </c>
    </row>
    <row r="34" spans="1:6" x14ac:dyDescent="0.35">
      <c r="A34" t="s">
        <v>729</v>
      </c>
      <c r="B34">
        <v>13447</v>
      </c>
      <c r="C34" t="s">
        <v>657</v>
      </c>
      <c r="D34" s="36">
        <v>20000</v>
      </c>
      <c r="E34" s="36">
        <f t="shared" si="0"/>
        <v>410000</v>
      </c>
      <c r="F34" s="36">
        <f t="shared" si="1"/>
        <v>140000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34F61-B9A6-499C-9BC2-6B3FF5420C7D}">
  <dimension ref="A1:F22"/>
  <sheetViews>
    <sheetView workbookViewId="0">
      <selection activeCell="B9" sqref="B9"/>
    </sheetView>
  </sheetViews>
  <sheetFormatPr defaultRowHeight="14.5" x14ac:dyDescent="0.35"/>
  <sheetData>
    <row r="1" spans="1:6" x14ac:dyDescent="0.35">
      <c r="A1" t="s">
        <v>620</v>
      </c>
      <c r="B1" t="s">
        <v>758</v>
      </c>
    </row>
    <row r="2" spans="1:6" x14ac:dyDescent="0.35">
      <c r="A2" t="s">
        <v>662</v>
      </c>
      <c r="B2" t="s">
        <v>769</v>
      </c>
    </row>
    <row r="3" spans="1:6" x14ac:dyDescent="0.35">
      <c r="A3" t="s">
        <v>663</v>
      </c>
      <c r="B3" t="s">
        <v>760</v>
      </c>
    </row>
    <row r="4" spans="1:6" x14ac:dyDescent="0.35">
      <c r="A4" t="s">
        <v>622</v>
      </c>
      <c r="B4" t="s">
        <v>761</v>
      </c>
    </row>
    <row r="5" spans="1:6" x14ac:dyDescent="0.35">
      <c r="A5" t="s">
        <v>629</v>
      </c>
      <c r="B5" t="s">
        <v>763</v>
      </c>
    </row>
    <row r="6" spans="1:6" x14ac:dyDescent="0.35">
      <c r="A6" t="s">
        <v>624</v>
      </c>
      <c r="B6">
        <v>6016</v>
      </c>
    </row>
    <row r="7" spans="1:6" x14ac:dyDescent="0.35">
      <c r="E7" s="36">
        <v>500000</v>
      </c>
    </row>
    <row r="8" spans="1:6" x14ac:dyDescent="0.35">
      <c r="A8" s="28" t="s">
        <v>3</v>
      </c>
      <c r="B8" s="29" t="s">
        <v>8</v>
      </c>
      <c r="C8" s="29" t="s">
        <v>4</v>
      </c>
      <c r="D8" s="29" t="s">
        <v>9</v>
      </c>
      <c r="E8" s="29" t="s">
        <v>10</v>
      </c>
      <c r="F8" s="29" t="s">
        <v>5</v>
      </c>
    </row>
    <row r="9" spans="1:6" x14ac:dyDescent="0.35">
      <c r="A9" t="s">
        <v>741</v>
      </c>
      <c r="B9">
        <v>656</v>
      </c>
      <c r="C9" t="s">
        <v>768</v>
      </c>
      <c r="D9" s="36">
        <v>30000</v>
      </c>
      <c r="E9" s="36">
        <v>30000</v>
      </c>
      <c r="F9" s="36">
        <v>470000</v>
      </c>
    </row>
    <row r="10" spans="1:6" x14ac:dyDescent="0.35">
      <c r="A10" t="s">
        <v>764</v>
      </c>
      <c r="B10">
        <v>3025</v>
      </c>
      <c r="C10" t="s">
        <v>657</v>
      </c>
      <c r="D10" s="36">
        <v>34000</v>
      </c>
      <c r="E10" s="36">
        <f t="shared" ref="E10:E22" si="0">E9+D10</f>
        <v>64000</v>
      </c>
      <c r="F10" s="36">
        <f t="shared" ref="F10:F22" si="1">F9-D10</f>
        <v>436000</v>
      </c>
    </row>
    <row r="11" spans="1:6" x14ac:dyDescent="0.35">
      <c r="A11" t="s">
        <v>765</v>
      </c>
      <c r="B11">
        <v>3683</v>
      </c>
      <c r="C11" t="s">
        <v>657</v>
      </c>
      <c r="D11" s="36">
        <v>10000</v>
      </c>
      <c r="E11" s="36">
        <f t="shared" si="0"/>
        <v>74000</v>
      </c>
      <c r="F11" s="36">
        <f t="shared" si="1"/>
        <v>426000</v>
      </c>
    </row>
    <row r="12" spans="1:6" x14ac:dyDescent="0.35">
      <c r="A12" t="s">
        <v>766</v>
      </c>
      <c r="B12">
        <v>5075</v>
      </c>
      <c r="C12" t="s">
        <v>657</v>
      </c>
      <c r="D12" s="36">
        <v>10000</v>
      </c>
      <c r="E12" s="36">
        <f t="shared" si="0"/>
        <v>84000</v>
      </c>
      <c r="F12" s="36">
        <f t="shared" si="1"/>
        <v>416000</v>
      </c>
    </row>
    <row r="13" spans="1:6" x14ac:dyDescent="0.35">
      <c r="A13" t="s">
        <v>748</v>
      </c>
      <c r="B13">
        <v>11601</v>
      </c>
      <c r="C13" t="s">
        <v>657</v>
      </c>
      <c r="D13" s="36">
        <v>30000</v>
      </c>
      <c r="E13" s="36">
        <f t="shared" si="0"/>
        <v>114000</v>
      </c>
      <c r="F13" s="36">
        <f t="shared" si="1"/>
        <v>386000</v>
      </c>
    </row>
    <row r="14" spans="1:6" x14ac:dyDescent="0.35">
      <c r="A14" t="s">
        <v>748</v>
      </c>
      <c r="B14">
        <v>11603</v>
      </c>
      <c r="C14" t="s">
        <v>657</v>
      </c>
      <c r="D14" s="36">
        <v>50000</v>
      </c>
      <c r="E14" s="36">
        <f t="shared" si="0"/>
        <v>164000</v>
      </c>
      <c r="F14" s="36">
        <f t="shared" si="1"/>
        <v>336000</v>
      </c>
    </row>
    <row r="15" spans="1:6" x14ac:dyDescent="0.35">
      <c r="A15" t="s">
        <v>749</v>
      </c>
      <c r="B15">
        <v>12280</v>
      </c>
      <c r="C15" t="s">
        <v>657</v>
      </c>
      <c r="D15" s="36">
        <v>50000</v>
      </c>
      <c r="E15" s="36">
        <f t="shared" si="0"/>
        <v>214000</v>
      </c>
      <c r="F15" s="36">
        <f t="shared" si="1"/>
        <v>286000</v>
      </c>
    </row>
    <row r="16" spans="1:6" x14ac:dyDescent="0.35">
      <c r="A16" t="s">
        <v>750</v>
      </c>
      <c r="B16">
        <v>9103</v>
      </c>
      <c r="C16" t="s">
        <v>657</v>
      </c>
      <c r="D16" s="36">
        <v>20000</v>
      </c>
      <c r="E16" s="36">
        <f t="shared" si="0"/>
        <v>234000</v>
      </c>
      <c r="F16" s="36">
        <f t="shared" si="1"/>
        <v>266000</v>
      </c>
    </row>
    <row r="17" spans="1:6" x14ac:dyDescent="0.35">
      <c r="A17" t="s">
        <v>751</v>
      </c>
      <c r="B17">
        <v>9333</v>
      </c>
      <c r="C17" t="s">
        <v>657</v>
      </c>
      <c r="D17" s="36">
        <v>10000</v>
      </c>
      <c r="E17" s="36">
        <f t="shared" si="0"/>
        <v>244000</v>
      </c>
      <c r="F17" s="36">
        <f t="shared" si="1"/>
        <v>256000</v>
      </c>
    </row>
    <row r="18" spans="1:6" x14ac:dyDescent="0.35">
      <c r="A18" t="s">
        <v>767</v>
      </c>
      <c r="B18">
        <v>10172</v>
      </c>
      <c r="C18" t="s">
        <v>657</v>
      </c>
      <c r="D18" s="36">
        <v>10000</v>
      </c>
      <c r="E18" s="36">
        <f t="shared" si="0"/>
        <v>254000</v>
      </c>
      <c r="F18" s="36">
        <f t="shared" si="1"/>
        <v>246000</v>
      </c>
    </row>
    <row r="19" spans="1:6" x14ac:dyDescent="0.35">
      <c r="A19" t="s">
        <v>753</v>
      </c>
      <c r="B19">
        <v>13114</v>
      </c>
      <c r="C19" t="s">
        <v>657</v>
      </c>
      <c r="D19" s="36">
        <v>50000</v>
      </c>
      <c r="E19" s="36">
        <f t="shared" si="0"/>
        <v>304000</v>
      </c>
      <c r="F19" s="36">
        <f t="shared" si="1"/>
        <v>196000</v>
      </c>
    </row>
    <row r="20" spans="1:6" x14ac:dyDescent="0.35">
      <c r="A20" t="s">
        <v>755</v>
      </c>
      <c r="B20">
        <v>12434</v>
      </c>
      <c r="C20" t="s">
        <v>657</v>
      </c>
      <c r="D20" s="36">
        <v>20000</v>
      </c>
      <c r="E20" s="36">
        <f t="shared" si="0"/>
        <v>324000</v>
      </c>
      <c r="F20" s="36">
        <f t="shared" si="1"/>
        <v>176000</v>
      </c>
    </row>
    <row r="21" spans="1:6" x14ac:dyDescent="0.35">
      <c r="A21" t="s">
        <v>754</v>
      </c>
      <c r="B21">
        <v>13106</v>
      </c>
      <c r="C21" t="s">
        <v>657</v>
      </c>
      <c r="D21" s="36">
        <v>15000</v>
      </c>
      <c r="E21" s="36">
        <f t="shared" si="0"/>
        <v>339000</v>
      </c>
      <c r="F21" s="36">
        <f t="shared" si="1"/>
        <v>161000</v>
      </c>
    </row>
    <row r="22" spans="1:6" x14ac:dyDescent="0.35">
      <c r="A22" t="s">
        <v>756</v>
      </c>
      <c r="B22">
        <v>13613</v>
      </c>
      <c r="C22" t="s">
        <v>657</v>
      </c>
      <c r="D22" s="36">
        <v>20000</v>
      </c>
      <c r="E22" s="36">
        <f t="shared" si="0"/>
        <v>359000</v>
      </c>
      <c r="F22" s="36">
        <f t="shared" si="1"/>
        <v>141000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FA643-EACD-46A9-A2FF-F34200484973}">
  <dimension ref="A1:F27"/>
  <sheetViews>
    <sheetView workbookViewId="0">
      <selection activeCell="A8" sqref="A8:F8"/>
    </sheetView>
  </sheetViews>
  <sheetFormatPr defaultRowHeight="14.5" x14ac:dyDescent="0.35"/>
  <sheetData>
    <row r="1" spans="1:6" x14ac:dyDescent="0.35">
      <c r="A1" t="s">
        <v>620</v>
      </c>
      <c r="B1" t="s">
        <v>758</v>
      </c>
    </row>
    <row r="2" spans="1:6" x14ac:dyDescent="0.35">
      <c r="A2" t="s">
        <v>662</v>
      </c>
      <c r="B2" t="s">
        <v>759</v>
      </c>
    </row>
    <row r="3" spans="1:6" x14ac:dyDescent="0.35">
      <c r="A3" t="s">
        <v>738</v>
      </c>
      <c r="B3" t="s">
        <v>760</v>
      </c>
    </row>
    <row r="4" spans="1:6" x14ac:dyDescent="0.35">
      <c r="A4" t="s">
        <v>622</v>
      </c>
      <c r="B4" t="s">
        <v>761</v>
      </c>
    </row>
    <row r="5" spans="1:6" x14ac:dyDescent="0.35">
      <c r="A5" t="s">
        <v>668</v>
      </c>
      <c r="B5" t="s">
        <v>762</v>
      </c>
    </row>
    <row r="6" spans="1:6" x14ac:dyDescent="0.35">
      <c r="A6" t="s">
        <v>739</v>
      </c>
      <c r="B6">
        <v>6015</v>
      </c>
    </row>
    <row r="8" spans="1:6" x14ac:dyDescent="0.35">
      <c r="A8" s="28" t="s">
        <v>3</v>
      </c>
      <c r="B8" s="29" t="s">
        <v>8</v>
      </c>
      <c r="C8" s="29" t="s">
        <v>4</v>
      </c>
      <c r="D8" s="29" t="s">
        <v>9</v>
      </c>
      <c r="E8" s="29" t="s">
        <v>10</v>
      </c>
      <c r="F8" s="29" t="s">
        <v>5</v>
      </c>
    </row>
    <row r="9" spans="1:6" x14ac:dyDescent="0.35">
      <c r="A9" t="s">
        <v>740</v>
      </c>
      <c r="B9">
        <v>5864</v>
      </c>
      <c r="C9" t="s">
        <v>757</v>
      </c>
      <c r="D9" s="36">
        <v>179000</v>
      </c>
      <c r="E9" s="36">
        <v>179000</v>
      </c>
      <c r="F9" s="36">
        <v>321000</v>
      </c>
    </row>
    <row r="10" spans="1:6" x14ac:dyDescent="0.35">
      <c r="A10" t="s">
        <v>741</v>
      </c>
      <c r="B10">
        <v>654</v>
      </c>
      <c r="C10" t="s">
        <v>657</v>
      </c>
      <c r="D10" s="36">
        <v>20000</v>
      </c>
      <c r="E10" s="36">
        <f t="shared" ref="E10:E27" si="0">E9+D10</f>
        <v>199000</v>
      </c>
      <c r="F10" s="36">
        <f t="shared" ref="F10:F27" si="1">F9-D10</f>
        <v>301000</v>
      </c>
    </row>
    <row r="11" spans="1:6" x14ac:dyDescent="0.35">
      <c r="A11" t="s">
        <v>742</v>
      </c>
      <c r="B11">
        <v>659</v>
      </c>
      <c r="C11" t="s">
        <v>657</v>
      </c>
      <c r="D11" s="36">
        <v>10000</v>
      </c>
      <c r="E11" s="36">
        <f t="shared" si="0"/>
        <v>209000</v>
      </c>
      <c r="F11" s="36">
        <f t="shared" si="1"/>
        <v>291000</v>
      </c>
    </row>
    <row r="12" spans="1:6" x14ac:dyDescent="0.35">
      <c r="A12" t="s">
        <v>743</v>
      </c>
      <c r="B12">
        <v>5865</v>
      </c>
      <c r="C12" t="s">
        <v>657</v>
      </c>
      <c r="D12" s="36">
        <v>40000</v>
      </c>
      <c r="E12" s="36">
        <f t="shared" si="0"/>
        <v>249000</v>
      </c>
      <c r="F12" s="36">
        <f t="shared" si="1"/>
        <v>251000</v>
      </c>
    </row>
    <row r="13" spans="1:6" x14ac:dyDescent="0.35">
      <c r="A13" t="s">
        <v>743</v>
      </c>
      <c r="B13">
        <v>5866</v>
      </c>
      <c r="C13" t="s">
        <v>657</v>
      </c>
      <c r="D13" s="36">
        <v>10000</v>
      </c>
      <c r="E13" s="36">
        <f t="shared" si="0"/>
        <v>259000</v>
      </c>
      <c r="F13" s="36">
        <f t="shared" si="1"/>
        <v>241000</v>
      </c>
    </row>
    <row r="14" spans="1:6" x14ac:dyDescent="0.35">
      <c r="A14" t="s">
        <v>744</v>
      </c>
      <c r="B14">
        <v>8214</v>
      </c>
      <c r="C14" t="s">
        <v>657</v>
      </c>
      <c r="D14" s="36">
        <v>20000</v>
      </c>
      <c r="E14" s="36">
        <f t="shared" si="0"/>
        <v>279000</v>
      </c>
      <c r="F14" s="36">
        <f t="shared" si="1"/>
        <v>221000</v>
      </c>
    </row>
    <row r="15" spans="1:6" x14ac:dyDescent="0.35">
      <c r="A15" t="s">
        <v>691</v>
      </c>
      <c r="B15">
        <v>9074</v>
      </c>
      <c r="C15" t="s">
        <v>657</v>
      </c>
      <c r="D15" s="36">
        <v>10000</v>
      </c>
      <c r="E15" s="36">
        <f t="shared" si="0"/>
        <v>289000</v>
      </c>
      <c r="F15" s="36">
        <f t="shared" si="1"/>
        <v>211000</v>
      </c>
    </row>
    <row r="16" spans="1:6" x14ac:dyDescent="0.35">
      <c r="A16" t="s">
        <v>745</v>
      </c>
      <c r="C16" t="s">
        <v>657</v>
      </c>
      <c r="D16" s="36">
        <v>10000</v>
      </c>
      <c r="E16" s="36">
        <f t="shared" si="0"/>
        <v>299000</v>
      </c>
      <c r="F16" s="36">
        <f t="shared" si="1"/>
        <v>201000</v>
      </c>
    </row>
    <row r="17" spans="1:6" x14ac:dyDescent="0.35">
      <c r="A17" t="s">
        <v>746</v>
      </c>
      <c r="B17">
        <v>11103</v>
      </c>
      <c r="C17" t="s">
        <v>657</v>
      </c>
      <c r="D17" s="36">
        <v>10000</v>
      </c>
      <c r="E17" s="36">
        <f t="shared" si="0"/>
        <v>309000</v>
      </c>
      <c r="F17" s="36">
        <f t="shared" si="1"/>
        <v>191000</v>
      </c>
    </row>
    <row r="18" spans="1:6" x14ac:dyDescent="0.35">
      <c r="A18" t="s">
        <v>747</v>
      </c>
      <c r="B18">
        <v>10689</v>
      </c>
      <c r="C18" t="s">
        <v>657</v>
      </c>
      <c r="D18" s="36">
        <v>10000</v>
      </c>
      <c r="E18" s="36">
        <f t="shared" si="0"/>
        <v>319000</v>
      </c>
      <c r="F18" s="36">
        <f t="shared" si="1"/>
        <v>181000</v>
      </c>
    </row>
    <row r="19" spans="1:6" x14ac:dyDescent="0.35">
      <c r="A19" t="s">
        <v>748</v>
      </c>
      <c r="B19">
        <v>11605</v>
      </c>
      <c r="C19" t="s">
        <v>657</v>
      </c>
      <c r="D19" s="36">
        <v>10000</v>
      </c>
      <c r="E19" s="36">
        <f t="shared" si="0"/>
        <v>329000</v>
      </c>
      <c r="F19" s="36">
        <f t="shared" si="1"/>
        <v>171000</v>
      </c>
    </row>
    <row r="20" spans="1:6" x14ac:dyDescent="0.35">
      <c r="A20" t="s">
        <v>749</v>
      </c>
      <c r="B20">
        <v>12279</v>
      </c>
      <c r="C20" t="s">
        <v>657</v>
      </c>
      <c r="D20" s="36">
        <v>15000</v>
      </c>
      <c r="E20" s="36">
        <f t="shared" si="0"/>
        <v>344000</v>
      </c>
      <c r="F20" s="36">
        <f t="shared" si="1"/>
        <v>156000</v>
      </c>
    </row>
    <row r="21" spans="1:6" x14ac:dyDescent="0.35">
      <c r="A21" t="s">
        <v>750</v>
      </c>
      <c r="B21">
        <v>9102</v>
      </c>
      <c r="C21" t="s">
        <v>657</v>
      </c>
      <c r="D21" s="36">
        <v>10000</v>
      </c>
      <c r="E21" s="36">
        <f t="shared" si="0"/>
        <v>354000</v>
      </c>
      <c r="F21" s="36">
        <f t="shared" si="1"/>
        <v>146000</v>
      </c>
    </row>
    <row r="22" spans="1:6" x14ac:dyDescent="0.35">
      <c r="A22" t="s">
        <v>751</v>
      </c>
      <c r="B22">
        <v>9332</v>
      </c>
      <c r="C22" t="s">
        <v>657</v>
      </c>
      <c r="D22" s="36">
        <v>10000</v>
      </c>
      <c r="E22" s="36">
        <f t="shared" si="0"/>
        <v>364000</v>
      </c>
      <c r="F22" s="36">
        <f t="shared" si="1"/>
        <v>136000</v>
      </c>
    </row>
    <row r="23" spans="1:6" x14ac:dyDescent="0.35">
      <c r="A23" t="s">
        <v>752</v>
      </c>
      <c r="B23">
        <v>10171</v>
      </c>
      <c r="C23" t="s">
        <v>657</v>
      </c>
      <c r="D23" s="36">
        <v>10000</v>
      </c>
      <c r="E23" s="36">
        <f t="shared" si="0"/>
        <v>374000</v>
      </c>
      <c r="F23" s="36">
        <f t="shared" si="1"/>
        <v>126000</v>
      </c>
    </row>
    <row r="24" spans="1:6" x14ac:dyDescent="0.35">
      <c r="A24" t="s">
        <v>753</v>
      </c>
      <c r="B24">
        <v>13111</v>
      </c>
      <c r="C24" t="s">
        <v>657</v>
      </c>
      <c r="D24" s="36">
        <v>50000</v>
      </c>
      <c r="E24" s="36">
        <f t="shared" si="0"/>
        <v>424000</v>
      </c>
      <c r="F24" s="36">
        <f t="shared" si="1"/>
        <v>76000</v>
      </c>
    </row>
    <row r="25" spans="1:6" x14ac:dyDescent="0.35">
      <c r="A25" t="s">
        <v>755</v>
      </c>
      <c r="B25">
        <v>12433</v>
      </c>
      <c r="C25" t="s">
        <v>657</v>
      </c>
      <c r="D25" s="36">
        <v>20000</v>
      </c>
      <c r="E25" s="36">
        <f t="shared" si="0"/>
        <v>444000</v>
      </c>
      <c r="F25" s="36">
        <f t="shared" si="1"/>
        <v>56000</v>
      </c>
    </row>
    <row r="26" spans="1:6" x14ac:dyDescent="0.35">
      <c r="A26" t="s">
        <v>754</v>
      </c>
      <c r="B26">
        <v>13105</v>
      </c>
      <c r="C26" t="s">
        <v>657</v>
      </c>
      <c r="D26" s="36">
        <v>50000</v>
      </c>
      <c r="E26" s="36">
        <f t="shared" si="0"/>
        <v>494000</v>
      </c>
      <c r="F26" s="36">
        <f t="shared" si="1"/>
        <v>6000</v>
      </c>
    </row>
    <row r="27" spans="1:6" x14ac:dyDescent="0.35">
      <c r="A27" t="s">
        <v>756</v>
      </c>
      <c r="B27">
        <v>13614</v>
      </c>
      <c r="C27" t="s">
        <v>657</v>
      </c>
      <c r="D27" s="36">
        <v>6000</v>
      </c>
      <c r="E27" s="36">
        <f t="shared" si="0"/>
        <v>500000</v>
      </c>
      <c r="F27" s="36">
        <f t="shared" si="1"/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A4837-D550-4571-AD66-0B7EC0D6778E}">
  <dimension ref="A1:F20"/>
  <sheetViews>
    <sheetView workbookViewId="0">
      <selection activeCell="A8" sqref="A8:F8"/>
    </sheetView>
  </sheetViews>
  <sheetFormatPr defaultRowHeight="14.5" x14ac:dyDescent="0.35"/>
  <sheetData>
    <row r="1" spans="1:6" x14ac:dyDescent="0.35">
      <c r="A1" t="s">
        <v>620</v>
      </c>
      <c r="B1" t="s">
        <v>758</v>
      </c>
    </row>
    <row r="2" spans="1:6" x14ac:dyDescent="0.35">
      <c r="A2" t="s">
        <v>662</v>
      </c>
      <c r="B2" t="s">
        <v>772</v>
      </c>
    </row>
    <row r="3" spans="1:6" x14ac:dyDescent="0.35">
      <c r="A3" t="s">
        <v>663</v>
      </c>
      <c r="B3" t="s">
        <v>760</v>
      </c>
    </row>
    <row r="4" spans="1:6" x14ac:dyDescent="0.35">
      <c r="A4" t="s">
        <v>622</v>
      </c>
      <c r="B4" t="s">
        <v>761</v>
      </c>
    </row>
    <row r="5" spans="1:6" x14ac:dyDescent="0.35">
      <c r="A5" t="s">
        <v>699</v>
      </c>
      <c r="B5" t="s">
        <v>770</v>
      </c>
    </row>
    <row r="6" spans="1:6" x14ac:dyDescent="0.35">
      <c r="A6" t="s">
        <v>624</v>
      </c>
      <c r="B6">
        <v>6017</v>
      </c>
      <c r="E6" s="36">
        <v>500000</v>
      </c>
    </row>
    <row r="8" spans="1:6" x14ac:dyDescent="0.35">
      <c r="A8" s="28" t="s">
        <v>3</v>
      </c>
      <c r="B8" s="29" t="s">
        <v>8</v>
      </c>
      <c r="C8" s="29" t="s">
        <v>4</v>
      </c>
      <c r="D8" s="29" t="s">
        <v>9</v>
      </c>
      <c r="E8" s="29" t="s">
        <v>10</v>
      </c>
      <c r="F8" s="29" t="s">
        <v>5</v>
      </c>
    </row>
    <row r="9" spans="1:6" x14ac:dyDescent="0.35">
      <c r="A9" t="s">
        <v>741</v>
      </c>
      <c r="B9">
        <v>659</v>
      </c>
      <c r="C9" t="s">
        <v>768</v>
      </c>
      <c r="D9" s="36">
        <v>10000</v>
      </c>
      <c r="E9" s="36">
        <v>10000</v>
      </c>
      <c r="F9" s="36">
        <v>490000</v>
      </c>
    </row>
    <row r="10" spans="1:6" x14ac:dyDescent="0.35">
      <c r="A10" t="s">
        <v>765</v>
      </c>
      <c r="B10">
        <v>3682</v>
      </c>
      <c r="C10" t="s">
        <v>657</v>
      </c>
      <c r="D10" s="36">
        <v>10000</v>
      </c>
      <c r="E10" s="36">
        <f t="shared" ref="E10:E20" si="0">E9+D10</f>
        <v>20000</v>
      </c>
      <c r="F10" s="36">
        <f t="shared" ref="F10:F20" si="1">F9-D10</f>
        <v>480000</v>
      </c>
    </row>
    <row r="11" spans="1:6" x14ac:dyDescent="0.35">
      <c r="A11" t="s">
        <v>766</v>
      </c>
      <c r="B11">
        <v>5076</v>
      </c>
      <c r="C11" t="s">
        <v>657</v>
      </c>
      <c r="D11" s="36">
        <v>10000</v>
      </c>
      <c r="E11" s="36">
        <f t="shared" si="0"/>
        <v>30000</v>
      </c>
      <c r="F11" s="36">
        <f t="shared" si="1"/>
        <v>470000</v>
      </c>
    </row>
    <row r="12" spans="1:6" x14ac:dyDescent="0.35">
      <c r="A12" t="s">
        <v>743</v>
      </c>
      <c r="B12">
        <v>5869</v>
      </c>
      <c r="C12" t="s">
        <v>657</v>
      </c>
      <c r="D12" s="36">
        <v>10000</v>
      </c>
      <c r="E12" s="36">
        <f t="shared" si="0"/>
        <v>40000</v>
      </c>
      <c r="F12" s="36">
        <f t="shared" si="1"/>
        <v>460000</v>
      </c>
    </row>
    <row r="13" spans="1:6" x14ac:dyDescent="0.35">
      <c r="A13" t="s">
        <v>771</v>
      </c>
      <c r="B13">
        <v>12281</v>
      </c>
      <c r="C13" t="s">
        <v>657</v>
      </c>
      <c r="D13" s="36">
        <v>90000</v>
      </c>
      <c r="E13" s="36">
        <f t="shared" si="0"/>
        <v>130000</v>
      </c>
      <c r="F13" s="36">
        <f t="shared" si="1"/>
        <v>370000</v>
      </c>
    </row>
    <row r="14" spans="1:6" x14ac:dyDescent="0.35">
      <c r="A14" t="s">
        <v>750</v>
      </c>
      <c r="B14">
        <v>9104</v>
      </c>
      <c r="C14" t="s">
        <v>657</v>
      </c>
      <c r="D14" s="36">
        <v>20000</v>
      </c>
      <c r="E14" s="36">
        <f t="shared" si="0"/>
        <v>150000</v>
      </c>
      <c r="F14" s="36">
        <f t="shared" si="1"/>
        <v>350000</v>
      </c>
    </row>
    <row r="15" spans="1:6" x14ac:dyDescent="0.35">
      <c r="A15" t="s">
        <v>751</v>
      </c>
      <c r="B15">
        <v>9334</v>
      </c>
      <c r="C15" t="s">
        <v>657</v>
      </c>
      <c r="D15" s="36">
        <v>10000</v>
      </c>
      <c r="E15" s="36">
        <f t="shared" si="0"/>
        <v>160000</v>
      </c>
      <c r="F15" s="36">
        <f t="shared" si="1"/>
        <v>340000</v>
      </c>
    </row>
    <row r="16" spans="1:6" x14ac:dyDescent="0.35">
      <c r="A16" t="s">
        <v>767</v>
      </c>
      <c r="B16">
        <v>10173</v>
      </c>
      <c r="C16" t="s">
        <v>657</v>
      </c>
      <c r="D16" s="36">
        <v>10000</v>
      </c>
      <c r="E16" s="36">
        <f t="shared" si="0"/>
        <v>170000</v>
      </c>
      <c r="F16" s="36">
        <f t="shared" si="1"/>
        <v>330000</v>
      </c>
    </row>
    <row r="17" spans="1:6" x14ac:dyDescent="0.35">
      <c r="A17" t="s">
        <v>753</v>
      </c>
      <c r="B17">
        <v>13113</v>
      </c>
      <c r="C17" t="s">
        <v>657</v>
      </c>
      <c r="D17" s="36">
        <v>50000</v>
      </c>
      <c r="E17" s="36">
        <f t="shared" si="0"/>
        <v>220000</v>
      </c>
      <c r="F17" s="36">
        <f t="shared" si="1"/>
        <v>280000</v>
      </c>
    </row>
    <row r="18" spans="1:6" x14ac:dyDescent="0.35">
      <c r="A18" t="s">
        <v>755</v>
      </c>
      <c r="B18">
        <v>12435</v>
      </c>
      <c r="C18" t="s">
        <v>657</v>
      </c>
      <c r="D18" s="36">
        <v>10000</v>
      </c>
      <c r="E18" s="36">
        <f t="shared" si="0"/>
        <v>230000</v>
      </c>
      <c r="F18" s="36">
        <f t="shared" si="1"/>
        <v>270000</v>
      </c>
    </row>
    <row r="19" spans="1:6" x14ac:dyDescent="0.35">
      <c r="A19" t="s">
        <v>754</v>
      </c>
      <c r="B19">
        <v>13107</v>
      </c>
      <c r="C19" t="s">
        <v>657</v>
      </c>
      <c r="D19" s="36">
        <v>15000</v>
      </c>
      <c r="E19" s="36">
        <f t="shared" si="0"/>
        <v>245000</v>
      </c>
      <c r="F19" s="36">
        <f t="shared" si="1"/>
        <v>255000</v>
      </c>
    </row>
    <row r="20" spans="1:6" x14ac:dyDescent="0.35">
      <c r="A20" t="s">
        <v>756</v>
      </c>
      <c r="B20">
        <v>13615</v>
      </c>
      <c r="C20" t="s">
        <v>657</v>
      </c>
      <c r="D20" s="36">
        <v>14000</v>
      </c>
      <c r="E20" s="36">
        <f t="shared" si="0"/>
        <v>259000</v>
      </c>
      <c r="F20" s="36">
        <f t="shared" si="1"/>
        <v>241000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36836-89C6-4559-B439-F71822665F3E}">
  <dimension ref="A1:F11"/>
  <sheetViews>
    <sheetView workbookViewId="0">
      <selection activeCell="A8" sqref="A8:G8"/>
    </sheetView>
  </sheetViews>
  <sheetFormatPr defaultRowHeight="14.5" x14ac:dyDescent="0.35"/>
  <sheetData>
    <row r="1" spans="1:6" x14ac:dyDescent="0.35">
      <c r="A1" t="s">
        <v>620</v>
      </c>
      <c r="B1" t="s">
        <v>777</v>
      </c>
    </row>
    <row r="2" spans="1:6" x14ac:dyDescent="0.35">
      <c r="A2" t="s">
        <v>662</v>
      </c>
      <c r="B2" t="s">
        <v>778</v>
      </c>
    </row>
    <row r="3" spans="1:6" x14ac:dyDescent="0.35">
      <c r="A3" t="s">
        <v>663</v>
      </c>
      <c r="B3" t="s">
        <v>779</v>
      </c>
    </row>
    <row r="4" spans="1:6" x14ac:dyDescent="0.35">
      <c r="A4" t="s">
        <v>622</v>
      </c>
      <c r="B4" t="s">
        <v>780</v>
      </c>
    </row>
    <row r="5" spans="1:6" x14ac:dyDescent="0.35">
      <c r="A5" t="s">
        <v>629</v>
      </c>
      <c r="B5" t="s">
        <v>773</v>
      </c>
    </row>
    <row r="6" spans="1:6" x14ac:dyDescent="0.35">
      <c r="A6" t="s">
        <v>624</v>
      </c>
      <c r="B6">
        <v>6100</v>
      </c>
      <c r="F6" s="36">
        <v>850000</v>
      </c>
    </row>
    <row r="8" spans="1:6" x14ac:dyDescent="0.35">
      <c r="A8" s="28" t="s">
        <v>3</v>
      </c>
      <c r="B8" s="29" t="s">
        <v>8</v>
      </c>
      <c r="C8" s="29" t="s">
        <v>4</v>
      </c>
      <c r="D8" s="29" t="s">
        <v>9</v>
      </c>
      <c r="E8" s="29" t="s">
        <v>10</v>
      </c>
      <c r="F8" s="29" t="s">
        <v>5</v>
      </c>
    </row>
    <row r="9" spans="1:6" x14ac:dyDescent="0.35">
      <c r="A9" t="s">
        <v>754</v>
      </c>
      <c r="B9">
        <v>1364</v>
      </c>
      <c r="C9" t="s">
        <v>776</v>
      </c>
      <c r="D9" s="36">
        <v>150000</v>
      </c>
      <c r="E9" s="36">
        <v>150000</v>
      </c>
      <c r="F9" s="36">
        <v>700000</v>
      </c>
    </row>
    <row r="10" spans="1:6" x14ac:dyDescent="0.35">
      <c r="A10" t="s">
        <v>774</v>
      </c>
      <c r="B10">
        <v>12942</v>
      </c>
      <c r="C10" t="s">
        <v>657</v>
      </c>
      <c r="D10" s="36">
        <v>10000</v>
      </c>
      <c r="E10" s="36">
        <f>E9+D10</f>
        <v>160000</v>
      </c>
      <c r="F10" s="36">
        <f>F9-D10</f>
        <v>690000</v>
      </c>
    </row>
    <row r="11" spans="1:6" x14ac:dyDescent="0.35">
      <c r="A11" t="s">
        <v>775</v>
      </c>
      <c r="B11">
        <v>13477</v>
      </c>
      <c r="C11" t="s">
        <v>657</v>
      </c>
      <c r="D11" s="36">
        <v>50000</v>
      </c>
      <c r="E11" s="36">
        <f>E10+D11</f>
        <v>210000</v>
      </c>
      <c r="F11" s="36">
        <f>F10-D11</f>
        <v>640000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83B46-F089-40EA-B34A-0474A3DDFF7D}">
  <dimension ref="A1:F10"/>
  <sheetViews>
    <sheetView workbookViewId="0">
      <selection activeCell="G6" sqref="G6"/>
    </sheetView>
  </sheetViews>
  <sheetFormatPr defaultRowHeight="14.5" x14ac:dyDescent="0.35"/>
  <cols>
    <col min="1" max="1" width="9.453125" bestFit="1" customWidth="1"/>
  </cols>
  <sheetData>
    <row r="1" spans="1:6" x14ac:dyDescent="0.35">
      <c r="A1" s="69" t="s">
        <v>620</v>
      </c>
      <c r="B1" s="69" t="s">
        <v>807</v>
      </c>
      <c r="C1" s="69"/>
      <c r="D1" s="69"/>
    </row>
    <row r="2" spans="1:6" x14ac:dyDescent="0.35">
      <c r="A2" s="69" t="s">
        <v>662</v>
      </c>
      <c r="B2" s="69" t="s">
        <v>808</v>
      </c>
      <c r="C2" s="69"/>
      <c r="D2" s="69"/>
    </row>
    <row r="3" spans="1:6" x14ac:dyDescent="0.35">
      <c r="A3" s="69" t="s">
        <v>663</v>
      </c>
      <c r="B3" s="69" t="s">
        <v>809</v>
      </c>
      <c r="C3" s="69"/>
      <c r="D3" s="69"/>
    </row>
    <row r="4" spans="1:6" x14ac:dyDescent="0.35">
      <c r="A4" s="69" t="s">
        <v>622</v>
      </c>
      <c r="B4" s="69" t="s">
        <v>780</v>
      </c>
      <c r="C4" s="69"/>
      <c r="D4" s="69"/>
    </row>
    <row r="5" spans="1:6" x14ac:dyDescent="0.35">
      <c r="A5" s="69" t="s">
        <v>629</v>
      </c>
      <c r="B5" s="69" t="s">
        <v>806</v>
      </c>
      <c r="C5" s="69"/>
      <c r="D5" s="69"/>
    </row>
    <row r="6" spans="1:6" x14ac:dyDescent="0.35">
      <c r="A6" s="69" t="s">
        <v>624</v>
      </c>
      <c r="B6" s="69">
        <v>6025</v>
      </c>
      <c r="C6" s="69"/>
      <c r="D6" s="69" t="s">
        <v>814</v>
      </c>
    </row>
    <row r="7" spans="1:6" x14ac:dyDescent="0.35">
      <c r="A7" s="30">
        <v>45204</v>
      </c>
      <c r="B7">
        <v>759</v>
      </c>
      <c r="C7" t="s">
        <v>810</v>
      </c>
      <c r="D7" t="s">
        <v>811</v>
      </c>
      <c r="E7" t="s">
        <v>811</v>
      </c>
      <c r="F7" t="s">
        <v>397</v>
      </c>
    </row>
    <row r="9" spans="1:6" x14ac:dyDescent="0.35">
      <c r="A9" s="69" t="s">
        <v>812</v>
      </c>
    </row>
    <row r="10" spans="1:6" x14ac:dyDescent="0.35">
      <c r="A10" s="30">
        <v>46330</v>
      </c>
      <c r="B10">
        <v>713</v>
      </c>
      <c r="C10" t="s">
        <v>813</v>
      </c>
      <c r="D10" s="36">
        <v>200000</v>
      </c>
      <c r="E10" s="36">
        <v>200000</v>
      </c>
      <c r="F10" t="s">
        <v>397</v>
      </c>
    </row>
  </sheetData>
  <pageMargins left="0.7" right="0.7" top="0.75" bottom="0.75" header="0.3" footer="0.3"/>
  <pageSetup orientation="portrait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2ECC6-D2FD-4F40-81FA-AA3CB582E415}">
  <dimension ref="A1:H14"/>
  <sheetViews>
    <sheetView workbookViewId="0">
      <selection activeCell="F14" sqref="F14"/>
    </sheetView>
  </sheetViews>
  <sheetFormatPr defaultRowHeight="14.5" x14ac:dyDescent="0.35"/>
  <cols>
    <col min="1" max="1" width="11.08984375" customWidth="1"/>
    <col min="2" max="2" width="9.6328125" customWidth="1"/>
    <col min="3" max="3" width="10.7265625" customWidth="1"/>
    <col min="4" max="4" width="10.6328125" customWidth="1"/>
    <col min="5" max="5" width="10.26953125" customWidth="1"/>
    <col min="6" max="6" width="11.36328125" customWidth="1"/>
  </cols>
  <sheetData>
    <row r="1" spans="1:8" ht="18.5" x14ac:dyDescent="0.45">
      <c r="A1" s="1" t="s">
        <v>620</v>
      </c>
      <c r="B1" s="1" t="s">
        <v>841</v>
      </c>
      <c r="C1" s="1"/>
      <c r="D1" s="1"/>
      <c r="E1" s="1"/>
      <c r="F1" s="1"/>
      <c r="G1" s="1"/>
      <c r="H1" s="33"/>
    </row>
    <row r="2" spans="1:8" ht="18.5" x14ac:dyDescent="0.45">
      <c r="A2" s="1" t="s">
        <v>662</v>
      </c>
      <c r="B2" s="1" t="s">
        <v>843</v>
      </c>
      <c r="C2" s="1"/>
      <c r="D2" s="1"/>
      <c r="E2" s="1"/>
      <c r="F2" s="1"/>
      <c r="G2" s="1"/>
      <c r="H2" s="33"/>
    </row>
    <row r="3" spans="1:8" ht="18.5" x14ac:dyDescent="0.45">
      <c r="A3" s="1" t="s">
        <v>663</v>
      </c>
      <c r="B3" s="1" t="s">
        <v>817</v>
      </c>
      <c r="C3" s="1"/>
      <c r="D3" s="1"/>
      <c r="E3" s="1"/>
      <c r="F3" s="1"/>
      <c r="G3" s="1"/>
      <c r="H3" s="33"/>
    </row>
    <row r="4" spans="1:8" ht="18.5" x14ac:dyDescent="0.45">
      <c r="A4" s="1" t="s">
        <v>842</v>
      </c>
      <c r="B4" s="1"/>
      <c r="C4" s="1"/>
      <c r="D4" s="1"/>
      <c r="E4" s="1"/>
      <c r="F4" s="1"/>
      <c r="G4" s="1"/>
      <c r="H4" s="33"/>
    </row>
    <row r="5" spans="1:8" ht="18.5" x14ac:dyDescent="0.45">
      <c r="A5" s="1" t="s">
        <v>844</v>
      </c>
      <c r="B5" s="1"/>
      <c r="C5" s="1"/>
      <c r="D5" s="1"/>
      <c r="E5" s="1"/>
      <c r="F5" s="1"/>
      <c r="G5" s="1"/>
      <c r="H5" s="33"/>
    </row>
    <row r="6" spans="1:8" ht="18.5" x14ac:dyDescent="0.45">
      <c r="A6" s="1" t="s">
        <v>624</v>
      </c>
      <c r="B6" s="1">
        <v>6093</v>
      </c>
      <c r="C6" s="1"/>
      <c r="D6" s="1"/>
      <c r="E6" s="1"/>
      <c r="F6" s="83" t="s">
        <v>819</v>
      </c>
      <c r="G6" s="1"/>
      <c r="H6" s="33"/>
    </row>
    <row r="7" spans="1:8" x14ac:dyDescent="0.35">
      <c r="A7" s="28" t="s">
        <v>3</v>
      </c>
      <c r="B7" s="29" t="s">
        <v>8</v>
      </c>
      <c r="C7" s="29" t="s">
        <v>4</v>
      </c>
      <c r="D7" s="29" t="s">
        <v>9</v>
      </c>
      <c r="E7" s="29" t="s">
        <v>10</v>
      </c>
      <c r="F7" s="29" t="s">
        <v>5</v>
      </c>
    </row>
    <row r="8" spans="1:8" x14ac:dyDescent="0.35">
      <c r="A8" s="30">
        <v>46001</v>
      </c>
      <c r="B8">
        <v>13772</v>
      </c>
      <c r="C8" t="s">
        <v>847</v>
      </c>
      <c r="D8" s="36">
        <v>100000</v>
      </c>
      <c r="E8" s="36">
        <v>100000</v>
      </c>
      <c r="F8" s="36">
        <v>600000</v>
      </c>
    </row>
    <row r="9" spans="1:8" x14ac:dyDescent="0.35">
      <c r="A9" s="30">
        <v>45880</v>
      </c>
      <c r="B9">
        <v>13173</v>
      </c>
      <c r="D9" s="36">
        <v>10000</v>
      </c>
      <c r="E9" s="36">
        <f t="shared" ref="E9:E14" si="0">E8+D9</f>
        <v>110000</v>
      </c>
      <c r="F9" s="36">
        <f>F8-D9</f>
        <v>590000</v>
      </c>
    </row>
    <row r="10" spans="1:8" x14ac:dyDescent="0.35">
      <c r="A10" s="30">
        <v>46003</v>
      </c>
      <c r="B10">
        <v>13170</v>
      </c>
      <c r="D10" s="36">
        <v>10000</v>
      </c>
      <c r="E10" s="36">
        <f t="shared" si="0"/>
        <v>120000</v>
      </c>
      <c r="F10" s="36">
        <f>F9-D10</f>
        <v>580000</v>
      </c>
    </row>
    <row r="11" spans="1:8" x14ac:dyDescent="0.35">
      <c r="A11" t="s">
        <v>845</v>
      </c>
      <c r="B11">
        <v>12142</v>
      </c>
      <c r="D11" s="36">
        <v>10000</v>
      </c>
      <c r="E11" s="36">
        <f t="shared" si="0"/>
        <v>130000</v>
      </c>
      <c r="F11" s="36">
        <f>F10-D11</f>
        <v>570000</v>
      </c>
    </row>
    <row r="12" spans="1:8" x14ac:dyDescent="0.35">
      <c r="A12" t="s">
        <v>846</v>
      </c>
      <c r="B12">
        <v>12232</v>
      </c>
      <c r="D12" s="36">
        <v>180000</v>
      </c>
      <c r="E12" s="36">
        <f t="shared" si="0"/>
        <v>310000</v>
      </c>
      <c r="F12" s="36">
        <f>F11-D12</f>
        <v>390000</v>
      </c>
    </row>
    <row r="13" spans="1:8" x14ac:dyDescent="0.35">
      <c r="A13" s="30">
        <v>46144</v>
      </c>
      <c r="B13">
        <v>12340</v>
      </c>
      <c r="D13" s="36">
        <v>10000</v>
      </c>
      <c r="E13" s="36">
        <f t="shared" si="0"/>
        <v>320000</v>
      </c>
      <c r="F13" s="36">
        <f>F12-D13</f>
        <v>380000</v>
      </c>
    </row>
    <row r="14" spans="1:8" x14ac:dyDescent="0.35">
      <c r="A14" s="30">
        <v>46299</v>
      </c>
      <c r="B14">
        <v>13209</v>
      </c>
      <c r="D14" s="36">
        <v>380000</v>
      </c>
      <c r="E14" s="36">
        <f t="shared" si="0"/>
        <v>700000</v>
      </c>
      <c r="F14" s="36" t="s">
        <v>397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CCF1-8F5D-483A-B235-0A6A5D6FAC1F}">
  <dimension ref="A1:G9"/>
  <sheetViews>
    <sheetView workbookViewId="0">
      <selection sqref="A1:G6"/>
    </sheetView>
  </sheetViews>
  <sheetFormatPr defaultRowHeight="14.5" x14ac:dyDescent="0.35"/>
  <sheetData>
    <row r="1" spans="1:7" x14ac:dyDescent="0.35">
      <c r="A1" s="69" t="s">
        <v>620</v>
      </c>
      <c r="B1" s="69" t="s">
        <v>815</v>
      </c>
      <c r="C1" s="69"/>
      <c r="D1" s="69"/>
      <c r="E1" s="69"/>
      <c r="F1" s="69"/>
      <c r="G1" s="69"/>
    </row>
    <row r="2" spans="1:7" x14ac:dyDescent="0.35">
      <c r="A2" s="69" t="s">
        <v>662</v>
      </c>
      <c r="B2" s="69" t="s">
        <v>816</v>
      </c>
      <c r="C2" s="69"/>
      <c r="D2" s="69"/>
      <c r="E2" s="69"/>
      <c r="F2" s="69"/>
      <c r="G2" s="69"/>
    </row>
    <row r="3" spans="1:7" x14ac:dyDescent="0.35">
      <c r="A3" s="69" t="s">
        <v>663</v>
      </c>
      <c r="B3" s="69" t="s">
        <v>817</v>
      </c>
      <c r="C3" s="69"/>
      <c r="D3" s="69"/>
      <c r="E3" s="69"/>
      <c r="F3" s="69"/>
      <c r="G3" s="69"/>
    </row>
    <row r="4" spans="1:7" x14ac:dyDescent="0.35">
      <c r="A4" s="69" t="s">
        <v>818</v>
      </c>
      <c r="B4" s="69"/>
      <c r="C4" s="69"/>
      <c r="D4" s="69"/>
      <c r="E4" s="69"/>
      <c r="F4" s="69"/>
      <c r="G4" s="69"/>
    </row>
    <row r="5" spans="1:7" x14ac:dyDescent="0.35">
      <c r="A5" s="69" t="s">
        <v>629</v>
      </c>
      <c r="B5" s="69"/>
      <c r="C5" s="69"/>
      <c r="D5" s="69"/>
      <c r="E5" s="69"/>
      <c r="F5" s="69"/>
      <c r="G5" s="69"/>
    </row>
    <row r="6" spans="1:7" x14ac:dyDescent="0.35">
      <c r="A6" s="69" t="s">
        <v>624</v>
      </c>
      <c r="B6" s="69">
        <v>6094</v>
      </c>
      <c r="C6" s="69"/>
      <c r="D6" s="69"/>
      <c r="E6" s="69"/>
      <c r="F6" s="77" t="s">
        <v>819</v>
      </c>
      <c r="G6" s="69"/>
    </row>
    <row r="8" spans="1:7" x14ac:dyDescent="0.35">
      <c r="A8" s="28" t="s">
        <v>3</v>
      </c>
      <c r="B8" s="29" t="s">
        <v>8</v>
      </c>
      <c r="C8" s="29" t="s">
        <v>4</v>
      </c>
      <c r="D8" s="29" t="s">
        <v>9</v>
      </c>
      <c r="E8" s="29" t="s">
        <v>10</v>
      </c>
      <c r="F8" s="29" t="s">
        <v>5</v>
      </c>
    </row>
    <row r="9" spans="1:7" x14ac:dyDescent="0.35">
      <c r="A9" s="3" t="s">
        <v>820</v>
      </c>
      <c r="B9" s="3">
        <v>13639</v>
      </c>
      <c r="C9" s="3" t="s">
        <v>776</v>
      </c>
      <c r="D9" s="4">
        <v>700000</v>
      </c>
      <c r="E9" s="4">
        <v>700000</v>
      </c>
      <c r="F9" s="3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L-6002</vt:lpstr>
      <vt:lpstr>L-6001</vt:lpstr>
      <vt:lpstr>Sheet1</vt:lpstr>
      <vt:lpstr>Sheet2</vt:lpstr>
      <vt:lpstr>Sheet3</vt:lpstr>
      <vt:lpstr>Sheet4</vt:lpstr>
      <vt:lpstr>Sheet5</vt:lpstr>
      <vt:lpstr>L-6003</vt:lpstr>
      <vt:lpstr>L-6005</vt:lpstr>
      <vt:lpstr>L-6012</vt:lpstr>
      <vt:lpstr> L-6013 B</vt:lpstr>
      <vt:lpstr>L-6013-E</vt:lpstr>
      <vt:lpstr>L-6013-G</vt:lpstr>
      <vt:lpstr>L-6013,A</vt:lpstr>
      <vt:lpstr>L-6013-C</vt:lpstr>
      <vt:lpstr>L-6019</vt:lpstr>
      <vt:lpstr>L-6020</vt:lpstr>
      <vt:lpstr>L-6021</vt:lpstr>
      <vt:lpstr>L-6023</vt:lpstr>
      <vt:lpstr>L-6028</vt:lpstr>
      <vt:lpstr>L-6032</vt:lpstr>
      <vt:lpstr>L-6033</vt:lpstr>
      <vt:lpstr>L-6036</vt:lpstr>
      <vt:lpstr>L-6039</vt:lpstr>
      <vt:lpstr>L-6041</vt:lpstr>
      <vt:lpstr>L-6043</vt:lpstr>
      <vt:lpstr>L-6044</vt:lpstr>
      <vt:lpstr>L-6046</vt:lpstr>
      <vt:lpstr>L-6047</vt:lpstr>
      <vt:lpstr>L-6050</vt:lpstr>
      <vt:lpstr>L-6051</vt:lpstr>
      <vt:lpstr>L-6057</vt:lpstr>
      <vt:lpstr>L-6035</vt:lpstr>
      <vt:lpstr>L-6062</vt:lpstr>
      <vt:lpstr>L-6073</vt:lpstr>
      <vt:lpstr>L-6076</vt:lpstr>
      <vt:lpstr>L-6077</vt:lpstr>
      <vt:lpstr>L-6078</vt:lpstr>
      <vt:lpstr>L-6081</vt:lpstr>
      <vt:lpstr>L-6086</vt:lpstr>
      <vt:lpstr>L-6087</vt:lpstr>
      <vt:lpstr>L-6091</vt:lpstr>
      <vt:lpstr>L-6092</vt:lpstr>
      <vt:lpstr>L-6092 B</vt:lpstr>
      <vt:lpstr>L-6095</vt:lpstr>
      <vt:lpstr>L-6090</vt:lpstr>
      <vt:lpstr>L-6096</vt:lpstr>
      <vt:lpstr>L-6098</vt:lpstr>
      <vt:lpstr>L-6099</vt:lpstr>
      <vt:lpstr>M.Jameel</vt:lpstr>
      <vt:lpstr>L-6066</vt:lpstr>
      <vt:lpstr>L-6070</vt:lpstr>
      <vt:lpstr>L-6069</vt:lpstr>
      <vt:lpstr>L-6027</vt:lpstr>
      <vt:lpstr>L-6016</vt:lpstr>
      <vt:lpstr>L-6015</vt:lpstr>
      <vt:lpstr>L-6017</vt:lpstr>
      <vt:lpstr>L-6100</vt:lpstr>
      <vt:lpstr>L-6025</vt:lpstr>
      <vt:lpstr>L-6093</vt:lpstr>
      <vt:lpstr>L-6094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younas khan</cp:lastModifiedBy>
  <dcterms:created xsi:type="dcterms:W3CDTF">2026-02-18T23:59:59Z</dcterms:created>
  <dcterms:modified xsi:type="dcterms:W3CDTF">2026-08-21T05:24:14Z</dcterms:modified>
</cp:coreProperties>
</file>