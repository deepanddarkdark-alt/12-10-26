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v\OneDrive\Desktop\7001-8000\"/>
    </mc:Choice>
  </mc:AlternateContent>
  <bookViews>
    <workbookView xWindow="-110" yWindow="-110" windowWidth="19420" windowHeight="10420" activeTab="1"/>
  </bookViews>
  <sheets>
    <sheet name="L-7068" sheetId="1" r:id="rId1"/>
    <sheet name="L-7096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" i="1" l="1"/>
  <c r="E44" i="1"/>
  <c r="F43" i="1"/>
  <c r="E43" i="1"/>
  <c r="F42" i="1"/>
  <c r="E42" i="1"/>
  <c r="F41" i="1"/>
  <c r="E41" i="1"/>
  <c r="F40" i="1"/>
  <c r="E40" i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F10" i="1"/>
  <c r="F11" i="1"/>
  <c r="F12" i="1"/>
  <c r="F13" i="1"/>
  <c r="F14" i="1" s="1"/>
  <c r="F15" i="1" s="1"/>
  <c r="F16" i="1" s="1"/>
  <c r="F17" i="1" s="1"/>
  <c r="F18" i="1" s="1"/>
  <c r="E10" i="1"/>
  <c r="E11" i="1"/>
  <c r="E12" i="1" s="1"/>
  <c r="E13" i="1" s="1"/>
  <c r="E14" i="1" s="1"/>
  <c r="E15" i="1" s="1"/>
  <c r="E16" i="1" s="1"/>
  <c r="E17" i="1" s="1"/>
  <c r="E18" i="1" s="1"/>
  <c r="F9" i="1"/>
  <c r="E9" i="1"/>
</calcChain>
</file>

<file path=xl/sharedStrings.xml><?xml version="1.0" encoding="utf-8"?>
<sst xmlns="http://schemas.openxmlformats.org/spreadsheetml/2006/main" count="118" uniqueCount="69">
  <si>
    <t>Cost : 650,000</t>
  </si>
  <si>
    <t>Date</t>
  </si>
  <si>
    <t>R.NO</t>
  </si>
  <si>
    <t>Description</t>
  </si>
  <si>
    <t>Amount Rec</t>
  </si>
  <si>
    <t>Total Rec</t>
  </si>
  <si>
    <t>Amount Due</t>
  </si>
  <si>
    <t>Name :Muhammad Arif</t>
  </si>
  <si>
    <t>Father Name :Ahmed Baksh</t>
  </si>
  <si>
    <t>CNIC # 42301-1074061-3</t>
  </si>
  <si>
    <t>Contact # 03002879679</t>
  </si>
  <si>
    <t>31/1/2023</t>
  </si>
  <si>
    <t>Token</t>
  </si>
  <si>
    <t>26/6/2023</t>
  </si>
  <si>
    <t>21/7/2023</t>
  </si>
  <si>
    <t>16/8/2023</t>
  </si>
  <si>
    <t>20/9/2023</t>
  </si>
  <si>
    <t>17/10/2023</t>
  </si>
  <si>
    <t>14/11/2023</t>
  </si>
  <si>
    <t>Adj Booking</t>
  </si>
  <si>
    <t>instalment</t>
  </si>
  <si>
    <t>13/12/2023</t>
  </si>
  <si>
    <t>14/4/2024</t>
  </si>
  <si>
    <t>16/5/2024</t>
  </si>
  <si>
    <t>14/7/2024</t>
  </si>
  <si>
    <t>14/8/2024</t>
  </si>
  <si>
    <t>16/9/2024</t>
  </si>
  <si>
    <t>13/10/2024</t>
  </si>
  <si>
    <t>13/12/2024</t>
  </si>
  <si>
    <t>13/1/2025</t>
  </si>
  <si>
    <t>13/4/2025</t>
  </si>
  <si>
    <t>13/7/2025</t>
  </si>
  <si>
    <t>14/10/2025</t>
  </si>
  <si>
    <t>15/12/2025</t>
  </si>
  <si>
    <t>31/3/2026</t>
  </si>
  <si>
    <t>Plot No : L-7068</t>
  </si>
  <si>
    <t>Code Num;BVK5112739</t>
  </si>
  <si>
    <t>6\6\26</t>
  </si>
  <si>
    <t>4\7\26</t>
  </si>
  <si>
    <t>17/8/26</t>
  </si>
  <si>
    <t>CUSTOMER PAYMENT LEDGER - PLOT 7096 (SOBHO VILLAGE)</t>
  </si>
  <si>
    <t>Customer / Allottee Name:</t>
  </si>
  <si>
    <t>Mr. Daniel S/o Emanuel</t>
  </si>
  <si>
    <t>Plot No:</t>
  </si>
  <si>
    <t>Plot Size:</t>
  </si>
  <si>
    <t>80 Sq.yd (Type L)</t>
  </si>
  <si>
    <t>Total Price:</t>
  </si>
  <si>
    <t>Status:</t>
  </si>
  <si>
    <t>FULL PAID (Sobho Goth)</t>
  </si>
  <si>
    <t>Acknowledgement Date:</t>
  </si>
  <si>
    <t>25/01/2021</t>
  </si>
  <si>
    <t>Sr No</t>
  </si>
  <si>
    <t>Receipt No</t>
  </si>
  <si>
    <t>Description / Remarks</t>
  </si>
  <si>
    <t>Amount Received (PKR)</t>
  </si>
  <si>
    <t>Total Received (PKR)</t>
  </si>
  <si>
    <t>Amount Due (PKR)</t>
  </si>
  <si>
    <t>Advance Adjustment</t>
  </si>
  <si>
    <t>Installment Adjustment</t>
  </si>
  <si>
    <t>Installment</t>
  </si>
  <si>
    <t>18/05/2023</t>
  </si>
  <si>
    <t>20/10/2023</t>
  </si>
  <si>
    <t>29/03/2023</t>
  </si>
  <si>
    <t>15/11/2023</t>
  </si>
  <si>
    <t>Installment (Feb paid)</t>
  </si>
  <si>
    <t>22/07/2024</t>
  </si>
  <si>
    <t>21/08/2024</t>
  </si>
  <si>
    <t>23/12/2024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</si>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</sst>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opLeftCell="A29" workbookViewId="0">
      <selection activeCell="K42" sqref="K42"/>
    </sheetView>
  </sheetViews>
  <sheetFormatPr defaultRowHeight="14.5" x14ac:dyDescent="0.35"/>
  <cols>
    <col min="1" max="1" width="10.453125" bestFit="1" customWidth="1"/>
    <col min="3" max="3" width="11.6328125" customWidth="1"/>
    <col min="6" max="6" width="11.90625" customWidth="1"/>
  </cols>
  <sheetData>
    <row r="1" spans="1:7" ht="18.5" x14ac:dyDescent="0.45">
      <c r="A1" s="2" t="s">
        <v>7</v>
      </c>
      <c r="B1" s="2"/>
      <c r="C1" s="2"/>
      <c r="D1" s="2"/>
      <c r="E1" s="2"/>
      <c r="F1" s="2"/>
    </row>
    <row r="2" spans="1:7" ht="18.5" x14ac:dyDescent="0.45">
      <c r="A2" s="2" t="s">
        <v>8</v>
      </c>
      <c r="B2" s="2"/>
      <c r="C2" s="2"/>
      <c r="D2" s="2"/>
      <c r="E2" s="2"/>
      <c r="F2" s="2"/>
    </row>
    <row r="3" spans="1:7" ht="18.5" x14ac:dyDescent="0.45">
      <c r="A3" s="2" t="s">
        <v>9</v>
      </c>
      <c r="B3" s="2"/>
      <c r="C3" s="2"/>
      <c r="D3" s="2"/>
      <c r="E3" s="2"/>
      <c r="F3" s="2"/>
    </row>
    <row r="4" spans="1:7" ht="18.5" x14ac:dyDescent="0.45">
      <c r="A4" s="2" t="s">
        <v>36</v>
      </c>
      <c r="B4" s="2"/>
      <c r="C4" s="2"/>
      <c r="D4" s="2"/>
      <c r="E4" s="2"/>
      <c r="F4" s="2"/>
    </row>
    <row r="5" spans="1:7" ht="18.5" x14ac:dyDescent="0.45">
      <c r="A5" s="2" t="s">
        <v>10</v>
      </c>
      <c r="B5" s="2"/>
      <c r="C5" s="2"/>
      <c r="D5" s="2"/>
      <c r="E5" s="2"/>
      <c r="F5" s="2"/>
    </row>
    <row r="6" spans="1:7" ht="18.5" x14ac:dyDescent="0.45">
      <c r="A6" s="2" t="s">
        <v>35</v>
      </c>
      <c r="B6" s="2"/>
      <c r="C6" s="2"/>
      <c r="D6" s="2"/>
      <c r="E6" s="2" t="s">
        <v>0</v>
      </c>
      <c r="F6" s="2"/>
    </row>
    <row r="7" spans="1:7" ht="15.5" x14ac:dyDescent="0.35">
      <c r="A7" s="3" t="s">
        <v>1</v>
      </c>
      <c r="B7" s="3" t="s">
        <v>2</v>
      </c>
      <c r="C7" s="3" t="s">
        <v>3</v>
      </c>
      <c r="D7" s="3" t="s">
        <v>4</v>
      </c>
      <c r="E7" s="3" t="s">
        <v>5</v>
      </c>
      <c r="F7" s="3" t="s">
        <v>6</v>
      </c>
      <c r="G7" s="1"/>
    </row>
    <row r="8" spans="1:7" x14ac:dyDescent="0.35">
      <c r="A8" s="4" t="s">
        <v>11</v>
      </c>
      <c r="B8" s="4">
        <v>26</v>
      </c>
      <c r="C8" s="4" t="s">
        <v>12</v>
      </c>
      <c r="D8" s="5">
        <v>15000</v>
      </c>
      <c r="E8" s="5">
        <v>15000</v>
      </c>
      <c r="F8" s="5">
        <v>635000</v>
      </c>
    </row>
    <row r="9" spans="1:7" x14ac:dyDescent="0.35">
      <c r="A9" s="6">
        <v>44928</v>
      </c>
      <c r="B9" s="4">
        <v>2517</v>
      </c>
      <c r="C9" s="4" t="s">
        <v>19</v>
      </c>
      <c r="D9" s="5">
        <v>135000</v>
      </c>
      <c r="E9" s="5">
        <f>SUM(E8+D9)</f>
        <v>150000</v>
      </c>
      <c r="F9" s="5">
        <f>F8-D9</f>
        <v>500000</v>
      </c>
    </row>
    <row r="10" spans="1:7" x14ac:dyDescent="0.35">
      <c r="A10" s="6">
        <v>45233</v>
      </c>
      <c r="B10" s="4">
        <v>2137</v>
      </c>
      <c r="C10" s="4" t="s">
        <v>20</v>
      </c>
      <c r="D10" s="5">
        <v>10000</v>
      </c>
      <c r="E10" s="5">
        <f t="shared" ref="E10:E40" si="0">SUM(E9+D10)</f>
        <v>160000</v>
      </c>
      <c r="F10" s="5">
        <f t="shared" ref="F10:F40" si="1">F9-D10</f>
        <v>490000</v>
      </c>
    </row>
    <row r="11" spans="1:7" x14ac:dyDescent="0.35">
      <c r="A11" s="6">
        <v>45143</v>
      </c>
      <c r="B11" s="4">
        <v>727</v>
      </c>
      <c r="C11" s="4" t="s">
        <v>20</v>
      </c>
      <c r="D11" s="5">
        <v>10000</v>
      </c>
      <c r="E11" s="5">
        <f t="shared" si="0"/>
        <v>170000</v>
      </c>
      <c r="F11" s="5">
        <f t="shared" si="1"/>
        <v>480000</v>
      </c>
    </row>
    <row r="12" spans="1:7" x14ac:dyDescent="0.35">
      <c r="A12" s="6">
        <v>45143</v>
      </c>
      <c r="B12" s="4">
        <v>730</v>
      </c>
      <c r="C12" s="4" t="s">
        <v>20</v>
      </c>
      <c r="D12" s="5">
        <v>10000</v>
      </c>
      <c r="E12" s="5">
        <f t="shared" si="0"/>
        <v>180000</v>
      </c>
      <c r="F12" s="5">
        <f t="shared" si="1"/>
        <v>470000</v>
      </c>
    </row>
    <row r="13" spans="1:7" x14ac:dyDescent="0.35">
      <c r="A13" s="4" t="s">
        <v>13</v>
      </c>
      <c r="B13" s="4">
        <v>2064</v>
      </c>
      <c r="C13" s="4" t="s">
        <v>20</v>
      </c>
      <c r="D13" s="5">
        <v>10000</v>
      </c>
      <c r="E13" s="5">
        <f t="shared" si="0"/>
        <v>190000</v>
      </c>
      <c r="F13" s="5">
        <f t="shared" si="1"/>
        <v>460000</v>
      </c>
    </row>
    <row r="14" spans="1:7" x14ac:dyDescent="0.35">
      <c r="A14" s="4" t="s">
        <v>14</v>
      </c>
      <c r="B14" s="4">
        <v>2904</v>
      </c>
      <c r="C14" s="4" t="s">
        <v>20</v>
      </c>
      <c r="D14" s="5">
        <v>10000</v>
      </c>
      <c r="E14" s="5">
        <f t="shared" si="0"/>
        <v>200000</v>
      </c>
      <c r="F14" s="5">
        <f t="shared" si="1"/>
        <v>450000</v>
      </c>
    </row>
    <row r="15" spans="1:7" x14ac:dyDescent="0.35">
      <c r="A15" s="4" t="s">
        <v>15</v>
      </c>
      <c r="B15" s="4">
        <v>2486</v>
      </c>
      <c r="C15" s="4" t="s">
        <v>20</v>
      </c>
      <c r="D15" s="5">
        <v>10000</v>
      </c>
      <c r="E15" s="5">
        <f t="shared" si="0"/>
        <v>210000</v>
      </c>
      <c r="F15" s="5">
        <f t="shared" si="1"/>
        <v>440000</v>
      </c>
    </row>
    <row r="16" spans="1:7" x14ac:dyDescent="0.35">
      <c r="A16" s="4" t="s">
        <v>16</v>
      </c>
      <c r="B16" s="4">
        <v>3747</v>
      </c>
      <c r="C16" s="4" t="s">
        <v>20</v>
      </c>
      <c r="D16" s="5">
        <v>10000</v>
      </c>
      <c r="E16" s="5">
        <f t="shared" si="0"/>
        <v>220000</v>
      </c>
      <c r="F16" s="5">
        <f t="shared" si="1"/>
        <v>430000</v>
      </c>
    </row>
    <row r="17" spans="1:6" x14ac:dyDescent="0.35">
      <c r="A17" s="4" t="s">
        <v>17</v>
      </c>
      <c r="B17" s="4">
        <v>4374</v>
      </c>
      <c r="C17" s="4" t="s">
        <v>20</v>
      </c>
      <c r="D17" s="5">
        <v>10000</v>
      </c>
      <c r="E17" s="5">
        <f t="shared" si="0"/>
        <v>230000</v>
      </c>
      <c r="F17" s="5">
        <f t="shared" si="1"/>
        <v>420000</v>
      </c>
    </row>
    <row r="18" spans="1:6" x14ac:dyDescent="0.35">
      <c r="A18" s="4" t="s">
        <v>18</v>
      </c>
      <c r="B18" s="4">
        <v>4907</v>
      </c>
      <c r="C18" s="4" t="s">
        <v>20</v>
      </c>
      <c r="D18" s="5">
        <v>10000</v>
      </c>
      <c r="E18" s="5">
        <f t="shared" si="0"/>
        <v>240000</v>
      </c>
      <c r="F18" s="5">
        <f t="shared" si="1"/>
        <v>410000</v>
      </c>
    </row>
    <row r="19" spans="1:6" x14ac:dyDescent="0.35">
      <c r="A19" s="4" t="s">
        <v>21</v>
      </c>
      <c r="B19" s="4">
        <v>5544</v>
      </c>
      <c r="C19" s="4" t="s">
        <v>20</v>
      </c>
      <c r="D19" s="5">
        <v>10000</v>
      </c>
      <c r="E19" s="5">
        <f t="shared" si="0"/>
        <v>250000</v>
      </c>
      <c r="F19" s="5">
        <f t="shared" si="1"/>
        <v>400000</v>
      </c>
    </row>
    <row r="20" spans="1:6" x14ac:dyDescent="0.35">
      <c r="A20" s="6">
        <v>45536</v>
      </c>
      <c r="B20" s="4">
        <v>6043</v>
      </c>
      <c r="C20" s="4" t="s">
        <v>20</v>
      </c>
      <c r="D20" s="5">
        <v>10000</v>
      </c>
      <c r="E20" s="5">
        <f t="shared" si="0"/>
        <v>260000</v>
      </c>
      <c r="F20" s="5">
        <f t="shared" si="1"/>
        <v>390000</v>
      </c>
    </row>
    <row r="21" spans="1:6" x14ac:dyDescent="0.35">
      <c r="A21" s="6">
        <v>45415</v>
      </c>
      <c r="B21" s="4">
        <v>6887</v>
      </c>
      <c r="C21" s="4" t="s">
        <v>20</v>
      </c>
      <c r="D21" s="5">
        <v>20000</v>
      </c>
      <c r="E21" s="5">
        <f t="shared" si="0"/>
        <v>280000</v>
      </c>
      <c r="F21" s="5">
        <f t="shared" si="1"/>
        <v>370000</v>
      </c>
    </row>
    <row r="22" spans="1:6" x14ac:dyDescent="0.35">
      <c r="A22" s="4" t="s">
        <v>22</v>
      </c>
      <c r="B22" s="4">
        <v>7829</v>
      </c>
      <c r="C22" s="4" t="s">
        <v>20</v>
      </c>
      <c r="D22" s="5">
        <v>10000</v>
      </c>
      <c r="E22" s="5">
        <f t="shared" si="0"/>
        <v>290000</v>
      </c>
      <c r="F22" s="5">
        <f t="shared" si="1"/>
        <v>360000</v>
      </c>
    </row>
    <row r="23" spans="1:6" x14ac:dyDescent="0.35">
      <c r="A23" s="4" t="s">
        <v>23</v>
      </c>
      <c r="B23" s="4">
        <v>8559</v>
      </c>
      <c r="C23" s="4" t="s">
        <v>20</v>
      </c>
      <c r="D23" s="5">
        <v>10000</v>
      </c>
      <c r="E23" s="5">
        <f t="shared" si="0"/>
        <v>300000</v>
      </c>
      <c r="F23" s="5">
        <f t="shared" si="1"/>
        <v>350000</v>
      </c>
    </row>
    <row r="24" spans="1:6" x14ac:dyDescent="0.35">
      <c r="A24" s="4" t="s">
        <v>24</v>
      </c>
      <c r="B24" s="4">
        <v>9601</v>
      </c>
      <c r="C24" s="4" t="s">
        <v>20</v>
      </c>
      <c r="D24" s="5">
        <v>20000</v>
      </c>
      <c r="E24" s="5">
        <f t="shared" si="0"/>
        <v>320000</v>
      </c>
      <c r="F24" s="5">
        <f t="shared" si="1"/>
        <v>330000</v>
      </c>
    </row>
    <row r="25" spans="1:6" x14ac:dyDescent="0.35">
      <c r="A25" s="4" t="s">
        <v>25</v>
      </c>
      <c r="B25" s="4">
        <v>1113</v>
      </c>
      <c r="C25" s="4" t="s">
        <v>20</v>
      </c>
      <c r="D25" s="5">
        <v>10000</v>
      </c>
      <c r="E25" s="5">
        <f t="shared" si="0"/>
        <v>330000</v>
      </c>
      <c r="F25" s="5">
        <f t="shared" si="1"/>
        <v>320000</v>
      </c>
    </row>
    <row r="26" spans="1:6" x14ac:dyDescent="0.35">
      <c r="A26" s="4" t="s">
        <v>26</v>
      </c>
      <c r="B26" s="4">
        <v>10803</v>
      </c>
      <c r="C26" s="4" t="s">
        <v>20</v>
      </c>
      <c r="D26" s="5">
        <v>10000</v>
      </c>
      <c r="E26" s="5">
        <f t="shared" si="0"/>
        <v>340000</v>
      </c>
      <c r="F26" s="5">
        <f t="shared" si="1"/>
        <v>310000</v>
      </c>
    </row>
    <row r="27" spans="1:6" x14ac:dyDescent="0.35">
      <c r="A27" s="4" t="s">
        <v>27</v>
      </c>
      <c r="B27" s="4">
        <v>11637</v>
      </c>
      <c r="C27" s="4" t="s">
        <v>20</v>
      </c>
      <c r="D27" s="5">
        <v>10000</v>
      </c>
      <c r="E27" s="5">
        <f t="shared" si="0"/>
        <v>350000</v>
      </c>
      <c r="F27" s="5">
        <f t="shared" si="1"/>
        <v>300000</v>
      </c>
    </row>
    <row r="28" spans="1:6" x14ac:dyDescent="0.35">
      <c r="A28" s="6">
        <v>45637</v>
      </c>
      <c r="B28" s="4">
        <v>10937</v>
      </c>
      <c r="C28" s="4" t="s">
        <v>20</v>
      </c>
      <c r="D28" s="5">
        <v>10000</v>
      </c>
      <c r="E28" s="5">
        <f t="shared" si="0"/>
        <v>360000</v>
      </c>
      <c r="F28" s="5">
        <f t="shared" si="1"/>
        <v>290000</v>
      </c>
    </row>
    <row r="29" spans="1:6" x14ac:dyDescent="0.35">
      <c r="A29" s="4" t="s">
        <v>28</v>
      </c>
      <c r="B29" s="4">
        <v>12375</v>
      </c>
      <c r="C29" s="4" t="s">
        <v>20</v>
      </c>
      <c r="D29" s="5">
        <v>10000</v>
      </c>
      <c r="E29" s="5">
        <f t="shared" si="0"/>
        <v>370000</v>
      </c>
      <c r="F29" s="5">
        <f t="shared" si="1"/>
        <v>280000</v>
      </c>
    </row>
    <row r="30" spans="1:6" x14ac:dyDescent="0.35">
      <c r="A30" s="4" t="s">
        <v>29</v>
      </c>
      <c r="B30" s="4">
        <v>12060</v>
      </c>
      <c r="C30" s="4" t="s">
        <v>20</v>
      </c>
      <c r="D30" s="5">
        <v>10000</v>
      </c>
      <c r="E30" s="5">
        <f t="shared" si="0"/>
        <v>380000</v>
      </c>
      <c r="F30" s="5">
        <f t="shared" si="1"/>
        <v>270000</v>
      </c>
    </row>
    <row r="31" spans="1:6" x14ac:dyDescent="0.35">
      <c r="A31" s="6">
        <v>45993</v>
      </c>
      <c r="B31" s="4">
        <v>9363</v>
      </c>
      <c r="C31" s="4" t="s">
        <v>20</v>
      </c>
      <c r="D31" s="5">
        <v>10000</v>
      </c>
      <c r="E31" s="5">
        <f t="shared" si="0"/>
        <v>390000</v>
      </c>
      <c r="F31" s="5">
        <f t="shared" si="1"/>
        <v>260000</v>
      </c>
    </row>
    <row r="32" spans="1:6" x14ac:dyDescent="0.35">
      <c r="A32" s="6">
        <v>45933</v>
      </c>
      <c r="B32" s="4">
        <v>9707</v>
      </c>
      <c r="C32" s="4" t="s">
        <v>20</v>
      </c>
      <c r="D32" s="5">
        <v>10000</v>
      </c>
      <c r="E32" s="5">
        <f t="shared" si="0"/>
        <v>400000</v>
      </c>
      <c r="F32" s="5">
        <f t="shared" si="1"/>
        <v>250000</v>
      </c>
    </row>
    <row r="33" spans="1:6" x14ac:dyDescent="0.35">
      <c r="A33" s="4" t="s">
        <v>30</v>
      </c>
      <c r="B33" s="4">
        <v>10168</v>
      </c>
      <c r="C33" s="4" t="s">
        <v>20</v>
      </c>
      <c r="D33" s="5">
        <v>10000</v>
      </c>
      <c r="E33" s="5">
        <f t="shared" si="0"/>
        <v>410000</v>
      </c>
      <c r="F33" s="5">
        <f t="shared" si="1"/>
        <v>240000</v>
      </c>
    </row>
    <row r="34" spans="1:6" x14ac:dyDescent="0.35">
      <c r="A34" s="6">
        <v>45967</v>
      </c>
      <c r="B34" s="4">
        <v>10264</v>
      </c>
      <c r="C34" s="4" t="s">
        <v>20</v>
      </c>
      <c r="D34" s="5">
        <v>20000</v>
      </c>
      <c r="E34" s="5">
        <f t="shared" si="0"/>
        <v>430000</v>
      </c>
      <c r="F34" s="5">
        <f t="shared" si="1"/>
        <v>220000</v>
      </c>
    </row>
    <row r="35" spans="1:6" x14ac:dyDescent="0.35">
      <c r="A35" s="4" t="s">
        <v>31</v>
      </c>
      <c r="B35" s="4">
        <v>12175</v>
      </c>
      <c r="C35" s="4" t="s">
        <v>20</v>
      </c>
      <c r="D35" s="5">
        <v>10000</v>
      </c>
      <c r="E35" s="5">
        <f t="shared" si="0"/>
        <v>440000</v>
      </c>
      <c r="F35" s="5">
        <f t="shared" si="1"/>
        <v>210000</v>
      </c>
    </row>
    <row r="36" spans="1:6" x14ac:dyDescent="0.35">
      <c r="A36" s="6">
        <v>46000</v>
      </c>
      <c r="B36" s="4">
        <v>12721</v>
      </c>
      <c r="C36" s="4" t="s">
        <v>20</v>
      </c>
      <c r="D36" s="5">
        <v>20000</v>
      </c>
      <c r="E36" s="5">
        <f t="shared" si="0"/>
        <v>460000</v>
      </c>
      <c r="F36" s="5">
        <f t="shared" si="1"/>
        <v>190000</v>
      </c>
    </row>
    <row r="37" spans="1:6" x14ac:dyDescent="0.35">
      <c r="A37" s="4" t="s">
        <v>32</v>
      </c>
      <c r="B37" s="4">
        <v>13603</v>
      </c>
      <c r="C37" s="4" t="s">
        <v>20</v>
      </c>
      <c r="D37" s="5">
        <v>10000</v>
      </c>
      <c r="E37" s="5">
        <f t="shared" si="0"/>
        <v>470000</v>
      </c>
      <c r="F37" s="5">
        <f t="shared" si="1"/>
        <v>180000</v>
      </c>
    </row>
    <row r="38" spans="1:6" x14ac:dyDescent="0.35">
      <c r="A38" s="6" t="s">
        <v>33</v>
      </c>
      <c r="B38" s="4">
        <v>12608</v>
      </c>
      <c r="C38" s="4" t="s">
        <v>20</v>
      </c>
      <c r="D38" s="5">
        <v>20000</v>
      </c>
      <c r="E38" s="5">
        <f t="shared" si="0"/>
        <v>490000</v>
      </c>
      <c r="F38" s="5">
        <f t="shared" si="1"/>
        <v>160000</v>
      </c>
    </row>
    <row r="39" spans="1:6" x14ac:dyDescent="0.35">
      <c r="A39" s="4" t="s">
        <v>34</v>
      </c>
      <c r="B39" s="4">
        <v>13986</v>
      </c>
      <c r="C39" s="4" t="s">
        <v>20</v>
      </c>
      <c r="D39" s="5">
        <v>20000</v>
      </c>
      <c r="E39" s="5">
        <f t="shared" si="0"/>
        <v>510000</v>
      </c>
      <c r="F39" s="5">
        <f t="shared" si="1"/>
        <v>140000</v>
      </c>
    </row>
    <row r="40" spans="1:6" x14ac:dyDescent="0.35">
      <c r="A40" s="6">
        <v>46147</v>
      </c>
      <c r="B40" s="4">
        <v>12941</v>
      </c>
      <c r="C40" s="4" t="s">
        <v>20</v>
      </c>
      <c r="D40" s="5">
        <v>20000</v>
      </c>
      <c r="E40" s="5">
        <f t="shared" si="0"/>
        <v>530000</v>
      </c>
      <c r="F40" s="5">
        <f t="shared" si="1"/>
        <v>120000</v>
      </c>
    </row>
    <row r="41" spans="1:6" x14ac:dyDescent="0.35">
      <c r="A41" s="4" t="s">
        <v>37</v>
      </c>
      <c r="B41" s="4">
        <v>13522</v>
      </c>
      <c r="C41" s="4" t="s">
        <v>20</v>
      </c>
      <c r="D41" s="5">
        <v>10000</v>
      </c>
      <c r="E41" s="5">
        <f>E40+D41</f>
        <v>540000</v>
      </c>
      <c r="F41" s="5">
        <f>F40-D41</f>
        <v>110000</v>
      </c>
    </row>
    <row r="42" spans="1:6" x14ac:dyDescent="0.35">
      <c r="A42" s="4" t="s">
        <v>38</v>
      </c>
      <c r="B42" s="4">
        <v>1377</v>
      </c>
      <c r="C42" s="4" t="s">
        <v>20</v>
      </c>
      <c r="D42" s="5">
        <v>10000</v>
      </c>
      <c r="E42" s="5">
        <f>E41+D42</f>
        <v>550000</v>
      </c>
      <c r="F42" s="5">
        <f>F41-D42</f>
        <v>100000</v>
      </c>
    </row>
    <row r="43" spans="1:6" x14ac:dyDescent="0.35">
      <c r="A43" s="4" t="s">
        <v>39</v>
      </c>
      <c r="B43" s="4">
        <v>1833</v>
      </c>
      <c r="C43" s="4" t="s">
        <v>20</v>
      </c>
      <c r="D43" s="5">
        <v>10000</v>
      </c>
      <c r="E43" s="5">
        <f>E42+D43</f>
        <v>560000</v>
      </c>
      <c r="F43" s="5">
        <f>F42-D43</f>
        <v>90000</v>
      </c>
    </row>
    <row r="44" spans="1:6" x14ac:dyDescent="0.35">
      <c r="A44" s="6">
        <v>46121</v>
      </c>
      <c r="B44" s="7">
        <v>1895</v>
      </c>
      <c r="C44" s="4" t="s">
        <v>20</v>
      </c>
      <c r="D44" s="5">
        <v>10000</v>
      </c>
      <c r="E44" s="5">
        <f>E43+D44</f>
        <v>570000</v>
      </c>
      <c r="F44" s="5">
        <f>F43-D44</f>
        <v>80000</v>
      </c>
    </row>
    <row r="45" spans="1:6" x14ac:dyDescent="0.35">
      <c r="A45" s="4"/>
      <c r="B45" s="4"/>
      <c r="C45" s="4"/>
      <c r="D45" s="4"/>
      <c r="E45" s="4"/>
      <c r="F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workbookViewId="0">
      <selection activeCell="I7" sqref="I7"/>
    </sheetView>
  </sheetViews>
  <sheetFormatPr defaultRowHeight="14.5" x14ac:dyDescent="0.35"/>
  <sheetData>
    <row r="1" spans="1:7" x14ac:dyDescent="0.35">
      <c r="A1" t="s">
        <v>40</v>
      </c>
    </row>
    <row r="3" spans="1:7" x14ac:dyDescent="0.35">
      <c r="A3" t="s">
        <v>41</v>
      </c>
      <c r="B3" t="s">
        <v>42</v>
      </c>
      <c r="D3" t="s">
        <v>43</v>
      </c>
      <c r="E3">
        <v>7096</v>
      </c>
    </row>
    <row r="4" spans="1:7" x14ac:dyDescent="0.35">
      <c r="A4" t="s">
        <v>44</v>
      </c>
      <c r="B4" t="s">
        <v>45</v>
      </c>
      <c r="D4" t="s">
        <v>46</v>
      </c>
      <c r="E4" s="8">
        <v>360000</v>
      </c>
    </row>
    <row r="5" spans="1:7" x14ac:dyDescent="0.35">
      <c r="A5" t="s">
        <v>47</v>
      </c>
      <c r="B5" t="s">
        <v>48</v>
      </c>
      <c r="D5" t="s">
        <v>49</v>
      </c>
      <c r="E5" t="s">
        <v>50</v>
      </c>
    </row>
    <row r="7" spans="1:7" x14ac:dyDescent="0.35">
      <c r="A7" t="s">
        <v>51</v>
      </c>
      <c r="B7" t="s">
        <v>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</row>
    <row r="8" spans="1:7" x14ac:dyDescent="0.35">
      <c r="A8">
        <v>1</v>
      </c>
      <c r="B8" s="9">
        <v>44531</v>
      </c>
      <c r="C8">
        <v>2244</v>
      </c>
      <c r="D8" t="s">
        <v>57</v>
      </c>
      <c r="E8" s="8">
        <v>80000</v>
      </c>
      <c r="F8" s="8">
        <v>80000</v>
      </c>
      <c r="G8" s="8">
        <v>280000</v>
      </c>
    </row>
    <row r="9" spans="1:7" x14ac:dyDescent="0.35">
      <c r="A9">
        <v>2</v>
      </c>
      <c r="B9" s="9">
        <v>44533</v>
      </c>
      <c r="C9">
        <v>2843</v>
      </c>
      <c r="D9" t="s">
        <v>58</v>
      </c>
      <c r="E9" s="8">
        <v>20000</v>
      </c>
      <c r="F9" s="8">
        <v>100000</v>
      </c>
      <c r="G9" s="8">
        <v>260000</v>
      </c>
    </row>
    <row r="10" spans="1:7" x14ac:dyDescent="0.35">
      <c r="A10">
        <v>3</v>
      </c>
      <c r="B10" s="9">
        <v>44896</v>
      </c>
      <c r="C10">
        <v>2845</v>
      </c>
      <c r="D10" t="s">
        <v>58</v>
      </c>
      <c r="E10" s="8">
        <v>50000</v>
      </c>
      <c r="F10" s="8">
        <v>150000</v>
      </c>
      <c r="G10" s="8">
        <v>210000</v>
      </c>
    </row>
    <row r="11" spans="1:7" x14ac:dyDescent="0.35">
      <c r="A11">
        <v>4</v>
      </c>
      <c r="B11" s="9">
        <v>44896</v>
      </c>
      <c r="C11">
        <v>2846</v>
      </c>
      <c r="D11" t="s">
        <v>59</v>
      </c>
      <c r="E11" s="8">
        <v>10000</v>
      </c>
      <c r="F11" s="8">
        <v>160000</v>
      </c>
      <c r="G11" s="8">
        <v>200000</v>
      </c>
    </row>
    <row r="12" spans="1:7" x14ac:dyDescent="0.35">
      <c r="A12">
        <v>5</v>
      </c>
      <c r="B12" s="9">
        <v>45203</v>
      </c>
      <c r="C12">
        <v>1107</v>
      </c>
      <c r="D12" t="s">
        <v>59</v>
      </c>
      <c r="E12" s="8">
        <v>10000</v>
      </c>
      <c r="F12" s="8">
        <v>170000</v>
      </c>
      <c r="G12" s="8">
        <v>190000</v>
      </c>
    </row>
    <row r="13" spans="1:7" x14ac:dyDescent="0.35">
      <c r="A13">
        <v>6</v>
      </c>
      <c r="B13" t="s">
        <v>60</v>
      </c>
      <c r="C13">
        <v>572</v>
      </c>
      <c r="D13" t="s">
        <v>59</v>
      </c>
      <c r="E13" s="8">
        <v>10000</v>
      </c>
      <c r="F13" s="8">
        <v>180000</v>
      </c>
      <c r="G13" s="8">
        <v>180000</v>
      </c>
    </row>
    <row r="14" spans="1:7" x14ac:dyDescent="0.35">
      <c r="A14">
        <v>7</v>
      </c>
      <c r="B14" t="s">
        <v>61</v>
      </c>
      <c r="C14">
        <v>944</v>
      </c>
      <c r="D14" t="s">
        <v>59</v>
      </c>
      <c r="E14" s="8">
        <v>10000</v>
      </c>
      <c r="F14" s="8">
        <v>190000</v>
      </c>
      <c r="G14" s="8">
        <v>170000</v>
      </c>
    </row>
    <row r="15" spans="1:7" x14ac:dyDescent="0.35">
      <c r="A15">
        <v>8</v>
      </c>
      <c r="B15" t="s">
        <v>62</v>
      </c>
      <c r="C15">
        <v>3199</v>
      </c>
      <c r="D15" t="s">
        <v>59</v>
      </c>
      <c r="E15" s="8">
        <v>30000</v>
      </c>
      <c r="F15" s="8">
        <v>220000</v>
      </c>
      <c r="G15" s="8">
        <v>140000</v>
      </c>
    </row>
    <row r="16" spans="1:7" x14ac:dyDescent="0.35">
      <c r="A16">
        <v>9</v>
      </c>
      <c r="B16" s="9">
        <v>45026</v>
      </c>
      <c r="C16">
        <v>275</v>
      </c>
      <c r="D16" t="s">
        <v>59</v>
      </c>
      <c r="E16" s="8">
        <v>10000</v>
      </c>
      <c r="F16" s="8">
        <v>230000</v>
      </c>
      <c r="G16" s="8">
        <v>130000</v>
      </c>
    </row>
    <row r="17" spans="1:7" x14ac:dyDescent="0.35">
      <c r="A17">
        <v>10</v>
      </c>
      <c r="B17" t="s">
        <v>63</v>
      </c>
      <c r="C17">
        <v>4927</v>
      </c>
      <c r="D17" t="s">
        <v>59</v>
      </c>
      <c r="E17" s="8">
        <v>10000</v>
      </c>
      <c r="F17" s="8">
        <v>240000</v>
      </c>
      <c r="G17" s="8">
        <v>120000</v>
      </c>
    </row>
    <row r="18" spans="1:7" x14ac:dyDescent="0.35">
      <c r="A18">
        <v>11</v>
      </c>
      <c r="B18" s="9">
        <v>45089</v>
      </c>
      <c r="C18">
        <v>5394</v>
      </c>
      <c r="D18" t="s">
        <v>64</v>
      </c>
      <c r="E18" s="8">
        <v>40000</v>
      </c>
      <c r="F18" s="8">
        <v>280000</v>
      </c>
      <c r="G18" s="8">
        <v>80000</v>
      </c>
    </row>
    <row r="19" spans="1:7" x14ac:dyDescent="0.35">
      <c r="A19">
        <v>12</v>
      </c>
      <c r="B19" s="9">
        <v>45387</v>
      </c>
      <c r="C19">
        <v>7217</v>
      </c>
      <c r="D19" t="s">
        <v>59</v>
      </c>
      <c r="E19" s="8">
        <v>10000</v>
      </c>
      <c r="F19" s="8">
        <v>290000</v>
      </c>
      <c r="G19" s="8">
        <v>70000</v>
      </c>
    </row>
    <row r="20" spans="1:7" x14ac:dyDescent="0.35">
      <c r="A20">
        <v>13</v>
      </c>
      <c r="B20" s="9">
        <v>45571</v>
      </c>
      <c r="C20">
        <v>8905</v>
      </c>
      <c r="D20" t="s">
        <v>59</v>
      </c>
      <c r="E20" s="8">
        <v>10000</v>
      </c>
      <c r="F20" s="8">
        <v>300000</v>
      </c>
      <c r="G20" s="8">
        <v>60000</v>
      </c>
    </row>
    <row r="21" spans="1:7" x14ac:dyDescent="0.35">
      <c r="A21">
        <v>14</v>
      </c>
      <c r="B21" t="s">
        <v>65</v>
      </c>
      <c r="C21">
        <v>9710</v>
      </c>
      <c r="D21" t="s">
        <v>59</v>
      </c>
      <c r="E21" s="8">
        <v>10000</v>
      </c>
      <c r="F21" s="8">
        <v>310000</v>
      </c>
      <c r="G21" s="8">
        <v>50000</v>
      </c>
    </row>
    <row r="22" spans="1:7" x14ac:dyDescent="0.35">
      <c r="A22">
        <v>15</v>
      </c>
      <c r="B22" t="s">
        <v>66</v>
      </c>
      <c r="C22">
        <v>11257</v>
      </c>
      <c r="D22" t="s">
        <v>59</v>
      </c>
      <c r="E22" s="8">
        <v>10000</v>
      </c>
      <c r="F22" s="8">
        <v>320000</v>
      </c>
      <c r="G22" s="8">
        <v>40000</v>
      </c>
    </row>
    <row r="23" spans="1:7" x14ac:dyDescent="0.35">
      <c r="A23">
        <v>16</v>
      </c>
      <c r="B23" s="9">
        <v>45607</v>
      </c>
      <c r="C23">
        <v>11552</v>
      </c>
      <c r="D23" t="s">
        <v>59</v>
      </c>
      <c r="E23" s="8">
        <v>10000</v>
      </c>
      <c r="F23" s="8">
        <v>330000</v>
      </c>
      <c r="G23" s="8">
        <v>30000</v>
      </c>
    </row>
    <row r="24" spans="1:7" x14ac:dyDescent="0.35">
      <c r="A24">
        <v>17</v>
      </c>
      <c r="B24" s="9">
        <v>45608</v>
      </c>
      <c r="C24">
        <v>12333</v>
      </c>
      <c r="D24" t="s">
        <v>59</v>
      </c>
      <c r="E24" s="8">
        <v>10000</v>
      </c>
      <c r="F24" s="8">
        <v>340000</v>
      </c>
      <c r="G24" s="8">
        <v>20000</v>
      </c>
    </row>
    <row r="25" spans="1:7" x14ac:dyDescent="0.35">
      <c r="A25">
        <v>18</v>
      </c>
      <c r="B25" t="s">
        <v>67</v>
      </c>
      <c r="C25">
        <v>12741</v>
      </c>
      <c r="D25" t="s">
        <v>59</v>
      </c>
      <c r="E25" s="8">
        <v>20000</v>
      </c>
      <c r="F25" s="8">
        <v>360000</v>
      </c>
      <c r="G25">
        <v>0</v>
      </c>
    </row>
    <row r="26" spans="1:7" x14ac:dyDescent="0.35">
      <c r="D26" t="s">
        <v>68</v>
      </c>
      <c r="E26" s="8">
        <v>360000</v>
      </c>
      <c r="F26" s="8">
        <v>360000</v>
      </c>
      <c r="G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L-7068</vt:lpstr>
      <vt:lpstr>L-7096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cv</cp:lastModifiedBy>
  <dcterms:created xsi:type="dcterms:W3CDTF">2026-04-02T01:45:06Z</dcterms:created>
  <dcterms:modified xsi:type="dcterms:W3CDTF">2026-10-08T14:50:07Z</dcterms:modified>
</cp:coreProperties>
</file>