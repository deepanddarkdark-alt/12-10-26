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5DE3FFA9-6DC1-4B27-915A-77D825CDC96B}" xr6:coauthVersionLast="47" xr6:coauthVersionMax="47" xr10:uidLastSave="{00000000-0000-0000-0000-000000000000}"/>
  <bookViews>
    <workbookView xWindow="-110" yWindow="-110" windowWidth="19420" windowHeight="10420" firstSheet="8" activeTab="17" xr2:uid="{39B20335-0A39-4BE0-BFF8-EDA7BF4C8A1F}"/>
  </bookViews>
  <sheets>
    <sheet name="L-6201" sheetId="16" r:id="rId1"/>
    <sheet name="L-6206" sheetId="6" r:id="rId2"/>
    <sheet name="L-6220" sheetId="8" r:id="rId3"/>
    <sheet name="L-6221" sheetId="9" r:id="rId4"/>
    <sheet name="L-6233" sheetId="7" r:id="rId5"/>
    <sheet name="L-6224" sheetId="4" r:id="rId6"/>
    <sheet name="L-6231" sheetId="1" r:id="rId7"/>
    <sheet name="L-6237" sheetId="13" r:id="rId8"/>
    <sheet name="L-6241" sheetId="19" r:id="rId9"/>
    <sheet name="L-6328" sheetId="20" r:id="rId10"/>
    <sheet name="L-6242" sheetId="17" r:id="rId11"/>
    <sheet name="L-6244" sheetId="3" r:id="rId12"/>
    <sheet name="L-6245" sheetId="2" r:id="rId13"/>
    <sheet name="L-6247" sheetId="18" r:id="rId14"/>
    <sheet name="L-6248" sheetId="14" r:id="rId15"/>
    <sheet name="L-6249" sheetId="10" r:id="rId16"/>
    <sheet name="L-6265" sheetId="15" r:id="rId17"/>
    <sheet name="L-6259" sheetId="21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21" l="1"/>
  <c r="F34" i="21"/>
  <c r="F33" i="21"/>
  <c r="F32" i="21"/>
  <c r="E35" i="21"/>
  <c r="E34" i="21"/>
  <c r="E33" i="21"/>
  <c r="E32" i="21"/>
  <c r="F28" i="21"/>
  <c r="F27" i="21"/>
  <c r="F26" i="21"/>
  <c r="F25" i="21"/>
  <c r="F24" i="21"/>
  <c r="F23" i="21"/>
  <c r="F22" i="21"/>
  <c r="F21" i="21"/>
  <c r="F20" i="21"/>
  <c r="F19" i="21"/>
  <c r="E28" i="21"/>
  <c r="E27" i="21"/>
  <c r="E26" i="21"/>
  <c r="E25" i="21"/>
  <c r="E24" i="21"/>
  <c r="E23" i="21"/>
  <c r="E22" i="21"/>
  <c r="E21" i="21"/>
  <c r="E20" i="21"/>
  <c r="E19" i="21"/>
  <c r="F18" i="21"/>
  <c r="F17" i="21"/>
  <c r="F16" i="21"/>
  <c r="F15" i="21"/>
  <c r="F14" i="21"/>
  <c r="F13" i="21"/>
  <c r="F12" i="21"/>
  <c r="F11" i="21"/>
  <c r="F10" i="21"/>
  <c r="F9" i="21"/>
  <c r="E11" i="21"/>
  <c r="E12" i="21" s="1"/>
  <c r="E13" i="21" s="1"/>
  <c r="E14" i="21" s="1"/>
  <c r="E15" i="21" s="1"/>
  <c r="E16" i="21" s="1"/>
  <c r="E17" i="21" s="1"/>
  <c r="E18" i="21" s="1"/>
  <c r="E10" i="21"/>
  <c r="F30" i="15"/>
  <c r="F29" i="15"/>
  <c r="E30" i="15"/>
  <c r="E29" i="15"/>
  <c r="F49" i="7"/>
  <c r="E49" i="7"/>
  <c r="F39" i="19"/>
  <c r="F38" i="19"/>
  <c r="F37" i="19"/>
  <c r="E39" i="19"/>
  <c r="E38" i="19"/>
  <c r="E37" i="19"/>
  <c r="F38" i="4"/>
  <c r="E38" i="4"/>
  <c r="F16" i="2"/>
  <c r="E16" i="2"/>
  <c r="F16" i="3"/>
  <c r="E16" i="3"/>
  <c r="F49" i="6"/>
  <c r="E49" i="6"/>
  <c r="F47" i="8"/>
  <c r="E47" i="8"/>
  <c r="F46" i="8"/>
  <c r="E46" i="8"/>
  <c r="F47" i="9"/>
  <c r="E47" i="9"/>
  <c r="F46" i="9"/>
  <c r="E46" i="9"/>
  <c r="F42" i="18"/>
  <c r="E42" i="18"/>
  <c r="F41" i="18"/>
  <c r="E41" i="18"/>
  <c r="F40" i="18"/>
  <c r="E40" i="18"/>
  <c r="F39" i="18"/>
  <c r="E39" i="18"/>
  <c r="F38" i="18"/>
  <c r="E38" i="18"/>
  <c r="F37" i="18"/>
  <c r="E37" i="18"/>
  <c r="F36" i="18"/>
  <c r="E36" i="18"/>
  <c r="F35" i="18"/>
  <c r="E35" i="18"/>
  <c r="F34" i="18"/>
  <c r="E34" i="18"/>
  <c r="F33" i="18"/>
  <c r="E33" i="18"/>
  <c r="F32" i="18"/>
  <c r="E32" i="18"/>
  <c r="F31" i="18"/>
  <c r="E31" i="18"/>
  <c r="F30" i="18"/>
  <c r="E30" i="18"/>
  <c r="F29" i="18"/>
  <c r="E29" i="18"/>
  <c r="F28" i="18"/>
  <c r="E28" i="18"/>
  <c r="F27" i="18"/>
  <c r="E27" i="18"/>
  <c r="F26" i="18"/>
  <c r="E26" i="18"/>
  <c r="F25" i="18"/>
  <c r="E25" i="18"/>
  <c r="F24" i="18"/>
  <c r="E24" i="18"/>
  <c r="F23" i="18"/>
  <c r="E23" i="18"/>
  <c r="F22" i="18"/>
  <c r="E22" i="18"/>
  <c r="F29" i="16"/>
  <c r="E29" i="16"/>
  <c r="E48" i="7"/>
  <c r="E47" i="7"/>
  <c r="E46" i="7"/>
  <c r="E45" i="7"/>
  <c r="E44" i="7"/>
  <c r="E43" i="7"/>
  <c r="E42" i="7"/>
  <c r="E41" i="7"/>
  <c r="E40" i="7"/>
  <c r="F40" i="7"/>
  <c r="F41" i="7" s="1"/>
  <c r="F42" i="7" s="1"/>
  <c r="F43" i="7" s="1"/>
  <c r="F44" i="7" s="1"/>
  <c r="F45" i="7" s="1"/>
  <c r="F46" i="7" s="1"/>
  <c r="F47" i="7" s="1"/>
  <c r="F48" i="7" s="1"/>
  <c r="F37" i="4"/>
  <c r="E37" i="4"/>
  <c r="F26" i="13"/>
  <c r="E26" i="13"/>
  <c r="F48" i="6"/>
  <c r="E48" i="6"/>
  <c r="F15" i="2"/>
  <c r="E15" i="2"/>
  <c r="F15" i="3"/>
  <c r="E15" i="3"/>
  <c r="F21" i="1"/>
  <c r="F20" i="1"/>
  <c r="F19" i="1"/>
  <c r="E21" i="1"/>
  <c r="E20" i="1"/>
  <c r="E19" i="1"/>
  <c r="F25" i="13"/>
  <c r="F24" i="13"/>
  <c r="E25" i="13"/>
  <c r="E24" i="13"/>
  <c r="F28" i="15"/>
  <c r="F27" i="15"/>
  <c r="E28" i="15"/>
  <c r="E27" i="15"/>
  <c r="F36" i="4"/>
  <c r="E36" i="4"/>
  <c r="F47" i="6"/>
  <c r="E47" i="6"/>
  <c r="F14" i="2"/>
  <c r="E14" i="2"/>
  <c r="F14" i="3"/>
  <c r="E14" i="3"/>
  <c r="F45" i="8"/>
  <c r="F44" i="8"/>
  <c r="E45" i="8"/>
  <c r="E44" i="8"/>
  <c r="F45" i="9"/>
  <c r="F44" i="9"/>
  <c r="F43" i="9"/>
  <c r="E45" i="9"/>
  <c r="E44" i="9"/>
  <c r="E43" i="9"/>
  <c r="F41" i="14"/>
  <c r="E41" i="14"/>
  <c r="F46" i="6"/>
  <c r="E46" i="6"/>
  <c r="F34" i="4"/>
  <c r="F35" i="4"/>
  <c r="E34" i="4"/>
  <c r="E35" i="4" s="1"/>
  <c r="F13" i="2"/>
  <c r="E13" i="2"/>
  <c r="F13" i="3"/>
  <c r="E13" i="3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F19" i="19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E19" i="19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F13" i="19"/>
  <c r="F14" i="19" s="1"/>
  <c r="F15" i="19" s="1"/>
  <c r="F16" i="19" s="1"/>
  <c r="F17" i="19" s="1"/>
  <c r="F18" i="19" s="1"/>
  <c r="E13" i="19"/>
  <c r="E14" i="19" s="1"/>
  <c r="E15" i="19" s="1"/>
  <c r="E16" i="19" s="1"/>
  <c r="E17" i="19" s="1"/>
  <c r="E18" i="19" s="1"/>
  <c r="F12" i="19"/>
  <c r="E12" i="19"/>
  <c r="F10" i="19"/>
  <c r="F11" i="19" s="1"/>
  <c r="E10" i="19"/>
  <c r="E11" i="19" s="1"/>
  <c r="F9" i="19"/>
  <c r="E9" i="19"/>
  <c r="F19" i="18"/>
  <c r="E19" i="18"/>
  <c r="F10" i="18"/>
  <c r="F11" i="18" s="1"/>
  <c r="F12" i="18" s="1"/>
  <c r="F13" i="18" s="1"/>
  <c r="F14" i="18" s="1"/>
  <c r="F15" i="18" s="1"/>
  <c r="F16" i="18" s="1"/>
  <c r="F17" i="18" s="1"/>
  <c r="F18" i="18" s="1"/>
  <c r="E10" i="18"/>
  <c r="E11" i="18"/>
  <c r="E12" i="18"/>
  <c r="E13" i="18"/>
  <c r="E14" i="18" s="1"/>
  <c r="E15" i="18" s="1"/>
  <c r="E16" i="18" s="1"/>
  <c r="E17" i="18" s="1"/>
  <c r="E18" i="18" s="1"/>
  <c r="F9" i="18"/>
  <c r="E9" i="18"/>
  <c r="F19" i="15"/>
  <c r="F20" i="15" s="1"/>
  <c r="F21" i="15" s="1"/>
  <c r="F22" i="15" s="1"/>
  <c r="F23" i="15" s="1"/>
  <c r="F24" i="15" s="1"/>
  <c r="F25" i="15" s="1"/>
  <c r="F26" i="15" s="1"/>
  <c r="E19" i="15"/>
  <c r="E20" i="15" s="1"/>
  <c r="E21" i="15" s="1"/>
  <c r="E22" i="15" s="1"/>
  <c r="E23" i="15" s="1"/>
  <c r="E24" i="15" s="1"/>
  <c r="E25" i="15" s="1"/>
  <c r="E26" i="15" s="1"/>
  <c r="F10" i="15"/>
  <c r="F11" i="15"/>
  <c r="F12" i="15"/>
  <c r="F13" i="15"/>
  <c r="F14" i="15" s="1"/>
  <c r="F15" i="15" s="1"/>
  <c r="F16" i="15" s="1"/>
  <c r="F17" i="15" s="1"/>
  <c r="F18" i="15" s="1"/>
  <c r="E10" i="15"/>
  <c r="E11" i="15" s="1"/>
  <c r="E12" i="15" s="1"/>
  <c r="E13" i="15" s="1"/>
  <c r="E14" i="15" s="1"/>
  <c r="E15" i="15" s="1"/>
  <c r="E16" i="15" s="1"/>
  <c r="E17" i="15" s="1"/>
  <c r="E18" i="15" s="1"/>
  <c r="F9" i="15"/>
  <c r="E9" i="15"/>
  <c r="F27" i="17"/>
  <c r="F28" i="17" s="1"/>
  <c r="F29" i="17" s="1"/>
  <c r="E27" i="17"/>
  <c r="E28" i="17" s="1"/>
  <c r="E29" i="17" s="1"/>
  <c r="F19" i="17"/>
  <c r="F20" i="17" s="1"/>
  <c r="F21" i="17" s="1"/>
  <c r="F22" i="17" s="1"/>
  <c r="F23" i="17" s="1"/>
  <c r="F24" i="17" s="1"/>
  <c r="F25" i="17" s="1"/>
  <c r="F26" i="17" s="1"/>
  <c r="E19" i="17"/>
  <c r="E20" i="17" s="1"/>
  <c r="E21" i="17" s="1"/>
  <c r="E22" i="17" s="1"/>
  <c r="E23" i="17" s="1"/>
  <c r="E24" i="17" s="1"/>
  <c r="E25" i="17" s="1"/>
  <c r="E26" i="17" s="1"/>
  <c r="E15" i="17"/>
  <c r="E16" i="17" s="1"/>
  <c r="E17" i="17" s="1"/>
  <c r="E18" i="17" s="1"/>
  <c r="F14" i="17"/>
  <c r="F15" i="17" s="1"/>
  <c r="F16" i="17" s="1"/>
  <c r="F17" i="17" s="1"/>
  <c r="F18" i="17" s="1"/>
  <c r="E14" i="17"/>
  <c r="F10" i="17"/>
  <c r="F11" i="17" s="1"/>
  <c r="F12" i="17" s="1"/>
  <c r="F13" i="17" s="1"/>
  <c r="E10" i="17"/>
  <c r="E11" i="17"/>
  <c r="E12" i="17" s="1"/>
  <c r="E13" i="17" s="1"/>
  <c r="F9" i="17"/>
  <c r="E9" i="17"/>
  <c r="F19" i="16"/>
  <c r="F20" i="16" s="1"/>
  <c r="F21" i="16" s="1"/>
  <c r="F22" i="16" s="1"/>
  <c r="F23" i="16" s="1"/>
  <c r="F24" i="16" s="1"/>
  <c r="F25" i="16" s="1"/>
  <c r="F26" i="16" s="1"/>
  <c r="F27" i="16" s="1"/>
  <c r="F28" i="16" s="1"/>
  <c r="E19" i="16"/>
  <c r="E20" i="16" s="1"/>
  <c r="E21" i="16" s="1"/>
  <c r="E22" i="16" s="1"/>
  <c r="E23" i="16" s="1"/>
  <c r="E24" i="16" s="1"/>
  <c r="E25" i="16" s="1"/>
  <c r="E26" i="16" s="1"/>
  <c r="E27" i="16" s="1"/>
  <c r="E28" i="16" s="1"/>
  <c r="F10" i="16"/>
  <c r="F11" i="16" s="1"/>
  <c r="F12" i="16" s="1"/>
  <c r="F13" i="16" s="1"/>
  <c r="F14" i="16" s="1"/>
  <c r="F15" i="16" s="1"/>
  <c r="F16" i="16" s="1"/>
  <c r="F17" i="16" s="1"/>
  <c r="F18" i="16" s="1"/>
  <c r="E10" i="16"/>
  <c r="E11" i="16"/>
  <c r="E12" i="16" s="1"/>
  <c r="E13" i="16" s="1"/>
  <c r="E14" i="16" s="1"/>
  <c r="E15" i="16" s="1"/>
  <c r="E16" i="16" s="1"/>
  <c r="E17" i="16" s="1"/>
  <c r="E18" i="16" s="1"/>
  <c r="F9" i="16"/>
  <c r="E9" i="16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F19" i="14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10" i="14"/>
  <c r="F11" i="14"/>
  <c r="F12" i="14"/>
  <c r="F13" i="14"/>
  <c r="F14" i="14" s="1"/>
  <c r="F15" i="14" s="1"/>
  <c r="F16" i="14" s="1"/>
  <c r="F17" i="14" s="1"/>
  <c r="F18" i="14" s="1"/>
  <c r="F9" i="14"/>
  <c r="F19" i="13"/>
  <c r="F20" i="13" s="1"/>
  <c r="F21" i="13" s="1"/>
  <c r="F22" i="13" s="1"/>
  <c r="F23" i="13" s="1"/>
  <c r="E19" i="13"/>
  <c r="E20" i="13" s="1"/>
  <c r="E21" i="13" s="1"/>
  <c r="E22" i="13" s="1"/>
  <c r="E23" i="13" s="1"/>
  <c r="F10" i="13"/>
  <c r="F11" i="13" s="1"/>
  <c r="F12" i="13" s="1"/>
  <c r="F13" i="13" s="1"/>
  <c r="F14" i="13" s="1"/>
  <c r="F15" i="13" s="1"/>
  <c r="F16" i="13" s="1"/>
  <c r="F17" i="13" s="1"/>
  <c r="F18" i="13" s="1"/>
  <c r="E10" i="13"/>
  <c r="E11" i="13" s="1"/>
  <c r="E12" i="13" s="1"/>
  <c r="E13" i="13" s="1"/>
  <c r="E14" i="13" s="1"/>
  <c r="E15" i="13" s="1"/>
  <c r="E16" i="13" s="1"/>
  <c r="E17" i="13" s="1"/>
  <c r="E18" i="13" s="1"/>
  <c r="F9" i="13"/>
  <c r="E9" i="13"/>
  <c r="F45" i="6"/>
  <c r="E45" i="6"/>
  <c r="F12" i="2"/>
  <c r="E12" i="2"/>
  <c r="F12" i="3"/>
  <c r="E12" i="3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F9" i="10"/>
  <c r="E9" i="10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19" i="8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10" i="8"/>
  <c r="E11" i="8"/>
  <c r="E12" i="8" s="1"/>
  <c r="E13" i="8" s="1"/>
  <c r="E14" i="8" s="1"/>
  <c r="E15" i="8" s="1"/>
  <c r="E16" i="8" s="1"/>
  <c r="E17" i="8" s="1"/>
  <c r="E18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E9" i="8"/>
  <c r="F19" i="7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E19" i="7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F10" i="7"/>
  <c r="F11" i="7" s="1"/>
  <c r="F12" i="7" s="1"/>
  <c r="F13" i="7" s="1"/>
  <c r="F14" i="7" s="1"/>
  <c r="F15" i="7" s="1"/>
  <c r="F16" i="7" s="1"/>
  <c r="F17" i="7" s="1"/>
  <c r="F18" i="7" s="1"/>
  <c r="E10" i="7"/>
  <c r="E11" i="7"/>
  <c r="E12" i="7" s="1"/>
  <c r="E13" i="7" s="1"/>
  <c r="E14" i="7" s="1"/>
  <c r="E15" i="7" s="1"/>
  <c r="E16" i="7" s="1"/>
  <c r="E17" i="7" s="1"/>
  <c r="E18" i="7" s="1"/>
  <c r="F9" i="7"/>
  <c r="E9" i="7"/>
  <c r="F11" i="3"/>
  <c r="E11" i="3"/>
  <c r="F11" i="2"/>
  <c r="E11" i="2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E9" i="1"/>
  <c r="E10" i="1" s="1"/>
  <c r="E11" i="1" s="1"/>
  <c r="E12" i="1" s="1"/>
  <c r="E13" i="1" s="1"/>
  <c r="E14" i="1" s="1"/>
  <c r="E15" i="1" s="1"/>
  <c r="E16" i="1" s="1"/>
  <c r="E17" i="1" s="1"/>
  <c r="E18" i="1" s="1"/>
</calcChain>
</file>

<file path=xl/sharedStrings.xml><?xml version="1.0" encoding="utf-8"?>
<sst xmlns="http://schemas.openxmlformats.org/spreadsheetml/2006/main" count="980" uniqueCount="341">
  <si>
    <t>Name : Tuba</t>
  </si>
  <si>
    <t>Father Name : Sheikh Saqib -ud -din</t>
  </si>
  <si>
    <t>CNIC # 42000-0293328-2</t>
  </si>
  <si>
    <t>Contact # 03162962972</t>
  </si>
  <si>
    <t>Plot No : L-6231</t>
  </si>
  <si>
    <t>Cost : 600,000</t>
  </si>
  <si>
    <t>Date</t>
  </si>
  <si>
    <t>R.NO</t>
  </si>
  <si>
    <t>Description</t>
  </si>
  <si>
    <t>Amount Rec</t>
  </si>
  <si>
    <t>Total Rec</t>
  </si>
  <si>
    <t>Amount Due</t>
  </si>
  <si>
    <t>20/10/2024</t>
  </si>
  <si>
    <t>Token</t>
  </si>
  <si>
    <t>Booking pay</t>
  </si>
  <si>
    <t>Instalment</t>
  </si>
  <si>
    <t>24/2/2025</t>
  </si>
  <si>
    <t>14/6/2025</t>
  </si>
  <si>
    <t>19/10/2025</t>
  </si>
  <si>
    <t>Name : Shahid Khan</t>
  </si>
  <si>
    <t>Father Name : Saif ul Maluk</t>
  </si>
  <si>
    <t>CNIC # 42401-2390156-9</t>
  </si>
  <si>
    <t>Contact # 03153090008</t>
  </si>
  <si>
    <t>Plot No : L-6245</t>
  </si>
  <si>
    <t>Cost : 650,000</t>
  </si>
  <si>
    <t>27/11/2025</t>
  </si>
  <si>
    <t>Booking</t>
  </si>
  <si>
    <t>instalment</t>
  </si>
  <si>
    <t>Plot No : L-6244</t>
  </si>
  <si>
    <t>Name : Muhammad Kamran</t>
  </si>
  <si>
    <t>Father Name : Muhammad Mustafa</t>
  </si>
  <si>
    <t>CNIC # 42401-5308637-9</t>
  </si>
  <si>
    <t>Contact # 03138525195</t>
  </si>
  <si>
    <t>Plot No : L-6224</t>
  </si>
  <si>
    <t>29/10/2020</t>
  </si>
  <si>
    <t>29/3/2023</t>
  </si>
  <si>
    <t>18/7/2023</t>
  </si>
  <si>
    <t>14/9/2023</t>
  </si>
  <si>
    <t>17/10/2023</t>
  </si>
  <si>
    <t>21/11/2023</t>
  </si>
  <si>
    <t>13/1/2024</t>
  </si>
  <si>
    <t>23/2/2024</t>
  </si>
  <si>
    <t>23/4/2024</t>
  </si>
  <si>
    <t>Adj Rehm</t>
  </si>
  <si>
    <t>14/5/2024</t>
  </si>
  <si>
    <t>16/6/2024</t>
  </si>
  <si>
    <t>20/7/2024</t>
  </si>
  <si>
    <t>13/7/2025</t>
  </si>
  <si>
    <t>15/10/2025</t>
  </si>
  <si>
    <t>13/11/2025</t>
  </si>
  <si>
    <t>13/12/2025</t>
  </si>
  <si>
    <t>16/1/2026</t>
  </si>
  <si>
    <t>18/2/2026</t>
  </si>
  <si>
    <t>26/2/2026</t>
  </si>
  <si>
    <t>Adj sep-2024till May 25</t>
  </si>
  <si>
    <t>Instalment March 2026</t>
  </si>
  <si>
    <t>Name : Muhammad Ismail Ansari</t>
  </si>
  <si>
    <t>Father Name : Muhammad Hussain</t>
  </si>
  <si>
    <t>CNIC # 42401-1951653-1</t>
  </si>
  <si>
    <t>Contact # 03452445341</t>
  </si>
  <si>
    <t>Plot No : L-6206</t>
  </si>
  <si>
    <t>19/2/2023</t>
  </si>
  <si>
    <t>26/2/2023</t>
  </si>
  <si>
    <t>14/5/2023</t>
  </si>
  <si>
    <t>13/6/2023</t>
  </si>
  <si>
    <t>13/8/2023</t>
  </si>
  <si>
    <t>24/9/2023</t>
  </si>
  <si>
    <t>15/10/2023</t>
  </si>
  <si>
    <t>19/11/2023</t>
  </si>
  <si>
    <t>17/12/2023</t>
  </si>
  <si>
    <t>14/1/2024</t>
  </si>
  <si>
    <t>token</t>
  </si>
  <si>
    <t>boking</t>
  </si>
  <si>
    <t>18/2/2024</t>
  </si>
  <si>
    <t>17/3/2024</t>
  </si>
  <si>
    <t>21/4/2024</t>
  </si>
  <si>
    <t>20/6/2024</t>
  </si>
  <si>
    <t>14/7/2024</t>
  </si>
  <si>
    <t>18/8/2024</t>
  </si>
  <si>
    <t>15/9/2024</t>
  </si>
  <si>
    <t>13/10/2024</t>
  </si>
  <si>
    <t>24/1/2024</t>
  </si>
  <si>
    <t>15/12/2024</t>
  </si>
  <si>
    <t>16/2/2025</t>
  </si>
  <si>
    <t>24/4/2025</t>
  </si>
  <si>
    <t>18/5/2025</t>
  </si>
  <si>
    <t>22/6/2025</t>
  </si>
  <si>
    <t>20/7/2025</t>
  </si>
  <si>
    <t>14/9/2025</t>
  </si>
  <si>
    <t>19/11/2025</t>
  </si>
  <si>
    <t>21/12/2025</t>
  </si>
  <si>
    <t>18/1/2026</t>
  </si>
  <si>
    <t>15/2/2026</t>
  </si>
  <si>
    <t>15/3/2026</t>
  </si>
  <si>
    <t>Name : Yasmeen Begum</t>
  </si>
  <si>
    <t>Father Name : Muhammad Wahid Khan</t>
  </si>
  <si>
    <t>CNIC # 42101-9347569-5</t>
  </si>
  <si>
    <t>Contact # 03162610475</t>
  </si>
  <si>
    <t>Plot No : L-6233</t>
  </si>
  <si>
    <t>Cost : 400,000</t>
  </si>
  <si>
    <t>27/8/2023</t>
  </si>
  <si>
    <t>Advance</t>
  </si>
  <si>
    <t>Adj Rehman</t>
  </si>
  <si>
    <t>28/9/2023</t>
  </si>
  <si>
    <t>14/10/2023</t>
  </si>
  <si>
    <t>16/11/2023</t>
  </si>
  <si>
    <t>16/12/2023</t>
  </si>
  <si>
    <t>15/1/2024</t>
  </si>
  <si>
    <t>19/2/2024</t>
  </si>
  <si>
    <t>16/3/2024</t>
  </si>
  <si>
    <t>16/4/2024</t>
  </si>
  <si>
    <t>17/5/2024</t>
  </si>
  <si>
    <t>15/6/2024</t>
  </si>
  <si>
    <t>18/7/2024</t>
  </si>
  <si>
    <t>18/11/2024</t>
  </si>
  <si>
    <t>21/12/2024</t>
  </si>
  <si>
    <t>21/1/2025</t>
  </si>
  <si>
    <t>21/2/2025</t>
  </si>
  <si>
    <t>17/3/2025</t>
  </si>
  <si>
    <t>Name : Ihsan Ullah</t>
  </si>
  <si>
    <t>Father Name : Azim Ullah</t>
  </si>
  <si>
    <t>CNIC # 42401-8088488-3</t>
  </si>
  <si>
    <t>Contact # 03442243191</t>
  </si>
  <si>
    <t>Cost ;600,000</t>
  </si>
  <si>
    <t>23/10/2022</t>
  </si>
  <si>
    <t>Plot No : L-6220</t>
  </si>
  <si>
    <t>17/7/2023</t>
  </si>
  <si>
    <t>Name : Inayat Ullah</t>
  </si>
  <si>
    <t>CNIC # 42401-1811047-3</t>
  </si>
  <si>
    <t>Contact # 03212540889</t>
  </si>
  <si>
    <t>Plot No : L-6221</t>
  </si>
  <si>
    <t>Cost ;650,000</t>
  </si>
  <si>
    <t>Code Num;BGW0351299</t>
  </si>
  <si>
    <t>Name : Saqib Farid</t>
  </si>
  <si>
    <t>Father Name : Farid Khan</t>
  </si>
  <si>
    <t>CNIC # 17301-6894650-1</t>
  </si>
  <si>
    <t>Contact # 03499018740</t>
  </si>
  <si>
    <t>Plot No : L-6249</t>
  </si>
  <si>
    <t>Cost : 700,000</t>
  </si>
  <si>
    <t>20/12/2024</t>
  </si>
  <si>
    <t>28/9/2025</t>
  </si>
  <si>
    <t>Res Booking</t>
  </si>
  <si>
    <t>Code Num;CQW8873861</t>
  </si>
  <si>
    <t>Code Num;CNS7633620</t>
  </si>
  <si>
    <t>19/4/2026</t>
  </si>
  <si>
    <t>Name : Muhammad Babar</t>
  </si>
  <si>
    <t>Father Name : Muhammad Javed Akhter</t>
  </si>
  <si>
    <t>CNIC # 42101-0356880-1</t>
  </si>
  <si>
    <t>Contact # 03452378853</t>
  </si>
  <si>
    <t>Plot No : L-6237</t>
  </si>
  <si>
    <t>Code Num;CRD2507879</t>
  </si>
  <si>
    <t>13/1/2025</t>
  </si>
  <si>
    <t>13/5/2025</t>
  </si>
  <si>
    <t>21/7/2025</t>
  </si>
  <si>
    <t>24/8/2025</t>
  </si>
  <si>
    <t>15/9/2025</t>
  </si>
  <si>
    <t>instaLment</t>
  </si>
  <si>
    <t>20/12/2025</t>
  </si>
  <si>
    <t>20/1/2026</t>
  </si>
  <si>
    <t>22/2/2026</t>
  </si>
  <si>
    <t>20/3/2026</t>
  </si>
  <si>
    <t>Father Name : Qari Mustafa Abid</t>
  </si>
  <si>
    <t>CNIC # 42101-7948919-8</t>
  </si>
  <si>
    <t>Contact # 03002410912</t>
  </si>
  <si>
    <t>Plot No : L-6248</t>
  </si>
  <si>
    <t>Code Num;CKZ5109749</t>
  </si>
  <si>
    <t>15/7/2023</t>
  </si>
  <si>
    <t>16/8/2023</t>
  </si>
  <si>
    <t>13/11/2023</t>
  </si>
  <si>
    <t>14/12/2023</t>
  </si>
  <si>
    <t>23/3/2024</t>
  </si>
  <si>
    <t>27/7/2024</t>
  </si>
  <si>
    <t>22/8/2024</t>
  </si>
  <si>
    <t>22/9/2024</t>
  </si>
  <si>
    <t>16/10/2024</t>
  </si>
  <si>
    <t>17/11/2024</t>
  </si>
  <si>
    <t>16/1/2025</t>
  </si>
  <si>
    <t>21/3/2025</t>
  </si>
  <si>
    <t>20/4/2025</t>
  </si>
  <si>
    <t>19/7/2025</t>
  </si>
  <si>
    <t>17/8/2025</t>
  </si>
  <si>
    <t>20/11/2025</t>
  </si>
  <si>
    <t>23/3/2026</t>
  </si>
  <si>
    <t>Name : Farhana Mustafa</t>
  </si>
  <si>
    <t>Name : Yousuf Khan</t>
  </si>
  <si>
    <t>Father Name : Gul Sharif Khan</t>
  </si>
  <si>
    <t>CNIC # 21106-9927841-7</t>
  </si>
  <si>
    <t>Contact # 03218932944</t>
  </si>
  <si>
    <t>Plot No : L-6201</t>
  </si>
  <si>
    <t>Cost : 550,000</t>
  </si>
  <si>
    <t>20/3/2023</t>
  </si>
  <si>
    <t>13/5/2023</t>
  </si>
  <si>
    <t>26/9/2023</t>
  </si>
  <si>
    <t>25/10/2023</t>
  </si>
  <si>
    <t>25/1/2024</t>
  </si>
  <si>
    <t>Adjustment</t>
  </si>
  <si>
    <t>Installment</t>
  </si>
  <si>
    <t>23/5/2024</t>
  </si>
  <si>
    <t>16/11/2024</t>
  </si>
  <si>
    <t>23/2/2025</t>
  </si>
  <si>
    <t>27/4/2025</t>
  </si>
  <si>
    <t>27/9/2025</t>
  </si>
  <si>
    <t>26/4/2026</t>
  </si>
  <si>
    <t>Name : Nighat Parveen</t>
  </si>
  <si>
    <t>Father Name : Muhmmad Zubair</t>
  </si>
  <si>
    <t>CNIC # 42501-6718837-4</t>
  </si>
  <si>
    <t>Contact # 0317245904</t>
  </si>
  <si>
    <t>Plot No : L-6242</t>
  </si>
  <si>
    <t>Cost : 390,000</t>
  </si>
  <si>
    <t>21/5/2020</t>
  </si>
  <si>
    <t>15/7/2020</t>
  </si>
  <si>
    <t>13/12/2020</t>
  </si>
  <si>
    <t>23/5/2021</t>
  </si>
  <si>
    <t>26/6/2021</t>
  </si>
  <si>
    <t>15/1/2022</t>
  </si>
  <si>
    <t>24/2/2022</t>
  </si>
  <si>
    <t>Adv Booking</t>
  </si>
  <si>
    <t>23/5/2022</t>
  </si>
  <si>
    <t>21/1/2023</t>
  </si>
  <si>
    <t>19/3/2023</t>
  </si>
  <si>
    <t>28/5/2023</t>
  </si>
  <si>
    <t>Development</t>
  </si>
  <si>
    <t>nill</t>
  </si>
  <si>
    <t>INSTALLMENT AND DEVELOPMENT BOTH CLEAR</t>
  </si>
  <si>
    <t>Name : Nadeem</t>
  </si>
  <si>
    <t>Father Name : Shams Uddin</t>
  </si>
  <si>
    <t>CNIC # 42201-0606704-7</t>
  </si>
  <si>
    <t xml:space="preserve">Contact # </t>
  </si>
  <si>
    <t>Plot No : L-6265</t>
  </si>
  <si>
    <t>Code Num;CHZ7608800</t>
  </si>
  <si>
    <t>28/4/2024</t>
  </si>
  <si>
    <t>17/9/2024</t>
  </si>
  <si>
    <t>22/12/2024</t>
  </si>
  <si>
    <t>20/2/2025</t>
  </si>
  <si>
    <t>Code Num;CJL8217280</t>
  </si>
  <si>
    <t>DEVELOPMENT CONTINUE</t>
  </si>
  <si>
    <t>CNIC # 42401-1943967-3</t>
  </si>
  <si>
    <t>Contact # 03022351380</t>
  </si>
  <si>
    <t>Plot No : L-6247</t>
  </si>
  <si>
    <t>Code Num;CSM6326312</t>
  </si>
  <si>
    <t>16/3/2023</t>
  </si>
  <si>
    <t>14/11/2023</t>
  </si>
  <si>
    <t>13/2/2024</t>
  </si>
  <si>
    <t>installment</t>
  </si>
  <si>
    <t>Name : Syed Nadir Hassan</t>
  </si>
  <si>
    <t>Father Name : Mehdi Hassan</t>
  </si>
  <si>
    <t>New Note</t>
  </si>
  <si>
    <t>z</t>
  </si>
  <si>
    <t>Name : Umar Darrazz</t>
  </si>
  <si>
    <t>Father Name : M. Yousuf</t>
  </si>
  <si>
    <t>CNIC # 34603-3750306-9</t>
  </si>
  <si>
    <t>Plot No : L-6241</t>
  </si>
  <si>
    <t>Code Num;CMV2220925</t>
  </si>
  <si>
    <t>31/7/2023</t>
  </si>
  <si>
    <t xml:space="preserve">Token </t>
  </si>
  <si>
    <t>15/1/2026</t>
  </si>
  <si>
    <t>14/4/2026</t>
  </si>
  <si>
    <t>Plot No : L-6328</t>
  </si>
  <si>
    <t>14/5/2026</t>
  </si>
  <si>
    <t>Code Num;</t>
  </si>
  <si>
    <t>Code Num;BVT3816115</t>
  </si>
  <si>
    <t>27/4/2026</t>
  </si>
  <si>
    <t>16/5/2026</t>
  </si>
  <si>
    <t>17/5/2026</t>
  </si>
  <si>
    <t>18\05\026</t>
  </si>
  <si>
    <t>CNX1271720</t>
  </si>
  <si>
    <t>4\4\026</t>
  </si>
  <si>
    <t>2\5\026</t>
  </si>
  <si>
    <t>2\6\26</t>
  </si>
  <si>
    <t>2\6\026</t>
  </si>
  <si>
    <t>11\6\26</t>
  </si>
  <si>
    <t>CRL6733711</t>
  </si>
  <si>
    <t>CBB7186811</t>
  </si>
  <si>
    <t>14\6\26</t>
  </si>
  <si>
    <t>15\6\22</t>
  </si>
  <si>
    <t>18\5\26</t>
  </si>
  <si>
    <t>21\6\26</t>
  </si>
  <si>
    <t>21\5\26</t>
  </si>
  <si>
    <t>22\6\26</t>
  </si>
  <si>
    <t>development clear</t>
  </si>
  <si>
    <t>CODE NO:</t>
  </si>
  <si>
    <t>CUL8054892</t>
  </si>
  <si>
    <t>12\4\26</t>
  </si>
  <si>
    <t>8\6\26</t>
  </si>
  <si>
    <t>9\7\26</t>
  </si>
  <si>
    <t>11\7\26</t>
  </si>
  <si>
    <t>20\7\26</t>
  </si>
  <si>
    <t>21\7\26</t>
  </si>
  <si>
    <t>23\7\2026</t>
  </si>
  <si>
    <t>27\10\2025</t>
  </si>
  <si>
    <t>development</t>
  </si>
  <si>
    <t>24\11\25</t>
  </si>
  <si>
    <t>28\12\25</t>
  </si>
  <si>
    <t>28\1\2026</t>
  </si>
  <si>
    <t>28\2\2026</t>
  </si>
  <si>
    <t>26\3\26</t>
  </si>
  <si>
    <t>28\4\26</t>
  </si>
  <si>
    <t>31\5\2026</t>
  </si>
  <si>
    <t>23\6\26</t>
  </si>
  <si>
    <t>25\7\2026</t>
  </si>
  <si>
    <t>16/9/24</t>
  </si>
  <si>
    <t>19/11/24</t>
  </si>
  <si>
    <t>15/12/24</t>
  </si>
  <si>
    <t>19/5/25</t>
  </si>
  <si>
    <t>20/11/25</t>
  </si>
  <si>
    <t>develoment</t>
  </si>
  <si>
    <t>Code Num;CEP1117064</t>
  </si>
  <si>
    <t>19\7\26</t>
  </si>
  <si>
    <t>14/8/26</t>
  </si>
  <si>
    <t>13/8/26</t>
  </si>
  <si>
    <t>19/7/26</t>
  </si>
  <si>
    <t>17/8/26</t>
  </si>
  <si>
    <t>Plot No : L-6259</t>
  </si>
  <si>
    <t xml:space="preserve">Name : MUHAMMAD AZAM </t>
  </si>
  <si>
    <t>Father Name : ALLAH DITA</t>
  </si>
  <si>
    <t>CNIC # 31201-6592444-5</t>
  </si>
  <si>
    <t>Contact # 0308-2139293</t>
  </si>
  <si>
    <t>Cost : 450,000</t>
  </si>
  <si>
    <t>Code Num;CPB2529163</t>
  </si>
  <si>
    <t>16/8/22</t>
  </si>
  <si>
    <t>21/3/23</t>
  </si>
  <si>
    <t>23/5/23</t>
  </si>
  <si>
    <t>31/10/23</t>
  </si>
  <si>
    <t>25/12/23</t>
  </si>
  <si>
    <t>28/4/24</t>
  </si>
  <si>
    <t>13/7/24</t>
  </si>
  <si>
    <t>BOOKNG</t>
  </si>
  <si>
    <t xml:space="preserve">REH ADJ </t>
  </si>
  <si>
    <t>INSTALLMENT</t>
  </si>
  <si>
    <t>22/10/24</t>
  </si>
  <si>
    <t>13/11/24</t>
  </si>
  <si>
    <t>17/12/24</t>
  </si>
  <si>
    <t>15/2/25</t>
  </si>
  <si>
    <t>16/3/25</t>
  </si>
  <si>
    <t>17/4/25</t>
  </si>
  <si>
    <t>25/5/25</t>
  </si>
  <si>
    <t>28/7/25</t>
  </si>
  <si>
    <t>19/9/25</t>
  </si>
  <si>
    <t>17/5/26</t>
  </si>
  <si>
    <t>16/8/26</t>
  </si>
  <si>
    <t xml:space="preserve">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</si>
</sst>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2" xfId="0" applyBorder="1"/>
    <xf numFmtId="14" fontId="0" fillId="0" borderId="2" xfId="0" applyNumberFormat="1" applyBorder="1"/>
    <xf numFmtId="3" fontId="0" fillId="0" borderId="3" xfId="0" applyNumberFormat="1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3" fontId="0" fillId="0" borderId="8" xfId="0" applyNumberFormat="1" applyBorder="1"/>
    <xf numFmtId="3" fontId="0" fillId="0" borderId="9" xfId="0" applyNumberFormat="1" applyBorder="1"/>
    <xf numFmtId="0" fontId="2" fillId="2" borderId="4" xfId="0" applyFont="1" applyFill="1" applyBorder="1"/>
    <xf numFmtId="0" fontId="0" fillId="2" borderId="5" xfId="0" applyFill="1" applyBorder="1"/>
    <xf numFmtId="0" fontId="2" fillId="2" borderId="4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3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3" fontId="0" fillId="0" borderId="9" xfId="0" applyNumberFormat="1" applyBorder="1" applyAlignment="1">
      <alignment horizontal="left"/>
    </xf>
    <xf numFmtId="17" fontId="0" fillId="0" borderId="0" xfId="0" applyNumberFormat="1"/>
    <xf numFmtId="14" fontId="0" fillId="0" borderId="10" xfId="0" applyNumberFormat="1" applyBorder="1"/>
    <xf numFmtId="0" fontId="0" fillId="0" borderId="10" xfId="0" applyBorder="1"/>
    <xf numFmtId="0" fontId="4" fillId="0" borderId="0" xfId="0" applyFont="1"/>
    <xf numFmtId="0" fontId="4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5" fillId="0" borderId="0" xfId="0" applyFont="1"/>
    <xf numFmtId="0" fontId="0" fillId="0" borderId="10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0" xfId="0" applyFont="1" applyFill="1"/>
    <xf numFmtId="3" fontId="0" fillId="0" borderId="1" xfId="0" applyNumberFormat="1" applyFill="1" applyBorder="1"/>
  </cellXfs>
  <cellStyles count="1">
    <cellStyle name="Normal" xfId="0" builtinId="0"/>
  </cellStyles>
  <dxfs count="2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3D9E0-E47C-4754-9E12-F6D139F1895E}" name="Table1" displayName="Table1" ref="A7:F43" totalsRowShown="0" headerRowDxfId="19" headerRowBorderDxfId="18" tableBorderDxfId="17" totalsRowBorderDxfId="16">
  <autoFilter ref="A7:F43" xr:uid="{84B3D9E0-E47C-4754-9E12-F6D139F1895E}"/>
  <tableColumns count="6">
    <tableColumn id="1" xr3:uid="{057E14BF-B887-4F91-9066-3DFE6326D6E6}" name="Date" dataDxfId="15"/>
    <tableColumn id="2" xr3:uid="{8407A784-A029-48D4-B3F2-2F660E5061B1}" name="R.NO" dataDxfId="14"/>
    <tableColumn id="3" xr3:uid="{B90327D3-2248-4E8C-9263-19289DC106BD}" name="Description" dataDxfId="13"/>
    <tableColumn id="4" xr3:uid="{6F09F7DA-7EC3-4A8F-8EC0-F36B6FDDBD5C}" name="Amount Rec" dataDxfId="12"/>
    <tableColumn id="5" xr3:uid="{957C2DCE-C538-43EF-938F-45716FEFB19E}" name="Total Rec" dataDxfId="11">
      <calculatedColumnFormula>SUM(E7+D8)</calculatedColumnFormula>
    </tableColumn>
    <tableColumn id="6" xr3:uid="{B4084B9F-430D-4250-8AAE-D12478B71334}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CEBF47-2B4D-48ED-8857-A3CF23FE48CF}" name="Table2" displayName="Table2" ref="A7:F42" totalsRowShown="0" headerRowDxfId="9" headerRowBorderDxfId="8" tableBorderDxfId="7" totalsRowBorderDxfId="6">
  <autoFilter ref="A7:F42" xr:uid="{93CEBF47-2B4D-48ED-8857-A3CF23FE48CF}"/>
  <tableColumns count="6">
    <tableColumn id="1" xr3:uid="{06045DEF-44D7-4579-A39B-BC7CD25D0248}" name="Date" dataDxfId="5"/>
    <tableColumn id="2" xr3:uid="{D6EF0354-09C7-4A24-9F87-489656D914C6}" name="R.NO" dataDxfId="4"/>
    <tableColumn id="3" xr3:uid="{523CA8A4-FD56-4047-A296-EE3AE0F85A5B}" name="Description" dataDxfId="3"/>
    <tableColumn id="4" xr3:uid="{E953D4BF-DB4F-4E0F-910F-E782A7ECBFD4}" name="Amount Rec" dataDxfId="2"/>
    <tableColumn id="5" xr3:uid="{E5598AEB-FC0C-41DB-979B-9261C645E3C4}" name="Total Rec" dataDxfId="1">
      <calculatedColumnFormula>SUM(E7+D8)</calculatedColumnFormula>
    </tableColumn>
    <tableColumn id="6" xr3:uid="{6E9A97D8-C4D9-41E0-B43A-9FBD44DE9111}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5ACA-F594-4EA9-AF8A-2663635724C4}">
  <dimension ref="A1:F29"/>
  <sheetViews>
    <sheetView topLeftCell="A13" workbookViewId="0">
      <selection activeCell="F30" sqref="F30"/>
    </sheetView>
  </sheetViews>
  <sheetFormatPr defaultRowHeight="14.5" x14ac:dyDescent="0.35"/>
  <cols>
    <col min="1" max="1" width="9.453125" bestFit="1" customWidth="1"/>
    <col min="3" max="3" width="11.81640625" customWidth="1"/>
    <col min="6" max="6" width="10.54296875" customWidth="1"/>
  </cols>
  <sheetData>
    <row r="1" spans="1:6" ht="18.5" x14ac:dyDescent="0.45">
      <c r="A1" s="1" t="s">
        <v>184</v>
      </c>
      <c r="B1" s="1"/>
      <c r="C1" s="1"/>
      <c r="D1" s="1"/>
      <c r="E1" s="1"/>
      <c r="F1" s="1"/>
    </row>
    <row r="2" spans="1:6" ht="18.5" x14ac:dyDescent="0.45">
      <c r="A2" s="1" t="s">
        <v>185</v>
      </c>
      <c r="C2" s="1"/>
      <c r="D2" s="1"/>
      <c r="E2" s="1"/>
      <c r="F2" s="1"/>
    </row>
    <row r="3" spans="1:6" ht="18.5" x14ac:dyDescent="0.45">
      <c r="A3" s="1" t="s">
        <v>186</v>
      </c>
      <c r="B3" s="1"/>
      <c r="C3" s="1"/>
      <c r="D3" s="1"/>
      <c r="E3" s="1"/>
      <c r="F3" s="1"/>
    </row>
    <row r="4" spans="1:6" ht="18.5" x14ac:dyDescent="0.45">
      <c r="A4" s="1" t="s">
        <v>143</v>
      </c>
      <c r="B4" s="1"/>
      <c r="C4" s="1"/>
      <c r="D4" s="1"/>
      <c r="E4" s="1"/>
      <c r="F4" s="1"/>
    </row>
    <row r="5" spans="1:6" ht="18.5" x14ac:dyDescent="0.45">
      <c r="A5" s="1" t="s">
        <v>187</v>
      </c>
      <c r="B5" s="1"/>
      <c r="C5" s="1"/>
      <c r="D5" s="1"/>
      <c r="E5" s="1"/>
      <c r="F5" s="1"/>
    </row>
    <row r="6" spans="1:6" ht="18.5" x14ac:dyDescent="0.45">
      <c r="A6" s="1" t="s">
        <v>188</v>
      </c>
      <c r="B6" s="1"/>
      <c r="C6" s="1"/>
      <c r="D6" s="1"/>
      <c r="E6" s="1" t="s">
        <v>189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s="15">
        <v>44631</v>
      </c>
      <c r="B8">
        <v>6</v>
      </c>
      <c r="C8" t="s">
        <v>195</v>
      </c>
      <c r="D8" s="16">
        <v>50000</v>
      </c>
      <c r="E8" s="16">
        <v>50000</v>
      </c>
      <c r="F8" s="16">
        <v>500000</v>
      </c>
    </row>
    <row r="9" spans="1:6" x14ac:dyDescent="0.35">
      <c r="A9" s="15">
        <v>44784</v>
      </c>
      <c r="B9">
        <v>7</v>
      </c>
      <c r="C9" t="s">
        <v>195</v>
      </c>
      <c r="D9" s="16">
        <v>20000</v>
      </c>
      <c r="E9" s="16">
        <f>SUM(E8+D9)</f>
        <v>70000</v>
      </c>
      <c r="F9" s="16">
        <f>F8-D9</f>
        <v>480000</v>
      </c>
    </row>
    <row r="10" spans="1:6" x14ac:dyDescent="0.35">
      <c r="A10" t="s">
        <v>190</v>
      </c>
      <c r="B10">
        <v>1530</v>
      </c>
      <c r="C10" t="s">
        <v>196</v>
      </c>
      <c r="D10" s="16">
        <v>20000</v>
      </c>
      <c r="E10" s="16">
        <f t="shared" ref="E10:E28" si="0">SUM(E9+D10)</f>
        <v>90000</v>
      </c>
      <c r="F10" s="16">
        <f t="shared" ref="F10:F28" si="1">F9-D10</f>
        <v>460000</v>
      </c>
    </row>
    <row r="11" spans="1:6" x14ac:dyDescent="0.35">
      <c r="A11" t="s">
        <v>191</v>
      </c>
      <c r="B11">
        <v>1530</v>
      </c>
      <c r="C11" t="s">
        <v>196</v>
      </c>
      <c r="D11" s="16">
        <v>10000</v>
      </c>
      <c r="E11" s="16">
        <f t="shared" si="0"/>
        <v>100000</v>
      </c>
      <c r="F11" s="16">
        <f t="shared" si="1"/>
        <v>450000</v>
      </c>
    </row>
    <row r="12" spans="1:6" x14ac:dyDescent="0.35">
      <c r="A12" s="15">
        <v>44963</v>
      </c>
      <c r="B12">
        <v>234</v>
      </c>
      <c r="C12" t="s">
        <v>196</v>
      </c>
      <c r="D12" s="16">
        <v>10000</v>
      </c>
      <c r="E12" s="16">
        <f t="shared" si="0"/>
        <v>110000</v>
      </c>
      <c r="F12" s="16">
        <f t="shared" si="1"/>
        <v>440000</v>
      </c>
    </row>
    <row r="13" spans="1:6" x14ac:dyDescent="0.35">
      <c r="A13" s="15">
        <v>44965</v>
      </c>
      <c r="B13">
        <v>2590</v>
      </c>
      <c r="C13" t="s">
        <v>196</v>
      </c>
      <c r="D13" s="16">
        <v>20000</v>
      </c>
      <c r="E13" s="16">
        <f t="shared" si="0"/>
        <v>130000</v>
      </c>
      <c r="F13" s="16">
        <f t="shared" si="1"/>
        <v>420000</v>
      </c>
    </row>
    <row r="14" spans="1:6" x14ac:dyDescent="0.35">
      <c r="A14" t="s">
        <v>192</v>
      </c>
      <c r="B14">
        <v>3924</v>
      </c>
      <c r="C14" t="s">
        <v>196</v>
      </c>
      <c r="D14" s="16">
        <v>10000</v>
      </c>
      <c r="E14" s="16">
        <f t="shared" si="0"/>
        <v>140000</v>
      </c>
      <c r="F14" s="16">
        <f t="shared" si="1"/>
        <v>410000</v>
      </c>
    </row>
    <row r="15" spans="1:6" x14ac:dyDescent="0.35">
      <c r="A15" t="s">
        <v>193</v>
      </c>
      <c r="B15">
        <v>4502</v>
      </c>
      <c r="C15" t="s">
        <v>196</v>
      </c>
      <c r="D15" s="16">
        <v>10000</v>
      </c>
      <c r="E15" s="16">
        <f t="shared" si="0"/>
        <v>150000</v>
      </c>
      <c r="F15" s="16">
        <f t="shared" si="1"/>
        <v>400000</v>
      </c>
    </row>
    <row r="16" spans="1:6" x14ac:dyDescent="0.35">
      <c r="A16" t="s">
        <v>39</v>
      </c>
      <c r="B16">
        <v>5056</v>
      </c>
      <c r="C16" t="s">
        <v>196</v>
      </c>
      <c r="D16" s="16">
        <v>10000</v>
      </c>
      <c r="E16" s="16">
        <f t="shared" si="0"/>
        <v>160000</v>
      </c>
      <c r="F16" s="16">
        <f t="shared" si="1"/>
        <v>390000</v>
      </c>
    </row>
    <row r="17" spans="1:6" x14ac:dyDescent="0.35">
      <c r="A17" t="s">
        <v>194</v>
      </c>
      <c r="B17">
        <v>6424</v>
      </c>
      <c r="C17" t="s">
        <v>196</v>
      </c>
      <c r="D17" s="16">
        <v>10000</v>
      </c>
      <c r="E17" s="16">
        <f t="shared" si="0"/>
        <v>170000</v>
      </c>
      <c r="F17" s="16">
        <f t="shared" si="1"/>
        <v>380000</v>
      </c>
    </row>
    <row r="18" spans="1:6" x14ac:dyDescent="0.35">
      <c r="A18" s="15">
        <v>45539</v>
      </c>
      <c r="B18">
        <v>7771</v>
      </c>
      <c r="C18" t="s">
        <v>196</v>
      </c>
      <c r="D18" s="16">
        <v>20000</v>
      </c>
      <c r="E18" s="16">
        <f t="shared" si="0"/>
        <v>190000</v>
      </c>
      <c r="F18" s="16">
        <f t="shared" si="1"/>
        <v>360000</v>
      </c>
    </row>
    <row r="19" spans="1:6" x14ac:dyDescent="0.35">
      <c r="A19" s="15">
        <v>45570</v>
      </c>
      <c r="B19">
        <v>8590</v>
      </c>
      <c r="C19" t="s">
        <v>196</v>
      </c>
      <c r="D19" s="16">
        <v>10000</v>
      </c>
      <c r="E19" s="16">
        <f t="shared" si="0"/>
        <v>200000</v>
      </c>
      <c r="F19" s="16">
        <f t="shared" si="1"/>
        <v>350000</v>
      </c>
    </row>
    <row r="20" spans="1:6" x14ac:dyDescent="0.35">
      <c r="A20" t="s">
        <v>197</v>
      </c>
      <c r="B20">
        <v>8686</v>
      </c>
      <c r="C20" t="s">
        <v>196</v>
      </c>
      <c r="D20" s="16">
        <v>10000</v>
      </c>
      <c r="E20" s="16">
        <f t="shared" si="0"/>
        <v>210000</v>
      </c>
      <c r="F20" s="16">
        <f t="shared" si="1"/>
        <v>340000</v>
      </c>
    </row>
    <row r="21" spans="1:6" x14ac:dyDescent="0.35">
      <c r="A21" t="s">
        <v>198</v>
      </c>
      <c r="B21">
        <v>12103</v>
      </c>
      <c r="C21" t="s">
        <v>196</v>
      </c>
      <c r="D21" s="16">
        <v>60000</v>
      </c>
      <c r="E21" s="16">
        <f t="shared" si="0"/>
        <v>270000</v>
      </c>
      <c r="F21" s="16">
        <f t="shared" si="1"/>
        <v>280000</v>
      </c>
    </row>
    <row r="22" spans="1:6" x14ac:dyDescent="0.35">
      <c r="A22" t="s">
        <v>115</v>
      </c>
      <c r="B22">
        <v>12694</v>
      </c>
      <c r="C22" t="s">
        <v>196</v>
      </c>
      <c r="D22" s="16">
        <v>20000</v>
      </c>
      <c r="E22" s="16">
        <f t="shared" si="0"/>
        <v>290000</v>
      </c>
      <c r="F22" s="16">
        <f t="shared" si="1"/>
        <v>260000</v>
      </c>
    </row>
    <row r="23" spans="1:6" x14ac:dyDescent="0.35">
      <c r="A23" t="s">
        <v>199</v>
      </c>
      <c r="B23">
        <v>9511</v>
      </c>
      <c r="C23" t="s">
        <v>196</v>
      </c>
      <c r="D23" s="16">
        <v>20000</v>
      </c>
      <c r="E23" s="16">
        <f t="shared" si="0"/>
        <v>310000</v>
      </c>
      <c r="F23" s="16">
        <f t="shared" si="1"/>
        <v>240000</v>
      </c>
    </row>
    <row r="24" spans="1:6" x14ac:dyDescent="0.35">
      <c r="A24" t="s">
        <v>200</v>
      </c>
      <c r="B24">
        <v>10056</v>
      </c>
      <c r="C24" t="s">
        <v>196</v>
      </c>
      <c r="D24" s="16">
        <v>20000</v>
      </c>
      <c r="E24" s="16">
        <f t="shared" si="0"/>
        <v>330000</v>
      </c>
      <c r="F24" s="16">
        <f t="shared" si="1"/>
        <v>220000</v>
      </c>
    </row>
    <row r="25" spans="1:6" x14ac:dyDescent="0.35">
      <c r="A25" t="s">
        <v>47</v>
      </c>
      <c r="B25">
        <v>12167</v>
      </c>
      <c r="C25" t="s">
        <v>196</v>
      </c>
      <c r="D25" s="16">
        <v>30000</v>
      </c>
      <c r="E25" s="16">
        <f t="shared" si="0"/>
        <v>360000</v>
      </c>
      <c r="F25" s="16">
        <f t="shared" si="1"/>
        <v>190000</v>
      </c>
    </row>
    <row r="26" spans="1:6" x14ac:dyDescent="0.35">
      <c r="A26" t="s">
        <v>201</v>
      </c>
      <c r="B26">
        <v>13826</v>
      </c>
      <c r="C26" t="s">
        <v>196</v>
      </c>
      <c r="D26" s="16">
        <v>20000</v>
      </c>
      <c r="E26" s="16">
        <f t="shared" si="0"/>
        <v>380000</v>
      </c>
      <c r="F26" s="16">
        <f t="shared" si="1"/>
        <v>170000</v>
      </c>
    </row>
    <row r="27" spans="1:6" x14ac:dyDescent="0.35">
      <c r="A27" s="15">
        <v>46327</v>
      </c>
      <c r="B27">
        <v>12086</v>
      </c>
      <c r="C27" t="s">
        <v>196</v>
      </c>
      <c r="D27" s="16">
        <v>40000</v>
      </c>
      <c r="E27" s="16">
        <f t="shared" si="0"/>
        <v>420000</v>
      </c>
      <c r="F27" s="16">
        <f t="shared" si="1"/>
        <v>130000</v>
      </c>
    </row>
    <row r="28" spans="1:6" x14ac:dyDescent="0.35">
      <c r="A28" t="s">
        <v>202</v>
      </c>
      <c r="B28">
        <v>13065</v>
      </c>
      <c r="C28" t="s">
        <v>196</v>
      </c>
      <c r="D28" s="16">
        <v>30000</v>
      </c>
      <c r="E28" s="16">
        <f t="shared" si="0"/>
        <v>450000</v>
      </c>
      <c r="F28" s="16">
        <f t="shared" si="1"/>
        <v>100000</v>
      </c>
    </row>
    <row r="29" spans="1:6" x14ac:dyDescent="0.35">
      <c r="A29" t="s">
        <v>299</v>
      </c>
      <c r="B29">
        <v>1588</v>
      </c>
      <c r="C29" t="s">
        <v>196</v>
      </c>
      <c r="D29" s="16">
        <v>30000</v>
      </c>
      <c r="E29" s="16">
        <f>E28+D29</f>
        <v>480000</v>
      </c>
      <c r="F29" s="16">
        <f>F28-D29</f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4E26-A2D7-40AC-A0ED-A46EC7BB635E}">
  <dimension ref="A1:F49"/>
  <sheetViews>
    <sheetView topLeftCell="A41" workbookViewId="0">
      <selection activeCell="B46" sqref="B46"/>
    </sheetView>
  </sheetViews>
  <sheetFormatPr defaultRowHeight="14.5" x14ac:dyDescent="0.35"/>
  <cols>
    <col min="1" max="1" width="9.453125" bestFit="1" customWidth="1"/>
    <col min="3" max="3" width="10.6328125" customWidth="1"/>
    <col min="6" max="6" width="11.36328125" bestFit="1" customWidth="1"/>
  </cols>
  <sheetData>
    <row r="1" spans="1:6" ht="18.5" x14ac:dyDescent="0.45">
      <c r="A1" s="1" t="s">
        <v>56</v>
      </c>
      <c r="B1" s="1"/>
      <c r="C1" s="1"/>
      <c r="D1" s="1"/>
      <c r="E1" s="1"/>
      <c r="F1" s="1"/>
    </row>
    <row r="2" spans="1:6" ht="18.5" x14ac:dyDescent="0.45">
      <c r="A2" s="1" t="s">
        <v>57</v>
      </c>
      <c r="C2" s="1"/>
      <c r="D2" s="1"/>
      <c r="E2" s="1"/>
      <c r="F2" s="1"/>
    </row>
    <row r="3" spans="1:6" ht="18.5" x14ac:dyDescent="0.45">
      <c r="A3" s="1" t="s">
        <v>58</v>
      </c>
      <c r="B3" s="1"/>
      <c r="C3" s="1"/>
      <c r="D3" s="1"/>
      <c r="E3" s="1"/>
      <c r="F3" s="1"/>
    </row>
    <row r="4" spans="1:6" ht="18.5" x14ac:dyDescent="0.45">
      <c r="A4" s="1" t="s">
        <v>143</v>
      </c>
      <c r="B4" s="1"/>
      <c r="C4" s="1"/>
      <c r="D4" s="1"/>
      <c r="E4" s="1"/>
      <c r="F4" s="1"/>
    </row>
    <row r="5" spans="1:6" ht="18.5" x14ac:dyDescent="0.45">
      <c r="A5" s="1" t="s">
        <v>59</v>
      </c>
      <c r="B5" s="1"/>
      <c r="C5" s="1"/>
      <c r="D5" s="1"/>
      <c r="E5" s="1"/>
      <c r="F5" s="1"/>
    </row>
    <row r="6" spans="1:6" ht="18.5" x14ac:dyDescent="0.45">
      <c r="A6" s="1" t="s">
        <v>60</v>
      </c>
      <c r="B6" s="1"/>
      <c r="C6" s="1"/>
      <c r="D6" s="1"/>
      <c r="E6" s="1" t="s">
        <v>24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s="8" t="s">
        <v>61</v>
      </c>
      <c r="B8" s="8">
        <v>208</v>
      </c>
      <c r="C8" s="8" t="s">
        <v>71</v>
      </c>
      <c r="D8" s="9">
        <v>10000</v>
      </c>
      <c r="E8" s="9">
        <v>10000</v>
      </c>
      <c r="F8" s="9">
        <v>640000</v>
      </c>
    </row>
    <row r="9" spans="1:6" x14ac:dyDescent="0.35">
      <c r="A9" s="8" t="s">
        <v>62</v>
      </c>
      <c r="B9" s="8">
        <v>1435</v>
      </c>
      <c r="C9" s="8" t="s">
        <v>72</v>
      </c>
      <c r="D9" s="9">
        <v>90000</v>
      </c>
      <c r="E9" s="9">
        <f>SUM(E8+D9)</f>
        <v>100000</v>
      </c>
      <c r="F9" s="9">
        <f>F8-D9</f>
        <v>550000</v>
      </c>
    </row>
    <row r="10" spans="1:6" x14ac:dyDescent="0.35">
      <c r="A10" s="10">
        <v>44961</v>
      </c>
      <c r="B10" s="8">
        <v>1766</v>
      </c>
      <c r="C10" s="8" t="s">
        <v>27</v>
      </c>
      <c r="D10" s="9">
        <v>10000</v>
      </c>
      <c r="E10" s="9">
        <f t="shared" ref="E10:E46" si="0">SUM(E9+D10)</f>
        <v>110000</v>
      </c>
      <c r="F10" s="9">
        <f t="shared" ref="F10:F46" si="1">F9-D10</f>
        <v>540000</v>
      </c>
    </row>
    <row r="11" spans="1:6" x14ac:dyDescent="0.35">
      <c r="A11" s="8" t="s">
        <v>63</v>
      </c>
      <c r="B11" s="8">
        <v>1561</v>
      </c>
      <c r="C11" s="8" t="s">
        <v>27</v>
      </c>
      <c r="D11" s="9">
        <v>10000</v>
      </c>
      <c r="E11" s="9">
        <f t="shared" si="0"/>
        <v>120000</v>
      </c>
      <c r="F11" s="9">
        <f t="shared" si="1"/>
        <v>530000</v>
      </c>
    </row>
    <row r="12" spans="1:6" x14ac:dyDescent="0.35">
      <c r="A12" s="8" t="s">
        <v>64</v>
      </c>
      <c r="B12" s="8">
        <v>920</v>
      </c>
      <c r="C12" s="8" t="s">
        <v>27</v>
      </c>
      <c r="D12" s="9">
        <v>10000</v>
      </c>
      <c r="E12" s="9">
        <f t="shared" si="0"/>
        <v>130000</v>
      </c>
      <c r="F12" s="9">
        <f t="shared" si="1"/>
        <v>520000</v>
      </c>
    </row>
    <row r="13" spans="1:6" x14ac:dyDescent="0.35">
      <c r="A13" s="8" t="s">
        <v>65</v>
      </c>
      <c r="B13" s="8">
        <v>2423</v>
      </c>
      <c r="C13" s="8" t="s">
        <v>27</v>
      </c>
      <c r="D13" s="9">
        <v>20000</v>
      </c>
      <c r="E13" s="9">
        <f t="shared" si="0"/>
        <v>150000</v>
      </c>
      <c r="F13" s="9">
        <f t="shared" si="1"/>
        <v>500000</v>
      </c>
    </row>
    <row r="14" spans="1:6" x14ac:dyDescent="0.35">
      <c r="A14" s="8" t="s">
        <v>66</v>
      </c>
      <c r="B14" s="8">
        <v>3877</v>
      </c>
      <c r="C14" s="8" t="s">
        <v>27</v>
      </c>
      <c r="D14" s="9">
        <v>10000</v>
      </c>
      <c r="E14" s="9">
        <f t="shared" si="0"/>
        <v>160000</v>
      </c>
      <c r="F14" s="9">
        <f t="shared" si="1"/>
        <v>490000</v>
      </c>
    </row>
    <row r="15" spans="1:6" x14ac:dyDescent="0.35">
      <c r="A15" s="8" t="s">
        <v>67</v>
      </c>
      <c r="B15" s="8">
        <v>4283</v>
      </c>
      <c r="C15" s="8" t="s">
        <v>27</v>
      </c>
      <c r="D15" s="9">
        <v>10000</v>
      </c>
      <c r="E15" s="9">
        <f t="shared" si="0"/>
        <v>170000</v>
      </c>
      <c r="F15" s="9">
        <f t="shared" si="1"/>
        <v>480000</v>
      </c>
    </row>
    <row r="16" spans="1:6" x14ac:dyDescent="0.35">
      <c r="A16" s="8" t="s">
        <v>68</v>
      </c>
      <c r="B16" s="8">
        <v>5016</v>
      </c>
      <c r="C16" s="8" t="s">
        <v>27</v>
      </c>
      <c r="D16" s="9">
        <v>10000</v>
      </c>
      <c r="E16" s="9">
        <f t="shared" si="0"/>
        <v>180000</v>
      </c>
      <c r="F16" s="9">
        <f t="shared" si="1"/>
        <v>470000</v>
      </c>
    </row>
    <row r="17" spans="1:6" x14ac:dyDescent="0.35">
      <c r="A17" s="8" t="s">
        <v>69</v>
      </c>
      <c r="B17" s="8">
        <v>5627</v>
      </c>
      <c r="C17" s="8" t="s">
        <v>27</v>
      </c>
      <c r="D17" s="9">
        <v>10000</v>
      </c>
      <c r="E17" s="9">
        <f t="shared" si="0"/>
        <v>190000</v>
      </c>
      <c r="F17" s="9">
        <f t="shared" si="1"/>
        <v>460000</v>
      </c>
    </row>
    <row r="18" spans="1:6" x14ac:dyDescent="0.35">
      <c r="A18" s="8" t="s">
        <v>70</v>
      </c>
      <c r="B18" s="8">
        <v>6168</v>
      </c>
      <c r="C18" s="8" t="s">
        <v>27</v>
      </c>
      <c r="D18" s="9">
        <v>10000</v>
      </c>
      <c r="E18" s="9">
        <f t="shared" si="0"/>
        <v>200000</v>
      </c>
      <c r="F18" s="9">
        <f t="shared" si="1"/>
        <v>450000</v>
      </c>
    </row>
    <row r="19" spans="1:6" x14ac:dyDescent="0.35">
      <c r="A19" s="8" t="s">
        <v>73</v>
      </c>
      <c r="B19" s="8">
        <v>6646</v>
      </c>
      <c r="C19" s="8" t="s">
        <v>27</v>
      </c>
      <c r="D19" s="9">
        <v>10000</v>
      </c>
      <c r="E19" s="9">
        <f t="shared" si="0"/>
        <v>210000</v>
      </c>
      <c r="F19" s="9">
        <f t="shared" si="1"/>
        <v>440000</v>
      </c>
    </row>
    <row r="20" spans="1:6" x14ac:dyDescent="0.35">
      <c r="A20" s="8" t="s">
        <v>74</v>
      </c>
      <c r="B20" s="8">
        <v>7425</v>
      </c>
      <c r="C20" s="8" t="s">
        <v>27</v>
      </c>
      <c r="D20" s="9">
        <v>10000</v>
      </c>
      <c r="E20" s="9">
        <f t="shared" si="0"/>
        <v>220000</v>
      </c>
      <c r="F20" s="9">
        <f t="shared" si="1"/>
        <v>430000</v>
      </c>
    </row>
    <row r="21" spans="1:6" x14ac:dyDescent="0.35">
      <c r="A21" s="8" t="s">
        <v>75</v>
      </c>
      <c r="B21" s="8">
        <v>2014</v>
      </c>
      <c r="C21" s="8" t="s">
        <v>27</v>
      </c>
      <c r="D21" s="9">
        <v>10000</v>
      </c>
      <c r="E21" s="9">
        <f t="shared" si="0"/>
        <v>230000</v>
      </c>
      <c r="F21" s="9">
        <f t="shared" si="1"/>
        <v>420000</v>
      </c>
    </row>
    <row r="22" spans="1:6" x14ac:dyDescent="0.35">
      <c r="A22" s="10">
        <v>45631</v>
      </c>
      <c r="B22" s="8">
        <v>8428</v>
      </c>
      <c r="C22" s="8" t="s">
        <v>27</v>
      </c>
      <c r="D22" s="9">
        <v>10000</v>
      </c>
      <c r="E22" s="9">
        <f t="shared" si="0"/>
        <v>240000</v>
      </c>
      <c r="F22" s="9">
        <f t="shared" si="1"/>
        <v>410000</v>
      </c>
    </row>
    <row r="23" spans="1:6" x14ac:dyDescent="0.35">
      <c r="A23" s="8" t="s">
        <v>76</v>
      </c>
      <c r="B23" s="8">
        <v>9166</v>
      </c>
      <c r="C23" s="8" t="s">
        <v>27</v>
      </c>
      <c r="D23" s="9">
        <v>10000</v>
      </c>
      <c r="E23" s="9">
        <f t="shared" si="0"/>
        <v>250000</v>
      </c>
      <c r="F23" s="9">
        <f t="shared" si="1"/>
        <v>400000</v>
      </c>
    </row>
    <row r="24" spans="1:6" x14ac:dyDescent="0.35">
      <c r="A24" s="8" t="s">
        <v>77</v>
      </c>
      <c r="B24" s="8">
        <v>9596</v>
      </c>
      <c r="C24" s="8" t="s">
        <v>27</v>
      </c>
      <c r="D24" s="9">
        <v>10000</v>
      </c>
      <c r="E24" s="9">
        <f t="shared" si="0"/>
        <v>260000</v>
      </c>
      <c r="F24" s="9">
        <f t="shared" si="1"/>
        <v>390000</v>
      </c>
    </row>
    <row r="25" spans="1:6" x14ac:dyDescent="0.35">
      <c r="A25" s="8" t="s">
        <v>78</v>
      </c>
      <c r="B25" s="8">
        <v>11206</v>
      </c>
      <c r="C25" s="8" t="s">
        <v>27</v>
      </c>
      <c r="D25" s="9">
        <v>10000</v>
      </c>
      <c r="E25" s="9">
        <f t="shared" si="0"/>
        <v>270000</v>
      </c>
      <c r="F25" s="9">
        <f t="shared" si="1"/>
        <v>380000</v>
      </c>
    </row>
    <row r="26" spans="1:6" x14ac:dyDescent="0.35">
      <c r="A26" s="8" t="s">
        <v>79</v>
      </c>
      <c r="B26" s="8">
        <v>10765</v>
      </c>
      <c r="C26" s="8" t="s">
        <v>27</v>
      </c>
      <c r="D26" s="9">
        <v>10000</v>
      </c>
      <c r="E26" s="9">
        <f t="shared" si="0"/>
        <v>280000</v>
      </c>
      <c r="F26" s="9">
        <f t="shared" si="1"/>
        <v>370000</v>
      </c>
    </row>
    <row r="27" spans="1:6" x14ac:dyDescent="0.35">
      <c r="A27" s="8" t="s">
        <v>80</v>
      </c>
      <c r="B27" s="8">
        <v>11626</v>
      </c>
      <c r="C27" s="8" t="s">
        <v>27</v>
      </c>
      <c r="D27" s="9">
        <v>10000</v>
      </c>
      <c r="E27" s="9">
        <f t="shared" si="0"/>
        <v>290000</v>
      </c>
      <c r="F27" s="9">
        <f t="shared" si="1"/>
        <v>360000</v>
      </c>
    </row>
    <row r="28" spans="1:6" x14ac:dyDescent="0.35">
      <c r="A28" s="8" t="s">
        <v>81</v>
      </c>
      <c r="B28" s="8">
        <v>12430</v>
      </c>
      <c r="C28" s="8" t="s">
        <v>27</v>
      </c>
      <c r="D28" s="9">
        <v>10000</v>
      </c>
      <c r="E28" s="9">
        <f t="shared" si="0"/>
        <v>300000</v>
      </c>
      <c r="F28" s="9">
        <f t="shared" si="1"/>
        <v>350000</v>
      </c>
    </row>
    <row r="29" spans="1:6" x14ac:dyDescent="0.35">
      <c r="A29" s="8" t="s">
        <v>82</v>
      </c>
      <c r="B29" s="8">
        <v>12631</v>
      </c>
      <c r="C29" s="8" t="s">
        <v>27</v>
      </c>
      <c r="D29" s="9">
        <v>10000</v>
      </c>
      <c r="E29" s="9">
        <f t="shared" si="0"/>
        <v>310000</v>
      </c>
      <c r="F29" s="9">
        <f t="shared" si="1"/>
        <v>340000</v>
      </c>
    </row>
    <row r="30" spans="1:6" x14ac:dyDescent="0.35">
      <c r="A30" s="10">
        <v>45992</v>
      </c>
      <c r="B30" s="8">
        <v>12023</v>
      </c>
      <c r="C30" s="8" t="s">
        <v>27</v>
      </c>
      <c r="D30" s="9">
        <v>10000</v>
      </c>
      <c r="E30" s="9">
        <f t="shared" si="0"/>
        <v>320000</v>
      </c>
      <c r="F30" s="9">
        <f t="shared" si="1"/>
        <v>330000</v>
      </c>
    </row>
    <row r="31" spans="1:6" x14ac:dyDescent="0.35">
      <c r="A31" s="8" t="s">
        <v>83</v>
      </c>
      <c r="B31" s="8">
        <v>9412</v>
      </c>
      <c r="C31" s="8" t="s">
        <v>27</v>
      </c>
      <c r="D31" s="9">
        <v>10000</v>
      </c>
      <c r="E31" s="9">
        <f t="shared" si="0"/>
        <v>330000</v>
      </c>
      <c r="F31" s="9">
        <f t="shared" si="1"/>
        <v>320000</v>
      </c>
    </row>
    <row r="32" spans="1:6" x14ac:dyDescent="0.35">
      <c r="A32" s="10">
        <v>45903</v>
      </c>
      <c r="B32" s="8">
        <v>9662</v>
      </c>
      <c r="C32" s="8" t="s">
        <v>27</v>
      </c>
      <c r="D32" s="9">
        <v>10000</v>
      </c>
      <c r="E32" s="9">
        <f t="shared" si="0"/>
        <v>340000</v>
      </c>
      <c r="F32" s="9">
        <f t="shared" si="1"/>
        <v>310000</v>
      </c>
    </row>
    <row r="33" spans="1:6" x14ac:dyDescent="0.35">
      <c r="A33" s="8" t="s">
        <v>84</v>
      </c>
      <c r="B33" s="8">
        <v>10045</v>
      </c>
      <c r="C33" s="8" t="s">
        <v>27</v>
      </c>
      <c r="D33" s="9">
        <v>5000</v>
      </c>
      <c r="E33" s="9">
        <f t="shared" si="0"/>
        <v>345000</v>
      </c>
      <c r="F33" s="9">
        <f t="shared" si="1"/>
        <v>305000</v>
      </c>
    </row>
    <row r="34" spans="1:6" x14ac:dyDescent="0.35">
      <c r="A34" s="10" t="s">
        <v>85</v>
      </c>
      <c r="B34" s="8">
        <v>10689</v>
      </c>
      <c r="C34" s="8" t="s">
        <v>27</v>
      </c>
      <c r="D34" s="9">
        <v>10000</v>
      </c>
      <c r="E34" s="9">
        <f t="shared" si="0"/>
        <v>355000</v>
      </c>
      <c r="F34" s="9">
        <f t="shared" si="1"/>
        <v>295000</v>
      </c>
    </row>
    <row r="35" spans="1:6" x14ac:dyDescent="0.35">
      <c r="A35" s="8" t="s">
        <v>86</v>
      </c>
      <c r="B35" s="8">
        <v>11853</v>
      </c>
      <c r="C35" s="8" t="s">
        <v>27</v>
      </c>
      <c r="D35" s="9">
        <v>10000</v>
      </c>
      <c r="E35" s="9">
        <f t="shared" si="0"/>
        <v>365000</v>
      </c>
      <c r="F35" s="9">
        <f t="shared" si="1"/>
        <v>285000</v>
      </c>
    </row>
    <row r="36" spans="1:6" x14ac:dyDescent="0.35">
      <c r="A36" s="10" t="s">
        <v>87</v>
      </c>
      <c r="B36" s="8">
        <v>272</v>
      </c>
      <c r="C36" s="8" t="s">
        <v>27</v>
      </c>
      <c r="D36" s="9">
        <v>10000</v>
      </c>
      <c r="E36" s="9">
        <f t="shared" si="0"/>
        <v>375000</v>
      </c>
      <c r="F36" s="9">
        <f t="shared" si="1"/>
        <v>275000</v>
      </c>
    </row>
    <row r="37" spans="1:6" x14ac:dyDescent="0.35">
      <c r="A37" s="10">
        <v>45938</v>
      </c>
      <c r="B37" s="8">
        <v>12458</v>
      </c>
      <c r="C37" s="8" t="s">
        <v>27</v>
      </c>
      <c r="D37" s="9">
        <v>10000</v>
      </c>
      <c r="E37" s="9">
        <f t="shared" si="0"/>
        <v>385000</v>
      </c>
      <c r="F37" s="9">
        <f t="shared" si="1"/>
        <v>265000</v>
      </c>
    </row>
    <row r="38" spans="1:6" x14ac:dyDescent="0.35">
      <c r="A38" s="10" t="s">
        <v>88</v>
      </c>
      <c r="B38" s="8">
        <v>12746</v>
      </c>
      <c r="C38" s="8" t="s">
        <v>27</v>
      </c>
      <c r="D38" s="9">
        <v>10000</v>
      </c>
      <c r="E38" s="9">
        <f t="shared" si="0"/>
        <v>395000</v>
      </c>
      <c r="F38" s="9">
        <f t="shared" si="1"/>
        <v>255000</v>
      </c>
    </row>
    <row r="39" spans="1:6" x14ac:dyDescent="0.35">
      <c r="A39" s="10" t="s">
        <v>18</v>
      </c>
      <c r="B39" s="8">
        <v>13675</v>
      </c>
      <c r="C39" s="8" t="s">
        <v>27</v>
      </c>
      <c r="D39" s="9">
        <v>10000</v>
      </c>
      <c r="E39" s="9">
        <f t="shared" si="0"/>
        <v>405000</v>
      </c>
      <c r="F39" s="9">
        <f t="shared" si="1"/>
        <v>245000</v>
      </c>
    </row>
    <row r="40" spans="1:6" x14ac:dyDescent="0.35">
      <c r="A40" s="10" t="s">
        <v>89</v>
      </c>
      <c r="B40" s="8">
        <v>13480</v>
      </c>
      <c r="C40" s="8" t="s">
        <v>27</v>
      </c>
      <c r="D40" s="9">
        <v>10000</v>
      </c>
      <c r="E40" s="9">
        <f t="shared" si="0"/>
        <v>415000</v>
      </c>
      <c r="F40" s="9">
        <f t="shared" si="1"/>
        <v>235000</v>
      </c>
    </row>
    <row r="41" spans="1:6" x14ac:dyDescent="0.35">
      <c r="A41" s="10" t="s">
        <v>90</v>
      </c>
      <c r="B41" s="8">
        <v>12686</v>
      </c>
      <c r="C41" s="8" t="s">
        <v>27</v>
      </c>
      <c r="D41" s="9">
        <v>10000</v>
      </c>
      <c r="E41" s="9">
        <f t="shared" si="0"/>
        <v>425000</v>
      </c>
      <c r="F41" s="9">
        <f t="shared" si="1"/>
        <v>225000</v>
      </c>
    </row>
    <row r="42" spans="1:6" x14ac:dyDescent="0.35">
      <c r="A42" s="10" t="s">
        <v>91</v>
      </c>
      <c r="B42" s="8">
        <v>12173</v>
      </c>
      <c r="C42" s="8" t="s">
        <v>27</v>
      </c>
      <c r="D42" s="9">
        <v>10000</v>
      </c>
      <c r="E42" s="9">
        <f t="shared" si="0"/>
        <v>435000</v>
      </c>
      <c r="F42" s="9">
        <f t="shared" si="1"/>
        <v>215000</v>
      </c>
    </row>
    <row r="43" spans="1:6" x14ac:dyDescent="0.35">
      <c r="A43" s="10" t="s">
        <v>92</v>
      </c>
      <c r="B43" s="8">
        <v>12405</v>
      </c>
      <c r="C43" s="8" t="s">
        <v>27</v>
      </c>
      <c r="D43" s="9">
        <v>5000</v>
      </c>
      <c r="E43" s="9">
        <f t="shared" si="0"/>
        <v>440000</v>
      </c>
      <c r="F43" s="9">
        <f t="shared" si="1"/>
        <v>210000</v>
      </c>
    </row>
    <row r="44" spans="1:6" x14ac:dyDescent="0.35">
      <c r="A44" s="10" t="s">
        <v>93</v>
      </c>
      <c r="B44" s="8">
        <v>12873</v>
      </c>
      <c r="C44" s="8" t="s">
        <v>27</v>
      </c>
      <c r="D44" s="9">
        <v>10000</v>
      </c>
      <c r="E44" s="9">
        <f t="shared" si="0"/>
        <v>450000</v>
      </c>
      <c r="F44" s="9">
        <f t="shared" si="1"/>
        <v>200000</v>
      </c>
    </row>
    <row r="45" spans="1:6" x14ac:dyDescent="0.35">
      <c r="A45" s="40" t="s">
        <v>144</v>
      </c>
      <c r="B45" s="41">
        <v>13020</v>
      </c>
      <c r="C45" s="8" t="s">
        <v>27</v>
      </c>
      <c r="D45" s="9">
        <v>10000</v>
      </c>
      <c r="E45" s="9">
        <f t="shared" si="0"/>
        <v>460000</v>
      </c>
      <c r="F45" s="9">
        <f t="shared" si="1"/>
        <v>190000</v>
      </c>
    </row>
    <row r="46" spans="1:6" x14ac:dyDescent="0.35">
      <c r="A46" s="40" t="s">
        <v>263</v>
      </c>
      <c r="B46" s="41">
        <v>13399</v>
      </c>
      <c r="C46" s="23" t="s">
        <v>27</v>
      </c>
      <c r="D46" s="24">
        <v>10000</v>
      </c>
      <c r="E46" s="24">
        <f t="shared" si="0"/>
        <v>470000</v>
      </c>
      <c r="F46" s="24">
        <f t="shared" si="1"/>
        <v>180000</v>
      </c>
    </row>
    <row r="47" spans="1:6" x14ac:dyDescent="0.35">
      <c r="A47" s="10" t="s">
        <v>273</v>
      </c>
      <c r="B47" s="8">
        <v>13629</v>
      </c>
      <c r="C47" s="8" t="s">
        <v>27</v>
      </c>
      <c r="D47" s="9">
        <v>10000</v>
      </c>
      <c r="E47" s="9">
        <f>E46+D47</f>
        <v>480000</v>
      </c>
      <c r="F47" s="9">
        <f>F46-D47</f>
        <v>170000</v>
      </c>
    </row>
    <row r="48" spans="1:6" x14ac:dyDescent="0.35">
      <c r="A48" s="10" t="s">
        <v>307</v>
      </c>
      <c r="B48" s="8">
        <v>1533</v>
      </c>
      <c r="C48" s="8" t="s">
        <v>27</v>
      </c>
      <c r="D48" s="9">
        <v>10000</v>
      </c>
      <c r="E48" s="9">
        <f>E47+D48</f>
        <v>490000</v>
      </c>
      <c r="F48" s="9">
        <f>F47-D48</f>
        <v>160000</v>
      </c>
    </row>
    <row r="49" spans="1:6" x14ac:dyDescent="0.35">
      <c r="A49" s="10">
        <v>46273</v>
      </c>
      <c r="B49" s="8">
        <v>1692</v>
      </c>
      <c r="C49" s="8" t="s">
        <v>27</v>
      </c>
      <c r="D49" s="9">
        <v>10000</v>
      </c>
      <c r="E49" s="9">
        <f>E48+D49</f>
        <v>500000</v>
      </c>
      <c r="F49" s="9">
        <f>F48-D49</f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C8FE-6CD1-472A-814B-6E907D3669F8}">
  <dimension ref="A1:F47"/>
  <sheetViews>
    <sheetView topLeftCell="A33" workbookViewId="0">
      <selection activeCell="A49" sqref="A49"/>
    </sheetView>
  </sheetViews>
  <sheetFormatPr defaultRowHeight="14.5" x14ac:dyDescent="0.35"/>
  <cols>
    <col min="1" max="1" width="10.453125" customWidth="1"/>
    <col min="3" max="3" width="15.72656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119</v>
      </c>
      <c r="B1" s="1"/>
      <c r="C1" s="1"/>
      <c r="D1" s="1"/>
      <c r="E1" s="1"/>
      <c r="F1" s="1"/>
    </row>
    <row r="2" spans="1:6" ht="18.5" x14ac:dyDescent="0.45">
      <c r="A2" s="1" t="s">
        <v>120</v>
      </c>
      <c r="C2" s="1"/>
      <c r="D2" s="1"/>
      <c r="E2" s="1"/>
      <c r="F2" s="1"/>
    </row>
    <row r="3" spans="1:6" ht="18.5" x14ac:dyDescent="0.45">
      <c r="A3" s="1" t="s">
        <v>121</v>
      </c>
      <c r="B3" s="1"/>
      <c r="C3" s="1"/>
      <c r="D3" s="1"/>
      <c r="E3" s="1"/>
      <c r="F3" s="1"/>
    </row>
    <row r="4" spans="1:6" ht="18.5" x14ac:dyDescent="0.45">
      <c r="A4" s="1" t="s">
        <v>306</v>
      </c>
      <c r="B4" s="1"/>
      <c r="C4" s="1"/>
      <c r="D4" s="1"/>
      <c r="E4" s="1"/>
      <c r="F4" s="1"/>
    </row>
    <row r="5" spans="1:6" ht="18.5" x14ac:dyDescent="0.45">
      <c r="A5" s="1" t="s">
        <v>122</v>
      </c>
      <c r="B5" s="1"/>
      <c r="C5" s="1"/>
      <c r="D5" s="1"/>
      <c r="E5" s="1"/>
      <c r="F5" s="1"/>
    </row>
    <row r="6" spans="1:6" ht="18.5" x14ac:dyDescent="0.45">
      <c r="A6" s="1" t="s">
        <v>125</v>
      </c>
      <c r="B6" s="1"/>
      <c r="C6" s="1"/>
      <c r="D6" s="1"/>
      <c r="E6" s="1" t="s">
        <v>123</v>
      </c>
      <c r="F6" s="1"/>
    </row>
    <row r="7" spans="1:6" x14ac:dyDescent="0.35">
      <c r="A7" s="26" t="s">
        <v>6</v>
      </c>
      <c r="B7" s="27" t="s">
        <v>7</v>
      </c>
      <c r="C7" s="27" t="s">
        <v>8</v>
      </c>
      <c r="D7" s="20" t="s">
        <v>9</v>
      </c>
      <c r="E7" s="20" t="s">
        <v>10</v>
      </c>
      <c r="F7" s="21" t="s">
        <v>11</v>
      </c>
    </row>
    <row r="8" spans="1:6" x14ac:dyDescent="0.35">
      <c r="A8" s="17" t="s">
        <v>124</v>
      </c>
      <c r="B8" s="8">
        <v>384</v>
      </c>
      <c r="C8" s="8" t="s">
        <v>102</v>
      </c>
      <c r="D8" s="9">
        <v>40000</v>
      </c>
      <c r="E8" s="9">
        <v>40000</v>
      </c>
      <c r="F8" s="19">
        <v>560000</v>
      </c>
    </row>
    <row r="9" spans="1:6" x14ac:dyDescent="0.35">
      <c r="A9" s="18">
        <v>44596</v>
      </c>
      <c r="B9" s="8">
        <v>1767</v>
      </c>
      <c r="C9" s="8" t="s">
        <v>27</v>
      </c>
      <c r="D9" s="9">
        <v>10000</v>
      </c>
      <c r="E9" s="9">
        <f>SUM(E8+D9)</f>
        <v>50000</v>
      </c>
      <c r="F9" s="19">
        <f>F8-D9</f>
        <v>550000</v>
      </c>
    </row>
    <row r="10" spans="1:6" x14ac:dyDescent="0.35">
      <c r="A10" s="18">
        <v>45205</v>
      </c>
      <c r="B10" s="8">
        <v>427</v>
      </c>
      <c r="C10" s="8" t="s">
        <v>27</v>
      </c>
      <c r="D10" s="9">
        <v>10000</v>
      </c>
      <c r="E10" s="9">
        <f t="shared" ref="E10:E43" si="0">SUM(E9+D10)</f>
        <v>60000</v>
      </c>
      <c r="F10" s="19">
        <f t="shared" ref="F10:F43" si="1">F9-D10</f>
        <v>540000</v>
      </c>
    </row>
    <row r="11" spans="1:6" x14ac:dyDescent="0.35">
      <c r="A11" s="17" t="s">
        <v>126</v>
      </c>
      <c r="B11" s="8">
        <v>2825</v>
      </c>
      <c r="C11" s="8" t="s">
        <v>27</v>
      </c>
      <c r="D11" s="9">
        <v>10000</v>
      </c>
      <c r="E11" s="9">
        <f t="shared" si="0"/>
        <v>70000</v>
      </c>
      <c r="F11" s="19">
        <f t="shared" si="1"/>
        <v>530000</v>
      </c>
    </row>
    <row r="12" spans="1:6" x14ac:dyDescent="0.35">
      <c r="A12" s="18">
        <v>44965</v>
      </c>
      <c r="B12" s="8">
        <v>5785</v>
      </c>
      <c r="C12" s="8" t="s">
        <v>27</v>
      </c>
      <c r="D12" s="9">
        <v>10000</v>
      </c>
      <c r="E12" s="9">
        <f t="shared" si="0"/>
        <v>80000</v>
      </c>
      <c r="F12" s="19">
        <f t="shared" si="1"/>
        <v>520000</v>
      </c>
    </row>
    <row r="13" spans="1:6" x14ac:dyDescent="0.35">
      <c r="A13" s="18">
        <v>44966</v>
      </c>
      <c r="B13" s="8">
        <v>3352</v>
      </c>
      <c r="C13" s="8" t="s">
        <v>27</v>
      </c>
      <c r="D13" s="9">
        <v>10000</v>
      </c>
      <c r="E13" s="9">
        <f t="shared" si="0"/>
        <v>90000</v>
      </c>
      <c r="F13" s="19">
        <f t="shared" si="1"/>
        <v>510000</v>
      </c>
    </row>
    <row r="14" spans="1:6" x14ac:dyDescent="0.35">
      <c r="A14" s="18">
        <v>44995</v>
      </c>
      <c r="B14" s="8">
        <v>9252</v>
      </c>
      <c r="C14" s="8" t="s">
        <v>27</v>
      </c>
      <c r="D14" s="9">
        <v>10000</v>
      </c>
      <c r="E14" s="9">
        <f t="shared" si="0"/>
        <v>100000</v>
      </c>
      <c r="F14" s="19">
        <f t="shared" si="1"/>
        <v>500000</v>
      </c>
    </row>
    <row r="15" spans="1:6" x14ac:dyDescent="0.35">
      <c r="A15" s="18">
        <v>44937</v>
      </c>
      <c r="B15" s="8">
        <v>4599</v>
      </c>
      <c r="C15" s="8" t="s">
        <v>27</v>
      </c>
      <c r="D15" s="9">
        <v>10000</v>
      </c>
      <c r="E15" s="9">
        <f t="shared" si="0"/>
        <v>110000</v>
      </c>
      <c r="F15" s="19">
        <f t="shared" si="1"/>
        <v>490000</v>
      </c>
    </row>
    <row r="16" spans="1:6" x14ac:dyDescent="0.35">
      <c r="A16" s="18">
        <v>44969</v>
      </c>
      <c r="B16" s="8">
        <v>5232</v>
      </c>
      <c r="C16" s="8" t="s">
        <v>27</v>
      </c>
      <c r="D16" s="9">
        <v>10000</v>
      </c>
      <c r="E16" s="9">
        <f t="shared" si="0"/>
        <v>120000</v>
      </c>
      <c r="F16" s="19">
        <f t="shared" si="1"/>
        <v>480000</v>
      </c>
    </row>
    <row r="17" spans="1:6" x14ac:dyDescent="0.35">
      <c r="A17" s="18">
        <v>45597</v>
      </c>
      <c r="B17" s="8">
        <v>11429</v>
      </c>
      <c r="C17" s="8" t="s">
        <v>27</v>
      </c>
      <c r="D17" s="9">
        <v>10000</v>
      </c>
      <c r="E17" s="9">
        <f t="shared" si="0"/>
        <v>130000</v>
      </c>
      <c r="F17" s="19">
        <f t="shared" si="1"/>
        <v>470000</v>
      </c>
    </row>
    <row r="18" spans="1:6" x14ac:dyDescent="0.35">
      <c r="A18" s="18">
        <v>45353</v>
      </c>
      <c r="B18" s="8">
        <v>11430</v>
      </c>
      <c r="C18" s="8" t="s">
        <v>27</v>
      </c>
      <c r="D18" s="9">
        <v>10000</v>
      </c>
      <c r="E18" s="9">
        <f t="shared" si="0"/>
        <v>140000</v>
      </c>
      <c r="F18" s="19">
        <f t="shared" si="1"/>
        <v>460000</v>
      </c>
    </row>
    <row r="19" spans="1:6" x14ac:dyDescent="0.35">
      <c r="A19" s="18">
        <v>45507</v>
      </c>
      <c r="B19" s="8">
        <v>11431</v>
      </c>
      <c r="C19" s="8" t="s">
        <v>27</v>
      </c>
      <c r="D19" s="9">
        <v>10000</v>
      </c>
      <c r="E19" s="9">
        <f t="shared" si="0"/>
        <v>150000</v>
      </c>
      <c r="F19" s="19">
        <f t="shared" si="1"/>
        <v>450000</v>
      </c>
    </row>
    <row r="20" spans="1:6" x14ac:dyDescent="0.35">
      <c r="A20" s="18">
        <v>45478</v>
      </c>
      <c r="B20" s="8">
        <v>11432</v>
      </c>
      <c r="C20" s="8" t="s">
        <v>27</v>
      </c>
      <c r="D20" s="9">
        <v>10000</v>
      </c>
      <c r="E20" s="9">
        <f t="shared" si="0"/>
        <v>160000</v>
      </c>
      <c r="F20" s="19">
        <f t="shared" si="1"/>
        <v>440000</v>
      </c>
    </row>
    <row r="21" spans="1:6" x14ac:dyDescent="0.35">
      <c r="A21" s="18">
        <v>45296</v>
      </c>
      <c r="B21" s="8">
        <v>11433</v>
      </c>
      <c r="C21" s="8" t="s">
        <v>27</v>
      </c>
      <c r="D21" s="9">
        <v>10000</v>
      </c>
      <c r="E21" s="9">
        <f t="shared" si="0"/>
        <v>170000</v>
      </c>
      <c r="F21" s="19">
        <f t="shared" si="1"/>
        <v>430000</v>
      </c>
    </row>
    <row r="22" spans="1:6" x14ac:dyDescent="0.35">
      <c r="A22" s="18">
        <v>45357</v>
      </c>
      <c r="B22" s="8">
        <v>11434</v>
      </c>
      <c r="C22" s="8" t="s">
        <v>27</v>
      </c>
      <c r="D22" s="9">
        <v>10000</v>
      </c>
      <c r="E22" s="9">
        <f t="shared" si="0"/>
        <v>180000</v>
      </c>
      <c r="F22" s="19">
        <f t="shared" si="1"/>
        <v>420000</v>
      </c>
    </row>
    <row r="23" spans="1:6" x14ac:dyDescent="0.35">
      <c r="A23" s="18">
        <v>45329</v>
      </c>
      <c r="B23" s="8">
        <v>11435</v>
      </c>
      <c r="C23" s="8" t="s">
        <v>27</v>
      </c>
      <c r="D23" s="9">
        <v>10000</v>
      </c>
      <c r="E23" s="9">
        <f t="shared" si="0"/>
        <v>190000</v>
      </c>
      <c r="F23" s="19">
        <f t="shared" si="1"/>
        <v>410000</v>
      </c>
    </row>
    <row r="24" spans="1:6" x14ac:dyDescent="0.35">
      <c r="A24" s="18">
        <v>45359</v>
      </c>
      <c r="B24" s="8">
        <v>11436</v>
      </c>
      <c r="C24" s="8" t="s">
        <v>27</v>
      </c>
      <c r="D24" s="9">
        <v>10000</v>
      </c>
      <c r="E24" s="9">
        <f t="shared" si="0"/>
        <v>200000</v>
      </c>
      <c r="F24" s="19">
        <f t="shared" si="1"/>
        <v>400000</v>
      </c>
    </row>
    <row r="25" spans="1:6" x14ac:dyDescent="0.35">
      <c r="A25" s="18">
        <v>45391</v>
      </c>
      <c r="B25" s="8">
        <v>11437</v>
      </c>
      <c r="C25" s="8" t="s">
        <v>27</v>
      </c>
      <c r="D25" s="9">
        <v>10000</v>
      </c>
      <c r="E25" s="9">
        <f t="shared" si="0"/>
        <v>210000</v>
      </c>
      <c r="F25" s="19">
        <f t="shared" si="1"/>
        <v>390000</v>
      </c>
    </row>
    <row r="26" spans="1:6" x14ac:dyDescent="0.35">
      <c r="A26" s="18">
        <v>45514</v>
      </c>
      <c r="B26" s="8">
        <v>11489</v>
      </c>
      <c r="C26" s="8" t="s">
        <v>27</v>
      </c>
      <c r="D26" s="9">
        <v>10000</v>
      </c>
      <c r="E26" s="9">
        <f t="shared" si="0"/>
        <v>220000</v>
      </c>
      <c r="F26" s="19">
        <f t="shared" si="1"/>
        <v>380000</v>
      </c>
    </row>
    <row r="27" spans="1:6" x14ac:dyDescent="0.35">
      <c r="A27" s="18">
        <v>45362</v>
      </c>
      <c r="B27" s="8">
        <v>10429</v>
      </c>
      <c r="C27" s="8" t="s">
        <v>27</v>
      </c>
      <c r="D27" s="9">
        <v>10000</v>
      </c>
      <c r="E27" s="9">
        <f t="shared" si="0"/>
        <v>230000</v>
      </c>
      <c r="F27" s="19">
        <f t="shared" si="1"/>
        <v>370000</v>
      </c>
    </row>
    <row r="28" spans="1:6" x14ac:dyDescent="0.35">
      <c r="A28" s="18">
        <v>45748</v>
      </c>
      <c r="B28" s="8">
        <v>12886</v>
      </c>
      <c r="C28" s="8" t="s">
        <v>27</v>
      </c>
      <c r="D28" s="9">
        <v>10000</v>
      </c>
      <c r="E28" s="9">
        <f t="shared" si="0"/>
        <v>240000</v>
      </c>
      <c r="F28" s="19">
        <f t="shared" si="1"/>
        <v>360000</v>
      </c>
    </row>
    <row r="29" spans="1:6" x14ac:dyDescent="0.35">
      <c r="A29" s="18">
        <v>45718</v>
      </c>
      <c r="B29" s="8">
        <v>9197</v>
      </c>
      <c r="C29" s="8" t="s">
        <v>27</v>
      </c>
      <c r="D29" s="9">
        <v>10000</v>
      </c>
      <c r="E29" s="9">
        <f t="shared" si="0"/>
        <v>250000</v>
      </c>
      <c r="F29" s="19">
        <f t="shared" si="1"/>
        <v>350000</v>
      </c>
    </row>
    <row r="30" spans="1:6" x14ac:dyDescent="0.35">
      <c r="A30" s="18">
        <v>45691</v>
      </c>
      <c r="B30" s="8">
        <v>9705</v>
      </c>
      <c r="C30" s="8" t="s">
        <v>27</v>
      </c>
      <c r="D30" s="9">
        <v>10000</v>
      </c>
      <c r="E30" s="9">
        <f t="shared" si="0"/>
        <v>260000</v>
      </c>
      <c r="F30" s="19">
        <f t="shared" si="1"/>
        <v>340000</v>
      </c>
    </row>
    <row r="31" spans="1:6" x14ac:dyDescent="0.35">
      <c r="A31" s="18">
        <v>45934</v>
      </c>
      <c r="B31" s="8">
        <v>10423</v>
      </c>
      <c r="C31" s="8" t="s">
        <v>27</v>
      </c>
      <c r="D31" s="9">
        <v>10000</v>
      </c>
      <c r="E31" s="9">
        <f t="shared" si="0"/>
        <v>270000</v>
      </c>
      <c r="F31" s="19">
        <f t="shared" si="1"/>
        <v>330000</v>
      </c>
    </row>
    <row r="32" spans="1:6" x14ac:dyDescent="0.35">
      <c r="A32" s="18">
        <v>45813</v>
      </c>
      <c r="B32" s="8">
        <v>10427</v>
      </c>
      <c r="C32" s="8" t="s">
        <v>27</v>
      </c>
      <c r="D32" s="9">
        <v>10000</v>
      </c>
      <c r="E32" s="9">
        <f t="shared" si="0"/>
        <v>280000</v>
      </c>
      <c r="F32" s="19">
        <f t="shared" si="1"/>
        <v>320000</v>
      </c>
    </row>
    <row r="33" spans="1:6" x14ac:dyDescent="0.35">
      <c r="A33" s="18">
        <v>45783</v>
      </c>
      <c r="B33" s="8">
        <v>12843</v>
      </c>
      <c r="C33" s="8" t="s">
        <v>27</v>
      </c>
      <c r="D33" s="9">
        <v>10000</v>
      </c>
      <c r="E33" s="9">
        <f t="shared" si="0"/>
        <v>290000</v>
      </c>
      <c r="F33" s="19">
        <f t="shared" si="1"/>
        <v>310000</v>
      </c>
    </row>
    <row r="34" spans="1:6" x14ac:dyDescent="0.35">
      <c r="A34" s="18">
        <v>45907</v>
      </c>
      <c r="B34" s="8">
        <v>12846</v>
      </c>
      <c r="C34" s="8" t="s">
        <v>27</v>
      </c>
      <c r="D34" s="9">
        <v>10000</v>
      </c>
      <c r="E34" s="9">
        <f t="shared" si="0"/>
        <v>300000</v>
      </c>
      <c r="F34" s="19">
        <f t="shared" si="1"/>
        <v>300000</v>
      </c>
    </row>
    <row r="35" spans="1:6" x14ac:dyDescent="0.35">
      <c r="A35" s="18">
        <v>45749</v>
      </c>
      <c r="B35" s="8">
        <v>12384</v>
      </c>
      <c r="C35" s="8" t="s">
        <v>27</v>
      </c>
      <c r="D35" s="9">
        <v>10000</v>
      </c>
      <c r="E35" s="9">
        <f t="shared" si="0"/>
        <v>310000</v>
      </c>
      <c r="F35" s="19">
        <f t="shared" si="1"/>
        <v>290000</v>
      </c>
    </row>
    <row r="36" spans="1:6" x14ac:dyDescent="0.35">
      <c r="A36" s="18">
        <v>45847</v>
      </c>
      <c r="B36" s="8">
        <v>12660</v>
      </c>
      <c r="C36" s="8" t="s">
        <v>27</v>
      </c>
      <c r="D36" s="9">
        <v>10000</v>
      </c>
      <c r="E36" s="9">
        <f t="shared" si="0"/>
        <v>320000</v>
      </c>
      <c r="F36" s="19">
        <f t="shared" si="1"/>
        <v>280000</v>
      </c>
    </row>
    <row r="37" spans="1:6" x14ac:dyDescent="0.35">
      <c r="A37" s="18">
        <v>45726</v>
      </c>
      <c r="B37" s="8">
        <v>13859</v>
      </c>
      <c r="C37" s="8" t="s">
        <v>27</v>
      </c>
      <c r="D37" s="9">
        <v>10000</v>
      </c>
      <c r="E37" s="9">
        <f t="shared" si="0"/>
        <v>330000</v>
      </c>
      <c r="F37" s="19">
        <f t="shared" si="1"/>
        <v>270000</v>
      </c>
    </row>
    <row r="38" spans="1:6" x14ac:dyDescent="0.35">
      <c r="A38" s="18">
        <v>45668</v>
      </c>
      <c r="B38" s="8">
        <v>13406</v>
      </c>
      <c r="C38" s="8" t="s">
        <v>27</v>
      </c>
      <c r="D38" s="9">
        <v>10000</v>
      </c>
      <c r="E38" s="9">
        <f t="shared" si="0"/>
        <v>340000</v>
      </c>
      <c r="F38" s="19">
        <f t="shared" si="1"/>
        <v>260000</v>
      </c>
    </row>
    <row r="39" spans="1:6" x14ac:dyDescent="0.35">
      <c r="A39" s="18">
        <v>45669</v>
      </c>
      <c r="B39" s="8">
        <v>13252</v>
      </c>
      <c r="C39" s="8" t="s">
        <v>27</v>
      </c>
      <c r="D39" s="9">
        <v>10000</v>
      </c>
      <c r="E39" s="9">
        <f t="shared" si="0"/>
        <v>350000</v>
      </c>
      <c r="F39" s="19">
        <f t="shared" si="1"/>
        <v>250000</v>
      </c>
    </row>
    <row r="40" spans="1:6" x14ac:dyDescent="0.35">
      <c r="A40" s="18">
        <v>46054</v>
      </c>
      <c r="B40" s="8">
        <v>13869</v>
      </c>
      <c r="C40" s="8" t="s">
        <v>27</v>
      </c>
      <c r="D40" s="9">
        <v>10000</v>
      </c>
      <c r="E40" s="9">
        <f t="shared" si="0"/>
        <v>360000</v>
      </c>
      <c r="F40" s="19">
        <f t="shared" si="1"/>
        <v>240000</v>
      </c>
    </row>
    <row r="41" spans="1:6" x14ac:dyDescent="0.35">
      <c r="A41" s="18">
        <v>46114</v>
      </c>
      <c r="B41" s="8">
        <v>12326</v>
      </c>
      <c r="C41" s="8" t="s">
        <v>27</v>
      </c>
      <c r="D41" s="9">
        <v>10000</v>
      </c>
      <c r="E41" s="9">
        <f t="shared" si="0"/>
        <v>370000</v>
      </c>
      <c r="F41" s="19">
        <f t="shared" si="1"/>
        <v>230000</v>
      </c>
    </row>
    <row r="42" spans="1:6" x14ac:dyDescent="0.35">
      <c r="A42" s="18">
        <v>46268</v>
      </c>
      <c r="B42" s="8">
        <v>12729</v>
      </c>
      <c r="C42" s="8" t="s">
        <v>27</v>
      </c>
      <c r="D42" s="9">
        <v>10000</v>
      </c>
      <c r="E42" s="9">
        <f t="shared" si="0"/>
        <v>380000</v>
      </c>
      <c r="F42" s="19">
        <f t="shared" si="1"/>
        <v>220000</v>
      </c>
    </row>
    <row r="43" spans="1:6" x14ac:dyDescent="0.35">
      <c r="A43" s="22">
        <v>46115</v>
      </c>
      <c r="B43" s="23">
        <v>13114</v>
      </c>
      <c r="C43" s="23" t="s">
        <v>27</v>
      </c>
      <c r="D43" s="24">
        <v>10000</v>
      </c>
      <c r="E43" s="24">
        <f t="shared" si="0"/>
        <v>390000</v>
      </c>
      <c r="F43" s="25">
        <f t="shared" si="1"/>
        <v>210000</v>
      </c>
    </row>
    <row r="44" spans="1:6" x14ac:dyDescent="0.35">
      <c r="A44" s="8" t="s">
        <v>267</v>
      </c>
      <c r="B44" s="8">
        <v>12909</v>
      </c>
      <c r="C44" s="8" t="s">
        <v>27</v>
      </c>
      <c r="D44" s="9">
        <v>10000</v>
      </c>
      <c r="E44" s="9">
        <f>E43+D44</f>
        <v>400000</v>
      </c>
      <c r="F44" s="9">
        <f>F43-D44</f>
        <v>200000</v>
      </c>
    </row>
    <row r="45" spans="1:6" x14ac:dyDescent="0.35">
      <c r="A45" s="8" t="s">
        <v>269</v>
      </c>
      <c r="B45" s="8">
        <v>13495</v>
      </c>
      <c r="C45" s="8" t="s">
        <v>27</v>
      </c>
      <c r="D45" s="9">
        <v>10000</v>
      </c>
      <c r="E45" s="9">
        <f>E44+D45</f>
        <v>410000</v>
      </c>
      <c r="F45" s="9">
        <f>F44-D45</f>
        <v>190000</v>
      </c>
    </row>
    <row r="46" spans="1:6" x14ac:dyDescent="0.35">
      <c r="A46" s="10">
        <v>46149</v>
      </c>
      <c r="B46" s="8">
        <v>1390</v>
      </c>
      <c r="C46" s="8" t="s">
        <v>27</v>
      </c>
      <c r="D46" s="9">
        <v>10000</v>
      </c>
      <c r="E46" s="9">
        <f>E45+D46</f>
        <v>420000</v>
      </c>
      <c r="F46" s="9">
        <f>F45-D46</f>
        <v>180000</v>
      </c>
    </row>
    <row r="47" spans="1:6" x14ac:dyDescent="0.35">
      <c r="A47" s="10">
        <v>46150</v>
      </c>
      <c r="B47" s="8">
        <v>1646</v>
      </c>
      <c r="C47" s="8" t="s">
        <v>27</v>
      </c>
      <c r="D47" s="9">
        <v>10000</v>
      </c>
      <c r="E47" s="9">
        <f>E46+D47</f>
        <v>430000</v>
      </c>
      <c r="F47" s="9">
        <f>F46-D47</f>
        <v>170000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32EB-352C-4CC3-BBA9-C1400380D75C}">
  <dimension ref="A1:L47"/>
  <sheetViews>
    <sheetView workbookViewId="0">
      <selection activeCell="C15" sqref="C15"/>
    </sheetView>
  </sheetViews>
  <sheetFormatPr defaultRowHeight="14.5" x14ac:dyDescent="0.35"/>
  <cols>
    <col min="1" max="1" width="10.453125" bestFit="1" customWidth="1"/>
    <col min="3" max="3" width="13.90625" customWidth="1"/>
    <col min="4" max="4" width="13" customWidth="1"/>
    <col min="5" max="5" width="10.453125" customWidth="1"/>
    <col min="6" max="6" width="13.453125" customWidth="1"/>
  </cols>
  <sheetData>
    <row r="1" spans="1:12" ht="18.5" x14ac:dyDescent="0.45">
      <c r="A1" s="1" t="s">
        <v>127</v>
      </c>
      <c r="B1" s="1"/>
      <c r="C1" s="1"/>
      <c r="D1" s="1"/>
      <c r="E1" s="1"/>
      <c r="F1" s="1"/>
    </row>
    <row r="2" spans="1:12" ht="18.5" x14ac:dyDescent="0.45">
      <c r="A2" s="1" t="s">
        <v>120</v>
      </c>
      <c r="C2" s="1"/>
      <c r="D2" s="1"/>
      <c r="E2" s="1"/>
      <c r="F2" s="1"/>
    </row>
    <row r="3" spans="1:12" ht="18.5" x14ac:dyDescent="0.45">
      <c r="A3" s="1" t="s">
        <v>128</v>
      </c>
      <c r="B3" s="1"/>
      <c r="C3" s="1"/>
      <c r="D3" s="1"/>
      <c r="E3" s="1"/>
      <c r="F3" s="1"/>
    </row>
    <row r="4" spans="1:12" ht="18.5" x14ac:dyDescent="0.45">
      <c r="A4" s="1" t="s">
        <v>132</v>
      </c>
      <c r="B4" s="1" t="s">
        <v>265</v>
      </c>
      <c r="C4" s="1"/>
      <c r="D4" s="1"/>
      <c r="E4" s="1"/>
      <c r="F4" s="1"/>
      <c r="L4" t="s">
        <v>247</v>
      </c>
    </row>
    <row r="5" spans="1:12" ht="18.5" x14ac:dyDescent="0.45">
      <c r="A5" s="1" t="s">
        <v>129</v>
      </c>
      <c r="B5" s="1"/>
      <c r="C5" s="1"/>
      <c r="D5" s="1"/>
      <c r="E5" s="1"/>
      <c r="F5" s="1"/>
    </row>
    <row r="6" spans="1:12" ht="18.5" x14ac:dyDescent="0.45">
      <c r="A6" s="1" t="s">
        <v>130</v>
      </c>
      <c r="B6" s="1"/>
      <c r="C6" s="1"/>
      <c r="D6" s="1"/>
      <c r="E6" s="1" t="s">
        <v>131</v>
      </c>
      <c r="F6" s="1"/>
    </row>
    <row r="7" spans="1:12" x14ac:dyDescent="0.35">
      <c r="A7" s="28" t="s">
        <v>6</v>
      </c>
      <c r="B7" s="29" t="s">
        <v>7</v>
      </c>
      <c r="C7" s="29" t="s">
        <v>8</v>
      </c>
      <c r="D7" s="30" t="s">
        <v>9</v>
      </c>
      <c r="E7" s="30" t="s">
        <v>10</v>
      </c>
      <c r="F7" s="31" t="s">
        <v>11</v>
      </c>
    </row>
    <row r="8" spans="1:12" x14ac:dyDescent="0.35">
      <c r="A8" s="32">
        <v>44905</v>
      </c>
      <c r="B8" s="12">
        <v>1768</v>
      </c>
      <c r="C8" s="12" t="s">
        <v>102</v>
      </c>
      <c r="D8" s="13">
        <v>50000</v>
      </c>
      <c r="E8" s="13">
        <v>50000</v>
      </c>
      <c r="F8" s="34">
        <v>600000</v>
      </c>
    </row>
    <row r="9" spans="1:12" x14ac:dyDescent="0.35">
      <c r="A9" s="32">
        <v>44961</v>
      </c>
      <c r="B9" s="12">
        <v>1768</v>
      </c>
      <c r="C9" s="12" t="s">
        <v>27</v>
      </c>
      <c r="D9" s="13">
        <v>10000</v>
      </c>
      <c r="E9" s="13">
        <f>SUM(E8+D9)</f>
        <v>60000</v>
      </c>
      <c r="F9" s="34">
        <f>F8-D9</f>
        <v>590000</v>
      </c>
    </row>
    <row r="10" spans="1:12" x14ac:dyDescent="0.35">
      <c r="A10" s="32">
        <v>45205</v>
      </c>
      <c r="B10" s="12">
        <v>428</v>
      </c>
      <c r="C10" s="12" t="s">
        <v>27</v>
      </c>
      <c r="D10" s="13">
        <v>10000</v>
      </c>
      <c r="E10" s="13">
        <f t="shared" ref="E10:E42" si="0">SUM(E9+D10)</f>
        <v>70000</v>
      </c>
      <c r="F10" s="34">
        <f t="shared" ref="F10:F42" si="1">F9-D10</f>
        <v>580000</v>
      </c>
    </row>
    <row r="11" spans="1:12" x14ac:dyDescent="0.35">
      <c r="A11" s="33" t="s">
        <v>126</v>
      </c>
      <c r="B11" s="12">
        <v>2824</v>
      </c>
      <c r="C11" s="12" t="s">
        <v>27</v>
      </c>
      <c r="D11" s="13">
        <v>10000</v>
      </c>
      <c r="E11" s="13">
        <f t="shared" si="0"/>
        <v>80000</v>
      </c>
      <c r="F11" s="34">
        <f t="shared" si="1"/>
        <v>570000</v>
      </c>
    </row>
    <row r="12" spans="1:12" x14ac:dyDescent="0.35">
      <c r="A12" s="32">
        <v>44965</v>
      </c>
      <c r="B12" s="12">
        <v>5784</v>
      </c>
      <c r="C12" s="12" t="s">
        <v>27</v>
      </c>
      <c r="D12" s="13">
        <v>10000</v>
      </c>
      <c r="E12" s="13">
        <f t="shared" si="0"/>
        <v>90000</v>
      </c>
      <c r="F12" s="34">
        <f t="shared" si="1"/>
        <v>560000</v>
      </c>
    </row>
    <row r="13" spans="1:12" x14ac:dyDescent="0.35">
      <c r="A13" s="32">
        <v>44966</v>
      </c>
      <c r="B13" s="12">
        <v>3353</v>
      </c>
      <c r="C13" s="12" t="s">
        <v>27</v>
      </c>
      <c r="D13" s="13">
        <v>10000</v>
      </c>
      <c r="E13" s="13">
        <f t="shared" si="0"/>
        <v>100000</v>
      </c>
      <c r="F13" s="34">
        <f t="shared" si="1"/>
        <v>550000</v>
      </c>
    </row>
    <row r="14" spans="1:12" x14ac:dyDescent="0.35">
      <c r="A14" s="32">
        <v>44995</v>
      </c>
      <c r="B14" s="12">
        <v>253</v>
      </c>
      <c r="C14" s="12" t="s">
        <v>27</v>
      </c>
      <c r="D14" s="13">
        <v>10000</v>
      </c>
      <c r="E14" s="13">
        <f t="shared" si="0"/>
        <v>110000</v>
      </c>
      <c r="F14" s="34">
        <f t="shared" si="1"/>
        <v>540000</v>
      </c>
    </row>
    <row r="15" spans="1:12" x14ac:dyDescent="0.35">
      <c r="A15" s="32">
        <v>44937</v>
      </c>
      <c r="B15" s="12">
        <v>4600</v>
      </c>
      <c r="C15" s="12" t="s">
        <v>27</v>
      </c>
      <c r="D15" s="13">
        <v>10000</v>
      </c>
      <c r="E15" s="13">
        <f t="shared" si="0"/>
        <v>120000</v>
      </c>
      <c r="F15" s="34">
        <f t="shared" si="1"/>
        <v>530000</v>
      </c>
    </row>
    <row r="16" spans="1:12" x14ac:dyDescent="0.35">
      <c r="A16" s="32">
        <v>44969</v>
      </c>
      <c r="B16" s="12">
        <v>5233</v>
      </c>
      <c r="C16" s="12" t="s">
        <v>27</v>
      </c>
      <c r="D16" s="13">
        <v>10000</v>
      </c>
      <c r="E16" s="13">
        <f t="shared" si="0"/>
        <v>130000</v>
      </c>
      <c r="F16" s="34">
        <f t="shared" si="1"/>
        <v>520000</v>
      </c>
    </row>
    <row r="17" spans="1:6" x14ac:dyDescent="0.35">
      <c r="A17" s="32">
        <v>45597</v>
      </c>
      <c r="B17" s="12">
        <v>11440</v>
      </c>
      <c r="C17" s="12" t="s">
        <v>27</v>
      </c>
      <c r="D17" s="13">
        <v>10000</v>
      </c>
      <c r="E17" s="13">
        <f t="shared" si="0"/>
        <v>140000</v>
      </c>
      <c r="F17" s="34">
        <f t="shared" si="1"/>
        <v>510000</v>
      </c>
    </row>
    <row r="18" spans="1:6" x14ac:dyDescent="0.35">
      <c r="A18" s="32">
        <v>45353</v>
      </c>
      <c r="B18" s="12">
        <v>11442</v>
      </c>
      <c r="C18" s="12" t="s">
        <v>27</v>
      </c>
      <c r="D18" s="13">
        <v>10000</v>
      </c>
      <c r="E18" s="13">
        <f t="shared" si="0"/>
        <v>150000</v>
      </c>
      <c r="F18" s="34">
        <f t="shared" si="1"/>
        <v>500000</v>
      </c>
    </row>
    <row r="19" spans="1:6" x14ac:dyDescent="0.35">
      <c r="A19" s="32">
        <v>45507</v>
      </c>
      <c r="B19" s="12">
        <v>11443</v>
      </c>
      <c r="C19" s="12" t="s">
        <v>27</v>
      </c>
      <c r="D19" s="13">
        <v>10000</v>
      </c>
      <c r="E19" s="13">
        <f t="shared" si="0"/>
        <v>160000</v>
      </c>
      <c r="F19" s="34">
        <f t="shared" si="1"/>
        <v>490000</v>
      </c>
    </row>
    <row r="20" spans="1:6" x14ac:dyDescent="0.35">
      <c r="A20" s="32">
        <v>45478</v>
      </c>
      <c r="B20" s="12">
        <v>11444</v>
      </c>
      <c r="C20" s="12" t="s">
        <v>27</v>
      </c>
      <c r="D20" s="13">
        <v>10000</v>
      </c>
      <c r="E20" s="13">
        <f t="shared" si="0"/>
        <v>170000</v>
      </c>
      <c r="F20" s="34">
        <f t="shared" si="1"/>
        <v>480000</v>
      </c>
    </row>
    <row r="21" spans="1:6" x14ac:dyDescent="0.35">
      <c r="A21" s="32">
        <v>45601</v>
      </c>
      <c r="B21" s="12">
        <v>11445</v>
      </c>
      <c r="C21" s="12" t="s">
        <v>27</v>
      </c>
      <c r="D21" s="13">
        <v>10000</v>
      </c>
      <c r="E21" s="13">
        <f t="shared" si="0"/>
        <v>180000</v>
      </c>
      <c r="F21" s="34">
        <f t="shared" si="1"/>
        <v>470000</v>
      </c>
    </row>
    <row r="22" spans="1:6" x14ac:dyDescent="0.35">
      <c r="A22" s="32">
        <v>45357</v>
      </c>
      <c r="B22" s="12">
        <v>11446</v>
      </c>
      <c r="C22" s="12" t="s">
        <v>27</v>
      </c>
      <c r="D22" s="13">
        <v>10000</v>
      </c>
      <c r="E22" s="13">
        <f t="shared" si="0"/>
        <v>190000</v>
      </c>
      <c r="F22" s="34">
        <f t="shared" si="1"/>
        <v>460000</v>
      </c>
    </row>
    <row r="23" spans="1:6" x14ac:dyDescent="0.35">
      <c r="A23" s="32">
        <v>45329</v>
      </c>
      <c r="B23" s="12">
        <v>11447</v>
      </c>
      <c r="C23" s="12" t="s">
        <v>27</v>
      </c>
      <c r="D23" s="13">
        <v>10000</v>
      </c>
      <c r="E23" s="13">
        <f t="shared" si="0"/>
        <v>200000</v>
      </c>
      <c r="F23" s="34">
        <f t="shared" si="1"/>
        <v>450000</v>
      </c>
    </row>
    <row r="24" spans="1:6" x14ac:dyDescent="0.35">
      <c r="A24" s="32">
        <v>45359</v>
      </c>
      <c r="B24" s="12">
        <v>11448</v>
      </c>
      <c r="C24" s="12" t="s">
        <v>27</v>
      </c>
      <c r="D24" s="13">
        <v>10000</v>
      </c>
      <c r="E24" s="13">
        <f t="shared" si="0"/>
        <v>210000</v>
      </c>
      <c r="F24" s="34">
        <f t="shared" si="1"/>
        <v>440000</v>
      </c>
    </row>
    <row r="25" spans="1:6" x14ac:dyDescent="0.35">
      <c r="A25" s="32">
        <v>45391</v>
      </c>
      <c r="B25" s="12">
        <v>11449</v>
      </c>
      <c r="C25" s="12" t="s">
        <v>27</v>
      </c>
      <c r="D25" s="13">
        <v>10000</v>
      </c>
      <c r="E25" s="13">
        <f t="shared" si="0"/>
        <v>220000</v>
      </c>
      <c r="F25" s="34">
        <f t="shared" si="1"/>
        <v>430000</v>
      </c>
    </row>
    <row r="26" spans="1:6" x14ac:dyDescent="0.35">
      <c r="A26" s="32">
        <v>45514</v>
      </c>
      <c r="B26" s="12">
        <v>11490</v>
      </c>
      <c r="C26" s="12" t="s">
        <v>27</v>
      </c>
      <c r="D26" s="13">
        <v>10000</v>
      </c>
      <c r="E26" s="13">
        <f t="shared" si="0"/>
        <v>230000</v>
      </c>
      <c r="F26" s="34">
        <f t="shared" si="1"/>
        <v>420000</v>
      </c>
    </row>
    <row r="27" spans="1:6" x14ac:dyDescent="0.35">
      <c r="A27" s="32">
        <v>45362</v>
      </c>
      <c r="B27" s="12">
        <v>10423</v>
      </c>
      <c r="C27" s="12" t="s">
        <v>27</v>
      </c>
      <c r="D27" s="13">
        <v>10000</v>
      </c>
      <c r="E27" s="13">
        <f t="shared" si="0"/>
        <v>240000</v>
      </c>
      <c r="F27" s="34">
        <f t="shared" si="1"/>
        <v>410000</v>
      </c>
    </row>
    <row r="28" spans="1:6" x14ac:dyDescent="0.35">
      <c r="A28" s="32">
        <v>45748</v>
      </c>
      <c r="B28" s="12">
        <v>12887</v>
      </c>
      <c r="C28" s="12" t="s">
        <v>27</v>
      </c>
      <c r="D28" s="13">
        <v>10000</v>
      </c>
      <c r="E28" s="13">
        <f t="shared" si="0"/>
        <v>250000</v>
      </c>
      <c r="F28" s="34">
        <f t="shared" si="1"/>
        <v>400000</v>
      </c>
    </row>
    <row r="29" spans="1:6" x14ac:dyDescent="0.35">
      <c r="A29" s="32">
        <v>45718</v>
      </c>
      <c r="B29" s="12">
        <v>9198</v>
      </c>
      <c r="C29" s="12" t="s">
        <v>27</v>
      </c>
      <c r="D29" s="13">
        <v>10000</v>
      </c>
      <c r="E29" s="13">
        <f t="shared" si="0"/>
        <v>260000</v>
      </c>
      <c r="F29" s="34">
        <f t="shared" si="1"/>
        <v>390000</v>
      </c>
    </row>
    <row r="30" spans="1:6" x14ac:dyDescent="0.35">
      <c r="A30" s="32">
        <v>45691</v>
      </c>
      <c r="B30" s="12">
        <v>9606</v>
      </c>
      <c r="C30" s="12" t="s">
        <v>27</v>
      </c>
      <c r="D30" s="13">
        <v>10000</v>
      </c>
      <c r="E30" s="13">
        <f t="shared" si="0"/>
        <v>270000</v>
      </c>
      <c r="F30" s="34">
        <f t="shared" si="1"/>
        <v>380000</v>
      </c>
    </row>
    <row r="31" spans="1:6" x14ac:dyDescent="0.35">
      <c r="A31" s="32">
        <v>45934</v>
      </c>
      <c r="B31" s="12">
        <v>10424</v>
      </c>
      <c r="C31" s="12" t="s">
        <v>27</v>
      </c>
      <c r="D31" s="13">
        <v>10000</v>
      </c>
      <c r="E31" s="13">
        <f t="shared" si="0"/>
        <v>280000</v>
      </c>
      <c r="F31" s="34">
        <f t="shared" si="1"/>
        <v>370000</v>
      </c>
    </row>
    <row r="32" spans="1:6" x14ac:dyDescent="0.35">
      <c r="A32" s="32">
        <v>45813</v>
      </c>
      <c r="B32" s="12">
        <v>10425</v>
      </c>
      <c r="C32" s="12" t="s">
        <v>27</v>
      </c>
      <c r="D32" s="13">
        <v>10000</v>
      </c>
      <c r="E32" s="13">
        <f t="shared" si="0"/>
        <v>290000</v>
      </c>
      <c r="F32" s="34">
        <f t="shared" si="1"/>
        <v>360000</v>
      </c>
    </row>
    <row r="33" spans="1:6" x14ac:dyDescent="0.35">
      <c r="A33" s="32">
        <v>45783</v>
      </c>
      <c r="B33" s="12">
        <v>12844</v>
      </c>
      <c r="C33" s="12" t="s">
        <v>27</v>
      </c>
      <c r="D33" s="13">
        <v>10000</v>
      </c>
      <c r="E33" s="13">
        <f t="shared" si="0"/>
        <v>300000</v>
      </c>
      <c r="F33" s="34">
        <f t="shared" si="1"/>
        <v>350000</v>
      </c>
    </row>
    <row r="34" spans="1:6" x14ac:dyDescent="0.35">
      <c r="A34" s="32">
        <v>45907</v>
      </c>
      <c r="B34" s="12">
        <v>12847</v>
      </c>
      <c r="C34" s="12" t="s">
        <v>27</v>
      </c>
      <c r="D34" s="13">
        <v>10000</v>
      </c>
      <c r="E34" s="13">
        <f t="shared" si="0"/>
        <v>310000</v>
      </c>
      <c r="F34" s="34">
        <f t="shared" si="1"/>
        <v>340000</v>
      </c>
    </row>
    <row r="35" spans="1:6" x14ac:dyDescent="0.35">
      <c r="A35" s="32">
        <v>45755</v>
      </c>
      <c r="B35" s="12">
        <v>12385</v>
      </c>
      <c r="C35" s="12" t="s">
        <v>27</v>
      </c>
      <c r="D35" s="13">
        <v>10000</v>
      </c>
      <c r="E35" s="13">
        <f t="shared" si="0"/>
        <v>320000</v>
      </c>
      <c r="F35" s="34">
        <f t="shared" si="1"/>
        <v>330000</v>
      </c>
    </row>
    <row r="36" spans="1:6" x14ac:dyDescent="0.35">
      <c r="A36" s="32">
        <v>45847</v>
      </c>
      <c r="B36" s="12">
        <v>12661</v>
      </c>
      <c r="C36" s="12" t="s">
        <v>27</v>
      </c>
      <c r="D36" s="13">
        <v>10000</v>
      </c>
      <c r="E36" s="13">
        <f t="shared" si="0"/>
        <v>330000</v>
      </c>
      <c r="F36" s="34">
        <f t="shared" si="1"/>
        <v>320000</v>
      </c>
    </row>
    <row r="37" spans="1:6" x14ac:dyDescent="0.35">
      <c r="A37" s="32">
        <v>45726</v>
      </c>
      <c r="B37" s="12">
        <v>13860</v>
      </c>
      <c r="C37" s="12" t="s">
        <v>27</v>
      </c>
      <c r="D37" s="13">
        <v>10000</v>
      </c>
      <c r="E37" s="13">
        <f t="shared" si="0"/>
        <v>340000</v>
      </c>
      <c r="F37" s="34">
        <f t="shared" si="1"/>
        <v>310000</v>
      </c>
    </row>
    <row r="38" spans="1:6" x14ac:dyDescent="0.35">
      <c r="A38" s="32">
        <v>45668</v>
      </c>
      <c r="B38" s="12">
        <v>13407</v>
      </c>
      <c r="C38" s="12" t="s">
        <v>27</v>
      </c>
      <c r="D38" s="13">
        <v>10000</v>
      </c>
      <c r="E38" s="13">
        <f t="shared" si="0"/>
        <v>350000</v>
      </c>
      <c r="F38" s="34">
        <f t="shared" si="1"/>
        <v>300000</v>
      </c>
    </row>
    <row r="39" spans="1:6" x14ac:dyDescent="0.35">
      <c r="A39" s="32">
        <v>45669</v>
      </c>
      <c r="B39" s="12">
        <v>13253</v>
      </c>
      <c r="C39" s="12" t="s">
        <v>27</v>
      </c>
      <c r="D39" s="13">
        <v>10000</v>
      </c>
      <c r="E39" s="13">
        <f t="shared" si="0"/>
        <v>360000</v>
      </c>
      <c r="F39" s="34">
        <f t="shared" si="1"/>
        <v>290000</v>
      </c>
    </row>
    <row r="40" spans="1:6" x14ac:dyDescent="0.35">
      <c r="A40" s="32">
        <v>46054</v>
      </c>
      <c r="B40" s="12">
        <v>13870</v>
      </c>
      <c r="C40" s="12" t="s">
        <v>27</v>
      </c>
      <c r="D40" s="13">
        <v>10000</v>
      </c>
      <c r="E40" s="13">
        <f t="shared" si="0"/>
        <v>370000</v>
      </c>
      <c r="F40" s="34">
        <f t="shared" si="1"/>
        <v>280000</v>
      </c>
    </row>
    <row r="41" spans="1:6" x14ac:dyDescent="0.35">
      <c r="A41" s="32">
        <v>46114</v>
      </c>
      <c r="B41" s="12">
        <v>12327</v>
      </c>
      <c r="C41" s="12" t="s">
        <v>27</v>
      </c>
      <c r="D41" s="13">
        <v>10000</v>
      </c>
      <c r="E41" s="13">
        <f t="shared" si="0"/>
        <v>380000</v>
      </c>
      <c r="F41" s="34">
        <f t="shared" si="1"/>
        <v>270000</v>
      </c>
    </row>
    <row r="42" spans="1:6" x14ac:dyDescent="0.35">
      <c r="A42" s="35">
        <v>46115</v>
      </c>
      <c r="B42" s="36">
        <v>6221</v>
      </c>
      <c r="C42" s="36" t="s">
        <v>27</v>
      </c>
      <c r="D42" s="37">
        <v>10000</v>
      </c>
      <c r="E42" s="37">
        <f t="shared" si="0"/>
        <v>390000</v>
      </c>
      <c r="F42" s="38">
        <f t="shared" si="1"/>
        <v>260000</v>
      </c>
    </row>
    <row r="43" spans="1:6" x14ac:dyDescent="0.35">
      <c r="A43" s="8" t="s">
        <v>266</v>
      </c>
      <c r="B43" s="8">
        <v>13113</v>
      </c>
      <c r="C43" s="8" t="s">
        <v>27</v>
      </c>
      <c r="D43" s="13">
        <v>10000</v>
      </c>
      <c r="E43" s="13">
        <f>E42+D43</f>
        <v>400000</v>
      </c>
      <c r="F43" s="13">
        <f>F42-D43</f>
        <v>250000</v>
      </c>
    </row>
    <row r="44" spans="1:6" x14ac:dyDescent="0.35">
      <c r="A44" s="8" t="s">
        <v>267</v>
      </c>
      <c r="B44" s="8">
        <v>13110</v>
      </c>
      <c r="C44" s="8" t="s">
        <v>27</v>
      </c>
      <c r="D44" s="13">
        <v>10000</v>
      </c>
      <c r="E44" s="13">
        <f>E43+D44</f>
        <v>410000</v>
      </c>
      <c r="F44" s="13">
        <f>F43-D44</f>
        <v>240000</v>
      </c>
    </row>
    <row r="45" spans="1:6" x14ac:dyDescent="0.35">
      <c r="A45" s="8" t="s">
        <v>268</v>
      </c>
      <c r="B45" s="8">
        <v>13996</v>
      </c>
      <c r="C45" s="8" t="s">
        <v>27</v>
      </c>
      <c r="D45" s="13">
        <v>10000</v>
      </c>
      <c r="E45" s="13">
        <f>E44+D45</f>
        <v>420000</v>
      </c>
      <c r="F45" s="13">
        <f>F44-D45</f>
        <v>230000</v>
      </c>
    </row>
    <row r="46" spans="1:6" x14ac:dyDescent="0.35">
      <c r="A46" s="14">
        <v>46149</v>
      </c>
      <c r="B46" s="2">
        <v>1391</v>
      </c>
      <c r="C46" s="12" t="s">
        <v>27</v>
      </c>
      <c r="D46" s="13">
        <v>10000</v>
      </c>
      <c r="E46" s="13">
        <f>E45+D46</f>
        <v>430000</v>
      </c>
      <c r="F46" s="13">
        <f>F45-D46</f>
        <v>220000</v>
      </c>
    </row>
    <row r="47" spans="1:6" x14ac:dyDescent="0.35">
      <c r="A47" s="14">
        <v>46150</v>
      </c>
      <c r="B47" s="2">
        <v>1647</v>
      </c>
      <c r="C47" s="12" t="s">
        <v>27</v>
      </c>
      <c r="D47" s="13">
        <v>10000</v>
      </c>
      <c r="E47" s="13">
        <f>E46+D47</f>
        <v>440000</v>
      </c>
      <c r="F47" s="13">
        <f>F46-D47</f>
        <v>210000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1CD4-363B-47D3-B0E0-7C96934BA35F}">
  <dimension ref="A1:F49"/>
  <sheetViews>
    <sheetView topLeftCell="A37" workbookViewId="0">
      <selection activeCell="A39" sqref="A39:F49"/>
    </sheetView>
  </sheetViews>
  <sheetFormatPr defaultRowHeight="14.5" x14ac:dyDescent="0.35"/>
  <cols>
    <col min="1" max="1" width="10.453125" bestFit="1" customWidth="1"/>
    <col min="3" max="3" width="16.7265625" customWidth="1"/>
    <col min="6" max="6" width="11.26953125" customWidth="1"/>
  </cols>
  <sheetData>
    <row r="1" spans="1:6" ht="18.5" x14ac:dyDescent="0.45">
      <c r="A1" s="1" t="s">
        <v>94</v>
      </c>
      <c r="B1" s="1"/>
      <c r="C1" s="1"/>
      <c r="D1" s="1"/>
      <c r="E1" s="1"/>
      <c r="F1" s="1"/>
    </row>
    <row r="2" spans="1:6" ht="18.5" x14ac:dyDescent="0.45">
      <c r="A2" s="1" t="s">
        <v>95</v>
      </c>
      <c r="C2" s="1"/>
      <c r="D2" s="1"/>
      <c r="E2" s="1"/>
      <c r="F2" s="1"/>
    </row>
    <row r="3" spans="1:6" ht="18.5" x14ac:dyDescent="0.45">
      <c r="A3" s="1" t="s">
        <v>96</v>
      </c>
      <c r="B3" s="1"/>
      <c r="C3" s="1"/>
      <c r="D3" s="1"/>
      <c r="E3" s="1"/>
      <c r="F3" s="1"/>
    </row>
    <row r="4" spans="1:6" ht="18.5" x14ac:dyDescent="0.45">
      <c r="A4" s="1" t="s">
        <v>234</v>
      </c>
      <c r="B4" s="1"/>
      <c r="C4" s="1"/>
      <c r="D4" s="1"/>
      <c r="E4" s="1"/>
      <c r="F4" s="1"/>
    </row>
    <row r="5" spans="1:6" ht="18.5" x14ac:dyDescent="0.45">
      <c r="A5" s="1" t="s">
        <v>97</v>
      </c>
      <c r="B5" s="1"/>
      <c r="C5" s="1"/>
      <c r="D5" s="1"/>
      <c r="E5" s="1"/>
      <c r="F5" s="1"/>
    </row>
    <row r="6" spans="1:6" ht="18.5" x14ac:dyDescent="0.45">
      <c r="A6" s="1" t="s">
        <v>98</v>
      </c>
      <c r="B6" s="1"/>
      <c r="C6" s="1"/>
      <c r="D6" s="1"/>
      <c r="E6" s="1" t="s">
        <v>99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s="14">
        <v>44054</v>
      </c>
      <c r="B8" s="12">
        <v>103</v>
      </c>
      <c r="C8" s="12" t="s">
        <v>101</v>
      </c>
      <c r="D8" s="13">
        <v>100000</v>
      </c>
      <c r="E8" s="13">
        <v>100000</v>
      </c>
      <c r="F8" s="13">
        <v>300000</v>
      </c>
    </row>
    <row r="9" spans="1:6" x14ac:dyDescent="0.35">
      <c r="A9" s="14">
        <v>44177</v>
      </c>
      <c r="B9" s="12"/>
      <c r="C9" s="12" t="s">
        <v>27</v>
      </c>
      <c r="D9" s="13">
        <v>10000</v>
      </c>
      <c r="E9" s="13">
        <f>SUM(E8+D9)</f>
        <v>110000</v>
      </c>
      <c r="F9" s="13">
        <f>F8-D9</f>
        <v>290000</v>
      </c>
    </row>
    <row r="10" spans="1:6" x14ac:dyDescent="0.35">
      <c r="A10" s="14">
        <v>44475</v>
      </c>
      <c r="B10" s="12"/>
      <c r="C10" s="12" t="s">
        <v>27</v>
      </c>
      <c r="D10" s="13">
        <v>20000</v>
      </c>
      <c r="E10" s="13">
        <f t="shared" ref="E10:E36" si="0">SUM(E9+D10)</f>
        <v>130000</v>
      </c>
      <c r="F10" s="13">
        <f t="shared" ref="F10:F36" si="1">F9-D10</f>
        <v>270000</v>
      </c>
    </row>
    <row r="11" spans="1:6" x14ac:dyDescent="0.35">
      <c r="A11" s="14">
        <v>44744</v>
      </c>
      <c r="B11" s="12">
        <v>105</v>
      </c>
      <c r="C11" s="12" t="s">
        <v>27</v>
      </c>
      <c r="D11" s="13">
        <v>10000</v>
      </c>
      <c r="E11" s="13">
        <f t="shared" si="0"/>
        <v>140000</v>
      </c>
      <c r="F11" s="13">
        <f t="shared" si="1"/>
        <v>260000</v>
      </c>
    </row>
    <row r="12" spans="1:6" x14ac:dyDescent="0.35">
      <c r="A12" s="14">
        <v>44869</v>
      </c>
      <c r="B12" s="12"/>
      <c r="C12" s="12" t="s">
        <v>27</v>
      </c>
      <c r="D12" s="13">
        <v>10000</v>
      </c>
      <c r="E12" s="13">
        <f t="shared" si="0"/>
        <v>150000</v>
      </c>
      <c r="F12" s="13">
        <f t="shared" si="1"/>
        <v>250000</v>
      </c>
    </row>
    <row r="13" spans="1:6" x14ac:dyDescent="0.35">
      <c r="A13" s="14">
        <v>44628</v>
      </c>
      <c r="B13" s="12">
        <v>104</v>
      </c>
      <c r="C13" s="12" t="s">
        <v>27</v>
      </c>
      <c r="D13" s="13">
        <v>10000</v>
      </c>
      <c r="E13" s="13">
        <f t="shared" si="0"/>
        <v>160000</v>
      </c>
      <c r="F13" s="13">
        <f t="shared" si="1"/>
        <v>240000</v>
      </c>
    </row>
    <row r="14" spans="1:6" x14ac:dyDescent="0.35">
      <c r="A14" s="14">
        <v>44693</v>
      </c>
      <c r="B14" s="12">
        <v>1798</v>
      </c>
      <c r="C14" s="12" t="s">
        <v>102</v>
      </c>
      <c r="D14" s="13">
        <v>10000</v>
      </c>
      <c r="E14" s="13">
        <f t="shared" si="0"/>
        <v>170000</v>
      </c>
      <c r="F14" s="13">
        <f t="shared" si="1"/>
        <v>230000</v>
      </c>
    </row>
    <row r="15" spans="1:6" x14ac:dyDescent="0.35">
      <c r="A15" s="14">
        <v>45020</v>
      </c>
      <c r="B15" s="12">
        <v>1799</v>
      </c>
      <c r="C15" s="12" t="s">
        <v>27</v>
      </c>
      <c r="D15" s="13">
        <v>10000</v>
      </c>
      <c r="E15" s="13">
        <f t="shared" si="0"/>
        <v>180000</v>
      </c>
      <c r="F15" s="13">
        <f t="shared" si="1"/>
        <v>220000</v>
      </c>
    </row>
    <row r="16" spans="1:6" x14ac:dyDescent="0.35">
      <c r="A16" s="14">
        <v>45023</v>
      </c>
      <c r="B16" s="12">
        <v>2119</v>
      </c>
      <c r="C16" s="12" t="s">
        <v>27</v>
      </c>
      <c r="D16" s="13">
        <v>20000</v>
      </c>
      <c r="E16" s="13">
        <f t="shared" si="0"/>
        <v>200000</v>
      </c>
      <c r="F16" s="13">
        <f t="shared" si="1"/>
        <v>200000</v>
      </c>
    </row>
    <row r="17" spans="1:6" x14ac:dyDescent="0.35">
      <c r="A17" s="14">
        <v>45267</v>
      </c>
      <c r="B17" s="12">
        <v>2721</v>
      </c>
      <c r="C17" s="12" t="s">
        <v>27</v>
      </c>
      <c r="D17" s="13">
        <v>10000</v>
      </c>
      <c r="E17" s="13">
        <f t="shared" si="0"/>
        <v>210000</v>
      </c>
      <c r="F17" s="13">
        <f t="shared" si="1"/>
        <v>190000</v>
      </c>
    </row>
    <row r="18" spans="1:6" x14ac:dyDescent="0.35">
      <c r="A18" s="12" t="s">
        <v>100</v>
      </c>
      <c r="B18" s="12">
        <v>3172</v>
      </c>
      <c r="C18" s="12" t="s">
        <v>27</v>
      </c>
      <c r="D18" s="13">
        <v>10000</v>
      </c>
      <c r="E18" s="13">
        <f t="shared" si="0"/>
        <v>220000</v>
      </c>
      <c r="F18" s="13">
        <f t="shared" si="1"/>
        <v>180000</v>
      </c>
    </row>
    <row r="19" spans="1:6" x14ac:dyDescent="0.35">
      <c r="A19" s="12" t="s">
        <v>103</v>
      </c>
      <c r="B19" s="12">
        <v>3830</v>
      </c>
      <c r="C19" s="12" t="s">
        <v>27</v>
      </c>
      <c r="D19" s="13">
        <v>10000</v>
      </c>
      <c r="E19" s="13">
        <f t="shared" si="0"/>
        <v>230000</v>
      </c>
      <c r="F19" s="13">
        <f t="shared" si="1"/>
        <v>170000</v>
      </c>
    </row>
    <row r="20" spans="1:6" x14ac:dyDescent="0.35">
      <c r="A20" s="12" t="s">
        <v>104</v>
      </c>
      <c r="B20" s="12">
        <v>4263</v>
      </c>
      <c r="C20" s="12" t="s">
        <v>27</v>
      </c>
      <c r="D20" s="13">
        <v>10000</v>
      </c>
      <c r="E20" s="13">
        <f t="shared" si="0"/>
        <v>240000</v>
      </c>
      <c r="F20" s="13">
        <f t="shared" si="1"/>
        <v>160000</v>
      </c>
    </row>
    <row r="21" spans="1:6" x14ac:dyDescent="0.35">
      <c r="A21" s="12" t="s">
        <v>105</v>
      </c>
      <c r="B21" s="12">
        <v>4955</v>
      </c>
      <c r="C21" s="12" t="s">
        <v>27</v>
      </c>
      <c r="D21" s="13">
        <v>10000</v>
      </c>
      <c r="E21" s="13">
        <f t="shared" si="0"/>
        <v>250000</v>
      </c>
      <c r="F21" s="13">
        <f t="shared" si="1"/>
        <v>150000</v>
      </c>
    </row>
    <row r="22" spans="1:6" x14ac:dyDescent="0.35">
      <c r="A22" s="12" t="s">
        <v>106</v>
      </c>
      <c r="B22" s="12">
        <v>5609</v>
      </c>
      <c r="C22" s="12" t="s">
        <v>27</v>
      </c>
      <c r="D22" s="13">
        <v>10000</v>
      </c>
      <c r="E22" s="13">
        <f t="shared" si="0"/>
        <v>260000</v>
      </c>
      <c r="F22" s="13">
        <f t="shared" si="1"/>
        <v>140000</v>
      </c>
    </row>
    <row r="23" spans="1:6" x14ac:dyDescent="0.35">
      <c r="A23" s="12" t="s">
        <v>107</v>
      </c>
      <c r="B23" s="12">
        <v>6234</v>
      </c>
      <c r="C23" s="12" t="s">
        <v>27</v>
      </c>
      <c r="D23" s="13">
        <v>10000</v>
      </c>
      <c r="E23" s="13">
        <f t="shared" si="0"/>
        <v>270000</v>
      </c>
      <c r="F23" s="13">
        <f t="shared" si="1"/>
        <v>130000</v>
      </c>
    </row>
    <row r="24" spans="1:6" x14ac:dyDescent="0.35">
      <c r="A24" s="12" t="s">
        <v>108</v>
      </c>
      <c r="B24" s="12">
        <v>6675</v>
      </c>
      <c r="C24" s="12" t="s">
        <v>27</v>
      </c>
      <c r="D24" s="13">
        <v>10000</v>
      </c>
      <c r="E24" s="13">
        <f t="shared" si="0"/>
        <v>280000</v>
      </c>
      <c r="F24" s="13">
        <f t="shared" si="1"/>
        <v>120000</v>
      </c>
    </row>
    <row r="25" spans="1:6" x14ac:dyDescent="0.35">
      <c r="A25" s="12" t="s">
        <v>109</v>
      </c>
      <c r="B25" s="12">
        <v>7386</v>
      </c>
      <c r="C25" s="12" t="s">
        <v>27</v>
      </c>
      <c r="D25" s="13">
        <v>10000</v>
      </c>
      <c r="E25" s="13">
        <f t="shared" si="0"/>
        <v>290000</v>
      </c>
      <c r="F25" s="13">
        <f t="shared" si="1"/>
        <v>110000</v>
      </c>
    </row>
    <row r="26" spans="1:6" x14ac:dyDescent="0.35">
      <c r="A26" s="12" t="s">
        <v>110</v>
      </c>
      <c r="B26" s="12">
        <v>7885</v>
      </c>
      <c r="C26" s="12" t="s">
        <v>27</v>
      </c>
      <c r="D26" s="13">
        <v>10000</v>
      </c>
      <c r="E26" s="13">
        <f t="shared" si="0"/>
        <v>300000</v>
      </c>
      <c r="F26" s="13">
        <f t="shared" si="1"/>
        <v>100000</v>
      </c>
    </row>
    <row r="27" spans="1:6" x14ac:dyDescent="0.35">
      <c r="A27" s="12" t="s">
        <v>111</v>
      </c>
      <c r="B27" s="12">
        <v>8565</v>
      </c>
      <c r="C27" s="12" t="s">
        <v>27</v>
      </c>
      <c r="D27" s="13">
        <v>10000</v>
      </c>
      <c r="E27" s="13">
        <f t="shared" si="0"/>
        <v>310000</v>
      </c>
      <c r="F27" s="13">
        <f t="shared" si="1"/>
        <v>90000</v>
      </c>
    </row>
    <row r="28" spans="1:6" x14ac:dyDescent="0.35">
      <c r="A28" s="12" t="s">
        <v>112</v>
      </c>
      <c r="B28" s="12">
        <v>9092</v>
      </c>
      <c r="C28" s="12" t="s">
        <v>27</v>
      </c>
      <c r="D28" s="13">
        <v>10000</v>
      </c>
      <c r="E28" s="13">
        <f t="shared" si="0"/>
        <v>320000</v>
      </c>
      <c r="F28" s="13">
        <f t="shared" si="1"/>
        <v>80000</v>
      </c>
    </row>
    <row r="29" spans="1:6" x14ac:dyDescent="0.35">
      <c r="A29" s="12" t="s">
        <v>113</v>
      </c>
      <c r="B29" s="12">
        <v>9677</v>
      </c>
      <c r="C29" s="12" t="s">
        <v>27</v>
      </c>
      <c r="D29" s="13">
        <v>10000</v>
      </c>
      <c r="E29" s="13">
        <f t="shared" si="0"/>
        <v>330000</v>
      </c>
      <c r="F29" s="13">
        <f t="shared" si="1"/>
        <v>70000</v>
      </c>
    </row>
    <row r="30" spans="1:6" x14ac:dyDescent="0.35">
      <c r="A30" s="12" t="s">
        <v>78</v>
      </c>
      <c r="B30" s="12">
        <v>11201</v>
      </c>
      <c r="C30" s="12" t="s">
        <v>27</v>
      </c>
      <c r="D30" s="13">
        <v>10000</v>
      </c>
      <c r="E30" s="13">
        <f t="shared" si="0"/>
        <v>340000</v>
      </c>
      <c r="F30" s="13">
        <f t="shared" si="1"/>
        <v>60000</v>
      </c>
    </row>
    <row r="31" spans="1:6" x14ac:dyDescent="0.35">
      <c r="A31" s="14">
        <v>45636</v>
      </c>
      <c r="B31" s="12">
        <v>11399</v>
      </c>
      <c r="C31" s="12" t="s">
        <v>27</v>
      </c>
      <c r="D31" s="13">
        <v>10000</v>
      </c>
      <c r="E31" s="13">
        <f t="shared" si="0"/>
        <v>350000</v>
      </c>
      <c r="F31" s="13">
        <f t="shared" si="1"/>
        <v>50000</v>
      </c>
    </row>
    <row r="32" spans="1:6" x14ac:dyDescent="0.35">
      <c r="A32" s="12" t="s">
        <v>114</v>
      </c>
      <c r="B32" s="12">
        <v>12141</v>
      </c>
      <c r="C32" s="12" t="s">
        <v>27</v>
      </c>
      <c r="D32" s="13">
        <v>10000</v>
      </c>
      <c r="E32" s="13">
        <f t="shared" si="0"/>
        <v>360000</v>
      </c>
      <c r="F32" s="13">
        <f t="shared" si="1"/>
        <v>40000</v>
      </c>
    </row>
    <row r="33" spans="1:6" x14ac:dyDescent="0.35">
      <c r="A33" s="12" t="s">
        <v>115</v>
      </c>
      <c r="B33" s="12">
        <v>12704</v>
      </c>
      <c r="C33" s="12" t="s">
        <v>27</v>
      </c>
      <c r="D33" s="13">
        <v>10000</v>
      </c>
      <c r="E33" s="13">
        <f t="shared" si="0"/>
        <v>370000</v>
      </c>
      <c r="F33" s="13">
        <f t="shared" si="1"/>
        <v>30000</v>
      </c>
    </row>
    <row r="34" spans="1:6" x14ac:dyDescent="0.35">
      <c r="A34" s="12" t="s">
        <v>116</v>
      </c>
      <c r="B34" s="12">
        <v>9080</v>
      </c>
      <c r="C34" s="12" t="s">
        <v>27</v>
      </c>
      <c r="D34" s="13">
        <v>10000</v>
      </c>
      <c r="E34" s="13">
        <f t="shared" si="0"/>
        <v>380000</v>
      </c>
      <c r="F34" s="13">
        <f t="shared" si="1"/>
        <v>20000</v>
      </c>
    </row>
    <row r="35" spans="1:6" x14ac:dyDescent="0.35">
      <c r="A35" s="12" t="s">
        <v>117</v>
      </c>
      <c r="B35" s="12">
        <v>9466</v>
      </c>
      <c r="C35" s="12" t="s">
        <v>27</v>
      </c>
      <c r="D35" s="13">
        <v>10000</v>
      </c>
      <c r="E35" s="13">
        <f t="shared" si="0"/>
        <v>390000</v>
      </c>
      <c r="F35" s="13">
        <f t="shared" si="1"/>
        <v>10000</v>
      </c>
    </row>
    <row r="36" spans="1:6" x14ac:dyDescent="0.35">
      <c r="A36" s="12" t="s">
        <v>118</v>
      </c>
      <c r="B36" s="12">
        <v>9814</v>
      </c>
      <c r="C36" s="12" t="s">
        <v>27</v>
      </c>
      <c r="D36" s="13">
        <v>10000</v>
      </c>
      <c r="E36" s="13">
        <f t="shared" si="0"/>
        <v>400000</v>
      </c>
      <c r="F36" s="13">
        <f t="shared" si="1"/>
        <v>0</v>
      </c>
    </row>
    <row r="37" spans="1:6" ht="18.5" x14ac:dyDescent="0.45">
      <c r="A37" s="43" t="s">
        <v>235</v>
      </c>
      <c r="B37" s="42"/>
      <c r="C37" s="42"/>
      <c r="D37" s="42"/>
      <c r="E37" s="42"/>
      <c r="F37" s="42"/>
    </row>
    <row r="39" spans="1:6" x14ac:dyDescent="0.35">
      <c r="A39" s="12" t="s">
        <v>289</v>
      </c>
      <c r="B39" s="12">
        <v>3601</v>
      </c>
      <c r="C39" s="12" t="s">
        <v>290</v>
      </c>
      <c r="D39" s="9">
        <v>10000</v>
      </c>
      <c r="E39" s="9">
        <v>10000</v>
      </c>
      <c r="F39" s="9">
        <v>440000</v>
      </c>
    </row>
    <row r="40" spans="1:6" x14ac:dyDescent="0.35">
      <c r="A40" s="12" t="s">
        <v>291</v>
      </c>
      <c r="B40" s="12">
        <v>3855</v>
      </c>
      <c r="C40" s="12" t="s">
        <v>290</v>
      </c>
      <c r="D40" s="8">
        <v>5000</v>
      </c>
      <c r="E40" s="9">
        <f t="shared" ref="E40:E48" si="2">E39+D40</f>
        <v>15000</v>
      </c>
      <c r="F40" s="9">
        <f t="shared" ref="F40:F48" si="3">F39-D40</f>
        <v>435000</v>
      </c>
    </row>
    <row r="41" spans="1:6" x14ac:dyDescent="0.35">
      <c r="A41" s="12" t="s">
        <v>292</v>
      </c>
      <c r="B41" s="12">
        <v>5166</v>
      </c>
      <c r="C41" s="12" t="s">
        <v>290</v>
      </c>
      <c r="D41" s="8">
        <v>5000</v>
      </c>
      <c r="E41" s="9">
        <f t="shared" si="2"/>
        <v>20000</v>
      </c>
      <c r="F41" s="9">
        <f t="shared" si="3"/>
        <v>430000</v>
      </c>
    </row>
    <row r="42" spans="1:6" x14ac:dyDescent="0.35">
      <c r="A42" s="12" t="s">
        <v>293</v>
      </c>
      <c r="B42" s="12">
        <v>5409</v>
      </c>
      <c r="C42" s="12" t="s">
        <v>290</v>
      </c>
      <c r="D42" s="8">
        <v>5000</v>
      </c>
      <c r="E42" s="9">
        <f t="shared" si="2"/>
        <v>25000</v>
      </c>
      <c r="F42" s="9">
        <f t="shared" si="3"/>
        <v>425000</v>
      </c>
    </row>
    <row r="43" spans="1:6" x14ac:dyDescent="0.35">
      <c r="A43" s="12" t="s">
        <v>294</v>
      </c>
      <c r="B43" s="12">
        <v>5605</v>
      </c>
      <c r="C43" s="12" t="s">
        <v>290</v>
      </c>
      <c r="D43" s="8">
        <v>5000</v>
      </c>
      <c r="E43" s="9">
        <f t="shared" si="2"/>
        <v>30000</v>
      </c>
      <c r="F43" s="9">
        <f t="shared" si="3"/>
        <v>420000</v>
      </c>
    </row>
    <row r="44" spans="1:6" x14ac:dyDescent="0.35">
      <c r="A44" s="12" t="s">
        <v>295</v>
      </c>
      <c r="B44" s="12">
        <v>5788</v>
      </c>
      <c r="C44" s="12" t="s">
        <v>290</v>
      </c>
      <c r="D44" s="8">
        <v>5000</v>
      </c>
      <c r="E44" s="9">
        <f t="shared" si="2"/>
        <v>35000</v>
      </c>
      <c r="F44" s="9">
        <f t="shared" si="3"/>
        <v>415000</v>
      </c>
    </row>
    <row r="45" spans="1:6" x14ac:dyDescent="0.35">
      <c r="A45" s="12" t="s">
        <v>296</v>
      </c>
      <c r="B45" s="12">
        <v>1330</v>
      </c>
      <c r="C45" s="12" t="s">
        <v>290</v>
      </c>
      <c r="D45" s="8">
        <v>5000</v>
      </c>
      <c r="E45" s="9">
        <f t="shared" si="2"/>
        <v>40000</v>
      </c>
      <c r="F45" s="9">
        <f t="shared" si="3"/>
        <v>410000</v>
      </c>
    </row>
    <row r="46" spans="1:6" x14ac:dyDescent="0.35">
      <c r="A46" s="12" t="s">
        <v>297</v>
      </c>
      <c r="B46" s="12">
        <v>1554</v>
      </c>
      <c r="C46" s="12" t="s">
        <v>290</v>
      </c>
      <c r="D46" s="8">
        <v>5000</v>
      </c>
      <c r="E46" s="9">
        <f t="shared" si="2"/>
        <v>45000</v>
      </c>
      <c r="F46" s="9">
        <f t="shared" si="3"/>
        <v>405000</v>
      </c>
    </row>
    <row r="47" spans="1:6" x14ac:dyDescent="0.35">
      <c r="A47" s="12" t="s">
        <v>298</v>
      </c>
      <c r="B47" s="12">
        <v>1713</v>
      </c>
      <c r="C47" s="12" t="s">
        <v>290</v>
      </c>
      <c r="D47" s="8">
        <v>5000</v>
      </c>
      <c r="E47" s="9">
        <f t="shared" si="2"/>
        <v>50000</v>
      </c>
      <c r="F47" s="9">
        <f t="shared" si="3"/>
        <v>400000</v>
      </c>
    </row>
    <row r="48" spans="1:6" x14ac:dyDescent="0.35">
      <c r="A48" s="12" t="s">
        <v>288</v>
      </c>
      <c r="B48" s="12">
        <v>1887</v>
      </c>
      <c r="C48" s="12" t="s">
        <v>290</v>
      </c>
      <c r="D48" s="8">
        <v>5000</v>
      </c>
      <c r="E48" s="9">
        <f t="shared" si="2"/>
        <v>55000</v>
      </c>
      <c r="F48" s="9">
        <f t="shared" si="3"/>
        <v>395000</v>
      </c>
    </row>
    <row r="49" spans="1:6" x14ac:dyDescent="0.35">
      <c r="A49" s="12" t="s">
        <v>309</v>
      </c>
      <c r="B49" s="12">
        <v>6233</v>
      </c>
      <c r="C49" s="12" t="s">
        <v>290</v>
      </c>
      <c r="D49" s="8">
        <v>5000</v>
      </c>
      <c r="E49" s="9">
        <f>E48+D49</f>
        <v>60000</v>
      </c>
      <c r="F49" s="9">
        <f>F48-D49</f>
        <v>390000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033B-1534-446D-B6B0-DCD8AEA45389}">
  <dimension ref="A1:F41"/>
  <sheetViews>
    <sheetView topLeftCell="A25" workbookViewId="0">
      <selection activeCell="A36" sqref="A36:F38"/>
    </sheetView>
  </sheetViews>
  <sheetFormatPr defaultRowHeight="14.5" x14ac:dyDescent="0.35"/>
  <cols>
    <col min="1" max="1" width="11" customWidth="1"/>
    <col min="3" max="3" width="12.1796875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29</v>
      </c>
      <c r="B1" s="1"/>
      <c r="C1" s="1"/>
      <c r="D1" s="1"/>
      <c r="E1" s="1"/>
      <c r="F1" s="1"/>
    </row>
    <row r="2" spans="1:6" ht="18.5" x14ac:dyDescent="0.45">
      <c r="A2" s="1" t="s">
        <v>30</v>
      </c>
      <c r="C2" s="1"/>
      <c r="D2" s="1"/>
      <c r="E2" s="1"/>
      <c r="F2" s="1"/>
    </row>
    <row r="3" spans="1:6" ht="18.5" x14ac:dyDescent="0.45">
      <c r="A3" s="1" t="s">
        <v>31</v>
      </c>
      <c r="B3" s="1"/>
      <c r="C3" s="1"/>
      <c r="D3" s="1"/>
      <c r="E3" s="1"/>
      <c r="F3" s="1"/>
    </row>
    <row r="4" spans="1:6" ht="18.5" x14ac:dyDescent="0.45">
      <c r="A4" s="1" t="s">
        <v>260</v>
      </c>
      <c r="B4" s="1"/>
      <c r="C4" s="1"/>
      <c r="D4" s="1"/>
      <c r="E4" s="1"/>
      <c r="F4" s="1"/>
    </row>
    <row r="5" spans="1:6" ht="18.5" x14ac:dyDescent="0.45">
      <c r="A5" s="1" t="s">
        <v>32</v>
      </c>
      <c r="B5" s="1"/>
      <c r="C5" s="1"/>
      <c r="D5" s="1"/>
      <c r="E5" s="1"/>
      <c r="F5" s="1"/>
    </row>
    <row r="6" spans="1:6" ht="18.5" x14ac:dyDescent="0.45">
      <c r="A6" s="1" t="s">
        <v>33</v>
      </c>
      <c r="B6" s="1"/>
      <c r="C6" s="1"/>
      <c r="D6" s="1"/>
      <c r="E6" s="1" t="s">
        <v>5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s="12" t="s">
        <v>34</v>
      </c>
      <c r="B8" s="12">
        <v>1675</v>
      </c>
      <c r="C8" s="12" t="s">
        <v>43</v>
      </c>
      <c r="D8" s="13">
        <v>160000</v>
      </c>
      <c r="E8" s="13">
        <v>160000</v>
      </c>
      <c r="F8" s="13">
        <v>440000</v>
      </c>
    </row>
    <row r="9" spans="1:6" x14ac:dyDescent="0.35">
      <c r="A9" s="12" t="s">
        <v>35</v>
      </c>
      <c r="B9" s="12">
        <v>1696</v>
      </c>
      <c r="C9" s="12" t="s">
        <v>27</v>
      </c>
      <c r="D9" s="13">
        <v>20000</v>
      </c>
      <c r="E9" s="13">
        <f>SUM(E8+D9)</f>
        <v>180000</v>
      </c>
      <c r="F9" s="13">
        <f>F8-D9</f>
        <v>420000</v>
      </c>
    </row>
    <row r="10" spans="1:6" x14ac:dyDescent="0.35">
      <c r="A10" s="14">
        <v>45204</v>
      </c>
      <c r="B10" s="12">
        <v>896</v>
      </c>
      <c r="C10" s="12" t="s">
        <v>27</v>
      </c>
      <c r="D10" s="13">
        <v>20000</v>
      </c>
      <c r="E10" s="13">
        <f t="shared" ref="E10:E35" si="0">SUM(E9+D10)</f>
        <v>200000</v>
      </c>
      <c r="F10" s="13">
        <f t="shared" ref="F10:F35" si="1">F9-D10</f>
        <v>400000</v>
      </c>
    </row>
    <row r="11" spans="1:6" x14ac:dyDescent="0.35">
      <c r="A11" s="12" t="s">
        <v>36</v>
      </c>
      <c r="B11" s="12">
        <v>2857</v>
      </c>
      <c r="C11" s="12" t="s">
        <v>27</v>
      </c>
      <c r="D11" s="13">
        <v>20000</v>
      </c>
      <c r="E11" s="13">
        <f t="shared" si="0"/>
        <v>220000</v>
      </c>
      <c r="F11" s="13">
        <f t="shared" si="1"/>
        <v>380000</v>
      </c>
    </row>
    <row r="12" spans="1:6" x14ac:dyDescent="0.35">
      <c r="A12" s="12" t="s">
        <v>37</v>
      </c>
      <c r="B12" s="12">
        <v>3017</v>
      </c>
      <c r="C12" s="12" t="s">
        <v>27</v>
      </c>
      <c r="D12" s="13">
        <v>20000</v>
      </c>
      <c r="E12" s="13">
        <f t="shared" si="0"/>
        <v>240000</v>
      </c>
      <c r="F12" s="13">
        <f t="shared" si="1"/>
        <v>360000</v>
      </c>
    </row>
    <row r="13" spans="1:6" x14ac:dyDescent="0.35">
      <c r="A13" s="12" t="s">
        <v>38</v>
      </c>
      <c r="B13" s="12">
        <v>4371</v>
      </c>
      <c r="C13" s="12" t="s">
        <v>27</v>
      </c>
      <c r="D13" s="13">
        <v>10000</v>
      </c>
      <c r="E13" s="13">
        <f t="shared" si="0"/>
        <v>250000</v>
      </c>
      <c r="F13" s="13">
        <f t="shared" si="1"/>
        <v>350000</v>
      </c>
    </row>
    <row r="14" spans="1:6" x14ac:dyDescent="0.35">
      <c r="A14" s="12" t="s">
        <v>39</v>
      </c>
      <c r="B14" s="12">
        <v>5063</v>
      </c>
      <c r="C14" s="12" t="s">
        <v>27</v>
      </c>
      <c r="D14" s="13">
        <v>10000</v>
      </c>
      <c r="E14" s="13">
        <f t="shared" si="0"/>
        <v>260000</v>
      </c>
      <c r="F14" s="13">
        <f t="shared" si="1"/>
        <v>340000</v>
      </c>
    </row>
    <row r="15" spans="1:6" x14ac:dyDescent="0.35">
      <c r="A15" s="12" t="s">
        <v>40</v>
      </c>
      <c r="B15" s="12">
        <v>6154</v>
      </c>
      <c r="C15" s="12" t="s">
        <v>27</v>
      </c>
      <c r="D15" s="13">
        <v>20000</v>
      </c>
      <c r="E15" s="13">
        <f t="shared" si="0"/>
        <v>280000</v>
      </c>
      <c r="F15" s="13">
        <f t="shared" si="1"/>
        <v>320000</v>
      </c>
    </row>
    <row r="16" spans="1:6" x14ac:dyDescent="0.35">
      <c r="A16" s="12" t="s">
        <v>41</v>
      </c>
      <c r="B16" s="12">
        <v>6757</v>
      </c>
      <c r="C16" s="12" t="s">
        <v>27</v>
      </c>
      <c r="D16" s="13">
        <v>10000</v>
      </c>
      <c r="E16" s="13">
        <f t="shared" si="0"/>
        <v>290000</v>
      </c>
      <c r="F16" s="13">
        <f t="shared" si="1"/>
        <v>310000</v>
      </c>
    </row>
    <row r="17" spans="1:6" x14ac:dyDescent="0.35">
      <c r="A17" s="14">
        <v>45599</v>
      </c>
      <c r="B17" s="12">
        <v>9710</v>
      </c>
      <c r="C17" s="12" t="s">
        <v>27</v>
      </c>
      <c r="D17" s="13">
        <v>10000</v>
      </c>
      <c r="E17" s="13">
        <f t="shared" si="0"/>
        <v>300000</v>
      </c>
      <c r="F17" s="13">
        <f t="shared" si="1"/>
        <v>300000</v>
      </c>
    </row>
    <row r="18" spans="1:6" x14ac:dyDescent="0.35">
      <c r="A18" s="12" t="s">
        <v>42</v>
      </c>
      <c r="B18" s="12">
        <v>9711</v>
      </c>
      <c r="C18" s="12" t="s">
        <v>27</v>
      </c>
      <c r="D18" s="13">
        <v>10000</v>
      </c>
      <c r="E18" s="13">
        <f t="shared" si="0"/>
        <v>310000</v>
      </c>
      <c r="F18" s="13">
        <f t="shared" si="1"/>
        <v>290000</v>
      </c>
    </row>
    <row r="19" spans="1:6" x14ac:dyDescent="0.35">
      <c r="A19" s="12" t="s">
        <v>44</v>
      </c>
      <c r="B19" s="12">
        <v>8514</v>
      </c>
      <c r="C19" s="12" t="s">
        <v>27</v>
      </c>
      <c r="D19" s="13">
        <v>10000</v>
      </c>
      <c r="E19" s="13">
        <f t="shared" si="0"/>
        <v>320000</v>
      </c>
      <c r="F19" s="13">
        <f t="shared" si="1"/>
        <v>280000</v>
      </c>
    </row>
    <row r="20" spans="1:6" x14ac:dyDescent="0.35">
      <c r="A20" s="12" t="s">
        <v>45</v>
      </c>
      <c r="B20" s="12">
        <v>9712</v>
      </c>
      <c r="C20" s="12" t="s">
        <v>27</v>
      </c>
      <c r="D20" s="13">
        <v>10000</v>
      </c>
      <c r="E20" s="13">
        <f t="shared" si="0"/>
        <v>330000</v>
      </c>
      <c r="F20" s="13">
        <f t="shared" si="1"/>
        <v>270000</v>
      </c>
    </row>
    <row r="21" spans="1:6" x14ac:dyDescent="0.35">
      <c r="A21" s="12" t="s">
        <v>46</v>
      </c>
      <c r="B21" s="12">
        <v>9699</v>
      </c>
      <c r="C21" s="12" t="s">
        <v>27</v>
      </c>
      <c r="D21" s="13">
        <v>10000</v>
      </c>
      <c r="E21" s="13">
        <f t="shared" si="0"/>
        <v>340000</v>
      </c>
      <c r="F21" s="13">
        <f t="shared" si="1"/>
        <v>260000</v>
      </c>
    </row>
    <row r="22" spans="1:6" x14ac:dyDescent="0.35">
      <c r="A22" s="14">
        <v>45451</v>
      </c>
      <c r="B22" s="12">
        <v>10086</v>
      </c>
      <c r="C22" s="12" t="s">
        <v>27</v>
      </c>
      <c r="D22" s="13">
        <v>10000</v>
      </c>
      <c r="E22" s="13">
        <f t="shared" si="0"/>
        <v>350000</v>
      </c>
      <c r="F22" s="13">
        <f t="shared" si="1"/>
        <v>250000</v>
      </c>
    </row>
    <row r="23" spans="1:6" x14ac:dyDescent="0.35">
      <c r="A23" s="14">
        <v>45997</v>
      </c>
      <c r="B23" s="12">
        <v>9903</v>
      </c>
      <c r="C23" s="12" t="s">
        <v>27</v>
      </c>
      <c r="D23" s="13">
        <v>10000</v>
      </c>
      <c r="E23" s="13">
        <f t="shared" si="0"/>
        <v>360000</v>
      </c>
      <c r="F23" s="13">
        <f t="shared" si="1"/>
        <v>240000</v>
      </c>
    </row>
    <row r="24" spans="1:6" x14ac:dyDescent="0.35">
      <c r="A24" s="12" t="s">
        <v>47</v>
      </c>
      <c r="B24" s="12">
        <v>12180</v>
      </c>
      <c r="C24" s="12" t="s">
        <v>27</v>
      </c>
      <c r="D24" s="13">
        <v>10000</v>
      </c>
      <c r="E24" s="13">
        <f t="shared" si="0"/>
        <v>370000</v>
      </c>
      <c r="F24" s="13">
        <f t="shared" si="1"/>
        <v>230000</v>
      </c>
    </row>
    <row r="25" spans="1:6" x14ac:dyDescent="0.35">
      <c r="A25" s="14">
        <v>45999</v>
      </c>
      <c r="B25" s="12">
        <v>12905</v>
      </c>
      <c r="C25" s="12" t="s">
        <v>27</v>
      </c>
      <c r="D25" s="13">
        <v>10000</v>
      </c>
      <c r="E25" s="13">
        <f t="shared" si="0"/>
        <v>380000</v>
      </c>
      <c r="F25" s="13">
        <f t="shared" si="1"/>
        <v>220000</v>
      </c>
    </row>
    <row r="26" spans="1:6" x14ac:dyDescent="0.35">
      <c r="A26" s="14">
        <v>45970</v>
      </c>
      <c r="B26" s="12">
        <v>12719</v>
      </c>
      <c r="C26" s="12" t="s">
        <v>27</v>
      </c>
      <c r="D26" s="13">
        <v>10000</v>
      </c>
      <c r="E26" s="13">
        <f t="shared" si="0"/>
        <v>390000</v>
      </c>
      <c r="F26" s="13">
        <f t="shared" si="1"/>
        <v>210000</v>
      </c>
    </row>
    <row r="27" spans="1:6" x14ac:dyDescent="0.35">
      <c r="A27" s="12" t="s">
        <v>48</v>
      </c>
      <c r="B27" s="12">
        <v>13633</v>
      </c>
      <c r="C27" s="12" t="s">
        <v>27</v>
      </c>
      <c r="D27" s="13">
        <v>10000</v>
      </c>
      <c r="E27" s="13">
        <f t="shared" si="0"/>
        <v>400000</v>
      </c>
      <c r="F27" s="13">
        <f t="shared" si="1"/>
        <v>200000</v>
      </c>
    </row>
    <row r="28" spans="1:6" x14ac:dyDescent="0.35">
      <c r="A28" s="12" t="s">
        <v>49</v>
      </c>
      <c r="B28" s="12">
        <v>13363</v>
      </c>
      <c r="C28" s="12" t="s">
        <v>27</v>
      </c>
      <c r="D28" s="13">
        <v>10000</v>
      </c>
      <c r="E28" s="13">
        <f t="shared" si="0"/>
        <v>410000</v>
      </c>
      <c r="F28" s="13">
        <f t="shared" si="1"/>
        <v>190000</v>
      </c>
    </row>
    <row r="29" spans="1:6" x14ac:dyDescent="0.35">
      <c r="A29" s="12" t="s">
        <v>50</v>
      </c>
      <c r="B29" s="12">
        <v>13178</v>
      </c>
      <c r="C29" s="12" t="s">
        <v>27</v>
      </c>
      <c r="D29" s="13">
        <v>10000</v>
      </c>
      <c r="E29" s="13">
        <f t="shared" si="0"/>
        <v>420000</v>
      </c>
      <c r="F29" s="13">
        <f t="shared" si="1"/>
        <v>180000</v>
      </c>
    </row>
    <row r="30" spans="1:6" x14ac:dyDescent="0.35">
      <c r="A30" s="12" t="s">
        <v>51</v>
      </c>
      <c r="B30" s="12">
        <v>12157</v>
      </c>
      <c r="C30" s="12" t="s">
        <v>27</v>
      </c>
      <c r="D30" s="13">
        <v>10000</v>
      </c>
      <c r="E30" s="13">
        <f t="shared" si="0"/>
        <v>430000</v>
      </c>
      <c r="F30" s="13">
        <f t="shared" si="1"/>
        <v>170000</v>
      </c>
    </row>
    <row r="31" spans="1:6" x14ac:dyDescent="0.35">
      <c r="A31" s="14">
        <v>46297</v>
      </c>
      <c r="B31" s="12">
        <v>12420</v>
      </c>
      <c r="C31" s="12" t="s">
        <v>27</v>
      </c>
      <c r="D31" s="13">
        <v>10000</v>
      </c>
      <c r="E31" s="13">
        <f t="shared" si="0"/>
        <v>440000</v>
      </c>
      <c r="F31" s="13">
        <f t="shared" si="1"/>
        <v>160000</v>
      </c>
    </row>
    <row r="32" spans="1:6" x14ac:dyDescent="0.35">
      <c r="A32" s="12" t="s">
        <v>52</v>
      </c>
      <c r="B32" s="12">
        <v>12520</v>
      </c>
      <c r="C32" s="12" t="s">
        <v>54</v>
      </c>
      <c r="D32" s="13">
        <v>90000</v>
      </c>
      <c r="E32" s="13">
        <f t="shared" si="0"/>
        <v>530000</v>
      </c>
      <c r="F32" s="13">
        <f t="shared" si="1"/>
        <v>70000</v>
      </c>
    </row>
    <row r="33" spans="1:6" x14ac:dyDescent="0.35">
      <c r="A33" s="12" t="s">
        <v>53</v>
      </c>
      <c r="B33" s="12">
        <v>12591</v>
      </c>
      <c r="C33" s="12" t="s">
        <v>55</v>
      </c>
      <c r="D33" s="13">
        <v>10000</v>
      </c>
      <c r="E33" s="13">
        <f t="shared" si="0"/>
        <v>540000</v>
      </c>
      <c r="F33" s="13">
        <f t="shared" si="1"/>
        <v>60000</v>
      </c>
    </row>
    <row r="34" spans="1:6" x14ac:dyDescent="0.35">
      <c r="A34" s="44" t="s">
        <v>261</v>
      </c>
      <c r="B34" s="44">
        <v>13075</v>
      </c>
      <c r="C34" s="44" t="s">
        <v>15</v>
      </c>
      <c r="D34" s="13">
        <v>10000</v>
      </c>
      <c r="E34" s="13">
        <f t="shared" si="0"/>
        <v>550000</v>
      </c>
      <c r="F34" s="13">
        <f t="shared" si="1"/>
        <v>50000</v>
      </c>
    </row>
    <row r="35" spans="1:6" x14ac:dyDescent="0.35">
      <c r="A35" s="44" t="s">
        <v>262</v>
      </c>
      <c r="B35" s="44">
        <v>13387</v>
      </c>
      <c r="C35" s="44" t="s">
        <v>15</v>
      </c>
      <c r="D35" s="37">
        <v>10000</v>
      </c>
      <c r="E35" s="37">
        <f t="shared" si="0"/>
        <v>560000</v>
      </c>
      <c r="F35" s="37">
        <f t="shared" si="1"/>
        <v>40000</v>
      </c>
    </row>
    <row r="36" spans="1:6" x14ac:dyDescent="0.35">
      <c r="A36" s="12" t="s">
        <v>274</v>
      </c>
      <c r="B36" s="12">
        <v>13643</v>
      </c>
      <c r="C36" s="12" t="s">
        <v>243</v>
      </c>
      <c r="D36" s="13">
        <v>10000</v>
      </c>
      <c r="E36" s="13">
        <f>E35+D36</f>
        <v>570000</v>
      </c>
      <c r="F36" s="13">
        <f>F35-D36</f>
        <v>30000</v>
      </c>
    </row>
    <row r="37" spans="1:6" x14ac:dyDescent="0.35">
      <c r="A37" s="12" t="s">
        <v>287</v>
      </c>
      <c r="B37" s="12">
        <v>1559</v>
      </c>
      <c r="C37" s="12" t="s">
        <v>243</v>
      </c>
      <c r="D37" s="13">
        <v>10000</v>
      </c>
      <c r="E37" s="13">
        <f>E36+D37</f>
        <v>580000</v>
      </c>
      <c r="F37" s="13">
        <f>F36-D37</f>
        <v>20000</v>
      </c>
    </row>
    <row r="38" spans="1:6" x14ac:dyDescent="0.35">
      <c r="A38" s="14">
        <v>46364</v>
      </c>
      <c r="B38" s="12">
        <v>1744</v>
      </c>
      <c r="C38" s="12" t="s">
        <v>243</v>
      </c>
      <c r="D38" s="13">
        <v>10000</v>
      </c>
      <c r="E38" s="13">
        <f>E37+D38</f>
        <v>590000</v>
      </c>
      <c r="F38" s="13">
        <f>F37-D38</f>
        <v>10000</v>
      </c>
    </row>
    <row r="39" spans="1:6" x14ac:dyDescent="0.35">
      <c r="A39" s="48"/>
      <c r="B39" s="48"/>
      <c r="C39" s="48"/>
      <c r="D39" s="48"/>
      <c r="E39" s="48"/>
      <c r="F39" s="48"/>
    </row>
    <row r="40" spans="1:6" x14ac:dyDescent="0.35">
      <c r="A40" s="48"/>
      <c r="B40" s="48"/>
      <c r="C40" s="48"/>
      <c r="D40" s="48"/>
      <c r="E40" s="48"/>
      <c r="F40" s="48"/>
    </row>
    <row r="41" spans="1:6" x14ac:dyDescent="0.35">
      <c r="A41" s="48"/>
      <c r="B41" s="48"/>
      <c r="C41" s="48"/>
      <c r="D41" s="48"/>
      <c r="E41" s="48"/>
      <c r="F41" s="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5EDF-73A8-48BB-BEA8-88F9043DB681}">
  <dimension ref="A1:F21"/>
  <sheetViews>
    <sheetView workbookViewId="0">
      <selection activeCell="I8" sqref="I8"/>
    </sheetView>
  </sheetViews>
  <sheetFormatPr defaultRowHeight="14.5" x14ac:dyDescent="0.35"/>
  <cols>
    <col min="3" max="3" width="10.90625" bestFit="1" customWidth="1"/>
    <col min="6" max="6" width="15.816406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280</v>
      </c>
      <c r="B3" s="1" t="s">
        <v>281</v>
      </c>
      <c r="C3" s="1"/>
      <c r="D3" s="1"/>
      <c r="E3" s="1"/>
      <c r="F3" s="1"/>
    </row>
    <row r="4" spans="1:6" ht="18.5" x14ac:dyDescent="0.45">
      <c r="A4" s="1" t="s">
        <v>2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4</v>
      </c>
      <c r="B6" s="1"/>
      <c r="C6" s="1"/>
      <c r="D6" s="1"/>
      <c r="E6" s="1"/>
      <c r="F6" s="1" t="s">
        <v>5</v>
      </c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4" t="s">
        <v>12</v>
      </c>
      <c r="B8" s="2">
        <v>11</v>
      </c>
      <c r="C8" s="2" t="s">
        <v>13</v>
      </c>
      <c r="D8" s="2">
        <v>2000</v>
      </c>
      <c r="E8" s="2">
        <v>2000</v>
      </c>
      <c r="F8" s="2">
        <v>598000</v>
      </c>
    </row>
    <row r="9" spans="1:6" x14ac:dyDescent="0.35">
      <c r="A9" s="5">
        <v>45333</v>
      </c>
      <c r="B9" s="2">
        <v>11561</v>
      </c>
      <c r="C9" s="2" t="s">
        <v>14</v>
      </c>
      <c r="D9" s="6">
        <v>148000</v>
      </c>
      <c r="E9" s="6">
        <f t="shared" ref="E9:E18" si="0">SUM(E8+D9)</f>
        <v>150000</v>
      </c>
      <c r="F9" s="6">
        <f t="shared" ref="F9:F18" si="1">F8-D9</f>
        <v>450000</v>
      </c>
    </row>
    <row r="10" spans="1:6" x14ac:dyDescent="0.35">
      <c r="A10" s="5">
        <v>45394</v>
      </c>
      <c r="B10" s="2">
        <v>12571</v>
      </c>
      <c r="C10" s="2" t="s">
        <v>15</v>
      </c>
      <c r="D10" s="6">
        <v>10000</v>
      </c>
      <c r="E10" s="6">
        <f t="shared" si="0"/>
        <v>160000</v>
      </c>
      <c r="F10" s="6">
        <f t="shared" si="1"/>
        <v>440000</v>
      </c>
    </row>
    <row r="11" spans="1:6" x14ac:dyDescent="0.35">
      <c r="A11" s="5">
        <v>45992</v>
      </c>
      <c r="B11" s="2">
        <v>12058</v>
      </c>
      <c r="C11" s="2" t="s">
        <v>15</v>
      </c>
      <c r="D11" s="6">
        <v>10000</v>
      </c>
      <c r="E11" s="6">
        <f t="shared" si="0"/>
        <v>170000</v>
      </c>
      <c r="F11" s="6">
        <f t="shared" si="1"/>
        <v>430000</v>
      </c>
    </row>
    <row r="12" spans="1:6" x14ac:dyDescent="0.35">
      <c r="A12" s="2" t="s">
        <v>16</v>
      </c>
      <c r="B12" s="2">
        <v>9520</v>
      </c>
      <c r="C12" s="2" t="s">
        <v>15</v>
      </c>
      <c r="D12" s="6">
        <v>20000</v>
      </c>
      <c r="E12" s="6">
        <f t="shared" si="0"/>
        <v>190000</v>
      </c>
      <c r="F12" s="6">
        <f t="shared" si="1"/>
        <v>410000</v>
      </c>
    </row>
    <row r="13" spans="1:6" x14ac:dyDescent="0.35">
      <c r="A13" s="5">
        <v>45812</v>
      </c>
      <c r="B13" s="2">
        <v>9914</v>
      </c>
      <c r="C13" s="2" t="s">
        <v>15</v>
      </c>
      <c r="D13" s="6">
        <v>20000</v>
      </c>
      <c r="E13" s="6">
        <f t="shared" si="0"/>
        <v>210000</v>
      </c>
      <c r="F13" s="6">
        <f t="shared" si="1"/>
        <v>390000</v>
      </c>
    </row>
    <row r="14" spans="1:6" x14ac:dyDescent="0.35">
      <c r="A14" s="2" t="s">
        <v>17</v>
      </c>
      <c r="B14" s="2">
        <v>9946</v>
      </c>
      <c r="C14" s="2" t="s">
        <v>15</v>
      </c>
      <c r="D14" s="6">
        <v>20000</v>
      </c>
      <c r="E14" s="6">
        <f t="shared" si="0"/>
        <v>230000</v>
      </c>
      <c r="F14" s="6">
        <f t="shared" si="1"/>
        <v>370000</v>
      </c>
    </row>
    <row r="15" spans="1:6" x14ac:dyDescent="0.35">
      <c r="A15" s="5">
        <v>45938</v>
      </c>
      <c r="B15" s="2">
        <v>12454</v>
      </c>
      <c r="C15" s="2" t="s">
        <v>15</v>
      </c>
      <c r="D15" s="6">
        <v>20000</v>
      </c>
      <c r="E15" s="6">
        <f t="shared" si="0"/>
        <v>250000</v>
      </c>
      <c r="F15" s="6">
        <f t="shared" si="1"/>
        <v>350000</v>
      </c>
    </row>
    <row r="16" spans="1:6" x14ac:dyDescent="0.35">
      <c r="A16" s="2" t="s">
        <v>18</v>
      </c>
      <c r="B16" s="2">
        <v>13668</v>
      </c>
      <c r="C16" s="2" t="s">
        <v>15</v>
      </c>
      <c r="D16" s="6">
        <v>20000</v>
      </c>
      <c r="E16" s="6">
        <f t="shared" si="0"/>
        <v>270000</v>
      </c>
      <c r="F16" s="6">
        <f t="shared" si="1"/>
        <v>330000</v>
      </c>
    </row>
    <row r="17" spans="1:6" x14ac:dyDescent="0.35">
      <c r="A17" s="5">
        <v>45973</v>
      </c>
      <c r="B17" s="2">
        <v>13165</v>
      </c>
      <c r="C17" s="2" t="s">
        <v>15</v>
      </c>
      <c r="D17" s="6">
        <v>20000</v>
      </c>
      <c r="E17" s="6">
        <f t="shared" si="0"/>
        <v>290000</v>
      </c>
      <c r="F17" s="6">
        <f t="shared" si="1"/>
        <v>310000</v>
      </c>
    </row>
    <row r="18" spans="1:6" x14ac:dyDescent="0.35">
      <c r="A18" s="5">
        <v>46144</v>
      </c>
      <c r="B18" s="2">
        <v>12334</v>
      </c>
      <c r="C18" s="2" t="s">
        <v>15</v>
      </c>
      <c r="D18" s="6">
        <v>20000</v>
      </c>
      <c r="E18" s="6">
        <f t="shared" si="0"/>
        <v>310000</v>
      </c>
      <c r="F18" s="6">
        <f t="shared" si="1"/>
        <v>290000</v>
      </c>
    </row>
    <row r="19" spans="1:6" x14ac:dyDescent="0.35">
      <c r="A19" t="s">
        <v>282</v>
      </c>
      <c r="B19" s="46">
        <v>13242</v>
      </c>
      <c r="C19" s="2" t="s">
        <v>15</v>
      </c>
      <c r="D19" s="6">
        <v>20000</v>
      </c>
      <c r="E19" s="47">
        <f>E18+D19</f>
        <v>330000</v>
      </c>
      <c r="F19" s="47">
        <f>F18-D19</f>
        <v>270000</v>
      </c>
    </row>
    <row r="20" spans="1:6" x14ac:dyDescent="0.35">
      <c r="A20" t="s">
        <v>283</v>
      </c>
      <c r="B20" s="46">
        <v>13545</v>
      </c>
      <c r="C20" s="2" t="s">
        <v>15</v>
      </c>
      <c r="D20" s="6">
        <v>10000</v>
      </c>
      <c r="E20" s="47">
        <f>E19+D20</f>
        <v>340000</v>
      </c>
      <c r="F20" s="47">
        <f>F19-D20</f>
        <v>260000</v>
      </c>
    </row>
    <row r="21" spans="1:6" x14ac:dyDescent="0.35">
      <c r="A21" t="s">
        <v>284</v>
      </c>
      <c r="B21" s="46">
        <v>1436</v>
      </c>
      <c r="C21" s="2" t="s">
        <v>15</v>
      </c>
      <c r="D21" s="6">
        <v>20000</v>
      </c>
      <c r="E21" s="47">
        <f>E20+D21</f>
        <v>360000</v>
      </c>
      <c r="F21" s="47">
        <f>F20-D21</f>
        <v>240000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A95B-092E-4AEA-90A7-61A82D1852DF}">
  <dimension ref="A1:H26"/>
  <sheetViews>
    <sheetView topLeftCell="A13" workbookViewId="0">
      <selection activeCell="F27" sqref="F27"/>
    </sheetView>
  </sheetViews>
  <sheetFormatPr defaultRowHeight="14.5" x14ac:dyDescent="0.35"/>
  <cols>
    <col min="1" max="1" width="10.453125" bestFit="1" customWidth="1"/>
    <col min="3" max="3" width="13" customWidth="1"/>
    <col min="6" max="6" width="12.26953125" customWidth="1"/>
  </cols>
  <sheetData>
    <row r="1" spans="1:8" ht="18.5" x14ac:dyDescent="0.45">
      <c r="A1" s="1" t="s">
        <v>145</v>
      </c>
      <c r="B1" s="1"/>
      <c r="C1" s="1"/>
      <c r="D1" s="1"/>
      <c r="E1" s="1"/>
      <c r="F1" s="1"/>
    </row>
    <row r="2" spans="1:8" ht="18.5" x14ac:dyDescent="0.45">
      <c r="A2" s="1" t="s">
        <v>146</v>
      </c>
      <c r="C2" s="1"/>
      <c r="D2" s="1"/>
      <c r="E2" s="1"/>
      <c r="F2" s="1"/>
    </row>
    <row r="3" spans="1:8" ht="21" x14ac:dyDescent="0.5">
      <c r="A3" s="1" t="s">
        <v>147</v>
      </c>
      <c r="B3" s="1"/>
      <c r="C3" s="1"/>
      <c r="D3" s="1"/>
      <c r="E3" s="1"/>
      <c r="F3" s="1"/>
      <c r="H3" s="45" t="s">
        <v>279</v>
      </c>
    </row>
    <row r="4" spans="1:8" ht="18.5" x14ac:dyDescent="0.45">
      <c r="A4" s="1" t="s">
        <v>150</v>
      </c>
      <c r="B4" s="1"/>
      <c r="C4" s="1"/>
      <c r="D4" s="1"/>
      <c r="E4" s="1"/>
      <c r="F4" s="1"/>
    </row>
    <row r="5" spans="1:8" ht="18.5" x14ac:dyDescent="0.45">
      <c r="A5" s="1" t="s">
        <v>148</v>
      </c>
      <c r="B5" s="1"/>
      <c r="C5" s="1"/>
      <c r="D5" s="1"/>
      <c r="E5" s="1"/>
      <c r="F5" s="1"/>
    </row>
    <row r="6" spans="1:8" ht="18.5" x14ac:dyDescent="0.45">
      <c r="A6" s="1" t="s">
        <v>149</v>
      </c>
      <c r="B6" s="1"/>
      <c r="C6" s="1"/>
      <c r="D6" s="1"/>
      <c r="E6" s="1" t="s">
        <v>5</v>
      </c>
      <c r="F6" s="1"/>
    </row>
    <row r="7" spans="1:8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8" x14ac:dyDescent="0.35">
      <c r="A8" s="15">
        <v>45334</v>
      </c>
      <c r="B8">
        <v>12560</v>
      </c>
      <c r="C8" t="s">
        <v>141</v>
      </c>
      <c r="D8" s="16">
        <v>50000</v>
      </c>
      <c r="E8" s="16">
        <v>50000</v>
      </c>
      <c r="F8" s="16">
        <v>550000</v>
      </c>
    </row>
    <row r="9" spans="1:8" x14ac:dyDescent="0.35">
      <c r="A9" t="s">
        <v>151</v>
      </c>
      <c r="B9">
        <v>12080</v>
      </c>
      <c r="C9" t="s">
        <v>156</v>
      </c>
      <c r="D9" s="16">
        <v>10000</v>
      </c>
      <c r="E9" s="16">
        <f>SUM(E8+D9)</f>
        <v>60000</v>
      </c>
      <c r="F9" s="16">
        <f>F8-D9</f>
        <v>540000</v>
      </c>
    </row>
    <row r="10" spans="1:8" x14ac:dyDescent="0.35">
      <c r="A10" s="15">
        <v>45963</v>
      </c>
      <c r="B10">
        <v>9341</v>
      </c>
      <c r="C10" t="s">
        <v>156</v>
      </c>
      <c r="D10" s="16">
        <v>10000</v>
      </c>
      <c r="E10" s="16">
        <f t="shared" ref="E10:E23" si="0">SUM(E9+D10)</f>
        <v>70000</v>
      </c>
      <c r="F10" s="16">
        <f t="shared" ref="F10:F23" si="1">F9-D10</f>
        <v>530000</v>
      </c>
    </row>
    <row r="11" spans="1:8" x14ac:dyDescent="0.35">
      <c r="A11" s="15">
        <v>45873</v>
      </c>
      <c r="B11">
        <v>808</v>
      </c>
      <c r="C11" t="s">
        <v>156</v>
      </c>
      <c r="D11" s="16">
        <v>10000</v>
      </c>
      <c r="E11" s="16">
        <f t="shared" si="0"/>
        <v>80000</v>
      </c>
      <c r="F11" s="16">
        <f t="shared" si="1"/>
        <v>520000</v>
      </c>
    </row>
    <row r="12" spans="1:8" x14ac:dyDescent="0.35">
      <c r="A12" t="s">
        <v>152</v>
      </c>
      <c r="B12">
        <v>10990</v>
      </c>
      <c r="C12" t="s">
        <v>156</v>
      </c>
      <c r="D12" s="16">
        <v>10000</v>
      </c>
      <c r="E12" s="16">
        <f t="shared" si="0"/>
        <v>90000</v>
      </c>
      <c r="F12" s="16">
        <f t="shared" si="1"/>
        <v>510000</v>
      </c>
    </row>
    <row r="13" spans="1:8" x14ac:dyDescent="0.35">
      <c r="A13" t="s">
        <v>86</v>
      </c>
      <c r="B13">
        <v>11848</v>
      </c>
      <c r="C13" t="s">
        <v>156</v>
      </c>
      <c r="D13" s="16">
        <v>10000</v>
      </c>
      <c r="E13" s="16">
        <f t="shared" si="0"/>
        <v>100000</v>
      </c>
      <c r="F13" s="16">
        <f t="shared" si="1"/>
        <v>500000</v>
      </c>
    </row>
    <row r="14" spans="1:8" x14ac:dyDescent="0.35">
      <c r="A14" t="s">
        <v>153</v>
      </c>
      <c r="B14">
        <v>12236</v>
      </c>
      <c r="C14" t="s">
        <v>156</v>
      </c>
      <c r="D14" s="16">
        <v>10000</v>
      </c>
      <c r="E14" s="16">
        <f t="shared" si="0"/>
        <v>110000</v>
      </c>
      <c r="F14" s="16">
        <f t="shared" si="1"/>
        <v>490000</v>
      </c>
    </row>
    <row r="15" spans="1:8" x14ac:dyDescent="0.35">
      <c r="A15" t="s">
        <v>154</v>
      </c>
      <c r="B15">
        <v>102511</v>
      </c>
      <c r="C15" t="s">
        <v>156</v>
      </c>
      <c r="D15" s="16">
        <v>10000</v>
      </c>
      <c r="E15" s="16">
        <f t="shared" si="0"/>
        <v>120000</v>
      </c>
      <c r="F15" s="16">
        <f t="shared" si="1"/>
        <v>480000</v>
      </c>
    </row>
    <row r="16" spans="1:8" x14ac:dyDescent="0.35">
      <c r="A16" t="s">
        <v>155</v>
      </c>
      <c r="B16">
        <v>12779</v>
      </c>
      <c r="C16" t="s">
        <v>156</v>
      </c>
      <c r="D16" s="16">
        <v>10000</v>
      </c>
      <c r="E16" s="16">
        <f t="shared" si="0"/>
        <v>130000</v>
      </c>
      <c r="F16" s="16">
        <f t="shared" si="1"/>
        <v>470000</v>
      </c>
    </row>
    <row r="17" spans="1:6" x14ac:dyDescent="0.35">
      <c r="A17" s="15">
        <v>45940</v>
      </c>
      <c r="B17">
        <v>13514</v>
      </c>
      <c r="C17" t="s">
        <v>156</v>
      </c>
      <c r="D17" s="16">
        <v>10000</v>
      </c>
      <c r="E17" s="16">
        <f t="shared" si="0"/>
        <v>140000</v>
      </c>
      <c r="F17" s="16">
        <f t="shared" si="1"/>
        <v>460000</v>
      </c>
    </row>
    <row r="18" spans="1:6" x14ac:dyDescent="0.35">
      <c r="A18" s="15">
        <v>45941</v>
      </c>
      <c r="B18">
        <v>1353</v>
      </c>
      <c r="C18" t="s">
        <v>156</v>
      </c>
      <c r="D18" s="16">
        <v>10000</v>
      </c>
      <c r="E18" s="16">
        <f t="shared" si="0"/>
        <v>150000</v>
      </c>
      <c r="F18" s="16">
        <f t="shared" si="1"/>
        <v>450000</v>
      </c>
    </row>
    <row r="19" spans="1:6" x14ac:dyDescent="0.35">
      <c r="A19" t="s">
        <v>157</v>
      </c>
      <c r="B19">
        <v>12675</v>
      </c>
      <c r="C19" t="s">
        <v>156</v>
      </c>
      <c r="D19" s="16">
        <v>10000</v>
      </c>
      <c r="E19" s="16">
        <f t="shared" si="0"/>
        <v>160000</v>
      </c>
      <c r="F19" s="16">
        <f t="shared" si="1"/>
        <v>440000</v>
      </c>
    </row>
    <row r="20" spans="1:6" x14ac:dyDescent="0.35">
      <c r="A20" t="s">
        <v>158</v>
      </c>
      <c r="B20">
        <v>12225</v>
      </c>
      <c r="C20" t="s">
        <v>156</v>
      </c>
      <c r="D20" s="16">
        <v>10000</v>
      </c>
      <c r="E20" s="16">
        <f t="shared" si="0"/>
        <v>170000</v>
      </c>
      <c r="F20" s="16">
        <f t="shared" si="1"/>
        <v>430000</v>
      </c>
    </row>
    <row r="21" spans="1:6" x14ac:dyDescent="0.35">
      <c r="A21" t="s">
        <v>159</v>
      </c>
      <c r="B21">
        <v>12560</v>
      </c>
      <c r="C21" t="s">
        <v>156</v>
      </c>
      <c r="D21" s="16">
        <v>10000</v>
      </c>
      <c r="E21" s="16">
        <f t="shared" si="0"/>
        <v>180000</v>
      </c>
      <c r="F21" s="16">
        <f t="shared" si="1"/>
        <v>420000</v>
      </c>
    </row>
    <row r="22" spans="1:6" x14ac:dyDescent="0.35">
      <c r="A22" t="s">
        <v>160</v>
      </c>
      <c r="B22">
        <v>13930</v>
      </c>
      <c r="C22" t="s">
        <v>156</v>
      </c>
      <c r="D22" s="16">
        <v>10000</v>
      </c>
      <c r="E22" s="16">
        <f t="shared" si="0"/>
        <v>190000</v>
      </c>
      <c r="F22" s="16">
        <f t="shared" si="1"/>
        <v>410000</v>
      </c>
    </row>
    <row r="23" spans="1:6" x14ac:dyDescent="0.35">
      <c r="A23" t="s">
        <v>144</v>
      </c>
      <c r="B23">
        <v>13023</v>
      </c>
      <c r="C23" t="s">
        <v>156</v>
      </c>
      <c r="D23" s="16">
        <v>10000</v>
      </c>
      <c r="E23" s="16">
        <f t="shared" si="0"/>
        <v>200000</v>
      </c>
      <c r="F23" s="16">
        <f t="shared" si="1"/>
        <v>400000</v>
      </c>
    </row>
    <row r="24" spans="1:6" x14ac:dyDescent="0.35">
      <c r="A24" t="s">
        <v>277</v>
      </c>
      <c r="B24">
        <v>13441</v>
      </c>
      <c r="C24" t="s">
        <v>156</v>
      </c>
      <c r="D24" s="16">
        <v>10000</v>
      </c>
      <c r="E24" s="16">
        <f>E23+D24</f>
        <v>210000</v>
      </c>
      <c r="F24" s="16">
        <f>F23-D24</f>
        <v>390000</v>
      </c>
    </row>
    <row r="25" spans="1:6" x14ac:dyDescent="0.35">
      <c r="A25" t="s">
        <v>278</v>
      </c>
      <c r="B25">
        <v>1310</v>
      </c>
      <c r="C25" t="s">
        <v>156</v>
      </c>
      <c r="D25" s="16">
        <v>10000</v>
      </c>
      <c r="E25" s="16">
        <f>E24+D25</f>
        <v>220000</v>
      </c>
      <c r="F25" s="16">
        <f>F24-D25</f>
        <v>380000</v>
      </c>
    </row>
    <row r="26" spans="1:6" x14ac:dyDescent="0.35">
      <c r="A26" t="s">
        <v>286</v>
      </c>
      <c r="B26">
        <v>1546</v>
      </c>
      <c r="C26" t="s">
        <v>156</v>
      </c>
      <c r="D26" s="16">
        <v>10000</v>
      </c>
      <c r="E26" s="16">
        <f>E25+D26</f>
        <v>230000</v>
      </c>
      <c r="F26" s="16">
        <f>F25-D26</f>
        <v>370000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88B9-AE91-4D18-B15A-54B1D2BD408A}">
  <dimension ref="A1:F39"/>
  <sheetViews>
    <sheetView topLeftCell="A29" workbookViewId="0">
      <selection activeCell="C11" sqref="C11"/>
    </sheetView>
  </sheetViews>
  <sheetFormatPr defaultRowHeight="14.5" x14ac:dyDescent="0.35"/>
  <cols>
    <col min="1" max="1" width="11.26953125" customWidth="1"/>
    <col min="3" max="3" width="11.7265625" customWidth="1"/>
    <col min="6" max="6" width="11.81640625" customWidth="1"/>
  </cols>
  <sheetData>
    <row r="1" spans="1:6" ht="18.5" x14ac:dyDescent="0.45">
      <c r="A1" s="1" t="s">
        <v>248</v>
      </c>
      <c r="B1" s="1"/>
      <c r="C1" s="1"/>
      <c r="D1" s="1"/>
      <c r="E1" s="1"/>
      <c r="F1" s="1"/>
    </row>
    <row r="2" spans="1:6" ht="18.5" x14ac:dyDescent="0.45">
      <c r="A2" s="1" t="s">
        <v>249</v>
      </c>
      <c r="C2" s="1"/>
      <c r="D2" s="1"/>
      <c r="E2" s="1"/>
      <c r="F2" s="1"/>
    </row>
    <row r="3" spans="1:6" ht="18.5" x14ac:dyDescent="0.45">
      <c r="A3" s="1" t="s">
        <v>250</v>
      </c>
      <c r="B3" s="1"/>
      <c r="C3" s="1"/>
      <c r="D3" s="1"/>
      <c r="E3" s="1"/>
      <c r="F3" s="1"/>
    </row>
    <row r="4" spans="1:6" ht="18.5" x14ac:dyDescent="0.45">
      <c r="A4" s="1" t="s">
        <v>252</v>
      </c>
      <c r="B4" s="1"/>
      <c r="C4" s="1"/>
      <c r="D4" s="1"/>
      <c r="E4" s="1"/>
      <c r="F4" s="1"/>
    </row>
    <row r="5" spans="1:6" ht="18.5" x14ac:dyDescent="0.45">
      <c r="A5" s="1" t="s">
        <v>227</v>
      </c>
      <c r="B5" s="1"/>
      <c r="C5" s="1"/>
      <c r="D5" s="1"/>
      <c r="E5" s="1"/>
      <c r="F5" s="1"/>
    </row>
    <row r="6" spans="1:6" ht="18.5" x14ac:dyDescent="0.45">
      <c r="A6" s="1" t="s">
        <v>251</v>
      </c>
      <c r="B6" s="1"/>
      <c r="C6" s="1"/>
      <c r="D6" s="1"/>
      <c r="E6" s="1" t="s">
        <v>24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s="8" t="s">
        <v>253</v>
      </c>
      <c r="B8" s="8">
        <v>139</v>
      </c>
      <c r="C8" s="8" t="s">
        <v>254</v>
      </c>
      <c r="D8" s="9">
        <v>15000</v>
      </c>
      <c r="E8" s="9">
        <v>15000</v>
      </c>
      <c r="F8" s="9">
        <v>635000</v>
      </c>
    </row>
    <row r="9" spans="1:6" x14ac:dyDescent="0.35">
      <c r="A9" s="10">
        <v>45115</v>
      </c>
      <c r="B9" s="8">
        <v>2270</v>
      </c>
      <c r="C9" s="8" t="s">
        <v>141</v>
      </c>
      <c r="D9" s="9">
        <v>135000</v>
      </c>
      <c r="E9" s="9">
        <f>E8+D9</f>
        <v>150000</v>
      </c>
      <c r="F9" s="9">
        <f>F8-D9</f>
        <v>500000</v>
      </c>
    </row>
    <row r="10" spans="1:6" x14ac:dyDescent="0.35">
      <c r="A10" s="10">
        <v>45271</v>
      </c>
      <c r="B10" s="8">
        <v>4850</v>
      </c>
      <c r="C10" s="8" t="s">
        <v>196</v>
      </c>
      <c r="D10" s="9">
        <v>20000</v>
      </c>
      <c r="E10" s="9">
        <f t="shared" ref="E10:E11" si="0">E9+D10</f>
        <v>170000</v>
      </c>
      <c r="F10" s="9">
        <f t="shared" ref="F10:F11" si="1">F9-D10</f>
        <v>480000</v>
      </c>
    </row>
    <row r="11" spans="1:6" x14ac:dyDescent="0.35">
      <c r="A11" s="8" t="s">
        <v>38</v>
      </c>
      <c r="B11" s="8">
        <v>4369</v>
      </c>
      <c r="C11" s="8" t="s">
        <v>196</v>
      </c>
      <c r="D11" s="9">
        <v>10000</v>
      </c>
      <c r="E11" s="9">
        <f t="shared" si="0"/>
        <v>180000</v>
      </c>
      <c r="F11" s="9">
        <f t="shared" si="1"/>
        <v>470000</v>
      </c>
    </row>
    <row r="12" spans="1:6" x14ac:dyDescent="0.35">
      <c r="A12" s="10">
        <v>45211</v>
      </c>
      <c r="B12" s="8">
        <v>5453</v>
      </c>
      <c r="C12" s="8" t="s">
        <v>196</v>
      </c>
      <c r="D12" s="9">
        <v>10000</v>
      </c>
      <c r="E12" s="9">
        <f t="shared" ref="E12:E36" si="2">E11+D12</f>
        <v>190000</v>
      </c>
      <c r="F12" s="9">
        <f t="shared" ref="F12:F36" si="3">F11-D12</f>
        <v>460000</v>
      </c>
    </row>
    <row r="13" spans="1:6" x14ac:dyDescent="0.35">
      <c r="A13" s="10">
        <v>45566</v>
      </c>
      <c r="B13" s="8">
        <v>6088</v>
      </c>
      <c r="C13" s="8" t="s">
        <v>196</v>
      </c>
      <c r="D13" s="9">
        <v>10000</v>
      </c>
      <c r="E13" s="9">
        <f t="shared" si="2"/>
        <v>200000</v>
      </c>
      <c r="F13" s="9">
        <f t="shared" si="3"/>
        <v>450000</v>
      </c>
    </row>
    <row r="14" spans="1:6" x14ac:dyDescent="0.35">
      <c r="A14" s="10">
        <v>45506</v>
      </c>
      <c r="B14" s="8">
        <v>6574</v>
      </c>
      <c r="C14" s="8" t="s">
        <v>196</v>
      </c>
      <c r="D14" s="9">
        <v>10000</v>
      </c>
      <c r="E14" s="9">
        <f t="shared" si="2"/>
        <v>210000</v>
      </c>
      <c r="F14" s="9">
        <f t="shared" si="3"/>
        <v>440000</v>
      </c>
    </row>
    <row r="15" spans="1:6" x14ac:dyDescent="0.35">
      <c r="A15" s="10">
        <v>45568</v>
      </c>
      <c r="B15" s="8">
        <v>7260</v>
      </c>
      <c r="C15" s="8" t="s">
        <v>196</v>
      </c>
      <c r="D15" s="9">
        <v>10000</v>
      </c>
      <c r="E15" s="9">
        <f t="shared" si="2"/>
        <v>220000</v>
      </c>
      <c r="F15" s="9">
        <f t="shared" si="3"/>
        <v>430000</v>
      </c>
    </row>
    <row r="16" spans="1:6" x14ac:dyDescent="0.35">
      <c r="A16" s="10">
        <v>45447</v>
      </c>
      <c r="B16" s="8">
        <v>7692</v>
      </c>
      <c r="C16" s="8" t="s">
        <v>196</v>
      </c>
      <c r="D16" s="9">
        <v>10000</v>
      </c>
      <c r="E16" s="9">
        <f t="shared" si="2"/>
        <v>230000</v>
      </c>
      <c r="F16" s="9">
        <f t="shared" si="3"/>
        <v>420000</v>
      </c>
    </row>
    <row r="17" spans="1:6" x14ac:dyDescent="0.35">
      <c r="A17" s="10">
        <v>45387</v>
      </c>
      <c r="B17" s="8">
        <v>8193</v>
      </c>
      <c r="C17" s="8" t="s">
        <v>196</v>
      </c>
      <c r="D17" s="9">
        <v>10000</v>
      </c>
      <c r="E17" s="9">
        <f t="shared" si="2"/>
        <v>240000</v>
      </c>
      <c r="F17" s="9">
        <f t="shared" si="3"/>
        <v>410000</v>
      </c>
    </row>
    <row r="18" spans="1:6" x14ac:dyDescent="0.35">
      <c r="A18" s="10">
        <v>45297</v>
      </c>
      <c r="B18" s="8">
        <v>8803</v>
      </c>
      <c r="C18" s="8" t="s">
        <v>196</v>
      </c>
      <c r="D18" s="9">
        <v>10000</v>
      </c>
      <c r="E18" s="9">
        <f t="shared" si="2"/>
        <v>250000</v>
      </c>
      <c r="F18" s="9">
        <f t="shared" si="3"/>
        <v>400000</v>
      </c>
    </row>
    <row r="19" spans="1:6" x14ac:dyDescent="0.35">
      <c r="A19" s="10">
        <v>45542</v>
      </c>
      <c r="B19" s="8">
        <v>328</v>
      </c>
      <c r="C19" s="8" t="s">
        <v>196</v>
      </c>
      <c r="D19" s="9">
        <v>10000</v>
      </c>
      <c r="E19" s="9">
        <f t="shared" si="2"/>
        <v>260000</v>
      </c>
      <c r="F19" s="9">
        <f t="shared" si="3"/>
        <v>390000</v>
      </c>
    </row>
    <row r="20" spans="1:6" x14ac:dyDescent="0.35">
      <c r="A20" s="10">
        <v>45390</v>
      </c>
      <c r="B20" s="8">
        <v>329</v>
      </c>
      <c r="C20" s="8" t="s">
        <v>196</v>
      </c>
      <c r="D20" s="9">
        <v>10000</v>
      </c>
      <c r="E20" s="9">
        <f t="shared" si="2"/>
        <v>270000</v>
      </c>
      <c r="F20" s="9">
        <f t="shared" si="3"/>
        <v>380000</v>
      </c>
    </row>
    <row r="21" spans="1:6" x14ac:dyDescent="0.35">
      <c r="A21" s="10">
        <v>45544</v>
      </c>
      <c r="B21" s="8">
        <v>10656</v>
      </c>
      <c r="C21" s="8" t="s">
        <v>196</v>
      </c>
      <c r="D21" s="9">
        <v>10000</v>
      </c>
      <c r="E21" s="9">
        <f t="shared" si="2"/>
        <v>280000</v>
      </c>
      <c r="F21" s="9">
        <f t="shared" si="3"/>
        <v>370000</v>
      </c>
    </row>
    <row r="22" spans="1:6" x14ac:dyDescent="0.35">
      <c r="A22" s="10">
        <v>45575</v>
      </c>
      <c r="B22" s="8">
        <v>11371</v>
      </c>
      <c r="C22" s="8" t="s">
        <v>196</v>
      </c>
      <c r="D22" s="9">
        <v>10000</v>
      </c>
      <c r="E22" s="9">
        <f t="shared" si="2"/>
        <v>290000</v>
      </c>
      <c r="F22" s="9">
        <f t="shared" si="3"/>
        <v>360000</v>
      </c>
    </row>
    <row r="23" spans="1:6" x14ac:dyDescent="0.35">
      <c r="A23" s="10">
        <v>45607</v>
      </c>
      <c r="B23" s="8">
        <v>10910</v>
      </c>
      <c r="C23" s="8" t="s">
        <v>196</v>
      </c>
      <c r="D23" s="9">
        <v>10000</v>
      </c>
      <c r="E23" s="9">
        <f t="shared" si="2"/>
        <v>300000</v>
      </c>
      <c r="F23" s="9">
        <f t="shared" si="3"/>
        <v>350000</v>
      </c>
    </row>
    <row r="24" spans="1:6" x14ac:dyDescent="0.35">
      <c r="A24" s="10">
        <v>45577</v>
      </c>
      <c r="B24" s="8">
        <v>12320</v>
      </c>
      <c r="C24" s="8" t="s">
        <v>196</v>
      </c>
      <c r="D24" s="9">
        <v>10000</v>
      </c>
      <c r="E24" s="9">
        <f t="shared" si="2"/>
        <v>310000</v>
      </c>
      <c r="F24" s="9">
        <f t="shared" si="3"/>
        <v>340000</v>
      </c>
    </row>
    <row r="25" spans="1:6" x14ac:dyDescent="0.35">
      <c r="A25" s="8" t="s">
        <v>155</v>
      </c>
      <c r="B25" s="8">
        <v>12774</v>
      </c>
      <c r="C25" s="8" t="s">
        <v>196</v>
      </c>
      <c r="D25" s="9">
        <v>50000</v>
      </c>
      <c r="E25" s="9">
        <f t="shared" si="2"/>
        <v>360000</v>
      </c>
      <c r="F25" s="9">
        <f t="shared" si="3"/>
        <v>290000</v>
      </c>
    </row>
    <row r="26" spans="1:6" x14ac:dyDescent="0.35">
      <c r="A26" s="10">
        <v>45844</v>
      </c>
      <c r="B26" s="8">
        <v>10281</v>
      </c>
      <c r="C26" s="8" t="s">
        <v>196</v>
      </c>
      <c r="D26" s="9">
        <v>10000</v>
      </c>
      <c r="E26" s="9">
        <f t="shared" si="2"/>
        <v>370000</v>
      </c>
      <c r="F26" s="9">
        <f t="shared" si="3"/>
        <v>280000</v>
      </c>
    </row>
    <row r="27" spans="1:6" x14ac:dyDescent="0.35">
      <c r="A27" s="8" t="s">
        <v>47</v>
      </c>
      <c r="B27" s="8">
        <v>12186</v>
      </c>
      <c r="C27" s="8" t="s">
        <v>196</v>
      </c>
      <c r="D27" s="9">
        <v>10000</v>
      </c>
      <c r="E27" s="9">
        <f t="shared" si="2"/>
        <v>380000</v>
      </c>
      <c r="F27" s="9">
        <f t="shared" si="3"/>
        <v>270000</v>
      </c>
    </row>
    <row r="28" spans="1:6" x14ac:dyDescent="0.35">
      <c r="A28" s="10">
        <v>45938</v>
      </c>
      <c r="B28" s="8">
        <v>12460</v>
      </c>
      <c r="C28" s="8" t="s">
        <v>196</v>
      </c>
      <c r="D28" s="9">
        <v>10000</v>
      </c>
      <c r="E28" s="9">
        <f t="shared" si="2"/>
        <v>390000</v>
      </c>
      <c r="F28" s="9">
        <f t="shared" si="3"/>
        <v>260000</v>
      </c>
    </row>
    <row r="29" spans="1:6" x14ac:dyDescent="0.35">
      <c r="A29" s="10">
        <v>45909</v>
      </c>
      <c r="B29" s="8">
        <v>12688</v>
      </c>
      <c r="C29" s="8" t="s">
        <v>196</v>
      </c>
      <c r="D29" s="9">
        <v>10000</v>
      </c>
      <c r="E29" s="9">
        <f t="shared" si="2"/>
        <v>400000</v>
      </c>
      <c r="F29" s="9">
        <f t="shared" si="3"/>
        <v>250000</v>
      </c>
    </row>
    <row r="30" spans="1:6" x14ac:dyDescent="0.35">
      <c r="A30" s="10">
        <v>45940</v>
      </c>
      <c r="B30" s="8">
        <v>13741</v>
      </c>
      <c r="C30" s="8" t="s">
        <v>196</v>
      </c>
      <c r="D30" s="9">
        <v>10000</v>
      </c>
      <c r="E30" s="9">
        <f t="shared" si="2"/>
        <v>410000</v>
      </c>
      <c r="F30" s="9">
        <f t="shared" si="3"/>
        <v>240000</v>
      </c>
    </row>
    <row r="31" spans="1:6" x14ac:dyDescent="0.35">
      <c r="A31" s="10">
        <v>45972</v>
      </c>
      <c r="B31" s="8">
        <v>13325</v>
      </c>
      <c r="C31" s="8" t="s">
        <v>196</v>
      </c>
      <c r="D31" s="9">
        <v>10000</v>
      </c>
      <c r="E31" s="9">
        <f t="shared" si="2"/>
        <v>420000</v>
      </c>
      <c r="F31" s="9">
        <f t="shared" si="3"/>
        <v>230000</v>
      </c>
    </row>
    <row r="32" spans="1:6" x14ac:dyDescent="0.35">
      <c r="A32" s="10">
        <v>45912</v>
      </c>
      <c r="B32" s="8">
        <v>13133</v>
      </c>
      <c r="C32" s="8" t="s">
        <v>196</v>
      </c>
      <c r="D32" s="9">
        <v>10000</v>
      </c>
      <c r="E32" s="9">
        <f t="shared" si="2"/>
        <v>430000</v>
      </c>
      <c r="F32" s="9">
        <f t="shared" si="3"/>
        <v>220000</v>
      </c>
    </row>
    <row r="33" spans="1:6" x14ac:dyDescent="0.35">
      <c r="A33" s="8" t="s">
        <v>255</v>
      </c>
      <c r="B33" s="8">
        <v>12144</v>
      </c>
      <c r="C33" s="8" t="s">
        <v>196</v>
      </c>
      <c r="D33" s="9">
        <v>20000</v>
      </c>
      <c r="E33" s="9">
        <f t="shared" si="2"/>
        <v>450000</v>
      </c>
      <c r="F33" s="9">
        <f t="shared" si="3"/>
        <v>200000</v>
      </c>
    </row>
    <row r="34" spans="1:6" x14ac:dyDescent="0.35">
      <c r="A34" s="10">
        <v>46268</v>
      </c>
      <c r="B34" s="8">
        <v>12791</v>
      </c>
      <c r="C34" s="8" t="s">
        <v>196</v>
      </c>
      <c r="D34" s="9">
        <v>10000</v>
      </c>
      <c r="E34" s="9">
        <f t="shared" si="2"/>
        <v>460000</v>
      </c>
      <c r="F34" s="9">
        <f t="shared" si="3"/>
        <v>190000</v>
      </c>
    </row>
    <row r="35" spans="1:6" x14ac:dyDescent="0.35">
      <c r="A35" s="8" t="s">
        <v>256</v>
      </c>
      <c r="B35" s="8">
        <v>13082</v>
      </c>
      <c r="C35" s="8" t="s">
        <v>196</v>
      </c>
      <c r="D35" s="9">
        <v>10000</v>
      </c>
      <c r="E35" s="9">
        <f t="shared" si="2"/>
        <v>470000</v>
      </c>
      <c r="F35" s="9">
        <f t="shared" si="3"/>
        <v>180000</v>
      </c>
    </row>
    <row r="36" spans="1:6" x14ac:dyDescent="0.35">
      <c r="A36" s="10">
        <v>46300</v>
      </c>
      <c r="B36" s="8">
        <v>13332</v>
      </c>
      <c r="C36" s="8" t="s">
        <v>196</v>
      </c>
      <c r="D36" s="9">
        <v>10000</v>
      </c>
      <c r="E36" s="9">
        <f t="shared" si="2"/>
        <v>480000</v>
      </c>
      <c r="F36" s="9">
        <f t="shared" si="3"/>
        <v>170000</v>
      </c>
    </row>
    <row r="37" spans="1:6" x14ac:dyDescent="0.35">
      <c r="A37" s="10">
        <v>46362</v>
      </c>
      <c r="B37" s="8">
        <v>13607</v>
      </c>
      <c r="C37" s="8" t="s">
        <v>196</v>
      </c>
      <c r="D37" s="9">
        <v>10000</v>
      </c>
      <c r="E37" s="9">
        <f>E36+D37</f>
        <v>490000</v>
      </c>
      <c r="F37" s="9">
        <f>F36-D37</f>
        <v>160000</v>
      </c>
    </row>
    <row r="38" spans="1:6" x14ac:dyDescent="0.35">
      <c r="A38" s="10">
        <v>46029</v>
      </c>
      <c r="B38" s="8">
        <v>1358</v>
      </c>
      <c r="C38" s="8" t="s">
        <v>196</v>
      </c>
      <c r="D38" s="9">
        <v>10000</v>
      </c>
      <c r="E38" s="9">
        <f>E37+D38</f>
        <v>500000</v>
      </c>
      <c r="F38" s="9">
        <f>F37-D38</f>
        <v>150000</v>
      </c>
    </row>
    <row r="39" spans="1:6" x14ac:dyDescent="0.35">
      <c r="A39" s="8" t="s">
        <v>308</v>
      </c>
      <c r="B39" s="8">
        <v>1766</v>
      </c>
      <c r="C39" s="8" t="s">
        <v>196</v>
      </c>
      <c r="D39" s="9">
        <v>10000</v>
      </c>
      <c r="E39" s="9">
        <f>E38+D39</f>
        <v>510000</v>
      </c>
      <c r="F39" s="9">
        <f>F38-D39</f>
        <v>140000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D98E-7EB8-4A35-A9D4-DAFEF591B476}">
  <dimension ref="A1:F36"/>
  <sheetViews>
    <sheetView workbookViewId="0">
      <selection activeCell="Q13" sqref="Q13"/>
    </sheetView>
  </sheetViews>
  <sheetFormatPr defaultRowHeight="14.5" x14ac:dyDescent="0.35"/>
  <sheetData>
    <row r="1" spans="1:6" ht="18.5" x14ac:dyDescent="0.45">
      <c r="A1" s="1" t="s">
        <v>248</v>
      </c>
      <c r="B1" s="1"/>
      <c r="C1" s="1"/>
      <c r="D1" s="1"/>
      <c r="E1" s="1"/>
      <c r="F1" s="1"/>
    </row>
    <row r="2" spans="1:6" ht="18.5" x14ac:dyDescent="0.45">
      <c r="A2" s="1" t="s">
        <v>249</v>
      </c>
      <c r="C2" s="1"/>
      <c r="D2" s="1"/>
      <c r="E2" s="1"/>
      <c r="F2" s="1"/>
    </row>
    <row r="3" spans="1:6" ht="18.5" x14ac:dyDescent="0.45">
      <c r="A3" s="1" t="s">
        <v>250</v>
      </c>
      <c r="B3" s="1"/>
      <c r="C3" s="1"/>
      <c r="D3" s="1"/>
      <c r="E3" s="1"/>
      <c r="F3" s="1"/>
    </row>
    <row r="4" spans="1:6" ht="18.5" x14ac:dyDescent="0.45">
      <c r="A4" s="1" t="s">
        <v>252</v>
      </c>
      <c r="B4" s="1"/>
      <c r="C4" s="1"/>
      <c r="D4" s="1"/>
      <c r="E4" s="1"/>
      <c r="F4" s="1"/>
    </row>
    <row r="5" spans="1:6" ht="18.5" x14ac:dyDescent="0.45">
      <c r="A5" s="1" t="s">
        <v>227</v>
      </c>
      <c r="B5" s="1"/>
      <c r="C5" s="1"/>
      <c r="D5" s="1"/>
      <c r="E5" s="1"/>
      <c r="F5" s="1"/>
    </row>
    <row r="6" spans="1:6" ht="18.5" x14ac:dyDescent="0.45">
      <c r="A6" s="1" t="s">
        <v>257</v>
      </c>
      <c r="B6" s="1"/>
      <c r="C6" s="1"/>
      <c r="D6" s="1"/>
      <c r="E6" s="1" t="s">
        <v>24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t="s">
        <v>253</v>
      </c>
      <c r="B8">
        <v>140</v>
      </c>
      <c r="C8" t="s">
        <v>254</v>
      </c>
      <c r="D8" s="16">
        <v>15000</v>
      </c>
      <c r="E8" s="16">
        <v>15000</v>
      </c>
      <c r="F8" s="16">
        <v>635000</v>
      </c>
    </row>
    <row r="9" spans="1:6" x14ac:dyDescent="0.35">
      <c r="A9" s="15">
        <v>45115</v>
      </c>
      <c r="B9">
        <v>3034</v>
      </c>
      <c r="C9" t="s">
        <v>141</v>
      </c>
      <c r="D9" s="16">
        <v>135000</v>
      </c>
      <c r="E9" s="16">
        <f>E8+D9</f>
        <v>150000</v>
      </c>
      <c r="F9" s="16">
        <f>F8-D9</f>
        <v>500000</v>
      </c>
    </row>
    <row r="10" spans="1:6" x14ac:dyDescent="0.35">
      <c r="A10" s="15">
        <v>45271</v>
      </c>
      <c r="B10">
        <v>4370</v>
      </c>
      <c r="C10" t="s">
        <v>196</v>
      </c>
      <c r="D10" s="16">
        <v>20000</v>
      </c>
      <c r="E10" s="16">
        <f t="shared" ref="E10:E36" si="0">E9+D10</f>
        <v>170000</v>
      </c>
      <c r="F10" s="16">
        <f t="shared" ref="F10:F36" si="1">F9-D10</f>
        <v>480000</v>
      </c>
    </row>
    <row r="11" spans="1:6" x14ac:dyDescent="0.35">
      <c r="A11" t="s">
        <v>38</v>
      </c>
      <c r="B11">
        <v>4851</v>
      </c>
      <c r="C11" t="s">
        <v>196</v>
      </c>
      <c r="D11" s="16">
        <v>10000</v>
      </c>
      <c r="E11" s="16">
        <f t="shared" si="0"/>
        <v>180000</v>
      </c>
      <c r="F11" s="16">
        <f t="shared" si="1"/>
        <v>470000</v>
      </c>
    </row>
    <row r="12" spans="1:6" x14ac:dyDescent="0.35">
      <c r="A12" s="15">
        <v>45211</v>
      </c>
      <c r="B12">
        <v>5452</v>
      </c>
      <c r="C12" t="s">
        <v>196</v>
      </c>
      <c r="D12" s="16">
        <v>10000</v>
      </c>
      <c r="E12" s="16">
        <f t="shared" si="0"/>
        <v>190000</v>
      </c>
      <c r="F12" s="16">
        <f t="shared" si="1"/>
        <v>460000</v>
      </c>
    </row>
    <row r="13" spans="1:6" x14ac:dyDescent="0.35">
      <c r="A13" s="15">
        <v>45566</v>
      </c>
      <c r="B13">
        <v>6090</v>
      </c>
      <c r="C13" t="s">
        <v>196</v>
      </c>
      <c r="D13" s="16">
        <v>10000</v>
      </c>
      <c r="E13" s="16">
        <f t="shared" si="0"/>
        <v>200000</v>
      </c>
      <c r="F13" s="16">
        <f t="shared" si="1"/>
        <v>450000</v>
      </c>
    </row>
    <row r="14" spans="1:6" x14ac:dyDescent="0.35">
      <c r="A14" s="15">
        <v>45506</v>
      </c>
      <c r="B14">
        <v>6573</v>
      </c>
      <c r="C14" t="s">
        <v>196</v>
      </c>
      <c r="D14" s="16">
        <v>10000</v>
      </c>
      <c r="E14" s="16">
        <f t="shared" si="0"/>
        <v>210000</v>
      </c>
      <c r="F14" s="16">
        <f t="shared" si="1"/>
        <v>440000</v>
      </c>
    </row>
    <row r="15" spans="1:6" x14ac:dyDescent="0.35">
      <c r="A15" s="15">
        <v>45568</v>
      </c>
      <c r="B15">
        <v>7261</v>
      </c>
      <c r="C15" t="s">
        <v>196</v>
      </c>
      <c r="D15" s="16">
        <v>10000</v>
      </c>
      <c r="E15" s="16">
        <f t="shared" si="0"/>
        <v>220000</v>
      </c>
      <c r="F15" s="16">
        <f t="shared" si="1"/>
        <v>430000</v>
      </c>
    </row>
    <row r="16" spans="1:6" x14ac:dyDescent="0.35">
      <c r="A16" s="15">
        <v>45447</v>
      </c>
      <c r="B16">
        <v>7691</v>
      </c>
      <c r="C16" t="s">
        <v>196</v>
      </c>
      <c r="D16" s="16">
        <v>10000</v>
      </c>
      <c r="E16" s="16">
        <f t="shared" si="0"/>
        <v>230000</v>
      </c>
      <c r="F16" s="16">
        <f t="shared" si="1"/>
        <v>420000</v>
      </c>
    </row>
    <row r="17" spans="1:6" x14ac:dyDescent="0.35">
      <c r="A17" s="15">
        <v>45387</v>
      </c>
      <c r="B17">
        <v>8194</v>
      </c>
      <c r="C17" t="s">
        <v>196</v>
      </c>
      <c r="D17" s="16">
        <v>10000</v>
      </c>
      <c r="E17" s="16">
        <f t="shared" si="0"/>
        <v>240000</v>
      </c>
      <c r="F17" s="16">
        <f t="shared" si="1"/>
        <v>410000</v>
      </c>
    </row>
    <row r="18" spans="1:6" x14ac:dyDescent="0.35">
      <c r="A18" s="15">
        <v>45297</v>
      </c>
      <c r="B18">
        <v>8802</v>
      </c>
      <c r="C18" t="s">
        <v>196</v>
      </c>
      <c r="D18" s="16">
        <v>10000</v>
      </c>
      <c r="E18" s="16">
        <f t="shared" si="0"/>
        <v>250000</v>
      </c>
      <c r="F18" s="16">
        <f t="shared" si="1"/>
        <v>400000</v>
      </c>
    </row>
    <row r="19" spans="1:6" x14ac:dyDescent="0.35">
      <c r="A19" s="15">
        <v>45542</v>
      </c>
      <c r="B19">
        <v>332</v>
      </c>
      <c r="C19" t="s">
        <v>196</v>
      </c>
      <c r="D19" s="16">
        <v>10000</v>
      </c>
      <c r="E19" s="16">
        <f t="shared" si="0"/>
        <v>260000</v>
      </c>
      <c r="F19" s="16">
        <f t="shared" si="1"/>
        <v>390000</v>
      </c>
    </row>
    <row r="20" spans="1:6" x14ac:dyDescent="0.35">
      <c r="A20" s="15">
        <v>45390</v>
      </c>
      <c r="B20">
        <v>338</v>
      </c>
      <c r="C20" t="s">
        <v>196</v>
      </c>
      <c r="D20" s="16">
        <v>10000</v>
      </c>
      <c r="E20" s="16">
        <f t="shared" si="0"/>
        <v>270000</v>
      </c>
      <c r="F20" s="16">
        <f t="shared" si="1"/>
        <v>380000</v>
      </c>
    </row>
    <row r="21" spans="1:6" x14ac:dyDescent="0.35">
      <c r="A21" s="15">
        <v>45544</v>
      </c>
      <c r="B21">
        <v>10857</v>
      </c>
      <c r="C21" t="s">
        <v>196</v>
      </c>
      <c r="D21" s="16">
        <v>10000</v>
      </c>
      <c r="E21" s="16">
        <f t="shared" si="0"/>
        <v>280000</v>
      </c>
      <c r="F21" s="16">
        <f t="shared" si="1"/>
        <v>370000</v>
      </c>
    </row>
    <row r="22" spans="1:6" x14ac:dyDescent="0.35">
      <c r="A22" s="15">
        <v>45575</v>
      </c>
      <c r="B22">
        <v>10924</v>
      </c>
      <c r="C22" t="s">
        <v>196</v>
      </c>
      <c r="D22" s="16">
        <v>10000</v>
      </c>
      <c r="E22" s="16">
        <f t="shared" si="0"/>
        <v>290000</v>
      </c>
      <c r="F22" s="16">
        <f t="shared" si="1"/>
        <v>360000</v>
      </c>
    </row>
    <row r="23" spans="1:6" x14ac:dyDescent="0.35">
      <c r="A23" s="15">
        <v>45607</v>
      </c>
      <c r="B23">
        <v>12321</v>
      </c>
      <c r="C23" t="s">
        <v>196</v>
      </c>
      <c r="D23" s="16">
        <v>10000</v>
      </c>
      <c r="E23" s="16">
        <f t="shared" si="0"/>
        <v>300000</v>
      </c>
      <c r="F23" s="16">
        <f t="shared" si="1"/>
        <v>350000</v>
      </c>
    </row>
    <row r="24" spans="1:6" x14ac:dyDescent="0.35">
      <c r="A24" s="15">
        <v>45577</v>
      </c>
      <c r="B24">
        <v>12772</v>
      </c>
      <c r="C24" t="s">
        <v>196</v>
      </c>
      <c r="D24" s="16">
        <v>10000</v>
      </c>
      <c r="E24" s="16">
        <f t="shared" si="0"/>
        <v>310000</v>
      </c>
      <c r="F24" s="16">
        <f t="shared" si="1"/>
        <v>340000</v>
      </c>
    </row>
    <row r="25" spans="1:6" x14ac:dyDescent="0.35">
      <c r="A25" t="s">
        <v>155</v>
      </c>
      <c r="B25">
        <v>10282</v>
      </c>
      <c r="C25" t="s">
        <v>196</v>
      </c>
      <c r="D25" s="16">
        <v>50000</v>
      </c>
      <c r="E25" s="16">
        <f t="shared" si="0"/>
        <v>360000</v>
      </c>
      <c r="F25" s="16">
        <f t="shared" si="1"/>
        <v>290000</v>
      </c>
    </row>
    <row r="26" spans="1:6" x14ac:dyDescent="0.35">
      <c r="A26" s="15">
        <v>45844</v>
      </c>
      <c r="B26">
        <v>12187</v>
      </c>
      <c r="C26" t="s">
        <v>196</v>
      </c>
      <c r="D26" s="16">
        <v>10000</v>
      </c>
      <c r="E26" s="16">
        <f t="shared" si="0"/>
        <v>370000</v>
      </c>
      <c r="F26" s="16">
        <f t="shared" si="1"/>
        <v>280000</v>
      </c>
    </row>
    <row r="27" spans="1:6" x14ac:dyDescent="0.35">
      <c r="A27" t="s">
        <v>47</v>
      </c>
      <c r="B27">
        <v>12186</v>
      </c>
      <c r="C27" t="s">
        <v>196</v>
      </c>
      <c r="D27" s="16">
        <v>10000</v>
      </c>
      <c r="E27" s="16">
        <f t="shared" si="0"/>
        <v>380000</v>
      </c>
      <c r="F27" s="16">
        <f t="shared" si="1"/>
        <v>270000</v>
      </c>
    </row>
    <row r="28" spans="1:6" x14ac:dyDescent="0.35">
      <c r="A28" s="15">
        <v>45938</v>
      </c>
      <c r="B28">
        <v>12462</v>
      </c>
      <c r="C28" t="s">
        <v>196</v>
      </c>
      <c r="D28" s="16">
        <v>10000</v>
      </c>
      <c r="E28" s="16">
        <f t="shared" si="0"/>
        <v>390000</v>
      </c>
      <c r="F28" s="16">
        <f t="shared" si="1"/>
        <v>260000</v>
      </c>
    </row>
    <row r="29" spans="1:6" x14ac:dyDescent="0.35">
      <c r="A29" s="15">
        <v>45909</v>
      </c>
      <c r="B29">
        <v>12687</v>
      </c>
      <c r="C29" t="s">
        <v>196</v>
      </c>
      <c r="D29" s="16">
        <v>10000</v>
      </c>
      <c r="E29" s="16">
        <f t="shared" si="0"/>
        <v>400000</v>
      </c>
      <c r="F29" s="16">
        <f t="shared" si="1"/>
        <v>250000</v>
      </c>
    </row>
    <row r="30" spans="1:6" x14ac:dyDescent="0.35">
      <c r="A30" s="15">
        <v>45940</v>
      </c>
      <c r="B30">
        <v>13740</v>
      </c>
      <c r="C30" t="s">
        <v>196</v>
      </c>
      <c r="D30" s="16">
        <v>10000</v>
      </c>
      <c r="E30" s="16">
        <f t="shared" si="0"/>
        <v>410000</v>
      </c>
      <c r="F30" s="16">
        <f t="shared" si="1"/>
        <v>240000</v>
      </c>
    </row>
    <row r="31" spans="1:6" x14ac:dyDescent="0.35">
      <c r="A31" s="15">
        <v>45972</v>
      </c>
      <c r="B31">
        <v>13324</v>
      </c>
      <c r="C31" t="s">
        <v>196</v>
      </c>
      <c r="D31" s="16">
        <v>10000</v>
      </c>
      <c r="E31" s="16">
        <f t="shared" si="0"/>
        <v>420000</v>
      </c>
      <c r="F31" s="16">
        <f t="shared" si="1"/>
        <v>230000</v>
      </c>
    </row>
    <row r="32" spans="1:6" x14ac:dyDescent="0.35">
      <c r="A32" s="15">
        <v>45912</v>
      </c>
      <c r="B32">
        <v>13134</v>
      </c>
      <c r="C32" t="s">
        <v>196</v>
      </c>
      <c r="D32" s="16">
        <v>10000</v>
      </c>
      <c r="E32" s="16">
        <f t="shared" si="0"/>
        <v>430000</v>
      </c>
      <c r="F32" s="16">
        <f t="shared" si="1"/>
        <v>220000</v>
      </c>
    </row>
    <row r="33" spans="1:6" x14ac:dyDescent="0.35">
      <c r="A33" t="s">
        <v>255</v>
      </c>
      <c r="B33">
        <v>12143</v>
      </c>
      <c r="C33" t="s">
        <v>196</v>
      </c>
      <c r="D33" s="16">
        <v>20000</v>
      </c>
      <c r="E33" s="16">
        <f t="shared" si="0"/>
        <v>450000</v>
      </c>
      <c r="F33" s="16">
        <f t="shared" si="1"/>
        <v>200000</v>
      </c>
    </row>
    <row r="34" spans="1:6" x14ac:dyDescent="0.35">
      <c r="A34" s="15">
        <v>46268</v>
      </c>
      <c r="B34">
        <v>12792</v>
      </c>
      <c r="C34" t="s">
        <v>196</v>
      </c>
      <c r="D34" s="16">
        <v>10000</v>
      </c>
      <c r="E34" s="16">
        <f t="shared" si="0"/>
        <v>460000</v>
      </c>
      <c r="F34" s="16">
        <f t="shared" si="1"/>
        <v>190000</v>
      </c>
    </row>
    <row r="35" spans="1:6" x14ac:dyDescent="0.35">
      <c r="A35" t="s">
        <v>256</v>
      </c>
      <c r="B35">
        <v>13283</v>
      </c>
      <c r="C35" t="s">
        <v>196</v>
      </c>
      <c r="D35" s="16">
        <v>10000</v>
      </c>
      <c r="E35" s="16">
        <f t="shared" si="0"/>
        <v>470000</v>
      </c>
      <c r="F35" s="16">
        <f t="shared" si="1"/>
        <v>180000</v>
      </c>
    </row>
    <row r="36" spans="1:6" x14ac:dyDescent="0.35">
      <c r="A36" s="15">
        <v>46300</v>
      </c>
      <c r="B36">
        <v>13320</v>
      </c>
      <c r="C36" t="s">
        <v>196</v>
      </c>
      <c r="D36" s="16">
        <v>10000</v>
      </c>
      <c r="E36" s="16">
        <f t="shared" si="0"/>
        <v>480000</v>
      </c>
      <c r="F36" s="16">
        <f t="shared" si="1"/>
        <v>170000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91E4-9C56-4982-897C-1AD318516FAE}">
  <dimension ref="A1:F32"/>
  <sheetViews>
    <sheetView workbookViewId="0">
      <selection activeCell="K1" sqref="K1"/>
    </sheetView>
  </sheetViews>
  <sheetFormatPr defaultRowHeight="14.5" x14ac:dyDescent="0.35"/>
  <cols>
    <col min="1" max="1" width="10.453125" bestFit="1" customWidth="1"/>
    <col min="3" max="3" width="11.36328125" customWidth="1"/>
    <col min="6" max="6" width="10.6328125" customWidth="1"/>
  </cols>
  <sheetData>
    <row r="1" spans="1:6" ht="18.5" x14ac:dyDescent="0.45">
      <c r="A1" s="1" t="s">
        <v>203</v>
      </c>
      <c r="B1" s="1"/>
      <c r="C1" s="1"/>
      <c r="D1" s="1"/>
      <c r="E1" s="1"/>
      <c r="F1" s="1"/>
    </row>
    <row r="2" spans="1:6" ht="18.5" x14ac:dyDescent="0.45">
      <c r="A2" s="1" t="s">
        <v>204</v>
      </c>
      <c r="C2" s="1"/>
      <c r="D2" s="1"/>
      <c r="E2" s="1"/>
      <c r="F2" s="1"/>
    </row>
    <row r="3" spans="1:6" ht="18.5" x14ac:dyDescent="0.45">
      <c r="A3" s="1" t="s">
        <v>205</v>
      </c>
      <c r="B3" s="1"/>
      <c r="C3" s="1"/>
      <c r="D3" s="1"/>
      <c r="E3" s="1"/>
      <c r="F3" s="1"/>
    </row>
    <row r="4" spans="1:6" ht="18.5" x14ac:dyDescent="0.45">
      <c r="A4" s="1" t="s">
        <v>143</v>
      </c>
      <c r="B4" s="1"/>
      <c r="C4" s="1"/>
      <c r="D4" s="1"/>
      <c r="E4" s="1"/>
      <c r="F4" s="1"/>
    </row>
    <row r="5" spans="1:6" ht="18.5" x14ac:dyDescent="0.45">
      <c r="A5" s="1" t="s">
        <v>206</v>
      </c>
      <c r="B5" s="1"/>
      <c r="C5" s="1"/>
      <c r="D5" s="1"/>
      <c r="E5" s="1"/>
      <c r="F5" s="1"/>
    </row>
    <row r="6" spans="1:6" ht="18.5" x14ac:dyDescent="0.45">
      <c r="A6" s="1" t="s">
        <v>207</v>
      </c>
      <c r="B6" s="1"/>
      <c r="C6" s="1"/>
      <c r="D6" s="1"/>
      <c r="E6" s="1" t="s">
        <v>208</v>
      </c>
      <c r="F6" s="1"/>
    </row>
    <row r="7" spans="1:6" x14ac:dyDescent="0.35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</row>
    <row r="8" spans="1:6" x14ac:dyDescent="0.35">
      <c r="A8" t="s">
        <v>209</v>
      </c>
      <c r="B8">
        <v>138</v>
      </c>
      <c r="C8" t="s">
        <v>216</v>
      </c>
      <c r="D8" s="16">
        <v>10000</v>
      </c>
      <c r="E8" s="16">
        <v>10000</v>
      </c>
      <c r="F8" s="16">
        <v>290000</v>
      </c>
    </row>
    <row r="9" spans="1:6" x14ac:dyDescent="0.35">
      <c r="A9" s="15">
        <v>43990</v>
      </c>
      <c r="B9">
        <v>139</v>
      </c>
      <c r="C9" t="s">
        <v>196</v>
      </c>
      <c r="D9" s="16">
        <v>14500</v>
      </c>
      <c r="E9" s="16">
        <f>SUM(E8+D9)</f>
        <v>24500</v>
      </c>
      <c r="F9" s="16">
        <f>F8-D9</f>
        <v>275500</v>
      </c>
    </row>
    <row r="10" spans="1:6" x14ac:dyDescent="0.35">
      <c r="A10" t="s">
        <v>210</v>
      </c>
      <c r="B10">
        <v>139</v>
      </c>
      <c r="C10" t="s">
        <v>196</v>
      </c>
      <c r="D10" s="16">
        <v>14500</v>
      </c>
      <c r="E10" s="16">
        <f t="shared" ref="E10:E13" si="0">SUM(E9+D10)</f>
        <v>39000</v>
      </c>
      <c r="F10" s="16">
        <f t="shared" ref="F10:F13" si="1">F9-D10</f>
        <v>261000</v>
      </c>
    </row>
    <row r="11" spans="1:6" x14ac:dyDescent="0.35">
      <c r="A11" s="15">
        <v>43901</v>
      </c>
      <c r="B11">
        <v>139</v>
      </c>
      <c r="C11" t="s">
        <v>196</v>
      </c>
      <c r="D11" s="16">
        <v>14500</v>
      </c>
      <c r="E11" s="16">
        <f t="shared" si="0"/>
        <v>53500</v>
      </c>
      <c r="F11" s="16">
        <f t="shared" si="1"/>
        <v>246500</v>
      </c>
    </row>
    <row r="12" spans="1:6" x14ac:dyDescent="0.35">
      <c r="A12" t="s">
        <v>211</v>
      </c>
      <c r="B12">
        <v>139</v>
      </c>
      <c r="C12" t="s">
        <v>196</v>
      </c>
      <c r="D12" s="16">
        <v>14500</v>
      </c>
      <c r="E12" s="16">
        <f t="shared" si="0"/>
        <v>68000</v>
      </c>
      <c r="F12" s="16">
        <f t="shared" si="1"/>
        <v>232000</v>
      </c>
    </row>
    <row r="13" spans="1:6" x14ac:dyDescent="0.35">
      <c r="A13" s="15" t="s">
        <v>211</v>
      </c>
      <c r="B13">
        <v>139</v>
      </c>
      <c r="C13" t="s">
        <v>196</v>
      </c>
      <c r="D13" s="16">
        <v>14500</v>
      </c>
      <c r="E13" s="16">
        <f t="shared" si="0"/>
        <v>82500</v>
      </c>
      <c r="F13" s="16">
        <f t="shared" si="1"/>
        <v>217500</v>
      </c>
    </row>
    <row r="14" spans="1:6" x14ac:dyDescent="0.35">
      <c r="A14" s="15" t="s">
        <v>212</v>
      </c>
      <c r="B14">
        <v>139</v>
      </c>
      <c r="C14" t="s">
        <v>196</v>
      </c>
      <c r="D14" s="16">
        <v>14500</v>
      </c>
      <c r="E14" s="16">
        <f t="shared" ref="E14:E29" si="2">SUM(E13+D14)</f>
        <v>97000</v>
      </c>
      <c r="F14" s="16">
        <f t="shared" ref="F14:F29" si="3">F13-D14</f>
        <v>203000</v>
      </c>
    </row>
    <row r="15" spans="1:6" x14ac:dyDescent="0.35">
      <c r="A15" t="s">
        <v>213</v>
      </c>
      <c r="B15">
        <v>139</v>
      </c>
      <c r="C15" t="s">
        <v>196</v>
      </c>
      <c r="D15" s="16">
        <v>14500</v>
      </c>
      <c r="E15" s="16">
        <f t="shared" si="2"/>
        <v>111500</v>
      </c>
      <c r="F15" s="16">
        <f t="shared" si="3"/>
        <v>188500</v>
      </c>
    </row>
    <row r="16" spans="1:6" x14ac:dyDescent="0.35">
      <c r="A16" s="15">
        <v>44512</v>
      </c>
      <c r="B16">
        <v>139</v>
      </c>
      <c r="C16" t="s">
        <v>196</v>
      </c>
      <c r="D16" s="16">
        <v>14500</v>
      </c>
      <c r="E16" s="16">
        <f t="shared" si="2"/>
        <v>126000</v>
      </c>
      <c r="F16" s="16">
        <f t="shared" si="3"/>
        <v>174000</v>
      </c>
    </row>
    <row r="17" spans="1:6" x14ac:dyDescent="0.35">
      <c r="A17" t="s">
        <v>214</v>
      </c>
      <c r="B17">
        <v>139</v>
      </c>
      <c r="C17" t="s">
        <v>196</v>
      </c>
      <c r="D17" s="16">
        <v>14500</v>
      </c>
      <c r="E17" s="16">
        <f t="shared" si="2"/>
        <v>140500</v>
      </c>
      <c r="F17" s="16">
        <f t="shared" si="3"/>
        <v>159500</v>
      </c>
    </row>
    <row r="18" spans="1:6" x14ac:dyDescent="0.35">
      <c r="A18" s="15" t="s">
        <v>215</v>
      </c>
      <c r="B18">
        <v>139</v>
      </c>
      <c r="C18" t="s">
        <v>196</v>
      </c>
      <c r="D18" s="16">
        <v>14500</v>
      </c>
      <c r="E18" s="16">
        <f t="shared" si="2"/>
        <v>155000</v>
      </c>
      <c r="F18" s="16">
        <f t="shared" si="3"/>
        <v>145000</v>
      </c>
    </row>
    <row r="19" spans="1:6" x14ac:dyDescent="0.35">
      <c r="A19" s="15" t="s">
        <v>215</v>
      </c>
      <c r="B19">
        <v>139</v>
      </c>
      <c r="C19" t="s">
        <v>196</v>
      </c>
      <c r="D19" s="16">
        <v>29000</v>
      </c>
      <c r="E19" s="16">
        <f t="shared" si="2"/>
        <v>184000</v>
      </c>
      <c r="F19" s="16">
        <f t="shared" si="3"/>
        <v>116000</v>
      </c>
    </row>
    <row r="20" spans="1:6" x14ac:dyDescent="0.35">
      <c r="A20" s="15" t="s">
        <v>217</v>
      </c>
      <c r="B20">
        <v>139</v>
      </c>
      <c r="C20" t="s">
        <v>196</v>
      </c>
      <c r="D20" s="16">
        <v>14500</v>
      </c>
      <c r="E20" s="16">
        <f t="shared" si="2"/>
        <v>198500</v>
      </c>
      <c r="F20" s="16">
        <f t="shared" si="3"/>
        <v>101500</v>
      </c>
    </row>
    <row r="21" spans="1:6" x14ac:dyDescent="0.35">
      <c r="A21" s="15" t="s">
        <v>217</v>
      </c>
      <c r="B21">
        <v>139</v>
      </c>
      <c r="C21" t="s">
        <v>196</v>
      </c>
      <c r="D21" s="16">
        <v>14500</v>
      </c>
      <c r="E21" s="16">
        <f t="shared" si="2"/>
        <v>213000</v>
      </c>
      <c r="F21" s="16">
        <f t="shared" si="3"/>
        <v>87000</v>
      </c>
    </row>
    <row r="22" spans="1:6" x14ac:dyDescent="0.35">
      <c r="A22" s="15">
        <v>44628</v>
      </c>
      <c r="B22">
        <v>125</v>
      </c>
      <c r="C22" t="s">
        <v>196</v>
      </c>
      <c r="D22" s="16">
        <v>10000</v>
      </c>
      <c r="E22" s="16">
        <f t="shared" si="2"/>
        <v>223000</v>
      </c>
      <c r="F22" s="16">
        <f t="shared" si="3"/>
        <v>77000</v>
      </c>
    </row>
    <row r="23" spans="1:6" x14ac:dyDescent="0.35">
      <c r="A23" s="15">
        <v>44874</v>
      </c>
      <c r="B23">
        <v>1180</v>
      </c>
      <c r="C23" t="s">
        <v>196</v>
      </c>
      <c r="D23" s="16">
        <v>10000</v>
      </c>
      <c r="E23" s="16">
        <f t="shared" si="2"/>
        <v>233000</v>
      </c>
      <c r="F23" s="16">
        <f t="shared" si="3"/>
        <v>67000</v>
      </c>
    </row>
    <row r="24" spans="1:6" x14ac:dyDescent="0.35">
      <c r="A24" s="15">
        <v>44663</v>
      </c>
      <c r="B24">
        <v>2426</v>
      </c>
      <c r="C24" t="s">
        <v>196</v>
      </c>
      <c r="D24" s="16">
        <v>10000</v>
      </c>
      <c r="E24" s="16">
        <f t="shared" si="2"/>
        <v>243000</v>
      </c>
      <c r="F24" s="16">
        <f t="shared" si="3"/>
        <v>57000</v>
      </c>
    </row>
    <row r="25" spans="1:6" x14ac:dyDescent="0.35">
      <c r="A25" t="s">
        <v>218</v>
      </c>
      <c r="B25">
        <v>2427</v>
      </c>
      <c r="C25" t="s">
        <v>196</v>
      </c>
      <c r="D25" s="16">
        <v>10000</v>
      </c>
      <c r="E25" s="16">
        <f t="shared" si="2"/>
        <v>253000</v>
      </c>
      <c r="F25" s="16">
        <f t="shared" si="3"/>
        <v>47000</v>
      </c>
    </row>
    <row r="26" spans="1:6" x14ac:dyDescent="0.35">
      <c r="A26" t="s">
        <v>62</v>
      </c>
      <c r="B26">
        <v>2428</v>
      </c>
      <c r="C26" t="s">
        <v>196</v>
      </c>
      <c r="D26" s="16">
        <v>10000</v>
      </c>
      <c r="E26" s="16">
        <f t="shared" si="2"/>
        <v>263000</v>
      </c>
      <c r="F26" s="16">
        <f t="shared" si="3"/>
        <v>37000</v>
      </c>
    </row>
    <row r="27" spans="1:6" x14ac:dyDescent="0.35">
      <c r="A27" t="s">
        <v>219</v>
      </c>
      <c r="B27">
        <v>2596</v>
      </c>
      <c r="C27" t="s">
        <v>196</v>
      </c>
      <c r="D27" s="16">
        <v>10000</v>
      </c>
      <c r="E27" s="16">
        <f t="shared" si="2"/>
        <v>273000</v>
      </c>
      <c r="F27" s="16">
        <f t="shared" si="3"/>
        <v>27000</v>
      </c>
    </row>
    <row r="28" spans="1:6" x14ac:dyDescent="0.35">
      <c r="A28" t="s">
        <v>220</v>
      </c>
      <c r="B28">
        <v>160</v>
      </c>
      <c r="C28" t="s">
        <v>196</v>
      </c>
      <c r="D28" s="16">
        <v>10000</v>
      </c>
      <c r="E28" s="16">
        <f t="shared" si="2"/>
        <v>283000</v>
      </c>
      <c r="F28" s="16">
        <f t="shared" si="3"/>
        <v>17000</v>
      </c>
    </row>
    <row r="29" spans="1:6" x14ac:dyDescent="0.35">
      <c r="A29" t="s">
        <v>126</v>
      </c>
      <c r="B29">
        <v>2820</v>
      </c>
      <c r="C29" t="s">
        <v>196</v>
      </c>
      <c r="D29" s="16">
        <v>17000</v>
      </c>
      <c r="E29" s="16">
        <f t="shared" si="2"/>
        <v>300000</v>
      </c>
      <c r="F29" s="16">
        <f t="shared" si="3"/>
        <v>0</v>
      </c>
    </row>
    <row r="31" spans="1:6" x14ac:dyDescent="0.35">
      <c r="A31" t="s">
        <v>202</v>
      </c>
      <c r="B31">
        <v>1327</v>
      </c>
      <c r="C31" t="s">
        <v>221</v>
      </c>
      <c r="D31" s="16">
        <v>70000</v>
      </c>
      <c r="E31" s="16">
        <v>70000</v>
      </c>
      <c r="F31" t="s">
        <v>222</v>
      </c>
    </row>
    <row r="32" spans="1:6" ht="18.5" x14ac:dyDescent="0.45">
      <c r="A32" s="42" t="s">
        <v>223</v>
      </c>
      <c r="B32" s="42"/>
      <c r="C32" s="42"/>
      <c r="D32" s="42"/>
      <c r="E32" s="4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E536-6A0F-4C26-A5BD-80C21D33F9EB}">
  <dimension ref="A1:F16"/>
  <sheetViews>
    <sheetView workbookViewId="0">
      <selection activeCell="A7" sqref="A7:F16"/>
    </sheetView>
  </sheetViews>
  <sheetFormatPr defaultRowHeight="14.5" x14ac:dyDescent="0.35"/>
  <cols>
    <col min="1" max="1" width="9.4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19</v>
      </c>
      <c r="B1" s="1"/>
      <c r="C1" s="1"/>
      <c r="D1" s="1"/>
      <c r="E1" s="1"/>
      <c r="F1" s="1"/>
    </row>
    <row r="2" spans="1:6" ht="18.5" x14ac:dyDescent="0.45">
      <c r="A2" s="1" t="s">
        <v>20</v>
      </c>
      <c r="C2" s="1"/>
      <c r="D2" s="1"/>
      <c r="E2" s="1"/>
      <c r="F2" s="1"/>
    </row>
    <row r="3" spans="1:6" ht="18.5" x14ac:dyDescent="0.45">
      <c r="A3" s="1" t="s">
        <v>21</v>
      </c>
      <c r="B3" s="1"/>
      <c r="C3" s="1"/>
      <c r="D3" s="1"/>
      <c r="E3" s="1"/>
      <c r="F3" s="1"/>
    </row>
    <row r="4" spans="1:6" ht="18.5" x14ac:dyDescent="0.45">
      <c r="A4" s="1" t="s">
        <v>259</v>
      </c>
      <c r="B4" s="1" t="s">
        <v>272</v>
      </c>
      <c r="C4" s="1"/>
      <c r="D4" s="1"/>
      <c r="E4" s="1"/>
      <c r="F4" s="1"/>
    </row>
    <row r="5" spans="1:6" ht="18.5" x14ac:dyDescent="0.45">
      <c r="A5" s="1" t="s">
        <v>22</v>
      </c>
      <c r="B5" s="1"/>
      <c r="C5" s="1"/>
      <c r="D5" s="1"/>
      <c r="E5" s="1"/>
      <c r="F5" s="1"/>
    </row>
    <row r="6" spans="1:6" ht="18.5" x14ac:dyDescent="0.45">
      <c r="A6" s="1" t="s">
        <v>28</v>
      </c>
      <c r="B6" s="1"/>
      <c r="C6" s="1"/>
      <c r="D6" s="1"/>
      <c r="E6" s="1" t="s">
        <v>24</v>
      </c>
      <c r="F6" s="1"/>
    </row>
    <row r="7" spans="1:6" x14ac:dyDescent="0.35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</row>
    <row r="8" spans="1:6" x14ac:dyDescent="0.35">
      <c r="A8" s="8" t="s">
        <v>25</v>
      </c>
      <c r="B8" s="8">
        <v>13221</v>
      </c>
      <c r="C8" s="8" t="s">
        <v>26</v>
      </c>
      <c r="D8" s="9">
        <v>50000</v>
      </c>
      <c r="E8" s="9">
        <v>50000</v>
      </c>
      <c r="F8" s="9">
        <v>600000</v>
      </c>
    </row>
    <row r="9" spans="1:6" x14ac:dyDescent="0.35">
      <c r="A9" s="10">
        <v>46327</v>
      </c>
      <c r="B9" s="8">
        <v>12089</v>
      </c>
      <c r="C9" s="8" t="s">
        <v>27</v>
      </c>
      <c r="D9" s="9">
        <v>10000</v>
      </c>
      <c r="E9" s="9">
        <v>60000</v>
      </c>
      <c r="F9" s="9">
        <v>590000</v>
      </c>
    </row>
    <row r="10" spans="1:6" x14ac:dyDescent="0.35">
      <c r="A10" s="10">
        <v>46328</v>
      </c>
      <c r="B10" s="8">
        <v>12436</v>
      </c>
      <c r="C10" s="8" t="s">
        <v>27</v>
      </c>
      <c r="D10" s="9">
        <v>10000</v>
      </c>
      <c r="E10" s="9">
        <v>70000</v>
      </c>
      <c r="F10" s="9">
        <v>580000</v>
      </c>
    </row>
    <row r="11" spans="1:6" x14ac:dyDescent="0.35">
      <c r="A11" s="10">
        <v>46298</v>
      </c>
      <c r="B11" s="8">
        <v>12808</v>
      </c>
      <c r="C11" s="8" t="s">
        <v>27</v>
      </c>
      <c r="D11" s="9">
        <v>10000</v>
      </c>
      <c r="E11" s="9">
        <f>SUM(E10+D10)</f>
        <v>80000</v>
      </c>
      <c r="F11" s="9">
        <f t="shared" ref="F11:F16" si="0">F10-D11</f>
        <v>570000</v>
      </c>
    </row>
    <row r="12" spans="1:6" x14ac:dyDescent="0.35">
      <c r="A12" s="10">
        <v>46330</v>
      </c>
      <c r="B12" s="8">
        <v>13222</v>
      </c>
      <c r="C12" s="8" t="s">
        <v>27</v>
      </c>
      <c r="D12" s="9">
        <v>10000</v>
      </c>
      <c r="E12" s="9">
        <f>SUM(E11+D11)</f>
        <v>90000</v>
      </c>
      <c r="F12" s="9">
        <f t="shared" si="0"/>
        <v>560000</v>
      </c>
    </row>
    <row r="13" spans="1:6" x14ac:dyDescent="0.35">
      <c r="A13" s="8" t="s">
        <v>258</v>
      </c>
      <c r="B13" s="8">
        <v>13373</v>
      </c>
      <c r="C13" s="8" t="s">
        <v>27</v>
      </c>
      <c r="D13" s="9">
        <v>10000</v>
      </c>
      <c r="E13" s="9">
        <f>SUM(E12+D12)</f>
        <v>100000</v>
      </c>
      <c r="F13" s="9">
        <f t="shared" si="0"/>
        <v>550000</v>
      </c>
    </row>
    <row r="14" spans="1:6" x14ac:dyDescent="0.35">
      <c r="A14" s="8" t="s">
        <v>270</v>
      </c>
      <c r="B14" s="8">
        <v>13601</v>
      </c>
      <c r="C14" s="8" t="s">
        <v>27</v>
      </c>
      <c r="D14" s="9">
        <v>10000</v>
      </c>
      <c r="E14" s="9">
        <f>E13+D14</f>
        <v>110000</v>
      </c>
      <c r="F14" s="9">
        <f t="shared" si="0"/>
        <v>540000</v>
      </c>
    </row>
    <row r="15" spans="1:6" x14ac:dyDescent="0.35">
      <c r="A15" s="8" t="s">
        <v>285</v>
      </c>
      <c r="B15" s="8">
        <v>1453</v>
      </c>
      <c r="C15" s="8" t="s">
        <v>27</v>
      </c>
      <c r="D15" s="9">
        <v>10000</v>
      </c>
      <c r="E15" s="9">
        <f>E14+D15</f>
        <v>120000</v>
      </c>
      <c r="F15" s="9">
        <f t="shared" si="0"/>
        <v>530000</v>
      </c>
    </row>
    <row r="16" spans="1:6" x14ac:dyDescent="0.35">
      <c r="A16" s="10">
        <v>46364</v>
      </c>
      <c r="B16" s="8">
        <v>1751</v>
      </c>
      <c r="C16" s="8" t="s">
        <v>27</v>
      </c>
      <c r="D16" s="9">
        <v>10000</v>
      </c>
      <c r="E16" s="9">
        <f>E15+D16</f>
        <v>130000</v>
      </c>
      <c r="F16" s="9">
        <f t="shared" si="0"/>
        <v>520000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5427-E9BB-4435-A24C-F259D9D8E139}">
  <dimension ref="A1:F16"/>
  <sheetViews>
    <sheetView workbookViewId="0">
      <selection activeCell="A7" sqref="A7:F16"/>
    </sheetView>
  </sheetViews>
  <sheetFormatPr defaultRowHeight="14.5" x14ac:dyDescent="0.3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19</v>
      </c>
      <c r="B1" s="1"/>
      <c r="C1" s="1"/>
      <c r="D1" s="1"/>
      <c r="E1" s="1"/>
      <c r="F1" s="1"/>
    </row>
    <row r="2" spans="1:6" ht="18.5" x14ac:dyDescent="0.45">
      <c r="A2" s="1" t="s">
        <v>20</v>
      </c>
      <c r="C2" s="1"/>
      <c r="D2" s="1"/>
      <c r="E2" s="1"/>
      <c r="F2" s="1"/>
    </row>
    <row r="3" spans="1:6" ht="18.5" x14ac:dyDescent="0.45">
      <c r="A3" s="1" t="s">
        <v>21</v>
      </c>
      <c r="B3" s="1"/>
      <c r="C3" s="1"/>
      <c r="D3" s="1"/>
      <c r="E3" s="1"/>
      <c r="F3" s="1"/>
    </row>
    <row r="4" spans="1:6" ht="18.5" x14ac:dyDescent="0.45">
      <c r="A4" s="1" t="s">
        <v>259</v>
      </c>
      <c r="B4" s="1"/>
      <c r="C4" s="1" t="s">
        <v>271</v>
      </c>
      <c r="D4" s="1"/>
      <c r="E4" s="1"/>
      <c r="F4" s="1"/>
    </row>
    <row r="5" spans="1:6" ht="18.5" x14ac:dyDescent="0.45">
      <c r="A5" s="1" t="s">
        <v>22</v>
      </c>
      <c r="B5" s="1"/>
      <c r="C5" s="1"/>
      <c r="D5" s="1"/>
      <c r="E5" s="1"/>
      <c r="F5" s="1"/>
    </row>
    <row r="6" spans="1:6" ht="18.5" x14ac:dyDescent="0.45">
      <c r="A6" s="1" t="s">
        <v>23</v>
      </c>
      <c r="B6" s="1"/>
      <c r="C6" s="1"/>
      <c r="D6" s="1"/>
      <c r="E6" s="1" t="s">
        <v>24</v>
      </c>
      <c r="F6" s="1"/>
    </row>
    <row r="7" spans="1:6" x14ac:dyDescent="0.35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</row>
    <row r="8" spans="1:6" x14ac:dyDescent="0.35">
      <c r="A8" s="8" t="s">
        <v>25</v>
      </c>
      <c r="B8" s="8">
        <v>13222</v>
      </c>
      <c r="C8" s="8" t="s">
        <v>26</v>
      </c>
      <c r="D8" s="9">
        <v>50000</v>
      </c>
      <c r="E8" s="9">
        <v>50000</v>
      </c>
      <c r="F8" s="9">
        <v>600000</v>
      </c>
    </row>
    <row r="9" spans="1:6" x14ac:dyDescent="0.35">
      <c r="A9" s="10">
        <v>46327</v>
      </c>
      <c r="B9" s="8">
        <v>12088</v>
      </c>
      <c r="C9" s="8" t="s">
        <v>27</v>
      </c>
      <c r="D9" s="9">
        <v>10000</v>
      </c>
      <c r="E9" s="9">
        <v>60000</v>
      </c>
      <c r="F9" s="9">
        <v>590000</v>
      </c>
    </row>
    <row r="10" spans="1:6" x14ac:dyDescent="0.35">
      <c r="A10" s="10">
        <v>46328</v>
      </c>
      <c r="B10" s="8">
        <v>12437</v>
      </c>
      <c r="C10" s="8" t="s">
        <v>27</v>
      </c>
      <c r="D10" s="9">
        <v>10000</v>
      </c>
      <c r="E10" s="9">
        <v>70000</v>
      </c>
      <c r="F10" s="9">
        <v>580000</v>
      </c>
    </row>
    <row r="11" spans="1:6" x14ac:dyDescent="0.35">
      <c r="A11" s="10">
        <v>46298</v>
      </c>
      <c r="B11" s="8">
        <v>12809</v>
      </c>
      <c r="C11" s="8" t="s">
        <v>27</v>
      </c>
      <c r="D11" s="9">
        <v>10000</v>
      </c>
      <c r="E11" s="9">
        <f>SUM(E10+D10)</f>
        <v>80000</v>
      </c>
      <c r="F11" s="9">
        <f t="shared" ref="F11:F16" si="0">F10-D11</f>
        <v>570000</v>
      </c>
    </row>
    <row r="12" spans="1:6" x14ac:dyDescent="0.35">
      <c r="A12" s="10">
        <v>46330</v>
      </c>
      <c r="B12" s="8">
        <v>13221</v>
      </c>
      <c r="C12" s="8" t="s">
        <v>27</v>
      </c>
      <c r="D12" s="9">
        <v>10000</v>
      </c>
      <c r="E12" s="9">
        <f>SUM(E11+D11)</f>
        <v>90000</v>
      </c>
      <c r="F12" s="9">
        <f t="shared" si="0"/>
        <v>560000</v>
      </c>
    </row>
    <row r="13" spans="1:6" x14ac:dyDescent="0.35">
      <c r="A13" s="8" t="s">
        <v>258</v>
      </c>
      <c r="B13" s="8">
        <v>13372</v>
      </c>
      <c r="C13" s="8" t="s">
        <v>27</v>
      </c>
      <c r="D13" s="9">
        <v>10000</v>
      </c>
      <c r="E13" s="9">
        <f>SUM(E12+D12)</f>
        <v>100000</v>
      </c>
      <c r="F13" s="9">
        <f t="shared" si="0"/>
        <v>550000</v>
      </c>
    </row>
    <row r="14" spans="1:6" x14ac:dyDescent="0.35">
      <c r="A14" s="8" t="s">
        <v>270</v>
      </c>
      <c r="B14" s="8">
        <v>13600</v>
      </c>
      <c r="C14" s="8" t="s">
        <v>27</v>
      </c>
      <c r="D14" s="9">
        <v>10000</v>
      </c>
      <c r="E14" s="9">
        <f>E13+D14</f>
        <v>110000</v>
      </c>
      <c r="F14" s="9">
        <f t="shared" si="0"/>
        <v>540000</v>
      </c>
    </row>
    <row r="15" spans="1:6" x14ac:dyDescent="0.35">
      <c r="A15" s="8" t="s">
        <v>285</v>
      </c>
      <c r="B15" s="8">
        <v>1452</v>
      </c>
      <c r="C15" s="8" t="s">
        <v>27</v>
      </c>
      <c r="D15" s="9">
        <v>10000</v>
      </c>
      <c r="E15" s="9">
        <f>E14+D15</f>
        <v>120000</v>
      </c>
      <c r="F15" s="9">
        <f t="shared" si="0"/>
        <v>530000</v>
      </c>
    </row>
    <row r="16" spans="1:6" x14ac:dyDescent="0.35">
      <c r="A16" s="10">
        <v>46364</v>
      </c>
      <c r="B16" s="8">
        <v>1750</v>
      </c>
      <c r="C16" s="8" t="s">
        <v>27</v>
      </c>
      <c r="D16" s="9">
        <v>10000</v>
      </c>
      <c r="E16" s="9">
        <f>E15+D16</f>
        <v>130000</v>
      </c>
      <c r="F16" s="9">
        <f t="shared" si="0"/>
        <v>520000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D132-B823-4A7D-B4EA-864CB08DDD92}">
  <dimension ref="A1:I42"/>
  <sheetViews>
    <sheetView topLeftCell="A31" workbookViewId="0">
      <selection activeCell="C32" sqref="C32"/>
    </sheetView>
  </sheetViews>
  <sheetFormatPr defaultRowHeight="14.5" x14ac:dyDescent="0.35"/>
  <cols>
    <col min="1" max="1" width="10.08984375" customWidth="1"/>
    <col min="3" max="3" width="11.7265625" customWidth="1"/>
    <col min="6" max="6" width="11.26953125" customWidth="1"/>
  </cols>
  <sheetData>
    <row r="1" spans="1:9" ht="18.5" x14ac:dyDescent="0.45">
      <c r="A1" s="1" t="s">
        <v>244</v>
      </c>
      <c r="B1" s="1"/>
      <c r="C1" s="1"/>
      <c r="D1" s="1"/>
      <c r="E1" s="1"/>
      <c r="F1" s="1"/>
      <c r="I1" s="42" t="s">
        <v>246</v>
      </c>
    </row>
    <row r="2" spans="1:9" ht="18.5" x14ac:dyDescent="0.45">
      <c r="A2" s="1" t="s">
        <v>245</v>
      </c>
      <c r="C2" s="1"/>
      <c r="D2" s="1"/>
      <c r="E2" s="1"/>
      <c r="F2" s="1"/>
    </row>
    <row r="3" spans="1:9" ht="18.5" x14ac:dyDescent="0.45">
      <c r="A3" s="1" t="s">
        <v>236</v>
      </c>
      <c r="B3" s="1"/>
      <c r="C3" s="1"/>
      <c r="D3" s="1"/>
      <c r="E3" s="1"/>
      <c r="F3" s="1"/>
    </row>
    <row r="4" spans="1:9" ht="18.5" x14ac:dyDescent="0.45">
      <c r="A4" s="1" t="s">
        <v>239</v>
      </c>
      <c r="B4" s="1"/>
      <c r="C4" s="1"/>
      <c r="D4" s="1"/>
      <c r="E4" s="1"/>
      <c r="F4" s="1"/>
    </row>
    <row r="5" spans="1:9" ht="18.5" x14ac:dyDescent="0.45">
      <c r="A5" s="1" t="s">
        <v>237</v>
      </c>
      <c r="B5" s="1"/>
      <c r="C5" s="1"/>
      <c r="D5" s="1"/>
      <c r="E5" s="1"/>
      <c r="F5" s="1"/>
    </row>
    <row r="6" spans="1:9" ht="18.5" x14ac:dyDescent="0.45">
      <c r="A6" s="1" t="s">
        <v>238</v>
      </c>
      <c r="B6" s="1"/>
      <c r="C6" s="1"/>
      <c r="D6" s="1"/>
      <c r="E6" s="1" t="s">
        <v>99</v>
      </c>
      <c r="F6" s="1"/>
    </row>
    <row r="7" spans="1:9" x14ac:dyDescent="0.35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</row>
    <row r="8" spans="1:9" x14ac:dyDescent="0.35">
      <c r="A8" s="15">
        <v>44054</v>
      </c>
      <c r="B8">
        <v>2291</v>
      </c>
      <c r="C8" t="s">
        <v>102</v>
      </c>
      <c r="D8" s="16">
        <v>255000</v>
      </c>
      <c r="E8" s="16">
        <v>255000</v>
      </c>
      <c r="F8" s="16">
        <v>145000</v>
      </c>
    </row>
    <row r="9" spans="1:9" x14ac:dyDescent="0.35">
      <c r="A9" t="s">
        <v>240</v>
      </c>
      <c r="B9">
        <v>2292</v>
      </c>
      <c r="C9" t="s">
        <v>243</v>
      </c>
      <c r="D9" s="16">
        <v>10000</v>
      </c>
      <c r="E9" s="16">
        <f>SUM(E8+D9)</f>
        <v>265000</v>
      </c>
      <c r="F9" s="16">
        <f>F8-D9</f>
        <v>135000</v>
      </c>
    </row>
    <row r="10" spans="1:9" x14ac:dyDescent="0.35">
      <c r="A10" s="15">
        <v>45142</v>
      </c>
      <c r="B10">
        <v>4017</v>
      </c>
      <c r="C10" t="s">
        <v>243</v>
      </c>
      <c r="D10" s="16">
        <v>10000</v>
      </c>
      <c r="E10" s="16">
        <f t="shared" ref="E10:E19" si="0">SUM(E9+D10)</f>
        <v>275000</v>
      </c>
      <c r="F10" s="16">
        <f t="shared" ref="F10:F19" si="1">F9-D10</f>
        <v>125000</v>
      </c>
    </row>
    <row r="11" spans="1:9" x14ac:dyDescent="0.35">
      <c r="A11" s="15">
        <v>45205</v>
      </c>
      <c r="B11">
        <v>413</v>
      </c>
      <c r="C11" t="s">
        <v>243</v>
      </c>
      <c r="D11" s="16">
        <v>10000</v>
      </c>
      <c r="E11" s="16">
        <f t="shared" si="0"/>
        <v>285000</v>
      </c>
      <c r="F11" s="16">
        <f t="shared" si="1"/>
        <v>115000</v>
      </c>
    </row>
    <row r="12" spans="1:9" x14ac:dyDescent="0.35">
      <c r="A12" s="15">
        <v>45054</v>
      </c>
      <c r="B12">
        <v>2232</v>
      </c>
      <c r="C12" t="s">
        <v>243</v>
      </c>
      <c r="D12" s="16">
        <v>20000</v>
      </c>
      <c r="E12" s="16">
        <f t="shared" si="0"/>
        <v>305000</v>
      </c>
      <c r="F12" s="16">
        <f t="shared" si="1"/>
        <v>95000</v>
      </c>
    </row>
    <row r="13" spans="1:9" x14ac:dyDescent="0.35">
      <c r="A13" s="15">
        <v>45117</v>
      </c>
      <c r="B13">
        <v>4039</v>
      </c>
      <c r="C13" t="s">
        <v>243</v>
      </c>
      <c r="D13" s="16">
        <v>20000</v>
      </c>
      <c r="E13" s="16">
        <f t="shared" si="0"/>
        <v>325000</v>
      </c>
      <c r="F13" s="16">
        <f t="shared" si="1"/>
        <v>75000</v>
      </c>
    </row>
    <row r="14" spans="1:9" x14ac:dyDescent="0.35">
      <c r="A14" t="s">
        <v>241</v>
      </c>
      <c r="B14">
        <v>4892</v>
      </c>
      <c r="C14" t="s">
        <v>243</v>
      </c>
      <c r="D14" s="16">
        <v>20000</v>
      </c>
      <c r="E14" s="16">
        <f t="shared" si="0"/>
        <v>345000</v>
      </c>
      <c r="F14" s="16">
        <f t="shared" si="1"/>
        <v>55000</v>
      </c>
    </row>
    <row r="15" spans="1:9" x14ac:dyDescent="0.35">
      <c r="A15" s="15">
        <v>45089</v>
      </c>
      <c r="B15">
        <v>5307</v>
      </c>
      <c r="C15" t="s">
        <v>243</v>
      </c>
      <c r="D15" s="16">
        <v>10000</v>
      </c>
      <c r="E15" s="16">
        <f t="shared" si="0"/>
        <v>355000</v>
      </c>
      <c r="F15" s="16">
        <f t="shared" si="1"/>
        <v>45000</v>
      </c>
    </row>
    <row r="16" spans="1:9" x14ac:dyDescent="0.35">
      <c r="A16" s="15">
        <v>45383</v>
      </c>
      <c r="B16">
        <v>5901</v>
      </c>
      <c r="C16" t="s">
        <v>243</v>
      </c>
      <c r="D16" s="16">
        <v>10000</v>
      </c>
      <c r="E16" s="16">
        <f t="shared" si="0"/>
        <v>365000</v>
      </c>
      <c r="F16" s="16">
        <f t="shared" si="1"/>
        <v>35000</v>
      </c>
    </row>
    <row r="17" spans="1:6" x14ac:dyDescent="0.35">
      <c r="A17" t="s">
        <v>242</v>
      </c>
      <c r="B17">
        <v>7153</v>
      </c>
      <c r="C17" t="s">
        <v>243</v>
      </c>
      <c r="D17" s="16">
        <v>15000</v>
      </c>
      <c r="E17" s="16">
        <f t="shared" si="0"/>
        <v>380000</v>
      </c>
      <c r="F17" s="16">
        <f t="shared" si="1"/>
        <v>20000</v>
      </c>
    </row>
    <row r="18" spans="1:6" x14ac:dyDescent="0.35">
      <c r="A18" s="15">
        <v>45476</v>
      </c>
      <c r="B18">
        <v>6908</v>
      </c>
      <c r="C18" t="s">
        <v>243</v>
      </c>
      <c r="D18" s="16">
        <v>10000</v>
      </c>
      <c r="E18" s="16">
        <f t="shared" si="0"/>
        <v>390000</v>
      </c>
      <c r="F18" s="16">
        <f t="shared" si="1"/>
        <v>10000</v>
      </c>
    </row>
    <row r="19" spans="1:6" x14ac:dyDescent="0.35">
      <c r="A19" s="15">
        <v>45416</v>
      </c>
      <c r="B19">
        <v>7688</v>
      </c>
      <c r="C19" t="s">
        <v>243</v>
      </c>
      <c r="D19" s="16">
        <v>10000</v>
      </c>
      <c r="E19" s="16">
        <f t="shared" si="0"/>
        <v>400000</v>
      </c>
      <c r="F19" s="16">
        <f t="shared" si="1"/>
        <v>0</v>
      </c>
    </row>
    <row r="20" spans="1:6" ht="18.5" x14ac:dyDescent="0.45">
      <c r="A20" s="1" t="s">
        <v>235</v>
      </c>
      <c r="B20" s="1"/>
      <c r="C20" s="1"/>
      <c r="D20" s="42"/>
      <c r="E20" s="42"/>
      <c r="F20" s="42"/>
    </row>
    <row r="21" spans="1:6" x14ac:dyDescent="0.35">
      <c r="A21" s="8" t="s">
        <v>300</v>
      </c>
      <c r="B21" s="8">
        <v>307</v>
      </c>
      <c r="C21" s="9" t="s">
        <v>305</v>
      </c>
      <c r="D21" s="9">
        <v>30000</v>
      </c>
      <c r="E21" s="9">
        <v>30000</v>
      </c>
      <c r="F21" s="9">
        <v>420000</v>
      </c>
    </row>
    <row r="22" spans="1:6" x14ac:dyDescent="0.35">
      <c r="A22" s="10">
        <v>45453</v>
      </c>
      <c r="B22" s="8">
        <v>360</v>
      </c>
      <c r="C22" s="9" t="s">
        <v>305</v>
      </c>
      <c r="D22" s="9">
        <v>20000</v>
      </c>
      <c r="E22" s="9">
        <f t="shared" ref="E22:E42" si="2">E21+D22</f>
        <v>50000</v>
      </c>
      <c r="F22" s="9">
        <f t="shared" ref="F22:F42" si="3">F21-D22</f>
        <v>400000</v>
      </c>
    </row>
    <row r="23" spans="1:6" x14ac:dyDescent="0.35">
      <c r="A23" s="8" t="s">
        <v>301</v>
      </c>
      <c r="B23" s="8">
        <v>250</v>
      </c>
      <c r="C23" s="9" t="s">
        <v>305</v>
      </c>
      <c r="D23" s="9">
        <v>10000</v>
      </c>
      <c r="E23" s="9">
        <f t="shared" si="2"/>
        <v>60000</v>
      </c>
      <c r="F23" s="9">
        <f t="shared" si="3"/>
        <v>390000</v>
      </c>
    </row>
    <row r="24" spans="1:6" x14ac:dyDescent="0.35">
      <c r="A24" s="8" t="s">
        <v>302</v>
      </c>
      <c r="B24" s="8">
        <v>511</v>
      </c>
      <c r="C24" s="9" t="s">
        <v>305</v>
      </c>
      <c r="D24" s="9">
        <v>10000</v>
      </c>
      <c r="E24" s="9">
        <f t="shared" si="2"/>
        <v>70000</v>
      </c>
      <c r="F24" s="9">
        <f t="shared" si="3"/>
        <v>380000</v>
      </c>
    </row>
    <row r="25" spans="1:6" x14ac:dyDescent="0.35">
      <c r="A25" s="10">
        <v>45839</v>
      </c>
      <c r="B25" s="8">
        <v>562</v>
      </c>
      <c r="C25" s="9" t="s">
        <v>305</v>
      </c>
      <c r="D25" s="9">
        <v>10000</v>
      </c>
      <c r="E25" s="9">
        <f t="shared" si="2"/>
        <v>80000</v>
      </c>
      <c r="F25" s="9">
        <f t="shared" si="3"/>
        <v>370000</v>
      </c>
    </row>
    <row r="26" spans="1:6" x14ac:dyDescent="0.35">
      <c r="A26" s="10">
        <v>45871</v>
      </c>
      <c r="B26" s="8">
        <v>927</v>
      </c>
      <c r="C26" s="9" t="s">
        <v>305</v>
      </c>
      <c r="D26" s="9">
        <v>10000</v>
      </c>
      <c r="E26" s="9">
        <f t="shared" si="2"/>
        <v>90000</v>
      </c>
      <c r="F26" s="9">
        <f t="shared" si="3"/>
        <v>360000</v>
      </c>
    </row>
    <row r="27" spans="1:6" x14ac:dyDescent="0.35">
      <c r="A27" s="8" t="s">
        <v>303</v>
      </c>
      <c r="B27" s="8">
        <v>775</v>
      </c>
      <c r="C27" s="9" t="s">
        <v>305</v>
      </c>
      <c r="D27" s="9">
        <v>30000</v>
      </c>
      <c r="E27" s="9">
        <f t="shared" si="2"/>
        <v>120000</v>
      </c>
      <c r="F27" s="9">
        <f t="shared" si="3"/>
        <v>330000</v>
      </c>
    </row>
    <row r="28" spans="1:6" x14ac:dyDescent="0.35">
      <c r="A28" s="10">
        <v>45753</v>
      </c>
      <c r="B28" s="8">
        <v>636</v>
      </c>
      <c r="C28" s="9" t="s">
        <v>305</v>
      </c>
      <c r="D28" s="9">
        <v>10000</v>
      </c>
      <c r="E28" s="9">
        <f t="shared" si="2"/>
        <v>130000</v>
      </c>
      <c r="F28" s="9">
        <f t="shared" si="3"/>
        <v>320000</v>
      </c>
    </row>
    <row r="29" spans="1:6" x14ac:dyDescent="0.35">
      <c r="A29" s="10">
        <v>45754</v>
      </c>
      <c r="B29" s="8">
        <v>3020</v>
      </c>
      <c r="C29" s="9" t="s">
        <v>305</v>
      </c>
      <c r="D29" s="9">
        <v>10000</v>
      </c>
      <c r="E29" s="9">
        <f t="shared" si="2"/>
        <v>140000</v>
      </c>
      <c r="F29" s="9">
        <f t="shared" si="3"/>
        <v>310000</v>
      </c>
    </row>
    <row r="30" spans="1:6" x14ac:dyDescent="0.35">
      <c r="A30" s="10">
        <v>45696</v>
      </c>
      <c r="B30" s="8">
        <v>3195</v>
      </c>
      <c r="C30" s="9" t="s">
        <v>305</v>
      </c>
      <c r="D30" s="9">
        <v>10000</v>
      </c>
      <c r="E30" s="9">
        <f t="shared" si="2"/>
        <v>150000</v>
      </c>
      <c r="F30" s="9">
        <f t="shared" si="3"/>
        <v>300000</v>
      </c>
    </row>
    <row r="31" spans="1:6" x14ac:dyDescent="0.35">
      <c r="A31" s="10">
        <v>45909</v>
      </c>
      <c r="B31" s="8">
        <v>3500</v>
      </c>
      <c r="C31" s="9" t="s">
        <v>305</v>
      </c>
      <c r="D31" s="9">
        <v>10000</v>
      </c>
      <c r="E31" s="9">
        <f t="shared" si="2"/>
        <v>160000</v>
      </c>
      <c r="F31" s="9">
        <f t="shared" si="3"/>
        <v>290000</v>
      </c>
    </row>
    <row r="32" spans="1:6" x14ac:dyDescent="0.35">
      <c r="A32" s="10">
        <v>45757</v>
      </c>
      <c r="B32" s="8">
        <v>3240</v>
      </c>
      <c r="C32" s="9" t="s">
        <v>305</v>
      </c>
      <c r="D32" s="9">
        <v>10000</v>
      </c>
      <c r="E32" s="9">
        <f t="shared" si="2"/>
        <v>170000</v>
      </c>
      <c r="F32" s="9">
        <f t="shared" si="3"/>
        <v>280000</v>
      </c>
    </row>
    <row r="33" spans="1:6" x14ac:dyDescent="0.35">
      <c r="A33" s="8" t="s">
        <v>304</v>
      </c>
      <c r="B33" s="8">
        <v>3841</v>
      </c>
      <c r="C33" s="9" t="s">
        <v>305</v>
      </c>
      <c r="D33" s="9">
        <v>10000</v>
      </c>
      <c r="E33" s="9">
        <f t="shared" si="2"/>
        <v>180000</v>
      </c>
      <c r="F33" s="9">
        <f t="shared" si="3"/>
        <v>270000</v>
      </c>
    </row>
    <row r="34" spans="1:6" x14ac:dyDescent="0.35">
      <c r="A34" s="10">
        <v>45820</v>
      </c>
      <c r="B34" s="8">
        <v>5019</v>
      </c>
      <c r="C34" s="9" t="s">
        <v>305</v>
      </c>
      <c r="D34" s="9">
        <v>10000</v>
      </c>
      <c r="E34" s="9">
        <f t="shared" si="2"/>
        <v>190000</v>
      </c>
      <c r="F34" s="9">
        <f t="shared" si="3"/>
        <v>260000</v>
      </c>
    </row>
    <row r="35" spans="1:6" x14ac:dyDescent="0.35">
      <c r="A35" s="10">
        <v>46296</v>
      </c>
      <c r="B35" s="8">
        <v>5254</v>
      </c>
      <c r="C35" s="9" t="s">
        <v>305</v>
      </c>
      <c r="D35" s="9">
        <v>10000</v>
      </c>
      <c r="E35" s="9">
        <f t="shared" si="2"/>
        <v>200000</v>
      </c>
      <c r="F35" s="9">
        <f t="shared" si="3"/>
        <v>250000</v>
      </c>
    </row>
    <row r="36" spans="1:6" x14ac:dyDescent="0.35">
      <c r="A36" s="10">
        <v>46205</v>
      </c>
      <c r="B36" s="8">
        <v>5443</v>
      </c>
      <c r="C36" s="9" t="s">
        <v>305</v>
      </c>
      <c r="D36" s="9">
        <v>10000</v>
      </c>
      <c r="E36" s="9">
        <f t="shared" si="2"/>
        <v>210000</v>
      </c>
      <c r="F36" s="9">
        <f t="shared" si="3"/>
        <v>240000</v>
      </c>
    </row>
    <row r="37" spans="1:6" x14ac:dyDescent="0.35">
      <c r="A37" s="10">
        <v>46206</v>
      </c>
      <c r="B37" s="8">
        <v>5657</v>
      </c>
      <c r="C37" s="9" t="s">
        <v>305</v>
      </c>
      <c r="D37" s="9">
        <v>10000</v>
      </c>
      <c r="E37" s="9">
        <f t="shared" si="2"/>
        <v>220000</v>
      </c>
      <c r="F37" s="9">
        <f t="shared" si="3"/>
        <v>230000</v>
      </c>
    </row>
    <row r="38" spans="1:6" x14ac:dyDescent="0.35">
      <c r="A38" s="10">
        <v>46360</v>
      </c>
      <c r="B38" s="8">
        <v>5925</v>
      </c>
      <c r="C38" s="9" t="s">
        <v>305</v>
      </c>
      <c r="D38" s="9">
        <v>10000</v>
      </c>
      <c r="E38" s="9">
        <f t="shared" si="2"/>
        <v>230000</v>
      </c>
      <c r="F38" s="9">
        <f t="shared" si="3"/>
        <v>220000</v>
      </c>
    </row>
    <row r="39" spans="1:6" x14ac:dyDescent="0.35">
      <c r="A39" s="10">
        <v>46058</v>
      </c>
      <c r="B39" s="8">
        <v>1348</v>
      </c>
      <c r="C39" s="9" t="s">
        <v>305</v>
      </c>
      <c r="D39" s="9">
        <v>10000</v>
      </c>
      <c r="E39" s="9">
        <f t="shared" si="2"/>
        <v>240000</v>
      </c>
      <c r="F39" s="9">
        <f t="shared" si="3"/>
        <v>210000</v>
      </c>
    </row>
    <row r="40" spans="1:6" x14ac:dyDescent="0.35">
      <c r="A40" s="10">
        <v>46087</v>
      </c>
      <c r="B40" s="8">
        <v>1557</v>
      </c>
      <c r="C40" s="9" t="s">
        <v>305</v>
      </c>
      <c r="D40" s="9">
        <v>10000</v>
      </c>
      <c r="E40" s="9">
        <f t="shared" si="2"/>
        <v>250000</v>
      </c>
      <c r="F40" s="9">
        <f t="shared" si="3"/>
        <v>200000</v>
      </c>
    </row>
    <row r="41" spans="1:6" x14ac:dyDescent="0.35">
      <c r="A41" s="10">
        <v>46119</v>
      </c>
      <c r="B41" s="8">
        <v>1748</v>
      </c>
      <c r="C41" s="9" t="s">
        <v>305</v>
      </c>
      <c r="D41" s="9">
        <v>10000</v>
      </c>
      <c r="E41" s="9">
        <f t="shared" si="2"/>
        <v>260000</v>
      </c>
      <c r="F41" s="9">
        <f t="shared" si="3"/>
        <v>190000</v>
      </c>
    </row>
    <row r="42" spans="1:6" x14ac:dyDescent="0.35">
      <c r="A42" s="10">
        <v>46120</v>
      </c>
      <c r="B42" s="8">
        <v>3727</v>
      </c>
      <c r="C42" s="9" t="s">
        <v>305</v>
      </c>
      <c r="D42" s="9">
        <v>10000</v>
      </c>
      <c r="E42" s="9">
        <f t="shared" si="2"/>
        <v>270000</v>
      </c>
      <c r="F42" s="9">
        <f t="shared" si="3"/>
        <v>180000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DF05-756C-4D6B-BF9C-399EDE1381D7}">
  <dimension ref="A1:F41"/>
  <sheetViews>
    <sheetView topLeftCell="A25" workbookViewId="0">
      <selection activeCell="F42" sqref="F42"/>
    </sheetView>
  </sheetViews>
  <sheetFormatPr defaultRowHeight="14.5" x14ac:dyDescent="0.35"/>
  <cols>
    <col min="1" max="1" width="12" customWidth="1"/>
    <col min="3" max="3" width="11.1796875" customWidth="1"/>
    <col min="6" max="6" width="11.08984375" customWidth="1"/>
  </cols>
  <sheetData>
    <row r="1" spans="1:6" ht="18.5" x14ac:dyDescent="0.45">
      <c r="A1" s="1" t="s">
        <v>183</v>
      </c>
      <c r="B1" s="1"/>
      <c r="C1" s="1"/>
      <c r="D1" s="1"/>
      <c r="E1" s="1"/>
      <c r="F1" s="1"/>
    </row>
    <row r="2" spans="1:6" ht="18.5" x14ac:dyDescent="0.45">
      <c r="A2" s="1" t="s">
        <v>161</v>
      </c>
      <c r="C2" s="1"/>
      <c r="D2" s="1"/>
      <c r="E2" s="1"/>
      <c r="F2" s="1"/>
    </row>
    <row r="3" spans="1:6" ht="18.5" x14ac:dyDescent="0.45">
      <c r="A3" s="1" t="s">
        <v>162</v>
      </c>
      <c r="B3" s="1"/>
      <c r="C3" s="1"/>
      <c r="D3" s="1"/>
      <c r="E3" s="1"/>
      <c r="F3" s="1"/>
    </row>
    <row r="4" spans="1:6" ht="18.5" x14ac:dyDescent="0.45">
      <c r="A4" s="1" t="s">
        <v>165</v>
      </c>
      <c r="B4" s="1"/>
      <c r="C4" s="1"/>
      <c r="D4" s="1"/>
      <c r="E4" s="1"/>
      <c r="F4" s="1"/>
    </row>
    <row r="5" spans="1:6" ht="18.5" x14ac:dyDescent="0.45">
      <c r="A5" s="1" t="s">
        <v>163</v>
      </c>
      <c r="B5" s="1"/>
      <c r="C5" s="1"/>
      <c r="D5" s="1"/>
      <c r="E5" s="1"/>
      <c r="F5" s="1"/>
    </row>
    <row r="6" spans="1:6" ht="18.5" x14ac:dyDescent="0.45">
      <c r="A6" s="1" t="s">
        <v>164</v>
      </c>
      <c r="B6" s="1"/>
      <c r="C6" s="1"/>
      <c r="D6" s="1"/>
      <c r="E6" s="1" t="s">
        <v>5</v>
      </c>
      <c r="F6" s="1"/>
    </row>
    <row r="7" spans="1:6" x14ac:dyDescent="0.35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</row>
    <row r="8" spans="1:6" x14ac:dyDescent="0.35">
      <c r="A8" s="15">
        <v>45144</v>
      </c>
      <c r="B8">
        <v>376</v>
      </c>
      <c r="C8" t="s">
        <v>141</v>
      </c>
      <c r="D8" s="16">
        <v>95000</v>
      </c>
      <c r="E8" s="16">
        <v>95000</v>
      </c>
      <c r="F8" s="16">
        <v>505000</v>
      </c>
    </row>
    <row r="9" spans="1:6" x14ac:dyDescent="0.35">
      <c r="A9" s="15">
        <v>45022</v>
      </c>
      <c r="B9">
        <v>376</v>
      </c>
      <c r="C9" t="s">
        <v>13</v>
      </c>
      <c r="D9" s="16">
        <v>5000</v>
      </c>
      <c r="E9" s="16">
        <f>SUM(E8+D9)</f>
        <v>100000</v>
      </c>
      <c r="F9" s="16">
        <f>F8-D9</f>
        <v>500000</v>
      </c>
    </row>
    <row r="10" spans="1:6" x14ac:dyDescent="0.35">
      <c r="A10" t="s">
        <v>166</v>
      </c>
      <c r="B10">
        <v>2791</v>
      </c>
      <c r="C10" t="s">
        <v>27</v>
      </c>
      <c r="D10" s="16">
        <v>10000</v>
      </c>
      <c r="E10" s="16">
        <f t="shared" ref="E10:E40" si="0">SUM(E9+D10)</f>
        <v>110000</v>
      </c>
      <c r="F10" s="16">
        <f t="shared" ref="F10:F40" si="1">F9-D10</f>
        <v>490000</v>
      </c>
    </row>
    <row r="11" spans="1:6" x14ac:dyDescent="0.35">
      <c r="A11" t="s">
        <v>167</v>
      </c>
      <c r="B11">
        <v>2488</v>
      </c>
      <c r="C11" t="s">
        <v>27</v>
      </c>
      <c r="D11" s="16">
        <v>10000</v>
      </c>
      <c r="E11" s="16">
        <f t="shared" si="0"/>
        <v>120000</v>
      </c>
      <c r="F11" s="16">
        <f t="shared" si="1"/>
        <v>480000</v>
      </c>
    </row>
    <row r="12" spans="1:6" x14ac:dyDescent="0.35">
      <c r="A12" t="s">
        <v>66</v>
      </c>
      <c r="B12">
        <v>3892</v>
      </c>
      <c r="C12" t="s">
        <v>27</v>
      </c>
      <c r="D12" s="16">
        <v>10000</v>
      </c>
      <c r="E12" s="16">
        <f t="shared" si="0"/>
        <v>130000</v>
      </c>
      <c r="F12" s="16">
        <f t="shared" si="1"/>
        <v>470000</v>
      </c>
    </row>
    <row r="13" spans="1:6" x14ac:dyDescent="0.35">
      <c r="A13" t="s">
        <v>67</v>
      </c>
      <c r="B13">
        <v>4278</v>
      </c>
      <c r="C13" t="s">
        <v>27</v>
      </c>
      <c r="D13" s="16">
        <v>10000</v>
      </c>
      <c r="E13" s="16">
        <f t="shared" si="0"/>
        <v>140000</v>
      </c>
      <c r="F13" s="16">
        <f t="shared" si="1"/>
        <v>460000</v>
      </c>
    </row>
    <row r="14" spans="1:6" x14ac:dyDescent="0.35">
      <c r="A14" t="s">
        <v>168</v>
      </c>
      <c r="B14">
        <v>4874</v>
      </c>
      <c r="C14" t="s">
        <v>27</v>
      </c>
      <c r="D14" s="16">
        <v>10000</v>
      </c>
      <c r="E14" s="16">
        <f t="shared" si="0"/>
        <v>150000</v>
      </c>
      <c r="F14" s="16">
        <f t="shared" si="1"/>
        <v>450000</v>
      </c>
    </row>
    <row r="15" spans="1:6" x14ac:dyDescent="0.35">
      <c r="A15" t="s">
        <v>169</v>
      </c>
      <c r="B15">
        <v>5561</v>
      </c>
      <c r="C15" t="s">
        <v>27</v>
      </c>
      <c r="D15" s="16">
        <v>10000</v>
      </c>
      <c r="E15" s="16">
        <f t="shared" si="0"/>
        <v>160000</v>
      </c>
      <c r="F15" s="16">
        <f t="shared" si="1"/>
        <v>440000</v>
      </c>
    </row>
    <row r="16" spans="1:6" x14ac:dyDescent="0.35">
      <c r="A16" t="s">
        <v>107</v>
      </c>
      <c r="B16">
        <v>6218</v>
      </c>
      <c r="C16" t="s">
        <v>27</v>
      </c>
      <c r="D16" s="16">
        <v>10000</v>
      </c>
      <c r="E16" s="16">
        <f t="shared" si="0"/>
        <v>170000</v>
      </c>
      <c r="F16" s="16">
        <f t="shared" si="1"/>
        <v>430000</v>
      </c>
    </row>
    <row r="17" spans="1:6" x14ac:dyDescent="0.35">
      <c r="A17" t="s">
        <v>73</v>
      </c>
      <c r="B17">
        <v>6649</v>
      </c>
      <c r="C17" t="s">
        <v>27</v>
      </c>
      <c r="D17" s="16">
        <v>10000</v>
      </c>
      <c r="E17" s="16">
        <f t="shared" si="0"/>
        <v>180000</v>
      </c>
      <c r="F17" s="16">
        <f t="shared" si="1"/>
        <v>420000</v>
      </c>
    </row>
    <row r="18" spans="1:6" x14ac:dyDescent="0.35">
      <c r="A18" t="s">
        <v>170</v>
      </c>
      <c r="B18">
        <v>7511</v>
      </c>
      <c r="C18" t="s">
        <v>27</v>
      </c>
      <c r="D18" s="16">
        <v>10000</v>
      </c>
      <c r="E18" s="16">
        <f t="shared" si="0"/>
        <v>190000</v>
      </c>
      <c r="F18" s="16">
        <f t="shared" si="1"/>
        <v>410000</v>
      </c>
    </row>
    <row r="19" spans="1:6" x14ac:dyDescent="0.35">
      <c r="A19" s="15">
        <v>45601</v>
      </c>
      <c r="B19">
        <v>8408</v>
      </c>
      <c r="C19" t="s">
        <v>27</v>
      </c>
      <c r="D19" s="16">
        <v>10000</v>
      </c>
      <c r="E19" s="16">
        <f t="shared" si="0"/>
        <v>200000</v>
      </c>
      <c r="F19" s="16">
        <f t="shared" si="1"/>
        <v>400000</v>
      </c>
    </row>
    <row r="20" spans="1:6" x14ac:dyDescent="0.35">
      <c r="A20" t="s">
        <v>45</v>
      </c>
      <c r="B20">
        <v>9124</v>
      </c>
      <c r="C20" t="s">
        <v>27</v>
      </c>
      <c r="D20" s="16">
        <v>10000</v>
      </c>
      <c r="E20" s="16">
        <f t="shared" si="0"/>
        <v>210000</v>
      </c>
      <c r="F20" s="16">
        <f t="shared" si="1"/>
        <v>390000</v>
      </c>
    </row>
    <row r="21" spans="1:6" x14ac:dyDescent="0.35">
      <c r="A21" t="s">
        <v>171</v>
      </c>
      <c r="B21">
        <v>9782</v>
      </c>
      <c r="C21" t="s">
        <v>27</v>
      </c>
      <c r="D21" s="16">
        <v>10000</v>
      </c>
      <c r="E21" s="16">
        <f t="shared" si="0"/>
        <v>220000</v>
      </c>
      <c r="F21" s="16">
        <f t="shared" si="1"/>
        <v>380000</v>
      </c>
    </row>
    <row r="22" spans="1:6" x14ac:dyDescent="0.35">
      <c r="A22" t="s">
        <v>172</v>
      </c>
      <c r="B22">
        <v>11283</v>
      </c>
      <c r="C22" t="s">
        <v>27</v>
      </c>
      <c r="D22" s="16">
        <v>10000</v>
      </c>
      <c r="E22" s="16">
        <f t="shared" si="0"/>
        <v>230000</v>
      </c>
      <c r="F22" s="16">
        <f t="shared" si="1"/>
        <v>370000</v>
      </c>
    </row>
    <row r="23" spans="1:6" x14ac:dyDescent="0.35">
      <c r="A23" t="s">
        <v>173</v>
      </c>
      <c r="B23">
        <v>10886</v>
      </c>
      <c r="C23" t="s">
        <v>27</v>
      </c>
      <c r="D23" s="16">
        <v>10000</v>
      </c>
      <c r="E23" s="16">
        <f t="shared" si="0"/>
        <v>240000</v>
      </c>
      <c r="F23" s="16">
        <f t="shared" si="1"/>
        <v>360000</v>
      </c>
    </row>
    <row r="24" spans="1:6" x14ac:dyDescent="0.35">
      <c r="A24" t="s">
        <v>174</v>
      </c>
      <c r="B24">
        <v>10217</v>
      </c>
      <c r="C24" t="s">
        <v>27</v>
      </c>
      <c r="D24" s="16">
        <v>10000</v>
      </c>
      <c r="E24" s="16">
        <f t="shared" si="0"/>
        <v>250000</v>
      </c>
      <c r="F24" s="16">
        <f t="shared" si="1"/>
        <v>350000</v>
      </c>
    </row>
    <row r="25" spans="1:6" x14ac:dyDescent="0.35">
      <c r="A25" t="s">
        <v>175</v>
      </c>
      <c r="B25">
        <v>12126</v>
      </c>
      <c r="C25" t="s">
        <v>27</v>
      </c>
      <c r="D25" s="16">
        <v>10000</v>
      </c>
      <c r="E25" s="16">
        <f t="shared" si="0"/>
        <v>260000</v>
      </c>
      <c r="F25" s="16">
        <f t="shared" si="1"/>
        <v>340000</v>
      </c>
    </row>
    <row r="26" spans="1:6" x14ac:dyDescent="0.35">
      <c r="A26" t="s">
        <v>82</v>
      </c>
      <c r="B26">
        <v>12608</v>
      </c>
      <c r="C26" t="s">
        <v>27</v>
      </c>
      <c r="D26" s="16">
        <v>10000</v>
      </c>
      <c r="E26" s="16">
        <f t="shared" si="0"/>
        <v>270000</v>
      </c>
      <c r="F26" s="16">
        <f t="shared" si="1"/>
        <v>330000</v>
      </c>
    </row>
    <row r="27" spans="1:6" x14ac:dyDescent="0.35">
      <c r="A27" t="s">
        <v>176</v>
      </c>
      <c r="B27">
        <v>9031</v>
      </c>
      <c r="C27" t="s">
        <v>27</v>
      </c>
      <c r="D27" s="16">
        <v>10000</v>
      </c>
      <c r="E27" s="16">
        <f t="shared" si="0"/>
        <v>280000</v>
      </c>
      <c r="F27" s="16">
        <f t="shared" si="1"/>
        <v>320000</v>
      </c>
    </row>
    <row r="28" spans="1:6" x14ac:dyDescent="0.35">
      <c r="A28" t="s">
        <v>177</v>
      </c>
      <c r="B28">
        <v>9712</v>
      </c>
      <c r="C28" t="s">
        <v>27</v>
      </c>
      <c r="D28" s="16">
        <v>20000</v>
      </c>
      <c r="E28" s="16">
        <f t="shared" si="0"/>
        <v>300000</v>
      </c>
      <c r="F28" s="16">
        <f t="shared" si="1"/>
        <v>300000</v>
      </c>
    </row>
    <row r="29" spans="1:6" x14ac:dyDescent="0.35">
      <c r="A29" t="s">
        <v>178</v>
      </c>
      <c r="B29">
        <v>10235</v>
      </c>
      <c r="C29" t="s">
        <v>27</v>
      </c>
      <c r="D29" s="16">
        <v>10000</v>
      </c>
      <c r="E29" s="16">
        <f t="shared" si="0"/>
        <v>310000</v>
      </c>
      <c r="F29" s="16">
        <f t="shared" si="1"/>
        <v>290000</v>
      </c>
    </row>
    <row r="30" spans="1:6" x14ac:dyDescent="0.35">
      <c r="A30" t="s">
        <v>85</v>
      </c>
      <c r="B30">
        <v>10698</v>
      </c>
      <c r="C30" t="s">
        <v>27</v>
      </c>
      <c r="D30" s="16">
        <v>10000</v>
      </c>
      <c r="E30" s="16">
        <f t="shared" si="0"/>
        <v>320000</v>
      </c>
      <c r="F30" s="16">
        <f t="shared" si="1"/>
        <v>280000</v>
      </c>
    </row>
    <row r="31" spans="1:6" x14ac:dyDescent="0.35">
      <c r="A31" t="s">
        <v>17</v>
      </c>
      <c r="B31">
        <v>9944</v>
      </c>
      <c r="C31" t="s">
        <v>27</v>
      </c>
      <c r="D31" s="16">
        <v>10000</v>
      </c>
      <c r="E31" s="16">
        <f t="shared" si="0"/>
        <v>330000</v>
      </c>
      <c r="F31" s="16">
        <f t="shared" si="1"/>
        <v>270000</v>
      </c>
    </row>
    <row r="32" spans="1:6" x14ac:dyDescent="0.35">
      <c r="A32" t="s">
        <v>179</v>
      </c>
      <c r="B32">
        <v>12202</v>
      </c>
      <c r="C32" t="s">
        <v>27</v>
      </c>
      <c r="D32" s="16">
        <v>10000</v>
      </c>
      <c r="E32" s="16">
        <f t="shared" si="0"/>
        <v>340000</v>
      </c>
      <c r="F32" s="16">
        <f t="shared" si="1"/>
        <v>260000</v>
      </c>
    </row>
    <row r="33" spans="1:6" x14ac:dyDescent="0.35">
      <c r="A33" t="s">
        <v>180</v>
      </c>
      <c r="B33">
        <v>12966</v>
      </c>
      <c r="C33" t="s">
        <v>27</v>
      </c>
      <c r="D33" s="16">
        <v>10000</v>
      </c>
      <c r="E33" s="16">
        <f t="shared" si="0"/>
        <v>350000</v>
      </c>
      <c r="F33" s="16">
        <f t="shared" si="1"/>
        <v>250000</v>
      </c>
    </row>
    <row r="34" spans="1:6" x14ac:dyDescent="0.35">
      <c r="A34" t="s">
        <v>18</v>
      </c>
      <c r="B34">
        <v>13680</v>
      </c>
      <c r="C34" t="s">
        <v>27</v>
      </c>
      <c r="D34" s="16">
        <v>10000</v>
      </c>
      <c r="E34" s="16">
        <f t="shared" si="0"/>
        <v>360000</v>
      </c>
      <c r="F34" s="16">
        <f t="shared" si="1"/>
        <v>240000</v>
      </c>
    </row>
    <row r="35" spans="1:6" x14ac:dyDescent="0.35">
      <c r="A35" t="s">
        <v>181</v>
      </c>
      <c r="B35">
        <v>13045</v>
      </c>
      <c r="C35" t="s">
        <v>27</v>
      </c>
      <c r="D35" s="16">
        <v>10000</v>
      </c>
      <c r="E35" s="16">
        <f t="shared" si="0"/>
        <v>370000</v>
      </c>
      <c r="F35" s="16">
        <f t="shared" si="1"/>
        <v>230000</v>
      </c>
    </row>
    <row r="36" spans="1:6" x14ac:dyDescent="0.35">
      <c r="A36" t="s">
        <v>157</v>
      </c>
      <c r="B36">
        <v>12663</v>
      </c>
      <c r="C36" t="s">
        <v>27</v>
      </c>
      <c r="D36" s="16">
        <v>10000</v>
      </c>
      <c r="E36" s="16">
        <f t="shared" si="0"/>
        <v>380000</v>
      </c>
      <c r="F36" s="16">
        <f t="shared" si="1"/>
        <v>220000</v>
      </c>
    </row>
    <row r="37" spans="1:6" x14ac:dyDescent="0.35">
      <c r="A37" t="s">
        <v>158</v>
      </c>
      <c r="B37">
        <v>12222</v>
      </c>
      <c r="C37" t="s">
        <v>27</v>
      </c>
      <c r="D37" s="16">
        <v>10000</v>
      </c>
      <c r="E37" s="16">
        <f t="shared" si="0"/>
        <v>390000</v>
      </c>
      <c r="F37" s="16">
        <f t="shared" si="1"/>
        <v>210000</v>
      </c>
    </row>
    <row r="38" spans="1:6" x14ac:dyDescent="0.35">
      <c r="A38" t="s">
        <v>92</v>
      </c>
      <c r="B38">
        <v>12471</v>
      </c>
      <c r="C38" t="s">
        <v>27</v>
      </c>
      <c r="D38" s="16">
        <v>10000</v>
      </c>
      <c r="E38" s="16">
        <f t="shared" si="0"/>
        <v>400000</v>
      </c>
      <c r="F38" s="16">
        <f t="shared" si="1"/>
        <v>200000</v>
      </c>
    </row>
    <row r="39" spans="1:6" x14ac:dyDescent="0.35">
      <c r="A39" t="s">
        <v>182</v>
      </c>
      <c r="B39">
        <v>13934</v>
      </c>
      <c r="C39" t="s">
        <v>27</v>
      </c>
      <c r="D39" s="16">
        <v>10000</v>
      </c>
      <c r="E39" s="16">
        <f t="shared" si="0"/>
        <v>410000</v>
      </c>
      <c r="F39" s="16">
        <f t="shared" si="1"/>
        <v>190000</v>
      </c>
    </row>
    <row r="40" spans="1:6" x14ac:dyDescent="0.35">
      <c r="A40" t="s">
        <v>144</v>
      </c>
      <c r="B40">
        <v>13027</v>
      </c>
      <c r="C40" t="s">
        <v>27</v>
      </c>
      <c r="D40" s="16">
        <v>10000</v>
      </c>
      <c r="E40" s="16">
        <f t="shared" si="0"/>
        <v>420000</v>
      </c>
      <c r="F40" s="16">
        <f t="shared" si="1"/>
        <v>180000</v>
      </c>
    </row>
    <row r="41" spans="1:6" x14ac:dyDescent="0.35">
      <c r="A41" t="s">
        <v>264</v>
      </c>
      <c r="B41">
        <v>13418</v>
      </c>
      <c r="C41" t="s">
        <v>27</v>
      </c>
      <c r="D41" s="16">
        <v>10000</v>
      </c>
      <c r="E41" s="16">
        <f>E40+D41</f>
        <v>430000</v>
      </c>
      <c r="F41" s="16">
        <f>F40-D41</f>
        <v>170000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C88E-D329-474F-8135-5166B6B79797}">
  <dimension ref="A1:F24"/>
  <sheetViews>
    <sheetView workbookViewId="0">
      <selection activeCell="H14" sqref="H14"/>
    </sheetView>
  </sheetViews>
  <sheetFormatPr defaultRowHeight="14.5" x14ac:dyDescent="0.35"/>
  <cols>
    <col min="1" max="1" width="10.453125" bestFit="1" customWidth="1"/>
    <col min="3" max="3" width="10.7265625" customWidth="1"/>
  </cols>
  <sheetData>
    <row r="1" spans="1:6" ht="18.5" x14ac:dyDescent="0.45">
      <c r="A1" s="1" t="s">
        <v>133</v>
      </c>
      <c r="B1" s="1"/>
      <c r="C1" s="1"/>
      <c r="D1" s="1"/>
      <c r="E1" s="1"/>
      <c r="F1" s="1"/>
    </row>
    <row r="2" spans="1:6" ht="18.5" x14ac:dyDescent="0.45">
      <c r="A2" s="1" t="s">
        <v>134</v>
      </c>
      <c r="C2" s="1"/>
      <c r="D2" s="1"/>
      <c r="E2" s="1"/>
      <c r="F2" s="1"/>
    </row>
    <row r="3" spans="1:6" ht="18.5" x14ac:dyDescent="0.45">
      <c r="A3" s="1" t="s">
        <v>135</v>
      </c>
      <c r="B3" s="1"/>
      <c r="C3" s="1"/>
      <c r="D3" s="1"/>
      <c r="E3" s="1"/>
      <c r="F3" s="1"/>
    </row>
    <row r="4" spans="1:6" ht="18.5" x14ac:dyDescent="0.45">
      <c r="A4" s="1" t="s">
        <v>142</v>
      </c>
      <c r="B4" s="1"/>
      <c r="C4" s="1"/>
      <c r="D4" s="1"/>
      <c r="E4" s="1"/>
      <c r="F4" s="1"/>
    </row>
    <row r="5" spans="1:6" ht="18.5" x14ac:dyDescent="0.45">
      <c r="A5" s="1" t="s">
        <v>136</v>
      </c>
      <c r="B5" s="1"/>
      <c r="C5" s="1"/>
      <c r="D5" s="1"/>
      <c r="E5" s="1"/>
      <c r="F5" s="1"/>
    </row>
    <row r="6" spans="1:6" ht="18.5" x14ac:dyDescent="0.45">
      <c r="A6" s="1" t="s">
        <v>137</v>
      </c>
      <c r="B6" s="1"/>
      <c r="C6" s="1"/>
      <c r="D6" s="1" t="s">
        <v>138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15">
        <v>45547</v>
      </c>
      <c r="B8">
        <v>802</v>
      </c>
      <c r="C8" t="s">
        <v>13</v>
      </c>
      <c r="D8" s="16">
        <v>5000</v>
      </c>
      <c r="E8" s="16">
        <v>5000</v>
      </c>
      <c r="F8" s="16">
        <v>695000</v>
      </c>
    </row>
    <row r="9" spans="1:6" x14ac:dyDescent="0.35">
      <c r="A9" t="s">
        <v>139</v>
      </c>
      <c r="B9">
        <v>12689</v>
      </c>
      <c r="C9" t="s">
        <v>141</v>
      </c>
      <c r="D9" s="16">
        <v>45000</v>
      </c>
      <c r="E9" s="16">
        <f>SUM(E8+D9)</f>
        <v>50000</v>
      </c>
      <c r="F9" s="16">
        <f>F8-D9</f>
        <v>650000</v>
      </c>
    </row>
    <row r="10" spans="1:6" x14ac:dyDescent="0.35">
      <c r="A10" s="15">
        <v>45810</v>
      </c>
      <c r="B10">
        <v>13823</v>
      </c>
      <c r="C10" t="s">
        <v>27</v>
      </c>
      <c r="D10" s="16">
        <v>10000</v>
      </c>
      <c r="E10" s="16">
        <f t="shared" ref="E10:E24" si="0">SUM(E9+D10)</f>
        <v>60000</v>
      </c>
      <c r="F10" s="16">
        <f t="shared" ref="F10:F24" si="1">F9-D10</f>
        <v>640000</v>
      </c>
    </row>
    <row r="11" spans="1:6" x14ac:dyDescent="0.35">
      <c r="A11" s="15">
        <v>45660</v>
      </c>
      <c r="B11">
        <v>13823</v>
      </c>
      <c r="C11" t="s">
        <v>27</v>
      </c>
      <c r="D11" s="16">
        <v>10000</v>
      </c>
      <c r="E11" s="16">
        <f t="shared" si="0"/>
        <v>70000</v>
      </c>
      <c r="F11" s="16">
        <f t="shared" si="1"/>
        <v>630000</v>
      </c>
    </row>
    <row r="12" spans="1:6" x14ac:dyDescent="0.35">
      <c r="A12" s="15">
        <v>45812</v>
      </c>
      <c r="B12">
        <v>13823</v>
      </c>
      <c r="C12" t="s">
        <v>27</v>
      </c>
      <c r="D12" s="16">
        <v>10000</v>
      </c>
      <c r="E12" s="16">
        <f t="shared" si="0"/>
        <v>80000</v>
      </c>
      <c r="F12" s="16">
        <f t="shared" si="1"/>
        <v>620000</v>
      </c>
    </row>
    <row r="13" spans="1:6" x14ac:dyDescent="0.35">
      <c r="A13" s="15">
        <v>45813</v>
      </c>
      <c r="B13">
        <v>13823</v>
      </c>
      <c r="C13" t="s">
        <v>27</v>
      </c>
      <c r="D13" s="16">
        <v>10000</v>
      </c>
      <c r="E13" s="16">
        <f t="shared" si="0"/>
        <v>90000</v>
      </c>
      <c r="F13" s="16">
        <f t="shared" si="1"/>
        <v>610000</v>
      </c>
    </row>
    <row r="14" spans="1:6" x14ac:dyDescent="0.35">
      <c r="A14" s="15">
        <v>45694</v>
      </c>
      <c r="B14">
        <v>13823</v>
      </c>
      <c r="C14" t="s">
        <v>27</v>
      </c>
      <c r="D14" s="16">
        <v>10000</v>
      </c>
      <c r="E14" s="16">
        <f t="shared" si="0"/>
        <v>100000</v>
      </c>
      <c r="F14" s="16">
        <f t="shared" si="1"/>
        <v>600000</v>
      </c>
    </row>
    <row r="15" spans="1:6" x14ac:dyDescent="0.35">
      <c r="A15" s="15">
        <v>45845</v>
      </c>
      <c r="B15">
        <v>12803</v>
      </c>
      <c r="C15" t="s">
        <v>27</v>
      </c>
      <c r="D15" s="16">
        <v>10000</v>
      </c>
      <c r="E15" s="16">
        <f t="shared" si="0"/>
        <v>110000</v>
      </c>
      <c r="F15" s="16">
        <f t="shared" si="1"/>
        <v>590000</v>
      </c>
    </row>
    <row r="16" spans="1:6" x14ac:dyDescent="0.35">
      <c r="A16" s="15">
        <v>45755</v>
      </c>
      <c r="B16">
        <v>12395</v>
      </c>
      <c r="C16" t="s">
        <v>27</v>
      </c>
      <c r="D16" s="16">
        <v>10000</v>
      </c>
      <c r="E16" s="16">
        <f t="shared" si="0"/>
        <v>120000</v>
      </c>
      <c r="F16" s="16">
        <f t="shared" si="1"/>
        <v>580000</v>
      </c>
    </row>
    <row r="17" spans="1:6" x14ac:dyDescent="0.35">
      <c r="A17" s="15">
        <v>45786</v>
      </c>
      <c r="B17">
        <v>12619</v>
      </c>
      <c r="C17" t="s">
        <v>27</v>
      </c>
      <c r="D17" s="16">
        <v>10000</v>
      </c>
      <c r="E17" s="16">
        <f t="shared" si="0"/>
        <v>130000</v>
      </c>
      <c r="F17" s="16">
        <f t="shared" si="1"/>
        <v>570000</v>
      </c>
    </row>
    <row r="18" spans="1:6" x14ac:dyDescent="0.35">
      <c r="A18" t="s">
        <v>140</v>
      </c>
      <c r="B18">
        <v>13824</v>
      </c>
      <c r="C18" t="s">
        <v>27</v>
      </c>
      <c r="D18" s="16">
        <v>10000</v>
      </c>
      <c r="E18" s="16">
        <f t="shared" si="0"/>
        <v>140000</v>
      </c>
      <c r="F18" s="16">
        <f t="shared" si="1"/>
        <v>560000</v>
      </c>
    </row>
    <row r="19" spans="1:6" x14ac:dyDescent="0.35">
      <c r="A19" s="15">
        <v>46002</v>
      </c>
      <c r="B19">
        <v>13354</v>
      </c>
      <c r="C19" t="s">
        <v>27</v>
      </c>
      <c r="D19" s="16">
        <v>10000</v>
      </c>
      <c r="E19" s="16">
        <f t="shared" si="0"/>
        <v>150000</v>
      </c>
      <c r="F19" s="16">
        <f t="shared" si="1"/>
        <v>550000</v>
      </c>
    </row>
    <row r="20" spans="1:6" x14ac:dyDescent="0.35">
      <c r="A20" s="15">
        <v>45728</v>
      </c>
      <c r="B20">
        <v>13116</v>
      </c>
      <c r="C20" t="s">
        <v>27</v>
      </c>
      <c r="D20" s="16">
        <v>10000</v>
      </c>
      <c r="E20" s="16">
        <f t="shared" si="0"/>
        <v>160000</v>
      </c>
      <c r="F20" s="16">
        <f t="shared" si="1"/>
        <v>540000</v>
      </c>
    </row>
    <row r="21" spans="1:6" x14ac:dyDescent="0.35">
      <c r="A21" s="15">
        <v>46023</v>
      </c>
      <c r="B21">
        <v>12044</v>
      </c>
      <c r="C21" t="s">
        <v>27</v>
      </c>
      <c r="D21" s="16">
        <v>10000</v>
      </c>
      <c r="E21" s="16">
        <f t="shared" si="0"/>
        <v>170000</v>
      </c>
      <c r="F21" s="16">
        <f t="shared" si="1"/>
        <v>530000</v>
      </c>
    </row>
    <row r="22" spans="1:6" x14ac:dyDescent="0.35">
      <c r="A22" s="15">
        <v>46114</v>
      </c>
      <c r="B22">
        <v>12371</v>
      </c>
      <c r="C22" t="s">
        <v>27</v>
      </c>
      <c r="D22" s="16">
        <v>10000</v>
      </c>
      <c r="E22" s="16">
        <f t="shared" si="0"/>
        <v>180000</v>
      </c>
      <c r="F22" s="16">
        <f t="shared" si="1"/>
        <v>520000</v>
      </c>
    </row>
    <row r="23" spans="1:6" x14ac:dyDescent="0.35">
      <c r="A23" s="39">
        <v>46082</v>
      </c>
      <c r="B23">
        <v>12725</v>
      </c>
      <c r="C23" t="s">
        <v>27</v>
      </c>
      <c r="D23" s="16">
        <v>10000</v>
      </c>
      <c r="E23" s="16">
        <f t="shared" si="0"/>
        <v>190000</v>
      </c>
      <c r="F23" s="16">
        <f t="shared" si="1"/>
        <v>510000</v>
      </c>
    </row>
    <row r="24" spans="1:6" x14ac:dyDescent="0.35">
      <c r="A24" s="15">
        <v>46146</v>
      </c>
      <c r="B24">
        <v>13141</v>
      </c>
      <c r="C24" t="s">
        <v>27</v>
      </c>
      <c r="D24" s="16">
        <v>10000</v>
      </c>
      <c r="E24" s="16">
        <f t="shared" si="0"/>
        <v>200000</v>
      </c>
      <c r="F24" s="16">
        <f t="shared" si="1"/>
        <v>500000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4813-4CEF-4172-875C-158FC330F83F}">
  <dimension ref="A1:F30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3" max="3" width="10.6328125" customWidth="1"/>
    <col min="4" max="4" width="10.453125" customWidth="1"/>
    <col min="6" max="6" width="10.26953125" customWidth="1"/>
  </cols>
  <sheetData>
    <row r="1" spans="1:6" ht="18.5" x14ac:dyDescent="0.45">
      <c r="A1" s="1" t="s">
        <v>224</v>
      </c>
      <c r="B1" s="1"/>
      <c r="C1" s="1"/>
      <c r="D1" s="1"/>
      <c r="E1" s="1"/>
      <c r="F1" s="1"/>
    </row>
    <row r="2" spans="1:6" ht="18.5" x14ac:dyDescent="0.45">
      <c r="A2" s="1" t="s">
        <v>225</v>
      </c>
      <c r="C2" s="1"/>
      <c r="D2" s="1"/>
      <c r="E2" s="1"/>
      <c r="F2" s="1"/>
    </row>
    <row r="3" spans="1:6" ht="18.5" x14ac:dyDescent="0.45">
      <c r="A3" s="1" t="s">
        <v>226</v>
      </c>
      <c r="B3" s="1"/>
      <c r="C3" s="1"/>
      <c r="D3" s="1"/>
      <c r="E3" s="1"/>
      <c r="F3" s="1"/>
    </row>
    <row r="4" spans="1:6" ht="18.5" x14ac:dyDescent="0.45">
      <c r="A4" s="1" t="s">
        <v>229</v>
      </c>
      <c r="B4" s="1"/>
      <c r="C4" s="1"/>
      <c r="D4" s="1"/>
      <c r="E4" s="1"/>
      <c r="F4" s="1"/>
    </row>
    <row r="5" spans="1:6" ht="18.5" x14ac:dyDescent="0.45">
      <c r="A5" s="1" t="s">
        <v>227</v>
      </c>
      <c r="B5" s="1"/>
      <c r="C5" s="1"/>
      <c r="D5" s="1"/>
      <c r="E5" s="1"/>
      <c r="F5" s="1"/>
    </row>
    <row r="6" spans="1:6" ht="18.5" x14ac:dyDescent="0.45">
      <c r="A6" s="1" t="s">
        <v>228</v>
      </c>
      <c r="B6" s="1"/>
      <c r="C6" s="1"/>
      <c r="D6" s="1" t="s">
        <v>138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12" t="s">
        <v>230</v>
      </c>
      <c r="B8" s="12">
        <v>8142</v>
      </c>
      <c r="C8" s="12" t="s">
        <v>141</v>
      </c>
      <c r="D8" s="13">
        <v>10000</v>
      </c>
      <c r="E8" s="13">
        <v>10000</v>
      </c>
      <c r="F8" s="13">
        <v>690000</v>
      </c>
    </row>
    <row r="9" spans="1:6" x14ac:dyDescent="0.35">
      <c r="A9" s="14">
        <v>45631</v>
      </c>
      <c r="B9" s="12">
        <v>8418</v>
      </c>
      <c r="C9" s="12" t="s">
        <v>196</v>
      </c>
      <c r="D9" s="13">
        <v>10000</v>
      </c>
      <c r="E9" s="13">
        <f>SUM(E8+D9)</f>
        <v>20000</v>
      </c>
      <c r="F9" s="13">
        <f>F8-D9</f>
        <v>680000</v>
      </c>
    </row>
    <row r="10" spans="1:6" x14ac:dyDescent="0.35">
      <c r="A10" s="12" t="s">
        <v>112</v>
      </c>
      <c r="B10" s="12">
        <v>9098</v>
      </c>
      <c r="C10" s="12" t="s">
        <v>196</v>
      </c>
      <c r="D10" s="13">
        <v>10000</v>
      </c>
      <c r="E10" s="13">
        <f t="shared" ref="E10:E26" si="0">SUM(E9+D10)</f>
        <v>30000</v>
      </c>
      <c r="F10" s="13">
        <f t="shared" ref="F10:F26" si="1">F9-D10</f>
        <v>670000</v>
      </c>
    </row>
    <row r="11" spans="1:6" x14ac:dyDescent="0.35">
      <c r="A11" s="12" t="s">
        <v>77</v>
      </c>
      <c r="B11" s="12">
        <v>9595</v>
      </c>
      <c r="C11" s="12" t="s">
        <v>196</v>
      </c>
      <c r="D11" s="13">
        <v>10000</v>
      </c>
      <c r="E11" s="13">
        <f t="shared" si="0"/>
        <v>40000</v>
      </c>
      <c r="F11" s="13">
        <f t="shared" si="1"/>
        <v>660000</v>
      </c>
    </row>
    <row r="12" spans="1:6" x14ac:dyDescent="0.35">
      <c r="A12" s="12" t="s">
        <v>78</v>
      </c>
      <c r="B12" s="12">
        <v>11195</v>
      </c>
      <c r="C12" s="12" t="s">
        <v>196</v>
      </c>
      <c r="D12" s="13">
        <v>10000</v>
      </c>
      <c r="E12" s="13">
        <f t="shared" si="0"/>
        <v>50000</v>
      </c>
      <c r="F12" s="13">
        <f t="shared" si="1"/>
        <v>650000</v>
      </c>
    </row>
    <row r="13" spans="1:6" x14ac:dyDescent="0.35">
      <c r="A13" s="12" t="s">
        <v>231</v>
      </c>
      <c r="B13" s="12">
        <v>10809</v>
      </c>
      <c r="C13" s="12" t="s">
        <v>196</v>
      </c>
      <c r="D13" s="13">
        <v>10000</v>
      </c>
      <c r="E13" s="13">
        <f t="shared" si="0"/>
        <v>60000</v>
      </c>
      <c r="F13" s="13">
        <f t="shared" si="1"/>
        <v>640000</v>
      </c>
    </row>
    <row r="14" spans="1:6" x14ac:dyDescent="0.35">
      <c r="A14" s="12" t="s">
        <v>12</v>
      </c>
      <c r="B14" s="12">
        <v>10275</v>
      </c>
      <c r="C14" s="12" t="s">
        <v>196</v>
      </c>
      <c r="D14" s="13">
        <v>10000</v>
      </c>
      <c r="E14" s="13">
        <f t="shared" si="0"/>
        <v>70000</v>
      </c>
      <c r="F14" s="13">
        <f t="shared" si="1"/>
        <v>630000</v>
      </c>
    </row>
    <row r="15" spans="1:6" x14ac:dyDescent="0.35">
      <c r="A15" s="12" t="s">
        <v>175</v>
      </c>
      <c r="B15" s="12">
        <v>12107</v>
      </c>
      <c r="C15" s="12" t="s">
        <v>196</v>
      </c>
      <c r="D15" s="13">
        <v>10000</v>
      </c>
      <c r="E15" s="13">
        <f t="shared" si="0"/>
        <v>80000</v>
      </c>
      <c r="F15" s="13">
        <f t="shared" si="1"/>
        <v>620000</v>
      </c>
    </row>
    <row r="16" spans="1:6" x14ac:dyDescent="0.35">
      <c r="A16" s="12" t="s">
        <v>232</v>
      </c>
      <c r="B16" s="12">
        <v>12711</v>
      </c>
      <c r="C16" s="12" t="s">
        <v>196</v>
      </c>
      <c r="D16" s="13">
        <v>10000</v>
      </c>
      <c r="E16" s="13">
        <f t="shared" si="0"/>
        <v>90000</v>
      </c>
      <c r="F16" s="13">
        <f t="shared" si="1"/>
        <v>610000</v>
      </c>
    </row>
    <row r="17" spans="1:6" x14ac:dyDescent="0.35">
      <c r="A17" s="12" t="s">
        <v>233</v>
      </c>
      <c r="B17" s="12">
        <v>9458</v>
      </c>
      <c r="C17" s="12" t="s">
        <v>196</v>
      </c>
      <c r="D17" s="13">
        <v>20000</v>
      </c>
      <c r="E17" s="13">
        <f t="shared" si="0"/>
        <v>110000</v>
      </c>
      <c r="F17" s="13">
        <f t="shared" si="1"/>
        <v>590000</v>
      </c>
    </row>
    <row r="18" spans="1:6" x14ac:dyDescent="0.35">
      <c r="A18" s="14">
        <v>45995</v>
      </c>
      <c r="B18" s="12">
        <v>10127</v>
      </c>
      <c r="C18" s="12" t="s">
        <v>196</v>
      </c>
      <c r="D18" s="13">
        <v>20000</v>
      </c>
      <c r="E18" s="13">
        <f t="shared" si="0"/>
        <v>130000</v>
      </c>
      <c r="F18" s="13">
        <f t="shared" si="1"/>
        <v>570000</v>
      </c>
    </row>
    <row r="19" spans="1:6" x14ac:dyDescent="0.35">
      <c r="A19" s="12" t="s">
        <v>85</v>
      </c>
      <c r="B19" s="12">
        <v>10693</v>
      </c>
      <c r="C19" s="12" t="s">
        <v>196</v>
      </c>
      <c r="D19" s="13">
        <v>10000</v>
      </c>
      <c r="E19" s="13">
        <f t="shared" si="0"/>
        <v>140000</v>
      </c>
      <c r="F19" s="13">
        <f t="shared" si="1"/>
        <v>560000</v>
      </c>
    </row>
    <row r="20" spans="1:6" x14ac:dyDescent="0.35">
      <c r="A20" s="12" t="s">
        <v>47</v>
      </c>
      <c r="B20" s="12">
        <v>12177</v>
      </c>
      <c r="C20" s="12" t="s">
        <v>196</v>
      </c>
      <c r="D20" s="13">
        <v>10000</v>
      </c>
      <c r="E20" s="13">
        <f t="shared" si="0"/>
        <v>150000</v>
      </c>
      <c r="F20" s="13">
        <f t="shared" si="1"/>
        <v>550000</v>
      </c>
    </row>
    <row r="21" spans="1:6" x14ac:dyDescent="0.35">
      <c r="A21" s="12" t="s">
        <v>88</v>
      </c>
      <c r="B21" s="12">
        <v>12759</v>
      </c>
      <c r="C21" s="12" t="s">
        <v>196</v>
      </c>
      <c r="D21" s="13">
        <v>30000</v>
      </c>
      <c r="E21" s="13">
        <f t="shared" si="0"/>
        <v>180000</v>
      </c>
      <c r="F21" s="13">
        <f t="shared" si="1"/>
        <v>520000</v>
      </c>
    </row>
    <row r="22" spans="1:6" x14ac:dyDescent="0.35">
      <c r="A22" s="14">
        <v>46001</v>
      </c>
      <c r="B22" s="12">
        <v>13782</v>
      </c>
      <c r="C22" s="12" t="s">
        <v>196</v>
      </c>
      <c r="D22" s="13">
        <v>10000</v>
      </c>
      <c r="E22" s="13">
        <f t="shared" si="0"/>
        <v>190000</v>
      </c>
      <c r="F22" s="13">
        <f t="shared" si="1"/>
        <v>510000</v>
      </c>
    </row>
    <row r="23" spans="1:6" x14ac:dyDescent="0.35">
      <c r="A23" s="12" t="s">
        <v>90</v>
      </c>
      <c r="B23" s="12">
        <v>12680</v>
      </c>
      <c r="C23" s="12" t="s">
        <v>196</v>
      </c>
      <c r="D23" s="13">
        <v>10000</v>
      </c>
      <c r="E23" s="13">
        <f t="shared" si="0"/>
        <v>200000</v>
      </c>
      <c r="F23" s="13">
        <f t="shared" si="1"/>
        <v>500000</v>
      </c>
    </row>
    <row r="24" spans="1:6" x14ac:dyDescent="0.35">
      <c r="A24" s="14">
        <v>46024</v>
      </c>
      <c r="B24" s="12">
        <v>12306</v>
      </c>
      <c r="C24" s="12" t="s">
        <v>196</v>
      </c>
      <c r="D24" s="13">
        <v>10000</v>
      </c>
      <c r="E24" s="13">
        <f t="shared" si="0"/>
        <v>210000</v>
      </c>
      <c r="F24" s="13">
        <f t="shared" si="1"/>
        <v>490000</v>
      </c>
    </row>
    <row r="25" spans="1:6" x14ac:dyDescent="0.35">
      <c r="A25" s="12" t="s">
        <v>93</v>
      </c>
      <c r="B25" s="12">
        <v>12879</v>
      </c>
      <c r="C25" s="12" t="s">
        <v>196</v>
      </c>
      <c r="D25" s="13">
        <v>10000</v>
      </c>
      <c r="E25" s="13">
        <f t="shared" si="0"/>
        <v>220000</v>
      </c>
      <c r="F25" s="13">
        <f t="shared" si="1"/>
        <v>480000</v>
      </c>
    </row>
    <row r="26" spans="1:6" x14ac:dyDescent="0.35">
      <c r="A26" s="14" t="s">
        <v>202</v>
      </c>
      <c r="B26" s="12">
        <v>13070</v>
      </c>
      <c r="C26" s="12" t="s">
        <v>196</v>
      </c>
      <c r="D26" s="13">
        <v>10000</v>
      </c>
      <c r="E26" s="13">
        <f t="shared" si="0"/>
        <v>230000</v>
      </c>
      <c r="F26" s="13">
        <f t="shared" si="1"/>
        <v>470000</v>
      </c>
    </row>
    <row r="27" spans="1:6" x14ac:dyDescent="0.35">
      <c r="A27" s="12" t="s">
        <v>275</v>
      </c>
      <c r="B27" s="12">
        <v>13420</v>
      </c>
      <c r="C27" s="12" t="s">
        <v>196</v>
      </c>
      <c r="D27" s="13">
        <v>10000</v>
      </c>
      <c r="E27" s="13">
        <f>E26+D27</f>
        <v>240000</v>
      </c>
      <c r="F27" s="13">
        <f>F26-D27</f>
        <v>460000</v>
      </c>
    </row>
    <row r="28" spans="1:6" x14ac:dyDescent="0.35">
      <c r="A28" s="14" t="s">
        <v>276</v>
      </c>
      <c r="B28" s="12">
        <v>1303</v>
      </c>
      <c r="C28" s="12" t="s">
        <v>196</v>
      </c>
      <c r="D28" s="13">
        <v>10000</v>
      </c>
      <c r="E28" s="13">
        <f>E27+D28</f>
        <v>250000</v>
      </c>
      <c r="F28" s="13">
        <f>F27-D28</f>
        <v>450000</v>
      </c>
    </row>
    <row r="29" spans="1:6" x14ac:dyDescent="0.35">
      <c r="A29" s="12" t="s">
        <v>310</v>
      </c>
      <c r="B29" s="12">
        <v>1535</v>
      </c>
      <c r="C29" s="12" t="s">
        <v>196</v>
      </c>
      <c r="D29" s="13">
        <v>10000</v>
      </c>
      <c r="E29" s="9">
        <f>E28+D29</f>
        <v>260000</v>
      </c>
      <c r="F29" s="9">
        <f>F28-D29</f>
        <v>440000</v>
      </c>
    </row>
    <row r="30" spans="1:6" x14ac:dyDescent="0.35">
      <c r="A30" s="14" t="s">
        <v>311</v>
      </c>
      <c r="B30" s="12">
        <v>1834</v>
      </c>
      <c r="C30" s="12" t="s">
        <v>196</v>
      </c>
      <c r="D30" s="13">
        <v>10000</v>
      </c>
      <c r="E30" s="9">
        <f>E29+D30</f>
        <v>270000</v>
      </c>
      <c r="F30" s="9">
        <f>F29-D30</f>
        <v>430000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8285-0EB9-4CC7-BBB2-BB9952C6CC40}">
  <dimension ref="A1:F35"/>
  <sheetViews>
    <sheetView tabSelected="1" topLeftCell="A25" workbookViewId="0">
      <selection activeCell="C35" sqref="C35"/>
    </sheetView>
  </sheetViews>
  <sheetFormatPr defaultRowHeight="14.5" x14ac:dyDescent="0.35"/>
  <cols>
    <col min="1" max="1" width="9.453125" bestFit="1" customWidth="1"/>
    <col min="3" max="3" width="13.54296875" customWidth="1"/>
    <col min="4" max="4" width="12.54296875" customWidth="1"/>
    <col min="5" max="5" width="12.90625" customWidth="1"/>
    <col min="6" max="6" width="13" customWidth="1"/>
  </cols>
  <sheetData>
    <row r="1" spans="1:6" ht="18.5" x14ac:dyDescent="0.45">
      <c r="A1" s="1" t="s">
        <v>313</v>
      </c>
      <c r="B1" s="1"/>
      <c r="C1" s="1"/>
      <c r="D1" s="1"/>
      <c r="E1" s="1"/>
      <c r="F1" s="1"/>
    </row>
    <row r="2" spans="1:6" ht="18.5" x14ac:dyDescent="0.45">
      <c r="A2" s="1" t="s">
        <v>314</v>
      </c>
      <c r="C2" s="1"/>
      <c r="D2" s="1"/>
      <c r="E2" s="1"/>
      <c r="F2" s="1"/>
    </row>
    <row r="3" spans="1:6" ht="18.5" x14ac:dyDescent="0.45">
      <c r="A3" s="1" t="s">
        <v>315</v>
      </c>
      <c r="B3" s="1"/>
      <c r="C3" s="1"/>
      <c r="D3" s="1"/>
      <c r="E3" s="1"/>
      <c r="F3" s="1"/>
    </row>
    <row r="4" spans="1:6" ht="18.5" x14ac:dyDescent="0.45">
      <c r="A4" s="1" t="s">
        <v>318</v>
      </c>
      <c r="B4" s="1"/>
      <c r="C4" s="1"/>
      <c r="D4" s="1"/>
      <c r="E4" s="1"/>
      <c r="F4" s="1"/>
    </row>
    <row r="5" spans="1:6" ht="18.5" x14ac:dyDescent="0.45">
      <c r="A5" s="1" t="s">
        <v>316</v>
      </c>
      <c r="B5" s="1"/>
      <c r="C5" s="1"/>
      <c r="D5" s="1"/>
      <c r="E5" s="1"/>
      <c r="F5" s="1"/>
    </row>
    <row r="6" spans="1:6" ht="18.5" x14ac:dyDescent="0.45">
      <c r="A6" s="1" t="s">
        <v>312</v>
      </c>
      <c r="B6" s="1"/>
      <c r="C6" s="1"/>
      <c r="D6" s="1" t="s">
        <v>317</v>
      </c>
      <c r="E6" s="1"/>
      <c r="F6" s="1"/>
    </row>
    <row r="7" spans="1:6" ht="18.5" x14ac:dyDescent="0.45">
      <c r="A7" s="50" t="s">
        <v>6</v>
      </c>
      <c r="B7" s="50" t="s">
        <v>7</v>
      </c>
      <c r="C7" s="50" t="s">
        <v>8</v>
      </c>
      <c r="D7" s="50" t="s">
        <v>9</v>
      </c>
      <c r="E7" s="50" t="s">
        <v>10</v>
      </c>
      <c r="F7" s="50" t="s">
        <v>11</v>
      </c>
    </row>
    <row r="8" spans="1:6" x14ac:dyDescent="0.35">
      <c r="A8" s="49" t="s">
        <v>319</v>
      </c>
      <c r="B8" s="8">
        <v>7</v>
      </c>
      <c r="C8" s="8" t="s">
        <v>326</v>
      </c>
      <c r="D8" s="9">
        <v>100000</v>
      </c>
      <c r="E8" s="9">
        <v>100000</v>
      </c>
      <c r="F8" s="9">
        <v>350000</v>
      </c>
    </row>
    <row r="9" spans="1:6" x14ac:dyDescent="0.35">
      <c r="A9" s="10">
        <v>45119</v>
      </c>
      <c r="B9" s="8">
        <v>348</v>
      </c>
      <c r="C9" s="8" t="s">
        <v>327</v>
      </c>
      <c r="D9" s="9">
        <v>20000</v>
      </c>
      <c r="E9" s="9">
        <v>30000</v>
      </c>
      <c r="F9" s="9">
        <f>F8-D9</f>
        <v>330000</v>
      </c>
    </row>
    <row r="10" spans="1:6" x14ac:dyDescent="0.35">
      <c r="A10" s="8" t="s">
        <v>320</v>
      </c>
      <c r="B10" s="8">
        <v>349</v>
      </c>
      <c r="C10" s="8" t="s">
        <v>328</v>
      </c>
      <c r="D10" s="9">
        <v>20000</v>
      </c>
      <c r="E10" s="9">
        <f>E9+D10</f>
        <v>50000</v>
      </c>
      <c r="F10" s="9">
        <f>F9-D10</f>
        <v>310000</v>
      </c>
    </row>
    <row r="11" spans="1:6" x14ac:dyDescent="0.35">
      <c r="A11" s="8" t="s">
        <v>321</v>
      </c>
      <c r="B11" s="8">
        <v>696</v>
      </c>
      <c r="C11" s="8" t="s">
        <v>328</v>
      </c>
      <c r="D11" s="9">
        <v>20000</v>
      </c>
      <c r="E11" s="9">
        <f>E10+D11</f>
        <v>70000</v>
      </c>
      <c r="F11" s="9">
        <f>F10-D11</f>
        <v>290000</v>
      </c>
    </row>
    <row r="12" spans="1:6" x14ac:dyDescent="0.35">
      <c r="A12" s="10">
        <v>45084</v>
      </c>
      <c r="B12" s="8">
        <v>2162</v>
      </c>
      <c r="C12" s="8" t="s">
        <v>328</v>
      </c>
      <c r="D12" s="9">
        <v>10000</v>
      </c>
      <c r="E12" s="9">
        <f>E11+D12</f>
        <v>80000</v>
      </c>
      <c r="F12" s="9">
        <f>F11-D12</f>
        <v>280000</v>
      </c>
    </row>
    <row r="13" spans="1:6" x14ac:dyDescent="0.35">
      <c r="A13" s="10">
        <v>45086</v>
      </c>
      <c r="B13" s="8">
        <v>3422</v>
      </c>
      <c r="C13" s="8" t="s">
        <v>328</v>
      </c>
      <c r="D13" s="9">
        <v>20000</v>
      </c>
      <c r="E13" s="9">
        <f>E12+D13</f>
        <v>100000</v>
      </c>
      <c r="F13" s="9">
        <f>F12-D13</f>
        <v>260000</v>
      </c>
    </row>
    <row r="14" spans="1:6" x14ac:dyDescent="0.35">
      <c r="A14" s="8" t="s">
        <v>322</v>
      </c>
      <c r="B14" s="8">
        <v>4595</v>
      </c>
      <c r="C14" s="8" t="s">
        <v>328</v>
      </c>
      <c r="D14" s="9">
        <v>30000</v>
      </c>
      <c r="E14" s="9">
        <f>E13+D14</f>
        <v>130000</v>
      </c>
      <c r="F14" s="9">
        <f>F13-D14</f>
        <v>230000</v>
      </c>
    </row>
    <row r="15" spans="1:6" x14ac:dyDescent="0.35">
      <c r="A15" s="8" t="s">
        <v>323</v>
      </c>
      <c r="B15" s="8">
        <v>5803</v>
      </c>
      <c r="C15" s="8" t="s">
        <v>328</v>
      </c>
      <c r="D15" s="9">
        <v>15000</v>
      </c>
      <c r="E15" s="9">
        <f>E14+D15</f>
        <v>145000</v>
      </c>
      <c r="F15" s="9">
        <f>F14-D15</f>
        <v>215000</v>
      </c>
    </row>
    <row r="16" spans="1:6" x14ac:dyDescent="0.35">
      <c r="A16" s="8" t="s">
        <v>324</v>
      </c>
      <c r="B16" s="8">
        <v>8131</v>
      </c>
      <c r="C16" s="8" t="s">
        <v>328</v>
      </c>
      <c r="D16" s="9">
        <v>45000</v>
      </c>
      <c r="E16" s="9">
        <f>E15+D16</f>
        <v>190000</v>
      </c>
      <c r="F16" s="9">
        <f>F15-D16</f>
        <v>170000</v>
      </c>
    </row>
    <row r="17" spans="1:6" x14ac:dyDescent="0.35">
      <c r="A17" s="8" t="s">
        <v>325</v>
      </c>
      <c r="B17" s="8">
        <v>9571</v>
      </c>
      <c r="C17" s="8" t="s">
        <v>328</v>
      </c>
      <c r="D17" s="9">
        <v>20000</v>
      </c>
      <c r="E17" s="9">
        <f>E16+D17</f>
        <v>210000</v>
      </c>
      <c r="F17" s="9">
        <f>F16-D17</f>
        <v>150000</v>
      </c>
    </row>
    <row r="18" spans="1:6" x14ac:dyDescent="0.35">
      <c r="A18" s="8" t="s">
        <v>300</v>
      </c>
      <c r="B18" s="8">
        <v>10807</v>
      </c>
      <c r="C18" s="8" t="s">
        <v>328</v>
      </c>
      <c r="D18" s="9">
        <v>20000</v>
      </c>
      <c r="E18" s="9">
        <f>E17+D18</f>
        <v>230000</v>
      </c>
      <c r="F18" s="9">
        <f>F17-D18</f>
        <v>130000</v>
      </c>
    </row>
    <row r="19" spans="1:6" x14ac:dyDescent="0.35">
      <c r="A19" s="8" t="s">
        <v>329</v>
      </c>
      <c r="B19" s="8">
        <v>10329</v>
      </c>
      <c r="C19" s="8" t="s">
        <v>328</v>
      </c>
      <c r="D19" s="9">
        <v>10000</v>
      </c>
      <c r="E19" s="9">
        <f>E18+D19</f>
        <v>240000</v>
      </c>
      <c r="F19" s="9">
        <f>F18-D19</f>
        <v>120000</v>
      </c>
    </row>
    <row r="20" spans="1:6" x14ac:dyDescent="0.35">
      <c r="A20" s="8" t="s">
        <v>330</v>
      </c>
      <c r="B20" s="8">
        <v>10975</v>
      </c>
      <c r="C20" s="8" t="s">
        <v>328</v>
      </c>
      <c r="D20" s="9">
        <v>15000</v>
      </c>
      <c r="E20" s="9">
        <f>E19+D20</f>
        <v>255000</v>
      </c>
      <c r="F20" s="9">
        <f>F19-D20</f>
        <v>105000</v>
      </c>
    </row>
    <row r="21" spans="1:6" x14ac:dyDescent="0.35">
      <c r="A21" s="8" t="s">
        <v>331</v>
      </c>
      <c r="B21" s="8">
        <v>12665</v>
      </c>
      <c r="C21" s="8" t="s">
        <v>328</v>
      </c>
      <c r="D21" s="9">
        <v>15000</v>
      </c>
      <c r="E21" s="9">
        <f>E20+D21</f>
        <v>270000</v>
      </c>
      <c r="F21" s="9">
        <f>F20-D21</f>
        <v>90000</v>
      </c>
    </row>
    <row r="22" spans="1:6" x14ac:dyDescent="0.35">
      <c r="A22" s="8" t="s">
        <v>332</v>
      </c>
      <c r="B22" s="8">
        <v>9404</v>
      </c>
      <c r="C22" s="8" t="s">
        <v>328</v>
      </c>
      <c r="D22" s="9">
        <v>15000</v>
      </c>
      <c r="E22" s="9">
        <f>E21+D22</f>
        <v>285000</v>
      </c>
      <c r="F22" s="9">
        <f>F21-D22</f>
        <v>75000</v>
      </c>
    </row>
    <row r="23" spans="1:6" x14ac:dyDescent="0.35">
      <c r="A23" s="8" t="s">
        <v>333</v>
      </c>
      <c r="B23" s="8">
        <v>9811</v>
      </c>
      <c r="C23" s="8" t="s">
        <v>328</v>
      </c>
      <c r="D23" s="9">
        <v>15000</v>
      </c>
      <c r="E23" s="9">
        <f>E22+D23</f>
        <v>300000</v>
      </c>
      <c r="F23" s="9">
        <f>F22-D23</f>
        <v>60000</v>
      </c>
    </row>
    <row r="24" spans="1:6" x14ac:dyDescent="0.35">
      <c r="A24" s="8" t="s">
        <v>334</v>
      </c>
      <c r="B24" s="8">
        <v>10206</v>
      </c>
      <c r="C24" s="8" t="s">
        <v>328</v>
      </c>
      <c r="D24" s="9">
        <v>15000</v>
      </c>
      <c r="E24" s="9">
        <f>E23+D24</f>
        <v>315000</v>
      </c>
      <c r="F24" s="9">
        <f>F23-D24</f>
        <v>45000</v>
      </c>
    </row>
    <row r="25" spans="1:6" x14ac:dyDescent="0.35">
      <c r="A25" s="8" t="s">
        <v>335</v>
      </c>
      <c r="B25" s="8">
        <v>10885</v>
      </c>
      <c r="C25" s="8" t="s">
        <v>328</v>
      </c>
      <c r="D25" s="9">
        <v>10000</v>
      </c>
      <c r="E25" s="9">
        <f>E24+D25</f>
        <v>325000</v>
      </c>
      <c r="F25" s="9">
        <f>F24-D25</f>
        <v>35000</v>
      </c>
    </row>
    <row r="26" spans="1:6" x14ac:dyDescent="0.35">
      <c r="A26" s="8" t="s">
        <v>336</v>
      </c>
      <c r="B26" s="8">
        <v>12318</v>
      </c>
      <c r="C26" s="8" t="s">
        <v>328</v>
      </c>
      <c r="D26" s="9">
        <v>10000</v>
      </c>
      <c r="E26" s="9">
        <f>E25+D26</f>
        <v>335000</v>
      </c>
      <c r="F26" s="9">
        <f>F25-D26</f>
        <v>25000</v>
      </c>
    </row>
    <row r="27" spans="1:6" x14ac:dyDescent="0.35">
      <c r="A27" s="8" t="s">
        <v>337</v>
      </c>
      <c r="B27" s="8">
        <v>13926</v>
      </c>
      <c r="C27" s="8" t="s">
        <v>328</v>
      </c>
      <c r="D27" s="9">
        <v>20000</v>
      </c>
      <c r="E27" s="9">
        <f>E26+D27</f>
        <v>355000</v>
      </c>
      <c r="F27" s="9">
        <f>F26-D27</f>
        <v>5000</v>
      </c>
    </row>
    <row r="28" spans="1:6" x14ac:dyDescent="0.35">
      <c r="A28" s="8" t="s">
        <v>337</v>
      </c>
      <c r="B28" s="8">
        <v>13927</v>
      </c>
      <c r="C28" s="8" t="s">
        <v>328</v>
      </c>
      <c r="D28" s="9">
        <v>5000</v>
      </c>
      <c r="E28" s="9">
        <f>E27+D28</f>
        <v>360000</v>
      </c>
      <c r="F28" s="9">
        <f>F27-D28</f>
        <v>0</v>
      </c>
    </row>
    <row r="30" spans="1:6" ht="18.5" x14ac:dyDescent="0.45">
      <c r="A30" s="51" t="s">
        <v>235</v>
      </c>
      <c r="B30" s="51"/>
      <c r="C30" s="51"/>
    </row>
    <row r="31" spans="1:6" x14ac:dyDescent="0.35">
      <c r="A31" s="10">
        <v>46054</v>
      </c>
      <c r="B31" s="8">
        <v>5198</v>
      </c>
      <c r="C31" s="8" t="s">
        <v>340</v>
      </c>
      <c r="D31" s="52">
        <v>7000</v>
      </c>
      <c r="E31" s="8">
        <v>7000</v>
      </c>
      <c r="F31" s="9">
        <v>443000</v>
      </c>
    </row>
    <row r="32" spans="1:6" x14ac:dyDescent="0.35">
      <c r="A32" s="10">
        <v>46297</v>
      </c>
      <c r="B32" s="8">
        <v>5479</v>
      </c>
      <c r="C32" s="8" t="s">
        <v>340</v>
      </c>
      <c r="D32" s="52">
        <v>13000</v>
      </c>
      <c r="E32" s="9">
        <f>E31+D32</f>
        <v>20000</v>
      </c>
      <c r="F32" s="9">
        <f>F31-D32</f>
        <v>430000</v>
      </c>
    </row>
    <row r="33" spans="1:6" x14ac:dyDescent="0.35">
      <c r="A33" s="8" t="s">
        <v>338</v>
      </c>
      <c r="B33" s="8">
        <v>1488</v>
      </c>
      <c r="C33" s="8" t="s">
        <v>340</v>
      </c>
      <c r="D33" s="9">
        <v>30000</v>
      </c>
      <c r="E33" s="9">
        <f>E32+D33</f>
        <v>50000</v>
      </c>
      <c r="F33" s="9">
        <f>F32-D33</f>
        <v>400000</v>
      </c>
    </row>
    <row r="34" spans="1:6" x14ac:dyDescent="0.35">
      <c r="A34" s="10">
        <v>46302</v>
      </c>
      <c r="B34" s="8">
        <v>1804</v>
      </c>
      <c r="C34" s="8" t="s">
        <v>340</v>
      </c>
      <c r="D34" s="9">
        <v>20000</v>
      </c>
      <c r="E34" s="9">
        <f>E33+D34</f>
        <v>70000</v>
      </c>
      <c r="F34" s="9">
        <f>F33-D34</f>
        <v>380000</v>
      </c>
    </row>
    <row r="35" spans="1:6" x14ac:dyDescent="0.35">
      <c r="A35" s="8" t="s">
        <v>339</v>
      </c>
      <c r="B35" s="8">
        <v>1954</v>
      </c>
      <c r="C35" s="8" t="s">
        <v>340</v>
      </c>
      <c r="D35" s="9">
        <v>10000</v>
      </c>
      <c r="E35" s="9">
        <f>E34+D35</f>
        <v>80000</v>
      </c>
      <c r="F35" s="9">
        <f>F34-D35</f>
        <v>370000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L-6201</vt:lpstr>
      <vt:lpstr>L-6206</vt:lpstr>
      <vt:lpstr>L-6220</vt:lpstr>
      <vt:lpstr>L-6221</vt:lpstr>
      <vt:lpstr>L-6233</vt:lpstr>
      <vt:lpstr>L-6224</vt:lpstr>
      <vt:lpstr>L-6231</vt:lpstr>
      <vt:lpstr>L-6237</vt:lpstr>
      <vt:lpstr>L-6241</vt:lpstr>
      <vt:lpstr>L-6328</vt:lpstr>
      <vt:lpstr>L-6242</vt:lpstr>
      <vt:lpstr>L-6244</vt:lpstr>
      <vt:lpstr>L-6245</vt:lpstr>
      <vt:lpstr>L-6247</vt:lpstr>
      <vt:lpstr>L-6248</vt:lpstr>
      <vt:lpstr>L-6249</vt:lpstr>
      <vt:lpstr>L-6265</vt:lpstr>
      <vt:lpstr>L-6259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2026-02-22T01:06:48Z</dcterms:created>
  <dcterms:modified xsi:type="dcterms:W3CDTF">2026-08-20T01:05:11Z</dcterms:modified>
</cp:coreProperties>
</file>