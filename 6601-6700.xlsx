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OT-6001-7000\"/>
    </mc:Choice>
  </mc:AlternateContent>
  <xr:revisionPtr revIDLastSave="0" documentId="13_ncr:1_{0FB5867B-598A-4857-84CC-89F478B37A6D}" xr6:coauthVersionLast="47" xr6:coauthVersionMax="47" xr10:uidLastSave="{00000000-0000-0000-0000-000000000000}"/>
  <bookViews>
    <workbookView xWindow="-110" yWindow="-110" windowWidth="19420" windowHeight="10420" activeTab="7" xr2:uid="{211C085C-8616-444B-A098-63FF9C2BE0B9}"/>
  </bookViews>
  <sheets>
    <sheet name="L-6631" sheetId="1" r:id="rId1"/>
    <sheet name="L-6633" sheetId="3" r:id="rId2"/>
    <sheet name="L-6634" sheetId="8" r:id="rId3"/>
    <sheet name="L-6686" sheetId="5" r:id="rId4"/>
    <sheet name="L-6635" sheetId="7" r:id="rId5"/>
    <sheet name="L-6694" sheetId="2" r:id="rId6"/>
    <sheet name="L-6695" sheetId="4" r:id="rId7"/>
    <sheet name="L-6696" sheetId="6" r:id="rId8"/>
    <sheet name="L-6630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6" l="1"/>
  <c r="F31" i="6"/>
  <c r="F30" i="6"/>
  <c r="E32" i="6"/>
  <c r="E31" i="6"/>
  <c r="E30" i="6"/>
  <c r="F42" i="2"/>
  <c r="E42" i="2"/>
  <c r="F16" i="9"/>
  <c r="F15" i="9"/>
  <c r="E9" i="9"/>
  <c r="F9" i="9"/>
  <c r="F10" i="9" s="1"/>
  <c r="F11" i="9" s="1"/>
  <c r="F12" i="9" s="1"/>
  <c r="F13" i="9" s="1"/>
  <c r="F14" i="9" s="1"/>
  <c r="F41" i="2"/>
  <c r="E41" i="2"/>
  <c r="F40" i="2"/>
  <c r="E40" i="2"/>
  <c r="F19" i="8"/>
  <c r="F20" i="8"/>
  <c r="F21" i="8"/>
  <c r="F22" i="8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19" i="8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F10" i="8"/>
  <c r="F11" i="8" s="1"/>
  <c r="F12" i="8" s="1"/>
  <c r="F13" i="8" s="1"/>
  <c r="F14" i="8" s="1"/>
  <c r="F15" i="8" s="1"/>
  <c r="F16" i="8" s="1"/>
  <c r="F17" i="8" s="1"/>
  <c r="F18" i="8" s="1"/>
  <c r="E10" i="8"/>
  <c r="E11" i="8" s="1"/>
  <c r="E12" i="8" s="1"/>
  <c r="E13" i="8" s="1"/>
  <c r="E14" i="8" s="1"/>
  <c r="E15" i="8" s="1"/>
  <c r="E16" i="8" s="1"/>
  <c r="E17" i="8" s="1"/>
  <c r="E18" i="8" s="1"/>
  <c r="F9" i="8"/>
  <c r="E9" i="8"/>
  <c r="F19" i="7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E19" i="7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F10" i="7"/>
  <c r="F11" i="7" s="1"/>
  <c r="F12" i="7" s="1"/>
  <c r="F13" i="7" s="1"/>
  <c r="F14" i="7" s="1"/>
  <c r="F15" i="7" s="1"/>
  <c r="F16" i="7" s="1"/>
  <c r="F17" i="7" s="1"/>
  <c r="F18" i="7" s="1"/>
  <c r="E10" i="7"/>
  <c r="E11" i="7"/>
  <c r="E12" i="7" s="1"/>
  <c r="E13" i="7" s="1"/>
  <c r="E14" i="7" s="1"/>
  <c r="E15" i="7" s="1"/>
  <c r="E16" i="7" s="1"/>
  <c r="E17" i="7" s="1"/>
  <c r="E18" i="7" s="1"/>
  <c r="F9" i="7"/>
  <c r="E9" i="7"/>
  <c r="F19" i="6"/>
  <c r="F20" i="6" s="1"/>
  <c r="F21" i="6" s="1"/>
  <c r="F22" i="6" s="1"/>
  <c r="F23" i="6" s="1"/>
  <c r="F24" i="6" s="1"/>
  <c r="F25" i="6" s="1"/>
  <c r="E19" i="6"/>
  <c r="E20" i="6" s="1"/>
  <c r="E21" i="6" s="1"/>
  <c r="E22" i="6" s="1"/>
  <c r="E23" i="6" s="1"/>
  <c r="E24" i="6" s="1"/>
  <c r="E25" i="6" s="1"/>
  <c r="E26" i="6" s="1"/>
  <c r="F10" i="6"/>
  <c r="F11" i="6" s="1"/>
  <c r="F12" i="6" s="1"/>
  <c r="F13" i="6" s="1"/>
  <c r="F14" i="6" s="1"/>
  <c r="F15" i="6" s="1"/>
  <c r="F16" i="6" s="1"/>
  <c r="F17" i="6" s="1"/>
  <c r="F18" i="6" s="1"/>
  <c r="E10" i="6"/>
  <c r="E11" i="6" s="1"/>
  <c r="E12" i="6" s="1"/>
  <c r="E13" i="6" s="1"/>
  <c r="E14" i="6" s="1"/>
  <c r="E15" i="6" s="1"/>
  <c r="E16" i="6" s="1"/>
  <c r="E17" i="6" s="1"/>
  <c r="E18" i="6" s="1"/>
  <c r="F9" i="6"/>
  <c r="E9" i="6"/>
  <c r="F19" i="5"/>
  <c r="F20" i="5" s="1"/>
  <c r="F21" i="5" s="1"/>
  <c r="F22" i="5" s="1"/>
  <c r="F23" i="5" s="1"/>
  <c r="F24" i="5" s="1"/>
  <c r="F25" i="5" s="1"/>
  <c r="F26" i="5" s="1"/>
  <c r="F27" i="5" s="1"/>
  <c r="F28" i="5" s="1"/>
  <c r="E19" i="5"/>
  <c r="E20" i="5" s="1"/>
  <c r="E21" i="5" s="1"/>
  <c r="E22" i="5" s="1"/>
  <c r="E23" i="5" s="1"/>
  <c r="E24" i="5" s="1"/>
  <c r="E25" i="5" s="1"/>
  <c r="E26" i="5" s="1"/>
  <c r="E27" i="5" s="1"/>
  <c r="E28" i="5" s="1"/>
  <c r="F10" i="5"/>
  <c r="F11" i="5"/>
  <c r="F12" i="5"/>
  <c r="F13" i="5"/>
  <c r="F14" i="5" s="1"/>
  <c r="F15" i="5" s="1"/>
  <c r="F16" i="5" s="1"/>
  <c r="F17" i="5" s="1"/>
  <c r="F18" i="5" s="1"/>
  <c r="E10" i="5"/>
  <c r="E11" i="5"/>
  <c r="E12" i="5"/>
  <c r="E13" i="5"/>
  <c r="E14" i="5" s="1"/>
  <c r="E15" i="5" s="1"/>
  <c r="E16" i="5" s="1"/>
  <c r="E17" i="5" s="1"/>
  <c r="E18" i="5" s="1"/>
  <c r="F9" i="5"/>
  <c r="E9" i="5"/>
  <c r="F39" i="2"/>
  <c r="E39" i="2"/>
  <c r="F40" i="4"/>
  <c r="F41" i="4"/>
  <c r="F42" i="4"/>
  <c r="F43" i="4"/>
  <c r="F44" i="4" s="1"/>
  <c r="F45" i="4" s="1"/>
  <c r="F46" i="4" s="1"/>
  <c r="F47" i="4" s="1"/>
  <c r="F48" i="4" s="1"/>
  <c r="F49" i="4" s="1"/>
  <c r="F27" i="4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E27" i="4"/>
  <c r="E28" i="4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F18" i="4"/>
  <c r="F19" i="4" s="1"/>
  <c r="F20" i="4" s="1"/>
  <c r="F21" i="4" s="1"/>
  <c r="F22" i="4" s="1"/>
  <c r="F23" i="4" s="1"/>
  <c r="F24" i="4" s="1"/>
  <c r="F25" i="4" s="1"/>
  <c r="F26" i="4" s="1"/>
  <c r="E18" i="4"/>
  <c r="E19" i="4"/>
  <c r="E20" i="4" s="1"/>
  <c r="E21" i="4" s="1"/>
  <c r="E22" i="4" s="1"/>
  <c r="E23" i="4" s="1"/>
  <c r="E24" i="4" s="1"/>
  <c r="E25" i="4" s="1"/>
  <c r="E26" i="4" s="1"/>
  <c r="F17" i="4"/>
  <c r="E17" i="4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F18" i="1"/>
  <c r="F19" i="1"/>
  <c r="F20" i="1"/>
  <c r="F21" i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E18" i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F9" i="1"/>
  <c r="F10" i="1" s="1"/>
  <c r="F11" i="1" s="1"/>
  <c r="F12" i="1" s="1"/>
  <c r="F13" i="1" s="1"/>
  <c r="F14" i="1" s="1"/>
  <c r="F15" i="1" s="1"/>
  <c r="F16" i="1" s="1"/>
  <c r="F17" i="1" s="1"/>
  <c r="E9" i="1"/>
  <c r="E10" i="1"/>
  <c r="E11" i="1" s="1"/>
  <c r="E12" i="1" s="1"/>
  <c r="E13" i="1" s="1"/>
  <c r="E14" i="1" s="1"/>
  <c r="E15" i="1" s="1"/>
  <c r="E16" i="1" s="1"/>
  <c r="E17" i="1" s="1"/>
  <c r="F8" i="1"/>
  <c r="E8" i="1"/>
  <c r="F17" i="9" l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E10" i="9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</calcChain>
</file>

<file path=xl/sharedStrings.xml><?xml version="1.0" encoding="utf-8"?>
<sst xmlns="http://schemas.openxmlformats.org/spreadsheetml/2006/main" count="541" uniqueCount="226">
  <si>
    <t>Date</t>
  </si>
  <si>
    <t>R.NO</t>
  </si>
  <si>
    <t>Description</t>
  </si>
  <si>
    <t>Amount Rec</t>
  </si>
  <si>
    <t>Total Rec</t>
  </si>
  <si>
    <t>Amount Due</t>
  </si>
  <si>
    <t>Name : Sher Bano</t>
  </si>
  <si>
    <t>Father Name : Aman Gul</t>
  </si>
  <si>
    <t>CNIC # 42401-3783842-2</t>
  </si>
  <si>
    <t xml:space="preserve">Contact # </t>
  </si>
  <si>
    <t>Plot No : L-6631</t>
  </si>
  <si>
    <t>Cost : 430,000</t>
  </si>
  <si>
    <t>31/7/2023</t>
  </si>
  <si>
    <t>20/9/2023</t>
  </si>
  <si>
    <t>15/1/2024</t>
  </si>
  <si>
    <t>25/2/2024</t>
  </si>
  <si>
    <t>instalment</t>
  </si>
  <si>
    <t>instalment 5000 pen</t>
  </si>
  <si>
    <t>31/3/2024</t>
  </si>
  <si>
    <t>28/4/2024</t>
  </si>
  <si>
    <t>20/5/2024</t>
  </si>
  <si>
    <t>25/8/2024</t>
  </si>
  <si>
    <t>20/9/2024</t>
  </si>
  <si>
    <t>28/10/2024</t>
  </si>
  <si>
    <t>26/11/2024</t>
  </si>
  <si>
    <t>29/12/2024</t>
  </si>
  <si>
    <t>19/4/2025</t>
  </si>
  <si>
    <t>14/5/2025</t>
  </si>
  <si>
    <t>22/7/2025</t>
  </si>
  <si>
    <t>13/10/2025</t>
  </si>
  <si>
    <t>26/11/2025</t>
  </si>
  <si>
    <t>13/1/2026</t>
  </si>
  <si>
    <t>Instalment</t>
  </si>
  <si>
    <t>Name : Liaquat Hussain</t>
  </si>
  <si>
    <t>Father Name : Muhammad Khan</t>
  </si>
  <si>
    <t>CNIC # 37201-1793847-9</t>
  </si>
  <si>
    <t>Contact # 03338007004</t>
  </si>
  <si>
    <t>Plot No : L-6694</t>
  </si>
  <si>
    <t>Cost : 570,000</t>
  </si>
  <si>
    <t>18/12/2022</t>
  </si>
  <si>
    <t>30/8/2023</t>
  </si>
  <si>
    <t>30/9/2023</t>
  </si>
  <si>
    <t>29/10/2023</t>
  </si>
  <si>
    <t>29/11/2023</t>
  </si>
  <si>
    <t>30/12/2023</t>
  </si>
  <si>
    <t>30/1/2023</t>
  </si>
  <si>
    <t>29/2/2024</t>
  </si>
  <si>
    <t>Adj Rehman</t>
  </si>
  <si>
    <t>30/3/2024</t>
  </si>
  <si>
    <t>30/4/2024</t>
  </si>
  <si>
    <t>28/5/2024</t>
  </si>
  <si>
    <t>29/6/2024</t>
  </si>
  <si>
    <t>13/2/2026</t>
  </si>
  <si>
    <t>20/3/2026</t>
  </si>
  <si>
    <t>Name : Abdul Malik</t>
  </si>
  <si>
    <t>Father Name : ALI</t>
  </si>
  <si>
    <t>CNIC # 42401-1872521-7</t>
  </si>
  <si>
    <t>Contact # 03452596274</t>
  </si>
  <si>
    <t>Plot No : L-6633</t>
  </si>
  <si>
    <t>20/11/2022</t>
  </si>
  <si>
    <t>25/1/2023</t>
  </si>
  <si>
    <t>25/12/2023</t>
  </si>
  <si>
    <t>26/2/2023</t>
  </si>
  <si>
    <t>28/3/2023</t>
  </si>
  <si>
    <t>28/5/2023</t>
  </si>
  <si>
    <t>26/7/2023</t>
  </si>
  <si>
    <t>ins Reh</t>
  </si>
  <si>
    <t>29/12/2023</t>
  </si>
  <si>
    <t>27/1/2024</t>
  </si>
  <si>
    <t>27/2/2024</t>
  </si>
  <si>
    <t>27/3/2024</t>
  </si>
  <si>
    <t>29/10/2024</t>
  </si>
  <si>
    <t>29/11/2024</t>
  </si>
  <si>
    <t>29/1/2025</t>
  </si>
  <si>
    <t>NILL</t>
  </si>
  <si>
    <t>THIS FILE IS CLEAR</t>
  </si>
  <si>
    <t>29/12/2025</t>
  </si>
  <si>
    <t>Development</t>
  </si>
  <si>
    <t>15,000 Discount Order By CEO</t>
  </si>
  <si>
    <t>Code Num;BXY6661280</t>
  </si>
  <si>
    <t>Name : Rizwan Ullah</t>
  </si>
  <si>
    <t>Father Name : Badi Uz Zaman</t>
  </si>
  <si>
    <t>CNIC # 42401-1416491-3</t>
  </si>
  <si>
    <t>Contact # 03463032804</t>
  </si>
  <si>
    <t>Cost : 600,000</t>
  </si>
  <si>
    <t>THIS FILE IS TRANSFEER TO;</t>
  </si>
  <si>
    <t>DETAIL OF TRANSFERRED</t>
  </si>
  <si>
    <t>Name : Allah Baksh Baloch</t>
  </si>
  <si>
    <t>Father Name : Sahib Dad Baloch</t>
  </si>
  <si>
    <t>CNIC # 42401-8633555-5</t>
  </si>
  <si>
    <t>Contact # 03456057552</t>
  </si>
  <si>
    <t>Plot No : L-6695</t>
  </si>
  <si>
    <t>Code Num;CEQ3631603</t>
  </si>
  <si>
    <t>15/7/2023</t>
  </si>
  <si>
    <t xml:space="preserve">Adj Rehman </t>
  </si>
  <si>
    <t>Leased Adj</t>
  </si>
  <si>
    <t>Code Num;CDY6957714</t>
  </si>
  <si>
    <t>24/4/2026</t>
  </si>
  <si>
    <t>Name : M.Saad Akhter</t>
  </si>
  <si>
    <t>Father Name : M.Akhter</t>
  </si>
  <si>
    <t>CNIC # 42101-0496984-1</t>
  </si>
  <si>
    <t>Contact # 03333413383</t>
  </si>
  <si>
    <t>Plot No : L-6686</t>
  </si>
  <si>
    <t>Cost :450,000</t>
  </si>
  <si>
    <t>Code Num;</t>
  </si>
  <si>
    <t>13/5/2023</t>
  </si>
  <si>
    <t>14/12/2023</t>
  </si>
  <si>
    <t>18/1/2024</t>
  </si>
  <si>
    <t>21/2/2024</t>
  </si>
  <si>
    <t>22/3/2024</t>
  </si>
  <si>
    <t>22/4/2024</t>
  </si>
  <si>
    <t>Adjustment Reh</t>
  </si>
  <si>
    <t>Installment</t>
  </si>
  <si>
    <t>16/5/2024</t>
  </si>
  <si>
    <t>24/6/2024</t>
  </si>
  <si>
    <t>26/7/2024</t>
  </si>
  <si>
    <t>23/10/2024</t>
  </si>
  <si>
    <t>13/1/2025</t>
  </si>
  <si>
    <t>21/2/2025</t>
  </si>
  <si>
    <t>27/3/2025</t>
  </si>
  <si>
    <t>DEVELOPMENT CONTINUE</t>
  </si>
  <si>
    <t>Name : Muhammad Arshad Khan</t>
  </si>
  <si>
    <t>Father Name : Muhammad Ishaq</t>
  </si>
  <si>
    <t>CNIC # 42401-1956572-7</t>
  </si>
  <si>
    <t>Contact #03112145155</t>
  </si>
  <si>
    <t>Plot No : L-6696</t>
  </si>
  <si>
    <t>Cost : 750,000</t>
  </si>
  <si>
    <t>Code Num;CHW5437657</t>
  </si>
  <si>
    <t>31/5/2022</t>
  </si>
  <si>
    <t>13/8/2024</t>
  </si>
  <si>
    <t>23/9/2024</t>
  </si>
  <si>
    <t>30/11/2024</t>
  </si>
  <si>
    <t>15/12/2024</t>
  </si>
  <si>
    <t>16/1/2025</t>
  </si>
  <si>
    <t>AL reh Adj</t>
  </si>
  <si>
    <t>17/2/2025</t>
  </si>
  <si>
    <t>14/3/2025</t>
  </si>
  <si>
    <t>20/6/2025</t>
  </si>
  <si>
    <t>14/7/2025</t>
  </si>
  <si>
    <t>Nill</t>
  </si>
  <si>
    <t>Name : Mansoor Ahmed</t>
  </si>
  <si>
    <t>Father Name : Ghulam Muhammad</t>
  </si>
  <si>
    <t>CNIC # 42101-4347076-7</t>
  </si>
  <si>
    <t>Contact # 03132467375</t>
  </si>
  <si>
    <t>Plot No : L-6635</t>
  </si>
  <si>
    <t>Code Num;CMV3122016</t>
  </si>
  <si>
    <t>14/8/2023</t>
  </si>
  <si>
    <t>31/12/2023</t>
  </si>
  <si>
    <t>Res Booking</t>
  </si>
  <si>
    <t>15/9/2024</t>
  </si>
  <si>
    <t>21/12/2024</t>
  </si>
  <si>
    <t>14/4/2026</t>
  </si>
  <si>
    <t>Name : MRS Rubina</t>
  </si>
  <si>
    <t>Father Name : Ameen Khan</t>
  </si>
  <si>
    <t>CNIC # 42501-5214599-2</t>
  </si>
  <si>
    <t>Plot No : L-6634</t>
  </si>
  <si>
    <t>Cost : 500,000</t>
  </si>
  <si>
    <t>Code Num;BKK8230067</t>
  </si>
  <si>
    <t>25/12/2022</t>
  </si>
  <si>
    <t>25/9/2023</t>
  </si>
  <si>
    <t>Ins Rehman</t>
  </si>
  <si>
    <t xml:space="preserve">Adv Adj </t>
  </si>
  <si>
    <t>26/11/2023</t>
  </si>
  <si>
    <t>21/1/2024</t>
  </si>
  <si>
    <t>22/12/20254</t>
  </si>
  <si>
    <t>14/2/2025</t>
  </si>
  <si>
    <t>19/11/2025</t>
  </si>
  <si>
    <t>28/7/2025</t>
  </si>
  <si>
    <t>13/9/2025</t>
  </si>
  <si>
    <t>18/8/2025</t>
  </si>
  <si>
    <t>15/10/2025</t>
  </si>
  <si>
    <t>18/1/2026</t>
  </si>
  <si>
    <t>13/4/2026</t>
  </si>
  <si>
    <t>12\6\26</t>
  </si>
  <si>
    <t>F\NAME:</t>
  </si>
  <si>
    <t>CONTACT NO:</t>
  </si>
  <si>
    <t>CNIC NO:</t>
  </si>
  <si>
    <t>CODE NO:</t>
  </si>
  <si>
    <t>PLOT NO</t>
  </si>
  <si>
    <t>17\7\26</t>
  </si>
  <si>
    <t>Name:</t>
  </si>
  <si>
    <t>Zahida</t>
  </si>
  <si>
    <t>Imran</t>
  </si>
  <si>
    <t>0317-2745891</t>
  </si>
  <si>
    <t>42410-67773486-6</t>
  </si>
  <si>
    <t>L-6630</t>
  </si>
  <si>
    <t>8\3\23</t>
  </si>
  <si>
    <t>10\4\23</t>
  </si>
  <si>
    <t>5\6\23</t>
  </si>
  <si>
    <t>6\8\23</t>
  </si>
  <si>
    <t>28\8\23</t>
  </si>
  <si>
    <t>22\10\23</t>
  </si>
  <si>
    <t>14\11\23</t>
  </si>
  <si>
    <t>10\12\23</t>
  </si>
  <si>
    <t>9\1\24</t>
  </si>
  <si>
    <t>18\2\24</t>
  </si>
  <si>
    <t>21\4\24</t>
  </si>
  <si>
    <t>15\5/24</t>
  </si>
  <si>
    <t>18\7\24</t>
  </si>
  <si>
    <t>14/10/24</t>
  </si>
  <si>
    <t>15/12/24</t>
  </si>
  <si>
    <t>20/2/25</t>
  </si>
  <si>
    <t>16/3/25</t>
  </si>
  <si>
    <t>28/4/25</t>
  </si>
  <si>
    <t>31/5/25</t>
  </si>
  <si>
    <t>25/6/25</t>
  </si>
  <si>
    <t>27/7/25</t>
  </si>
  <si>
    <t>10\4\22</t>
  </si>
  <si>
    <t>2\9\22</t>
  </si>
  <si>
    <t>cost:430,000</t>
  </si>
  <si>
    <t>al rehman adj</t>
  </si>
  <si>
    <t>17/2/22</t>
  </si>
  <si>
    <t>22/8/22</t>
  </si>
  <si>
    <t>17\3/24</t>
  </si>
  <si>
    <t>15/1/25</t>
  </si>
  <si>
    <t>nill</t>
  </si>
  <si>
    <t xml:space="preserve">Development continue </t>
  </si>
  <si>
    <t>13/7/26</t>
  </si>
  <si>
    <t xml:space="preserve">development </t>
  </si>
  <si>
    <t>installment</t>
  </si>
  <si>
    <t>sir arshad ka dost rashid khan ppp 50,000 diay ha 100,000 ni diay</t>
  </si>
  <si>
    <t>CODE#CHE5178586</t>
  </si>
  <si>
    <t>DEVELOPMENT NILL</t>
  </si>
  <si>
    <t>DEVELOMENT</t>
  </si>
  <si>
    <t xml:space="preserve">DEVELOPMENT </t>
  </si>
  <si>
    <t xml:space="preserve">NILL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</si>
</sst>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/>
    <xf numFmtId="14" fontId="0" fillId="0" borderId="0" xfId="0" applyNumberFormat="1"/>
    <xf numFmtId="0" fontId="2" fillId="0" borderId="0" xfId="0" applyFont="1"/>
    <xf numFmtId="0" fontId="0" fillId="0" borderId="1" xfId="0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0" fillId="0" borderId="1" xfId="0" applyNumberFormat="1" applyBorder="1"/>
    <xf numFmtId="3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4" fontId="2" fillId="0" borderId="1" xfId="0" applyNumberFormat="1" applyFont="1" applyBorder="1"/>
    <xf numFmtId="0" fontId="2" fillId="0" borderId="1" xfId="0" applyFont="1" applyBorder="1"/>
    <xf numFmtId="0" fontId="1" fillId="2" borderId="0" xfId="0" applyFont="1" applyFill="1"/>
    <xf numFmtId="0" fontId="0" fillId="2" borderId="1" xfId="0" applyFill="1" applyBorder="1"/>
    <xf numFmtId="3" fontId="0" fillId="2" borderId="1" xfId="0" applyNumberFormat="1" applyFill="1" applyBorder="1"/>
    <xf numFmtId="14" fontId="0" fillId="2" borderId="1" xfId="0" applyNumberFormat="1" applyFill="1" applyBorder="1"/>
    <xf numFmtId="0" fontId="0" fillId="2" borderId="0" xfId="0" applyFill="1"/>
    <xf numFmtId="0" fontId="0" fillId="2" borderId="2" xfId="0" applyFill="1" applyBorder="1"/>
    <xf numFmtId="17" fontId="0" fillId="0" borderId="1" xfId="0" applyNumberFormat="1" applyBorder="1" applyAlignment="1">
      <alignment horizontal="left"/>
    </xf>
    <xf numFmtId="0" fontId="4" fillId="0" borderId="0" xfId="0" applyFont="1"/>
    <xf numFmtId="14" fontId="1" fillId="0" borderId="0" xfId="0" applyNumberFormat="1" applyFont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9809-EF1F-4638-B9E2-9AE91FC99870}">
  <dimension ref="A1:F39"/>
  <sheetViews>
    <sheetView topLeftCell="A25" workbookViewId="0">
      <selection activeCell="C41" sqref="C41"/>
    </sheetView>
  </sheetViews>
  <sheetFormatPr defaultRowHeight="14.5" x14ac:dyDescent="0.35"/>
  <cols>
    <col min="1" max="1" width="10.453125" bestFit="1" customWidth="1"/>
    <col min="3" max="3" width="18.1796875" customWidth="1"/>
    <col min="4" max="4" width="15.81640625" bestFit="1" customWidth="1"/>
    <col min="6" max="6" width="11.36328125" bestFit="1" customWidth="1"/>
  </cols>
  <sheetData>
    <row r="1" spans="1:6" ht="18.5" x14ac:dyDescent="0.45">
      <c r="A1" s="14" t="s">
        <v>6</v>
      </c>
      <c r="B1" s="14"/>
      <c r="C1" s="14"/>
      <c r="D1" s="14"/>
      <c r="E1" s="14"/>
      <c r="F1" s="14"/>
    </row>
    <row r="2" spans="1:6" ht="18.5" x14ac:dyDescent="0.45">
      <c r="A2" s="14" t="s">
        <v>7</v>
      </c>
      <c r="B2" s="14"/>
      <c r="C2" s="14"/>
      <c r="D2" s="14"/>
      <c r="E2" s="14"/>
      <c r="F2" s="14"/>
    </row>
    <row r="3" spans="1:6" ht="18.5" x14ac:dyDescent="0.45">
      <c r="A3" s="14" t="s">
        <v>8</v>
      </c>
      <c r="B3" s="14"/>
      <c r="C3" s="14"/>
      <c r="D3" s="14"/>
      <c r="E3" s="14"/>
      <c r="F3" s="14"/>
    </row>
    <row r="4" spans="1:6" ht="18.5" x14ac:dyDescent="0.45">
      <c r="A4" s="14" t="s">
        <v>221</v>
      </c>
      <c r="B4" s="14"/>
      <c r="C4" s="14"/>
      <c r="D4" s="14"/>
      <c r="E4" s="14"/>
      <c r="F4" s="14"/>
    </row>
    <row r="5" spans="1:6" ht="18.5" x14ac:dyDescent="0.45">
      <c r="A5" s="14" t="s">
        <v>10</v>
      </c>
      <c r="B5" s="14"/>
      <c r="C5" s="14"/>
      <c r="D5" s="14" t="s">
        <v>11</v>
      </c>
      <c r="E5" s="14"/>
      <c r="F5" s="14"/>
    </row>
    <row r="6" spans="1:6" x14ac:dyDescent="0.35">
      <c r="A6" s="9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</row>
    <row r="7" spans="1:6" x14ac:dyDescent="0.35">
      <c r="A7" s="12">
        <v>44690</v>
      </c>
      <c r="B7" s="9">
        <v>260</v>
      </c>
      <c r="C7" s="9" t="s">
        <v>16</v>
      </c>
      <c r="D7" s="13">
        <v>10000</v>
      </c>
      <c r="E7" s="13">
        <v>10000</v>
      </c>
      <c r="F7" s="13">
        <v>310000</v>
      </c>
    </row>
    <row r="8" spans="1:6" x14ac:dyDescent="0.35">
      <c r="A8" s="12">
        <v>45049</v>
      </c>
      <c r="B8" s="9">
        <v>2635</v>
      </c>
      <c r="C8" s="9" t="s">
        <v>16</v>
      </c>
      <c r="D8" s="13">
        <v>10000</v>
      </c>
      <c r="E8" s="13">
        <f>SUM(E7+D8)</f>
        <v>20000</v>
      </c>
      <c r="F8" s="13">
        <f>F7-D8</f>
        <v>300000</v>
      </c>
    </row>
    <row r="9" spans="1:6" x14ac:dyDescent="0.35">
      <c r="A9" s="12">
        <v>45203</v>
      </c>
      <c r="B9" s="9">
        <v>1910</v>
      </c>
      <c r="C9" s="9" t="s">
        <v>16</v>
      </c>
      <c r="D9" s="13">
        <v>10000</v>
      </c>
      <c r="E9" s="13">
        <f t="shared" ref="E9:E36" si="0">SUM(E8+D9)</f>
        <v>30000</v>
      </c>
      <c r="F9" s="13">
        <f t="shared" ref="F9:F36" si="1">F8-D9</f>
        <v>290000</v>
      </c>
    </row>
    <row r="10" spans="1:6" x14ac:dyDescent="0.35">
      <c r="A10" s="9" t="s">
        <v>12</v>
      </c>
      <c r="B10" s="9">
        <v>2556</v>
      </c>
      <c r="C10" s="9" t="s">
        <v>16</v>
      </c>
      <c r="D10" s="13">
        <v>20000</v>
      </c>
      <c r="E10" s="13">
        <f t="shared" si="0"/>
        <v>50000</v>
      </c>
      <c r="F10" s="13">
        <f t="shared" si="1"/>
        <v>270000</v>
      </c>
    </row>
    <row r="11" spans="1:6" x14ac:dyDescent="0.35">
      <c r="A11" s="12">
        <v>44994</v>
      </c>
      <c r="B11" s="9">
        <v>3876</v>
      </c>
      <c r="C11" s="9" t="s">
        <v>16</v>
      </c>
      <c r="D11" s="13">
        <v>10000</v>
      </c>
      <c r="E11" s="13">
        <f t="shared" si="0"/>
        <v>60000</v>
      </c>
      <c r="F11" s="13">
        <f t="shared" si="1"/>
        <v>260000</v>
      </c>
    </row>
    <row r="12" spans="1:6" x14ac:dyDescent="0.35">
      <c r="A12" s="9" t="s">
        <v>13</v>
      </c>
      <c r="B12" s="9">
        <v>3744</v>
      </c>
      <c r="C12" s="9" t="s">
        <v>16</v>
      </c>
      <c r="D12" s="13">
        <v>10000</v>
      </c>
      <c r="E12" s="13">
        <f t="shared" si="0"/>
        <v>70000</v>
      </c>
      <c r="F12" s="13">
        <f t="shared" si="1"/>
        <v>250000</v>
      </c>
    </row>
    <row r="13" spans="1:6" x14ac:dyDescent="0.35">
      <c r="A13" s="12">
        <v>45270</v>
      </c>
      <c r="B13" s="9">
        <v>4236</v>
      </c>
      <c r="C13" s="9" t="s">
        <v>16</v>
      </c>
      <c r="D13" s="13">
        <v>10000</v>
      </c>
      <c r="E13" s="13">
        <f t="shared" si="0"/>
        <v>80000</v>
      </c>
      <c r="F13" s="13">
        <f t="shared" si="1"/>
        <v>240000</v>
      </c>
    </row>
    <row r="14" spans="1:6" x14ac:dyDescent="0.35">
      <c r="A14" s="12">
        <v>45271</v>
      </c>
      <c r="B14" s="9">
        <v>4837</v>
      </c>
      <c r="C14" s="9" t="s">
        <v>16</v>
      </c>
      <c r="D14" s="13">
        <v>15000</v>
      </c>
      <c r="E14" s="13">
        <f t="shared" si="0"/>
        <v>95000</v>
      </c>
      <c r="F14" s="13">
        <f t="shared" si="1"/>
        <v>225000</v>
      </c>
    </row>
    <row r="15" spans="1:6" x14ac:dyDescent="0.35">
      <c r="A15" s="12">
        <v>45242</v>
      </c>
      <c r="B15" s="9">
        <v>5461</v>
      </c>
      <c r="C15" s="9" t="s">
        <v>17</v>
      </c>
      <c r="D15" s="13">
        <v>10000</v>
      </c>
      <c r="E15" s="13">
        <f t="shared" si="0"/>
        <v>105000</v>
      </c>
      <c r="F15" s="13">
        <f t="shared" si="1"/>
        <v>215000</v>
      </c>
    </row>
    <row r="16" spans="1:6" x14ac:dyDescent="0.35">
      <c r="A16" s="9" t="s">
        <v>14</v>
      </c>
      <c r="B16" s="9">
        <v>6207</v>
      </c>
      <c r="C16" s="9" t="s">
        <v>17</v>
      </c>
      <c r="D16" s="13">
        <v>10000</v>
      </c>
      <c r="E16" s="13">
        <f t="shared" si="0"/>
        <v>115000</v>
      </c>
      <c r="F16" s="13">
        <f t="shared" si="1"/>
        <v>205000</v>
      </c>
    </row>
    <row r="17" spans="1:6" x14ac:dyDescent="0.35">
      <c r="A17" s="9" t="s">
        <v>15</v>
      </c>
      <c r="B17" s="9">
        <v>6784</v>
      </c>
      <c r="C17" s="9" t="s">
        <v>17</v>
      </c>
      <c r="D17" s="13">
        <v>10000</v>
      </c>
      <c r="E17" s="13">
        <f t="shared" si="0"/>
        <v>125000</v>
      </c>
      <c r="F17" s="13">
        <f t="shared" si="1"/>
        <v>195000</v>
      </c>
    </row>
    <row r="18" spans="1:6" x14ac:dyDescent="0.35">
      <c r="A18" s="9" t="s">
        <v>18</v>
      </c>
      <c r="B18" s="9">
        <v>7632</v>
      </c>
      <c r="C18" s="9" t="s">
        <v>32</v>
      </c>
      <c r="D18" s="13">
        <v>10000</v>
      </c>
      <c r="E18" s="13">
        <f t="shared" si="0"/>
        <v>135000</v>
      </c>
      <c r="F18" s="13">
        <f t="shared" si="1"/>
        <v>185000</v>
      </c>
    </row>
    <row r="19" spans="1:6" x14ac:dyDescent="0.35">
      <c r="A19" s="9" t="s">
        <v>19</v>
      </c>
      <c r="B19" s="9">
        <v>8134</v>
      </c>
      <c r="C19" s="9" t="s">
        <v>32</v>
      </c>
      <c r="D19" s="13">
        <v>10000</v>
      </c>
      <c r="E19" s="13">
        <f t="shared" si="0"/>
        <v>145000</v>
      </c>
      <c r="F19" s="13">
        <f t="shared" si="1"/>
        <v>175000</v>
      </c>
    </row>
    <row r="20" spans="1:6" x14ac:dyDescent="0.35">
      <c r="A20" s="9" t="s">
        <v>20</v>
      </c>
      <c r="B20" s="9">
        <v>8646</v>
      </c>
      <c r="C20" s="9" t="s">
        <v>32</v>
      </c>
      <c r="D20" s="13">
        <v>10000</v>
      </c>
      <c r="E20" s="13">
        <f t="shared" si="0"/>
        <v>155000</v>
      </c>
      <c r="F20" s="13">
        <f t="shared" si="1"/>
        <v>165000</v>
      </c>
    </row>
    <row r="21" spans="1:6" x14ac:dyDescent="0.35">
      <c r="A21" s="12">
        <v>45449</v>
      </c>
      <c r="B21" s="9">
        <v>9139</v>
      </c>
      <c r="C21" s="9" t="s">
        <v>32</v>
      </c>
      <c r="D21" s="13">
        <v>10000</v>
      </c>
      <c r="E21" s="13">
        <f t="shared" si="0"/>
        <v>165000</v>
      </c>
      <c r="F21" s="13">
        <f t="shared" si="1"/>
        <v>155000</v>
      </c>
    </row>
    <row r="22" spans="1:6" x14ac:dyDescent="0.35">
      <c r="A22" s="9" t="s">
        <v>21</v>
      </c>
      <c r="B22" s="9">
        <v>187</v>
      </c>
      <c r="C22" s="9" t="s">
        <v>32</v>
      </c>
      <c r="D22" s="13">
        <v>15000</v>
      </c>
      <c r="E22" s="13">
        <f t="shared" si="0"/>
        <v>180000</v>
      </c>
      <c r="F22" s="13">
        <f t="shared" si="1"/>
        <v>140000</v>
      </c>
    </row>
    <row r="23" spans="1:6" x14ac:dyDescent="0.35">
      <c r="A23" s="9" t="s">
        <v>22</v>
      </c>
      <c r="B23" s="9">
        <v>10165</v>
      </c>
      <c r="C23" s="9" t="s">
        <v>32</v>
      </c>
      <c r="D23" s="13">
        <v>10000</v>
      </c>
      <c r="E23" s="13">
        <f t="shared" si="0"/>
        <v>190000</v>
      </c>
      <c r="F23" s="13">
        <f t="shared" si="1"/>
        <v>130000</v>
      </c>
    </row>
    <row r="24" spans="1:6" x14ac:dyDescent="0.35">
      <c r="A24" s="9" t="s">
        <v>23</v>
      </c>
      <c r="B24" s="9">
        <v>11506</v>
      </c>
      <c r="C24" s="9" t="s">
        <v>32</v>
      </c>
      <c r="D24" s="13">
        <v>10000</v>
      </c>
      <c r="E24" s="13">
        <f t="shared" si="0"/>
        <v>200000</v>
      </c>
      <c r="F24" s="13">
        <f t="shared" si="1"/>
        <v>120000</v>
      </c>
    </row>
    <row r="25" spans="1:6" x14ac:dyDescent="0.35">
      <c r="A25" s="9" t="s">
        <v>24</v>
      </c>
      <c r="B25" s="9">
        <v>12477</v>
      </c>
      <c r="C25" s="9" t="s">
        <v>32</v>
      </c>
      <c r="D25" s="13">
        <v>10000</v>
      </c>
      <c r="E25" s="13">
        <f t="shared" si="0"/>
        <v>210000</v>
      </c>
      <c r="F25" s="13">
        <f t="shared" si="1"/>
        <v>110000</v>
      </c>
    </row>
    <row r="26" spans="1:6" x14ac:dyDescent="0.35">
      <c r="A26" s="9" t="s">
        <v>25</v>
      </c>
      <c r="B26" s="9">
        <v>12831</v>
      </c>
      <c r="C26" s="9" t="s">
        <v>32</v>
      </c>
      <c r="D26" s="13">
        <v>10000</v>
      </c>
      <c r="E26" s="13">
        <f t="shared" si="0"/>
        <v>220000</v>
      </c>
      <c r="F26" s="13">
        <f t="shared" si="1"/>
        <v>100000</v>
      </c>
    </row>
    <row r="27" spans="1:6" x14ac:dyDescent="0.35">
      <c r="A27" s="12">
        <v>45690</v>
      </c>
      <c r="B27" s="9">
        <v>9183</v>
      </c>
      <c r="C27" s="9" t="s">
        <v>32</v>
      </c>
      <c r="D27" s="13">
        <v>10000</v>
      </c>
      <c r="E27" s="13">
        <f t="shared" si="0"/>
        <v>230000</v>
      </c>
      <c r="F27" s="13">
        <f t="shared" si="1"/>
        <v>90000</v>
      </c>
    </row>
    <row r="28" spans="1:6" x14ac:dyDescent="0.35">
      <c r="A28" s="12">
        <v>45719</v>
      </c>
      <c r="B28" s="9">
        <v>9601</v>
      </c>
      <c r="C28" s="9" t="s">
        <v>32</v>
      </c>
      <c r="D28" s="13">
        <v>10000</v>
      </c>
      <c r="E28" s="13">
        <f t="shared" si="0"/>
        <v>240000</v>
      </c>
      <c r="F28" s="13">
        <f t="shared" si="1"/>
        <v>80000</v>
      </c>
    </row>
    <row r="29" spans="1:6" x14ac:dyDescent="0.35">
      <c r="A29" s="9" t="s">
        <v>26</v>
      </c>
      <c r="B29" s="9">
        <v>12248</v>
      </c>
      <c r="C29" s="9" t="s">
        <v>32</v>
      </c>
      <c r="D29" s="13">
        <v>10000</v>
      </c>
      <c r="E29" s="13">
        <f t="shared" si="0"/>
        <v>250000</v>
      </c>
      <c r="F29" s="13">
        <f t="shared" si="1"/>
        <v>70000</v>
      </c>
    </row>
    <row r="30" spans="1:6" x14ac:dyDescent="0.35">
      <c r="A30" s="9" t="s">
        <v>27</v>
      </c>
      <c r="B30" s="9">
        <v>12249</v>
      </c>
      <c r="C30" s="9" t="s">
        <v>32</v>
      </c>
      <c r="D30" s="13">
        <v>10000</v>
      </c>
      <c r="E30" s="13">
        <f t="shared" si="0"/>
        <v>260000</v>
      </c>
      <c r="F30" s="13">
        <f t="shared" si="1"/>
        <v>60000</v>
      </c>
    </row>
    <row r="31" spans="1:6" x14ac:dyDescent="0.35">
      <c r="A31" s="12">
        <v>45997</v>
      </c>
      <c r="B31" s="9">
        <v>12247</v>
      </c>
      <c r="C31" s="9" t="s">
        <v>32</v>
      </c>
      <c r="D31" s="13">
        <v>10000</v>
      </c>
      <c r="E31" s="13">
        <f t="shared" si="0"/>
        <v>270000</v>
      </c>
      <c r="F31" s="13">
        <f t="shared" si="1"/>
        <v>50000</v>
      </c>
    </row>
    <row r="32" spans="1:6" x14ac:dyDescent="0.35">
      <c r="A32" s="9" t="s">
        <v>28</v>
      </c>
      <c r="B32" s="9">
        <v>12250</v>
      </c>
      <c r="C32" s="9" t="s">
        <v>32</v>
      </c>
      <c r="D32" s="13">
        <v>10000</v>
      </c>
      <c r="E32" s="13">
        <f t="shared" si="0"/>
        <v>280000</v>
      </c>
      <c r="F32" s="13">
        <f t="shared" si="1"/>
        <v>40000</v>
      </c>
    </row>
    <row r="33" spans="1:6" x14ac:dyDescent="0.35">
      <c r="A33" s="12">
        <v>45878</v>
      </c>
      <c r="B33" s="9">
        <v>12679</v>
      </c>
      <c r="C33" s="9" t="s">
        <v>32</v>
      </c>
      <c r="D33" s="13">
        <v>10000</v>
      </c>
      <c r="E33" s="13">
        <f t="shared" si="0"/>
        <v>290000</v>
      </c>
      <c r="F33" s="13">
        <f t="shared" si="1"/>
        <v>30000</v>
      </c>
    </row>
    <row r="34" spans="1:6" x14ac:dyDescent="0.35">
      <c r="A34" s="9" t="s">
        <v>29</v>
      </c>
      <c r="B34" s="9">
        <v>13795</v>
      </c>
      <c r="C34" s="9" t="s">
        <v>32</v>
      </c>
      <c r="D34" s="13">
        <v>10000</v>
      </c>
      <c r="E34" s="13">
        <f t="shared" si="0"/>
        <v>300000</v>
      </c>
      <c r="F34" s="13">
        <f t="shared" si="1"/>
        <v>20000</v>
      </c>
    </row>
    <row r="35" spans="1:6" x14ac:dyDescent="0.35">
      <c r="A35" s="12" t="s">
        <v>30</v>
      </c>
      <c r="B35" s="9">
        <v>13100</v>
      </c>
      <c r="C35" s="9" t="s">
        <v>32</v>
      </c>
      <c r="D35" s="13">
        <v>10000</v>
      </c>
      <c r="E35" s="13">
        <f t="shared" si="0"/>
        <v>310000</v>
      </c>
      <c r="F35" s="13">
        <f t="shared" si="1"/>
        <v>10000</v>
      </c>
    </row>
    <row r="36" spans="1:6" x14ac:dyDescent="0.35">
      <c r="A36" s="9" t="s">
        <v>31</v>
      </c>
      <c r="B36" s="9">
        <v>12117</v>
      </c>
      <c r="C36" s="9" t="s">
        <v>32</v>
      </c>
      <c r="D36" s="13">
        <v>10000</v>
      </c>
      <c r="E36" s="13">
        <f t="shared" si="0"/>
        <v>320000</v>
      </c>
      <c r="F36" s="13">
        <f t="shared" si="1"/>
        <v>0</v>
      </c>
    </row>
    <row r="38" spans="1:6" x14ac:dyDescent="0.35">
      <c r="A38" s="29" t="s">
        <v>222</v>
      </c>
      <c r="B38" s="29"/>
    </row>
    <row r="39" spans="1:6" x14ac:dyDescent="0.35">
      <c r="A39" s="12">
        <v>46061</v>
      </c>
      <c r="B39" s="9">
        <v>3722</v>
      </c>
      <c r="C39" s="9" t="s">
        <v>223</v>
      </c>
      <c r="D39" s="13">
        <v>190000</v>
      </c>
      <c r="E39" s="13">
        <v>190000</v>
      </c>
      <c r="F39" s="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5608-8DD8-4850-B9C3-4AB71331A3B0}">
  <dimension ref="A1:F35"/>
  <sheetViews>
    <sheetView workbookViewId="0">
      <selection activeCell="H10" sqref="H10"/>
    </sheetView>
  </sheetViews>
  <sheetFormatPr defaultRowHeight="14.5" x14ac:dyDescent="0.35"/>
  <cols>
    <col min="1" max="1" width="9.453125" bestFit="1" customWidth="1"/>
    <col min="3" max="3" width="12.6328125" customWidth="1"/>
    <col min="6" max="6" width="11.08984375" customWidth="1"/>
  </cols>
  <sheetData>
    <row r="1" spans="1:6" ht="18.5" x14ac:dyDescent="0.45">
      <c r="A1" s="15" t="s">
        <v>54</v>
      </c>
      <c r="B1" s="15"/>
      <c r="C1" s="15"/>
      <c r="D1" s="15"/>
      <c r="E1" s="15"/>
      <c r="F1" s="15"/>
    </row>
    <row r="2" spans="1:6" ht="18.5" x14ac:dyDescent="0.45">
      <c r="A2" s="15" t="s">
        <v>55</v>
      </c>
      <c r="B2" s="15"/>
      <c r="C2" s="15"/>
      <c r="D2" s="15"/>
      <c r="E2" s="15"/>
      <c r="F2" s="15"/>
    </row>
    <row r="3" spans="1:6" ht="18.5" x14ac:dyDescent="0.45">
      <c r="A3" s="15" t="s">
        <v>56</v>
      </c>
      <c r="B3" s="15"/>
      <c r="C3" s="15"/>
      <c r="D3" s="15"/>
      <c r="E3" s="15"/>
      <c r="F3" s="15"/>
    </row>
    <row r="4" spans="1:6" ht="18.5" x14ac:dyDescent="0.45">
      <c r="A4" s="15" t="s">
        <v>79</v>
      </c>
      <c r="B4" s="15"/>
      <c r="C4" s="15"/>
      <c r="D4" s="15"/>
      <c r="E4" s="15"/>
      <c r="F4" s="15"/>
    </row>
    <row r="5" spans="1:6" ht="18.5" x14ac:dyDescent="0.45">
      <c r="A5" s="15" t="s">
        <v>57</v>
      </c>
      <c r="B5" s="15"/>
      <c r="C5" s="15"/>
      <c r="D5" s="15"/>
      <c r="E5" s="15"/>
      <c r="F5" s="15"/>
    </row>
    <row r="6" spans="1:6" ht="18.5" x14ac:dyDescent="0.45">
      <c r="A6" s="15" t="s">
        <v>58</v>
      </c>
      <c r="B6" s="15"/>
      <c r="C6" s="15"/>
      <c r="D6" s="15" t="s">
        <v>11</v>
      </c>
      <c r="E6" s="15"/>
      <c r="F6" s="15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3">
        <v>44720</v>
      </c>
      <c r="B8" s="2">
        <v>21</v>
      </c>
      <c r="C8" s="2" t="s">
        <v>32</v>
      </c>
      <c r="D8" s="4">
        <v>10000</v>
      </c>
      <c r="E8" s="4">
        <v>10000</v>
      </c>
      <c r="F8" s="4">
        <v>310000</v>
      </c>
    </row>
    <row r="9" spans="1:6" x14ac:dyDescent="0.35">
      <c r="A9" s="2" t="s">
        <v>59</v>
      </c>
      <c r="B9" s="2">
        <v>2459</v>
      </c>
      <c r="C9" s="2" t="s">
        <v>66</v>
      </c>
      <c r="D9" s="4">
        <v>10000</v>
      </c>
      <c r="E9" s="4">
        <f>SUM(E8+D9)</f>
        <v>20000</v>
      </c>
      <c r="F9" s="4">
        <f>F8-D9</f>
        <v>300000</v>
      </c>
    </row>
    <row r="10" spans="1:6" x14ac:dyDescent="0.35">
      <c r="A10" s="2" t="s">
        <v>60</v>
      </c>
      <c r="B10" s="2">
        <v>2460</v>
      </c>
      <c r="C10" s="2" t="s">
        <v>66</v>
      </c>
      <c r="D10" s="4">
        <v>10000</v>
      </c>
      <c r="E10" s="4">
        <f t="shared" ref="E10:E31" si="0">SUM(E9+D10)</f>
        <v>30000</v>
      </c>
      <c r="F10" s="4">
        <f t="shared" ref="F10:F30" si="1">F9-D10</f>
        <v>290000</v>
      </c>
    </row>
    <row r="11" spans="1:6" x14ac:dyDescent="0.35">
      <c r="A11" s="2" t="s">
        <v>61</v>
      </c>
      <c r="B11" s="2">
        <v>2461</v>
      </c>
      <c r="C11" s="2" t="s">
        <v>66</v>
      </c>
      <c r="D11" s="4">
        <v>10000</v>
      </c>
      <c r="E11" s="4">
        <f t="shared" si="0"/>
        <v>40000</v>
      </c>
      <c r="F11" s="4">
        <f t="shared" si="1"/>
        <v>280000</v>
      </c>
    </row>
    <row r="12" spans="1:6" x14ac:dyDescent="0.35">
      <c r="A12" s="2" t="s">
        <v>62</v>
      </c>
      <c r="B12" s="2">
        <v>2465</v>
      </c>
      <c r="C12" s="2" t="s">
        <v>32</v>
      </c>
      <c r="D12" s="4">
        <v>10000</v>
      </c>
      <c r="E12" s="4">
        <f t="shared" si="0"/>
        <v>50000</v>
      </c>
      <c r="F12" s="4">
        <f t="shared" si="1"/>
        <v>270000</v>
      </c>
    </row>
    <row r="13" spans="1:6" x14ac:dyDescent="0.35">
      <c r="A13" s="2" t="s">
        <v>63</v>
      </c>
      <c r="B13" s="2">
        <v>1678</v>
      </c>
      <c r="C13" s="2" t="s">
        <v>32</v>
      </c>
      <c r="D13" s="4">
        <v>10000</v>
      </c>
      <c r="E13" s="4">
        <f t="shared" si="0"/>
        <v>60000</v>
      </c>
      <c r="F13" s="4">
        <f t="shared" si="1"/>
        <v>260000</v>
      </c>
    </row>
    <row r="14" spans="1:6" x14ac:dyDescent="0.35">
      <c r="A14" s="3">
        <v>44931</v>
      </c>
      <c r="B14" s="2">
        <v>1389</v>
      </c>
      <c r="C14" s="2" t="s">
        <v>32</v>
      </c>
      <c r="D14" s="4">
        <v>10000</v>
      </c>
      <c r="E14" s="4">
        <f t="shared" si="0"/>
        <v>70000</v>
      </c>
      <c r="F14" s="4">
        <f t="shared" si="1"/>
        <v>250000</v>
      </c>
    </row>
    <row r="15" spans="1:6" x14ac:dyDescent="0.35">
      <c r="A15" s="2" t="s">
        <v>64</v>
      </c>
      <c r="B15" s="2">
        <v>163</v>
      </c>
      <c r="C15" s="2" t="s">
        <v>32</v>
      </c>
      <c r="D15" s="4">
        <v>10000</v>
      </c>
      <c r="E15" s="4">
        <f t="shared" si="0"/>
        <v>80000</v>
      </c>
      <c r="F15" s="4">
        <f t="shared" si="1"/>
        <v>240000</v>
      </c>
    </row>
    <row r="16" spans="1:6" x14ac:dyDescent="0.35">
      <c r="A16" s="2" t="s">
        <v>65</v>
      </c>
      <c r="B16" s="2">
        <v>3000</v>
      </c>
      <c r="C16" s="2" t="s">
        <v>32</v>
      </c>
      <c r="D16" s="4">
        <v>20000</v>
      </c>
      <c r="E16" s="4">
        <f t="shared" si="0"/>
        <v>100000</v>
      </c>
      <c r="F16" s="4">
        <f t="shared" si="1"/>
        <v>220000</v>
      </c>
    </row>
    <row r="17" spans="1:6" x14ac:dyDescent="0.35">
      <c r="A17" s="3">
        <v>45055</v>
      </c>
      <c r="B17" s="2">
        <v>3913</v>
      </c>
      <c r="C17" s="2" t="s">
        <v>32</v>
      </c>
      <c r="D17" s="4">
        <v>20000</v>
      </c>
      <c r="E17" s="4">
        <f t="shared" si="0"/>
        <v>120000</v>
      </c>
      <c r="F17" s="4">
        <f t="shared" si="1"/>
        <v>200000</v>
      </c>
    </row>
    <row r="18" spans="1:6" x14ac:dyDescent="0.35">
      <c r="A18" s="3">
        <v>45088</v>
      </c>
      <c r="B18" s="2">
        <v>5179</v>
      </c>
      <c r="C18" s="2" t="s">
        <v>32</v>
      </c>
      <c r="D18" s="4">
        <v>10000</v>
      </c>
      <c r="E18" s="4">
        <f t="shared" si="0"/>
        <v>130000</v>
      </c>
      <c r="F18" s="4">
        <f t="shared" si="1"/>
        <v>190000</v>
      </c>
    </row>
    <row r="19" spans="1:6" x14ac:dyDescent="0.35">
      <c r="A19" s="2" t="s">
        <v>67</v>
      </c>
      <c r="B19" s="2">
        <v>5851</v>
      </c>
      <c r="C19" s="2" t="s">
        <v>32</v>
      </c>
      <c r="D19" s="4">
        <v>10000</v>
      </c>
      <c r="E19" s="4">
        <f t="shared" si="0"/>
        <v>140000</v>
      </c>
      <c r="F19" s="4">
        <f t="shared" si="1"/>
        <v>180000</v>
      </c>
    </row>
    <row r="20" spans="1:6" x14ac:dyDescent="0.35">
      <c r="A20" s="2" t="s">
        <v>68</v>
      </c>
      <c r="B20" s="2">
        <v>6442</v>
      </c>
      <c r="C20" s="2" t="s">
        <v>32</v>
      </c>
      <c r="D20" s="4">
        <v>10000</v>
      </c>
      <c r="E20" s="4">
        <f t="shared" si="0"/>
        <v>150000</v>
      </c>
      <c r="F20" s="4">
        <f t="shared" si="1"/>
        <v>170000</v>
      </c>
    </row>
    <row r="21" spans="1:6" x14ac:dyDescent="0.35">
      <c r="A21" s="2" t="s">
        <v>69</v>
      </c>
      <c r="B21" s="2">
        <v>6832</v>
      </c>
      <c r="C21" s="2" t="s">
        <v>32</v>
      </c>
      <c r="D21" s="4">
        <v>10000</v>
      </c>
      <c r="E21" s="4">
        <f t="shared" si="0"/>
        <v>160000</v>
      </c>
      <c r="F21" s="4">
        <f t="shared" si="1"/>
        <v>160000</v>
      </c>
    </row>
    <row r="22" spans="1:6" x14ac:dyDescent="0.35">
      <c r="A22" s="2" t="s">
        <v>70</v>
      </c>
      <c r="B22" s="2">
        <v>7596</v>
      </c>
      <c r="C22" s="2" t="s">
        <v>32</v>
      </c>
      <c r="D22" s="4">
        <v>10000</v>
      </c>
      <c r="E22" s="4">
        <f t="shared" si="0"/>
        <v>170000</v>
      </c>
      <c r="F22" s="4">
        <f t="shared" si="1"/>
        <v>150000</v>
      </c>
    </row>
    <row r="23" spans="1:6" x14ac:dyDescent="0.35">
      <c r="A23" s="3">
        <v>45417</v>
      </c>
      <c r="B23" s="2">
        <v>8237</v>
      </c>
      <c r="C23" s="2" t="s">
        <v>32</v>
      </c>
      <c r="D23" s="4">
        <v>10000</v>
      </c>
      <c r="E23" s="4">
        <f t="shared" si="0"/>
        <v>180000</v>
      </c>
      <c r="F23" s="4">
        <f t="shared" si="1"/>
        <v>140000</v>
      </c>
    </row>
    <row r="24" spans="1:6" x14ac:dyDescent="0.35">
      <c r="A24" s="3">
        <v>45328</v>
      </c>
      <c r="B24" s="2">
        <v>8820</v>
      </c>
      <c r="C24" s="2" t="s">
        <v>32</v>
      </c>
      <c r="D24" s="4">
        <v>10000</v>
      </c>
      <c r="E24" s="4">
        <f t="shared" si="0"/>
        <v>190000</v>
      </c>
      <c r="F24" s="4">
        <f t="shared" si="1"/>
        <v>130000</v>
      </c>
    </row>
    <row r="25" spans="1:6" x14ac:dyDescent="0.35">
      <c r="A25" s="3">
        <v>45390</v>
      </c>
      <c r="B25" s="2">
        <v>10098</v>
      </c>
      <c r="C25" s="2" t="s">
        <v>32</v>
      </c>
      <c r="D25" s="4">
        <v>15000</v>
      </c>
      <c r="E25" s="4">
        <f t="shared" si="0"/>
        <v>205000</v>
      </c>
      <c r="F25" s="4">
        <f t="shared" si="1"/>
        <v>115000</v>
      </c>
    </row>
    <row r="26" spans="1:6" x14ac:dyDescent="0.35">
      <c r="A26" s="3">
        <v>45605</v>
      </c>
      <c r="B26" s="2">
        <v>10182</v>
      </c>
      <c r="C26" s="2" t="s">
        <v>32</v>
      </c>
      <c r="D26" s="4">
        <v>10000</v>
      </c>
      <c r="E26" s="4">
        <f t="shared" si="0"/>
        <v>215000</v>
      </c>
      <c r="F26" s="4">
        <f t="shared" si="1"/>
        <v>105000</v>
      </c>
    </row>
    <row r="27" spans="1:6" x14ac:dyDescent="0.35">
      <c r="A27" s="2" t="s">
        <v>71</v>
      </c>
      <c r="B27" s="2">
        <v>11526</v>
      </c>
      <c r="C27" s="2" t="s">
        <v>32</v>
      </c>
      <c r="D27" s="4">
        <v>10000</v>
      </c>
      <c r="E27" s="4">
        <f t="shared" si="0"/>
        <v>225000</v>
      </c>
      <c r="F27" s="4">
        <f t="shared" si="1"/>
        <v>95000</v>
      </c>
    </row>
    <row r="28" spans="1:6" x14ac:dyDescent="0.35">
      <c r="A28" s="2" t="s">
        <v>72</v>
      </c>
      <c r="B28" s="2">
        <v>12527</v>
      </c>
      <c r="C28" s="2" t="s">
        <v>32</v>
      </c>
      <c r="D28" s="4">
        <v>10000</v>
      </c>
      <c r="E28" s="4">
        <f t="shared" si="0"/>
        <v>235000</v>
      </c>
      <c r="F28" s="4">
        <f t="shared" si="1"/>
        <v>85000</v>
      </c>
    </row>
    <row r="29" spans="1:6" x14ac:dyDescent="0.35">
      <c r="A29" s="3">
        <v>45748</v>
      </c>
      <c r="B29" s="2">
        <v>12883</v>
      </c>
      <c r="C29" s="2" t="s">
        <v>32</v>
      </c>
      <c r="D29" s="4">
        <v>10000</v>
      </c>
      <c r="E29" s="4">
        <f t="shared" si="0"/>
        <v>245000</v>
      </c>
      <c r="F29" s="4">
        <f t="shared" si="1"/>
        <v>75000</v>
      </c>
    </row>
    <row r="30" spans="1:6" x14ac:dyDescent="0.35">
      <c r="A30" s="2" t="s">
        <v>73</v>
      </c>
      <c r="B30" s="2">
        <v>9157</v>
      </c>
      <c r="C30" s="2" t="s">
        <v>32</v>
      </c>
      <c r="D30" s="4">
        <v>10000</v>
      </c>
      <c r="E30" s="4">
        <f t="shared" si="0"/>
        <v>255000</v>
      </c>
      <c r="F30" s="4">
        <f t="shared" si="1"/>
        <v>65000</v>
      </c>
    </row>
    <row r="31" spans="1:6" x14ac:dyDescent="0.35">
      <c r="A31" s="3">
        <v>45994</v>
      </c>
      <c r="B31" s="2">
        <v>9746</v>
      </c>
      <c r="C31" s="2" t="s">
        <v>32</v>
      </c>
      <c r="D31" s="4">
        <v>40000</v>
      </c>
      <c r="E31" s="4">
        <f t="shared" si="0"/>
        <v>295000</v>
      </c>
      <c r="F31" s="4" t="s">
        <v>74</v>
      </c>
    </row>
    <row r="32" spans="1:6" x14ac:dyDescent="0.35">
      <c r="A32" s="2"/>
      <c r="B32" s="2"/>
      <c r="C32" s="2" t="s">
        <v>75</v>
      </c>
      <c r="D32" s="2"/>
      <c r="E32" s="2"/>
      <c r="F32" s="2"/>
    </row>
    <row r="33" spans="1:6" x14ac:dyDescent="0.35">
      <c r="A33" s="2" t="s">
        <v>76</v>
      </c>
      <c r="B33" s="2">
        <v>5169</v>
      </c>
      <c r="C33" s="2" t="s">
        <v>77</v>
      </c>
      <c r="D33" s="4">
        <v>50000</v>
      </c>
      <c r="E33" s="4">
        <v>50000</v>
      </c>
      <c r="F33" s="4">
        <v>100000</v>
      </c>
    </row>
    <row r="34" spans="1:6" x14ac:dyDescent="0.35">
      <c r="A34" s="3">
        <v>46206</v>
      </c>
      <c r="B34" s="2">
        <v>5659</v>
      </c>
      <c r="C34" s="4">
        <v>85000</v>
      </c>
      <c r="D34" s="4">
        <v>135000</v>
      </c>
      <c r="E34" s="4">
        <v>135000</v>
      </c>
      <c r="F34" s="2" t="s">
        <v>74</v>
      </c>
    </row>
    <row r="35" spans="1:6" x14ac:dyDescent="0.35">
      <c r="A35" s="2"/>
      <c r="B35" s="2"/>
      <c r="C35" s="2" t="s">
        <v>78</v>
      </c>
      <c r="D35" s="2"/>
      <c r="E35" s="2"/>
      <c r="F3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5332-2434-42DE-AD5B-CCC97A007F7C}">
  <dimension ref="A1:F38"/>
  <sheetViews>
    <sheetView workbookViewId="0">
      <selection activeCell="H7" sqref="H7"/>
    </sheetView>
  </sheetViews>
  <sheetFormatPr defaultRowHeight="14.5" x14ac:dyDescent="0.35"/>
  <cols>
    <col min="1" max="1" width="10.453125" customWidth="1"/>
    <col min="3" max="3" width="11.90625" customWidth="1"/>
    <col min="6" max="6" width="11.453125" customWidth="1"/>
  </cols>
  <sheetData>
    <row r="1" spans="1:6" ht="18.5" x14ac:dyDescent="0.45">
      <c r="A1" s="14" t="s">
        <v>152</v>
      </c>
      <c r="B1" s="14"/>
      <c r="C1" s="14"/>
      <c r="D1" s="14"/>
      <c r="E1" s="14"/>
      <c r="F1" s="14"/>
    </row>
    <row r="2" spans="1:6" ht="18.5" x14ac:dyDescent="0.45">
      <c r="A2" s="14" t="s">
        <v>153</v>
      </c>
      <c r="B2" s="14"/>
      <c r="C2" s="14"/>
      <c r="D2" s="14"/>
      <c r="E2" s="14"/>
      <c r="F2" s="14"/>
    </row>
    <row r="3" spans="1:6" ht="18.5" x14ac:dyDescent="0.45">
      <c r="A3" s="14" t="s">
        <v>154</v>
      </c>
      <c r="B3" s="14"/>
      <c r="C3" s="14"/>
      <c r="D3" s="14"/>
      <c r="E3" s="14"/>
      <c r="F3" s="14"/>
    </row>
    <row r="4" spans="1:6" ht="18.5" x14ac:dyDescent="0.45">
      <c r="A4" s="14" t="s">
        <v>157</v>
      </c>
      <c r="B4" s="14"/>
      <c r="C4" s="14"/>
      <c r="D4" s="14"/>
      <c r="E4" s="14"/>
      <c r="F4" s="14"/>
    </row>
    <row r="5" spans="1:6" ht="18.5" x14ac:dyDescent="0.45">
      <c r="A5" s="14" t="s">
        <v>9</v>
      </c>
      <c r="B5" s="14"/>
      <c r="C5" s="14"/>
      <c r="D5" s="14"/>
      <c r="E5" s="14"/>
      <c r="F5" s="14"/>
    </row>
    <row r="6" spans="1:6" ht="18.5" x14ac:dyDescent="0.45">
      <c r="A6" s="14" t="s">
        <v>155</v>
      </c>
      <c r="B6" s="14"/>
      <c r="C6" s="14"/>
      <c r="D6" s="14" t="s">
        <v>156</v>
      </c>
      <c r="E6" s="14"/>
      <c r="F6" s="14"/>
    </row>
    <row r="7" spans="1:6" x14ac:dyDescent="0.35">
      <c r="A7" s="9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</row>
    <row r="8" spans="1:6" x14ac:dyDescent="0.35">
      <c r="A8" s="12">
        <v>44720</v>
      </c>
      <c r="B8" s="9"/>
      <c r="C8" s="9" t="s">
        <v>112</v>
      </c>
      <c r="D8" s="13">
        <v>10000</v>
      </c>
      <c r="E8" s="13">
        <v>10000</v>
      </c>
      <c r="F8" s="13">
        <v>380000</v>
      </c>
    </row>
    <row r="9" spans="1:6" x14ac:dyDescent="0.35">
      <c r="A9" s="9" t="s">
        <v>59</v>
      </c>
      <c r="B9" s="9">
        <v>2454</v>
      </c>
      <c r="C9" s="9" t="s">
        <v>160</v>
      </c>
      <c r="D9" s="13">
        <v>10000</v>
      </c>
      <c r="E9" s="13">
        <f>E8+D9</f>
        <v>20000</v>
      </c>
      <c r="F9" s="13">
        <f>F8-D9</f>
        <v>370000</v>
      </c>
    </row>
    <row r="10" spans="1:6" x14ac:dyDescent="0.35">
      <c r="A10" s="9" t="s">
        <v>158</v>
      </c>
      <c r="B10" s="9">
        <v>2455</v>
      </c>
      <c r="C10" s="9" t="s">
        <v>160</v>
      </c>
      <c r="D10" s="13">
        <v>10000</v>
      </c>
      <c r="E10" s="13">
        <f t="shared" ref="E10:E37" si="0">E9+D10</f>
        <v>30000</v>
      </c>
      <c r="F10" s="13">
        <f t="shared" ref="F10:F37" si="1">F9-D10</f>
        <v>360000</v>
      </c>
    </row>
    <row r="11" spans="1:6" x14ac:dyDescent="0.35">
      <c r="A11" s="9" t="s">
        <v>60</v>
      </c>
      <c r="B11" s="9">
        <v>2456</v>
      </c>
      <c r="C11" s="9" t="s">
        <v>160</v>
      </c>
      <c r="D11" s="13">
        <v>10000</v>
      </c>
      <c r="E11" s="13">
        <f t="shared" si="0"/>
        <v>40000</v>
      </c>
      <c r="F11" s="13">
        <f t="shared" si="1"/>
        <v>350000</v>
      </c>
    </row>
    <row r="12" spans="1:6" x14ac:dyDescent="0.35">
      <c r="A12" s="9" t="s">
        <v>62</v>
      </c>
      <c r="B12" s="9">
        <v>2462</v>
      </c>
      <c r="C12" s="9" t="s">
        <v>112</v>
      </c>
      <c r="D12" s="13">
        <v>10000</v>
      </c>
      <c r="E12" s="13">
        <f t="shared" si="0"/>
        <v>50000</v>
      </c>
      <c r="F12" s="13">
        <f t="shared" si="1"/>
        <v>340000</v>
      </c>
    </row>
    <row r="13" spans="1:6" x14ac:dyDescent="0.35">
      <c r="A13" s="12">
        <v>45054</v>
      </c>
      <c r="B13" s="9">
        <v>2640</v>
      </c>
      <c r="C13" s="9" t="s">
        <v>161</v>
      </c>
      <c r="D13" s="13">
        <v>30000</v>
      </c>
      <c r="E13" s="13">
        <f t="shared" si="0"/>
        <v>80000</v>
      </c>
      <c r="F13" s="13">
        <f t="shared" si="1"/>
        <v>310000</v>
      </c>
    </row>
    <row r="14" spans="1:6" x14ac:dyDescent="0.35">
      <c r="A14" s="9" t="s">
        <v>63</v>
      </c>
      <c r="B14" s="9">
        <v>1676</v>
      </c>
      <c r="C14" s="9" t="s">
        <v>112</v>
      </c>
      <c r="D14" s="13">
        <v>10000</v>
      </c>
      <c r="E14" s="13">
        <f t="shared" si="0"/>
        <v>90000</v>
      </c>
      <c r="F14" s="13">
        <f t="shared" si="1"/>
        <v>300000</v>
      </c>
    </row>
    <row r="15" spans="1:6" x14ac:dyDescent="0.35">
      <c r="A15" s="12">
        <v>44931</v>
      </c>
      <c r="B15" s="9">
        <v>1388</v>
      </c>
      <c r="C15" s="9" t="s">
        <v>112</v>
      </c>
      <c r="D15" s="13">
        <v>10000</v>
      </c>
      <c r="E15" s="13">
        <f t="shared" si="0"/>
        <v>100000</v>
      </c>
      <c r="F15" s="13">
        <f t="shared" si="1"/>
        <v>290000</v>
      </c>
    </row>
    <row r="16" spans="1:6" x14ac:dyDescent="0.35">
      <c r="A16" s="9" t="s">
        <v>64</v>
      </c>
      <c r="B16" s="9">
        <v>168</v>
      </c>
      <c r="C16" s="9" t="s">
        <v>112</v>
      </c>
      <c r="D16" s="13">
        <v>10000</v>
      </c>
      <c r="E16" s="13">
        <f t="shared" si="0"/>
        <v>110000</v>
      </c>
      <c r="F16" s="13">
        <f t="shared" si="1"/>
        <v>280000</v>
      </c>
    </row>
    <row r="17" spans="1:6" x14ac:dyDescent="0.35">
      <c r="A17" s="12" t="s">
        <v>65</v>
      </c>
      <c r="B17" s="9">
        <v>2504</v>
      </c>
      <c r="C17" s="9" t="s">
        <v>112</v>
      </c>
      <c r="D17" s="13">
        <v>20000</v>
      </c>
      <c r="E17" s="13">
        <f t="shared" si="0"/>
        <v>130000</v>
      </c>
      <c r="F17" s="13">
        <f t="shared" si="1"/>
        <v>260000</v>
      </c>
    </row>
    <row r="18" spans="1:6" x14ac:dyDescent="0.35">
      <c r="A18" s="9" t="s">
        <v>159</v>
      </c>
      <c r="B18" s="9">
        <v>3915</v>
      </c>
      <c r="C18" s="9" t="s">
        <v>112</v>
      </c>
      <c r="D18" s="13">
        <v>20000</v>
      </c>
      <c r="E18" s="13">
        <f t="shared" si="0"/>
        <v>150000</v>
      </c>
      <c r="F18" s="13">
        <f t="shared" si="1"/>
        <v>240000</v>
      </c>
    </row>
    <row r="19" spans="1:6" x14ac:dyDescent="0.35">
      <c r="A19" s="12" t="s">
        <v>162</v>
      </c>
      <c r="B19" s="9">
        <v>5178</v>
      </c>
      <c r="C19" s="9" t="s">
        <v>112</v>
      </c>
      <c r="D19" s="13">
        <v>20000</v>
      </c>
      <c r="E19" s="13">
        <f t="shared" si="0"/>
        <v>170000</v>
      </c>
      <c r="F19" s="13">
        <f t="shared" si="1"/>
        <v>220000</v>
      </c>
    </row>
    <row r="20" spans="1:6" x14ac:dyDescent="0.35">
      <c r="A20" s="9" t="s">
        <v>67</v>
      </c>
      <c r="B20" s="9">
        <v>5853</v>
      </c>
      <c r="C20" s="9" t="s">
        <v>112</v>
      </c>
      <c r="D20" s="13">
        <v>10000</v>
      </c>
      <c r="E20" s="13">
        <f t="shared" si="0"/>
        <v>180000</v>
      </c>
      <c r="F20" s="13">
        <f t="shared" si="1"/>
        <v>210000</v>
      </c>
    </row>
    <row r="21" spans="1:6" x14ac:dyDescent="0.35">
      <c r="A21" s="12" t="s">
        <v>163</v>
      </c>
      <c r="B21" s="9">
        <v>6447</v>
      </c>
      <c r="C21" s="9" t="s">
        <v>112</v>
      </c>
      <c r="D21" s="13">
        <v>10000</v>
      </c>
      <c r="E21" s="13">
        <f t="shared" si="0"/>
        <v>190000</v>
      </c>
      <c r="F21" s="13">
        <f t="shared" si="1"/>
        <v>200000</v>
      </c>
    </row>
    <row r="22" spans="1:6" x14ac:dyDescent="0.35">
      <c r="A22" s="9" t="s">
        <v>69</v>
      </c>
      <c r="B22" s="9">
        <v>6835</v>
      </c>
      <c r="C22" s="9" t="s">
        <v>112</v>
      </c>
      <c r="D22" s="13">
        <v>10000</v>
      </c>
      <c r="E22" s="13">
        <f t="shared" si="0"/>
        <v>200000</v>
      </c>
      <c r="F22" s="13">
        <f t="shared" si="1"/>
        <v>190000</v>
      </c>
    </row>
    <row r="23" spans="1:6" x14ac:dyDescent="0.35">
      <c r="A23" s="12" t="s">
        <v>70</v>
      </c>
      <c r="B23" s="9">
        <v>7593</v>
      </c>
      <c r="C23" s="9" t="s">
        <v>112</v>
      </c>
      <c r="D23" s="13">
        <v>10000</v>
      </c>
      <c r="E23" s="13">
        <f t="shared" si="0"/>
        <v>210000</v>
      </c>
      <c r="F23" s="13">
        <f t="shared" si="1"/>
        <v>180000</v>
      </c>
    </row>
    <row r="24" spans="1:6" x14ac:dyDescent="0.35">
      <c r="A24" s="12">
        <v>45328</v>
      </c>
      <c r="B24" s="9">
        <v>8817</v>
      </c>
      <c r="C24" s="9" t="s">
        <v>112</v>
      </c>
      <c r="D24" s="13">
        <v>20000</v>
      </c>
      <c r="E24" s="13">
        <f t="shared" si="0"/>
        <v>230000</v>
      </c>
      <c r="F24" s="13">
        <f t="shared" si="1"/>
        <v>160000</v>
      </c>
    </row>
    <row r="25" spans="1:6" x14ac:dyDescent="0.35">
      <c r="A25" s="12">
        <v>45390</v>
      </c>
      <c r="B25" s="9">
        <v>10092</v>
      </c>
      <c r="C25" s="9" t="s">
        <v>112</v>
      </c>
      <c r="D25" s="13">
        <v>10000</v>
      </c>
      <c r="E25" s="13">
        <f t="shared" si="0"/>
        <v>240000</v>
      </c>
      <c r="F25" s="13">
        <f t="shared" si="1"/>
        <v>150000</v>
      </c>
    </row>
    <row r="26" spans="1:6" x14ac:dyDescent="0.35">
      <c r="A26" s="12" t="s">
        <v>164</v>
      </c>
      <c r="B26" s="9">
        <v>12731</v>
      </c>
      <c r="C26" s="9" t="s">
        <v>112</v>
      </c>
      <c r="D26" s="13">
        <v>10000</v>
      </c>
      <c r="E26" s="13">
        <f t="shared" si="0"/>
        <v>250000</v>
      </c>
      <c r="F26" s="13">
        <f t="shared" si="1"/>
        <v>140000</v>
      </c>
    </row>
    <row r="27" spans="1:6" x14ac:dyDescent="0.35">
      <c r="A27" s="12" t="s">
        <v>165</v>
      </c>
      <c r="B27" s="9">
        <v>9387</v>
      </c>
      <c r="C27" s="9" t="s">
        <v>112</v>
      </c>
      <c r="D27" s="13">
        <v>10000</v>
      </c>
      <c r="E27" s="13">
        <f t="shared" si="0"/>
        <v>260000</v>
      </c>
      <c r="F27" s="13">
        <f t="shared" si="1"/>
        <v>130000</v>
      </c>
    </row>
    <row r="28" spans="1:6" x14ac:dyDescent="0.35">
      <c r="A28" s="12">
        <v>45994</v>
      </c>
      <c r="B28" s="9">
        <v>9743</v>
      </c>
      <c r="C28" s="9" t="s">
        <v>112</v>
      </c>
      <c r="D28" s="13">
        <v>10000</v>
      </c>
      <c r="E28" s="13">
        <f t="shared" si="0"/>
        <v>270000</v>
      </c>
      <c r="F28" s="13">
        <f t="shared" si="1"/>
        <v>120000</v>
      </c>
    </row>
    <row r="29" spans="1:6" x14ac:dyDescent="0.35">
      <c r="A29" s="9" t="s">
        <v>166</v>
      </c>
      <c r="B29" s="9">
        <v>13044</v>
      </c>
      <c r="C29" s="9" t="s">
        <v>112</v>
      </c>
      <c r="D29" s="13">
        <v>10000</v>
      </c>
      <c r="E29" s="13">
        <f t="shared" si="0"/>
        <v>280000</v>
      </c>
      <c r="F29" s="13">
        <f t="shared" si="1"/>
        <v>110000</v>
      </c>
    </row>
    <row r="30" spans="1:6" x14ac:dyDescent="0.35">
      <c r="A30" s="12" t="s">
        <v>167</v>
      </c>
      <c r="B30" s="9">
        <v>12316</v>
      </c>
      <c r="C30" s="9" t="s">
        <v>112</v>
      </c>
      <c r="D30" s="13">
        <v>10000</v>
      </c>
      <c r="E30" s="13">
        <f t="shared" si="0"/>
        <v>290000</v>
      </c>
      <c r="F30" s="13">
        <f t="shared" si="1"/>
        <v>100000</v>
      </c>
    </row>
    <row r="31" spans="1:6" x14ac:dyDescent="0.35">
      <c r="A31" s="12" t="s">
        <v>168</v>
      </c>
      <c r="B31" s="9">
        <v>12724</v>
      </c>
      <c r="C31" s="9" t="s">
        <v>112</v>
      </c>
      <c r="D31" s="13">
        <v>10000</v>
      </c>
      <c r="E31" s="13">
        <f t="shared" si="0"/>
        <v>300000</v>
      </c>
      <c r="F31" s="13">
        <f t="shared" si="1"/>
        <v>90000</v>
      </c>
    </row>
    <row r="32" spans="1:6" x14ac:dyDescent="0.35">
      <c r="A32" s="12" t="s">
        <v>169</v>
      </c>
      <c r="B32" s="9">
        <v>12974</v>
      </c>
      <c r="C32" s="9" t="s">
        <v>112</v>
      </c>
      <c r="D32" s="13">
        <v>10000</v>
      </c>
      <c r="E32" s="13">
        <f t="shared" si="0"/>
        <v>310000</v>
      </c>
      <c r="F32" s="13">
        <f t="shared" si="1"/>
        <v>80000</v>
      </c>
    </row>
    <row r="33" spans="1:6" x14ac:dyDescent="0.35">
      <c r="A33" s="12" t="s">
        <v>170</v>
      </c>
      <c r="B33" s="9">
        <v>13629</v>
      </c>
      <c r="C33" s="9" t="s">
        <v>112</v>
      </c>
      <c r="D33" s="13">
        <v>10000</v>
      </c>
      <c r="E33" s="13">
        <f t="shared" si="0"/>
        <v>320000</v>
      </c>
      <c r="F33" s="13">
        <f t="shared" si="1"/>
        <v>70000</v>
      </c>
    </row>
    <row r="34" spans="1:6" x14ac:dyDescent="0.35">
      <c r="A34" s="12" t="s">
        <v>166</v>
      </c>
      <c r="B34" s="9">
        <v>13045</v>
      </c>
      <c r="C34" s="9" t="s">
        <v>112</v>
      </c>
      <c r="D34" s="13">
        <v>10000</v>
      </c>
      <c r="E34" s="13">
        <f t="shared" si="0"/>
        <v>330000</v>
      </c>
      <c r="F34" s="13">
        <f t="shared" si="1"/>
        <v>60000</v>
      </c>
    </row>
    <row r="35" spans="1:6" x14ac:dyDescent="0.35">
      <c r="A35" s="12" t="s">
        <v>171</v>
      </c>
      <c r="B35" s="9">
        <v>12174</v>
      </c>
      <c r="C35" s="9" t="s">
        <v>112</v>
      </c>
      <c r="D35" s="13">
        <v>20000</v>
      </c>
      <c r="E35" s="13">
        <f t="shared" si="0"/>
        <v>350000</v>
      </c>
      <c r="F35" s="13">
        <f t="shared" si="1"/>
        <v>40000</v>
      </c>
    </row>
    <row r="36" spans="1:6" x14ac:dyDescent="0.35">
      <c r="A36" s="12" t="s">
        <v>172</v>
      </c>
      <c r="B36" s="9">
        <v>13276</v>
      </c>
      <c r="C36" s="9" t="s">
        <v>112</v>
      </c>
      <c r="D36" s="13">
        <v>20000</v>
      </c>
      <c r="E36" s="13">
        <f t="shared" si="0"/>
        <v>370000</v>
      </c>
      <c r="F36" s="13">
        <f t="shared" si="1"/>
        <v>20000</v>
      </c>
    </row>
    <row r="37" spans="1:6" x14ac:dyDescent="0.35">
      <c r="A37" s="12">
        <v>46300</v>
      </c>
      <c r="B37" s="9">
        <v>12991</v>
      </c>
      <c r="C37" s="9" t="s">
        <v>112</v>
      </c>
      <c r="D37" s="13">
        <v>20000</v>
      </c>
      <c r="E37" s="13">
        <f t="shared" si="0"/>
        <v>390000</v>
      </c>
      <c r="F37" s="13">
        <f t="shared" si="1"/>
        <v>0</v>
      </c>
    </row>
    <row r="38" spans="1:6" ht="18.5" x14ac:dyDescent="0.45">
      <c r="A38" s="16" t="s">
        <v>120</v>
      </c>
      <c r="B38" s="17"/>
      <c r="C38" s="17"/>
      <c r="D38" s="17"/>
      <c r="E38" s="17"/>
      <c r="F38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DCFC-8C50-4E58-9C88-DC33ECCC5F5A}">
  <dimension ref="A1:F29"/>
  <sheetViews>
    <sheetView workbookViewId="0">
      <selection activeCell="J13" sqref="J13"/>
    </sheetView>
  </sheetViews>
  <sheetFormatPr defaultRowHeight="14.5" x14ac:dyDescent="0.35"/>
  <cols>
    <col min="1" max="1" width="11.7265625" customWidth="1"/>
    <col min="3" max="3" width="15.36328125" customWidth="1"/>
    <col min="6" max="6" width="12.36328125" customWidth="1"/>
  </cols>
  <sheetData>
    <row r="1" spans="1:6" ht="18.5" x14ac:dyDescent="0.45">
      <c r="A1" s="15" t="s">
        <v>98</v>
      </c>
      <c r="B1" s="15"/>
      <c r="C1" s="15"/>
      <c r="D1" s="15"/>
      <c r="E1" s="15"/>
      <c r="F1" s="15"/>
    </row>
    <row r="2" spans="1:6" ht="18.5" x14ac:dyDescent="0.45">
      <c r="A2" s="15" t="s">
        <v>99</v>
      </c>
      <c r="B2" s="15"/>
      <c r="C2" s="15"/>
      <c r="D2" s="15"/>
      <c r="E2" s="15"/>
      <c r="F2" s="15"/>
    </row>
    <row r="3" spans="1:6" ht="18.5" x14ac:dyDescent="0.45">
      <c r="A3" s="15" t="s">
        <v>100</v>
      </c>
      <c r="B3" s="15"/>
      <c r="C3" s="15"/>
      <c r="D3" s="15"/>
      <c r="E3" s="15"/>
      <c r="F3" s="15"/>
    </row>
    <row r="4" spans="1:6" ht="18.5" x14ac:dyDescent="0.45">
      <c r="A4" s="15" t="s">
        <v>104</v>
      </c>
      <c r="B4" s="15"/>
      <c r="C4" s="15"/>
      <c r="D4" s="15"/>
      <c r="E4" s="15"/>
      <c r="F4" s="15"/>
    </row>
    <row r="5" spans="1:6" ht="18.5" x14ac:dyDescent="0.45">
      <c r="A5" s="15" t="s">
        <v>101</v>
      </c>
      <c r="B5" s="15"/>
      <c r="C5" s="15"/>
      <c r="D5" s="15"/>
      <c r="E5" s="15"/>
      <c r="F5" s="15"/>
    </row>
    <row r="6" spans="1:6" ht="18.5" x14ac:dyDescent="0.45">
      <c r="A6" s="15" t="s">
        <v>102</v>
      </c>
      <c r="B6" s="15"/>
      <c r="C6" s="15"/>
      <c r="D6" s="15" t="s">
        <v>103</v>
      </c>
      <c r="E6" s="15"/>
      <c r="F6" s="15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3">
        <v>44322</v>
      </c>
      <c r="B8" s="2">
        <v>2932</v>
      </c>
      <c r="C8" s="2" t="s">
        <v>111</v>
      </c>
      <c r="D8" s="4">
        <v>190000</v>
      </c>
      <c r="E8" s="4">
        <v>190000</v>
      </c>
      <c r="F8" s="4">
        <v>260000</v>
      </c>
    </row>
    <row r="9" spans="1:6" x14ac:dyDescent="0.35">
      <c r="A9" s="3">
        <v>45110</v>
      </c>
      <c r="B9" s="2">
        <v>2733</v>
      </c>
      <c r="C9" s="2" t="s">
        <v>112</v>
      </c>
      <c r="D9" s="4">
        <v>30000</v>
      </c>
      <c r="E9" s="4">
        <f>SUM(E8+D9)</f>
        <v>220000</v>
      </c>
      <c r="F9" s="4">
        <f>F8-D9</f>
        <v>230000</v>
      </c>
    </row>
    <row r="10" spans="1:6" x14ac:dyDescent="0.35">
      <c r="A10" s="2" t="s">
        <v>105</v>
      </c>
      <c r="B10" s="2">
        <v>1536</v>
      </c>
      <c r="C10" s="2" t="s">
        <v>112</v>
      </c>
      <c r="D10" s="4">
        <v>20000</v>
      </c>
      <c r="E10" s="4">
        <f t="shared" ref="E10:E28" si="0">SUM(E9+D10)</f>
        <v>240000</v>
      </c>
      <c r="F10" s="4">
        <f t="shared" ref="F10:F28" si="1">F9-D10</f>
        <v>210000</v>
      </c>
    </row>
    <row r="11" spans="1:6" x14ac:dyDescent="0.35">
      <c r="A11" s="3">
        <v>45266</v>
      </c>
      <c r="B11" s="2">
        <v>12321</v>
      </c>
      <c r="C11" s="2" t="s">
        <v>112</v>
      </c>
      <c r="D11" s="4">
        <v>10000</v>
      </c>
      <c r="E11" s="4">
        <f t="shared" si="0"/>
        <v>250000</v>
      </c>
      <c r="F11" s="4">
        <f t="shared" si="1"/>
        <v>200000</v>
      </c>
    </row>
    <row r="12" spans="1:6" x14ac:dyDescent="0.35">
      <c r="A12" s="3">
        <v>44995</v>
      </c>
      <c r="B12" s="2"/>
      <c r="C12" s="2" t="s">
        <v>112</v>
      </c>
      <c r="D12" s="4">
        <v>40000</v>
      </c>
      <c r="E12" s="4">
        <f t="shared" si="0"/>
        <v>290000</v>
      </c>
      <c r="F12" s="4">
        <f t="shared" si="1"/>
        <v>160000</v>
      </c>
    </row>
    <row r="13" spans="1:6" x14ac:dyDescent="0.35">
      <c r="A13" s="3">
        <v>45149</v>
      </c>
      <c r="B13" s="2"/>
      <c r="C13" s="2" t="s">
        <v>112</v>
      </c>
      <c r="D13" s="4">
        <v>10000</v>
      </c>
      <c r="E13" s="4">
        <f t="shared" si="0"/>
        <v>300000</v>
      </c>
      <c r="F13" s="4">
        <f t="shared" si="1"/>
        <v>150000</v>
      </c>
    </row>
    <row r="14" spans="1:6" x14ac:dyDescent="0.35">
      <c r="A14" s="2" t="s">
        <v>106</v>
      </c>
      <c r="B14" s="2"/>
      <c r="C14" s="2" t="s">
        <v>112</v>
      </c>
      <c r="D14" s="4">
        <v>10000</v>
      </c>
      <c r="E14" s="4">
        <f t="shared" si="0"/>
        <v>310000</v>
      </c>
      <c r="F14" s="4">
        <f t="shared" si="1"/>
        <v>140000</v>
      </c>
    </row>
    <row r="15" spans="1:6" x14ac:dyDescent="0.35">
      <c r="A15" s="2" t="s">
        <v>107</v>
      </c>
      <c r="B15" s="2"/>
      <c r="C15" s="2" t="s">
        <v>112</v>
      </c>
      <c r="D15" s="4">
        <v>10000</v>
      </c>
      <c r="E15" s="4">
        <f t="shared" si="0"/>
        <v>320000</v>
      </c>
      <c r="F15" s="4">
        <f t="shared" si="1"/>
        <v>130000</v>
      </c>
    </row>
    <row r="16" spans="1:6" x14ac:dyDescent="0.35">
      <c r="A16" s="2" t="s">
        <v>108</v>
      </c>
      <c r="B16" s="2"/>
      <c r="C16" s="2" t="s">
        <v>112</v>
      </c>
      <c r="D16" s="4">
        <v>10000</v>
      </c>
      <c r="E16" s="4">
        <f t="shared" si="0"/>
        <v>330000</v>
      </c>
      <c r="F16" s="4">
        <f t="shared" si="1"/>
        <v>120000</v>
      </c>
    </row>
    <row r="17" spans="1:6" x14ac:dyDescent="0.35">
      <c r="A17" s="2" t="s">
        <v>109</v>
      </c>
      <c r="B17" s="2">
        <v>12321</v>
      </c>
      <c r="C17" s="2" t="s">
        <v>112</v>
      </c>
      <c r="D17" s="4">
        <v>10000</v>
      </c>
      <c r="E17" s="4">
        <f t="shared" si="0"/>
        <v>340000</v>
      </c>
      <c r="F17" s="4">
        <f t="shared" si="1"/>
        <v>110000</v>
      </c>
    </row>
    <row r="18" spans="1:6" x14ac:dyDescent="0.35">
      <c r="A18" s="2" t="s">
        <v>110</v>
      </c>
      <c r="B18" s="2">
        <v>12323</v>
      </c>
      <c r="C18" s="2" t="s">
        <v>112</v>
      </c>
      <c r="D18" s="4">
        <v>10000</v>
      </c>
      <c r="E18" s="4">
        <f t="shared" si="0"/>
        <v>350000</v>
      </c>
      <c r="F18" s="4">
        <f t="shared" si="1"/>
        <v>100000</v>
      </c>
    </row>
    <row r="19" spans="1:6" x14ac:dyDescent="0.35">
      <c r="A19" s="2" t="s">
        <v>113</v>
      </c>
      <c r="B19" s="2">
        <v>12321</v>
      </c>
      <c r="C19" s="2" t="s">
        <v>112</v>
      </c>
      <c r="D19" s="4">
        <v>10000</v>
      </c>
      <c r="E19" s="4">
        <f t="shared" si="0"/>
        <v>360000</v>
      </c>
      <c r="F19" s="4">
        <f t="shared" si="1"/>
        <v>90000</v>
      </c>
    </row>
    <row r="20" spans="1:6" x14ac:dyDescent="0.35">
      <c r="A20" s="2" t="s">
        <v>114</v>
      </c>
      <c r="B20" s="2"/>
      <c r="C20" s="2" t="s">
        <v>112</v>
      </c>
      <c r="D20" s="4">
        <v>10000</v>
      </c>
      <c r="E20" s="4">
        <f t="shared" si="0"/>
        <v>370000</v>
      </c>
      <c r="F20" s="4">
        <f t="shared" si="1"/>
        <v>80000</v>
      </c>
    </row>
    <row r="21" spans="1:6" x14ac:dyDescent="0.35">
      <c r="A21" s="2" t="s">
        <v>115</v>
      </c>
      <c r="B21" s="2"/>
      <c r="C21" s="2" t="s">
        <v>112</v>
      </c>
      <c r="D21" s="4">
        <v>20000</v>
      </c>
      <c r="E21" s="4">
        <f t="shared" si="0"/>
        <v>390000</v>
      </c>
      <c r="F21" s="4">
        <f t="shared" si="1"/>
        <v>60000</v>
      </c>
    </row>
    <row r="22" spans="1:6" x14ac:dyDescent="0.35">
      <c r="A22" s="3">
        <v>45390</v>
      </c>
      <c r="B22" s="2"/>
      <c r="C22" s="2" t="s">
        <v>112</v>
      </c>
      <c r="D22" s="4">
        <v>10000</v>
      </c>
      <c r="E22" s="4">
        <f t="shared" si="0"/>
        <v>400000</v>
      </c>
      <c r="F22" s="4">
        <f t="shared" si="1"/>
        <v>50000</v>
      </c>
    </row>
    <row r="23" spans="1:6" x14ac:dyDescent="0.35">
      <c r="A23" s="3">
        <v>45635</v>
      </c>
      <c r="B23" s="2"/>
      <c r="C23" s="2" t="s">
        <v>112</v>
      </c>
      <c r="D23" s="4">
        <v>10000</v>
      </c>
      <c r="E23" s="4">
        <f t="shared" si="0"/>
        <v>410000</v>
      </c>
      <c r="F23" s="4">
        <f t="shared" si="1"/>
        <v>40000</v>
      </c>
    </row>
    <row r="24" spans="1:6" x14ac:dyDescent="0.35">
      <c r="A24" s="2" t="s">
        <v>116</v>
      </c>
      <c r="B24" s="2"/>
      <c r="C24" s="2" t="s">
        <v>112</v>
      </c>
      <c r="D24" s="4">
        <v>10000</v>
      </c>
      <c r="E24" s="4">
        <f t="shared" si="0"/>
        <v>420000</v>
      </c>
      <c r="F24" s="4">
        <f t="shared" si="1"/>
        <v>30000</v>
      </c>
    </row>
    <row r="25" spans="1:6" x14ac:dyDescent="0.35">
      <c r="A25" s="3">
        <v>45516</v>
      </c>
      <c r="B25" s="2"/>
      <c r="C25" s="2" t="s">
        <v>112</v>
      </c>
      <c r="D25" s="4">
        <v>10000</v>
      </c>
      <c r="E25" s="4">
        <f t="shared" si="0"/>
        <v>430000</v>
      </c>
      <c r="F25" s="4">
        <f t="shared" si="1"/>
        <v>20000</v>
      </c>
    </row>
    <row r="26" spans="1:6" x14ac:dyDescent="0.35">
      <c r="A26" s="2" t="s">
        <v>117</v>
      </c>
      <c r="B26" s="2"/>
      <c r="C26" s="2" t="s">
        <v>112</v>
      </c>
      <c r="D26" s="4">
        <v>5000</v>
      </c>
      <c r="E26" s="4">
        <f t="shared" si="0"/>
        <v>435000</v>
      </c>
      <c r="F26" s="4">
        <f t="shared" si="1"/>
        <v>15000</v>
      </c>
    </row>
    <row r="27" spans="1:6" x14ac:dyDescent="0.35">
      <c r="A27" s="2" t="s">
        <v>118</v>
      </c>
      <c r="B27" s="2"/>
      <c r="C27" s="2" t="s">
        <v>112</v>
      </c>
      <c r="D27" s="4">
        <v>5000</v>
      </c>
      <c r="E27" s="4">
        <f t="shared" si="0"/>
        <v>440000</v>
      </c>
      <c r="F27" s="4">
        <f t="shared" si="1"/>
        <v>10000</v>
      </c>
    </row>
    <row r="28" spans="1:6" x14ac:dyDescent="0.35">
      <c r="A28" s="2" t="s">
        <v>119</v>
      </c>
      <c r="B28" s="2"/>
      <c r="C28" s="2" t="s">
        <v>112</v>
      </c>
      <c r="D28" s="4">
        <v>10000</v>
      </c>
      <c r="E28" s="4">
        <f t="shared" si="0"/>
        <v>450000</v>
      </c>
      <c r="F28" s="4">
        <f t="shared" si="1"/>
        <v>0</v>
      </c>
    </row>
    <row r="29" spans="1:6" ht="18.5" x14ac:dyDescent="0.45">
      <c r="A29" s="10" t="s">
        <v>120</v>
      </c>
      <c r="B29" s="11"/>
      <c r="C29" s="11"/>
      <c r="D29" s="11"/>
      <c r="E29" s="11"/>
      <c r="F29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6BE0-5EB3-4CED-AC92-D07331C2FC63}">
  <dimension ref="A1:F40"/>
  <sheetViews>
    <sheetView workbookViewId="0">
      <selection activeCell="H12" sqref="H12"/>
    </sheetView>
  </sheetViews>
  <sheetFormatPr defaultRowHeight="14.5" x14ac:dyDescent="0.35"/>
  <cols>
    <col min="1" max="1" width="10.36328125" customWidth="1"/>
    <col min="3" max="3" width="11.453125" customWidth="1"/>
    <col min="6" max="6" width="11.08984375" customWidth="1"/>
  </cols>
  <sheetData>
    <row r="1" spans="1:6" ht="18.5" x14ac:dyDescent="0.45">
      <c r="A1" s="15" t="s">
        <v>140</v>
      </c>
      <c r="B1" s="15"/>
      <c r="C1" s="15"/>
      <c r="D1" s="15"/>
      <c r="E1" s="15"/>
      <c r="F1" s="15"/>
    </row>
    <row r="2" spans="1:6" ht="18.5" x14ac:dyDescent="0.45">
      <c r="A2" s="15" t="s">
        <v>141</v>
      </c>
      <c r="B2" s="15"/>
      <c r="C2" s="15"/>
      <c r="D2" s="15"/>
      <c r="E2" s="15"/>
      <c r="F2" s="15"/>
    </row>
    <row r="3" spans="1:6" ht="18.5" x14ac:dyDescent="0.45">
      <c r="A3" s="15" t="s">
        <v>142</v>
      </c>
      <c r="B3" s="15"/>
      <c r="C3" s="15"/>
      <c r="D3" s="15"/>
      <c r="E3" s="15"/>
      <c r="F3" s="15"/>
    </row>
    <row r="4" spans="1:6" ht="18.5" x14ac:dyDescent="0.45">
      <c r="A4" s="15" t="s">
        <v>145</v>
      </c>
      <c r="B4" s="15"/>
      <c r="C4" s="15"/>
      <c r="D4" s="15"/>
      <c r="E4" s="15"/>
      <c r="F4" s="15"/>
    </row>
    <row r="5" spans="1:6" ht="18.5" x14ac:dyDescent="0.45">
      <c r="A5" s="15" t="s">
        <v>143</v>
      </c>
      <c r="B5" s="15"/>
      <c r="C5" s="15"/>
      <c r="D5" s="15"/>
      <c r="E5" s="15"/>
      <c r="F5" s="15"/>
    </row>
    <row r="6" spans="1:6" ht="18.5" x14ac:dyDescent="0.45">
      <c r="A6" s="15" t="s">
        <v>144</v>
      </c>
      <c r="B6" s="15"/>
      <c r="C6" s="15"/>
      <c r="D6" s="15" t="s">
        <v>84</v>
      </c>
      <c r="E6" s="15"/>
      <c r="F6" s="15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2" t="s">
        <v>146</v>
      </c>
      <c r="B8" s="2">
        <v>2434</v>
      </c>
      <c r="C8" s="2" t="s">
        <v>148</v>
      </c>
      <c r="D8" s="4">
        <v>100000</v>
      </c>
      <c r="E8" s="4">
        <v>100000</v>
      </c>
      <c r="F8" s="4">
        <v>500000</v>
      </c>
    </row>
    <row r="9" spans="1:6" x14ac:dyDescent="0.35">
      <c r="A9" s="3">
        <v>45148</v>
      </c>
      <c r="B9" s="2">
        <v>4081</v>
      </c>
      <c r="C9" s="2" t="s">
        <v>112</v>
      </c>
      <c r="D9" s="4">
        <v>16000</v>
      </c>
      <c r="E9" s="4">
        <f>SUM(E8+D9)</f>
        <v>116000</v>
      </c>
      <c r="F9" s="4">
        <f>F8-D9</f>
        <v>484000</v>
      </c>
    </row>
    <row r="10" spans="1:6" x14ac:dyDescent="0.35">
      <c r="A10" s="3">
        <v>45271</v>
      </c>
      <c r="B10" s="2">
        <v>4828</v>
      </c>
      <c r="C10" s="2" t="s">
        <v>112</v>
      </c>
      <c r="D10" s="4">
        <v>8000</v>
      </c>
      <c r="E10" s="4">
        <f t="shared" ref="E10:E40" si="0">SUM(E9+D10)</f>
        <v>124000</v>
      </c>
      <c r="F10" s="4">
        <f t="shared" ref="F10:F40" si="1">F9-D10</f>
        <v>476000</v>
      </c>
    </row>
    <row r="11" spans="1:6" x14ac:dyDescent="0.35">
      <c r="A11" s="3">
        <v>44997</v>
      </c>
      <c r="B11" s="2">
        <v>5282</v>
      </c>
      <c r="C11" s="2" t="s">
        <v>112</v>
      </c>
      <c r="D11" s="4">
        <v>8000</v>
      </c>
      <c r="E11" s="4">
        <f t="shared" si="0"/>
        <v>132000</v>
      </c>
      <c r="F11" s="4">
        <f t="shared" si="1"/>
        <v>468000</v>
      </c>
    </row>
    <row r="12" spans="1:6" x14ac:dyDescent="0.35">
      <c r="A12" s="2" t="s">
        <v>147</v>
      </c>
      <c r="B12" s="2">
        <v>5873</v>
      </c>
      <c r="C12" s="2" t="s">
        <v>112</v>
      </c>
      <c r="D12" s="4">
        <v>8000</v>
      </c>
      <c r="E12" s="4">
        <f t="shared" si="0"/>
        <v>140000</v>
      </c>
      <c r="F12" s="4">
        <f t="shared" si="1"/>
        <v>460000</v>
      </c>
    </row>
    <row r="13" spans="1:6" x14ac:dyDescent="0.35">
      <c r="A13" s="3">
        <v>45598</v>
      </c>
      <c r="B13" s="2">
        <v>7048</v>
      </c>
      <c r="C13" s="2" t="s">
        <v>112</v>
      </c>
      <c r="D13" s="4">
        <v>8000</v>
      </c>
      <c r="E13" s="4">
        <f t="shared" si="0"/>
        <v>148000</v>
      </c>
      <c r="F13" s="4">
        <f t="shared" si="1"/>
        <v>452000</v>
      </c>
    </row>
    <row r="14" spans="1:6" x14ac:dyDescent="0.35">
      <c r="A14" s="3">
        <v>45354</v>
      </c>
      <c r="B14" s="2">
        <v>6873</v>
      </c>
      <c r="C14" s="2" t="s">
        <v>112</v>
      </c>
      <c r="D14" s="4">
        <v>8000</v>
      </c>
      <c r="E14" s="4">
        <f t="shared" si="0"/>
        <v>156000</v>
      </c>
      <c r="F14" s="4">
        <f t="shared" si="1"/>
        <v>444000</v>
      </c>
    </row>
    <row r="15" spans="1:6" x14ac:dyDescent="0.35">
      <c r="A15" s="3">
        <v>45355</v>
      </c>
      <c r="B15" s="2">
        <v>6878</v>
      </c>
      <c r="C15" s="2" t="s">
        <v>112</v>
      </c>
      <c r="D15" s="4">
        <v>8000</v>
      </c>
      <c r="E15" s="4">
        <f t="shared" si="0"/>
        <v>164000</v>
      </c>
      <c r="F15" s="4">
        <f t="shared" si="1"/>
        <v>436000</v>
      </c>
    </row>
    <row r="16" spans="1:6" x14ac:dyDescent="0.35">
      <c r="A16" s="3">
        <v>45417</v>
      </c>
      <c r="B16" s="2">
        <v>8233</v>
      </c>
      <c r="C16" s="2" t="s">
        <v>112</v>
      </c>
      <c r="D16" s="4">
        <v>8000</v>
      </c>
      <c r="E16" s="4">
        <f t="shared" si="0"/>
        <v>172000</v>
      </c>
      <c r="F16" s="4">
        <f t="shared" si="1"/>
        <v>428000</v>
      </c>
    </row>
    <row r="17" spans="1:6" x14ac:dyDescent="0.35">
      <c r="A17" s="3">
        <v>45541</v>
      </c>
      <c r="B17" s="2">
        <v>8911</v>
      </c>
      <c r="C17" s="2" t="s">
        <v>112</v>
      </c>
      <c r="D17" s="4">
        <v>8000</v>
      </c>
      <c r="E17" s="4">
        <f t="shared" si="0"/>
        <v>180000</v>
      </c>
      <c r="F17" s="4">
        <f t="shared" si="1"/>
        <v>420000</v>
      </c>
    </row>
    <row r="18" spans="1:6" x14ac:dyDescent="0.35">
      <c r="A18" s="3">
        <v>45389</v>
      </c>
      <c r="B18" s="2">
        <v>9614</v>
      </c>
      <c r="C18" s="2" t="s">
        <v>112</v>
      </c>
      <c r="D18" s="4">
        <v>8000</v>
      </c>
      <c r="E18" s="4">
        <f t="shared" si="0"/>
        <v>188000</v>
      </c>
      <c r="F18" s="4">
        <f t="shared" si="1"/>
        <v>412000</v>
      </c>
    </row>
    <row r="19" spans="1:6" x14ac:dyDescent="0.35">
      <c r="A19" s="3">
        <v>45604</v>
      </c>
      <c r="B19" s="2">
        <v>11072</v>
      </c>
      <c r="C19" s="2" t="s">
        <v>112</v>
      </c>
      <c r="D19" s="4">
        <v>8000</v>
      </c>
      <c r="E19" s="4">
        <f t="shared" si="0"/>
        <v>196000</v>
      </c>
      <c r="F19" s="4">
        <f t="shared" si="1"/>
        <v>404000</v>
      </c>
    </row>
    <row r="20" spans="1:6" x14ac:dyDescent="0.35">
      <c r="A20" s="2" t="s">
        <v>149</v>
      </c>
      <c r="B20" s="2">
        <v>10795</v>
      </c>
      <c r="C20" s="2" t="s">
        <v>112</v>
      </c>
      <c r="D20" s="4">
        <v>8000</v>
      </c>
      <c r="E20" s="4">
        <f t="shared" si="0"/>
        <v>204000</v>
      </c>
      <c r="F20" s="4">
        <f t="shared" si="1"/>
        <v>396000</v>
      </c>
    </row>
    <row r="21" spans="1:6" x14ac:dyDescent="0.35">
      <c r="A21" s="3">
        <v>45453</v>
      </c>
      <c r="B21" s="2">
        <v>348</v>
      </c>
      <c r="C21" s="2" t="s">
        <v>112</v>
      </c>
      <c r="D21" s="4">
        <v>8000</v>
      </c>
      <c r="E21" s="4">
        <f t="shared" si="0"/>
        <v>212000</v>
      </c>
      <c r="F21" s="4">
        <f t="shared" si="1"/>
        <v>388000</v>
      </c>
    </row>
    <row r="22" spans="1:6" x14ac:dyDescent="0.35">
      <c r="A22" s="3">
        <v>45423</v>
      </c>
      <c r="B22" s="2">
        <v>11593</v>
      </c>
      <c r="C22" s="2" t="s">
        <v>112</v>
      </c>
      <c r="D22" s="4">
        <v>8000</v>
      </c>
      <c r="E22" s="4">
        <f t="shared" si="0"/>
        <v>220000</v>
      </c>
      <c r="F22" s="4">
        <f t="shared" si="1"/>
        <v>380000</v>
      </c>
    </row>
    <row r="23" spans="1:6" x14ac:dyDescent="0.35">
      <c r="A23" s="2" t="s">
        <v>150</v>
      </c>
      <c r="B23" s="2">
        <v>12550</v>
      </c>
      <c r="C23" s="2" t="s">
        <v>112</v>
      </c>
      <c r="D23" s="4">
        <v>8000</v>
      </c>
      <c r="E23" s="4">
        <f t="shared" si="0"/>
        <v>228000</v>
      </c>
      <c r="F23" s="4">
        <f t="shared" si="1"/>
        <v>372000</v>
      </c>
    </row>
    <row r="24" spans="1:6" x14ac:dyDescent="0.35">
      <c r="A24" s="3">
        <v>45383</v>
      </c>
      <c r="B24" s="2">
        <v>12878</v>
      </c>
      <c r="C24" s="2" t="s">
        <v>112</v>
      </c>
      <c r="D24" s="4">
        <v>8000</v>
      </c>
      <c r="E24" s="4">
        <f t="shared" si="0"/>
        <v>236000</v>
      </c>
      <c r="F24" s="4">
        <f t="shared" si="1"/>
        <v>364000</v>
      </c>
    </row>
    <row r="25" spans="1:6" x14ac:dyDescent="0.35">
      <c r="A25" s="3">
        <v>45384</v>
      </c>
      <c r="B25" s="2">
        <v>9227</v>
      </c>
      <c r="C25" s="2" t="s">
        <v>112</v>
      </c>
      <c r="D25" s="4">
        <v>8000</v>
      </c>
      <c r="E25" s="4">
        <f t="shared" si="0"/>
        <v>244000</v>
      </c>
      <c r="F25" s="4">
        <f t="shared" si="1"/>
        <v>356000</v>
      </c>
    </row>
    <row r="26" spans="1:6" x14ac:dyDescent="0.35">
      <c r="A26" s="3">
        <v>45446</v>
      </c>
      <c r="B26" s="2">
        <v>9621</v>
      </c>
      <c r="C26" s="2" t="s">
        <v>112</v>
      </c>
      <c r="D26" s="4">
        <v>8000</v>
      </c>
      <c r="E26" s="4">
        <f t="shared" si="0"/>
        <v>252000</v>
      </c>
      <c r="F26" s="4">
        <f t="shared" si="1"/>
        <v>348000</v>
      </c>
    </row>
    <row r="27" spans="1:6" x14ac:dyDescent="0.35">
      <c r="A27" s="3">
        <v>45842</v>
      </c>
      <c r="B27" s="2">
        <v>9947</v>
      </c>
      <c r="C27" s="2" t="s">
        <v>112</v>
      </c>
      <c r="D27" s="4">
        <v>8000</v>
      </c>
      <c r="E27" s="4">
        <f t="shared" si="0"/>
        <v>260000</v>
      </c>
      <c r="F27" s="4">
        <f t="shared" si="1"/>
        <v>340000</v>
      </c>
    </row>
    <row r="28" spans="1:6" x14ac:dyDescent="0.35">
      <c r="A28" s="3">
        <v>45448</v>
      </c>
      <c r="B28" s="2">
        <v>10352</v>
      </c>
      <c r="C28" s="2" t="s">
        <v>112</v>
      </c>
      <c r="D28" s="4">
        <v>8000</v>
      </c>
      <c r="E28" s="4">
        <f t="shared" si="0"/>
        <v>268000</v>
      </c>
      <c r="F28" s="4">
        <f t="shared" si="1"/>
        <v>332000</v>
      </c>
    </row>
    <row r="29" spans="1:6" x14ac:dyDescent="0.35">
      <c r="A29" s="3">
        <v>45936</v>
      </c>
      <c r="B29" s="2">
        <v>10494</v>
      </c>
      <c r="C29" s="2" t="s">
        <v>112</v>
      </c>
      <c r="D29" s="4">
        <v>8000</v>
      </c>
      <c r="E29" s="4">
        <f t="shared" si="0"/>
        <v>276000</v>
      </c>
      <c r="F29" s="4">
        <f t="shared" si="1"/>
        <v>324000</v>
      </c>
    </row>
    <row r="30" spans="1:6" x14ac:dyDescent="0.35">
      <c r="A30" s="3">
        <v>45723</v>
      </c>
      <c r="B30" s="2">
        <v>12060</v>
      </c>
      <c r="C30" s="2" t="s">
        <v>112</v>
      </c>
      <c r="D30" s="4">
        <v>8000</v>
      </c>
      <c r="E30" s="4">
        <f t="shared" si="0"/>
        <v>284000</v>
      </c>
      <c r="F30" s="4">
        <f t="shared" si="1"/>
        <v>316000</v>
      </c>
    </row>
    <row r="31" spans="1:6" x14ac:dyDescent="0.35">
      <c r="A31" s="3">
        <v>45755</v>
      </c>
      <c r="B31" s="2">
        <v>12672</v>
      </c>
      <c r="C31" s="2" t="s">
        <v>112</v>
      </c>
      <c r="D31" s="4">
        <v>8000</v>
      </c>
      <c r="E31" s="4">
        <f t="shared" si="0"/>
        <v>292000</v>
      </c>
      <c r="F31" s="4">
        <f t="shared" si="1"/>
        <v>308000</v>
      </c>
    </row>
    <row r="32" spans="1:6" x14ac:dyDescent="0.35">
      <c r="A32" s="3">
        <v>45878</v>
      </c>
      <c r="B32" s="2">
        <v>12672</v>
      </c>
      <c r="C32" s="2" t="s">
        <v>112</v>
      </c>
      <c r="D32" s="4">
        <v>8000</v>
      </c>
      <c r="E32" s="4">
        <f t="shared" si="0"/>
        <v>300000</v>
      </c>
      <c r="F32" s="4">
        <f t="shared" si="1"/>
        <v>300000</v>
      </c>
    </row>
    <row r="33" spans="1:6" x14ac:dyDescent="0.35">
      <c r="A33" s="3">
        <v>45757</v>
      </c>
      <c r="B33" s="2">
        <v>13864</v>
      </c>
      <c r="C33" s="2" t="s">
        <v>112</v>
      </c>
      <c r="D33" s="4">
        <v>8000</v>
      </c>
      <c r="E33" s="4">
        <f t="shared" si="0"/>
        <v>308000</v>
      </c>
      <c r="F33" s="4">
        <f t="shared" si="1"/>
        <v>292000</v>
      </c>
    </row>
    <row r="34" spans="1:6" x14ac:dyDescent="0.35">
      <c r="A34" s="3">
        <v>45880</v>
      </c>
      <c r="B34" s="2">
        <v>12469</v>
      </c>
      <c r="C34" s="2" t="s">
        <v>112</v>
      </c>
      <c r="D34" s="4">
        <v>8000</v>
      </c>
      <c r="E34" s="4">
        <f t="shared" si="0"/>
        <v>316000</v>
      </c>
      <c r="F34" s="4">
        <f t="shared" si="1"/>
        <v>284000</v>
      </c>
    </row>
    <row r="35" spans="1:6" x14ac:dyDescent="0.35">
      <c r="A35" s="3">
        <v>45881</v>
      </c>
      <c r="B35" s="2">
        <v>13115</v>
      </c>
      <c r="C35" s="2" t="s">
        <v>112</v>
      </c>
      <c r="D35" s="4">
        <v>8000</v>
      </c>
      <c r="E35" s="4">
        <f t="shared" si="0"/>
        <v>324000</v>
      </c>
      <c r="F35" s="4">
        <f t="shared" si="1"/>
        <v>276000</v>
      </c>
    </row>
    <row r="36" spans="1:6" x14ac:dyDescent="0.35">
      <c r="A36" s="3">
        <v>46082</v>
      </c>
      <c r="B36" s="2">
        <v>3876</v>
      </c>
      <c r="C36" s="2" t="s">
        <v>112</v>
      </c>
      <c r="D36" s="4">
        <v>8000</v>
      </c>
      <c r="E36" s="4">
        <f t="shared" si="0"/>
        <v>332000</v>
      </c>
      <c r="F36" s="4">
        <f t="shared" si="1"/>
        <v>268000</v>
      </c>
    </row>
    <row r="37" spans="1:6" x14ac:dyDescent="0.35">
      <c r="A37" s="3">
        <v>46205</v>
      </c>
      <c r="B37" s="2">
        <v>12383</v>
      </c>
      <c r="C37" s="2" t="s">
        <v>112</v>
      </c>
      <c r="D37" s="4">
        <v>8000</v>
      </c>
      <c r="E37" s="4">
        <f t="shared" si="0"/>
        <v>340000</v>
      </c>
      <c r="F37" s="4">
        <f t="shared" si="1"/>
        <v>260000</v>
      </c>
    </row>
    <row r="38" spans="1:6" x14ac:dyDescent="0.35">
      <c r="A38" s="3">
        <v>46145</v>
      </c>
      <c r="B38" s="2">
        <v>12743</v>
      </c>
      <c r="C38" s="2" t="s">
        <v>112</v>
      </c>
      <c r="D38" s="4">
        <v>8000</v>
      </c>
      <c r="E38" s="4">
        <f t="shared" si="0"/>
        <v>348000</v>
      </c>
      <c r="F38" s="4">
        <f t="shared" si="1"/>
        <v>252000</v>
      </c>
    </row>
    <row r="39" spans="1:6" x14ac:dyDescent="0.35">
      <c r="A39" s="2" t="s">
        <v>151</v>
      </c>
      <c r="B39" s="2">
        <v>13288</v>
      </c>
      <c r="C39" s="2" t="s">
        <v>112</v>
      </c>
      <c r="D39" s="4">
        <v>8000</v>
      </c>
      <c r="E39" s="4">
        <f t="shared" si="0"/>
        <v>356000</v>
      </c>
      <c r="F39" s="4">
        <f t="shared" si="1"/>
        <v>244000</v>
      </c>
    </row>
    <row r="40" spans="1:6" x14ac:dyDescent="0.35">
      <c r="A40" s="3">
        <v>46208</v>
      </c>
      <c r="B40" s="2">
        <v>12951</v>
      </c>
      <c r="C40" s="2" t="s">
        <v>112</v>
      </c>
      <c r="D40" s="4">
        <v>8000</v>
      </c>
      <c r="E40" s="4">
        <f t="shared" si="0"/>
        <v>364000</v>
      </c>
      <c r="F40" s="4">
        <f t="shared" si="1"/>
        <v>236000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53B2-0231-4045-84A2-780660BA60A6}">
  <dimension ref="A1:F42"/>
  <sheetViews>
    <sheetView topLeftCell="A37" workbookViewId="0">
      <selection activeCell="F43" sqref="F43"/>
    </sheetView>
  </sheetViews>
  <sheetFormatPr defaultRowHeight="14.5" x14ac:dyDescent="0.35"/>
  <cols>
    <col min="1" max="1" width="9.453125" bestFit="1" customWidth="1"/>
    <col min="3" max="3" width="10.26953125" bestFit="1" customWidth="1"/>
    <col min="4" max="4" width="15.81640625" bestFit="1" customWidth="1"/>
    <col min="6" max="6" width="11.36328125" bestFit="1" customWidth="1"/>
  </cols>
  <sheetData>
    <row r="1" spans="1:6" ht="18.5" x14ac:dyDescent="0.45">
      <c r="A1" s="18" t="s">
        <v>33</v>
      </c>
      <c r="B1" s="18"/>
      <c r="C1" s="18"/>
      <c r="D1" s="18"/>
      <c r="E1" s="18"/>
      <c r="F1" s="18"/>
    </row>
    <row r="2" spans="1:6" ht="18.5" x14ac:dyDescent="0.45">
      <c r="A2" s="18" t="s">
        <v>34</v>
      </c>
      <c r="B2" s="18"/>
      <c r="C2" s="18"/>
      <c r="D2" s="18"/>
      <c r="E2" s="18"/>
      <c r="F2" s="18"/>
    </row>
    <row r="3" spans="1:6" ht="18.5" x14ac:dyDescent="0.45">
      <c r="A3" s="18" t="s">
        <v>35</v>
      </c>
      <c r="B3" s="18"/>
      <c r="C3" s="18"/>
      <c r="D3" s="18"/>
      <c r="E3" s="18"/>
      <c r="F3" s="18"/>
    </row>
    <row r="4" spans="1:6" ht="18.5" x14ac:dyDescent="0.45">
      <c r="A4" s="18" t="s">
        <v>96</v>
      </c>
      <c r="B4" s="18"/>
      <c r="C4" s="18"/>
      <c r="D4" s="18"/>
      <c r="E4" s="18"/>
      <c r="F4" s="18"/>
    </row>
    <row r="5" spans="1:6" ht="18.5" x14ac:dyDescent="0.45">
      <c r="A5" s="18" t="s">
        <v>36</v>
      </c>
      <c r="B5" s="18"/>
      <c r="C5" s="18"/>
      <c r="D5" s="18"/>
      <c r="E5" s="18"/>
      <c r="F5" s="18"/>
    </row>
    <row r="6" spans="1:6" ht="18.5" x14ac:dyDescent="0.45">
      <c r="A6" s="18" t="s">
        <v>37</v>
      </c>
      <c r="B6" s="18"/>
      <c r="C6" s="18"/>
      <c r="D6" s="18" t="s">
        <v>38</v>
      </c>
      <c r="E6" s="18"/>
      <c r="F6" s="18"/>
    </row>
    <row r="7" spans="1:6" x14ac:dyDescent="0.35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</row>
    <row r="8" spans="1:6" x14ac:dyDescent="0.35">
      <c r="A8" s="19" t="s">
        <v>39</v>
      </c>
      <c r="B8" s="19">
        <v>1403</v>
      </c>
      <c r="C8" s="19" t="s">
        <v>47</v>
      </c>
      <c r="D8" s="20">
        <v>130000</v>
      </c>
      <c r="E8" s="20">
        <v>130000</v>
      </c>
      <c r="F8" s="20">
        <v>440000</v>
      </c>
    </row>
    <row r="9" spans="1:6" x14ac:dyDescent="0.35">
      <c r="A9" s="21">
        <v>44931</v>
      </c>
      <c r="B9" s="19">
        <v>1404</v>
      </c>
      <c r="C9" s="19" t="s">
        <v>16</v>
      </c>
      <c r="D9" s="20">
        <v>10000</v>
      </c>
      <c r="E9" s="20">
        <f>SUM(E8+D9)</f>
        <v>140000</v>
      </c>
      <c r="F9" s="20">
        <f>F8-D9</f>
        <v>430000</v>
      </c>
    </row>
    <row r="10" spans="1:6" x14ac:dyDescent="0.35">
      <c r="A10" s="21">
        <v>44932</v>
      </c>
      <c r="B10" s="19">
        <v>231</v>
      </c>
      <c r="C10" s="19" t="s">
        <v>16</v>
      </c>
      <c r="D10" s="20">
        <v>10000</v>
      </c>
      <c r="E10" s="20">
        <f t="shared" ref="E10:E39" si="0">SUM(E9+D10)</f>
        <v>150000</v>
      </c>
      <c r="F10" s="20">
        <f t="shared" ref="F10:F39" si="1">F9-D10</f>
        <v>420000</v>
      </c>
    </row>
    <row r="11" spans="1:6" x14ac:dyDescent="0.35">
      <c r="A11" s="19" t="s">
        <v>12</v>
      </c>
      <c r="B11" s="19">
        <v>2565</v>
      </c>
      <c r="C11" s="19" t="s">
        <v>16</v>
      </c>
      <c r="D11" s="20">
        <v>10000</v>
      </c>
      <c r="E11" s="20">
        <f t="shared" si="0"/>
        <v>160000</v>
      </c>
      <c r="F11" s="20">
        <f t="shared" si="1"/>
        <v>410000</v>
      </c>
    </row>
    <row r="12" spans="1:6" x14ac:dyDescent="0.35">
      <c r="A12" s="19" t="s">
        <v>40</v>
      </c>
      <c r="B12" s="19">
        <v>3323</v>
      </c>
      <c r="C12" s="19" t="s">
        <v>16</v>
      </c>
      <c r="D12" s="20">
        <v>10000</v>
      </c>
      <c r="E12" s="20">
        <f t="shared" si="0"/>
        <v>170000</v>
      </c>
      <c r="F12" s="20">
        <f t="shared" si="1"/>
        <v>400000</v>
      </c>
    </row>
    <row r="13" spans="1:6" x14ac:dyDescent="0.35">
      <c r="A13" s="19" t="s">
        <v>41</v>
      </c>
      <c r="B13" s="19">
        <v>3865</v>
      </c>
      <c r="C13" s="19" t="s">
        <v>16</v>
      </c>
      <c r="D13" s="20">
        <v>10000</v>
      </c>
      <c r="E13" s="20">
        <f t="shared" si="0"/>
        <v>180000</v>
      </c>
      <c r="F13" s="20">
        <f t="shared" si="1"/>
        <v>390000</v>
      </c>
    </row>
    <row r="14" spans="1:6" x14ac:dyDescent="0.35">
      <c r="A14" s="19" t="s">
        <v>42</v>
      </c>
      <c r="B14" s="19">
        <v>4583</v>
      </c>
      <c r="C14" s="19" t="s">
        <v>16</v>
      </c>
      <c r="D14" s="20">
        <v>10000</v>
      </c>
      <c r="E14" s="20">
        <f t="shared" si="0"/>
        <v>190000</v>
      </c>
      <c r="F14" s="20">
        <f t="shared" si="1"/>
        <v>380000</v>
      </c>
    </row>
    <row r="15" spans="1:6" x14ac:dyDescent="0.35">
      <c r="A15" s="19" t="s">
        <v>43</v>
      </c>
      <c r="B15" s="19">
        <v>5207</v>
      </c>
      <c r="C15" s="19" t="s">
        <v>16</v>
      </c>
      <c r="D15" s="20">
        <v>10000</v>
      </c>
      <c r="E15" s="20">
        <f t="shared" si="0"/>
        <v>200000</v>
      </c>
      <c r="F15" s="20">
        <f t="shared" si="1"/>
        <v>370000</v>
      </c>
    </row>
    <row r="16" spans="1:6" x14ac:dyDescent="0.35">
      <c r="A16" s="19" t="s">
        <v>44</v>
      </c>
      <c r="B16" s="19">
        <v>5863</v>
      </c>
      <c r="C16" s="19" t="s">
        <v>16</v>
      </c>
      <c r="D16" s="20">
        <v>10000</v>
      </c>
      <c r="E16" s="20">
        <f t="shared" si="0"/>
        <v>210000</v>
      </c>
      <c r="F16" s="20">
        <f t="shared" si="1"/>
        <v>360000</v>
      </c>
    </row>
    <row r="17" spans="1:6" x14ac:dyDescent="0.35">
      <c r="A17" s="19" t="s">
        <v>45</v>
      </c>
      <c r="B17" s="19">
        <v>6478</v>
      </c>
      <c r="C17" s="19" t="s">
        <v>16</v>
      </c>
      <c r="D17" s="20">
        <v>10000</v>
      </c>
      <c r="E17" s="20">
        <f t="shared" si="0"/>
        <v>220000</v>
      </c>
      <c r="F17" s="20">
        <f t="shared" si="1"/>
        <v>350000</v>
      </c>
    </row>
    <row r="18" spans="1:6" x14ac:dyDescent="0.35">
      <c r="A18" s="19" t="s">
        <v>46</v>
      </c>
      <c r="B18" s="19">
        <v>6852</v>
      </c>
      <c r="C18" s="19" t="s">
        <v>16</v>
      </c>
      <c r="D18" s="20">
        <v>10000</v>
      </c>
      <c r="E18" s="20">
        <f t="shared" si="0"/>
        <v>230000</v>
      </c>
      <c r="F18" s="20">
        <f t="shared" si="1"/>
        <v>340000</v>
      </c>
    </row>
    <row r="19" spans="1:6" x14ac:dyDescent="0.35">
      <c r="A19" s="19" t="s">
        <v>48</v>
      </c>
      <c r="B19" s="19">
        <v>7607</v>
      </c>
      <c r="C19" s="19" t="s">
        <v>16</v>
      </c>
      <c r="D19" s="20">
        <v>10000</v>
      </c>
      <c r="E19" s="20">
        <f t="shared" si="0"/>
        <v>240000</v>
      </c>
      <c r="F19" s="20">
        <f t="shared" si="1"/>
        <v>330000</v>
      </c>
    </row>
    <row r="20" spans="1:6" x14ac:dyDescent="0.35">
      <c r="A20" s="19" t="s">
        <v>49</v>
      </c>
      <c r="B20" s="19">
        <v>8166</v>
      </c>
      <c r="C20" s="19" t="s">
        <v>16</v>
      </c>
      <c r="D20" s="20">
        <v>10000</v>
      </c>
      <c r="E20" s="20">
        <f t="shared" si="0"/>
        <v>250000</v>
      </c>
      <c r="F20" s="20">
        <f t="shared" si="1"/>
        <v>320000</v>
      </c>
    </row>
    <row r="21" spans="1:6" x14ac:dyDescent="0.35">
      <c r="A21" s="19" t="s">
        <v>50</v>
      </c>
      <c r="B21" s="19">
        <v>8746</v>
      </c>
      <c r="C21" s="19" t="s">
        <v>16</v>
      </c>
      <c r="D21" s="20">
        <v>10000</v>
      </c>
      <c r="E21" s="20">
        <f t="shared" si="0"/>
        <v>260000</v>
      </c>
      <c r="F21" s="20">
        <f t="shared" si="1"/>
        <v>310000</v>
      </c>
    </row>
    <row r="22" spans="1:6" x14ac:dyDescent="0.35">
      <c r="A22" s="19" t="s">
        <v>51</v>
      </c>
      <c r="B22" s="19">
        <v>9321</v>
      </c>
      <c r="C22" s="19" t="s">
        <v>16</v>
      </c>
      <c r="D22" s="20">
        <v>10000</v>
      </c>
      <c r="E22" s="20">
        <f t="shared" si="0"/>
        <v>270000</v>
      </c>
      <c r="F22" s="20">
        <f t="shared" si="1"/>
        <v>300000</v>
      </c>
    </row>
    <row r="23" spans="1:6" x14ac:dyDescent="0.35">
      <c r="A23" s="21">
        <v>45451</v>
      </c>
      <c r="B23" s="19">
        <v>10059</v>
      </c>
      <c r="C23" s="19" t="s">
        <v>16</v>
      </c>
      <c r="D23" s="20">
        <v>10000</v>
      </c>
      <c r="E23" s="20">
        <f t="shared" si="0"/>
        <v>280000</v>
      </c>
      <c r="F23" s="20">
        <f t="shared" si="1"/>
        <v>290000</v>
      </c>
    </row>
    <row r="24" spans="1:6" x14ac:dyDescent="0.35">
      <c r="A24" s="21">
        <v>45360</v>
      </c>
      <c r="B24" s="19">
        <v>10493</v>
      </c>
      <c r="C24" s="19" t="s">
        <v>16</v>
      </c>
      <c r="D24" s="20">
        <v>10000</v>
      </c>
      <c r="E24" s="20">
        <f t="shared" si="0"/>
        <v>290000</v>
      </c>
      <c r="F24" s="20">
        <f t="shared" si="1"/>
        <v>280000</v>
      </c>
    </row>
    <row r="25" spans="1:6" x14ac:dyDescent="0.35">
      <c r="A25" s="21">
        <v>45361</v>
      </c>
      <c r="B25" s="19">
        <v>10190</v>
      </c>
      <c r="C25" s="19" t="s">
        <v>16</v>
      </c>
      <c r="D25" s="20">
        <v>10000</v>
      </c>
      <c r="E25" s="20">
        <f t="shared" si="0"/>
        <v>300000</v>
      </c>
      <c r="F25" s="20">
        <f t="shared" si="1"/>
        <v>270000</v>
      </c>
    </row>
    <row r="26" spans="1:6" x14ac:dyDescent="0.35">
      <c r="A26" s="21">
        <v>45484</v>
      </c>
      <c r="B26" s="19">
        <v>11908</v>
      </c>
      <c r="C26" s="19" t="s">
        <v>16</v>
      </c>
      <c r="D26" s="20">
        <v>10000</v>
      </c>
      <c r="E26" s="20">
        <f t="shared" si="0"/>
        <v>310000</v>
      </c>
      <c r="F26" s="20">
        <f t="shared" si="1"/>
        <v>260000</v>
      </c>
    </row>
    <row r="27" spans="1:6" x14ac:dyDescent="0.35">
      <c r="A27" s="21">
        <v>45424</v>
      </c>
      <c r="B27" s="19">
        <v>12588</v>
      </c>
      <c r="C27" s="19" t="s">
        <v>16</v>
      </c>
      <c r="D27" s="20">
        <v>10000</v>
      </c>
      <c r="E27" s="20">
        <f t="shared" si="0"/>
        <v>320000</v>
      </c>
      <c r="F27" s="20">
        <f t="shared" si="1"/>
        <v>250000</v>
      </c>
    </row>
    <row r="28" spans="1:6" x14ac:dyDescent="0.35">
      <c r="A28" s="21">
        <v>45778</v>
      </c>
      <c r="B28" s="19">
        <v>12894</v>
      </c>
      <c r="C28" s="19" t="s">
        <v>16</v>
      </c>
      <c r="D28" s="20">
        <v>10000</v>
      </c>
      <c r="E28" s="20">
        <f t="shared" si="0"/>
        <v>330000</v>
      </c>
      <c r="F28" s="20">
        <f t="shared" si="1"/>
        <v>240000</v>
      </c>
    </row>
    <row r="29" spans="1:6" x14ac:dyDescent="0.35">
      <c r="A29" s="21">
        <v>45902</v>
      </c>
      <c r="B29" s="19">
        <v>9268</v>
      </c>
      <c r="C29" s="19" t="s">
        <v>16</v>
      </c>
      <c r="D29" s="20">
        <v>10000</v>
      </c>
      <c r="E29" s="20">
        <f t="shared" si="0"/>
        <v>340000</v>
      </c>
      <c r="F29" s="20">
        <f t="shared" si="1"/>
        <v>230000</v>
      </c>
    </row>
    <row r="30" spans="1:6" x14ac:dyDescent="0.35">
      <c r="A30" s="21">
        <v>45903</v>
      </c>
      <c r="B30" s="19">
        <v>9657</v>
      </c>
      <c r="C30" s="19" t="s">
        <v>16</v>
      </c>
      <c r="D30" s="20">
        <v>10000</v>
      </c>
      <c r="E30" s="20">
        <f t="shared" si="0"/>
        <v>350000</v>
      </c>
      <c r="F30" s="20">
        <f t="shared" si="1"/>
        <v>220000</v>
      </c>
    </row>
    <row r="31" spans="1:6" x14ac:dyDescent="0.35">
      <c r="A31" s="21">
        <v>45995</v>
      </c>
      <c r="B31" s="19">
        <v>10142</v>
      </c>
      <c r="C31" s="19" t="s">
        <v>16</v>
      </c>
      <c r="D31" s="20">
        <v>10000</v>
      </c>
      <c r="E31" s="20">
        <f t="shared" si="0"/>
        <v>360000</v>
      </c>
      <c r="F31" s="20">
        <f t="shared" si="1"/>
        <v>210000</v>
      </c>
    </row>
    <row r="32" spans="1:6" x14ac:dyDescent="0.35">
      <c r="A32" s="21">
        <v>45783</v>
      </c>
      <c r="B32" s="19">
        <v>10461</v>
      </c>
      <c r="C32" s="19" t="s">
        <v>16</v>
      </c>
      <c r="D32" s="20">
        <v>20000</v>
      </c>
      <c r="E32" s="20">
        <f t="shared" si="0"/>
        <v>380000</v>
      </c>
      <c r="F32" s="20">
        <f t="shared" si="1"/>
        <v>190000</v>
      </c>
    </row>
    <row r="33" spans="1:6" x14ac:dyDescent="0.35">
      <c r="A33" s="21">
        <v>45877</v>
      </c>
      <c r="B33" s="19">
        <v>12434</v>
      </c>
      <c r="C33" s="19" t="s">
        <v>16</v>
      </c>
      <c r="D33" s="20">
        <v>10000</v>
      </c>
      <c r="E33" s="20">
        <f t="shared" si="0"/>
        <v>390000</v>
      </c>
      <c r="F33" s="20">
        <f t="shared" si="1"/>
        <v>180000</v>
      </c>
    </row>
    <row r="34" spans="1:6" x14ac:dyDescent="0.35">
      <c r="A34" s="21">
        <v>45909</v>
      </c>
      <c r="B34" s="19">
        <v>12681</v>
      </c>
      <c r="C34" s="19" t="s">
        <v>16</v>
      </c>
      <c r="D34" s="20">
        <v>10000</v>
      </c>
      <c r="E34" s="20">
        <f t="shared" si="0"/>
        <v>400000</v>
      </c>
      <c r="F34" s="20">
        <f t="shared" si="1"/>
        <v>170000</v>
      </c>
    </row>
    <row r="35" spans="1:6" x14ac:dyDescent="0.35">
      <c r="A35" s="21">
        <v>45849</v>
      </c>
      <c r="B35" s="19">
        <v>13452</v>
      </c>
      <c r="C35" s="19" t="s">
        <v>16</v>
      </c>
      <c r="D35" s="20">
        <v>10000</v>
      </c>
      <c r="E35" s="20">
        <f t="shared" si="0"/>
        <v>410000</v>
      </c>
      <c r="F35" s="20">
        <f t="shared" si="1"/>
        <v>160000</v>
      </c>
    </row>
    <row r="36" spans="1:6" x14ac:dyDescent="0.35">
      <c r="A36" s="21">
        <v>45901</v>
      </c>
      <c r="B36" s="19">
        <v>12030</v>
      </c>
      <c r="C36" s="19" t="s">
        <v>16</v>
      </c>
      <c r="D36" s="20">
        <v>10000</v>
      </c>
      <c r="E36" s="20">
        <f t="shared" si="0"/>
        <v>420000</v>
      </c>
      <c r="F36" s="20">
        <f t="shared" si="1"/>
        <v>150000</v>
      </c>
    </row>
    <row r="37" spans="1:6" x14ac:dyDescent="0.35">
      <c r="A37" s="19" t="s">
        <v>52</v>
      </c>
      <c r="B37" s="19">
        <v>12519</v>
      </c>
      <c r="C37" s="19" t="s">
        <v>16</v>
      </c>
      <c r="D37" s="20">
        <v>10000</v>
      </c>
      <c r="E37" s="20">
        <f t="shared" si="0"/>
        <v>430000</v>
      </c>
      <c r="F37" s="20">
        <f t="shared" si="1"/>
        <v>140000</v>
      </c>
    </row>
    <row r="38" spans="1:6" x14ac:dyDescent="0.35">
      <c r="A38" s="22" t="s">
        <v>53</v>
      </c>
      <c r="B38" s="23">
        <v>13932</v>
      </c>
      <c r="C38" s="19" t="s">
        <v>16</v>
      </c>
      <c r="D38" s="20">
        <v>10000</v>
      </c>
      <c r="E38" s="20">
        <f t="shared" si="0"/>
        <v>440000</v>
      </c>
      <c r="F38" s="20">
        <f t="shared" si="1"/>
        <v>130000</v>
      </c>
    </row>
    <row r="39" spans="1:6" x14ac:dyDescent="0.35">
      <c r="A39" s="22" t="s">
        <v>97</v>
      </c>
      <c r="B39" s="23">
        <v>13055</v>
      </c>
      <c r="C39" s="19" t="s">
        <v>16</v>
      </c>
      <c r="D39" s="20">
        <v>10000</v>
      </c>
      <c r="E39" s="20">
        <f t="shared" si="0"/>
        <v>450000</v>
      </c>
      <c r="F39" s="20">
        <f t="shared" si="1"/>
        <v>120000</v>
      </c>
    </row>
    <row r="40" spans="1:6" x14ac:dyDescent="0.35">
      <c r="A40" s="22" t="s">
        <v>173</v>
      </c>
      <c r="B40" s="23">
        <v>13603</v>
      </c>
      <c r="C40" s="23" t="s">
        <v>16</v>
      </c>
      <c r="D40" s="6">
        <v>10000</v>
      </c>
      <c r="E40" s="6">
        <f>E39+D40</f>
        <v>460000</v>
      </c>
      <c r="F40" s="6">
        <f>F39-D40</f>
        <v>110000</v>
      </c>
    </row>
    <row r="41" spans="1:6" x14ac:dyDescent="0.35">
      <c r="A41" s="22" t="s">
        <v>179</v>
      </c>
      <c r="B41" s="23">
        <v>1525</v>
      </c>
      <c r="C41" s="23" t="s">
        <v>16</v>
      </c>
      <c r="D41" s="6">
        <v>10000</v>
      </c>
      <c r="E41" s="6">
        <f>E40+D41</f>
        <v>470000</v>
      </c>
      <c r="F41" s="6">
        <f>F40-D41</f>
        <v>100000</v>
      </c>
    </row>
    <row r="42" spans="1:6" x14ac:dyDescent="0.35">
      <c r="A42" s="7">
        <v>46211</v>
      </c>
      <c r="B42" s="23">
        <v>1670</v>
      </c>
      <c r="D42" s="6">
        <v>10000</v>
      </c>
      <c r="E42" s="6">
        <f>E41+D42</f>
        <v>480000</v>
      </c>
      <c r="F42" s="6">
        <f>F41-D42</f>
        <v>90000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E994-4111-498F-88DA-CFEBAB4C815D}">
  <dimension ref="A1:F52"/>
  <sheetViews>
    <sheetView topLeftCell="A6" workbookViewId="0">
      <selection activeCell="A15" sqref="A15:F50"/>
    </sheetView>
  </sheetViews>
  <sheetFormatPr defaultRowHeight="14.5" x14ac:dyDescent="0.35"/>
  <cols>
    <col min="1" max="1" width="10.453125" bestFit="1" customWidth="1"/>
    <col min="3" max="3" width="14.54296875" customWidth="1"/>
    <col min="6" max="6" width="10.7265625" customWidth="1"/>
  </cols>
  <sheetData>
    <row r="1" spans="1:6" ht="18.5" x14ac:dyDescent="0.45">
      <c r="A1" s="1" t="s">
        <v>80</v>
      </c>
      <c r="B1" s="1"/>
      <c r="C1" s="1"/>
      <c r="D1" s="1"/>
      <c r="E1" s="1"/>
      <c r="F1" s="1"/>
    </row>
    <row r="2" spans="1:6" ht="18.5" x14ac:dyDescent="0.45">
      <c r="A2" s="1" t="s">
        <v>81</v>
      </c>
      <c r="B2" s="1"/>
      <c r="C2" s="1"/>
      <c r="D2" s="1"/>
      <c r="E2" s="1"/>
      <c r="F2" s="1"/>
    </row>
    <row r="3" spans="1:6" ht="18.5" x14ac:dyDescent="0.45">
      <c r="A3" s="1" t="s">
        <v>82</v>
      </c>
      <c r="B3" s="1"/>
      <c r="C3" s="1"/>
      <c r="D3" s="1"/>
      <c r="E3" s="1"/>
      <c r="F3" s="1"/>
    </row>
    <row r="4" spans="1:6" ht="18.5" x14ac:dyDescent="0.45">
      <c r="A4" s="1" t="s">
        <v>92</v>
      </c>
      <c r="B4" s="1"/>
      <c r="C4" s="1"/>
      <c r="D4" s="1"/>
      <c r="E4" s="1"/>
      <c r="F4" s="1"/>
    </row>
    <row r="5" spans="1:6" ht="18.5" x14ac:dyDescent="0.45">
      <c r="A5" s="1" t="s">
        <v>83</v>
      </c>
      <c r="B5" s="1"/>
      <c r="C5" s="1"/>
      <c r="D5" s="1"/>
      <c r="E5" s="1"/>
      <c r="F5" s="1"/>
    </row>
    <row r="6" spans="1:6" ht="18.5" x14ac:dyDescent="0.45">
      <c r="A6" s="1" t="s">
        <v>91</v>
      </c>
      <c r="B6" s="1"/>
      <c r="C6" s="1"/>
      <c r="D6" s="1" t="s">
        <v>84</v>
      </c>
      <c r="E6" s="1"/>
      <c r="F6" s="1"/>
    </row>
    <row r="7" spans="1:6" x14ac:dyDescent="0.35">
      <c r="A7" s="5" t="s">
        <v>85</v>
      </c>
      <c r="B7" s="5"/>
      <c r="C7" s="5"/>
      <c r="D7" s="5"/>
      <c r="E7" s="5"/>
      <c r="F7" s="5"/>
    </row>
    <row r="8" spans="1:6" ht="18.5" x14ac:dyDescent="0.45">
      <c r="A8" s="1" t="s">
        <v>86</v>
      </c>
    </row>
    <row r="9" spans="1:6" ht="18.5" x14ac:dyDescent="0.45">
      <c r="A9" s="1" t="s">
        <v>87</v>
      </c>
      <c r="B9" s="1"/>
      <c r="C9" s="1"/>
      <c r="D9" s="1"/>
      <c r="E9" s="1"/>
    </row>
    <row r="10" spans="1:6" ht="18.5" x14ac:dyDescent="0.45">
      <c r="A10" s="1" t="s">
        <v>88</v>
      </c>
      <c r="B10" s="1"/>
      <c r="C10" s="1"/>
      <c r="D10" s="1"/>
      <c r="E10" s="1"/>
    </row>
    <row r="11" spans="1:6" ht="18.5" x14ac:dyDescent="0.45">
      <c r="A11" s="1" t="s">
        <v>89</v>
      </c>
      <c r="B11" s="1"/>
      <c r="C11" s="1"/>
      <c r="D11" s="1"/>
      <c r="E11" s="1"/>
    </row>
    <row r="12" spans="1:6" ht="18.5" x14ac:dyDescent="0.45">
      <c r="A12" s="1" t="s">
        <v>92</v>
      </c>
      <c r="B12" s="1"/>
      <c r="C12" s="1"/>
      <c r="D12" s="1"/>
      <c r="E12" s="1"/>
    </row>
    <row r="13" spans="1:6" ht="18.5" x14ac:dyDescent="0.45">
      <c r="A13" s="1" t="s">
        <v>90</v>
      </c>
      <c r="B13" s="1"/>
      <c r="C13" s="1"/>
      <c r="D13" s="1"/>
      <c r="E13" s="1"/>
    </row>
    <row r="14" spans="1:6" ht="18.5" x14ac:dyDescent="0.45">
      <c r="A14" s="1" t="s">
        <v>91</v>
      </c>
      <c r="B14" s="1"/>
      <c r="C14" s="1"/>
      <c r="D14" s="1" t="s">
        <v>84</v>
      </c>
      <c r="E14" s="1"/>
    </row>
    <row r="15" spans="1:6" x14ac:dyDescent="0.35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</row>
    <row r="16" spans="1:6" x14ac:dyDescent="0.35">
      <c r="A16" s="3">
        <v>44171</v>
      </c>
      <c r="B16" s="2">
        <v>792</v>
      </c>
      <c r="C16" s="2" t="s">
        <v>94</v>
      </c>
      <c r="D16" s="4">
        <v>260000</v>
      </c>
      <c r="E16" s="4">
        <v>260000</v>
      </c>
      <c r="F16" s="4">
        <v>340000</v>
      </c>
    </row>
    <row r="17" spans="1:6" x14ac:dyDescent="0.35">
      <c r="A17" s="3">
        <v>44720</v>
      </c>
      <c r="B17" s="2">
        <v>796</v>
      </c>
      <c r="C17" s="2" t="s">
        <v>95</v>
      </c>
      <c r="D17" s="4">
        <v>25000</v>
      </c>
      <c r="E17" s="4">
        <f>SUM(E16+D17)</f>
        <v>285000</v>
      </c>
      <c r="F17" s="4">
        <f>F16-D17</f>
        <v>315000</v>
      </c>
    </row>
    <row r="18" spans="1:6" x14ac:dyDescent="0.35">
      <c r="A18" s="3">
        <v>45204</v>
      </c>
      <c r="B18" s="2">
        <v>797</v>
      </c>
      <c r="C18" s="2" t="s">
        <v>16</v>
      </c>
      <c r="D18" s="4">
        <v>35000</v>
      </c>
      <c r="E18" s="4">
        <f t="shared" ref="E18:E49" si="0">SUM(E17+D18)</f>
        <v>320000</v>
      </c>
      <c r="F18" s="4">
        <f t="shared" ref="F18:F49" si="1">F17-D18</f>
        <v>280000</v>
      </c>
    </row>
    <row r="19" spans="1:6" x14ac:dyDescent="0.35">
      <c r="A19" s="3">
        <v>45144</v>
      </c>
      <c r="B19" s="2">
        <v>377</v>
      </c>
      <c r="C19" s="2" t="s">
        <v>16</v>
      </c>
      <c r="D19" s="4">
        <v>10000</v>
      </c>
      <c r="E19" s="4">
        <f t="shared" si="0"/>
        <v>330000</v>
      </c>
      <c r="F19" s="4">
        <f t="shared" si="1"/>
        <v>270000</v>
      </c>
    </row>
    <row r="20" spans="1:6" x14ac:dyDescent="0.35">
      <c r="A20" s="2" t="s">
        <v>93</v>
      </c>
      <c r="B20" s="2">
        <v>2795</v>
      </c>
      <c r="C20" s="2" t="s">
        <v>16</v>
      </c>
      <c r="D20" s="4">
        <v>10000</v>
      </c>
      <c r="E20" s="4">
        <f t="shared" si="0"/>
        <v>340000</v>
      </c>
      <c r="F20" s="4">
        <f t="shared" si="1"/>
        <v>260000</v>
      </c>
    </row>
    <row r="21" spans="1:6" x14ac:dyDescent="0.35">
      <c r="A21" s="3">
        <v>45268</v>
      </c>
      <c r="B21" s="2">
        <v>2380</v>
      </c>
      <c r="C21" s="2" t="s">
        <v>16</v>
      </c>
      <c r="D21" s="4">
        <v>10000</v>
      </c>
      <c r="E21" s="4">
        <f t="shared" si="0"/>
        <v>350000</v>
      </c>
      <c r="F21" s="4">
        <f t="shared" si="1"/>
        <v>250000</v>
      </c>
    </row>
    <row r="22" spans="1:6" x14ac:dyDescent="0.35">
      <c r="A22" s="3">
        <v>45239</v>
      </c>
      <c r="B22" s="2">
        <v>3530</v>
      </c>
      <c r="C22" s="2" t="s">
        <v>16</v>
      </c>
      <c r="D22" s="4">
        <v>10000</v>
      </c>
      <c r="E22" s="4">
        <f t="shared" si="0"/>
        <v>360000</v>
      </c>
      <c r="F22" s="4">
        <f t="shared" si="1"/>
        <v>240000</v>
      </c>
    </row>
    <row r="23" spans="1:6" x14ac:dyDescent="0.35">
      <c r="A23" s="3">
        <v>45026</v>
      </c>
      <c r="B23" s="2">
        <v>251</v>
      </c>
      <c r="C23" s="2" t="s">
        <v>16</v>
      </c>
      <c r="D23" s="4">
        <v>10000</v>
      </c>
      <c r="E23" s="4">
        <f t="shared" si="0"/>
        <v>370000</v>
      </c>
      <c r="F23" s="4">
        <f t="shared" si="1"/>
        <v>230000</v>
      </c>
    </row>
    <row r="24" spans="1:6" x14ac:dyDescent="0.35">
      <c r="A24" s="3">
        <v>45241</v>
      </c>
      <c r="B24" s="2">
        <v>4807</v>
      </c>
      <c r="C24" s="2" t="s">
        <v>16</v>
      </c>
      <c r="D24" s="4">
        <v>5000</v>
      </c>
      <c r="E24" s="4">
        <f t="shared" si="0"/>
        <v>375000</v>
      </c>
      <c r="F24" s="4">
        <f t="shared" si="1"/>
        <v>225000</v>
      </c>
    </row>
    <row r="25" spans="1:6" x14ac:dyDescent="0.35">
      <c r="A25" s="3">
        <v>45181</v>
      </c>
      <c r="B25" s="2">
        <v>5388</v>
      </c>
      <c r="C25" s="2" t="s">
        <v>16</v>
      </c>
      <c r="D25" s="4">
        <v>15000</v>
      </c>
      <c r="E25" s="4">
        <f t="shared" si="0"/>
        <v>390000</v>
      </c>
      <c r="F25" s="4">
        <f t="shared" si="1"/>
        <v>210000</v>
      </c>
    </row>
    <row r="26" spans="1:6" x14ac:dyDescent="0.35">
      <c r="A26" s="3">
        <v>45444</v>
      </c>
      <c r="B26" s="2">
        <v>5921</v>
      </c>
      <c r="C26" s="2" t="s">
        <v>16</v>
      </c>
      <c r="D26" s="4">
        <v>10000</v>
      </c>
      <c r="E26" s="4">
        <f t="shared" si="0"/>
        <v>400000</v>
      </c>
      <c r="F26" s="4">
        <f t="shared" si="1"/>
        <v>200000</v>
      </c>
    </row>
    <row r="27" spans="1:6" x14ac:dyDescent="0.35">
      <c r="A27" s="3">
        <v>45414</v>
      </c>
      <c r="B27" s="2">
        <v>6534</v>
      </c>
      <c r="C27" s="2" t="s">
        <v>16</v>
      </c>
      <c r="D27" s="4">
        <v>5000</v>
      </c>
      <c r="E27" s="4">
        <f t="shared" si="0"/>
        <v>405000</v>
      </c>
      <c r="F27" s="4">
        <f t="shared" si="1"/>
        <v>195000</v>
      </c>
    </row>
    <row r="28" spans="1:6" x14ac:dyDescent="0.35">
      <c r="A28" s="3">
        <v>45476</v>
      </c>
      <c r="B28" s="2">
        <v>6935</v>
      </c>
      <c r="C28" s="2" t="s">
        <v>16</v>
      </c>
      <c r="D28" s="4">
        <v>15000</v>
      </c>
      <c r="E28" s="4">
        <f t="shared" si="0"/>
        <v>420000</v>
      </c>
      <c r="F28" s="4">
        <f t="shared" si="1"/>
        <v>180000</v>
      </c>
    </row>
    <row r="29" spans="1:6" x14ac:dyDescent="0.35">
      <c r="A29" s="3">
        <v>45416</v>
      </c>
      <c r="B29" s="2">
        <v>7682</v>
      </c>
      <c r="C29" s="2" t="s">
        <v>16</v>
      </c>
      <c r="D29" s="4">
        <v>10000</v>
      </c>
      <c r="E29" s="4">
        <f t="shared" si="0"/>
        <v>430000</v>
      </c>
      <c r="F29" s="4">
        <f t="shared" si="1"/>
        <v>170000</v>
      </c>
    </row>
    <row r="30" spans="1:6" x14ac:dyDescent="0.35">
      <c r="A30" s="3">
        <v>45478</v>
      </c>
      <c r="B30" s="2">
        <v>8289</v>
      </c>
      <c r="C30" s="2" t="s">
        <v>16</v>
      </c>
      <c r="D30" s="4">
        <v>10000</v>
      </c>
      <c r="E30" s="4">
        <f t="shared" si="0"/>
        <v>440000</v>
      </c>
      <c r="F30" s="4">
        <f t="shared" si="1"/>
        <v>160000</v>
      </c>
    </row>
    <row r="31" spans="1:6" x14ac:dyDescent="0.35">
      <c r="A31" s="3">
        <v>45418</v>
      </c>
      <c r="B31" s="2">
        <v>8861</v>
      </c>
      <c r="C31" s="2" t="s">
        <v>16</v>
      </c>
      <c r="D31" s="4">
        <v>10000</v>
      </c>
      <c r="E31" s="4">
        <f t="shared" si="0"/>
        <v>450000</v>
      </c>
      <c r="F31" s="4">
        <f t="shared" si="1"/>
        <v>150000</v>
      </c>
    </row>
    <row r="32" spans="1:6" x14ac:dyDescent="0.35">
      <c r="A32" s="3">
        <v>45450</v>
      </c>
      <c r="B32" s="2">
        <v>9403</v>
      </c>
      <c r="C32" s="2" t="s">
        <v>16</v>
      </c>
      <c r="D32" s="4">
        <v>10000</v>
      </c>
      <c r="E32" s="4">
        <f t="shared" si="0"/>
        <v>460000</v>
      </c>
      <c r="F32" s="4">
        <f t="shared" si="1"/>
        <v>140000</v>
      </c>
    </row>
    <row r="33" spans="1:6" x14ac:dyDescent="0.35">
      <c r="A33" s="3">
        <v>45451</v>
      </c>
      <c r="B33" s="2">
        <v>10068</v>
      </c>
      <c r="C33" s="2" t="s">
        <v>16</v>
      </c>
      <c r="D33" s="4">
        <v>10000</v>
      </c>
      <c r="E33" s="4">
        <f t="shared" si="0"/>
        <v>470000</v>
      </c>
      <c r="F33" s="4">
        <f t="shared" si="1"/>
        <v>130000</v>
      </c>
    </row>
    <row r="34" spans="1:6" x14ac:dyDescent="0.35">
      <c r="A34" s="3">
        <v>45452</v>
      </c>
      <c r="B34" s="2">
        <v>10488</v>
      </c>
      <c r="C34" s="2" t="s">
        <v>16</v>
      </c>
      <c r="D34" s="4">
        <v>10000</v>
      </c>
      <c r="E34" s="4">
        <f t="shared" si="0"/>
        <v>480000</v>
      </c>
      <c r="F34" s="4">
        <f t="shared" si="1"/>
        <v>120000</v>
      </c>
    </row>
    <row r="35" spans="1:6" x14ac:dyDescent="0.35">
      <c r="A35" s="2"/>
      <c r="B35" s="2">
        <v>11469</v>
      </c>
      <c r="C35" s="2" t="s">
        <v>16</v>
      </c>
      <c r="D35" s="4">
        <v>10000</v>
      </c>
      <c r="E35" s="4">
        <f t="shared" si="0"/>
        <v>490000</v>
      </c>
      <c r="F35" s="4">
        <f t="shared" si="1"/>
        <v>110000</v>
      </c>
    </row>
    <row r="36" spans="1:6" x14ac:dyDescent="0.35">
      <c r="A36" s="2"/>
      <c r="B36" s="2">
        <v>11974</v>
      </c>
      <c r="C36" s="2" t="s">
        <v>16</v>
      </c>
      <c r="D36" s="4">
        <v>5000</v>
      </c>
      <c r="E36" s="4">
        <f t="shared" si="0"/>
        <v>495000</v>
      </c>
      <c r="F36" s="4">
        <f t="shared" si="1"/>
        <v>105000</v>
      </c>
    </row>
    <row r="37" spans="1:6" x14ac:dyDescent="0.35">
      <c r="A37" s="2"/>
      <c r="B37" s="2"/>
      <c r="C37" s="2" t="s">
        <v>16</v>
      </c>
      <c r="D37" s="4">
        <v>10000</v>
      </c>
      <c r="E37" s="4">
        <f t="shared" si="0"/>
        <v>505000</v>
      </c>
      <c r="F37" s="4">
        <f t="shared" si="1"/>
        <v>95000</v>
      </c>
    </row>
    <row r="38" spans="1:6" x14ac:dyDescent="0.35">
      <c r="A38" s="2"/>
      <c r="B38" s="2"/>
      <c r="C38" s="2" t="s">
        <v>16</v>
      </c>
      <c r="D38" s="4">
        <v>10000</v>
      </c>
      <c r="E38" s="4">
        <f t="shared" si="0"/>
        <v>515000</v>
      </c>
      <c r="F38" s="4">
        <f t="shared" si="1"/>
        <v>85000</v>
      </c>
    </row>
    <row r="39" spans="1:6" x14ac:dyDescent="0.35">
      <c r="A39" s="2"/>
      <c r="B39" s="2"/>
      <c r="C39" s="2" t="s">
        <v>16</v>
      </c>
      <c r="D39" s="4">
        <v>5000</v>
      </c>
      <c r="E39" s="4">
        <f t="shared" si="0"/>
        <v>520000</v>
      </c>
      <c r="F39" s="4">
        <f t="shared" si="1"/>
        <v>80000</v>
      </c>
    </row>
    <row r="40" spans="1:6" x14ac:dyDescent="0.35">
      <c r="A40" s="2"/>
      <c r="B40" s="2"/>
      <c r="C40" s="2" t="s">
        <v>16</v>
      </c>
      <c r="D40" s="4">
        <v>10000</v>
      </c>
      <c r="E40" s="4">
        <f t="shared" si="0"/>
        <v>530000</v>
      </c>
      <c r="F40" s="4">
        <f t="shared" si="1"/>
        <v>70000</v>
      </c>
    </row>
    <row r="41" spans="1:6" x14ac:dyDescent="0.35">
      <c r="A41" s="2"/>
      <c r="B41" s="2"/>
      <c r="C41" s="2" t="s">
        <v>16</v>
      </c>
      <c r="D41" s="4">
        <v>10000</v>
      </c>
      <c r="E41" s="4">
        <f t="shared" si="0"/>
        <v>540000</v>
      </c>
      <c r="F41" s="4">
        <f t="shared" si="1"/>
        <v>60000</v>
      </c>
    </row>
    <row r="42" spans="1:6" x14ac:dyDescent="0.35">
      <c r="A42" s="2"/>
      <c r="B42" s="2">
        <v>10380</v>
      </c>
      <c r="C42" s="2" t="s">
        <v>16</v>
      </c>
      <c r="D42" s="4">
        <v>10000</v>
      </c>
      <c r="E42" s="4">
        <f t="shared" si="0"/>
        <v>550000</v>
      </c>
      <c r="F42" s="4">
        <f t="shared" si="1"/>
        <v>50000</v>
      </c>
    </row>
    <row r="43" spans="1:6" x14ac:dyDescent="0.35">
      <c r="A43" s="24">
        <v>45809</v>
      </c>
      <c r="B43" s="2">
        <v>10251</v>
      </c>
      <c r="C43" s="2" t="s">
        <v>16</v>
      </c>
      <c r="D43" s="4">
        <v>5000</v>
      </c>
      <c r="E43" s="4">
        <f t="shared" si="0"/>
        <v>555000</v>
      </c>
      <c r="F43" s="4">
        <f t="shared" si="1"/>
        <v>45000</v>
      </c>
    </row>
    <row r="44" spans="1:6" x14ac:dyDescent="0.35">
      <c r="A44" s="3">
        <v>45816</v>
      </c>
      <c r="B44" s="2">
        <v>12411</v>
      </c>
      <c r="C44" s="2" t="s">
        <v>16</v>
      </c>
      <c r="D44" s="4">
        <v>10000</v>
      </c>
      <c r="E44" s="4">
        <f t="shared" si="0"/>
        <v>565000</v>
      </c>
      <c r="F44" s="4">
        <f t="shared" si="1"/>
        <v>35000</v>
      </c>
    </row>
    <row r="45" spans="1:6" x14ac:dyDescent="0.35">
      <c r="A45" s="3">
        <v>45847</v>
      </c>
      <c r="B45" s="2">
        <v>12642</v>
      </c>
      <c r="C45" s="2" t="s">
        <v>16</v>
      </c>
      <c r="D45" s="4">
        <v>10000</v>
      </c>
      <c r="E45" s="4">
        <f t="shared" si="0"/>
        <v>575000</v>
      </c>
      <c r="F45" s="4">
        <f t="shared" si="1"/>
        <v>25000</v>
      </c>
    </row>
    <row r="46" spans="1:6" x14ac:dyDescent="0.35">
      <c r="A46" s="3">
        <v>45848</v>
      </c>
      <c r="B46" s="2">
        <v>13711</v>
      </c>
      <c r="C46" s="2" t="s">
        <v>16</v>
      </c>
      <c r="D46" s="4">
        <v>10000</v>
      </c>
      <c r="E46" s="4">
        <f t="shared" si="0"/>
        <v>585000</v>
      </c>
      <c r="F46" s="4">
        <f t="shared" si="1"/>
        <v>15000</v>
      </c>
    </row>
    <row r="47" spans="1:6" x14ac:dyDescent="0.35">
      <c r="A47" s="3">
        <v>45911</v>
      </c>
      <c r="B47" s="2">
        <v>13474</v>
      </c>
      <c r="C47" s="2" t="s">
        <v>16</v>
      </c>
      <c r="D47" s="4">
        <v>5000</v>
      </c>
      <c r="E47" s="4">
        <f t="shared" si="0"/>
        <v>590000</v>
      </c>
      <c r="F47" s="4">
        <f t="shared" si="1"/>
        <v>10000</v>
      </c>
    </row>
    <row r="48" spans="1:6" x14ac:dyDescent="0.35">
      <c r="A48" s="3">
        <v>45881</v>
      </c>
      <c r="B48" s="2">
        <v>13109</v>
      </c>
      <c r="C48" s="2" t="s">
        <v>16</v>
      </c>
      <c r="D48" s="4">
        <v>5000</v>
      </c>
      <c r="E48" s="4">
        <f t="shared" si="0"/>
        <v>595000</v>
      </c>
      <c r="F48" s="4">
        <f t="shared" si="1"/>
        <v>5000</v>
      </c>
    </row>
    <row r="49" spans="1:6" x14ac:dyDescent="0.35">
      <c r="A49" s="3">
        <v>46204</v>
      </c>
      <c r="B49" s="2">
        <v>12019</v>
      </c>
      <c r="C49" s="2" t="s">
        <v>16</v>
      </c>
      <c r="D49" s="4">
        <v>5000</v>
      </c>
      <c r="E49" s="4">
        <f t="shared" si="0"/>
        <v>600000</v>
      </c>
      <c r="F49" s="4">
        <f t="shared" si="1"/>
        <v>0</v>
      </c>
    </row>
    <row r="50" spans="1:6" x14ac:dyDescent="0.35">
      <c r="A50" s="2"/>
      <c r="B50" s="2"/>
      <c r="C50" s="2"/>
      <c r="D50" s="4"/>
      <c r="E50" s="4"/>
      <c r="F50" s="4"/>
    </row>
    <row r="51" spans="1:6" x14ac:dyDescent="0.35">
      <c r="D51" s="6"/>
      <c r="E51" s="6"/>
      <c r="F51" s="6"/>
    </row>
    <row r="52" spans="1:6" x14ac:dyDescent="0.35">
      <c r="D52" s="6"/>
      <c r="E52" s="6"/>
      <c r="F5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2088-FC76-4900-9003-2EC4B4F0D88F}">
  <dimension ref="A1:F34"/>
  <sheetViews>
    <sheetView tabSelected="1" topLeftCell="A25" workbookViewId="0">
      <selection activeCell="F32" sqref="F32"/>
    </sheetView>
  </sheetViews>
  <sheetFormatPr defaultRowHeight="14.5" x14ac:dyDescent="0.35"/>
  <cols>
    <col min="1" max="1" width="11.36328125" customWidth="1"/>
    <col min="3" max="3" width="13.1796875" customWidth="1"/>
    <col min="4" max="4" width="12" customWidth="1"/>
    <col min="5" max="5" width="10.36328125" customWidth="1"/>
    <col min="6" max="6" width="12.26953125" customWidth="1"/>
  </cols>
  <sheetData>
    <row r="1" spans="1:6" ht="18.5" x14ac:dyDescent="0.45">
      <c r="A1" s="1" t="s">
        <v>121</v>
      </c>
      <c r="B1" s="1"/>
      <c r="C1" s="1"/>
      <c r="D1" s="1"/>
      <c r="E1" s="1"/>
      <c r="F1" s="1"/>
    </row>
    <row r="2" spans="1:6" ht="18.5" x14ac:dyDescent="0.45">
      <c r="A2" s="1" t="s">
        <v>122</v>
      </c>
      <c r="B2" s="1"/>
      <c r="C2" s="1"/>
      <c r="D2" s="1"/>
      <c r="E2" s="1"/>
      <c r="F2" s="1"/>
    </row>
    <row r="3" spans="1:6" ht="18.5" x14ac:dyDescent="0.45">
      <c r="A3" s="1" t="s">
        <v>123</v>
      </c>
      <c r="B3" s="1"/>
      <c r="C3" s="1"/>
      <c r="D3" s="1"/>
      <c r="E3" s="1"/>
      <c r="F3" s="1"/>
    </row>
    <row r="4" spans="1:6" ht="18.5" x14ac:dyDescent="0.45">
      <c r="A4" s="1" t="s">
        <v>127</v>
      </c>
      <c r="B4" s="1"/>
      <c r="C4" s="1"/>
      <c r="D4" s="1"/>
      <c r="E4" s="1"/>
      <c r="F4" s="1"/>
    </row>
    <row r="5" spans="1:6" ht="18.5" x14ac:dyDescent="0.45">
      <c r="A5" s="1" t="s">
        <v>124</v>
      </c>
      <c r="B5" s="1"/>
      <c r="C5" s="1"/>
      <c r="D5" s="1"/>
      <c r="E5" s="1"/>
      <c r="F5" s="1"/>
    </row>
    <row r="6" spans="1:6" ht="18.5" x14ac:dyDescent="0.45">
      <c r="A6" s="1" t="s">
        <v>125</v>
      </c>
      <c r="B6" s="1"/>
      <c r="C6" s="1"/>
      <c r="D6" s="1" t="s">
        <v>126</v>
      </c>
      <c r="E6" s="1"/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128</v>
      </c>
      <c r="B8">
        <v>7265</v>
      </c>
      <c r="C8" t="s">
        <v>134</v>
      </c>
      <c r="D8" s="6">
        <v>450000</v>
      </c>
      <c r="E8" s="6">
        <v>450000</v>
      </c>
      <c r="F8" s="6">
        <v>300000</v>
      </c>
    </row>
    <row r="9" spans="1:6" x14ac:dyDescent="0.35">
      <c r="A9" s="7">
        <v>45568</v>
      </c>
      <c r="B9">
        <v>7266</v>
      </c>
      <c r="C9" t="s">
        <v>112</v>
      </c>
      <c r="D9" s="6">
        <v>50000</v>
      </c>
      <c r="E9" s="6">
        <f>SUM(E8+D9)</f>
        <v>500000</v>
      </c>
      <c r="F9" s="6">
        <f>F8-D9</f>
        <v>250000</v>
      </c>
    </row>
    <row r="10" spans="1:6" x14ac:dyDescent="0.35">
      <c r="A10" s="7">
        <v>45386</v>
      </c>
      <c r="B10">
        <v>7674</v>
      </c>
      <c r="C10" t="s">
        <v>112</v>
      </c>
      <c r="D10" s="6">
        <v>10000</v>
      </c>
      <c r="E10" s="6">
        <f t="shared" ref="E10:E26" si="0">SUM(E9+D10)</f>
        <v>510000</v>
      </c>
      <c r="F10" s="6">
        <f t="shared" ref="F10:F25" si="1">F9-D10</f>
        <v>240000</v>
      </c>
    </row>
    <row r="11" spans="1:6" x14ac:dyDescent="0.35">
      <c r="A11" s="7">
        <v>45478</v>
      </c>
      <c r="B11">
        <v>8292</v>
      </c>
      <c r="C11" t="s">
        <v>112</v>
      </c>
      <c r="D11" s="6">
        <v>10000</v>
      </c>
      <c r="E11" s="6">
        <f t="shared" si="0"/>
        <v>520000</v>
      </c>
      <c r="F11" s="6">
        <f t="shared" si="1"/>
        <v>230000</v>
      </c>
    </row>
    <row r="12" spans="1:6" x14ac:dyDescent="0.35">
      <c r="A12" s="7">
        <v>45603</v>
      </c>
      <c r="B12">
        <v>9514</v>
      </c>
      <c r="C12" t="s">
        <v>112</v>
      </c>
      <c r="D12" s="6">
        <v>20000</v>
      </c>
      <c r="E12" s="6">
        <f t="shared" si="0"/>
        <v>540000</v>
      </c>
      <c r="F12" s="6">
        <f t="shared" si="1"/>
        <v>210000</v>
      </c>
    </row>
    <row r="13" spans="1:6" x14ac:dyDescent="0.35">
      <c r="A13" t="s">
        <v>129</v>
      </c>
      <c r="B13">
        <v>11107</v>
      </c>
      <c r="C13" t="s">
        <v>112</v>
      </c>
      <c r="D13" s="6">
        <v>10000</v>
      </c>
      <c r="E13" s="6">
        <f t="shared" si="0"/>
        <v>550000</v>
      </c>
      <c r="F13" s="6">
        <f t="shared" si="1"/>
        <v>200000</v>
      </c>
    </row>
    <row r="14" spans="1:6" x14ac:dyDescent="0.35">
      <c r="A14" t="s">
        <v>130</v>
      </c>
      <c r="B14">
        <v>10893</v>
      </c>
      <c r="C14" t="s">
        <v>112</v>
      </c>
      <c r="D14" s="6">
        <v>10000</v>
      </c>
      <c r="E14" s="6">
        <f t="shared" si="0"/>
        <v>560000</v>
      </c>
      <c r="F14" s="6">
        <f t="shared" si="1"/>
        <v>190000</v>
      </c>
    </row>
    <row r="15" spans="1:6" x14ac:dyDescent="0.35">
      <c r="A15" s="7">
        <v>45575</v>
      </c>
      <c r="B15">
        <v>11359</v>
      </c>
      <c r="C15" t="s">
        <v>112</v>
      </c>
      <c r="D15" s="6">
        <v>10000</v>
      </c>
      <c r="E15" s="6">
        <f t="shared" si="0"/>
        <v>570000</v>
      </c>
      <c r="F15" s="6">
        <f t="shared" si="1"/>
        <v>180000</v>
      </c>
    </row>
    <row r="16" spans="1:6" x14ac:dyDescent="0.35">
      <c r="A16" t="s">
        <v>131</v>
      </c>
      <c r="B16">
        <v>12538</v>
      </c>
      <c r="C16" t="s">
        <v>112</v>
      </c>
      <c r="D16" s="6">
        <v>10000</v>
      </c>
      <c r="E16" s="6">
        <f t="shared" si="0"/>
        <v>580000</v>
      </c>
      <c r="F16" s="6">
        <f t="shared" si="1"/>
        <v>170000</v>
      </c>
    </row>
    <row r="17" spans="1:6" x14ac:dyDescent="0.35">
      <c r="A17" t="s">
        <v>132</v>
      </c>
      <c r="B17">
        <v>12665</v>
      </c>
      <c r="C17" t="s">
        <v>112</v>
      </c>
      <c r="D17" s="6">
        <v>10000</v>
      </c>
      <c r="E17" s="6">
        <f t="shared" si="0"/>
        <v>590000</v>
      </c>
      <c r="F17" s="6">
        <f t="shared" si="1"/>
        <v>160000</v>
      </c>
    </row>
    <row r="18" spans="1:6" x14ac:dyDescent="0.35">
      <c r="A18" t="s">
        <v>133</v>
      </c>
      <c r="B18">
        <v>9029</v>
      </c>
      <c r="C18" t="s">
        <v>112</v>
      </c>
      <c r="D18" s="6">
        <v>10000</v>
      </c>
      <c r="E18" s="6">
        <f t="shared" si="0"/>
        <v>600000</v>
      </c>
      <c r="F18" s="6">
        <f t="shared" si="1"/>
        <v>150000</v>
      </c>
    </row>
    <row r="19" spans="1:6" x14ac:dyDescent="0.35">
      <c r="A19" t="s">
        <v>135</v>
      </c>
      <c r="B19">
        <v>9725</v>
      </c>
      <c r="C19" t="s">
        <v>112</v>
      </c>
      <c r="D19" s="6">
        <v>10000</v>
      </c>
      <c r="E19" s="6">
        <f t="shared" si="0"/>
        <v>610000</v>
      </c>
      <c r="F19" s="6">
        <f t="shared" si="1"/>
        <v>140000</v>
      </c>
    </row>
    <row r="20" spans="1:6" x14ac:dyDescent="0.35">
      <c r="A20" t="s">
        <v>136</v>
      </c>
      <c r="B20">
        <v>9778</v>
      </c>
      <c r="C20" t="s">
        <v>112</v>
      </c>
      <c r="D20" s="6">
        <v>10000</v>
      </c>
      <c r="E20" s="6">
        <f t="shared" si="0"/>
        <v>620000</v>
      </c>
      <c r="F20" s="6">
        <f t="shared" si="1"/>
        <v>130000</v>
      </c>
    </row>
    <row r="21" spans="1:6" x14ac:dyDescent="0.35">
      <c r="A21" s="7">
        <v>45934</v>
      </c>
      <c r="B21">
        <v>823</v>
      </c>
      <c r="C21" t="s">
        <v>112</v>
      </c>
      <c r="D21" s="6">
        <v>10000</v>
      </c>
      <c r="E21" s="6">
        <f t="shared" si="0"/>
        <v>630000</v>
      </c>
      <c r="F21" s="6">
        <f t="shared" si="1"/>
        <v>120000</v>
      </c>
    </row>
    <row r="22" spans="1:6" x14ac:dyDescent="0.35">
      <c r="A22" s="7">
        <v>46239</v>
      </c>
      <c r="B22">
        <v>10365</v>
      </c>
      <c r="C22" t="s">
        <v>112</v>
      </c>
      <c r="D22" s="6">
        <v>10000</v>
      </c>
      <c r="E22" s="6">
        <f t="shared" si="0"/>
        <v>640000</v>
      </c>
      <c r="F22" s="6">
        <f t="shared" si="1"/>
        <v>110000</v>
      </c>
    </row>
    <row r="23" spans="1:6" x14ac:dyDescent="0.35">
      <c r="A23" t="s">
        <v>137</v>
      </c>
      <c r="B23">
        <v>11826</v>
      </c>
      <c r="C23" t="s">
        <v>112</v>
      </c>
      <c r="D23" s="6">
        <v>5000</v>
      </c>
      <c r="E23" s="6">
        <f t="shared" si="0"/>
        <v>645000</v>
      </c>
      <c r="F23" s="6">
        <f t="shared" si="1"/>
        <v>105000</v>
      </c>
    </row>
    <row r="24" spans="1:6" x14ac:dyDescent="0.35">
      <c r="A24" t="s">
        <v>138</v>
      </c>
      <c r="B24">
        <v>12862</v>
      </c>
      <c r="C24" t="s">
        <v>112</v>
      </c>
      <c r="D24" s="6">
        <v>5000</v>
      </c>
      <c r="E24" s="6">
        <f t="shared" si="0"/>
        <v>650000</v>
      </c>
      <c r="F24" s="6">
        <f t="shared" si="1"/>
        <v>100000</v>
      </c>
    </row>
    <row r="25" spans="1:6" x14ac:dyDescent="0.35">
      <c r="A25" s="7">
        <v>45970</v>
      </c>
      <c r="B25">
        <v>12713</v>
      </c>
      <c r="C25" t="s">
        <v>112</v>
      </c>
      <c r="D25" s="6">
        <v>5000</v>
      </c>
      <c r="E25" s="6">
        <f t="shared" si="0"/>
        <v>655000</v>
      </c>
      <c r="F25" s="6">
        <f t="shared" si="1"/>
        <v>95000</v>
      </c>
    </row>
    <row r="26" spans="1:6" x14ac:dyDescent="0.35">
      <c r="A26" s="7">
        <v>45698</v>
      </c>
      <c r="B26">
        <v>13851</v>
      </c>
      <c r="C26" t="s">
        <v>112</v>
      </c>
      <c r="D26" s="6">
        <v>37000</v>
      </c>
      <c r="E26" s="6">
        <f t="shared" si="0"/>
        <v>692000</v>
      </c>
      <c r="F26" s="6" t="s">
        <v>139</v>
      </c>
    </row>
    <row r="27" spans="1:6" ht="18.5" x14ac:dyDescent="0.45">
      <c r="B27" s="30" t="s">
        <v>120</v>
      </c>
      <c r="C27" s="30"/>
      <c r="D27" s="30"/>
      <c r="E27" s="8"/>
      <c r="F27" s="8"/>
    </row>
    <row r="28" spans="1:6" x14ac:dyDescent="0.35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</row>
    <row r="29" spans="1:6" x14ac:dyDescent="0.35">
      <c r="A29" s="7">
        <v>46086</v>
      </c>
      <c r="B29">
        <v>1367</v>
      </c>
      <c r="C29" t="s">
        <v>224</v>
      </c>
      <c r="D29" s="6">
        <v>50000</v>
      </c>
      <c r="E29" s="6">
        <v>50000</v>
      </c>
      <c r="F29" s="6">
        <v>200000</v>
      </c>
    </row>
    <row r="30" spans="1:6" x14ac:dyDescent="0.35">
      <c r="A30" s="7">
        <v>46118</v>
      </c>
      <c r="B30">
        <v>1561</v>
      </c>
      <c r="D30" s="6">
        <v>100000</v>
      </c>
      <c r="E30" s="6">
        <f>E29+D30</f>
        <v>150000</v>
      </c>
      <c r="F30" s="6">
        <f>F29-D30</f>
        <v>100000</v>
      </c>
    </row>
    <row r="31" spans="1:6" x14ac:dyDescent="0.35">
      <c r="A31" s="7">
        <v>46272</v>
      </c>
      <c r="B31">
        <v>1791</v>
      </c>
      <c r="D31" s="6">
        <v>50000</v>
      </c>
      <c r="E31" s="6">
        <f>E30+D31</f>
        <v>200000</v>
      </c>
      <c r="F31" s="6">
        <f>F30-D31</f>
        <v>50000</v>
      </c>
    </row>
    <row r="32" spans="1:6" x14ac:dyDescent="0.35">
      <c r="A32" s="7">
        <v>46211</v>
      </c>
      <c r="B32">
        <v>3737</v>
      </c>
      <c r="D32" s="6">
        <v>50000</v>
      </c>
      <c r="E32" s="6">
        <f>E31+D32</f>
        <v>250000</v>
      </c>
      <c r="F32" s="6" t="s">
        <v>225</v>
      </c>
    </row>
    <row r="34" spans="6:6" x14ac:dyDescent="0.35">
      <c r="F34">
        <f>F3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CB93-0657-4856-8A98-28DD22F42F66}">
  <dimension ref="A1:G42"/>
  <sheetViews>
    <sheetView topLeftCell="A25" workbookViewId="0">
      <selection activeCell="G49" sqref="G49"/>
    </sheetView>
  </sheetViews>
  <sheetFormatPr defaultRowHeight="14.5" x14ac:dyDescent="0.35"/>
  <cols>
    <col min="1" max="1" width="10.453125" bestFit="1" customWidth="1"/>
  </cols>
  <sheetData>
    <row r="1" spans="1:7" ht="15.5" x14ac:dyDescent="0.35">
      <c r="A1" s="25" t="s">
        <v>180</v>
      </c>
      <c r="B1" s="25" t="s">
        <v>181</v>
      </c>
      <c r="C1" s="25"/>
      <c r="D1" s="25"/>
    </row>
    <row r="2" spans="1:7" ht="15.5" x14ac:dyDescent="0.35">
      <c r="A2" s="25" t="s">
        <v>174</v>
      </c>
      <c r="B2" s="25" t="s">
        <v>182</v>
      </c>
      <c r="C2" s="25"/>
      <c r="D2" s="25"/>
    </row>
    <row r="3" spans="1:7" ht="15.5" x14ac:dyDescent="0.35">
      <c r="A3" s="25" t="s">
        <v>175</v>
      </c>
      <c r="B3" s="25"/>
      <c r="C3" s="25" t="s">
        <v>183</v>
      </c>
      <c r="D3" s="25"/>
    </row>
    <row r="4" spans="1:7" ht="15.5" x14ac:dyDescent="0.35">
      <c r="A4" s="25" t="s">
        <v>176</v>
      </c>
      <c r="B4" s="25" t="s">
        <v>184</v>
      </c>
      <c r="C4" s="25"/>
      <c r="D4" s="25"/>
    </row>
    <row r="5" spans="1:7" ht="15.5" x14ac:dyDescent="0.35">
      <c r="A5" s="25" t="s">
        <v>177</v>
      </c>
      <c r="B5" s="25"/>
      <c r="C5" s="25"/>
      <c r="D5" s="25"/>
    </row>
    <row r="6" spans="1:7" ht="15.5" x14ac:dyDescent="0.35">
      <c r="A6" s="25" t="s">
        <v>178</v>
      </c>
      <c r="B6" s="25" t="s">
        <v>185</v>
      </c>
      <c r="C6" s="25" t="s">
        <v>209</v>
      </c>
      <c r="D6" s="25"/>
    </row>
    <row r="7" spans="1:7" x14ac:dyDescent="0.35">
      <c r="A7" s="27" t="s">
        <v>0</v>
      </c>
      <c r="B7" s="27" t="s">
        <v>1</v>
      </c>
      <c r="C7" s="27" t="s">
        <v>2</v>
      </c>
      <c r="D7" s="27" t="s">
        <v>3</v>
      </c>
      <c r="E7" s="27" t="s">
        <v>4</v>
      </c>
      <c r="F7" s="27" t="s">
        <v>5</v>
      </c>
      <c r="G7" s="28"/>
    </row>
    <row r="8" spans="1:7" x14ac:dyDescent="0.35">
      <c r="A8" s="2" t="s">
        <v>211</v>
      </c>
      <c r="B8" s="2"/>
      <c r="C8" s="2" t="s">
        <v>210</v>
      </c>
      <c r="D8" s="4">
        <v>100000</v>
      </c>
      <c r="E8" s="4">
        <v>100000</v>
      </c>
      <c r="F8" s="4">
        <v>330000</v>
      </c>
      <c r="G8" s="9"/>
    </row>
    <row r="9" spans="1:7" x14ac:dyDescent="0.35">
      <c r="A9" s="9" t="s">
        <v>212</v>
      </c>
      <c r="B9" s="9">
        <v>1363</v>
      </c>
      <c r="C9" s="9" t="s">
        <v>219</v>
      </c>
      <c r="D9" s="13">
        <v>10000</v>
      </c>
      <c r="E9" s="13">
        <f t="shared" ref="E9:E37" si="0">E8+D9</f>
        <v>110000</v>
      </c>
      <c r="F9" s="13">
        <f t="shared" ref="F9:F36" si="1">F8-D9</f>
        <v>320000</v>
      </c>
      <c r="G9" s="9"/>
    </row>
    <row r="10" spans="1:7" x14ac:dyDescent="0.35">
      <c r="A10" s="9" t="s">
        <v>208</v>
      </c>
      <c r="B10" s="9">
        <v>1196</v>
      </c>
      <c r="C10" s="9" t="s">
        <v>219</v>
      </c>
      <c r="D10" s="13">
        <v>10000</v>
      </c>
      <c r="E10" s="13">
        <f t="shared" si="0"/>
        <v>120000</v>
      </c>
      <c r="F10" s="13">
        <f t="shared" si="1"/>
        <v>310000</v>
      </c>
      <c r="G10" s="9"/>
    </row>
    <row r="11" spans="1:7" x14ac:dyDescent="0.35">
      <c r="A11" s="9" t="s">
        <v>207</v>
      </c>
      <c r="B11" s="9">
        <v>2960</v>
      </c>
      <c r="C11" s="9" t="s">
        <v>219</v>
      </c>
      <c r="D11" s="13">
        <v>10000</v>
      </c>
      <c r="E11" s="13">
        <f t="shared" si="0"/>
        <v>130000</v>
      </c>
      <c r="F11" s="13">
        <f t="shared" si="1"/>
        <v>300000</v>
      </c>
      <c r="G11" s="9"/>
    </row>
    <row r="12" spans="1:7" x14ac:dyDescent="0.35">
      <c r="A12" s="9" t="s">
        <v>186</v>
      </c>
      <c r="B12" s="9">
        <v>2762</v>
      </c>
      <c r="C12" s="9" t="s">
        <v>219</v>
      </c>
      <c r="D12" s="13">
        <v>20000</v>
      </c>
      <c r="E12" s="13">
        <f t="shared" si="0"/>
        <v>150000</v>
      </c>
      <c r="F12" s="13">
        <f t="shared" si="1"/>
        <v>280000</v>
      </c>
      <c r="G12" s="9"/>
    </row>
    <row r="13" spans="1:7" x14ac:dyDescent="0.35">
      <c r="A13" s="9" t="s">
        <v>187</v>
      </c>
      <c r="B13" s="9">
        <v>1909</v>
      </c>
      <c r="C13" s="9" t="s">
        <v>219</v>
      </c>
      <c r="D13" s="13">
        <v>10000</v>
      </c>
      <c r="E13" s="13">
        <f t="shared" si="0"/>
        <v>160000</v>
      </c>
      <c r="F13" s="13">
        <f t="shared" si="1"/>
        <v>270000</v>
      </c>
      <c r="G13" s="9"/>
    </row>
    <row r="14" spans="1:7" x14ac:dyDescent="0.35">
      <c r="A14" s="9" t="s">
        <v>188</v>
      </c>
      <c r="B14" s="9">
        <v>328</v>
      </c>
      <c r="C14" s="9" t="s">
        <v>219</v>
      </c>
      <c r="D14" s="13">
        <v>15000</v>
      </c>
      <c r="E14" s="13">
        <f t="shared" si="0"/>
        <v>175000</v>
      </c>
      <c r="F14" s="13">
        <f t="shared" si="1"/>
        <v>255000</v>
      </c>
      <c r="G14" s="9"/>
    </row>
    <row r="15" spans="1:7" x14ac:dyDescent="0.35">
      <c r="A15" s="9" t="s">
        <v>189</v>
      </c>
      <c r="B15" s="9">
        <v>2324</v>
      </c>
      <c r="C15" s="9" t="s">
        <v>219</v>
      </c>
      <c r="D15" s="13">
        <v>10000</v>
      </c>
      <c r="E15" s="13">
        <f t="shared" si="0"/>
        <v>185000</v>
      </c>
      <c r="F15" s="13">
        <f t="shared" si="1"/>
        <v>245000</v>
      </c>
      <c r="G15" s="9"/>
    </row>
    <row r="16" spans="1:7" x14ac:dyDescent="0.35">
      <c r="A16" s="9" t="s">
        <v>190</v>
      </c>
      <c r="B16" s="9">
        <v>3293</v>
      </c>
      <c r="C16" s="9" t="s">
        <v>219</v>
      </c>
      <c r="D16" s="13">
        <v>15000</v>
      </c>
      <c r="E16" s="13">
        <f t="shared" si="0"/>
        <v>200000</v>
      </c>
      <c r="F16" s="13">
        <f t="shared" si="1"/>
        <v>230000</v>
      </c>
      <c r="G16" s="9"/>
    </row>
    <row r="17" spans="1:7" x14ac:dyDescent="0.35">
      <c r="A17" s="9" t="s">
        <v>191</v>
      </c>
      <c r="B17" s="9">
        <v>4448</v>
      </c>
      <c r="C17" s="9" t="s">
        <v>219</v>
      </c>
      <c r="D17" s="13">
        <v>10000</v>
      </c>
      <c r="E17" s="13">
        <f t="shared" si="0"/>
        <v>210000</v>
      </c>
      <c r="F17" s="13">
        <f t="shared" si="1"/>
        <v>220000</v>
      </c>
      <c r="G17" s="9"/>
    </row>
    <row r="18" spans="1:7" x14ac:dyDescent="0.35">
      <c r="A18" s="9" t="s">
        <v>192</v>
      </c>
      <c r="B18" s="9">
        <v>4897</v>
      </c>
      <c r="C18" s="9" t="s">
        <v>219</v>
      </c>
      <c r="D18" s="13">
        <v>10000</v>
      </c>
      <c r="E18" s="13">
        <f t="shared" si="0"/>
        <v>220000</v>
      </c>
      <c r="F18" s="13">
        <f t="shared" si="1"/>
        <v>210000</v>
      </c>
      <c r="G18" s="9"/>
    </row>
    <row r="19" spans="1:7" x14ac:dyDescent="0.35">
      <c r="A19" s="9" t="s">
        <v>193</v>
      </c>
      <c r="B19" s="9">
        <v>5416</v>
      </c>
      <c r="C19" s="9" t="s">
        <v>219</v>
      </c>
      <c r="D19" s="13">
        <v>10000</v>
      </c>
      <c r="E19" s="13">
        <f t="shared" si="0"/>
        <v>230000</v>
      </c>
      <c r="F19" s="13">
        <f t="shared" si="1"/>
        <v>200000</v>
      </c>
      <c r="G19" s="9"/>
    </row>
    <row r="20" spans="1:7" x14ac:dyDescent="0.35">
      <c r="A20" s="9" t="s">
        <v>194</v>
      </c>
      <c r="B20" s="9">
        <v>6039</v>
      </c>
      <c r="C20" s="9" t="s">
        <v>219</v>
      </c>
      <c r="D20" s="13">
        <v>15000</v>
      </c>
      <c r="E20" s="13">
        <f t="shared" si="0"/>
        <v>245000</v>
      </c>
      <c r="F20" s="13">
        <f t="shared" si="1"/>
        <v>185000</v>
      </c>
      <c r="G20" s="9"/>
    </row>
    <row r="21" spans="1:7" x14ac:dyDescent="0.35">
      <c r="A21" s="9" t="s">
        <v>195</v>
      </c>
      <c r="B21" s="9">
        <v>6653</v>
      </c>
      <c r="C21" s="9" t="s">
        <v>219</v>
      </c>
      <c r="D21" s="13">
        <v>10000</v>
      </c>
      <c r="E21" s="13">
        <f t="shared" si="0"/>
        <v>255000</v>
      </c>
      <c r="F21" s="13">
        <f t="shared" si="1"/>
        <v>175000</v>
      </c>
      <c r="G21" s="9"/>
    </row>
    <row r="22" spans="1:7" x14ac:dyDescent="0.35">
      <c r="A22" s="9" t="s">
        <v>213</v>
      </c>
      <c r="B22" s="9">
        <v>7405</v>
      </c>
      <c r="C22" s="9" t="s">
        <v>219</v>
      </c>
      <c r="D22" s="13">
        <v>10000</v>
      </c>
      <c r="E22" s="13">
        <f t="shared" si="0"/>
        <v>265000</v>
      </c>
      <c r="F22" s="13">
        <f t="shared" si="1"/>
        <v>165000</v>
      </c>
      <c r="G22" s="9"/>
    </row>
    <row r="23" spans="1:7" x14ac:dyDescent="0.35">
      <c r="A23" s="9" t="s">
        <v>196</v>
      </c>
      <c r="B23" s="9">
        <v>8015</v>
      </c>
      <c r="C23" s="9" t="s">
        <v>219</v>
      </c>
      <c r="D23" s="13">
        <v>10000</v>
      </c>
      <c r="E23" s="13">
        <f t="shared" si="0"/>
        <v>275000</v>
      </c>
      <c r="F23" s="13">
        <f t="shared" si="1"/>
        <v>155000</v>
      </c>
      <c r="G23" s="9"/>
    </row>
    <row r="24" spans="1:7" x14ac:dyDescent="0.35">
      <c r="A24" s="9" t="s">
        <v>197</v>
      </c>
      <c r="B24" s="9">
        <v>8528</v>
      </c>
      <c r="C24" s="9" t="s">
        <v>219</v>
      </c>
      <c r="D24" s="13">
        <v>15000</v>
      </c>
      <c r="E24" s="13">
        <f t="shared" si="0"/>
        <v>290000</v>
      </c>
      <c r="F24" s="13">
        <f t="shared" si="1"/>
        <v>140000</v>
      </c>
      <c r="G24" s="9"/>
    </row>
    <row r="25" spans="1:7" x14ac:dyDescent="0.35">
      <c r="A25" s="12">
        <v>45541</v>
      </c>
      <c r="B25" s="9">
        <v>8908</v>
      </c>
      <c r="C25" s="9" t="s">
        <v>219</v>
      </c>
      <c r="D25" s="13">
        <v>10000</v>
      </c>
      <c r="E25" s="13">
        <f t="shared" si="0"/>
        <v>300000</v>
      </c>
      <c r="F25" s="13">
        <f t="shared" si="1"/>
        <v>130000</v>
      </c>
      <c r="G25" s="9"/>
    </row>
    <row r="26" spans="1:7" x14ac:dyDescent="0.35">
      <c r="A26" s="9" t="s">
        <v>198</v>
      </c>
      <c r="B26" s="9">
        <v>9658</v>
      </c>
      <c r="C26" s="9" t="s">
        <v>219</v>
      </c>
      <c r="D26" s="13">
        <v>10000</v>
      </c>
      <c r="E26" s="13">
        <f t="shared" si="0"/>
        <v>310000</v>
      </c>
      <c r="F26" s="13">
        <f t="shared" si="1"/>
        <v>120000</v>
      </c>
      <c r="G26" s="9"/>
    </row>
    <row r="27" spans="1:7" x14ac:dyDescent="0.35">
      <c r="A27" s="12">
        <v>45574</v>
      </c>
      <c r="B27" s="9">
        <v>10601</v>
      </c>
      <c r="C27" s="9" t="s">
        <v>219</v>
      </c>
      <c r="D27" s="13">
        <v>20000</v>
      </c>
      <c r="E27" s="13">
        <f t="shared" si="0"/>
        <v>330000</v>
      </c>
      <c r="F27" s="13">
        <f t="shared" si="1"/>
        <v>100000</v>
      </c>
      <c r="G27" s="9"/>
    </row>
    <row r="28" spans="1:7" x14ac:dyDescent="0.35">
      <c r="A28" s="9" t="s">
        <v>199</v>
      </c>
      <c r="B28" s="9">
        <v>11660</v>
      </c>
      <c r="C28" s="9" t="s">
        <v>219</v>
      </c>
      <c r="D28" s="13">
        <v>10000</v>
      </c>
      <c r="E28" s="13">
        <f t="shared" si="0"/>
        <v>340000</v>
      </c>
      <c r="F28" s="13">
        <f t="shared" si="1"/>
        <v>90000</v>
      </c>
      <c r="G28" s="9"/>
    </row>
    <row r="29" spans="1:7" x14ac:dyDescent="0.35">
      <c r="A29" s="12">
        <v>45576</v>
      </c>
      <c r="B29" s="9">
        <v>11966</v>
      </c>
      <c r="C29" s="9" t="s">
        <v>219</v>
      </c>
      <c r="D29" s="13">
        <v>10000</v>
      </c>
      <c r="E29" s="13">
        <f t="shared" si="0"/>
        <v>350000</v>
      </c>
      <c r="F29" s="13">
        <f t="shared" si="1"/>
        <v>80000</v>
      </c>
      <c r="G29" s="9"/>
    </row>
    <row r="30" spans="1:7" x14ac:dyDescent="0.35">
      <c r="A30" s="9" t="s">
        <v>200</v>
      </c>
      <c r="B30" s="9">
        <v>12603</v>
      </c>
      <c r="C30" s="9" t="s">
        <v>219</v>
      </c>
      <c r="D30" s="13">
        <v>10000</v>
      </c>
      <c r="E30" s="13">
        <f t="shared" si="0"/>
        <v>360000</v>
      </c>
      <c r="F30" s="13">
        <f t="shared" si="1"/>
        <v>70000</v>
      </c>
      <c r="G30" s="9"/>
    </row>
    <row r="31" spans="1:7" x14ac:dyDescent="0.35">
      <c r="A31" s="12" t="s">
        <v>214</v>
      </c>
      <c r="B31" s="9">
        <v>9015</v>
      </c>
      <c r="C31" s="9" t="s">
        <v>219</v>
      </c>
      <c r="D31" s="13">
        <v>10000</v>
      </c>
      <c r="E31" s="13">
        <f t="shared" si="0"/>
        <v>370000</v>
      </c>
      <c r="F31" s="13">
        <f t="shared" si="1"/>
        <v>60000</v>
      </c>
      <c r="G31" s="9"/>
    </row>
    <row r="32" spans="1:7" x14ac:dyDescent="0.35">
      <c r="A32" s="9" t="s">
        <v>201</v>
      </c>
      <c r="B32" s="9">
        <v>9455</v>
      </c>
      <c r="C32" s="9" t="s">
        <v>219</v>
      </c>
      <c r="D32" s="13">
        <v>10000</v>
      </c>
      <c r="E32" s="13">
        <f t="shared" si="0"/>
        <v>380000</v>
      </c>
      <c r="F32" s="13">
        <f t="shared" si="1"/>
        <v>50000</v>
      </c>
      <c r="G32" s="9"/>
    </row>
    <row r="33" spans="1:7" x14ac:dyDescent="0.35">
      <c r="A33" s="12" t="s">
        <v>202</v>
      </c>
      <c r="B33" s="9">
        <v>9803</v>
      </c>
      <c r="C33" s="9" t="s">
        <v>219</v>
      </c>
      <c r="D33" s="13">
        <v>10000</v>
      </c>
      <c r="E33" s="13">
        <f t="shared" si="0"/>
        <v>390000</v>
      </c>
      <c r="F33" s="13">
        <f t="shared" si="1"/>
        <v>40000</v>
      </c>
      <c r="G33" s="9"/>
    </row>
    <row r="34" spans="1:7" x14ac:dyDescent="0.35">
      <c r="A34" s="9" t="s">
        <v>203</v>
      </c>
      <c r="B34" s="9">
        <v>10071</v>
      </c>
      <c r="C34" s="9" t="s">
        <v>219</v>
      </c>
      <c r="D34" s="13">
        <v>10000</v>
      </c>
      <c r="E34" s="13">
        <f t="shared" si="0"/>
        <v>400000</v>
      </c>
      <c r="F34" s="13">
        <f t="shared" si="1"/>
        <v>30000</v>
      </c>
      <c r="G34" s="9"/>
    </row>
    <row r="35" spans="1:7" x14ac:dyDescent="0.35">
      <c r="A35" s="12" t="s">
        <v>204</v>
      </c>
      <c r="B35" s="9">
        <v>10414</v>
      </c>
      <c r="C35" s="9" t="s">
        <v>219</v>
      </c>
      <c r="D35" s="13">
        <v>10000</v>
      </c>
      <c r="E35" s="13">
        <f t="shared" si="0"/>
        <v>410000</v>
      </c>
      <c r="F35" s="13">
        <f t="shared" si="1"/>
        <v>20000</v>
      </c>
      <c r="G35" s="9"/>
    </row>
    <row r="36" spans="1:7" x14ac:dyDescent="0.35">
      <c r="A36" s="9" t="s">
        <v>205</v>
      </c>
      <c r="B36" s="9">
        <v>12010</v>
      </c>
      <c r="C36" s="9" t="s">
        <v>219</v>
      </c>
      <c r="D36" s="13">
        <v>10000</v>
      </c>
      <c r="E36" s="13">
        <f t="shared" si="0"/>
        <v>420000</v>
      </c>
      <c r="F36" s="13">
        <f t="shared" si="1"/>
        <v>10000</v>
      </c>
      <c r="G36" s="9"/>
    </row>
    <row r="37" spans="1:7" x14ac:dyDescent="0.35">
      <c r="A37" s="12" t="s">
        <v>206</v>
      </c>
      <c r="B37" s="9">
        <v>12303</v>
      </c>
      <c r="C37" s="9" t="s">
        <v>219</v>
      </c>
      <c r="D37" s="13">
        <v>10000</v>
      </c>
      <c r="E37" s="13">
        <f t="shared" si="0"/>
        <v>430000</v>
      </c>
      <c r="F37" s="13" t="s">
        <v>215</v>
      </c>
      <c r="G37" s="9"/>
    </row>
    <row r="38" spans="1:7" x14ac:dyDescent="0.35">
      <c r="D38" s="6"/>
      <c r="E38" s="6"/>
      <c r="F38" s="6"/>
    </row>
    <row r="39" spans="1:7" ht="18.5" x14ac:dyDescent="0.45">
      <c r="A39" s="26" t="s">
        <v>216</v>
      </c>
      <c r="B39" s="1"/>
      <c r="D39" s="6"/>
      <c r="E39" s="6"/>
      <c r="F39" s="6"/>
    </row>
    <row r="40" spans="1:7" x14ac:dyDescent="0.35">
      <c r="G40" s="6"/>
    </row>
    <row r="41" spans="1:7" x14ac:dyDescent="0.35">
      <c r="A41" s="9" t="s">
        <v>217</v>
      </c>
      <c r="B41" s="9">
        <v>1837</v>
      </c>
      <c r="C41" s="9" t="s">
        <v>218</v>
      </c>
      <c r="D41" s="13">
        <v>150000</v>
      </c>
      <c r="E41" s="9">
        <v>150000</v>
      </c>
      <c r="F41" s="13" t="s">
        <v>139</v>
      </c>
    </row>
    <row r="42" spans="1:7" ht="15.5" x14ac:dyDescent="0.35">
      <c r="A42" s="25" t="s">
        <v>220</v>
      </c>
      <c r="B42" s="25"/>
      <c r="C42" s="25"/>
      <c r="D42" s="25"/>
      <c r="E42" s="25"/>
      <c r="F42" s="2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L-6631</vt:lpstr>
      <vt:lpstr>L-6633</vt:lpstr>
      <vt:lpstr>L-6634</vt:lpstr>
      <vt:lpstr>L-6686</vt:lpstr>
      <vt:lpstr>L-6635</vt:lpstr>
      <vt:lpstr>L-6694</vt:lpstr>
      <vt:lpstr>L-6695</vt:lpstr>
      <vt:lpstr>L-6696</vt:lpstr>
      <vt:lpstr>L-6630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2026-03-02T20:26:32Z</dcterms:created>
  <dcterms:modified xsi:type="dcterms:W3CDTF">2026-08-21T01:57:34Z</dcterms:modified>
</cp:coreProperties>
</file>