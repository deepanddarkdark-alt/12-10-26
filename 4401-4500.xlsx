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 4001-5000\"/>
    </mc:Choice>
  </mc:AlternateContent>
  <bookViews>
    <workbookView xWindow="0" yWindow="0" windowWidth="19200" windowHeight="10200" activeTab="5"/>
  </bookViews>
  <sheets>
    <sheet name="L-4406" sheetId="7" r:id="rId1"/>
    <sheet name="L-4407" sheetId="8" r:id="rId2"/>
    <sheet name="L-4408" sheetId="3" r:id="rId3"/>
    <sheet name="L-4409" sheetId="4" r:id="rId4"/>
    <sheet name="L-4412" sheetId="2" r:id="rId5"/>
    <sheet name="L-4413" sheetId="1" r:id="rId6"/>
    <sheet name="L-4422" sheetId="6" r:id="rId7"/>
    <sheet name="L-4423" sheetId="9" r:id="rId8"/>
    <sheet name="L-4424" sheetId="5" r:id="rId9"/>
    <sheet name="L-4426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F45" i="2"/>
  <c r="E46" i="2"/>
  <c r="E45" i="2"/>
  <c r="F10" i="10" l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9" i="10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F9" i="9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10" i="3"/>
  <c r="F11" i="3" s="1"/>
  <c r="F12" i="3" s="1"/>
  <c r="F13" i="3" s="1"/>
  <c r="F14" i="3" s="1"/>
  <c r="F15" i="3" s="1"/>
  <c r="F16" i="3" s="1"/>
  <c r="F17" i="3" s="1"/>
  <c r="F18" i="3" s="1"/>
  <c r="E10" i="3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F9" i="3"/>
  <c r="E9" i="3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</calcChain>
</file>

<file path=xl/sharedStrings.xml><?xml version="1.0" encoding="utf-8"?>
<sst xmlns="http://schemas.openxmlformats.org/spreadsheetml/2006/main" count="697" uniqueCount="157">
  <si>
    <t>Date</t>
  </si>
  <si>
    <t>R.NO</t>
  </si>
  <si>
    <t>Description</t>
  </si>
  <si>
    <t>Amount Rec</t>
  </si>
  <si>
    <t>Total Rec</t>
  </si>
  <si>
    <t>Amount Due</t>
  </si>
  <si>
    <t>Name : Danish Hussain</t>
  </si>
  <si>
    <t>Father Name : Syed Hussain Shah</t>
  </si>
  <si>
    <t>CNIC #42201-3340343-3</t>
  </si>
  <si>
    <t xml:space="preserve">Contact # </t>
  </si>
  <si>
    <t>Plot No : 4413</t>
  </si>
  <si>
    <t>Cost :600,000</t>
  </si>
  <si>
    <t>26/12/2022</t>
  </si>
  <si>
    <t>13/3/2023</t>
  </si>
  <si>
    <t>13/7/2023</t>
  </si>
  <si>
    <t>24/8/2023</t>
  </si>
  <si>
    <t>13/11/2023</t>
  </si>
  <si>
    <t>14/12/2023</t>
  </si>
  <si>
    <t>Adj</t>
  </si>
  <si>
    <t>instalment</t>
  </si>
  <si>
    <t>22/7/2024</t>
  </si>
  <si>
    <t>13/11/2024</t>
  </si>
  <si>
    <t>13/1/2025</t>
  </si>
  <si>
    <t>21/6/2025</t>
  </si>
  <si>
    <t>14/7/2025</t>
  </si>
  <si>
    <t>18/9/2025</t>
  </si>
  <si>
    <t>13/12/2025</t>
  </si>
  <si>
    <t>16/2/2026</t>
  </si>
  <si>
    <t>Name : Syed Aqil Hussain</t>
  </si>
  <si>
    <t>Father Name : Syed Mqtanat Hussain</t>
  </si>
  <si>
    <t>CNIC #42201-0733753-9</t>
  </si>
  <si>
    <t>Contact # 03120105232</t>
  </si>
  <si>
    <t>Plot No : 4412</t>
  </si>
  <si>
    <t>21/11/2022</t>
  </si>
  <si>
    <t>14/5/2023</t>
  </si>
  <si>
    <t>Adj Rehman</t>
  </si>
  <si>
    <t>17/4/2024</t>
  </si>
  <si>
    <t>14/4/2025</t>
  </si>
  <si>
    <t>17/6/2025</t>
  </si>
  <si>
    <t>14/5/2025</t>
  </si>
  <si>
    <t>16/9/2025</t>
  </si>
  <si>
    <t>Code Num;CEG8771049</t>
  </si>
  <si>
    <t>Name : Ishrat Parvez Shakir</t>
  </si>
  <si>
    <t>Father Name : M. Zaraat Shakir</t>
  </si>
  <si>
    <t>CNIC #42401-0186984-7</t>
  </si>
  <si>
    <t>Contact # 03461278058</t>
  </si>
  <si>
    <t>Plot No : 4408</t>
  </si>
  <si>
    <t>27/1/2023</t>
  </si>
  <si>
    <t>15/3/2023</t>
  </si>
  <si>
    <t>24/5/2023</t>
  </si>
  <si>
    <t>21/8/2023</t>
  </si>
  <si>
    <t>16/9/2023</t>
  </si>
  <si>
    <t>16/10/2023</t>
  </si>
  <si>
    <t>15/11/2023</t>
  </si>
  <si>
    <t>17/12/2023</t>
  </si>
  <si>
    <t>17/1/2024</t>
  </si>
  <si>
    <t xml:space="preserve">Token </t>
  </si>
  <si>
    <t>Booking</t>
  </si>
  <si>
    <t>20/2/2024</t>
  </si>
  <si>
    <t>30/5/2024</t>
  </si>
  <si>
    <t>25/2/2025</t>
  </si>
  <si>
    <t>14/6/2025</t>
  </si>
  <si>
    <t>28/11/2025</t>
  </si>
  <si>
    <t>24/12/2025</t>
  </si>
  <si>
    <t>25/1/2026</t>
  </si>
  <si>
    <t>26/2/2026</t>
  </si>
  <si>
    <t>27/3/2026</t>
  </si>
  <si>
    <t>Plot No : 4409</t>
  </si>
  <si>
    <t>Name : Imtiaz Ahmed</t>
  </si>
  <si>
    <t>Father Name : Rehmat Khan</t>
  </si>
  <si>
    <t>CNIC #42401-2047102-9</t>
  </si>
  <si>
    <t>Contact # 03212408580</t>
  </si>
  <si>
    <t>Plot No : 4424</t>
  </si>
  <si>
    <t>Cost :650,000</t>
  </si>
  <si>
    <t>Code Num;CES6443004</t>
  </si>
  <si>
    <t>17/1/2023</t>
  </si>
  <si>
    <t>13/6/2023</t>
  </si>
  <si>
    <t>15/9/2023</t>
  </si>
  <si>
    <t>18/9/2024</t>
  </si>
  <si>
    <t>29/3/2026</t>
  </si>
  <si>
    <t>Name : Abdul Rehman</t>
  </si>
  <si>
    <t>Father Name : Abdul Waheed</t>
  </si>
  <si>
    <t>CNIC #42201-3089493-1</t>
  </si>
  <si>
    <t>Contact # 03158164606</t>
  </si>
  <si>
    <t>Plot No : 4422</t>
  </si>
  <si>
    <t>Code Num;BXN0062153</t>
  </si>
  <si>
    <t>23/11/2022</t>
  </si>
  <si>
    <t>15/2/2023</t>
  </si>
  <si>
    <t>13/3/2024</t>
  </si>
  <si>
    <t>20/4/2024</t>
  </si>
  <si>
    <t>14/7/2024</t>
  </si>
  <si>
    <t>24/9/2024</t>
  </si>
  <si>
    <t>13/10/2024</t>
  </si>
  <si>
    <t>20/11/2024</t>
  </si>
  <si>
    <t>19/12/2024</t>
  </si>
  <si>
    <t>21/4/2025</t>
  </si>
  <si>
    <t>20/5/2025</t>
  </si>
  <si>
    <t>24/6/2025</t>
  </si>
  <si>
    <t>21/7/2025</t>
  </si>
  <si>
    <t>20/8/2025</t>
  </si>
  <si>
    <t>22/9/2025</t>
  </si>
  <si>
    <t>21/10/2025</t>
  </si>
  <si>
    <t>23/12/2025</t>
  </si>
  <si>
    <t>20/1/2026</t>
  </si>
  <si>
    <t>20/2/2026</t>
  </si>
  <si>
    <t>Name : Sana</t>
  </si>
  <si>
    <t>Father Name : Abdul Hameed</t>
  </si>
  <si>
    <t>CNIC #42501-5940018-2</t>
  </si>
  <si>
    <t>Contact # 03132427266</t>
  </si>
  <si>
    <t>Plot No : 4406</t>
  </si>
  <si>
    <t>installment</t>
  </si>
  <si>
    <t>30/11/2024</t>
  </si>
  <si>
    <t>18/12/2024</t>
  </si>
  <si>
    <t>30/1/2025</t>
  </si>
  <si>
    <t>15/2/2025</t>
  </si>
  <si>
    <t>17/3/2026</t>
  </si>
  <si>
    <t>Code Num;CAV4236568</t>
  </si>
  <si>
    <t>Plot No : 4407</t>
  </si>
  <si>
    <t>Code Num;CNQ3183667</t>
  </si>
  <si>
    <t>Plot No : 4423</t>
  </si>
  <si>
    <t>Code Num;CQX1903280</t>
  </si>
  <si>
    <t>Adj Reh</t>
  </si>
  <si>
    <t>Code Num;CPK6155543</t>
  </si>
  <si>
    <t>14/4/2026</t>
  </si>
  <si>
    <t>Name : Muhammad Umar</t>
  </si>
  <si>
    <t>Father Name : Abdul Jabbar</t>
  </si>
  <si>
    <t>CNIC #44103-1659285-1</t>
  </si>
  <si>
    <t>Contact #</t>
  </si>
  <si>
    <t>Plot No : 4426</t>
  </si>
  <si>
    <t>Code Num;BWE3485635</t>
  </si>
  <si>
    <t>25/12/2022</t>
  </si>
  <si>
    <t>28/2/2023</t>
  </si>
  <si>
    <t>installmnt</t>
  </si>
  <si>
    <t>20/2/2025</t>
  </si>
  <si>
    <t>16/8/2025</t>
  </si>
  <si>
    <t>26/11/2025</t>
  </si>
  <si>
    <t>21/2/2026</t>
  </si>
  <si>
    <t>20/4/2026</t>
  </si>
  <si>
    <t>Code Num;CSP2124178</t>
  </si>
  <si>
    <t>26/4/2026</t>
  </si>
  <si>
    <t>Code Num;CMF2897881</t>
  </si>
  <si>
    <t>9\6\26</t>
  </si>
  <si>
    <t>19\5\26</t>
  </si>
  <si>
    <t>17\6\26</t>
  </si>
  <si>
    <t>24\5\26</t>
  </si>
  <si>
    <t>21\6\26</t>
  </si>
  <si>
    <t>4\7\26</t>
  </si>
  <si>
    <t>CGX0098377</t>
  </si>
  <si>
    <t>BWB1969201</t>
  </si>
  <si>
    <t>CQY7439051</t>
  </si>
  <si>
    <t>CKX7513663</t>
  </si>
  <si>
    <t>23\7\2026</t>
  </si>
  <si>
    <t>25\7\26</t>
  </si>
  <si>
    <t>15/8/26</t>
  </si>
  <si>
    <t>16/8/26</t>
  </si>
  <si>
    <t>13/6/26</t>
  </si>
  <si>
    <t>20/09/26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</si>
</sst>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14" fontId="0" fillId="0" borderId="0" xfId="0" applyNumberFormat="1"/>
    <xf numFmtId="3" fontId="0" fillId="0" borderId="0" xfId="0" applyNumberFormat="1"/>
    <xf numFmtId="17" fontId="0" fillId="0" borderId="0" xfId="0" applyNumberFormat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C45" sqref="C45"/>
    </sheetView>
  </sheetViews>
  <sheetFormatPr defaultRowHeight="14.5" x14ac:dyDescent="0.35"/>
  <cols>
    <col min="1" max="1" width="11.26953125" customWidth="1"/>
    <col min="3" max="3" width="9.54296875" customWidth="1"/>
    <col min="6" max="6" width="11" customWidth="1"/>
  </cols>
  <sheetData>
    <row r="1" spans="1:6" ht="18.5" x14ac:dyDescent="0.45">
      <c r="A1" s="1" t="s">
        <v>105</v>
      </c>
      <c r="B1" s="1"/>
      <c r="C1" s="2"/>
      <c r="D1" s="1"/>
      <c r="E1" s="1"/>
      <c r="F1" s="1"/>
    </row>
    <row r="2" spans="1:6" ht="18.5" x14ac:dyDescent="0.45">
      <c r="A2" s="1" t="s">
        <v>106</v>
      </c>
      <c r="C2" s="1"/>
      <c r="D2" s="1"/>
      <c r="E2" s="1"/>
      <c r="F2" s="1"/>
    </row>
    <row r="3" spans="1:6" ht="18.5" x14ac:dyDescent="0.45">
      <c r="A3" s="1" t="s">
        <v>107</v>
      </c>
      <c r="B3" s="1"/>
      <c r="C3" s="1"/>
      <c r="D3" s="1"/>
      <c r="E3" s="1"/>
      <c r="F3" s="1"/>
    </row>
    <row r="4" spans="1:6" ht="18.5" x14ac:dyDescent="0.45">
      <c r="A4" s="1" t="s">
        <v>116</v>
      </c>
      <c r="B4" s="1" t="s">
        <v>150</v>
      </c>
      <c r="C4" s="1"/>
      <c r="D4" s="1"/>
      <c r="E4" s="1"/>
      <c r="F4" s="1"/>
    </row>
    <row r="5" spans="1:6" ht="18.5" x14ac:dyDescent="0.45">
      <c r="A5" s="1" t="s">
        <v>108</v>
      </c>
      <c r="B5" s="1"/>
      <c r="C5" s="1"/>
      <c r="D5" s="1"/>
      <c r="E5" s="1"/>
      <c r="F5" s="1"/>
    </row>
    <row r="6" spans="1:6" ht="18.5" x14ac:dyDescent="0.45">
      <c r="A6" s="1" t="s">
        <v>109</v>
      </c>
      <c r="B6" s="1"/>
      <c r="C6" s="1"/>
      <c r="D6" s="1" t="s">
        <v>73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0" t="s">
        <v>86</v>
      </c>
      <c r="B8" s="10">
        <v>9</v>
      </c>
      <c r="C8" s="10" t="s">
        <v>18</v>
      </c>
      <c r="D8" s="11">
        <v>60000</v>
      </c>
      <c r="E8" s="11">
        <v>60000</v>
      </c>
      <c r="F8" s="11">
        <v>590000</v>
      </c>
    </row>
    <row r="9" spans="1:6" x14ac:dyDescent="0.35">
      <c r="A9" s="10" t="s">
        <v>87</v>
      </c>
      <c r="B9" s="10">
        <v>1957</v>
      </c>
      <c r="C9" s="10" t="s">
        <v>110</v>
      </c>
      <c r="D9" s="11">
        <v>10000</v>
      </c>
      <c r="E9" s="11">
        <f>SUM(E8+D9)</f>
        <v>70000</v>
      </c>
      <c r="F9" s="11">
        <f>F8-D9</f>
        <v>580000</v>
      </c>
    </row>
    <row r="10" spans="1:6" x14ac:dyDescent="0.35">
      <c r="A10" s="10" t="s">
        <v>13</v>
      </c>
      <c r="B10" s="10">
        <v>2360</v>
      </c>
      <c r="C10" s="10" t="s">
        <v>110</v>
      </c>
      <c r="D10" s="11">
        <v>10000</v>
      </c>
      <c r="E10" s="11">
        <f t="shared" ref="E10:E45" si="0">SUM(E9+D10)</f>
        <v>80000</v>
      </c>
      <c r="F10" s="11">
        <f t="shared" ref="F10:F45" si="1">F9-D10</f>
        <v>570000</v>
      </c>
    </row>
    <row r="11" spans="1:6" x14ac:dyDescent="0.35">
      <c r="A11" s="12">
        <v>45142</v>
      </c>
      <c r="B11" s="10">
        <v>1887</v>
      </c>
      <c r="C11" s="10" t="s">
        <v>110</v>
      </c>
      <c r="D11" s="11">
        <v>10000</v>
      </c>
      <c r="E11" s="11">
        <f t="shared" si="0"/>
        <v>90000</v>
      </c>
      <c r="F11" s="11">
        <f t="shared" si="1"/>
        <v>560000</v>
      </c>
    </row>
    <row r="12" spans="1:6" x14ac:dyDescent="0.35">
      <c r="A12" s="12">
        <v>45204</v>
      </c>
      <c r="B12" s="10">
        <v>774</v>
      </c>
      <c r="C12" s="10" t="s">
        <v>110</v>
      </c>
      <c r="D12" s="11">
        <v>10000</v>
      </c>
      <c r="E12" s="11">
        <f t="shared" si="0"/>
        <v>100000</v>
      </c>
      <c r="F12" s="11">
        <f t="shared" si="1"/>
        <v>550000</v>
      </c>
    </row>
    <row r="13" spans="1:6" x14ac:dyDescent="0.35">
      <c r="A13" s="12">
        <v>45205</v>
      </c>
      <c r="B13" s="10">
        <v>404</v>
      </c>
      <c r="C13" s="10" t="s">
        <v>110</v>
      </c>
      <c r="D13" s="11">
        <v>10000</v>
      </c>
      <c r="E13" s="11">
        <f t="shared" si="0"/>
        <v>110000</v>
      </c>
      <c r="F13" s="11">
        <f t="shared" si="1"/>
        <v>540000</v>
      </c>
    </row>
    <row r="14" spans="1:6" x14ac:dyDescent="0.35">
      <c r="A14" s="12">
        <v>45206</v>
      </c>
      <c r="B14" s="10">
        <v>2652</v>
      </c>
      <c r="C14" s="10" t="s">
        <v>110</v>
      </c>
      <c r="D14" s="11">
        <v>10000</v>
      </c>
      <c r="E14" s="11">
        <f t="shared" si="0"/>
        <v>120000</v>
      </c>
      <c r="F14" s="11">
        <f t="shared" si="1"/>
        <v>530000</v>
      </c>
    </row>
    <row r="15" spans="1:6" x14ac:dyDescent="0.35">
      <c r="A15" s="12">
        <v>45238</v>
      </c>
      <c r="B15" s="10">
        <v>2364</v>
      </c>
      <c r="C15" s="10" t="s">
        <v>110</v>
      </c>
      <c r="D15" s="11">
        <v>10000</v>
      </c>
      <c r="E15" s="11">
        <f t="shared" si="0"/>
        <v>130000</v>
      </c>
      <c r="F15" s="11">
        <f t="shared" si="1"/>
        <v>520000</v>
      </c>
    </row>
    <row r="16" spans="1:6" x14ac:dyDescent="0.35">
      <c r="A16" s="12">
        <v>45178</v>
      </c>
      <c r="B16" s="10">
        <v>3476</v>
      </c>
      <c r="C16" s="10" t="s">
        <v>110</v>
      </c>
      <c r="D16" s="11">
        <v>10000</v>
      </c>
      <c r="E16" s="11">
        <f t="shared" si="0"/>
        <v>140000</v>
      </c>
      <c r="F16" s="11">
        <f t="shared" si="1"/>
        <v>510000</v>
      </c>
    </row>
    <row r="17" spans="1:6" x14ac:dyDescent="0.35">
      <c r="A17" s="12">
        <v>45148</v>
      </c>
      <c r="B17" s="10">
        <v>4090</v>
      </c>
      <c r="C17" s="10" t="s">
        <v>110</v>
      </c>
      <c r="D17" s="11">
        <v>10000</v>
      </c>
      <c r="E17" s="11">
        <f t="shared" si="0"/>
        <v>150000</v>
      </c>
      <c r="F17" s="11">
        <f t="shared" si="1"/>
        <v>500000</v>
      </c>
    </row>
    <row r="18" spans="1:6" x14ac:dyDescent="0.35">
      <c r="A18" s="12">
        <v>45180</v>
      </c>
      <c r="B18" s="10">
        <v>4755</v>
      </c>
      <c r="C18" s="10" t="s">
        <v>110</v>
      </c>
      <c r="D18" s="11">
        <v>10000</v>
      </c>
      <c r="E18" s="11">
        <f t="shared" si="0"/>
        <v>160000</v>
      </c>
      <c r="F18" s="11">
        <f t="shared" si="1"/>
        <v>490000</v>
      </c>
    </row>
    <row r="19" spans="1:6" x14ac:dyDescent="0.35">
      <c r="A19" s="12">
        <v>44969</v>
      </c>
      <c r="B19" s="10">
        <v>5252</v>
      </c>
      <c r="C19" s="10" t="s">
        <v>110</v>
      </c>
      <c r="D19" s="11">
        <v>10000</v>
      </c>
      <c r="E19" s="11">
        <f t="shared" si="0"/>
        <v>170000</v>
      </c>
      <c r="F19" s="11">
        <f t="shared" si="1"/>
        <v>480000</v>
      </c>
    </row>
    <row r="20" spans="1:6" x14ac:dyDescent="0.35">
      <c r="A20" s="12">
        <v>45444</v>
      </c>
      <c r="B20" s="10">
        <v>5932</v>
      </c>
      <c r="C20" s="10" t="s">
        <v>110</v>
      </c>
      <c r="D20" s="11">
        <v>10000</v>
      </c>
      <c r="E20" s="11">
        <f t="shared" si="0"/>
        <v>180000</v>
      </c>
      <c r="F20" s="11">
        <f t="shared" si="1"/>
        <v>470000</v>
      </c>
    </row>
    <row r="21" spans="1:6" x14ac:dyDescent="0.35">
      <c r="A21" s="12">
        <v>45353</v>
      </c>
      <c r="B21" s="10">
        <v>6511</v>
      </c>
      <c r="C21" s="10" t="s">
        <v>110</v>
      </c>
      <c r="D21" s="11">
        <v>10000</v>
      </c>
      <c r="E21" s="11">
        <f t="shared" si="0"/>
        <v>190000</v>
      </c>
      <c r="F21" s="11">
        <f t="shared" si="1"/>
        <v>460000</v>
      </c>
    </row>
    <row r="22" spans="1:6" x14ac:dyDescent="0.35">
      <c r="A22" s="10" t="s">
        <v>88</v>
      </c>
      <c r="B22" s="10">
        <v>7348</v>
      </c>
      <c r="C22" s="10" t="s">
        <v>110</v>
      </c>
      <c r="D22" s="11">
        <v>10000</v>
      </c>
      <c r="E22" s="11">
        <f t="shared" si="0"/>
        <v>200000</v>
      </c>
      <c r="F22" s="11">
        <f t="shared" si="1"/>
        <v>450000</v>
      </c>
    </row>
    <row r="23" spans="1:6" x14ac:dyDescent="0.35">
      <c r="A23" s="10" t="s">
        <v>89</v>
      </c>
      <c r="B23" s="10">
        <v>8005</v>
      </c>
      <c r="C23" s="10" t="s">
        <v>110</v>
      </c>
      <c r="D23" s="11">
        <v>10000</v>
      </c>
      <c r="E23" s="11">
        <f t="shared" si="0"/>
        <v>210000</v>
      </c>
      <c r="F23" s="11">
        <f t="shared" si="1"/>
        <v>440000</v>
      </c>
    </row>
    <row r="24" spans="1:6" x14ac:dyDescent="0.35">
      <c r="A24" s="12">
        <v>45509</v>
      </c>
      <c r="B24" s="10">
        <v>8334</v>
      </c>
      <c r="C24" s="10" t="s">
        <v>110</v>
      </c>
      <c r="D24" s="11">
        <v>72000</v>
      </c>
      <c r="E24" s="11">
        <f t="shared" si="0"/>
        <v>282000</v>
      </c>
      <c r="F24" s="11">
        <f t="shared" si="1"/>
        <v>368000</v>
      </c>
    </row>
    <row r="25" spans="1:6" x14ac:dyDescent="0.35">
      <c r="A25" s="12">
        <v>45509</v>
      </c>
      <c r="B25" s="10">
        <v>8327</v>
      </c>
      <c r="C25" s="10" t="s">
        <v>110</v>
      </c>
      <c r="D25" s="11">
        <v>10000</v>
      </c>
      <c r="E25" s="11">
        <f t="shared" si="0"/>
        <v>292000</v>
      </c>
      <c r="F25" s="11">
        <f t="shared" si="1"/>
        <v>358000</v>
      </c>
    </row>
    <row r="26" spans="1:6" x14ac:dyDescent="0.35">
      <c r="A26" s="10" t="s">
        <v>91</v>
      </c>
      <c r="B26" s="10">
        <v>10113</v>
      </c>
      <c r="C26" s="10" t="s">
        <v>110</v>
      </c>
      <c r="D26" s="11">
        <v>10000</v>
      </c>
      <c r="E26" s="11">
        <f t="shared" si="0"/>
        <v>302000</v>
      </c>
      <c r="F26" s="11">
        <f t="shared" si="1"/>
        <v>348000</v>
      </c>
    </row>
    <row r="27" spans="1:6" x14ac:dyDescent="0.35">
      <c r="A27" s="10" t="s">
        <v>92</v>
      </c>
      <c r="B27" s="10">
        <v>11628</v>
      </c>
      <c r="C27" s="10" t="s">
        <v>110</v>
      </c>
      <c r="D27" s="11">
        <v>10000</v>
      </c>
      <c r="E27" s="11">
        <f t="shared" si="0"/>
        <v>312000</v>
      </c>
      <c r="F27" s="11">
        <f t="shared" si="1"/>
        <v>338000</v>
      </c>
    </row>
    <row r="28" spans="1:6" x14ac:dyDescent="0.35">
      <c r="A28" s="10" t="s">
        <v>111</v>
      </c>
      <c r="B28" s="10">
        <v>12179</v>
      </c>
      <c r="C28" s="10" t="s">
        <v>110</v>
      </c>
      <c r="D28" s="11">
        <v>10000</v>
      </c>
      <c r="E28" s="11">
        <f t="shared" si="0"/>
        <v>322000</v>
      </c>
      <c r="F28" s="11">
        <f t="shared" si="1"/>
        <v>328000</v>
      </c>
    </row>
    <row r="29" spans="1:6" x14ac:dyDescent="0.35">
      <c r="A29" s="10" t="s">
        <v>112</v>
      </c>
      <c r="B29" s="10">
        <v>12675</v>
      </c>
      <c r="C29" s="10" t="s">
        <v>110</v>
      </c>
      <c r="D29" s="11">
        <v>10000</v>
      </c>
      <c r="E29" s="11">
        <f t="shared" si="0"/>
        <v>332000</v>
      </c>
      <c r="F29" s="11">
        <f t="shared" si="1"/>
        <v>318000</v>
      </c>
    </row>
    <row r="30" spans="1:6" x14ac:dyDescent="0.35">
      <c r="A30" s="10" t="s">
        <v>113</v>
      </c>
      <c r="B30" s="10">
        <v>9166</v>
      </c>
      <c r="C30" s="10" t="s">
        <v>110</v>
      </c>
      <c r="D30" s="11">
        <v>10000</v>
      </c>
      <c r="E30" s="11">
        <f t="shared" si="0"/>
        <v>342000</v>
      </c>
      <c r="F30" s="11">
        <f t="shared" si="1"/>
        <v>308000</v>
      </c>
    </row>
    <row r="31" spans="1:6" x14ac:dyDescent="0.35">
      <c r="A31" s="10" t="s">
        <v>114</v>
      </c>
      <c r="B31" s="10">
        <v>9405</v>
      </c>
      <c r="C31" s="10" t="s">
        <v>110</v>
      </c>
      <c r="D31" s="11">
        <v>10000</v>
      </c>
      <c r="E31" s="11">
        <f t="shared" si="0"/>
        <v>352000</v>
      </c>
      <c r="F31" s="11">
        <f t="shared" si="1"/>
        <v>298000</v>
      </c>
    </row>
    <row r="32" spans="1:6" x14ac:dyDescent="0.35">
      <c r="A32" s="12">
        <v>45841</v>
      </c>
      <c r="B32" s="10">
        <v>9637</v>
      </c>
      <c r="C32" s="10" t="s">
        <v>110</v>
      </c>
      <c r="D32" s="11">
        <v>10000</v>
      </c>
      <c r="E32" s="11">
        <f t="shared" si="0"/>
        <v>362000</v>
      </c>
      <c r="F32" s="11">
        <f t="shared" si="1"/>
        <v>288000</v>
      </c>
    </row>
    <row r="33" spans="1:6" x14ac:dyDescent="0.35">
      <c r="A33" s="10" t="s">
        <v>95</v>
      </c>
      <c r="B33" s="10">
        <v>1004</v>
      </c>
      <c r="C33" s="10" t="s">
        <v>110</v>
      </c>
      <c r="D33" s="11">
        <v>10000</v>
      </c>
      <c r="E33" s="11">
        <f t="shared" si="0"/>
        <v>372000</v>
      </c>
      <c r="F33" s="11">
        <f t="shared" si="1"/>
        <v>278000</v>
      </c>
    </row>
    <row r="34" spans="1:6" x14ac:dyDescent="0.35">
      <c r="A34" s="10" t="s">
        <v>96</v>
      </c>
      <c r="B34" s="10">
        <v>12262</v>
      </c>
      <c r="C34" s="10" t="s">
        <v>110</v>
      </c>
      <c r="D34" s="11">
        <v>10000</v>
      </c>
      <c r="E34" s="11">
        <f t="shared" si="0"/>
        <v>382000</v>
      </c>
      <c r="F34" s="11">
        <f t="shared" si="1"/>
        <v>268000</v>
      </c>
    </row>
    <row r="35" spans="1:6" x14ac:dyDescent="0.35">
      <c r="A35" s="10" t="s">
        <v>97</v>
      </c>
      <c r="B35" s="10">
        <v>12267</v>
      </c>
      <c r="C35" s="10" t="s">
        <v>110</v>
      </c>
      <c r="D35" s="11">
        <v>10000</v>
      </c>
      <c r="E35" s="11">
        <f t="shared" si="0"/>
        <v>392000</v>
      </c>
      <c r="F35" s="11">
        <f t="shared" si="1"/>
        <v>258000</v>
      </c>
    </row>
    <row r="36" spans="1:6" x14ac:dyDescent="0.35">
      <c r="A36" s="10" t="s">
        <v>98</v>
      </c>
      <c r="B36" s="10">
        <v>12244</v>
      </c>
      <c r="C36" s="10" t="s">
        <v>110</v>
      </c>
      <c r="D36" s="11">
        <v>10000</v>
      </c>
      <c r="E36" s="11">
        <f t="shared" si="0"/>
        <v>402000</v>
      </c>
      <c r="F36" s="11">
        <f t="shared" si="1"/>
        <v>248000</v>
      </c>
    </row>
    <row r="37" spans="1:6" x14ac:dyDescent="0.35">
      <c r="A37" s="10" t="s">
        <v>99</v>
      </c>
      <c r="B37" s="10">
        <v>12989</v>
      </c>
      <c r="C37" s="10" t="s">
        <v>110</v>
      </c>
      <c r="D37" s="11">
        <v>10000</v>
      </c>
      <c r="E37" s="11">
        <f t="shared" si="0"/>
        <v>412000</v>
      </c>
      <c r="F37" s="11">
        <f t="shared" si="1"/>
        <v>238000</v>
      </c>
    </row>
    <row r="38" spans="1:6" x14ac:dyDescent="0.35">
      <c r="A38" s="10" t="s">
        <v>100</v>
      </c>
      <c r="B38" s="10">
        <v>13969</v>
      </c>
      <c r="C38" s="10" t="s">
        <v>110</v>
      </c>
      <c r="D38" s="11">
        <v>10000</v>
      </c>
      <c r="E38" s="11">
        <f t="shared" si="0"/>
        <v>422000</v>
      </c>
      <c r="F38" s="11">
        <f t="shared" si="1"/>
        <v>228000</v>
      </c>
    </row>
    <row r="39" spans="1:6" x14ac:dyDescent="0.35">
      <c r="A39" s="10" t="s">
        <v>101</v>
      </c>
      <c r="B39" s="10">
        <v>13500</v>
      </c>
      <c r="C39" s="10" t="s">
        <v>110</v>
      </c>
      <c r="D39" s="11">
        <v>10000</v>
      </c>
      <c r="E39" s="11">
        <f t="shared" si="0"/>
        <v>432000</v>
      </c>
      <c r="F39" s="11">
        <f t="shared" si="1"/>
        <v>218000</v>
      </c>
    </row>
    <row r="40" spans="1:6" x14ac:dyDescent="0.35">
      <c r="A40" s="12">
        <v>45911</v>
      </c>
      <c r="B40" s="10">
        <v>13498</v>
      </c>
      <c r="C40" s="10" t="s">
        <v>110</v>
      </c>
      <c r="D40" s="11">
        <v>10000</v>
      </c>
      <c r="E40" s="11">
        <f t="shared" si="0"/>
        <v>442000</v>
      </c>
      <c r="F40" s="11">
        <f t="shared" si="1"/>
        <v>208000</v>
      </c>
    </row>
    <row r="41" spans="1:6" x14ac:dyDescent="0.35">
      <c r="A41" s="10" t="s">
        <v>102</v>
      </c>
      <c r="B41" s="10">
        <v>13806</v>
      </c>
      <c r="C41" s="10" t="s">
        <v>110</v>
      </c>
      <c r="D41" s="11">
        <v>10000</v>
      </c>
      <c r="E41" s="11">
        <f t="shared" si="0"/>
        <v>452000</v>
      </c>
      <c r="F41" s="11">
        <f t="shared" si="1"/>
        <v>198000</v>
      </c>
    </row>
    <row r="42" spans="1:6" x14ac:dyDescent="0.35">
      <c r="A42" s="10" t="s">
        <v>103</v>
      </c>
      <c r="B42" s="10">
        <v>12218</v>
      </c>
      <c r="C42" s="10" t="s">
        <v>110</v>
      </c>
      <c r="D42" s="11">
        <v>10000</v>
      </c>
      <c r="E42" s="11">
        <f t="shared" si="0"/>
        <v>462000</v>
      </c>
      <c r="F42" s="11">
        <f t="shared" si="1"/>
        <v>188000</v>
      </c>
    </row>
    <row r="43" spans="1:6" x14ac:dyDescent="0.35">
      <c r="A43" s="10" t="s">
        <v>104</v>
      </c>
      <c r="B43" s="10">
        <v>12535</v>
      </c>
      <c r="C43" s="10" t="s">
        <v>110</v>
      </c>
      <c r="D43" s="11">
        <v>10000</v>
      </c>
      <c r="E43" s="11">
        <f t="shared" si="0"/>
        <v>472000</v>
      </c>
      <c r="F43" s="11">
        <f t="shared" si="1"/>
        <v>178000</v>
      </c>
    </row>
    <row r="44" spans="1:6" x14ac:dyDescent="0.35">
      <c r="A44" s="10" t="s">
        <v>115</v>
      </c>
      <c r="B44" s="10">
        <v>12813</v>
      </c>
      <c r="C44" s="10" t="s">
        <v>110</v>
      </c>
      <c r="D44" s="11">
        <v>10000</v>
      </c>
      <c r="E44" s="11">
        <f t="shared" si="0"/>
        <v>482000</v>
      </c>
      <c r="F44" s="11">
        <f t="shared" si="1"/>
        <v>168000</v>
      </c>
    </row>
    <row r="45" spans="1:6" x14ac:dyDescent="0.35">
      <c r="A45" s="12">
        <v>46299</v>
      </c>
      <c r="B45" s="10">
        <v>13200</v>
      </c>
      <c r="C45" s="10" t="s">
        <v>110</v>
      </c>
      <c r="D45" s="11">
        <v>10000</v>
      </c>
      <c r="E45" s="11">
        <f t="shared" si="0"/>
        <v>492000</v>
      </c>
      <c r="F45" s="11">
        <f t="shared" si="1"/>
        <v>158000</v>
      </c>
    </row>
    <row r="46" spans="1:6" x14ac:dyDescent="0.35">
      <c r="A46" s="10" t="s">
        <v>142</v>
      </c>
      <c r="B46" s="10">
        <v>13423</v>
      </c>
      <c r="C46" s="10" t="s">
        <v>110</v>
      </c>
      <c r="D46" s="11">
        <v>10000</v>
      </c>
      <c r="E46" s="11">
        <f>E45+D46</f>
        <v>502000</v>
      </c>
      <c r="F46" s="11">
        <f>F45-D46</f>
        <v>148000</v>
      </c>
    </row>
    <row r="47" spans="1:6" x14ac:dyDescent="0.35">
      <c r="A47" s="10" t="s">
        <v>143</v>
      </c>
      <c r="B47" s="10">
        <v>13667</v>
      </c>
      <c r="C47" s="10" t="s">
        <v>110</v>
      </c>
      <c r="D47" s="11">
        <v>10000</v>
      </c>
      <c r="E47" s="11">
        <f>E46+D47</f>
        <v>512000</v>
      </c>
      <c r="F47" s="11">
        <f>F46-D47</f>
        <v>138000</v>
      </c>
    </row>
    <row r="48" spans="1:6" x14ac:dyDescent="0.35">
      <c r="A48" s="10" t="s">
        <v>146</v>
      </c>
      <c r="B48" s="10">
        <v>1378</v>
      </c>
      <c r="C48" s="10" t="s">
        <v>110</v>
      </c>
      <c r="D48" s="11">
        <v>10000</v>
      </c>
      <c r="E48" s="11">
        <f>E47+D48</f>
        <v>522000</v>
      </c>
      <c r="F48" s="11">
        <f>F47-D48</f>
        <v>128000</v>
      </c>
    </row>
    <row r="49" spans="1:6" x14ac:dyDescent="0.35">
      <c r="A49" s="12">
        <v>46030</v>
      </c>
      <c r="B49" s="10">
        <v>1616</v>
      </c>
      <c r="C49" s="10"/>
      <c r="D49" s="11">
        <v>10000</v>
      </c>
      <c r="E49" s="11">
        <v>532000</v>
      </c>
      <c r="F49" s="11">
        <v>118000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42" workbookViewId="0">
      <selection activeCell="C49" sqref="C49"/>
    </sheetView>
  </sheetViews>
  <sheetFormatPr defaultRowHeight="14.5" x14ac:dyDescent="0.35"/>
  <cols>
    <col min="6" max="6" width="10.7265625" customWidth="1"/>
  </cols>
  <sheetData>
    <row r="1" spans="1:6" ht="18.5" x14ac:dyDescent="0.45">
      <c r="A1" s="1" t="s">
        <v>105</v>
      </c>
      <c r="B1" s="1"/>
      <c r="C1" s="2"/>
      <c r="D1" s="1"/>
      <c r="E1" s="1"/>
      <c r="F1" s="1"/>
    </row>
    <row r="2" spans="1:6" ht="18.5" x14ac:dyDescent="0.45">
      <c r="A2" s="1" t="s">
        <v>106</v>
      </c>
      <c r="C2" s="1"/>
      <c r="D2" s="1"/>
      <c r="E2" s="1"/>
      <c r="F2" s="1"/>
    </row>
    <row r="3" spans="1:6" ht="18.5" x14ac:dyDescent="0.45">
      <c r="A3" s="1" t="s">
        <v>107</v>
      </c>
      <c r="B3" s="1"/>
      <c r="C3" s="1"/>
      <c r="D3" s="1"/>
      <c r="E3" s="1"/>
      <c r="F3" s="1"/>
    </row>
    <row r="4" spans="1:6" ht="18.5" x14ac:dyDescent="0.45">
      <c r="A4" s="1" t="s">
        <v>118</v>
      </c>
      <c r="B4" s="1" t="s">
        <v>149</v>
      </c>
      <c r="C4" s="1"/>
      <c r="D4" s="1"/>
      <c r="E4" s="1"/>
      <c r="F4" s="1"/>
    </row>
    <row r="5" spans="1:6" ht="18.5" x14ac:dyDescent="0.45">
      <c r="A5" s="1" t="s">
        <v>108</v>
      </c>
      <c r="B5" s="1"/>
      <c r="C5" s="1"/>
      <c r="D5" s="1"/>
      <c r="E5" s="1"/>
      <c r="F5" s="1"/>
    </row>
    <row r="6" spans="1:6" ht="18.5" x14ac:dyDescent="0.45">
      <c r="A6" s="1" t="s">
        <v>117</v>
      </c>
      <c r="B6" s="1"/>
      <c r="C6" s="1"/>
      <c r="D6" s="1" t="s">
        <v>73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86</v>
      </c>
      <c r="B8">
        <v>2059</v>
      </c>
      <c r="C8" t="s">
        <v>18</v>
      </c>
      <c r="D8" s="14">
        <v>60000</v>
      </c>
      <c r="E8" s="14">
        <v>60000</v>
      </c>
      <c r="F8" s="14">
        <v>590000</v>
      </c>
    </row>
    <row r="9" spans="1:6" x14ac:dyDescent="0.35">
      <c r="A9" t="s">
        <v>87</v>
      </c>
      <c r="B9">
        <v>2359</v>
      </c>
      <c r="C9" t="s">
        <v>110</v>
      </c>
      <c r="D9" s="14">
        <v>10000</v>
      </c>
      <c r="E9" s="14">
        <f>SUM(E8+D9)</f>
        <v>70000</v>
      </c>
      <c r="F9" s="14">
        <f>F8-D9</f>
        <v>580000</v>
      </c>
    </row>
    <row r="10" spans="1:6" x14ac:dyDescent="0.35">
      <c r="A10" t="s">
        <v>13</v>
      </c>
      <c r="B10">
        <v>1958</v>
      </c>
      <c r="C10" t="s">
        <v>110</v>
      </c>
      <c r="D10" s="14">
        <v>10000</v>
      </c>
      <c r="E10" s="14">
        <f t="shared" ref="E10:E45" si="0">SUM(E9+D10)</f>
        <v>80000</v>
      </c>
      <c r="F10" s="14">
        <f t="shared" ref="F10:F45" si="1">F9-D10</f>
        <v>570000</v>
      </c>
    </row>
    <row r="11" spans="1:6" x14ac:dyDescent="0.35">
      <c r="A11" s="13">
        <v>45142</v>
      </c>
      <c r="B11">
        <v>1888</v>
      </c>
      <c r="C11" t="s">
        <v>110</v>
      </c>
      <c r="D11" s="14">
        <v>10000</v>
      </c>
      <c r="E11" s="14">
        <f t="shared" si="0"/>
        <v>90000</v>
      </c>
      <c r="F11" s="14">
        <f t="shared" si="1"/>
        <v>560000</v>
      </c>
    </row>
    <row r="12" spans="1:6" x14ac:dyDescent="0.35">
      <c r="A12" s="13">
        <v>45204</v>
      </c>
      <c r="B12">
        <v>775</v>
      </c>
      <c r="C12" t="s">
        <v>110</v>
      </c>
      <c r="D12" s="14">
        <v>10000</v>
      </c>
      <c r="E12" s="14">
        <f t="shared" si="0"/>
        <v>100000</v>
      </c>
      <c r="F12" s="14">
        <f t="shared" si="1"/>
        <v>550000</v>
      </c>
    </row>
    <row r="13" spans="1:6" x14ac:dyDescent="0.35">
      <c r="A13" s="13">
        <v>45205</v>
      </c>
      <c r="B13">
        <v>405</v>
      </c>
      <c r="C13" t="s">
        <v>110</v>
      </c>
      <c r="D13" s="14">
        <v>10000</v>
      </c>
      <c r="E13" s="14">
        <f t="shared" si="0"/>
        <v>110000</v>
      </c>
      <c r="F13" s="14">
        <f t="shared" si="1"/>
        <v>540000</v>
      </c>
    </row>
    <row r="14" spans="1:6" x14ac:dyDescent="0.35">
      <c r="A14" s="13">
        <v>45206</v>
      </c>
      <c r="B14">
        <v>2651</v>
      </c>
      <c r="C14" t="s">
        <v>110</v>
      </c>
      <c r="D14" s="14">
        <v>10000</v>
      </c>
      <c r="E14" s="14">
        <f t="shared" si="0"/>
        <v>120000</v>
      </c>
      <c r="F14" s="14">
        <f t="shared" si="1"/>
        <v>530000</v>
      </c>
    </row>
    <row r="15" spans="1:6" x14ac:dyDescent="0.35">
      <c r="A15" s="13">
        <v>45238</v>
      </c>
      <c r="B15">
        <v>2365</v>
      </c>
      <c r="C15" t="s">
        <v>110</v>
      </c>
      <c r="D15" s="14">
        <v>10000</v>
      </c>
      <c r="E15" s="14">
        <f t="shared" si="0"/>
        <v>130000</v>
      </c>
      <c r="F15" s="14">
        <f t="shared" si="1"/>
        <v>520000</v>
      </c>
    </row>
    <row r="16" spans="1:6" x14ac:dyDescent="0.35">
      <c r="A16" s="13">
        <v>45178</v>
      </c>
      <c r="B16">
        <v>3475</v>
      </c>
      <c r="C16" t="s">
        <v>110</v>
      </c>
      <c r="D16" s="14">
        <v>10000</v>
      </c>
      <c r="E16" s="14">
        <f t="shared" si="0"/>
        <v>140000</v>
      </c>
      <c r="F16" s="14">
        <f t="shared" si="1"/>
        <v>510000</v>
      </c>
    </row>
    <row r="17" spans="1:6" x14ac:dyDescent="0.35">
      <c r="A17" s="13">
        <v>45148</v>
      </c>
      <c r="B17">
        <v>4088</v>
      </c>
      <c r="C17" t="s">
        <v>110</v>
      </c>
      <c r="D17" s="14">
        <v>10000</v>
      </c>
      <c r="E17" s="14">
        <f t="shared" si="0"/>
        <v>150000</v>
      </c>
      <c r="F17" s="14">
        <f t="shared" si="1"/>
        <v>500000</v>
      </c>
    </row>
    <row r="18" spans="1:6" x14ac:dyDescent="0.35">
      <c r="A18" s="13">
        <v>45180</v>
      </c>
      <c r="B18">
        <v>4756</v>
      </c>
      <c r="C18" t="s">
        <v>110</v>
      </c>
      <c r="D18" s="14">
        <v>10000</v>
      </c>
      <c r="E18" s="14">
        <f t="shared" si="0"/>
        <v>160000</v>
      </c>
      <c r="F18" s="14">
        <f t="shared" si="1"/>
        <v>490000</v>
      </c>
    </row>
    <row r="19" spans="1:6" x14ac:dyDescent="0.35">
      <c r="A19" s="13">
        <v>44969</v>
      </c>
      <c r="B19">
        <v>5253</v>
      </c>
      <c r="C19" t="s">
        <v>110</v>
      </c>
      <c r="D19" s="14">
        <v>10000</v>
      </c>
      <c r="E19" s="14">
        <f t="shared" si="0"/>
        <v>170000</v>
      </c>
      <c r="F19" s="14">
        <f t="shared" si="1"/>
        <v>480000</v>
      </c>
    </row>
    <row r="20" spans="1:6" x14ac:dyDescent="0.35">
      <c r="A20" s="13">
        <v>45444</v>
      </c>
      <c r="B20">
        <v>5938</v>
      </c>
      <c r="C20" t="s">
        <v>110</v>
      </c>
      <c r="D20" s="14">
        <v>10000</v>
      </c>
      <c r="E20" s="14">
        <f t="shared" si="0"/>
        <v>180000</v>
      </c>
      <c r="F20" s="14">
        <f t="shared" si="1"/>
        <v>470000</v>
      </c>
    </row>
    <row r="21" spans="1:6" x14ac:dyDescent="0.35">
      <c r="A21" s="13">
        <v>45353</v>
      </c>
      <c r="B21">
        <v>6513</v>
      </c>
      <c r="C21" t="s">
        <v>110</v>
      </c>
      <c r="D21" s="14">
        <v>10000</v>
      </c>
      <c r="E21" s="14">
        <f t="shared" si="0"/>
        <v>190000</v>
      </c>
      <c r="F21" s="14">
        <f t="shared" si="1"/>
        <v>460000</v>
      </c>
    </row>
    <row r="22" spans="1:6" x14ac:dyDescent="0.35">
      <c r="A22" t="s">
        <v>88</v>
      </c>
      <c r="B22">
        <v>2344</v>
      </c>
      <c r="C22" t="s">
        <v>110</v>
      </c>
      <c r="D22" s="14">
        <v>10000</v>
      </c>
      <c r="E22" s="14">
        <f t="shared" si="0"/>
        <v>200000</v>
      </c>
      <c r="F22" s="14">
        <f t="shared" si="1"/>
        <v>450000</v>
      </c>
    </row>
    <row r="23" spans="1:6" x14ac:dyDescent="0.35">
      <c r="A23" t="s">
        <v>89</v>
      </c>
      <c r="B23">
        <v>8006</v>
      </c>
      <c r="C23" t="s">
        <v>110</v>
      </c>
      <c r="D23" s="14">
        <v>10000</v>
      </c>
      <c r="E23" s="14">
        <f t="shared" si="0"/>
        <v>210000</v>
      </c>
      <c r="F23" s="14">
        <f t="shared" si="1"/>
        <v>440000</v>
      </c>
    </row>
    <row r="24" spans="1:6" x14ac:dyDescent="0.35">
      <c r="A24" s="13">
        <v>45509</v>
      </c>
      <c r="B24">
        <v>8378</v>
      </c>
      <c r="C24" t="s">
        <v>110</v>
      </c>
      <c r="D24" s="14">
        <v>72000</v>
      </c>
      <c r="E24" s="14">
        <f t="shared" si="0"/>
        <v>282000</v>
      </c>
      <c r="F24" s="14">
        <f t="shared" si="1"/>
        <v>368000</v>
      </c>
    </row>
    <row r="25" spans="1:6" x14ac:dyDescent="0.35">
      <c r="A25" s="13">
        <v>45509</v>
      </c>
      <c r="B25">
        <v>8335</v>
      </c>
      <c r="C25" t="s">
        <v>110</v>
      </c>
      <c r="D25" s="14">
        <v>10000</v>
      </c>
      <c r="E25" s="14">
        <f t="shared" si="0"/>
        <v>292000</v>
      </c>
      <c r="F25" s="14">
        <f t="shared" si="1"/>
        <v>358000</v>
      </c>
    </row>
    <row r="26" spans="1:6" x14ac:dyDescent="0.35">
      <c r="A26" t="s">
        <v>91</v>
      </c>
      <c r="B26">
        <v>10114</v>
      </c>
      <c r="C26" t="s">
        <v>110</v>
      </c>
      <c r="D26" s="14">
        <v>10000</v>
      </c>
      <c r="E26" s="14">
        <f t="shared" si="0"/>
        <v>302000</v>
      </c>
      <c r="F26" s="14">
        <f t="shared" si="1"/>
        <v>348000</v>
      </c>
    </row>
    <row r="27" spans="1:6" x14ac:dyDescent="0.35">
      <c r="A27" t="s">
        <v>92</v>
      </c>
      <c r="B27">
        <v>11629</v>
      </c>
      <c r="C27" t="s">
        <v>110</v>
      </c>
      <c r="D27" s="14">
        <v>10000</v>
      </c>
      <c r="E27" s="14">
        <f t="shared" si="0"/>
        <v>312000</v>
      </c>
      <c r="F27" s="14">
        <f t="shared" si="1"/>
        <v>338000</v>
      </c>
    </row>
    <row r="28" spans="1:6" x14ac:dyDescent="0.35">
      <c r="A28" t="s">
        <v>111</v>
      </c>
      <c r="B28">
        <v>12130</v>
      </c>
      <c r="C28" t="s">
        <v>110</v>
      </c>
      <c r="D28" s="14">
        <v>10000</v>
      </c>
      <c r="E28" s="14">
        <f t="shared" si="0"/>
        <v>322000</v>
      </c>
      <c r="F28" s="14">
        <f t="shared" si="1"/>
        <v>328000</v>
      </c>
    </row>
    <row r="29" spans="1:6" x14ac:dyDescent="0.35">
      <c r="A29" t="s">
        <v>112</v>
      </c>
      <c r="B29">
        <v>12676</v>
      </c>
      <c r="C29" t="s">
        <v>110</v>
      </c>
      <c r="D29" s="14">
        <v>10000</v>
      </c>
      <c r="E29" s="14">
        <f t="shared" si="0"/>
        <v>332000</v>
      </c>
      <c r="F29" s="14">
        <f t="shared" si="1"/>
        <v>318000</v>
      </c>
    </row>
    <row r="30" spans="1:6" x14ac:dyDescent="0.35">
      <c r="A30" t="s">
        <v>113</v>
      </c>
      <c r="B30">
        <v>9167</v>
      </c>
      <c r="C30" t="s">
        <v>110</v>
      </c>
      <c r="D30" s="14">
        <v>10000</v>
      </c>
      <c r="E30" s="14">
        <f t="shared" si="0"/>
        <v>342000</v>
      </c>
      <c r="F30" s="14">
        <f t="shared" si="1"/>
        <v>308000</v>
      </c>
    </row>
    <row r="31" spans="1:6" x14ac:dyDescent="0.35">
      <c r="A31" t="s">
        <v>114</v>
      </c>
      <c r="B31">
        <v>9406</v>
      </c>
      <c r="C31" t="s">
        <v>110</v>
      </c>
      <c r="D31" s="14">
        <v>10000</v>
      </c>
      <c r="E31" s="14">
        <f t="shared" si="0"/>
        <v>352000</v>
      </c>
      <c r="F31" s="14">
        <f t="shared" si="1"/>
        <v>298000</v>
      </c>
    </row>
    <row r="32" spans="1:6" x14ac:dyDescent="0.35">
      <c r="A32" s="13">
        <v>45841</v>
      </c>
      <c r="B32">
        <v>9638</v>
      </c>
      <c r="C32" t="s">
        <v>110</v>
      </c>
      <c r="D32" s="14">
        <v>10000</v>
      </c>
      <c r="E32" s="14">
        <f t="shared" si="0"/>
        <v>362000</v>
      </c>
      <c r="F32" s="14">
        <f t="shared" si="1"/>
        <v>288000</v>
      </c>
    </row>
    <row r="33" spans="1:6" x14ac:dyDescent="0.35">
      <c r="A33" t="s">
        <v>95</v>
      </c>
      <c r="B33">
        <v>10005</v>
      </c>
      <c r="C33" t="s">
        <v>110</v>
      </c>
      <c r="D33" s="14">
        <v>10000</v>
      </c>
      <c r="E33" s="14">
        <f t="shared" si="0"/>
        <v>372000</v>
      </c>
      <c r="F33" s="14">
        <f t="shared" si="1"/>
        <v>278000</v>
      </c>
    </row>
    <row r="34" spans="1:6" x14ac:dyDescent="0.35">
      <c r="A34" t="s">
        <v>96</v>
      </c>
      <c r="B34">
        <v>12263</v>
      </c>
      <c r="C34" t="s">
        <v>110</v>
      </c>
      <c r="D34" s="14">
        <v>10000</v>
      </c>
      <c r="E34" s="14">
        <f t="shared" si="0"/>
        <v>382000</v>
      </c>
      <c r="F34" s="14">
        <f t="shared" si="1"/>
        <v>268000</v>
      </c>
    </row>
    <row r="35" spans="1:6" x14ac:dyDescent="0.35">
      <c r="A35" t="s">
        <v>97</v>
      </c>
      <c r="B35">
        <v>12268</v>
      </c>
      <c r="C35" t="s">
        <v>110</v>
      </c>
      <c r="D35" s="14">
        <v>10000</v>
      </c>
      <c r="E35" s="14">
        <f t="shared" si="0"/>
        <v>392000</v>
      </c>
      <c r="F35" s="14">
        <f t="shared" si="1"/>
        <v>258000</v>
      </c>
    </row>
    <row r="36" spans="1:6" x14ac:dyDescent="0.35">
      <c r="A36" t="s">
        <v>98</v>
      </c>
      <c r="B36">
        <v>12245</v>
      </c>
      <c r="C36" t="s">
        <v>110</v>
      </c>
      <c r="D36" s="14">
        <v>10000</v>
      </c>
      <c r="E36" s="14">
        <f t="shared" si="0"/>
        <v>402000</v>
      </c>
      <c r="F36" s="14">
        <f t="shared" si="1"/>
        <v>248000</v>
      </c>
    </row>
    <row r="37" spans="1:6" x14ac:dyDescent="0.35">
      <c r="A37" t="s">
        <v>99</v>
      </c>
      <c r="B37">
        <v>12990</v>
      </c>
      <c r="C37" t="s">
        <v>110</v>
      </c>
      <c r="D37" s="14">
        <v>10000</v>
      </c>
      <c r="E37" s="14">
        <f t="shared" si="0"/>
        <v>412000</v>
      </c>
      <c r="F37" s="14">
        <f t="shared" si="1"/>
        <v>238000</v>
      </c>
    </row>
    <row r="38" spans="1:6" x14ac:dyDescent="0.35">
      <c r="A38" t="s">
        <v>100</v>
      </c>
      <c r="B38">
        <v>13970</v>
      </c>
      <c r="C38" t="s">
        <v>110</v>
      </c>
      <c r="D38" s="14">
        <v>10000</v>
      </c>
      <c r="E38" s="14">
        <f t="shared" si="0"/>
        <v>422000</v>
      </c>
      <c r="F38" s="14">
        <f t="shared" si="1"/>
        <v>228000</v>
      </c>
    </row>
    <row r="39" spans="1:6" x14ac:dyDescent="0.35">
      <c r="A39" t="s">
        <v>101</v>
      </c>
      <c r="B39">
        <v>13525</v>
      </c>
      <c r="C39" t="s">
        <v>110</v>
      </c>
      <c r="D39" s="14">
        <v>10000</v>
      </c>
      <c r="E39" s="14">
        <f t="shared" si="0"/>
        <v>432000</v>
      </c>
      <c r="F39" s="14">
        <f t="shared" si="1"/>
        <v>218000</v>
      </c>
    </row>
    <row r="40" spans="1:6" x14ac:dyDescent="0.35">
      <c r="A40" s="13">
        <v>45911</v>
      </c>
      <c r="B40">
        <v>12499</v>
      </c>
      <c r="C40" t="s">
        <v>110</v>
      </c>
      <c r="D40" s="14">
        <v>10000</v>
      </c>
      <c r="E40" s="14">
        <f t="shared" si="0"/>
        <v>442000</v>
      </c>
      <c r="F40" s="14">
        <f t="shared" si="1"/>
        <v>208000</v>
      </c>
    </row>
    <row r="41" spans="1:6" x14ac:dyDescent="0.35">
      <c r="A41" t="s">
        <v>102</v>
      </c>
      <c r="B41">
        <v>13807</v>
      </c>
      <c r="C41" t="s">
        <v>110</v>
      </c>
      <c r="D41" s="14">
        <v>10000</v>
      </c>
      <c r="E41" s="14">
        <f t="shared" si="0"/>
        <v>452000</v>
      </c>
      <c r="F41" s="14">
        <f t="shared" si="1"/>
        <v>198000</v>
      </c>
    </row>
    <row r="42" spans="1:6" x14ac:dyDescent="0.35">
      <c r="A42" t="s">
        <v>103</v>
      </c>
      <c r="B42">
        <v>12219</v>
      </c>
      <c r="C42" t="s">
        <v>110</v>
      </c>
      <c r="D42" s="14">
        <v>10000</v>
      </c>
      <c r="E42" s="14">
        <f t="shared" si="0"/>
        <v>462000</v>
      </c>
      <c r="F42" s="14">
        <f t="shared" si="1"/>
        <v>188000</v>
      </c>
    </row>
    <row r="43" spans="1:6" x14ac:dyDescent="0.35">
      <c r="A43" t="s">
        <v>104</v>
      </c>
      <c r="B43">
        <v>12536</v>
      </c>
      <c r="C43" t="s">
        <v>110</v>
      </c>
      <c r="D43" s="14">
        <v>10000</v>
      </c>
      <c r="E43" s="14">
        <f t="shared" si="0"/>
        <v>472000</v>
      </c>
      <c r="F43" s="14">
        <f t="shared" si="1"/>
        <v>178000</v>
      </c>
    </row>
    <row r="44" spans="1:6" x14ac:dyDescent="0.35">
      <c r="A44" t="s">
        <v>115</v>
      </c>
      <c r="C44" t="s">
        <v>110</v>
      </c>
      <c r="D44" s="14">
        <v>10000</v>
      </c>
      <c r="E44" s="14">
        <f t="shared" si="0"/>
        <v>482000</v>
      </c>
      <c r="F44" s="14">
        <f t="shared" si="1"/>
        <v>168000</v>
      </c>
    </row>
    <row r="45" spans="1:6" x14ac:dyDescent="0.35">
      <c r="A45" s="13">
        <v>46299</v>
      </c>
      <c r="C45" t="s">
        <v>110</v>
      </c>
      <c r="D45" s="14">
        <v>10000</v>
      </c>
      <c r="E45" s="14">
        <f t="shared" si="0"/>
        <v>492000</v>
      </c>
      <c r="F45" s="14">
        <f t="shared" si="1"/>
        <v>158000</v>
      </c>
    </row>
    <row r="46" spans="1:6" x14ac:dyDescent="0.35">
      <c r="A46" t="s">
        <v>142</v>
      </c>
      <c r="B46">
        <v>13424</v>
      </c>
      <c r="C46" t="s">
        <v>110</v>
      </c>
      <c r="D46" s="14">
        <v>10000</v>
      </c>
      <c r="E46" s="14">
        <f>E45+D46</f>
        <v>502000</v>
      </c>
      <c r="F46" s="14">
        <f>F45-D46</f>
        <v>148000</v>
      </c>
    </row>
    <row r="47" spans="1:6" x14ac:dyDescent="0.35">
      <c r="A47" t="s">
        <v>143</v>
      </c>
      <c r="B47">
        <v>13668</v>
      </c>
      <c r="C47" t="s">
        <v>110</v>
      </c>
      <c r="D47" s="14">
        <v>10000</v>
      </c>
      <c r="E47" s="14">
        <f>E46+D47</f>
        <v>512000</v>
      </c>
      <c r="F47" s="14">
        <f>F46-D47</f>
        <v>138000</v>
      </c>
    </row>
    <row r="48" spans="1:6" x14ac:dyDescent="0.35">
      <c r="A48" t="s">
        <v>146</v>
      </c>
      <c r="B48">
        <v>1379</v>
      </c>
      <c r="C48" t="s">
        <v>110</v>
      </c>
      <c r="D48" s="14">
        <v>10000</v>
      </c>
      <c r="E48" s="14">
        <f>E47+D48</f>
        <v>522000</v>
      </c>
      <c r="F48" s="14">
        <f>F47-D48</f>
        <v>128000</v>
      </c>
    </row>
    <row r="49" spans="1:6" x14ac:dyDescent="0.35">
      <c r="A49" s="13">
        <v>46030</v>
      </c>
      <c r="B49">
        <v>1615</v>
      </c>
      <c r="D49" s="14">
        <v>10000</v>
      </c>
      <c r="E49" s="14">
        <v>532000</v>
      </c>
      <c r="F49" s="14">
        <v>118000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7" workbookViewId="0">
      <selection activeCell="B40" sqref="B40"/>
    </sheetView>
  </sheetViews>
  <sheetFormatPr defaultRowHeight="14.5" x14ac:dyDescent="0.35"/>
  <cols>
    <col min="1" max="1" width="9.453125" bestFit="1" customWidth="1"/>
    <col min="3" max="3" width="11.81640625" customWidth="1"/>
    <col min="4" max="4" width="11.08984375" customWidth="1"/>
    <col min="5" max="5" width="10.90625" customWidth="1"/>
    <col min="6" max="6" width="11.453125" customWidth="1"/>
  </cols>
  <sheetData>
    <row r="1" spans="1:6" ht="18.5" x14ac:dyDescent="0.45">
      <c r="A1" s="20" t="s">
        <v>42</v>
      </c>
      <c r="B1" s="20"/>
      <c r="C1" s="21"/>
      <c r="D1" s="20"/>
      <c r="E1" s="20"/>
      <c r="F1" s="20"/>
    </row>
    <row r="2" spans="1:6" ht="18.5" x14ac:dyDescent="0.45">
      <c r="A2" s="20" t="s">
        <v>43</v>
      </c>
      <c r="B2" s="22"/>
      <c r="C2" s="20"/>
      <c r="D2" s="20"/>
      <c r="E2" s="20"/>
      <c r="F2" s="20"/>
    </row>
    <row r="3" spans="1:6" ht="18.5" x14ac:dyDescent="0.45">
      <c r="A3" s="20" t="s">
        <v>44</v>
      </c>
      <c r="B3" s="20"/>
      <c r="C3" s="20"/>
      <c r="D3" s="20"/>
      <c r="E3" s="20"/>
      <c r="F3" s="20"/>
    </row>
    <row r="4" spans="1:6" ht="18.5" x14ac:dyDescent="0.45">
      <c r="A4" s="20" t="s">
        <v>140</v>
      </c>
      <c r="B4" s="20"/>
      <c r="C4" s="20"/>
      <c r="D4" s="20"/>
      <c r="E4" s="20"/>
      <c r="F4" s="20"/>
    </row>
    <row r="5" spans="1:6" ht="18.5" x14ac:dyDescent="0.45">
      <c r="A5" s="20" t="s">
        <v>45</v>
      </c>
      <c r="B5" s="20"/>
      <c r="C5" s="20"/>
      <c r="D5" s="20"/>
      <c r="E5" s="20"/>
      <c r="F5" s="20"/>
    </row>
    <row r="6" spans="1:6" ht="18.5" x14ac:dyDescent="0.45">
      <c r="A6" s="20" t="s">
        <v>46</v>
      </c>
      <c r="B6" s="20"/>
      <c r="C6" s="20"/>
      <c r="D6" s="20" t="s">
        <v>11</v>
      </c>
      <c r="E6" s="20"/>
      <c r="F6" s="20"/>
    </row>
    <row r="7" spans="1:6" x14ac:dyDescent="0.35">
      <c r="A7" s="23" t="s">
        <v>0</v>
      </c>
      <c r="B7" s="24" t="s">
        <v>1</v>
      </c>
      <c r="C7" s="24" t="s">
        <v>2</v>
      </c>
      <c r="D7" s="24" t="s">
        <v>3</v>
      </c>
      <c r="E7" s="24" t="s">
        <v>4</v>
      </c>
      <c r="F7" s="24" t="s">
        <v>5</v>
      </c>
    </row>
    <row r="8" spans="1:6" x14ac:dyDescent="0.35">
      <c r="A8" s="25" t="s">
        <v>47</v>
      </c>
      <c r="B8" s="25"/>
      <c r="C8" s="25" t="s">
        <v>56</v>
      </c>
      <c r="D8" s="26">
        <v>10000</v>
      </c>
      <c r="E8" s="26">
        <v>10000</v>
      </c>
      <c r="F8" s="26">
        <v>590000</v>
      </c>
    </row>
    <row r="9" spans="1:6" x14ac:dyDescent="0.35">
      <c r="A9" s="27">
        <v>44959</v>
      </c>
      <c r="B9" s="25">
        <v>2526</v>
      </c>
      <c r="C9" s="25" t="s">
        <v>57</v>
      </c>
      <c r="D9" s="26">
        <v>110000</v>
      </c>
      <c r="E9" s="26">
        <f>SUM(E8+D9)</f>
        <v>120000</v>
      </c>
      <c r="F9" s="26">
        <f>F8-D9</f>
        <v>480000</v>
      </c>
    </row>
    <row r="10" spans="1:6" x14ac:dyDescent="0.35">
      <c r="A10" s="25" t="s">
        <v>48</v>
      </c>
      <c r="B10" s="25">
        <v>2251</v>
      </c>
      <c r="C10" s="25" t="s">
        <v>19</v>
      </c>
      <c r="D10" s="26">
        <v>10000</v>
      </c>
      <c r="E10" s="26">
        <f t="shared" ref="E10:E33" si="0">SUM(E9+D10)</f>
        <v>130000</v>
      </c>
      <c r="F10" s="26">
        <f t="shared" ref="F10:F33" si="1">F9-D10</f>
        <v>470000</v>
      </c>
    </row>
    <row r="11" spans="1:6" x14ac:dyDescent="0.35">
      <c r="A11" s="25" t="s">
        <v>49</v>
      </c>
      <c r="B11" s="25">
        <v>109</v>
      </c>
      <c r="C11" s="25" t="s">
        <v>19</v>
      </c>
      <c r="D11" s="26">
        <v>30000</v>
      </c>
      <c r="E11" s="26">
        <f t="shared" si="0"/>
        <v>160000</v>
      </c>
      <c r="F11" s="26">
        <f t="shared" si="1"/>
        <v>440000</v>
      </c>
    </row>
    <row r="12" spans="1:6" x14ac:dyDescent="0.35">
      <c r="A12" s="27">
        <v>45237</v>
      </c>
      <c r="B12" s="25">
        <v>2704</v>
      </c>
      <c r="C12" s="25" t="s">
        <v>19</v>
      </c>
      <c r="D12" s="26">
        <v>10000</v>
      </c>
      <c r="E12" s="26">
        <f t="shared" si="0"/>
        <v>170000</v>
      </c>
      <c r="F12" s="26">
        <f t="shared" si="1"/>
        <v>430000</v>
      </c>
    </row>
    <row r="13" spans="1:6" x14ac:dyDescent="0.35">
      <c r="A13" s="25" t="s">
        <v>50</v>
      </c>
      <c r="B13" s="25">
        <v>3127</v>
      </c>
      <c r="C13" s="25" t="s">
        <v>19</v>
      </c>
      <c r="D13" s="26">
        <v>10000</v>
      </c>
      <c r="E13" s="26">
        <f t="shared" si="0"/>
        <v>180000</v>
      </c>
      <c r="F13" s="26">
        <f t="shared" si="1"/>
        <v>420000</v>
      </c>
    </row>
    <row r="14" spans="1:6" x14ac:dyDescent="0.35">
      <c r="A14" s="25" t="s">
        <v>51</v>
      </c>
      <c r="B14" s="25">
        <v>3636</v>
      </c>
      <c r="C14" s="25" t="s">
        <v>19</v>
      </c>
      <c r="D14" s="26">
        <v>10000</v>
      </c>
      <c r="E14" s="26">
        <f t="shared" si="0"/>
        <v>190000</v>
      </c>
      <c r="F14" s="26">
        <f t="shared" si="1"/>
        <v>410000</v>
      </c>
    </row>
    <row r="15" spans="1:6" x14ac:dyDescent="0.35">
      <c r="A15" s="25" t="s">
        <v>52</v>
      </c>
      <c r="B15" s="25">
        <v>4352</v>
      </c>
      <c r="C15" s="25" t="s">
        <v>19</v>
      </c>
      <c r="D15" s="26">
        <v>10000</v>
      </c>
      <c r="E15" s="26">
        <f t="shared" si="0"/>
        <v>200000</v>
      </c>
      <c r="F15" s="26">
        <f t="shared" si="1"/>
        <v>400000</v>
      </c>
    </row>
    <row r="16" spans="1:6" x14ac:dyDescent="0.35">
      <c r="A16" s="25" t="s">
        <v>53</v>
      </c>
      <c r="B16" s="25">
        <v>4950</v>
      </c>
      <c r="C16" s="25" t="s">
        <v>19</v>
      </c>
      <c r="D16" s="26">
        <v>10000</v>
      </c>
      <c r="E16" s="26">
        <f t="shared" si="0"/>
        <v>210000</v>
      </c>
      <c r="F16" s="26">
        <f t="shared" si="1"/>
        <v>390000</v>
      </c>
    </row>
    <row r="17" spans="1:6" x14ac:dyDescent="0.35">
      <c r="A17" s="25" t="s">
        <v>54</v>
      </c>
      <c r="B17" s="25">
        <v>5655</v>
      </c>
      <c r="C17" s="25" t="s">
        <v>19</v>
      </c>
      <c r="D17" s="26">
        <v>10000</v>
      </c>
      <c r="E17" s="26">
        <f t="shared" si="0"/>
        <v>220000</v>
      </c>
      <c r="F17" s="26">
        <f t="shared" si="1"/>
        <v>380000</v>
      </c>
    </row>
    <row r="18" spans="1:6" x14ac:dyDescent="0.35">
      <c r="A18" s="25" t="s">
        <v>55</v>
      </c>
      <c r="B18" s="25">
        <v>6286</v>
      </c>
      <c r="C18" s="25" t="s">
        <v>19</v>
      </c>
      <c r="D18" s="26">
        <v>10000</v>
      </c>
      <c r="E18" s="26">
        <f t="shared" si="0"/>
        <v>230000</v>
      </c>
      <c r="F18" s="26">
        <f t="shared" si="1"/>
        <v>370000</v>
      </c>
    </row>
    <row r="19" spans="1:6" x14ac:dyDescent="0.35">
      <c r="A19" s="25" t="s">
        <v>58</v>
      </c>
      <c r="B19" s="25">
        <v>6715</v>
      </c>
      <c r="C19" s="25" t="s">
        <v>19</v>
      </c>
      <c r="D19" s="26">
        <v>10000</v>
      </c>
      <c r="E19" s="26">
        <f t="shared" si="0"/>
        <v>240000</v>
      </c>
      <c r="F19" s="26">
        <f t="shared" si="1"/>
        <v>360000</v>
      </c>
    </row>
    <row r="20" spans="1:6" x14ac:dyDescent="0.35">
      <c r="A20" s="25" t="s">
        <v>59</v>
      </c>
      <c r="B20" s="25">
        <v>8782</v>
      </c>
      <c r="C20" s="25" t="s">
        <v>19</v>
      </c>
      <c r="D20" s="26">
        <v>20000</v>
      </c>
      <c r="E20" s="26">
        <f t="shared" si="0"/>
        <v>260000</v>
      </c>
      <c r="F20" s="26">
        <f t="shared" si="1"/>
        <v>340000</v>
      </c>
    </row>
    <row r="21" spans="1:6" x14ac:dyDescent="0.35">
      <c r="A21" s="27">
        <v>45572</v>
      </c>
      <c r="B21" s="25">
        <v>9498</v>
      </c>
      <c r="C21" s="25" t="s">
        <v>19</v>
      </c>
      <c r="D21" s="26">
        <v>20000</v>
      </c>
      <c r="E21" s="26">
        <f t="shared" si="0"/>
        <v>280000</v>
      </c>
      <c r="F21" s="26">
        <f t="shared" si="1"/>
        <v>320000</v>
      </c>
    </row>
    <row r="22" spans="1:6" x14ac:dyDescent="0.35">
      <c r="A22" s="27">
        <v>45513</v>
      </c>
      <c r="B22" s="25">
        <v>10824</v>
      </c>
      <c r="C22" s="25" t="s">
        <v>19</v>
      </c>
      <c r="D22" s="26">
        <v>20000</v>
      </c>
      <c r="E22" s="26">
        <f t="shared" si="0"/>
        <v>300000</v>
      </c>
      <c r="F22" s="26">
        <f t="shared" si="1"/>
        <v>300000</v>
      </c>
    </row>
    <row r="23" spans="1:6" x14ac:dyDescent="0.35">
      <c r="A23" s="27">
        <v>45659</v>
      </c>
      <c r="B23" s="25">
        <v>9174</v>
      </c>
      <c r="C23" s="25" t="s">
        <v>19</v>
      </c>
      <c r="D23" s="26">
        <v>20000</v>
      </c>
      <c r="E23" s="26">
        <f t="shared" si="0"/>
        <v>320000</v>
      </c>
      <c r="F23" s="26">
        <f t="shared" si="1"/>
        <v>280000</v>
      </c>
    </row>
    <row r="24" spans="1:6" x14ac:dyDescent="0.35">
      <c r="A24" s="25" t="s">
        <v>60</v>
      </c>
      <c r="B24" s="25">
        <v>9537</v>
      </c>
      <c r="C24" s="25" t="s">
        <v>19</v>
      </c>
      <c r="D24" s="26">
        <v>10000</v>
      </c>
      <c r="E24" s="26">
        <f t="shared" si="0"/>
        <v>330000</v>
      </c>
      <c r="F24" s="26">
        <f t="shared" si="1"/>
        <v>270000</v>
      </c>
    </row>
    <row r="25" spans="1:6" x14ac:dyDescent="0.35">
      <c r="A25" s="27">
        <v>45994</v>
      </c>
      <c r="B25" s="25">
        <v>9738</v>
      </c>
      <c r="C25" s="25" t="s">
        <v>19</v>
      </c>
      <c r="D25" s="26">
        <v>10000</v>
      </c>
      <c r="E25" s="26">
        <f t="shared" si="0"/>
        <v>340000</v>
      </c>
      <c r="F25" s="26">
        <f t="shared" si="1"/>
        <v>260000</v>
      </c>
    </row>
    <row r="26" spans="1:6" x14ac:dyDescent="0.35">
      <c r="A26" s="25" t="s">
        <v>61</v>
      </c>
      <c r="B26" s="25">
        <v>9948</v>
      </c>
      <c r="C26" s="25" t="s">
        <v>19</v>
      </c>
      <c r="D26" s="26">
        <v>20000</v>
      </c>
      <c r="E26" s="26">
        <f t="shared" si="0"/>
        <v>360000</v>
      </c>
      <c r="F26" s="26">
        <f t="shared" si="1"/>
        <v>240000</v>
      </c>
    </row>
    <row r="27" spans="1:6" x14ac:dyDescent="0.35">
      <c r="A27" s="25" t="s">
        <v>62</v>
      </c>
      <c r="B27" s="25">
        <v>13232</v>
      </c>
      <c r="C27" s="25" t="s">
        <v>19</v>
      </c>
      <c r="D27" s="26">
        <v>20000</v>
      </c>
      <c r="E27" s="26">
        <f t="shared" si="0"/>
        <v>380000</v>
      </c>
      <c r="F27" s="26">
        <f t="shared" si="1"/>
        <v>220000</v>
      </c>
    </row>
    <row r="28" spans="1:6" x14ac:dyDescent="0.35">
      <c r="A28" s="27">
        <v>45665</v>
      </c>
      <c r="B28" s="25">
        <v>12349</v>
      </c>
      <c r="C28" s="25" t="s">
        <v>19</v>
      </c>
      <c r="D28" s="26">
        <v>20000</v>
      </c>
      <c r="E28" s="26">
        <f t="shared" si="0"/>
        <v>400000</v>
      </c>
      <c r="F28" s="26">
        <f t="shared" si="1"/>
        <v>200000</v>
      </c>
    </row>
    <row r="29" spans="1:6" x14ac:dyDescent="0.35">
      <c r="A29" s="25" t="s">
        <v>63</v>
      </c>
      <c r="B29" s="25">
        <v>13976</v>
      </c>
      <c r="C29" s="25" t="s">
        <v>19</v>
      </c>
      <c r="D29" s="26">
        <v>20000</v>
      </c>
      <c r="E29" s="26">
        <f t="shared" si="0"/>
        <v>420000</v>
      </c>
      <c r="F29" s="26">
        <f t="shared" si="1"/>
        <v>180000</v>
      </c>
    </row>
    <row r="30" spans="1:6" x14ac:dyDescent="0.35">
      <c r="A30" s="25" t="s">
        <v>64</v>
      </c>
      <c r="B30" s="25">
        <v>12265</v>
      </c>
      <c r="C30" s="25" t="s">
        <v>19</v>
      </c>
      <c r="D30" s="26">
        <v>10000</v>
      </c>
      <c r="E30" s="26">
        <f t="shared" si="0"/>
        <v>430000</v>
      </c>
      <c r="F30" s="26">
        <f t="shared" si="1"/>
        <v>170000</v>
      </c>
    </row>
    <row r="31" spans="1:6" x14ac:dyDescent="0.35">
      <c r="A31" s="25" t="s">
        <v>65</v>
      </c>
      <c r="B31" s="25">
        <v>12595</v>
      </c>
      <c r="C31" s="25" t="s">
        <v>19</v>
      </c>
      <c r="D31" s="26">
        <v>10000</v>
      </c>
      <c r="E31" s="26">
        <f t="shared" si="0"/>
        <v>440000</v>
      </c>
      <c r="F31" s="26">
        <f t="shared" si="1"/>
        <v>160000</v>
      </c>
    </row>
    <row r="32" spans="1:6" x14ac:dyDescent="0.35">
      <c r="A32" s="25" t="s">
        <v>66</v>
      </c>
      <c r="B32" s="25">
        <v>13969</v>
      </c>
      <c r="C32" s="25" t="s">
        <v>19</v>
      </c>
      <c r="D32" s="26">
        <v>10000</v>
      </c>
      <c r="E32" s="26">
        <f t="shared" si="0"/>
        <v>450000</v>
      </c>
      <c r="F32" s="26">
        <f t="shared" si="1"/>
        <v>150000</v>
      </c>
    </row>
    <row r="33" spans="1:6" x14ac:dyDescent="0.35">
      <c r="A33" s="25" t="s">
        <v>139</v>
      </c>
      <c r="B33" s="25">
        <v>13071</v>
      </c>
      <c r="C33" s="25" t="s">
        <v>19</v>
      </c>
      <c r="D33" s="26">
        <v>10000</v>
      </c>
      <c r="E33" s="26">
        <f t="shared" si="0"/>
        <v>460000</v>
      </c>
      <c r="F33" s="26">
        <f t="shared" si="1"/>
        <v>140000</v>
      </c>
    </row>
    <row r="34" spans="1:6" x14ac:dyDescent="0.35">
      <c r="A34" s="25" t="s">
        <v>144</v>
      </c>
      <c r="B34" s="25">
        <v>13465</v>
      </c>
      <c r="C34" s="25" t="s">
        <v>19</v>
      </c>
      <c r="D34" s="26">
        <v>10000</v>
      </c>
      <c r="E34" s="26">
        <f>E33+D34</f>
        <v>470000</v>
      </c>
      <c r="F34" s="26">
        <f>F33-D34</f>
        <v>130000</v>
      </c>
    </row>
    <row r="35" spans="1:6" x14ac:dyDescent="0.35">
      <c r="A35" s="25" t="s">
        <v>145</v>
      </c>
      <c r="B35" s="25">
        <v>1309</v>
      </c>
      <c r="C35" s="25" t="s">
        <v>19</v>
      </c>
      <c r="D35" s="26">
        <v>10000</v>
      </c>
      <c r="E35" s="26">
        <f>E34+D35</f>
        <v>480000</v>
      </c>
      <c r="F35" s="26">
        <f>F34-D35</f>
        <v>120000</v>
      </c>
    </row>
    <row r="36" spans="1:6" x14ac:dyDescent="0.35">
      <c r="A36" s="25" t="s">
        <v>151</v>
      </c>
      <c r="B36" s="25">
        <v>1577</v>
      </c>
      <c r="C36" s="25" t="s">
        <v>19</v>
      </c>
      <c r="D36" s="26">
        <v>10000</v>
      </c>
      <c r="E36" s="26">
        <f>E35+D36</f>
        <v>490000</v>
      </c>
      <c r="F36" s="26">
        <f>F35-D36</f>
        <v>110000</v>
      </c>
    </row>
    <row r="37" spans="1:6" x14ac:dyDescent="0.35">
      <c r="A37" s="25" t="s">
        <v>153</v>
      </c>
      <c r="B37" s="25">
        <v>1808</v>
      </c>
      <c r="C37" s="25" t="s">
        <v>19</v>
      </c>
      <c r="D37" s="26">
        <v>10000</v>
      </c>
      <c r="E37" s="26">
        <f>E36+D37</f>
        <v>500000</v>
      </c>
      <c r="F37" s="26">
        <f>F36-D37</f>
        <v>100000</v>
      </c>
    </row>
    <row r="38" spans="1:6" x14ac:dyDescent="0.35">
      <c r="A38" s="25" t="s">
        <v>156</v>
      </c>
      <c r="B38" s="25">
        <v>2111</v>
      </c>
      <c r="C38" s="25" t="s">
        <v>19</v>
      </c>
      <c r="D38" s="26">
        <v>10000</v>
      </c>
      <c r="E38" s="26">
        <f>E37+D38</f>
        <v>510000</v>
      </c>
      <c r="F38" s="26">
        <f>F37-D38</f>
        <v>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19" workbookViewId="0">
      <selection activeCell="G38" sqref="A38:G38"/>
    </sheetView>
  </sheetViews>
  <sheetFormatPr defaultRowHeight="14.5" x14ac:dyDescent="0.35"/>
  <cols>
    <col min="1" max="1" width="9.54296875" customWidth="1"/>
    <col min="3" max="3" width="9.81640625" customWidth="1"/>
    <col min="6" max="6" width="11" customWidth="1"/>
  </cols>
  <sheetData>
    <row r="1" spans="1:19" ht="18.5" x14ac:dyDescent="0.45">
      <c r="A1" s="1" t="s">
        <v>42</v>
      </c>
      <c r="B1" s="1"/>
      <c r="C1" s="2"/>
      <c r="D1" s="1"/>
      <c r="E1" s="1"/>
      <c r="F1" s="1"/>
    </row>
    <row r="2" spans="1:19" ht="18.5" x14ac:dyDescent="0.45">
      <c r="A2" s="1" t="s">
        <v>43</v>
      </c>
      <c r="C2" s="1"/>
      <c r="D2" s="1"/>
      <c r="E2" s="1"/>
      <c r="F2" s="1"/>
    </row>
    <row r="3" spans="1:19" ht="18.5" x14ac:dyDescent="0.45">
      <c r="A3" s="1" t="s">
        <v>44</v>
      </c>
      <c r="B3" s="1"/>
      <c r="C3" s="1"/>
      <c r="D3" s="1"/>
      <c r="E3" s="1"/>
      <c r="F3" s="1"/>
    </row>
    <row r="4" spans="1:19" ht="18.5" x14ac:dyDescent="0.45">
      <c r="A4" s="1" t="s">
        <v>138</v>
      </c>
      <c r="B4" s="1"/>
      <c r="C4" s="1"/>
      <c r="D4" s="1"/>
      <c r="E4" s="1"/>
      <c r="F4" s="1"/>
    </row>
    <row r="5" spans="1:19" ht="18.5" x14ac:dyDescent="0.45">
      <c r="A5" s="1" t="s">
        <v>45</v>
      </c>
      <c r="B5" s="1"/>
      <c r="C5" s="1"/>
      <c r="D5" s="1"/>
      <c r="E5" s="1"/>
      <c r="F5" s="1"/>
    </row>
    <row r="6" spans="1:19" ht="18.5" x14ac:dyDescent="0.45">
      <c r="A6" s="1" t="s">
        <v>67</v>
      </c>
      <c r="B6" s="1"/>
      <c r="C6" s="1"/>
      <c r="D6" s="1" t="s">
        <v>11</v>
      </c>
      <c r="E6" s="1"/>
      <c r="F6" s="1"/>
    </row>
    <row r="7" spans="1:19" s="10" customFormat="1" x14ac:dyDescent="0.35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/>
      <c r="H7"/>
      <c r="I7"/>
      <c r="J7"/>
      <c r="K7"/>
      <c r="L7"/>
      <c r="M7"/>
      <c r="N7"/>
      <c r="O7"/>
      <c r="P7"/>
      <c r="Q7"/>
      <c r="R7"/>
      <c r="S7"/>
    </row>
    <row r="8" spans="1:19" s="10" customFormat="1" x14ac:dyDescent="0.35">
      <c r="A8" s="10" t="s">
        <v>47</v>
      </c>
      <c r="C8" s="10" t="s">
        <v>56</v>
      </c>
      <c r="D8" s="11">
        <v>10000</v>
      </c>
      <c r="E8" s="11">
        <v>10000</v>
      </c>
      <c r="F8" s="11">
        <v>590000</v>
      </c>
      <c r="G8"/>
      <c r="H8"/>
      <c r="I8"/>
      <c r="J8"/>
      <c r="K8"/>
      <c r="L8"/>
      <c r="M8"/>
      <c r="N8"/>
      <c r="O8"/>
      <c r="P8"/>
      <c r="Q8"/>
      <c r="R8"/>
      <c r="S8"/>
    </row>
    <row r="9" spans="1:19" s="10" customFormat="1" x14ac:dyDescent="0.35">
      <c r="A9" s="12">
        <v>44959</v>
      </c>
      <c r="B9" s="10">
        <v>2525</v>
      </c>
      <c r="C9" s="10" t="s">
        <v>57</v>
      </c>
      <c r="D9" s="11">
        <v>110000</v>
      </c>
      <c r="E9" s="11">
        <f>SUM(E8+D9)</f>
        <v>120000</v>
      </c>
      <c r="F9" s="11">
        <f>F8-D9</f>
        <v>480000</v>
      </c>
      <c r="G9"/>
      <c r="H9"/>
      <c r="I9"/>
      <c r="J9"/>
      <c r="K9"/>
      <c r="L9"/>
      <c r="M9"/>
      <c r="N9"/>
      <c r="O9"/>
      <c r="P9"/>
      <c r="Q9"/>
      <c r="R9"/>
      <c r="S9"/>
    </row>
    <row r="10" spans="1:19" s="10" customFormat="1" x14ac:dyDescent="0.35">
      <c r="A10" s="10" t="s">
        <v>48</v>
      </c>
      <c r="B10" s="10">
        <v>2252</v>
      </c>
      <c r="C10" s="10" t="s">
        <v>19</v>
      </c>
      <c r="D10" s="11">
        <v>10000</v>
      </c>
      <c r="E10" s="11">
        <f t="shared" ref="E10:E33" si="0">SUM(E9+D10)</f>
        <v>130000</v>
      </c>
      <c r="F10" s="11">
        <f t="shared" ref="F10:F33" si="1">F9-D10</f>
        <v>470000</v>
      </c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s="10" customFormat="1" x14ac:dyDescent="0.35">
      <c r="A11" s="10" t="s">
        <v>49</v>
      </c>
      <c r="B11" s="10">
        <v>110</v>
      </c>
      <c r="C11" s="10" t="s">
        <v>19</v>
      </c>
      <c r="D11" s="11">
        <v>30000</v>
      </c>
      <c r="E11" s="11">
        <f t="shared" si="0"/>
        <v>160000</v>
      </c>
      <c r="F11" s="11">
        <f t="shared" si="1"/>
        <v>440000</v>
      </c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s="10" customFormat="1" x14ac:dyDescent="0.35">
      <c r="A12" s="12">
        <v>45237</v>
      </c>
      <c r="B12" s="10">
        <v>2705</v>
      </c>
      <c r="C12" s="10" t="s">
        <v>19</v>
      </c>
      <c r="D12" s="11">
        <v>10000</v>
      </c>
      <c r="E12" s="11">
        <f t="shared" si="0"/>
        <v>170000</v>
      </c>
      <c r="F12" s="11">
        <f t="shared" si="1"/>
        <v>430000</v>
      </c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s="10" customFormat="1" x14ac:dyDescent="0.35">
      <c r="A13" s="10" t="s">
        <v>50</v>
      </c>
      <c r="B13" s="10">
        <v>3126</v>
      </c>
      <c r="C13" s="10" t="s">
        <v>19</v>
      </c>
      <c r="D13" s="11">
        <v>10000</v>
      </c>
      <c r="E13" s="11">
        <f t="shared" si="0"/>
        <v>180000</v>
      </c>
      <c r="F13" s="11">
        <f t="shared" si="1"/>
        <v>420000</v>
      </c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s="10" customFormat="1" x14ac:dyDescent="0.35">
      <c r="A14" s="10" t="s">
        <v>51</v>
      </c>
      <c r="B14" s="10">
        <v>3637</v>
      </c>
      <c r="C14" s="10" t="s">
        <v>19</v>
      </c>
      <c r="D14" s="11">
        <v>10000</v>
      </c>
      <c r="E14" s="11">
        <f t="shared" si="0"/>
        <v>190000</v>
      </c>
      <c r="F14" s="11">
        <f t="shared" si="1"/>
        <v>410000</v>
      </c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s="10" customFormat="1" x14ac:dyDescent="0.35">
      <c r="A15" s="10" t="s">
        <v>52</v>
      </c>
      <c r="B15" s="10">
        <v>4351</v>
      </c>
      <c r="C15" s="10" t="s">
        <v>19</v>
      </c>
      <c r="D15" s="11">
        <v>10000</v>
      </c>
      <c r="E15" s="11">
        <f t="shared" si="0"/>
        <v>200000</v>
      </c>
      <c r="F15" s="11">
        <f t="shared" si="1"/>
        <v>400000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s="10" customFormat="1" x14ac:dyDescent="0.35">
      <c r="A16" s="10" t="s">
        <v>53</v>
      </c>
      <c r="B16" s="10">
        <v>4951</v>
      </c>
      <c r="C16" s="10" t="s">
        <v>19</v>
      </c>
      <c r="D16" s="11">
        <v>10000</v>
      </c>
      <c r="E16" s="11">
        <f t="shared" si="0"/>
        <v>210000</v>
      </c>
      <c r="F16" s="11">
        <f t="shared" si="1"/>
        <v>390000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s="10" customFormat="1" x14ac:dyDescent="0.35">
      <c r="A17" s="10" t="s">
        <v>54</v>
      </c>
      <c r="B17" s="10">
        <v>5656</v>
      </c>
      <c r="C17" s="10" t="s">
        <v>19</v>
      </c>
      <c r="D17" s="11">
        <v>10000</v>
      </c>
      <c r="E17" s="11">
        <f t="shared" si="0"/>
        <v>220000</v>
      </c>
      <c r="F17" s="11">
        <f t="shared" si="1"/>
        <v>380000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s="10" customFormat="1" x14ac:dyDescent="0.35">
      <c r="A18" s="10" t="s">
        <v>55</v>
      </c>
      <c r="B18" s="10">
        <v>6287</v>
      </c>
      <c r="C18" s="10" t="s">
        <v>19</v>
      </c>
      <c r="D18" s="11">
        <v>10000</v>
      </c>
      <c r="E18" s="11">
        <f t="shared" si="0"/>
        <v>230000</v>
      </c>
      <c r="F18" s="11">
        <f t="shared" si="1"/>
        <v>370000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s="10" customFormat="1" x14ac:dyDescent="0.35">
      <c r="A19" s="10" t="s">
        <v>58</v>
      </c>
      <c r="B19" s="10">
        <v>6418</v>
      </c>
      <c r="C19" s="10" t="s">
        <v>19</v>
      </c>
      <c r="D19" s="11">
        <v>10000</v>
      </c>
      <c r="E19" s="11">
        <f t="shared" si="0"/>
        <v>240000</v>
      </c>
      <c r="F19" s="11">
        <f t="shared" si="1"/>
        <v>360000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s="10" customFormat="1" x14ac:dyDescent="0.35">
      <c r="A20" s="10" t="s">
        <v>59</v>
      </c>
      <c r="B20" s="10">
        <v>8784</v>
      </c>
      <c r="C20" s="10" t="s">
        <v>19</v>
      </c>
      <c r="D20" s="11">
        <v>20000</v>
      </c>
      <c r="E20" s="11">
        <f t="shared" si="0"/>
        <v>260000</v>
      </c>
      <c r="F20" s="11">
        <f t="shared" si="1"/>
        <v>340000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s="10" customFormat="1" x14ac:dyDescent="0.35">
      <c r="A21" s="12">
        <v>45572</v>
      </c>
      <c r="B21" s="10">
        <v>9499</v>
      </c>
      <c r="C21" s="10" t="s">
        <v>19</v>
      </c>
      <c r="D21" s="11">
        <v>20000</v>
      </c>
      <c r="E21" s="11">
        <f t="shared" si="0"/>
        <v>280000</v>
      </c>
      <c r="F21" s="11">
        <f t="shared" si="1"/>
        <v>320000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s="10" customFormat="1" x14ac:dyDescent="0.35">
      <c r="A22" s="12">
        <v>45513</v>
      </c>
      <c r="B22" s="10">
        <v>10825</v>
      </c>
      <c r="C22" s="10" t="s">
        <v>19</v>
      </c>
      <c r="D22" s="11">
        <v>20000</v>
      </c>
      <c r="E22" s="11">
        <f t="shared" si="0"/>
        <v>300000</v>
      </c>
      <c r="F22" s="11">
        <f t="shared" si="1"/>
        <v>300000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s="10" customFormat="1" x14ac:dyDescent="0.35">
      <c r="A23" s="12">
        <v>45659</v>
      </c>
      <c r="B23" s="10">
        <v>9175</v>
      </c>
      <c r="C23" s="10" t="s">
        <v>19</v>
      </c>
      <c r="D23" s="11">
        <v>20000</v>
      </c>
      <c r="E23" s="11">
        <f t="shared" si="0"/>
        <v>320000</v>
      </c>
      <c r="F23" s="11">
        <f t="shared" si="1"/>
        <v>280000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s="10" customFormat="1" x14ac:dyDescent="0.35">
      <c r="A24" s="10" t="s">
        <v>60</v>
      </c>
      <c r="B24" s="10">
        <v>9538</v>
      </c>
      <c r="C24" s="10" t="s">
        <v>19</v>
      </c>
      <c r="D24" s="11">
        <v>10000</v>
      </c>
      <c r="E24" s="11">
        <f t="shared" si="0"/>
        <v>330000</v>
      </c>
      <c r="F24" s="11">
        <f t="shared" si="1"/>
        <v>270000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s="10" customFormat="1" x14ac:dyDescent="0.35">
      <c r="A25" s="12">
        <v>45994</v>
      </c>
      <c r="B25" s="10">
        <v>9737</v>
      </c>
      <c r="C25" s="10" t="s">
        <v>19</v>
      </c>
      <c r="D25" s="11">
        <v>10000</v>
      </c>
      <c r="E25" s="11">
        <f t="shared" si="0"/>
        <v>340000</v>
      </c>
      <c r="F25" s="11">
        <f t="shared" si="1"/>
        <v>260000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s="10" customFormat="1" x14ac:dyDescent="0.35">
      <c r="A26" s="10" t="s">
        <v>61</v>
      </c>
      <c r="B26" s="10">
        <v>9947</v>
      </c>
      <c r="C26" s="10" t="s">
        <v>19</v>
      </c>
      <c r="D26" s="11">
        <v>20000</v>
      </c>
      <c r="E26" s="11">
        <f t="shared" si="0"/>
        <v>360000</v>
      </c>
      <c r="F26" s="11">
        <f t="shared" si="1"/>
        <v>240000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s="10" customFormat="1" x14ac:dyDescent="0.35">
      <c r="A27" s="10" t="s">
        <v>62</v>
      </c>
      <c r="B27" s="10">
        <v>13231</v>
      </c>
      <c r="C27" s="10" t="s">
        <v>19</v>
      </c>
      <c r="D27" s="11">
        <v>20000</v>
      </c>
      <c r="E27" s="11">
        <f t="shared" si="0"/>
        <v>380000</v>
      </c>
      <c r="F27" s="11">
        <f t="shared" si="1"/>
        <v>220000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s="10" customFormat="1" x14ac:dyDescent="0.35">
      <c r="A28" s="12">
        <v>45665</v>
      </c>
      <c r="B28" s="10">
        <v>12350</v>
      </c>
      <c r="C28" s="10" t="s">
        <v>19</v>
      </c>
      <c r="D28" s="11">
        <v>20000</v>
      </c>
      <c r="E28" s="11">
        <f t="shared" si="0"/>
        <v>400000</v>
      </c>
      <c r="F28" s="11">
        <f t="shared" si="1"/>
        <v>200000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s="10" customFormat="1" x14ac:dyDescent="0.35">
      <c r="A29" s="10" t="s">
        <v>63</v>
      </c>
      <c r="B29" s="10">
        <v>13827</v>
      </c>
      <c r="C29" s="10" t="s">
        <v>19</v>
      </c>
      <c r="D29" s="11">
        <v>20000</v>
      </c>
      <c r="E29" s="11">
        <f t="shared" si="0"/>
        <v>420000</v>
      </c>
      <c r="F29" s="11">
        <f t="shared" si="1"/>
        <v>180000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s="10" customFormat="1" x14ac:dyDescent="0.35">
      <c r="A30" s="10" t="s">
        <v>64</v>
      </c>
      <c r="B30" s="10">
        <v>12266</v>
      </c>
      <c r="C30" s="10" t="s">
        <v>19</v>
      </c>
      <c r="D30" s="11">
        <v>10000</v>
      </c>
      <c r="E30" s="11">
        <f t="shared" si="0"/>
        <v>430000</v>
      </c>
      <c r="F30" s="11">
        <f t="shared" si="1"/>
        <v>170000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s="10" customFormat="1" x14ac:dyDescent="0.35">
      <c r="A31" s="10" t="s">
        <v>65</v>
      </c>
      <c r="B31" s="10">
        <v>12596</v>
      </c>
      <c r="C31" s="10" t="s">
        <v>19</v>
      </c>
      <c r="D31" s="11">
        <v>10000</v>
      </c>
      <c r="E31" s="11">
        <f t="shared" si="0"/>
        <v>440000</v>
      </c>
      <c r="F31" s="11">
        <f t="shared" si="1"/>
        <v>160000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s="10" customFormat="1" x14ac:dyDescent="0.35">
      <c r="A32" s="10" t="s">
        <v>66</v>
      </c>
      <c r="B32" s="10">
        <v>13970</v>
      </c>
      <c r="C32" s="10" t="s">
        <v>19</v>
      </c>
      <c r="D32" s="11">
        <v>10000</v>
      </c>
      <c r="E32" s="11">
        <f t="shared" si="0"/>
        <v>450000</v>
      </c>
      <c r="F32" s="11">
        <f t="shared" si="1"/>
        <v>150000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6" x14ac:dyDescent="0.35">
      <c r="A33" s="10" t="s">
        <v>139</v>
      </c>
      <c r="B33" s="10">
        <v>13072</v>
      </c>
      <c r="C33" s="10" t="s">
        <v>19</v>
      </c>
      <c r="D33" s="11">
        <v>10000</v>
      </c>
      <c r="E33" s="11">
        <f t="shared" si="0"/>
        <v>460000</v>
      </c>
      <c r="F33" s="11">
        <f t="shared" si="1"/>
        <v>140000</v>
      </c>
    </row>
    <row r="34" spans="1:6" x14ac:dyDescent="0.35">
      <c r="A34" s="10" t="s">
        <v>144</v>
      </c>
      <c r="B34" s="10">
        <v>13465</v>
      </c>
      <c r="C34" s="10" t="s">
        <v>19</v>
      </c>
      <c r="D34" s="11">
        <v>10000</v>
      </c>
      <c r="E34" s="11">
        <f>E33+D34</f>
        <v>470000</v>
      </c>
      <c r="F34" s="11">
        <f>F33-D34</f>
        <v>130000</v>
      </c>
    </row>
    <row r="35" spans="1:6" x14ac:dyDescent="0.35">
      <c r="A35" s="10" t="s">
        <v>145</v>
      </c>
      <c r="B35" s="10">
        <v>1308</v>
      </c>
      <c r="C35" s="10" t="s">
        <v>19</v>
      </c>
      <c r="D35" s="11">
        <v>10000</v>
      </c>
      <c r="E35" s="11">
        <f>E34+D35</f>
        <v>480000</v>
      </c>
      <c r="F35" s="11">
        <f>F34-D35</f>
        <v>120000</v>
      </c>
    </row>
    <row r="36" spans="1:6" x14ac:dyDescent="0.35">
      <c r="A36" s="10" t="s">
        <v>151</v>
      </c>
      <c r="B36" s="10">
        <v>1578</v>
      </c>
      <c r="C36" s="10" t="s">
        <v>19</v>
      </c>
      <c r="D36" s="11">
        <v>10000</v>
      </c>
      <c r="E36" s="11">
        <f>E35+D36</f>
        <v>490000</v>
      </c>
      <c r="F36" s="11">
        <f>F35-D36</f>
        <v>110000</v>
      </c>
    </row>
    <row r="37" spans="1:6" x14ac:dyDescent="0.35">
      <c r="A37" s="10" t="s">
        <v>153</v>
      </c>
      <c r="B37" s="10">
        <v>1807</v>
      </c>
      <c r="C37" s="10" t="s">
        <v>19</v>
      </c>
      <c r="D37" s="11">
        <v>10000</v>
      </c>
      <c r="E37" s="11">
        <f>E36+D37</f>
        <v>500000</v>
      </c>
      <c r="F37" s="11">
        <f>F36-D37</f>
        <v>100000</v>
      </c>
    </row>
    <row r="38" spans="1:6" x14ac:dyDescent="0.35">
      <c r="A38" s="10" t="s">
        <v>156</v>
      </c>
      <c r="B38" s="10">
        <v>2110</v>
      </c>
      <c r="C38" s="10" t="s">
        <v>19</v>
      </c>
      <c r="D38" s="11">
        <v>10000</v>
      </c>
      <c r="E38" s="11">
        <f>E37+D38</f>
        <v>510000</v>
      </c>
      <c r="F38" s="11">
        <f>F37-D38</f>
        <v>90000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7" workbookViewId="0">
      <selection activeCell="A41" sqref="A41:F46"/>
    </sheetView>
  </sheetViews>
  <sheetFormatPr defaultRowHeight="14.5" x14ac:dyDescent="0.35"/>
  <cols>
    <col min="1" max="1" width="10.54296875" customWidth="1"/>
    <col min="3" max="3" width="12.7265625" customWidth="1"/>
    <col min="6" max="6" width="11.08984375" customWidth="1"/>
  </cols>
  <sheetData>
    <row r="1" spans="1:6" ht="18.5" x14ac:dyDescent="0.45">
      <c r="A1" s="1" t="s">
        <v>28</v>
      </c>
      <c r="B1" s="1"/>
      <c r="C1" s="2"/>
      <c r="D1" s="1"/>
      <c r="E1" s="1"/>
      <c r="F1" s="1"/>
    </row>
    <row r="2" spans="1:6" ht="18.5" x14ac:dyDescent="0.45">
      <c r="A2" s="1" t="s">
        <v>29</v>
      </c>
      <c r="C2" s="1"/>
      <c r="D2" s="1"/>
      <c r="E2" s="1"/>
      <c r="F2" s="1"/>
    </row>
    <row r="3" spans="1:6" ht="18.5" x14ac:dyDescent="0.45">
      <c r="A3" s="1" t="s">
        <v>30</v>
      </c>
      <c r="B3" s="1"/>
      <c r="C3" s="1"/>
      <c r="D3" s="1"/>
      <c r="E3" s="1"/>
      <c r="F3" s="1"/>
    </row>
    <row r="4" spans="1:6" ht="18.5" x14ac:dyDescent="0.45">
      <c r="A4" s="1" t="s">
        <v>122</v>
      </c>
      <c r="B4" s="1"/>
      <c r="C4" s="1"/>
      <c r="D4" s="1"/>
      <c r="E4" s="1"/>
      <c r="F4" s="1"/>
    </row>
    <row r="5" spans="1:6" ht="18.5" x14ac:dyDescent="0.45">
      <c r="A5" s="1" t="s">
        <v>31</v>
      </c>
      <c r="B5" s="1"/>
      <c r="C5" s="1"/>
      <c r="D5" s="1"/>
      <c r="E5" s="1"/>
      <c r="F5" s="1"/>
    </row>
    <row r="6" spans="1:6" ht="18.5" x14ac:dyDescent="0.45">
      <c r="A6" s="1" t="s">
        <v>32</v>
      </c>
      <c r="B6" s="1"/>
      <c r="C6" s="1" t="s">
        <v>11</v>
      </c>
      <c r="D6" s="1"/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33</v>
      </c>
      <c r="B8" s="5">
        <v>2777</v>
      </c>
      <c r="C8" s="5" t="s">
        <v>35</v>
      </c>
      <c r="D8" s="6">
        <v>50000</v>
      </c>
      <c r="E8" s="6">
        <v>50000</v>
      </c>
      <c r="F8" s="6">
        <v>550000</v>
      </c>
    </row>
    <row r="9" spans="1:6" x14ac:dyDescent="0.35">
      <c r="A9" s="7">
        <v>45080</v>
      </c>
      <c r="B9" s="5">
        <v>2718</v>
      </c>
      <c r="C9" s="5" t="s">
        <v>19</v>
      </c>
      <c r="D9" s="6">
        <v>10000</v>
      </c>
      <c r="E9" s="6">
        <f>SUM(E8+D9)</f>
        <v>60000</v>
      </c>
      <c r="F9" s="6">
        <f>F8-D9</f>
        <v>540000</v>
      </c>
    </row>
    <row r="10" spans="1:6" x14ac:dyDescent="0.35">
      <c r="A10" s="7">
        <v>45173</v>
      </c>
      <c r="B10" s="5">
        <v>1064</v>
      </c>
      <c r="C10" s="5" t="s">
        <v>19</v>
      </c>
      <c r="D10" s="6">
        <v>10000</v>
      </c>
      <c r="E10" s="6">
        <f t="shared" ref="E10:E41" si="0">SUM(E9+D10)</f>
        <v>70000</v>
      </c>
      <c r="F10" s="6">
        <f t="shared" ref="F10:F41" si="1">F9-D10</f>
        <v>530000</v>
      </c>
    </row>
    <row r="11" spans="1:6" x14ac:dyDescent="0.35">
      <c r="A11" s="5" t="s">
        <v>34</v>
      </c>
      <c r="B11" s="5">
        <v>1572</v>
      </c>
      <c r="C11" s="5" t="s">
        <v>19</v>
      </c>
      <c r="D11" s="6">
        <v>10000</v>
      </c>
      <c r="E11" s="6">
        <f t="shared" si="0"/>
        <v>80000</v>
      </c>
      <c r="F11" s="6">
        <f t="shared" si="1"/>
        <v>520000</v>
      </c>
    </row>
    <row r="12" spans="1:6" x14ac:dyDescent="0.35">
      <c r="A12" s="7">
        <v>45022</v>
      </c>
      <c r="B12" s="5">
        <v>293</v>
      </c>
      <c r="C12" s="5" t="s">
        <v>19</v>
      </c>
      <c r="D12" s="6">
        <v>10000</v>
      </c>
      <c r="E12" s="6">
        <f t="shared" si="0"/>
        <v>90000</v>
      </c>
      <c r="F12" s="6">
        <f t="shared" si="1"/>
        <v>510000</v>
      </c>
    </row>
    <row r="13" spans="1:6" x14ac:dyDescent="0.35">
      <c r="A13" s="5" t="s">
        <v>14</v>
      </c>
      <c r="B13" s="5">
        <v>2762</v>
      </c>
      <c r="C13" s="5" t="s">
        <v>19</v>
      </c>
      <c r="D13" s="6">
        <v>10000</v>
      </c>
      <c r="E13" s="6">
        <f t="shared" si="0"/>
        <v>100000</v>
      </c>
      <c r="F13" s="6">
        <f t="shared" si="1"/>
        <v>500000</v>
      </c>
    </row>
    <row r="14" spans="1:6" x14ac:dyDescent="0.35">
      <c r="A14" s="7">
        <v>45055</v>
      </c>
      <c r="B14" s="5">
        <v>3411</v>
      </c>
      <c r="C14" s="5" t="s">
        <v>19</v>
      </c>
      <c r="D14" s="6">
        <v>10000</v>
      </c>
      <c r="E14" s="6">
        <f t="shared" si="0"/>
        <v>110000</v>
      </c>
      <c r="F14" s="6">
        <f t="shared" si="1"/>
        <v>490000</v>
      </c>
    </row>
    <row r="15" spans="1:6" x14ac:dyDescent="0.35">
      <c r="A15" s="7">
        <v>45056</v>
      </c>
      <c r="B15" s="5">
        <v>4014</v>
      </c>
      <c r="C15" s="5" t="s">
        <v>19</v>
      </c>
      <c r="D15" s="6">
        <v>15000</v>
      </c>
      <c r="E15" s="6">
        <f t="shared" si="0"/>
        <v>125000</v>
      </c>
      <c r="F15" s="6">
        <f t="shared" si="1"/>
        <v>475000</v>
      </c>
    </row>
    <row r="16" spans="1:6" x14ac:dyDescent="0.35">
      <c r="A16" s="7">
        <v>45180</v>
      </c>
      <c r="B16" s="5">
        <v>4746</v>
      </c>
      <c r="C16" s="5" t="s">
        <v>19</v>
      </c>
      <c r="D16" s="6">
        <v>10000</v>
      </c>
      <c r="E16" s="6">
        <f t="shared" si="0"/>
        <v>135000</v>
      </c>
      <c r="F16" s="6">
        <f t="shared" si="1"/>
        <v>465000</v>
      </c>
    </row>
    <row r="17" spans="1:6" x14ac:dyDescent="0.35">
      <c r="A17" s="7">
        <v>45028</v>
      </c>
      <c r="B17" s="5">
        <v>5356</v>
      </c>
      <c r="C17" s="5" t="s">
        <v>19</v>
      </c>
      <c r="D17" s="6">
        <v>15000</v>
      </c>
      <c r="E17" s="6">
        <f t="shared" si="0"/>
        <v>150000</v>
      </c>
      <c r="F17" s="6">
        <f t="shared" si="1"/>
        <v>450000</v>
      </c>
    </row>
    <row r="18" spans="1:6" x14ac:dyDescent="0.35">
      <c r="A18" s="7">
        <v>45413</v>
      </c>
      <c r="B18" s="5">
        <v>6050</v>
      </c>
      <c r="C18" s="5" t="s">
        <v>19</v>
      </c>
      <c r="D18" s="6">
        <v>10000</v>
      </c>
      <c r="E18" s="6">
        <f t="shared" si="0"/>
        <v>160000</v>
      </c>
      <c r="F18" s="6">
        <f t="shared" si="1"/>
        <v>440000</v>
      </c>
    </row>
    <row r="19" spans="1:6" x14ac:dyDescent="0.35">
      <c r="A19" s="7">
        <v>45567</v>
      </c>
      <c r="B19" s="5">
        <v>7021</v>
      </c>
      <c r="C19" s="5" t="s">
        <v>19</v>
      </c>
      <c r="D19" s="6">
        <v>10000</v>
      </c>
      <c r="E19" s="6">
        <f t="shared" si="0"/>
        <v>170000</v>
      </c>
      <c r="F19" s="6">
        <f t="shared" si="1"/>
        <v>430000</v>
      </c>
    </row>
    <row r="20" spans="1:6" x14ac:dyDescent="0.35">
      <c r="A20" s="7">
        <v>45476</v>
      </c>
      <c r="B20" s="5">
        <v>6929</v>
      </c>
      <c r="C20" s="5" t="s">
        <v>19</v>
      </c>
      <c r="D20" s="6">
        <v>10000</v>
      </c>
      <c r="E20" s="6">
        <f t="shared" si="0"/>
        <v>180000</v>
      </c>
      <c r="F20" s="6">
        <f t="shared" si="1"/>
        <v>420000</v>
      </c>
    </row>
    <row r="21" spans="1:6" x14ac:dyDescent="0.35">
      <c r="A21" s="5" t="s">
        <v>36</v>
      </c>
      <c r="B21" s="5">
        <v>7938</v>
      </c>
      <c r="C21" s="5" t="s">
        <v>19</v>
      </c>
      <c r="D21" s="6">
        <v>10000</v>
      </c>
      <c r="E21" s="6">
        <f t="shared" si="0"/>
        <v>190000</v>
      </c>
      <c r="F21" s="6">
        <f t="shared" si="1"/>
        <v>410000</v>
      </c>
    </row>
    <row r="22" spans="1:6" x14ac:dyDescent="0.35">
      <c r="A22" s="7">
        <v>45478</v>
      </c>
      <c r="B22" s="5">
        <v>8294</v>
      </c>
      <c r="C22" s="5" t="s">
        <v>19</v>
      </c>
      <c r="D22" s="6">
        <v>10000</v>
      </c>
      <c r="E22" s="6">
        <f t="shared" si="0"/>
        <v>200000</v>
      </c>
      <c r="F22" s="6">
        <f t="shared" si="1"/>
        <v>400000</v>
      </c>
    </row>
    <row r="23" spans="1:6" x14ac:dyDescent="0.35">
      <c r="A23" s="7">
        <v>45388</v>
      </c>
      <c r="B23" s="5">
        <v>8844</v>
      </c>
      <c r="C23" s="5" t="s">
        <v>19</v>
      </c>
      <c r="D23" s="6">
        <v>10000</v>
      </c>
      <c r="E23" s="6">
        <f t="shared" si="0"/>
        <v>210000</v>
      </c>
      <c r="F23" s="6">
        <f t="shared" si="1"/>
        <v>390000</v>
      </c>
    </row>
    <row r="24" spans="1:6" x14ac:dyDescent="0.35">
      <c r="A24" s="7">
        <v>45542</v>
      </c>
      <c r="B24" s="5">
        <v>9465</v>
      </c>
      <c r="C24" s="5" t="s">
        <v>19</v>
      </c>
      <c r="D24" s="6">
        <v>10000</v>
      </c>
      <c r="E24" s="6">
        <f t="shared" si="0"/>
        <v>220000</v>
      </c>
      <c r="F24" s="6">
        <f t="shared" si="1"/>
        <v>380000</v>
      </c>
    </row>
    <row r="25" spans="1:6" x14ac:dyDescent="0.35">
      <c r="A25" s="7">
        <v>45605</v>
      </c>
      <c r="B25" s="5">
        <v>355</v>
      </c>
      <c r="C25" s="5" t="s">
        <v>19</v>
      </c>
      <c r="D25" s="6">
        <v>10000</v>
      </c>
      <c r="E25" s="6">
        <f t="shared" si="0"/>
        <v>230000</v>
      </c>
      <c r="F25" s="6">
        <f t="shared" si="1"/>
        <v>370000</v>
      </c>
    </row>
    <row r="26" spans="1:6" x14ac:dyDescent="0.35">
      <c r="A26" s="7">
        <v>45422</v>
      </c>
      <c r="B26" s="5">
        <v>350</v>
      </c>
      <c r="C26" s="5" t="s">
        <v>19</v>
      </c>
      <c r="D26" s="6">
        <v>10000</v>
      </c>
      <c r="E26" s="6">
        <f t="shared" si="0"/>
        <v>240000</v>
      </c>
      <c r="F26" s="6">
        <f t="shared" si="1"/>
        <v>360000</v>
      </c>
    </row>
    <row r="27" spans="1:6" x14ac:dyDescent="0.35">
      <c r="A27" s="5" t="s">
        <v>21</v>
      </c>
      <c r="B27" s="5">
        <v>10976</v>
      </c>
      <c r="C27" s="5" t="s">
        <v>19</v>
      </c>
      <c r="D27" s="6">
        <v>10000</v>
      </c>
      <c r="E27" s="6">
        <f t="shared" si="0"/>
        <v>250000</v>
      </c>
      <c r="F27" s="6">
        <f t="shared" si="1"/>
        <v>350000</v>
      </c>
    </row>
    <row r="28" spans="1:6" x14ac:dyDescent="0.35">
      <c r="A28" s="7">
        <v>45809</v>
      </c>
      <c r="B28" s="5">
        <v>12950</v>
      </c>
      <c r="C28" s="5" t="s">
        <v>19</v>
      </c>
      <c r="D28" s="6">
        <v>20000</v>
      </c>
      <c r="E28" s="6">
        <f t="shared" si="0"/>
        <v>270000</v>
      </c>
      <c r="F28" s="6">
        <f t="shared" si="1"/>
        <v>330000</v>
      </c>
    </row>
    <row r="29" spans="1:6" x14ac:dyDescent="0.35">
      <c r="A29" s="7">
        <v>45993</v>
      </c>
      <c r="B29" s="5">
        <v>9368</v>
      </c>
      <c r="C29" s="5" t="s">
        <v>19</v>
      </c>
      <c r="D29" s="6">
        <v>10000</v>
      </c>
      <c r="E29" s="6">
        <f t="shared" si="0"/>
        <v>280000</v>
      </c>
      <c r="F29" s="6">
        <f t="shared" si="1"/>
        <v>320000</v>
      </c>
    </row>
    <row r="30" spans="1:6" x14ac:dyDescent="0.35">
      <c r="A30" s="5" t="s">
        <v>37</v>
      </c>
      <c r="B30" s="5">
        <v>10174</v>
      </c>
      <c r="C30" s="5" t="s">
        <v>19</v>
      </c>
      <c r="D30" s="6">
        <v>10000</v>
      </c>
      <c r="E30" s="6">
        <f t="shared" si="0"/>
        <v>290000</v>
      </c>
      <c r="F30" s="6">
        <f t="shared" si="1"/>
        <v>310000</v>
      </c>
    </row>
    <row r="31" spans="1:6" x14ac:dyDescent="0.35">
      <c r="A31" s="5" t="s">
        <v>39</v>
      </c>
      <c r="B31" s="5">
        <v>10602</v>
      </c>
      <c r="C31" s="5" t="s">
        <v>19</v>
      </c>
      <c r="D31" s="6">
        <v>10000</v>
      </c>
      <c r="E31" s="6">
        <f t="shared" si="0"/>
        <v>300000</v>
      </c>
      <c r="F31" s="6">
        <f t="shared" si="1"/>
        <v>300000</v>
      </c>
    </row>
    <row r="32" spans="1:6" x14ac:dyDescent="0.35">
      <c r="A32" s="5" t="s">
        <v>38</v>
      </c>
      <c r="B32" s="5">
        <v>9991</v>
      </c>
      <c r="C32" s="5" t="s">
        <v>19</v>
      </c>
      <c r="D32" s="6">
        <v>10000</v>
      </c>
      <c r="E32" s="6">
        <f t="shared" si="0"/>
        <v>310000</v>
      </c>
      <c r="F32" s="6">
        <f t="shared" si="1"/>
        <v>290000</v>
      </c>
    </row>
    <row r="33" spans="1:6" x14ac:dyDescent="0.35">
      <c r="A33" s="7">
        <v>45969</v>
      </c>
      <c r="B33" s="5">
        <v>12480</v>
      </c>
      <c r="C33" s="5" t="s">
        <v>19</v>
      </c>
      <c r="D33" s="6">
        <v>10000</v>
      </c>
      <c r="E33" s="6">
        <f t="shared" si="0"/>
        <v>320000</v>
      </c>
      <c r="F33" s="6">
        <f t="shared" si="1"/>
        <v>280000</v>
      </c>
    </row>
    <row r="34" spans="1:6" x14ac:dyDescent="0.35">
      <c r="A34" s="5" t="s">
        <v>40</v>
      </c>
      <c r="B34" s="5">
        <v>12788</v>
      </c>
      <c r="C34" s="5" t="s">
        <v>19</v>
      </c>
      <c r="D34" s="6">
        <v>10000</v>
      </c>
      <c r="E34" s="6">
        <f t="shared" si="0"/>
        <v>330000</v>
      </c>
      <c r="F34" s="6">
        <f t="shared" si="1"/>
        <v>270000</v>
      </c>
    </row>
    <row r="35" spans="1:6" x14ac:dyDescent="0.35">
      <c r="A35" s="7">
        <v>45848</v>
      </c>
      <c r="B35" s="5">
        <v>13720</v>
      </c>
      <c r="C35" s="5" t="s">
        <v>19</v>
      </c>
      <c r="D35" s="6">
        <v>10000</v>
      </c>
      <c r="E35" s="6">
        <f t="shared" si="0"/>
        <v>340000</v>
      </c>
      <c r="F35" s="6">
        <f t="shared" si="1"/>
        <v>260000</v>
      </c>
    </row>
    <row r="36" spans="1:6" x14ac:dyDescent="0.35">
      <c r="A36" s="7">
        <v>45880</v>
      </c>
      <c r="B36" s="5">
        <v>13470</v>
      </c>
      <c r="C36" s="5" t="s">
        <v>19</v>
      </c>
      <c r="D36" s="6">
        <v>10000</v>
      </c>
      <c r="E36" s="6">
        <f t="shared" si="0"/>
        <v>350000</v>
      </c>
      <c r="F36" s="6">
        <f t="shared" si="1"/>
        <v>250000</v>
      </c>
    </row>
    <row r="37" spans="1:6" x14ac:dyDescent="0.35">
      <c r="A37" s="7">
        <v>45912</v>
      </c>
      <c r="B37" s="5">
        <v>13129</v>
      </c>
      <c r="C37" s="5" t="s">
        <v>19</v>
      </c>
      <c r="D37" s="6">
        <v>10000</v>
      </c>
      <c r="E37" s="6">
        <f t="shared" si="0"/>
        <v>360000</v>
      </c>
      <c r="F37" s="6">
        <f t="shared" si="1"/>
        <v>240000</v>
      </c>
    </row>
    <row r="38" spans="1:6" x14ac:dyDescent="0.35">
      <c r="A38" s="7">
        <v>46204</v>
      </c>
      <c r="B38" s="5">
        <v>12022</v>
      </c>
      <c r="C38" s="5" t="s">
        <v>19</v>
      </c>
      <c r="D38" s="6">
        <v>10000</v>
      </c>
      <c r="E38" s="6">
        <f t="shared" si="0"/>
        <v>370000</v>
      </c>
      <c r="F38" s="6">
        <f t="shared" si="1"/>
        <v>230000</v>
      </c>
    </row>
    <row r="39" spans="1:6" x14ac:dyDescent="0.35">
      <c r="A39" s="5" t="s">
        <v>27</v>
      </c>
      <c r="B39" s="5">
        <v>12499</v>
      </c>
      <c r="C39" s="5" t="s">
        <v>19</v>
      </c>
      <c r="D39" s="6">
        <v>10000</v>
      </c>
      <c r="E39" s="6">
        <f t="shared" si="0"/>
        <v>380000</v>
      </c>
      <c r="F39" s="6">
        <f t="shared" si="1"/>
        <v>220000</v>
      </c>
    </row>
    <row r="40" spans="1:6" x14ac:dyDescent="0.35">
      <c r="A40" s="7">
        <v>46329</v>
      </c>
      <c r="B40" s="5">
        <v>12824</v>
      </c>
      <c r="C40" s="5" t="s">
        <v>19</v>
      </c>
      <c r="D40" s="6">
        <v>10000</v>
      </c>
      <c r="E40" s="6">
        <f t="shared" si="0"/>
        <v>390000</v>
      </c>
      <c r="F40" s="6">
        <f t="shared" si="1"/>
        <v>210000</v>
      </c>
    </row>
    <row r="41" spans="1:6" x14ac:dyDescent="0.35">
      <c r="A41" s="10" t="s">
        <v>123</v>
      </c>
      <c r="B41" s="5">
        <v>13289</v>
      </c>
      <c r="C41" s="5" t="s">
        <v>19</v>
      </c>
      <c r="D41" s="6">
        <v>10000</v>
      </c>
      <c r="E41" s="6">
        <f t="shared" si="0"/>
        <v>400000</v>
      </c>
      <c r="F41" s="6">
        <f t="shared" si="1"/>
        <v>200000</v>
      </c>
    </row>
    <row r="42" spans="1:6" x14ac:dyDescent="0.35">
      <c r="A42" s="10" t="s">
        <v>155</v>
      </c>
      <c r="B42" s="5">
        <v>13623</v>
      </c>
      <c r="C42" s="5" t="s">
        <v>19</v>
      </c>
      <c r="D42" s="6">
        <v>10000</v>
      </c>
      <c r="E42" s="11">
        <f>E41+D42</f>
        <v>410000</v>
      </c>
      <c r="F42" s="11">
        <f>F41-D42</f>
        <v>190000</v>
      </c>
    </row>
    <row r="43" spans="1:6" x14ac:dyDescent="0.35">
      <c r="A43" s="12">
        <v>46180</v>
      </c>
      <c r="B43" s="5">
        <v>1411</v>
      </c>
      <c r="C43" s="5" t="s">
        <v>19</v>
      </c>
      <c r="D43" s="6">
        <v>10000</v>
      </c>
      <c r="E43" s="11">
        <f>E42+D43</f>
        <v>420000</v>
      </c>
      <c r="F43" s="11">
        <f>F42-D43</f>
        <v>180000</v>
      </c>
    </row>
    <row r="44" spans="1:6" x14ac:dyDescent="0.35">
      <c r="A44" s="12">
        <v>46334</v>
      </c>
      <c r="B44" s="5">
        <v>1735</v>
      </c>
      <c r="C44" s="5" t="s">
        <v>19</v>
      </c>
      <c r="D44" s="6">
        <v>10000</v>
      </c>
      <c r="E44" s="11">
        <f>E43+D44</f>
        <v>430000</v>
      </c>
      <c r="F44" s="11">
        <f>F43-D44</f>
        <v>170000</v>
      </c>
    </row>
    <row r="45" spans="1:6" x14ac:dyDescent="0.35">
      <c r="A45" s="12">
        <v>46304</v>
      </c>
      <c r="B45" s="28">
        <v>1969</v>
      </c>
      <c r="C45" s="5" t="s">
        <v>19</v>
      </c>
      <c r="D45" s="11">
        <v>10000</v>
      </c>
      <c r="E45" s="11">
        <f>E44+D45</f>
        <v>440000</v>
      </c>
      <c r="F45" s="11">
        <f>F44-D45</f>
        <v>160000</v>
      </c>
    </row>
    <row r="46" spans="1:6" x14ac:dyDescent="0.35">
      <c r="A46" s="12">
        <v>46244</v>
      </c>
      <c r="B46" s="28">
        <v>2191</v>
      </c>
      <c r="C46" s="5" t="s">
        <v>19</v>
      </c>
      <c r="D46" s="11">
        <v>10000</v>
      </c>
      <c r="E46" s="11">
        <f>E45+D46</f>
        <v>450000</v>
      </c>
      <c r="F46" s="11">
        <f>F45-D46</f>
        <v>150000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topLeftCell="A32" workbookViewId="0">
      <selection activeCell="F48" sqref="F48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41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12</v>
      </c>
      <c r="B8" s="5">
        <v>2350</v>
      </c>
      <c r="C8" s="5" t="s">
        <v>18</v>
      </c>
      <c r="D8" s="6">
        <v>50000</v>
      </c>
      <c r="E8" s="6">
        <v>50000</v>
      </c>
      <c r="F8" s="6">
        <v>550000</v>
      </c>
    </row>
    <row r="9" spans="1:6" x14ac:dyDescent="0.35">
      <c r="A9" s="5" t="s">
        <v>13</v>
      </c>
      <c r="B9" s="5">
        <v>2347</v>
      </c>
      <c r="C9" s="5" t="s">
        <v>19</v>
      </c>
      <c r="D9" s="6">
        <v>10000</v>
      </c>
      <c r="E9" s="6">
        <f>SUM(E8+D9)</f>
        <v>60000</v>
      </c>
      <c r="F9" s="6">
        <f>F8-D9</f>
        <v>540000</v>
      </c>
    </row>
    <row r="10" spans="1:6" x14ac:dyDescent="0.35">
      <c r="A10" s="7">
        <v>45173</v>
      </c>
      <c r="B10" s="5">
        <v>1065</v>
      </c>
      <c r="C10" s="5" t="s">
        <v>19</v>
      </c>
      <c r="D10" s="6">
        <v>10000</v>
      </c>
      <c r="E10" s="6">
        <f t="shared" ref="E10:E44" si="0">SUM(E9+D10)</f>
        <v>70000</v>
      </c>
      <c r="F10" s="6">
        <f t="shared" ref="F10:F44" si="1">F9-D10</f>
        <v>530000</v>
      </c>
    </row>
    <row r="11" spans="1:6" x14ac:dyDescent="0.35">
      <c r="A11" s="7">
        <v>45022</v>
      </c>
      <c r="B11" s="5">
        <v>292</v>
      </c>
      <c r="C11" s="5" t="s">
        <v>19</v>
      </c>
      <c r="D11" s="6">
        <v>10000</v>
      </c>
      <c r="E11" s="6">
        <f t="shared" si="0"/>
        <v>80000</v>
      </c>
      <c r="F11" s="6">
        <f t="shared" si="1"/>
        <v>520000</v>
      </c>
    </row>
    <row r="12" spans="1:6" x14ac:dyDescent="0.35">
      <c r="A12" s="5" t="s">
        <v>14</v>
      </c>
      <c r="B12" s="5">
        <v>2763</v>
      </c>
      <c r="C12" s="5" t="s">
        <v>19</v>
      </c>
      <c r="D12" s="6">
        <v>10000</v>
      </c>
      <c r="E12" s="6">
        <f t="shared" si="0"/>
        <v>90000</v>
      </c>
      <c r="F12" s="6">
        <f t="shared" si="1"/>
        <v>510000</v>
      </c>
    </row>
    <row r="13" spans="1:6" x14ac:dyDescent="0.35">
      <c r="A13" s="7">
        <v>45238</v>
      </c>
      <c r="B13" s="5">
        <v>2373</v>
      </c>
      <c r="C13" s="5" t="s">
        <v>19</v>
      </c>
      <c r="D13" s="6">
        <v>10000</v>
      </c>
      <c r="E13" s="6">
        <f t="shared" si="0"/>
        <v>100000</v>
      </c>
      <c r="F13" s="6">
        <f t="shared" si="1"/>
        <v>500000</v>
      </c>
    </row>
    <row r="14" spans="1:6" x14ac:dyDescent="0.35">
      <c r="A14" s="5" t="s">
        <v>15</v>
      </c>
      <c r="B14" s="5">
        <v>3193</v>
      </c>
      <c r="C14" s="5" t="s">
        <v>19</v>
      </c>
      <c r="D14" s="6">
        <v>10000</v>
      </c>
      <c r="E14" s="6">
        <f t="shared" si="0"/>
        <v>110000</v>
      </c>
      <c r="F14" s="6">
        <f t="shared" si="1"/>
        <v>490000</v>
      </c>
    </row>
    <row r="15" spans="1:6" x14ac:dyDescent="0.35">
      <c r="A15" s="7">
        <v>45269</v>
      </c>
      <c r="B15" s="5">
        <v>3582</v>
      </c>
      <c r="C15" s="5" t="s">
        <v>19</v>
      </c>
      <c r="D15" s="6">
        <v>10000</v>
      </c>
      <c r="E15" s="6">
        <f t="shared" si="0"/>
        <v>120000</v>
      </c>
      <c r="F15" s="6">
        <f t="shared" si="1"/>
        <v>480000</v>
      </c>
    </row>
    <row r="16" spans="1:6" x14ac:dyDescent="0.35">
      <c r="A16" s="7">
        <v>45209</v>
      </c>
      <c r="B16" s="5">
        <v>4168</v>
      </c>
      <c r="C16" s="5" t="s">
        <v>19</v>
      </c>
      <c r="D16" s="6">
        <v>10000</v>
      </c>
      <c r="E16" s="6">
        <f t="shared" si="0"/>
        <v>130000</v>
      </c>
      <c r="F16" s="6">
        <f t="shared" si="1"/>
        <v>470000</v>
      </c>
    </row>
    <row r="17" spans="1:6" x14ac:dyDescent="0.35">
      <c r="A17" s="5" t="s">
        <v>16</v>
      </c>
      <c r="B17" s="5">
        <v>4882</v>
      </c>
      <c r="C17" s="5" t="s">
        <v>19</v>
      </c>
      <c r="D17" s="6">
        <v>10000</v>
      </c>
      <c r="E17" s="6">
        <f t="shared" si="0"/>
        <v>140000</v>
      </c>
      <c r="F17" s="6">
        <f t="shared" si="1"/>
        <v>460000</v>
      </c>
    </row>
    <row r="18" spans="1:6" x14ac:dyDescent="0.35">
      <c r="A18" s="5" t="s">
        <v>17</v>
      </c>
      <c r="B18" s="5">
        <v>5564</v>
      </c>
      <c r="C18" s="5" t="s">
        <v>19</v>
      </c>
      <c r="D18" s="6">
        <v>10000</v>
      </c>
      <c r="E18" s="6">
        <f t="shared" si="0"/>
        <v>150000</v>
      </c>
      <c r="F18" s="6">
        <f t="shared" si="1"/>
        <v>450000</v>
      </c>
    </row>
    <row r="19" spans="1:6" x14ac:dyDescent="0.35">
      <c r="A19" s="7">
        <v>45505</v>
      </c>
      <c r="B19" s="5">
        <v>6024</v>
      </c>
      <c r="C19" s="5" t="s">
        <v>19</v>
      </c>
      <c r="D19" s="6">
        <v>10000</v>
      </c>
      <c r="E19" s="6">
        <f t="shared" si="0"/>
        <v>160000</v>
      </c>
      <c r="F19" s="6">
        <f t="shared" si="1"/>
        <v>440000</v>
      </c>
    </row>
    <row r="20" spans="1:6" x14ac:dyDescent="0.35">
      <c r="A20" s="7">
        <v>45567</v>
      </c>
      <c r="B20" s="5">
        <v>7020</v>
      </c>
      <c r="C20" s="5" t="s">
        <v>19</v>
      </c>
      <c r="D20" s="6">
        <v>10000</v>
      </c>
      <c r="E20" s="6">
        <f t="shared" si="0"/>
        <v>170000</v>
      </c>
      <c r="F20" s="6">
        <f t="shared" si="1"/>
        <v>430000</v>
      </c>
    </row>
    <row r="21" spans="1:6" x14ac:dyDescent="0.35">
      <c r="A21" s="7">
        <v>45599</v>
      </c>
      <c r="B21" s="5">
        <v>7297</v>
      </c>
      <c r="C21" s="5" t="s">
        <v>19</v>
      </c>
      <c r="D21" s="6">
        <v>10000</v>
      </c>
      <c r="E21" s="6">
        <f t="shared" si="0"/>
        <v>180000</v>
      </c>
      <c r="F21" s="6">
        <f t="shared" si="1"/>
        <v>420000</v>
      </c>
    </row>
    <row r="22" spans="1:6" x14ac:dyDescent="0.35">
      <c r="A22" s="7">
        <v>45539</v>
      </c>
      <c r="B22" s="5">
        <v>7802</v>
      </c>
      <c r="C22" s="5" t="s">
        <v>19</v>
      </c>
      <c r="D22" s="6">
        <v>10000</v>
      </c>
      <c r="E22" s="6">
        <f t="shared" si="0"/>
        <v>190000</v>
      </c>
      <c r="F22" s="6">
        <f t="shared" si="1"/>
        <v>410000</v>
      </c>
    </row>
    <row r="23" spans="1:6" x14ac:dyDescent="0.35">
      <c r="A23" s="7">
        <v>45509</v>
      </c>
      <c r="B23" s="5">
        <v>8332</v>
      </c>
      <c r="C23" s="5" t="s">
        <v>19</v>
      </c>
      <c r="D23" s="6">
        <v>10000</v>
      </c>
      <c r="E23" s="6">
        <f t="shared" si="0"/>
        <v>200000</v>
      </c>
      <c r="F23" s="6">
        <f t="shared" si="1"/>
        <v>400000</v>
      </c>
    </row>
    <row r="24" spans="1:6" x14ac:dyDescent="0.35">
      <c r="A24" s="7">
        <v>45510</v>
      </c>
      <c r="B24" s="5">
        <v>8901</v>
      </c>
      <c r="C24" s="5" t="s">
        <v>19</v>
      </c>
      <c r="D24" s="6">
        <v>10000</v>
      </c>
      <c r="E24" s="6">
        <f t="shared" si="0"/>
        <v>210000</v>
      </c>
      <c r="F24" s="6">
        <f t="shared" si="1"/>
        <v>390000</v>
      </c>
    </row>
    <row r="25" spans="1:6" x14ac:dyDescent="0.35">
      <c r="A25" s="5" t="s">
        <v>20</v>
      </c>
      <c r="B25" s="5">
        <v>9758</v>
      </c>
      <c r="C25" s="5" t="s">
        <v>19</v>
      </c>
      <c r="D25" s="6">
        <v>10000</v>
      </c>
      <c r="E25" s="6">
        <f t="shared" si="0"/>
        <v>220000</v>
      </c>
      <c r="F25" s="6">
        <f t="shared" si="1"/>
        <v>380000</v>
      </c>
    </row>
    <row r="26" spans="1:6" x14ac:dyDescent="0.35">
      <c r="A26" s="7">
        <v>45543</v>
      </c>
      <c r="B26" s="5">
        <v>11014</v>
      </c>
      <c r="C26" s="5" t="s">
        <v>19</v>
      </c>
      <c r="D26" s="6">
        <v>10000</v>
      </c>
      <c r="E26" s="6">
        <f t="shared" si="0"/>
        <v>230000</v>
      </c>
      <c r="F26" s="6">
        <f t="shared" si="1"/>
        <v>370000</v>
      </c>
    </row>
    <row r="27" spans="1:6" x14ac:dyDescent="0.35">
      <c r="A27" s="7">
        <v>45514</v>
      </c>
      <c r="B27" s="5">
        <v>11317</v>
      </c>
      <c r="C27" s="5" t="s">
        <v>19</v>
      </c>
      <c r="D27" s="6">
        <v>20000</v>
      </c>
      <c r="E27" s="6">
        <f t="shared" si="0"/>
        <v>250000</v>
      </c>
      <c r="F27" s="6">
        <f t="shared" si="1"/>
        <v>350000</v>
      </c>
    </row>
    <row r="28" spans="1:6" x14ac:dyDescent="0.35">
      <c r="A28" s="5" t="s">
        <v>21</v>
      </c>
      <c r="B28" s="5">
        <v>10973</v>
      </c>
      <c r="C28" s="5" t="s">
        <v>19</v>
      </c>
      <c r="D28" s="6">
        <v>10000</v>
      </c>
      <c r="E28" s="6">
        <f t="shared" si="0"/>
        <v>260000</v>
      </c>
      <c r="F28" s="6">
        <f t="shared" si="1"/>
        <v>340000</v>
      </c>
    </row>
    <row r="29" spans="1:6" x14ac:dyDescent="0.35">
      <c r="A29" s="7">
        <v>45424</v>
      </c>
      <c r="B29" s="5">
        <v>12596</v>
      </c>
      <c r="C29" s="5" t="s">
        <v>19</v>
      </c>
      <c r="D29" s="6">
        <v>10000</v>
      </c>
      <c r="E29" s="6">
        <f t="shared" si="0"/>
        <v>270000</v>
      </c>
      <c r="F29" s="6">
        <f t="shared" si="1"/>
        <v>330000</v>
      </c>
    </row>
    <row r="30" spans="1:6" x14ac:dyDescent="0.35">
      <c r="A30" s="5" t="s">
        <v>22</v>
      </c>
      <c r="B30" s="5">
        <v>12074</v>
      </c>
      <c r="C30" s="5" t="s">
        <v>19</v>
      </c>
      <c r="D30" s="6">
        <v>10000</v>
      </c>
      <c r="E30" s="6">
        <f t="shared" si="0"/>
        <v>280000</v>
      </c>
      <c r="F30" s="6">
        <f t="shared" si="1"/>
        <v>320000</v>
      </c>
    </row>
    <row r="31" spans="1:6" x14ac:dyDescent="0.35">
      <c r="A31" s="7">
        <v>45932</v>
      </c>
      <c r="B31" s="5">
        <v>9320</v>
      </c>
      <c r="C31" s="5" t="s">
        <v>19</v>
      </c>
      <c r="D31" s="6">
        <v>10000</v>
      </c>
      <c r="E31" s="6">
        <f t="shared" si="0"/>
        <v>290000</v>
      </c>
      <c r="F31" s="6">
        <f t="shared" si="1"/>
        <v>310000</v>
      </c>
    </row>
    <row r="32" spans="1:6" x14ac:dyDescent="0.35">
      <c r="A32" s="7">
        <v>45872</v>
      </c>
      <c r="B32" s="5">
        <v>9650</v>
      </c>
      <c r="C32" s="5" t="s">
        <v>19</v>
      </c>
      <c r="D32" s="6">
        <v>10000</v>
      </c>
      <c r="E32" s="6">
        <f t="shared" si="0"/>
        <v>300000</v>
      </c>
      <c r="F32" s="6">
        <f t="shared" si="1"/>
        <v>300000</v>
      </c>
    </row>
    <row r="33" spans="1:7" x14ac:dyDescent="0.35">
      <c r="A33" s="7">
        <v>45934</v>
      </c>
      <c r="B33" s="5">
        <v>9650</v>
      </c>
      <c r="C33" s="5" t="s">
        <v>19</v>
      </c>
      <c r="D33" s="6">
        <v>10000</v>
      </c>
      <c r="E33" s="6">
        <f t="shared" si="0"/>
        <v>310000</v>
      </c>
      <c r="F33" s="6">
        <f t="shared" si="1"/>
        <v>290000</v>
      </c>
    </row>
    <row r="34" spans="1:7" x14ac:dyDescent="0.35">
      <c r="A34" s="5" t="s">
        <v>23</v>
      </c>
      <c r="B34" s="5">
        <v>825</v>
      </c>
      <c r="C34" s="5" t="s">
        <v>19</v>
      </c>
      <c r="D34" s="6">
        <v>10000</v>
      </c>
      <c r="E34" s="6">
        <f t="shared" si="0"/>
        <v>320000</v>
      </c>
      <c r="F34" s="6">
        <f t="shared" si="1"/>
        <v>280000</v>
      </c>
    </row>
    <row r="35" spans="1:7" x14ac:dyDescent="0.35">
      <c r="A35" s="5" t="s">
        <v>24</v>
      </c>
      <c r="B35" s="5">
        <v>11844</v>
      </c>
      <c r="C35" s="5" t="s">
        <v>19</v>
      </c>
      <c r="D35" s="6">
        <v>10000</v>
      </c>
      <c r="E35" s="6">
        <f t="shared" si="0"/>
        <v>330000</v>
      </c>
      <c r="F35" s="6">
        <f t="shared" si="1"/>
        <v>270000</v>
      </c>
    </row>
    <row r="36" spans="1:7" x14ac:dyDescent="0.35">
      <c r="A36" s="7">
        <v>45969</v>
      </c>
      <c r="B36" s="5">
        <v>12481</v>
      </c>
      <c r="C36" s="5" t="s">
        <v>19</v>
      </c>
      <c r="D36" s="6">
        <v>10000</v>
      </c>
      <c r="E36" s="6">
        <f t="shared" si="0"/>
        <v>340000</v>
      </c>
      <c r="F36" s="6">
        <f t="shared" si="1"/>
        <v>260000</v>
      </c>
    </row>
    <row r="37" spans="1:7" x14ac:dyDescent="0.35">
      <c r="A37" s="5" t="s">
        <v>25</v>
      </c>
      <c r="B37" s="5">
        <v>13920</v>
      </c>
      <c r="C37" s="5" t="s">
        <v>19</v>
      </c>
      <c r="D37" s="6">
        <v>10000</v>
      </c>
      <c r="E37" s="6">
        <f t="shared" si="0"/>
        <v>350000</v>
      </c>
      <c r="F37" s="6">
        <f t="shared" si="1"/>
        <v>250000</v>
      </c>
    </row>
    <row r="38" spans="1:7" x14ac:dyDescent="0.35">
      <c r="A38" s="7">
        <v>45910</v>
      </c>
      <c r="B38" s="5">
        <v>13734</v>
      </c>
      <c r="C38" s="5" t="s">
        <v>19</v>
      </c>
      <c r="D38" s="6">
        <v>10000</v>
      </c>
      <c r="E38" s="6">
        <f t="shared" si="0"/>
        <v>360000</v>
      </c>
      <c r="F38" s="6">
        <f t="shared" si="1"/>
        <v>240000</v>
      </c>
    </row>
    <row r="39" spans="1:7" x14ac:dyDescent="0.35">
      <c r="A39" s="7">
        <v>46002</v>
      </c>
      <c r="B39" s="5">
        <v>13355</v>
      </c>
      <c r="C39" s="5" t="s">
        <v>19</v>
      </c>
      <c r="D39" s="6">
        <v>10000</v>
      </c>
      <c r="E39" s="6">
        <f t="shared" si="0"/>
        <v>370000</v>
      </c>
      <c r="F39" s="6">
        <f t="shared" si="1"/>
        <v>230000</v>
      </c>
    </row>
    <row r="40" spans="1:7" x14ac:dyDescent="0.35">
      <c r="A40" s="5" t="s">
        <v>26</v>
      </c>
      <c r="B40" s="5">
        <v>13182</v>
      </c>
      <c r="C40" s="5" t="s">
        <v>19</v>
      </c>
      <c r="D40" s="6">
        <v>10000</v>
      </c>
      <c r="E40" s="6">
        <f t="shared" si="0"/>
        <v>380000</v>
      </c>
      <c r="F40" s="6">
        <f t="shared" si="1"/>
        <v>220000</v>
      </c>
    </row>
    <row r="41" spans="1:7" x14ac:dyDescent="0.35">
      <c r="A41" s="7">
        <v>46357</v>
      </c>
      <c r="B41" s="5">
        <v>12106</v>
      </c>
      <c r="C41" s="5" t="s">
        <v>19</v>
      </c>
      <c r="D41" s="6">
        <v>10000</v>
      </c>
      <c r="E41" s="6">
        <f t="shared" si="0"/>
        <v>390000</v>
      </c>
      <c r="F41" s="6">
        <f t="shared" si="1"/>
        <v>210000</v>
      </c>
    </row>
    <row r="42" spans="1:7" x14ac:dyDescent="0.35">
      <c r="A42" s="5" t="s">
        <v>27</v>
      </c>
      <c r="B42" s="5">
        <v>12498</v>
      </c>
      <c r="C42" s="5" t="s">
        <v>19</v>
      </c>
      <c r="D42" s="6">
        <v>10000</v>
      </c>
      <c r="E42" s="6">
        <f t="shared" si="0"/>
        <v>400000</v>
      </c>
      <c r="F42" s="6">
        <f t="shared" si="1"/>
        <v>200000</v>
      </c>
    </row>
    <row r="43" spans="1:7" x14ac:dyDescent="0.35">
      <c r="A43" s="7">
        <v>46206</v>
      </c>
      <c r="B43" s="5">
        <v>12765</v>
      </c>
      <c r="C43" s="5" t="s">
        <v>19</v>
      </c>
      <c r="D43" s="6">
        <v>10000</v>
      </c>
      <c r="E43" s="6">
        <f t="shared" si="0"/>
        <v>410000</v>
      </c>
      <c r="F43" s="6">
        <f t="shared" si="1"/>
        <v>190000</v>
      </c>
    </row>
    <row r="44" spans="1:7" x14ac:dyDescent="0.35">
      <c r="A44" s="12">
        <v>46085</v>
      </c>
      <c r="B44" s="5">
        <v>13185</v>
      </c>
      <c r="C44" s="5" t="s">
        <v>19</v>
      </c>
      <c r="D44" s="6">
        <v>10000</v>
      </c>
      <c r="E44" s="6">
        <f t="shared" si="0"/>
        <v>420000</v>
      </c>
      <c r="F44" s="6">
        <f t="shared" si="1"/>
        <v>180000</v>
      </c>
    </row>
    <row r="45" spans="1:7" x14ac:dyDescent="0.35">
      <c r="A45" s="17" t="s">
        <v>141</v>
      </c>
      <c r="B45" s="16">
        <v>13569</v>
      </c>
      <c r="C45" s="16" t="s">
        <v>19</v>
      </c>
      <c r="D45" s="18">
        <v>10000</v>
      </c>
      <c r="E45" s="18">
        <f>E44+D45</f>
        <v>430000</v>
      </c>
      <c r="F45" s="18">
        <f>F44-D45</f>
        <v>170000</v>
      </c>
      <c r="G45" s="17"/>
    </row>
    <row r="46" spans="1:7" x14ac:dyDescent="0.35">
      <c r="A46" s="19">
        <v>46242</v>
      </c>
      <c r="B46" s="16">
        <v>1682</v>
      </c>
      <c r="C46" s="16" t="s">
        <v>19</v>
      </c>
      <c r="D46" s="18">
        <v>10000</v>
      </c>
      <c r="E46" s="18">
        <v>440000</v>
      </c>
      <c r="F46" s="18">
        <v>160000</v>
      </c>
      <c r="G46" s="17"/>
    </row>
    <row r="47" spans="1:7" x14ac:dyDescent="0.35">
      <c r="A47" s="19">
        <v>46243</v>
      </c>
      <c r="B47" s="16">
        <v>1940</v>
      </c>
      <c r="C47" s="16" t="s">
        <v>19</v>
      </c>
      <c r="D47" s="18">
        <v>10000</v>
      </c>
      <c r="E47" s="18">
        <v>450000</v>
      </c>
      <c r="F47" s="18">
        <v>150000</v>
      </c>
      <c r="G47" s="17"/>
    </row>
    <row r="48" spans="1:7" x14ac:dyDescent="0.35">
      <c r="A48" s="19">
        <v>46305</v>
      </c>
      <c r="B48" s="16">
        <v>5028</v>
      </c>
      <c r="C48" s="16" t="s">
        <v>19</v>
      </c>
      <c r="D48" s="18">
        <v>10000</v>
      </c>
      <c r="E48" s="18">
        <v>460000</v>
      </c>
      <c r="F48" s="18">
        <v>140000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41" workbookViewId="0">
      <selection activeCell="F48" sqref="F48"/>
    </sheetView>
  </sheetViews>
  <sheetFormatPr defaultRowHeight="14.5" x14ac:dyDescent="0.35"/>
  <cols>
    <col min="1" max="1" width="9.81640625" customWidth="1"/>
    <col min="3" max="3" width="10.1796875" customWidth="1"/>
    <col min="6" max="6" width="10.453125" customWidth="1"/>
  </cols>
  <sheetData>
    <row r="1" spans="1:6" ht="18.5" x14ac:dyDescent="0.45">
      <c r="A1" s="1" t="s">
        <v>80</v>
      </c>
      <c r="B1" s="1"/>
      <c r="C1" s="2"/>
      <c r="D1" s="1"/>
      <c r="E1" s="1"/>
      <c r="F1" s="1"/>
    </row>
    <row r="2" spans="1:6" ht="18.5" x14ac:dyDescent="0.45">
      <c r="A2" s="1" t="s">
        <v>81</v>
      </c>
      <c r="C2" s="1"/>
      <c r="D2" s="1"/>
      <c r="E2" s="1"/>
      <c r="F2" s="1"/>
    </row>
    <row r="3" spans="1:6" ht="18.5" x14ac:dyDescent="0.45">
      <c r="A3" s="1" t="s">
        <v>82</v>
      </c>
      <c r="B3" s="1"/>
      <c r="C3" s="1"/>
      <c r="D3" s="1"/>
      <c r="E3" s="1"/>
      <c r="F3" s="1"/>
    </row>
    <row r="4" spans="1:6" ht="18.5" x14ac:dyDescent="0.45">
      <c r="A4" s="1" t="s">
        <v>85</v>
      </c>
      <c r="B4" s="1" t="s">
        <v>147</v>
      </c>
      <c r="C4" s="1"/>
      <c r="D4" s="1"/>
      <c r="E4" s="1"/>
      <c r="F4" s="1"/>
    </row>
    <row r="5" spans="1:6" ht="18.5" x14ac:dyDescent="0.45">
      <c r="A5" s="1" t="s">
        <v>83</v>
      </c>
      <c r="B5" s="1"/>
      <c r="C5" s="1"/>
      <c r="D5" s="1"/>
      <c r="E5" s="1"/>
      <c r="F5" s="1"/>
    </row>
    <row r="6" spans="1:6" ht="18.5" x14ac:dyDescent="0.45">
      <c r="A6" s="1" t="s">
        <v>84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86</v>
      </c>
      <c r="B8">
        <v>4</v>
      </c>
      <c r="C8" t="s">
        <v>35</v>
      </c>
      <c r="D8" s="14">
        <v>60000</v>
      </c>
      <c r="E8" s="14">
        <v>60000</v>
      </c>
      <c r="F8" s="14">
        <v>540000</v>
      </c>
    </row>
    <row r="9" spans="1:6" x14ac:dyDescent="0.35">
      <c r="A9" t="s">
        <v>87</v>
      </c>
      <c r="B9">
        <v>1959</v>
      </c>
      <c r="C9" t="s">
        <v>19</v>
      </c>
      <c r="D9" s="14">
        <v>10000</v>
      </c>
      <c r="E9" s="14">
        <f>SUM(E8+D9)</f>
        <v>70000</v>
      </c>
      <c r="F9" s="14">
        <f>F8-D9</f>
        <v>530000</v>
      </c>
    </row>
    <row r="10" spans="1:6" x14ac:dyDescent="0.35">
      <c r="A10" t="s">
        <v>13</v>
      </c>
      <c r="B10">
        <v>2358</v>
      </c>
      <c r="C10" t="s">
        <v>19</v>
      </c>
      <c r="D10" s="14">
        <v>10000</v>
      </c>
      <c r="E10" s="14">
        <f t="shared" ref="E10:E44" si="0">SUM(E9+D10)</f>
        <v>80000</v>
      </c>
      <c r="F10" s="14">
        <f t="shared" ref="F10:F44" si="1">F9-D10</f>
        <v>520000</v>
      </c>
    </row>
    <row r="11" spans="1:6" x14ac:dyDescent="0.35">
      <c r="A11" s="13">
        <v>45142</v>
      </c>
      <c r="B11">
        <v>1889</v>
      </c>
      <c r="C11" t="s">
        <v>19</v>
      </c>
      <c r="D11" s="14">
        <v>10000</v>
      </c>
      <c r="E11" s="14">
        <f t="shared" si="0"/>
        <v>90000</v>
      </c>
      <c r="F11" s="14">
        <f t="shared" si="1"/>
        <v>510000</v>
      </c>
    </row>
    <row r="12" spans="1:6" x14ac:dyDescent="0.35">
      <c r="A12" s="13">
        <v>45204</v>
      </c>
      <c r="B12">
        <v>776</v>
      </c>
      <c r="C12" t="s">
        <v>19</v>
      </c>
      <c r="D12" s="14">
        <v>10000</v>
      </c>
      <c r="E12" s="14">
        <f t="shared" si="0"/>
        <v>100000</v>
      </c>
      <c r="F12" s="14">
        <f t="shared" si="1"/>
        <v>500000</v>
      </c>
    </row>
    <row r="13" spans="1:6" x14ac:dyDescent="0.35">
      <c r="A13" s="13">
        <v>45205</v>
      </c>
      <c r="B13">
        <v>409</v>
      </c>
      <c r="C13" t="s">
        <v>19</v>
      </c>
      <c r="D13" s="14">
        <v>10000</v>
      </c>
      <c r="E13" s="14">
        <f t="shared" si="0"/>
        <v>110000</v>
      </c>
      <c r="F13" s="14">
        <f t="shared" si="1"/>
        <v>490000</v>
      </c>
    </row>
    <row r="14" spans="1:6" x14ac:dyDescent="0.35">
      <c r="A14" s="13">
        <v>45206</v>
      </c>
      <c r="B14">
        <v>2649</v>
      </c>
      <c r="C14" t="s">
        <v>19</v>
      </c>
      <c r="D14" s="14">
        <v>10000</v>
      </c>
      <c r="E14" s="14">
        <f t="shared" si="0"/>
        <v>120000</v>
      </c>
      <c r="F14" s="14">
        <f t="shared" si="1"/>
        <v>480000</v>
      </c>
    </row>
    <row r="15" spans="1:6" x14ac:dyDescent="0.35">
      <c r="A15" s="13">
        <v>45238</v>
      </c>
      <c r="B15">
        <v>2363</v>
      </c>
      <c r="C15" t="s">
        <v>19</v>
      </c>
      <c r="D15" s="14">
        <v>10000</v>
      </c>
      <c r="E15" s="14">
        <f t="shared" si="0"/>
        <v>130000</v>
      </c>
      <c r="F15" s="14">
        <f t="shared" si="1"/>
        <v>470000</v>
      </c>
    </row>
    <row r="16" spans="1:6" x14ac:dyDescent="0.35">
      <c r="A16" s="13">
        <v>45178</v>
      </c>
      <c r="B16">
        <v>3473</v>
      </c>
      <c r="C16" t="s">
        <v>19</v>
      </c>
      <c r="D16" s="14">
        <v>10000</v>
      </c>
      <c r="E16" s="14">
        <f t="shared" si="0"/>
        <v>140000</v>
      </c>
      <c r="F16" s="14">
        <f t="shared" si="1"/>
        <v>460000</v>
      </c>
    </row>
    <row r="17" spans="1:6" x14ac:dyDescent="0.35">
      <c r="A17" s="13">
        <v>45148</v>
      </c>
      <c r="B17">
        <v>4091</v>
      </c>
      <c r="C17" t="s">
        <v>19</v>
      </c>
      <c r="D17" s="14">
        <v>10000</v>
      </c>
      <c r="E17" s="14">
        <f t="shared" si="0"/>
        <v>150000</v>
      </c>
      <c r="F17" s="14">
        <f t="shared" si="1"/>
        <v>450000</v>
      </c>
    </row>
    <row r="18" spans="1:6" x14ac:dyDescent="0.35">
      <c r="A18" s="13">
        <v>45180</v>
      </c>
      <c r="B18">
        <v>4757</v>
      </c>
      <c r="C18" t="s">
        <v>19</v>
      </c>
      <c r="D18" s="14">
        <v>10000</v>
      </c>
      <c r="E18" s="14">
        <f t="shared" si="0"/>
        <v>160000</v>
      </c>
      <c r="F18" s="14">
        <f t="shared" si="1"/>
        <v>440000</v>
      </c>
    </row>
    <row r="19" spans="1:6" x14ac:dyDescent="0.35">
      <c r="A19" s="15">
        <v>45261</v>
      </c>
      <c r="B19">
        <v>5253</v>
      </c>
      <c r="C19" t="s">
        <v>19</v>
      </c>
      <c r="D19" s="14">
        <v>10000</v>
      </c>
      <c r="E19" s="14">
        <f t="shared" si="0"/>
        <v>170000</v>
      </c>
      <c r="F19" s="14">
        <f t="shared" si="1"/>
        <v>430000</v>
      </c>
    </row>
    <row r="20" spans="1:6" x14ac:dyDescent="0.35">
      <c r="A20" s="15">
        <v>45292</v>
      </c>
      <c r="B20">
        <v>5934</v>
      </c>
      <c r="C20" t="s">
        <v>19</v>
      </c>
      <c r="D20" s="14">
        <v>10000</v>
      </c>
      <c r="E20" s="14">
        <f t="shared" si="0"/>
        <v>180000</v>
      </c>
      <c r="F20" s="14">
        <f t="shared" si="1"/>
        <v>420000</v>
      </c>
    </row>
    <row r="21" spans="1:6" x14ac:dyDescent="0.35">
      <c r="A21" s="13">
        <v>45353</v>
      </c>
      <c r="B21">
        <v>6509</v>
      </c>
      <c r="C21" t="s">
        <v>19</v>
      </c>
      <c r="D21" s="14">
        <v>10000</v>
      </c>
      <c r="E21" s="14">
        <f t="shared" si="0"/>
        <v>190000</v>
      </c>
      <c r="F21" s="14">
        <f t="shared" si="1"/>
        <v>410000</v>
      </c>
    </row>
    <row r="22" spans="1:6" x14ac:dyDescent="0.35">
      <c r="A22" t="s">
        <v>88</v>
      </c>
      <c r="B22">
        <v>7341</v>
      </c>
      <c r="C22" t="s">
        <v>19</v>
      </c>
      <c r="D22" s="14">
        <v>10000</v>
      </c>
      <c r="E22" s="14">
        <f t="shared" si="0"/>
        <v>200000</v>
      </c>
      <c r="F22" s="14">
        <f t="shared" si="1"/>
        <v>400000</v>
      </c>
    </row>
    <row r="23" spans="1:6" x14ac:dyDescent="0.35">
      <c r="A23" t="s">
        <v>89</v>
      </c>
      <c r="B23">
        <v>8007</v>
      </c>
      <c r="C23" t="s">
        <v>19</v>
      </c>
      <c r="D23" s="14">
        <v>10000</v>
      </c>
      <c r="E23" s="14">
        <f t="shared" si="0"/>
        <v>210000</v>
      </c>
      <c r="F23" s="14">
        <f t="shared" si="1"/>
        <v>390000</v>
      </c>
    </row>
    <row r="24" spans="1:6" x14ac:dyDescent="0.35">
      <c r="A24" s="13">
        <v>45509</v>
      </c>
      <c r="B24">
        <v>8329</v>
      </c>
      <c r="C24" t="s">
        <v>19</v>
      </c>
      <c r="D24" s="14">
        <v>10000</v>
      </c>
      <c r="E24" s="14">
        <f t="shared" si="0"/>
        <v>220000</v>
      </c>
      <c r="F24" s="14">
        <f t="shared" si="1"/>
        <v>380000</v>
      </c>
    </row>
    <row r="25" spans="1:6" x14ac:dyDescent="0.35">
      <c r="A25" t="s">
        <v>90</v>
      </c>
      <c r="B25">
        <v>9613</v>
      </c>
      <c r="C25" t="s">
        <v>19</v>
      </c>
      <c r="D25" s="14">
        <v>20000</v>
      </c>
      <c r="E25" s="14">
        <f t="shared" si="0"/>
        <v>240000</v>
      </c>
      <c r="F25" s="14">
        <f t="shared" si="1"/>
        <v>360000</v>
      </c>
    </row>
    <row r="26" spans="1:6" x14ac:dyDescent="0.35">
      <c r="A26" s="13">
        <v>45573</v>
      </c>
      <c r="B26">
        <v>11026</v>
      </c>
      <c r="C26" t="s">
        <v>19</v>
      </c>
      <c r="D26" s="14">
        <v>10000</v>
      </c>
      <c r="E26" s="14">
        <f t="shared" si="0"/>
        <v>250000</v>
      </c>
      <c r="F26" s="14">
        <f t="shared" si="1"/>
        <v>350000</v>
      </c>
    </row>
    <row r="27" spans="1:6" x14ac:dyDescent="0.35">
      <c r="A27" t="s">
        <v>91</v>
      </c>
      <c r="B27">
        <v>10111</v>
      </c>
      <c r="C27" t="s">
        <v>19</v>
      </c>
      <c r="D27" s="14">
        <v>10000</v>
      </c>
      <c r="E27" s="14">
        <f t="shared" si="0"/>
        <v>260000</v>
      </c>
      <c r="F27" s="14">
        <f t="shared" si="1"/>
        <v>340000</v>
      </c>
    </row>
    <row r="28" spans="1:6" x14ac:dyDescent="0.35">
      <c r="A28" s="13" t="s">
        <v>92</v>
      </c>
      <c r="B28">
        <v>11631</v>
      </c>
      <c r="C28" t="s">
        <v>19</v>
      </c>
      <c r="D28" s="14">
        <v>10000</v>
      </c>
      <c r="E28" s="14">
        <f t="shared" si="0"/>
        <v>270000</v>
      </c>
      <c r="F28" s="14">
        <f t="shared" si="1"/>
        <v>330000</v>
      </c>
    </row>
    <row r="29" spans="1:6" x14ac:dyDescent="0.35">
      <c r="A29" t="s">
        <v>93</v>
      </c>
      <c r="B29">
        <v>12181</v>
      </c>
      <c r="C29" t="s">
        <v>19</v>
      </c>
      <c r="D29" s="14">
        <v>10000</v>
      </c>
      <c r="E29" s="14">
        <f t="shared" si="0"/>
        <v>280000</v>
      </c>
      <c r="F29" s="14">
        <f t="shared" si="1"/>
        <v>320000</v>
      </c>
    </row>
    <row r="30" spans="1:6" x14ac:dyDescent="0.35">
      <c r="A30" s="13" t="s">
        <v>94</v>
      </c>
      <c r="B30">
        <v>12677</v>
      </c>
      <c r="C30" t="s">
        <v>19</v>
      </c>
      <c r="D30" s="14">
        <v>10000</v>
      </c>
      <c r="E30" s="14">
        <f t="shared" si="0"/>
        <v>290000</v>
      </c>
      <c r="F30" s="14">
        <f t="shared" si="1"/>
        <v>310000</v>
      </c>
    </row>
    <row r="31" spans="1:6" x14ac:dyDescent="0.35">
      <c r="A31" s="13">
        <v>45841</v>
      </c>
      <c r="B31">
        <v>9639</v>
      </c>
      <c r="C31" t="s">
        <v>19</v>
      </c>
      <c r="D31" s="14">
        <v>10000</v>
      </c>
      <c r="E31" s="14">
        <f t="shared" si="0"/>
        <v>300000</v>
      </c>
      <c r="F31" s="14">
        <f t="shared" si="1"/>
        <v>300000</v>
      </c>
    </row>
    <row r="32" spans="1:6" x14ac:dyDescent="0.35">
      <c r="A32" s="13" t="s">
        <v>95</v>
      </c>
      <c r="B32">
        <v>10003</v>
      </c>
      <c r="C32" t="s">
        <v>19</v>
      </c>
      <c r="D32" s="14">
        <v>10000</v>
      </c>
      <c r="E32" s="14">
        <f t="shared" si="0"/>
        <v>310000</v>
      </c>
      <c r="F32" s="14">
        <f t="shared" si="1"/>
        <v>290000</v>
      </c>
    </row>
    <row r="33" spans="1:6" x14ac:dyDescent="0.35">
      <c r="A33" s="13" t="s">
        <v>96</v>
      </c>
      <c r="B33">
        <v>12264</v>
      </c>
      <c r="C33" t="s">
        <v>19</v>
      </c>
      <c r="D33" s="14">
        <v>10000</v>
      </c>
      <c r="E33" s="14">
        <f t="shared" si="0"/>
        <v>320000</v>
      </c>
      <c r="F33" s="14">
        <f t="shared" si="1"/>
        <v>280000</v>
      </c>
    </row>
    <row r="34" spans="1:6" x14ac:dyDescent="0.35">
      <c r="A34" s="13" t="s">
        <v>97</v>
      </c>
      <c r="B34">
        <v>12241</v>
      </c>
      <c r="C34" t="s">
        <v>19</v>
      </c>
      <c r="D34" s="14">
        <v>10000</v>
      </c>
      <c r="E34" s="14">
        <f t="shared" si="0"/>
        <v>330000</v>
      </c>
      <c r="F34" s="14">
        <f t="shared" si="1"/>
        <v>270000</v>
      </c>
    </row>
    <row r="35" spans="1:6" x14ac:dyDescent="0.35">
      <c r="A35" s="13" t="s">
        <v>98</v>
      </c>
      <c r="B35">
        <v>12994</v>
      </c>
      <c r="C35" t="s">
        <v>19</v>
      </c>
      <c r="D35" s="14">
        <v>10000</v>
      </c>
      <c r="E35" s="14">
        <f t="shared" si="0"/>
        <v>340000</v>
      </c>
      <c r="F35" s="14">
        <f t="shared" si="1"/>
        <v>260000</v>
      </c>
    </row>
    <row r="36" spans="1:6" x14ac:dyDescent="0.35">
      <c r="A36" s="13" t="s">
        <v>99</v>
      </c>
      <c r="B36">
        <v>12992</v>
      </c>
      <c r="C36" t="s">
        <v>19</v>
      </c>
      <c r="D36" s="14">
        <v>10000</v>
      </c>
      <c r="E36" s="14">
        <f t="shared" si="0"/>
        <v>350000</v>
      </c>
      <c r="F36" s="14">
        <f t="shared" si="1"/>
        <v>250000</v>
      </c>
    </row>
    <row r="37" spans="1:6" x14ac:dyDescent="0.35">
      <c r="A37" s="13" t="s">
        <v>100</v>
      </c>
      <c r="B37">
        <v>13971</v>
      </c>
      <c r="C37" t="s">
        <v>19</v>
      </c>
      <c r="D37" s="14">
        <v>10000</v>
      </c>
      <c r="E37" s="14">
        <f t="shared" si="0"/>
        <v>360000</v>
      </c>
      <c r="F37" s="14">
        <f t="shared" si="1"/>
        <v>240000</v>
      </c>
    </row>
    <row r="38" spans="1:6" x14ac:dyDescent="0.35">
      <c r="A38" s="13" t="s">
        <v>101</v>
      </c>
      <c r="B38">
        <v>13524</v>
      </c>
      <c r="C38" t="s">
        <v>19</v>
      </c>
      <c r="D38" s="14">
        <v>10000</v>
      </c>
      <c r="E38" s="14">
        <f t="shared" si="0"/>
        <v>370000</v>
      </c>
      <c r="F38" s="14">
        <f t="shared" si="1"/>
        <v>230000</v>
      </c>
    </row>
    <row r="39" spans="1:6" x14ac:dyDescent="0.35">
      <c r="A39" s="13">
        <v>45911</v>
      </c>
      <c r="B39">
        <v>13495</v>
      </c>
      <c r="C39" t="s">
        <v>19</v>
      </c>
      <c r="D39" s="14">
        <v>10000</v>
      </c>
      <c r="E39" s="14">
        <f t="shared" si="0"/>
        <v>380000</v>
      </c>
      <c r="F39" s="14">
        <f t="shared" si="1"/>
        <v>220000</v>
      </c>
    </row>
    <row r="40" spans="1:6" x14ac:dyDescent="0.35">
      <c r="A40" s="13" t="s">
        <v>102</v>
      </c>
      <c r="B40">
        <v>13808</v>
      </c>
      <c r="C40" t="s">
        <v>19</v>
      </c>
      <c r="D40" s="14">
        <v>10000</v>
      </c>
      <c r="E40" s="14">
        <f t="shared" si="0"/>
        <v>390000</v>
      </c>
      <c r="F40" s="14">
        <f t="shared" si="1"/>
        <v>210000</v>
      </c>
    </row>
    <row r="41" spans="1:6" x14ac:dyDescent="0.35">
      <c r="A41" s="13" t="s">
        <v>103</v>
      </c>
      <c r="B41">
        <v>12220</v>
      </c>
      <c r="C41" t="s">
        <v>19</v>
      </c>
      <c r="D41" s="14">
        <v>10000</v>
      </c>
      <c r="E41" s="14">
        <f t="shared" si="0"/>
        <v>400000</v>
      </c>
      <c r="F41" s="14">
        <f t="shared" si="1"/>
        <v>200000</v>
      </c>
    </row>
    <row r="42" spans="1:6" x14ac:dyDescent="0.35">
      <c r="A42" s="13" t="s">
        <v>104</v>
      </c>
      <c r="B42">
        <v>12538</v>
      </c>
      <c r="C42" t="s">
        <v>19</v>
      </c>
      <c r="D42" s="14">
        <v>10000</v>
      </c>
      <c r="E42" s="14">
        <f t="shared" si="0"/>
        <v>410000</v>
      </c>
      <c r="F42" s="14">
        <f t="shared" si="1"/>
        <v>190000</v>
      </c>
    </row>
    <row r="43" spans="1:6" x14ac:dyDescent="0.35">
      <c r="A43" s="13">
        <v>46025</v>
      </c>
      <c r="B43">
        <v>12891</v>
      </c>
      <c r="C43" t="s">
        <v>19</v>
      </c>
      <c r="D43" s="14">
        <v>10000</v>
      </c>
      <c r="E43" s="14">
        <f t="shared" si="0"/>
        <v>420000</v>
      </c>
      <c r="F43" s="14">
        <f t="shared" si="1"/>
        <v>180000</v>
      </c>
    </row>
    <row r="44" spans="1:6" x14ac:dyDescent="0.35">
      <c r="A44" s="13">
        <v>46299</v>
      </c>
      <c r="B44">
        <v>12303</v>
      </c>
      <c r="C44" t="s">
        <v>19</v>
      </c>
      <c r="D44" s="14">
        <v>10000</v>
      </c>
      <c r="E44" s="14">
        <f t="shared" si="0"/>
        <v>430000</v>
      </c>
      <c r="F44" s="14">
        <f t="shared" si="1"/>
        <v>170000</v>
      </c>
    </row>
    <row r="45" spans="1:6" x14ac:dyDescent="0.35">
      <c r="A45" s="13" t="s">
        <v>142</v>
      </c>
      <c r="B45">
        <v>13426</v>
      </c>
      <c r="C45" t="s">
        <v>19</v>
      </c>
      <c r="D45" s="14">
        <v>10000</v>
      </c>
      <c r="E45" s="14">
        <f>E44+D45</f>
        <v>440000</v>
      </c>
      <c r="F45" s="14">
        <f>F44-D45</f>
        <v>160000</v>
      </c>
    </row>
    <row r="46" spans="1:6" x14ac:dyDescent="0.35">
      <c r="A46" s="13" t="s">
        <v>143</v>
      </c>
      <c r="B46">
        <v>13670</v>
      </c>
      <c r="C46" t="s">
        <v>19</v>
      </c>
      <c r="D46" s="14">
        <v>10000</v>
      </c>
      <c r="E46" s="14">
        <f>E45+D46</f>
        <v>450000</v>
      </c>
      <c r="F46" s="14">
        <f>F45-D46</f>
        <v>150000</v>
      </c>
    </row>
    <row r="47" spans="1:6" x14ac:dyDescent="0.35">
      <c r="A47" s="13" t="s">
        <v>146</v>
      </c>
      <c r="B47">
        <v>1383</v>
      </c>
      <c r="C47" t="s">
        <v>19</v>
      </c>
      <c r="D47" s="14">
        <v>10000</v>
      </c>
      <c r="E47" s="14">
        <f>E46+D47</f>
        <v>460000</v>
      </c>
      <c r="F47" s="14">
        <f>F46-D47</f>
        <v>140000</v>
      </c>
    </row>
    <row r="48" spans="1:6" x14ac:dyDescent="0.35">
      <c r="A48" s="13">
        <v>46030</v>
      </c>
      <c r="B48">
        <v>1617</v>
      </c>
      <c r="D48" s="14">
        <v>10000</v>
      </c>
      <c r="E48" s="14">
        <v>470000</v>
      </c>
      <c r="F48" s="14">
        <v>130000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33" workbookViewId="0">
      <selection activeCell="C11" sqref="C11"/>
    </sheetView>
  </sheetViews>
  <sheetFormatPr defaultRowHeight="14.5" x14ac:dyDescent="0.35"/>
  <cols>
    <col min="1" max="1" width="9.453125" bestFit="1" customWidth="1"/>
    <col min="3" max="3" width="10.26953125" customWidth="1"/>
    <col min="6" max="6" width="10.7265625" customWidth="1"/>
  </cols>
  <sheetData>
    <row r="1" spans="1:6" ht="18.5" x14ac:dyDescent="0.45">
      <c r="A1" s="1" t="s">
        <v>80</v>
      </c>
      <c r="B1" s="1"/>
      <c r="C1" s="2"/>
      <c r="D1" s="1"/>
      <c r="E1" s="1"/>
      <c r="F1" s="1"/>
    </row>
    <row r="2" spans="1:6" ht="18.5" x14ac:dyDescent="0.45">
      <c r="A2" s="1" t="s">
        <v>81</v>
      </c>
      <c r="C2" s="1"/>
      <c r="D2" s="1"/>
      <c r="E2" s="1"/>
      <c r="F2" s="1"/>
    </row>
    <row r="3" spans="1:6" ht="18.5" x14ac:dyDescent="0.45">
      <c r="A3" s="1" t="s">
        <v>82</v>
      </c>
      <c r="B3" s="1"/>
      <c r="C3" s="1"/>
      <c r="D3" s="1"/>
      <c r="E3" s="1"/>
      <c r="F3" s="1"/>
    </row>
    <row r="4" spans="1:6" ht="18.5" x14ac:dyDescent="0.45">
      <c r="A4" s="1" t="s">
        <v>120</v>
      </c>
      <c r="B4" s="1" t="s">
        <v>148</v>
      </c>
      <c r="C4" s="1"/>
      <c r="D4" s="1"/>
      <c r="E4" s="1"/>
      <c r="F4" s="1"/>
    </row>
    <row r="5" spans="1:6" ht="18.5" x14ac:dyDescent="0.45">
      <c r="A5" s="1" t="s">
        <v>83</v>
      </c>
      <c r="B5" s="1"/>
      <c r="C5" s="1"/>
      <c r="D5" s="1"/>
      <c r="E5" s="1"/>
      <c r="F5" s="1"/>
    </row>
    <row r="6" spans="1:6" ht="18.5" x14ac:dyDescent="0.45">
      <c r="A6" s="1" t="s">
        <v>119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2">
        <v>45200</v>
      </c>
      <c r="B8" s="10">
        <v>17</v>
      </c>
      <c r="C8" s="10" t="s">
        <v>121</v>
      </c>
      <c r="D8" s="11">
        <v>60000</v>
      </c>
      <c r="E8" s="11">
        <v>60000</v>
      </c>
      <c r="F8" s="11">
        <v>540000</v>
      </c>
    </row>
    <row r="9" spans="1:6" x14ac:dyDescent="0.35">
      <c r="A9" s="10" t="s">
        <v>87</v>
      </c>
      <c r="B9" s="10">
        <v>1960</v>
      </c>
      <c r="C9" s="10" t="s">
        <v>19</v>
      </c>
      <c r="D9" s="11">
        <v>10000</v>
      </c>
      <c r="E9" s="11">
        <f>SUM(E8+D9)</f>
        <v>70000</v>
      </c>
      <c r="F9" s="11">
        <f>F8-D9</f>
        <v>530000</v>
      </c>
    </row>
    <row r="10" spans="1:6" x14ac:dyDescent="0.35">
      <c r="A10" s="10" t="s">
        <v>13</v>
      </c>
      <c r="B10" s="10">
        <v>2356</v>
      </c>
      <c r="C10" s="10" t="s">
        <v>19</v>
      </c>
      <c r="D10" s="11">
        <v>10000</v>
      </c>
      <c r="E10" s="11">
        <f t="shared" ref="E10:E45" si="0">SUM(E9+D10)</f>
        <v>80000</v>
      </c>
      <c r="F10" s="11">
        <f t="shared" ref="F10:F45" si="1">F9-D10</f>
        <v>520000</v>
      </c>
    </row>
    <row r="11" spans="1:6" x14ac:dyDescent="0.35">
      <c r="A11" s="12">
        <v>45142</v>
      </c>
      <c r="B11" s="10">
        <v>1890</v>
      </c>
      <c r="C11" s="10" t="s">
        <v>19</v>
      </c>
      <c r="D11" s="11">
        <v>10000</v>
      </c>
      <c r="E11" s="11">
        <f t="shared" si="0"/>
        <v>90000</v>
      </c>
      <c r="F11" s="11">
        <f t="shared" si="1"/>
        <v>510000</v>
      </c>
    </row>
    <row r="12" spans="1:6" x14ac:dyDescent="0.35">
      <c r="A12" s="12">
        <v>45204</v>
      </c>
      <c r="B12" s="10">
        <v>777</v>
      </c>
      <c r="C12" s="10" t="s">
        <v>19</v>
      </c>
      <c r="D12" s="11">
        <v>10000</v>
      </c>
      <c r="E12" s="11">
        <f t="shared" si="0"/>
        <v>100000</v>
      </c>
      <c r="F12" s="11">
        <f t="shared" si="1"/>
        <v>500000</v>
      </c>
    </row>
    <row r="13" spans="1:6" x14ac:dyDescent="0.35">
      <c r="A13" s="12">
        <v>45205</v>
      </c>
      <c r="B13" s="10">
        <v>402</v>
      </c>
      <c r="C13" s="10" t="s">
        <v>19</v>
      </c>
      <c r="D13" s="11">
        <v>10000</v>
      </c>
      <c r="E13" s="11">
        <f t="shared" si="0"/>
        <v>110000</v>
      </c>
      <c r="F13" s="11">
        <f t="shared" si="1"/>
        <v>490000</v>
      </c>
    </row>
    <row r="14" spans="1:6" x14ac:dyDescent="0.35">
      <c r="A14" s="12">
        <v>45206</v>
      </c>
      <c r="B14" s="10">
        <v>2653</v>
      </c>
      <c r="C14" s="10" t="s">
        <v>19</v>
      </c>
      <c r="D14" s="11">
        <v>10000</v>
      </c>
      <c r="E14" s="11">
        <f t="shared" si="0"/>
        <v>120000</v>
      </c>
      <c r="F14" s="11">
        <f t="shared" si="1"/>
        <v>480000</v>
      </c>
    </row>
    <row r="15" spans="1:6" x14ac:dyDescent="0.35">
      <c r="A15" s="12">
        <v>45238</v>
      </c>
      <c r="B15" s="10">
        <v>2562</v>
      </c>
      <c r="C15" s="10" t="s">
        <v>19</v>
      </c>
      <c r="D15" s="11">
        <v>10000</v>
      </c>
      <c r="E15" s="11">
        <f t="shared" si="0"/>
        <v>130000</v>
      </c>
      <c r="F15" s="11">
        <f t="shared" si="1"/>
        <v>470000</v>
      </c>
    </row>
    <row r="16" spans="1:6" x14ac:dyDescent="0.35">
      <c r="A16" s="12">
        <v>45178</v>
      </c>
      <c r="B16" s="10">
        <v>3474</v>
      </c>
      <c r="C16" s="10" t="s">
        <v>19</v>
      </c>
      <c r="D16" s="11">
        <v>10000</v>
      </c>
      <c r="E16" s="11">
        <f t="shared" si="0"/>
        <v>140000</v>
      </c>
      <c r="F16" s="11">
        <f t="shared" si="1"/>
        <v>460000</v>
      </c>
    </row>
    <row r="17" spans="1:6" x14ac:dyDescent="0.35">
      <c r="A17" s="12">
        <v>45148</v>
      </c>
      <c r="B17" s="10">
        <v>4092</v>
      </c>
      <c r="C17" s="10" t="s">
        <v>19</v>
      </c>
      <c r="D17" s="11">
        <v>10000</v>
      </c>
      <c r="E17" s="11">
        <f t="shared" si="0"/>
        <v>150000</v>
      </c>
      <c r="F17" s="11">
        <f t="shared" si="1"/>
        <v>450000</v>
      </c>
    </row>
    <row r="18" spans="1:6" x14ac:dyDescent="0.35">
      <c r="A18" s="12">
        <v>45180</v>
      </c>
      <c r="B18" s="10">
        <v>4758</v>
      </c>
      <c r="C18" s="10" t="s">
        <v>19</v>
      </c>
      <c r="D18" s="11">
        <v>10000</v>
      </c>
      <c r="E18" s="11">
        <f t="shared" si="0"/>
        <v>160000</v>
      </c>
      <c r="F18" s="11">
        <f t="shared" si="1"/>
        <v>440000</v>
      </c>
    </row>
    <row r="19" spans="1:6" x14ac:dyDescent="0.35">
      <c r="A19" s="12">
        <v>44969</v>
      </c>
      <c r="B19" s="10">
        <v>5254</v>
      </c>
      <c r="C19" s="10" t="s">
        <v>19</v>
      </c>
      <c r="D19" s="11">
        <v>10000</v>
      </c>
      <c r="E19" s="11">
        <f t="shared" si="0"/>
        <v>170000</v>
      </c>
      <c r="F19" s="11">
        <f t="shared" si="1"/>
        <v>430000</v>
      </c>
    </row>
    <row r="20" spans="1:6" x14ac:dyDescent="0.35">
      <c r="A20" s="12">
        <v>45444</v>
      </c>
      <c r="B20" s="10">
        <v>5935</v>
      </c>
      <c r="C20" s="10" t="s">
        <v>19</v>
      </c>
      <c r="D20" s="11">
        <v>10000</v>
      </c>
      <c r="E20" s="11">
        <f t="shared" si="0"/>
        <v>180000</v>
      </c>
      <c r="F20" s="11">
        <f t="shared" si="1"/>
        <v>420000</v>
      </c>
    </row>
    <row r="21" spans="1:6" x14ac:dyDescent="0.35">
      <c r="A21" s="12">
        <v>45353</v>
      </c>
      <c r="B21" s="10">
        <v>6510</v>
      </c>
      <c r="C21" s="10" t="s">
        <v>19</v>
      </c>
      <c r="D21" s="11">
        <v>10000</v>
      </c>
      <c r="E21" s="11">
        <f t="shared" si="0"/>
        <v>190000</v>
      </c>
      <c r="F21" s="11">
        <f t="shared" si="1"/>
        <v>410000</v>
      </c>
    </row>
    <row r="22" spans="1:6" x14ac:dyDescent="0.35">
      <c r="A22" s="10" t="s">
        <v>88</v>
      </c>
      <c r="B22" s="10">
        <v>7342</v>
      </c>
      <c r="C22" s="10" t="s">
        <v>19</v>
      </c>
      <c r="D22" s="11">
        <v>10000</v>
      </c>
      <c r="E22" s="11">
        <f t="shared" si="0"/>
        <v>200000</v>
      </c>
      <c r="F22" s="11">
        <f t="shared" si="1"/>
        <v>400000</v>
      </c>
    </row>
    <row r="23" spans="1:6" x14ac:dyDescent="0.35">
      <c r="A23" s="10" t="s">
        <v>89</v>
      </c>
      <c r="B23" s="10">
        <v>8008</v>
      </c>
      <c r="C23" s="10" t="s">
        <v>19</v>
      </c>
      <c r="D23" s="11">
        <v>10000</v>
      </c>
      <c r="E23" s="11">
        <f t="shared" si="0"/>
        <v>210000</v>
      </c>
      <c r="F23" s="11">
        <f t="shared" si="1"/>
        <v>390000</v>
      </c>
    </row>
    <row r="24" spans="1:6" x14ac:dyDescent="0.35">
      <c r="A24" s="12">
        <v>45509</v>
      </c>
      <c r="B24" s="10">
        <v>8380</v>
      </c>
      <c r="C24" s="10" t="s">
        <v>19</v>
      </c>
      <c r="D24" s="11">
        <v>10000</v>
      </c>
      <c r="E24" s="11">
        <f t="shared" si="0"/>
        <v>220000</v>
      </c>
      <c r="F24" s="11">
        <f t="shared" si="1"/>
        <v>380000</v>
      </c>
    </row>
    <row r="25" spans="1:6" x14ac:dyDescent="0.35">
      <c r="A25" s="10" t="s">
        <v>90</v>
      </c>
      <c r="B25" s="10">
        <v>9612</v>
      </c>
      <c r="C25" s="10" t="s">
        <v>19</v>
      </c>
      <c r="D25" s="11">
        <v>20000</v>
      </c>
      <c r="E25" s="11">
        <f t="shared" si="0"/>
        <v>240000</v>
      </c>
      <c r="F25" s="11">
        <f t="shared" si="1"/>
        <v>360000</v>
      </c>
    </row>
    <row r="26" spans="1:6" x14ac:dyDescent="0.35">
      <c r="A26" s="12">
        <v>45573</v>
      </c>
      <c r="B26" s="10">
        <v>11027</v>
      </c>
      <c r="C26" s="10" t="s">
        <v>19</v>
      </c>
      <c r="D26" s="11">
        <v>10000</v>
      </c>
      <c r="E26" s="11">
        <f t="shared" si="0"/>
        <v>250000</v>
      </c>
      <c r="F26" s="11">
        <f t="shared" si="1"/>
        <v>350000</v>
      </c>
    </row>
    <row r="27" spans="1:6" x14ac:dyDescent="0.35">
      <c r="A27" s="10" t="s">
        <v>91</v>
      </c>
      <c r="B27" s="10">
        <v>10112</v>
      </c>
      <c r="C27" s="10" t="s">
        <v>19</v>
      </c>
      <c r="D27" s="11">
        <v>10000</v>
      </c>
      <c r="E27" s="11">
        <f t="shared" si="0"/>
        <v>260000</v>
      </c>
      <c r="F27" s="11">
        <f t="shared" si="1"/>
        <v>340000</v>
      </c>
    </row>
    <row r="28" spans="1:6" x14ac:dyDescent="0.35">
      <c r="A28" s="12" t="s">
        <v>92</v>
      </c>
      <c r="B28" s="10">
        <v>11630</v>
      </c>
      <c r="C28" s="10" t="s">
        <v>19</v>
      </c>
      <c r="D28" s="11">
        <v>10000</v>
      </c>
      <c r="E28" s="11">
        <f t="shared" si="0"/>
        <v>270000</v>
      </c>
      <c r="F28" s="11">
        <f t="shared" si="1"/>
        <v>330000</v>
      </c>
    </row>
    <row r="29" spans="1:6" x14ac:dyDescent="0.35">
      <c r="A29" s="10" t="s">
        <v>93</v>
      </c>
      <c r="B29" s="10">
        <v>12182</v>
      </c>
      <c r="C29" s="10" t="s">
        <v>19</v>
      </c>
      <c r="D29" s="11">
        <v>10000</v>
      </c>
      <c r="E29" s="11">
        <f t="shared" si="0"/>
        <v>280000</v>
      </c>
      <c r="F29" s="11">
        <f t="shared" si="1"/>
        <v>320000</v>
      </c>
    </row>
    <row r="30" spans="1:6" x14ac:dyDescent="0.35">
      <c r="A30" s="12" t="s">
        <v>94</v>
      </c>
      <c r="B30" s="10">
        <v>12678</v>
      </c>
      <c r="C30" s="10" t="s">
        <v>19</v>
      </c>
      <c r="D30" s="11">
        <v>10000</v>
      </c>
      <c r="E30" s="11">
        <f t="shared" si="0"/>
        <v>290000</v>
      </c>
      <c r="F30" s="11">
        <f t="shared" si="1"/>
        <v>310000</v>
      </c>
    </row>
    <row r="31" spans="1:6" x14ac:dyDescent="0.35">
      <c r="A31" s="10" t="s">
        <v>114</v>
      </c>
      <c r="B31" s="10">
        <v>9407</v>
      </c>
      <c r="C31" s="10" t="s">
        <v>19</v>
      </c>
      <c r="D31" s="11">
        <v>10000</v>
      </c>
      <c r="E31" s="11">
        <f t="shared" si="0"/>
        <v>300000</v>
      </c>
      <c r="F31" s="11">
        <f t="shared" si="1"/>
        <v>300000</v>
      </c>
    </row>
    <row r="32" spans="1:6" x14ac:dyDescent="0.35">
      <c r="A32" s="12">
        <v>45841</v>
      </c>
      <c r="B32" s="10">
        <v>9640</v>
      </c>
      <c r="C32" s="10" t="s">
        <v>19</v>
      </c>
      <c r="D32" s="11">
        <v>10000</v>
      </c>
      <c r="E32" s="11">
        <f t="shared" si="0"/>
        <v>310000</v>
      </c>
      <c r="F32" s="11">
        <f t="shared" si="1"/>
        <v>290000</v>
      </c>
    </row>
    <row r="33" spans="1:6" x14ac:dyDescent="0.35">
      <c r="A33" s="10" t="s">
        <v>95</v>
      </c>
      <c r="B33" s="10">
        <v>10002</v>
      </c>
      <c r="C33" s="10" t="s">
        <v>19</v>
      </c>
      <c r="D33" s="11">
        <v>10000</v>
      </c>
      <c r="E33" s="11">
        <f t="shared" si="0"/>
        <v>320000</v>
      </c>
      <c r="F33" s="11">
        <f t="shared" si="1"/>
        <v>280000</v>
      </c>
    </row>
    <row r="34" spans="1:6" x14ac:dyDescent="0.35">
      <c r="A34" s="12" t="s">
        <v>96</v>
      </c>
      <c r="B34" s="10">
        <v>12265</v>
      </c>
      <c r="C34" s="10" t="s">
        <v>19</v>
      </c>
      <c r="D34" s="11">
        <v>10000</v>
      </c>
      <c r="E34" s="11">
        <f t="shared" si="0"/>
        <v>330000</v>
      </c>
      <c r="F34" s="11">
        <f t="shared" si="1"/>
        <v>270000</v>
      </c>
    </row>
    <row r="35" spans="1:6" x14ac:dyDescent="0.35">
      <c r="A35" s="10" t="s">
        <v>97</v>
      </c>
      <c r="B35" s="10">
        <v>12270</v>
      </c>
      <c r="C35" s="10" t="s">
        <v>19</v>
      </c>
      <c r="D35" s="11">
        <v>10000</v>
      </c>
      <c r="E35" s="11">
        <f t="shared" si="0"/>
        <v>340000</v>
      </c>
      <c r="F35" s="11">
        <f t="shared" si="1"/>
        <v>260000</v>
      </c>
    </row>
    <row r="36" spans="1:6" x14ac:dyDescent="0.35">
      <c r="A36" s="12" t="s">
        <v>98</v>
      </c>
      <c r="B36" s="10">
        <v>12242</v>
      </c>
      <c r="C36" s="10" t="s">
        <v>19</v>
      </c>
      <c r="D36" s="11">
        <v>10000</v>
      </c>
      <c r="E36" s="11">
        <f t="shared" si="0"/>
        <v>350000</v>
      </c>
      <c r="F36" s="11">
        <f t="shared" si="1"/>
        <v>250000</v>
      </c>
    </row>
    <row r="37" spans="1:6" x14ac:dyDescent="0.35">
      <c r="A37" s="10" t="s">
        <v>99</v>
      </c>
      <c r="B37" s="10">
        <v>12991</v>
      </c>
      <c r="C37" s="10" t="s">
        <v>19</v>
      </c>
      <c r="D37" s="11">
        <v>10000</v>
      </c>
      <c r="E37" s="11">
        <f t="shared" si="0"/>
        <v>360000</v>
      </c>
      <c r="F37" s="11">
        <f t="shared" si="1"/>
        <v>240000</v>
      </c>
    </row>
    <row r="38" spans="1:6" x14ac:dyDescent="0.35">
      <c r="A38" s="12" t="s">
        <v>100</v>
      </c>
      <c r="B38" s="10">
        <v>13972</v>
      </c>
      <c r="C38" s="10" t="s">
        <v>19</v>
      </c>
      <c r="D38" s="11">
        <v>10000</v>
      </c>
      <c r="E38" s="11">
        <f t="shared" si="0"/>
        <v>370000</v>
      </c>
      <c r="F38" s="11">
        <f t="shared" si="1"/>
        <v>230000</v>
      </c>
    </row>
    <row r="39" spans="1:6" x14ac:dyDescent="0.35">
      <c r="A39" s="10" t="s">
        <v>101</v>
      </c>
      <c r="B39" s="10">
        <v>13525</v>
      </c>
      <c r="C39" s="10" t="s">
        <v>19</v>
      </c>
      <c r="D39" s="11">
        <v>10000</v>
      </c>
      <c r="E39" s="11">
        <f t="shared" si="0"/>
        <v>380000</v>
      </c>
      <c r="F39" s="11">
        <f t="shared" si="1"/>
        <v>220000</v>
      </c>
    </row>
    <row r="40" spans="1:6" x14ac:dyDescent="0.35">
      <c r="A40" s="12">
        <v>45911</v>
      </c>
      <c r="B40" s="10">
        <v>13496</v>
      </c>
      <c r="C40" s="10" t="s">
        <v>19</v>
      </c>
      <c r="D40" s="11">
        <v>10000</v>
      </c>
      <c r="E40" s="11">
        <f t="shared" si="0"/>
        <v>390000</v>
      </c>
      <c r="F40" s="11">
        <f t="shared" si="1"/>
        <v>210000</v>
      </c>
    </row>
    <row r="41" spans="1:6" x14ac:dyDescent="0.35">
      <c r="A41" s="10" t="s">
        <v>102</v>
      </c>
      <c r="B41" s="10">
        <v>13809</v>
      </c>
      <c r="C41" s="10" t="s">
        <v>19</v>
      </c>
      <c r="D41" s="11">
        <v>10000</v>
      </c>
      <c r="E41" s="11">
        <f t="shared" si="0"/>
        <v>400000</v>
      </c>
      <c r="F41" s="11">
        <f t="shared" si="1"/>
        <v>200000</v>
      </c>
    </row>
    <row r="42" spans="1:6" x14ac:dyDescent="0.35">
      <c r="A42" s="12" t="s">
        <v>103</v>
      </c>
      <c r="B42" s="10">
        <v>12221</v>
      </c>
      <c r="C42" s="10" t="s">
        <v>19</v>
      </c>
      <c r="D42" s="11">
        <v>10000</v>
      </c>
      <c r="E42" s="11">
        <f t="shared" si="0"/>
        <v>410000</v>
      </c>
      <c r="F42" s="11">
        <f t="shared" si="1"/>
        <v>190000</v>
      </c>
    </row>
    <row r="43" spans="1:6" x14ac:dyDescent="0.35">
      <c r="A43" s="10" t="s">
        <v>104</v>
      </c>
      <c r="B43" s="10">
        <v>12537</v>
      </c>
      <c r="C43" s="10" t="s">
        <v>19</v>
      </c>
      <c r="D43" s="11">
        <v>10000</v>
      </c>
      <c r="E43" s="11">
        <f t="shared" si="0"/>
        <v>420000</v>
      </c>
      <c r="F43" s="11">
        <f t="shared" si="1"/>
        <v>180000</v>
      </c>
    </row>
    <row r="44" spans="1:6" x14ac:dyDescent="0.35">
      <c r="A44" s="12" t="s">
        <v>115</v>
      </c>
      <c r="B44" s="10">
        <v>12896</v>
      </c>
      <c r="C44" s="10" t="s">
        <v>19</v>
      </c>
      <c r="D44" s="11">
        <v>10000</v>
      </c>
      <c r="E44" s="11">
        <f t="shared" si="0"/>
        <v>430000</v>
      </c>
      <c r="F44" s="11">
        <f t="shared" si="1"/>
        <v>170000</v>
      </c>
    </row>
    <row r="45" spans="1:6" x14ac:dyDescent="0.35">
      <c r="A45" s="12">
        <v>46299</v>
      </c>
      <c r="B45" s="10">
        <v>13204</v>
      </c>
      <c r="C45" s="10" t="s">
        <v>19</v>
      </c>
      <c r="D45" s="11">
        <v>10000</v>
      </c>
      <c r="E45" s="11">
        <f t="shared" si="0"/>
        <v>440000</v>
      </c>
      <c r="F45" s="11">
        <f t="shared" si="1"/>
        <v>160000</v>
      </c>
    </row>
    <row r="46" spans="1:6" x14ac:dyDescent="0.35">
      <c r="A46" s="12" t="s">
        <v>142</v>
      </c>
      <c r="B46" s="10">
        <v>13427</v>
      </c>
      <c r="C46" s="10" t="s">
        <v>19</v>
      </c>
      <c r="D46" s="11">
        <v>10000</v>
      </c>
      <c r="E46" s="11">
        <f>E45+D46</f>
        <v>450000</v>
      </c>
      <c r="F46" s="11">
        <f>F45-D46</f>
        <v>150000</v>
      </c>
    </row>
    <row r="47" spans="1:6" x14ac:dyDescent="0.35">
      <c r="A47" s="12" t="s">
        <v>143</v>
      </c>
      <c r="B47" s="10">
        <v>13671</v>
      </c>
      <c r="C47" s="10" t="s">
        <v>19</v>
      </c>
      <c r="D47" s="11">
        <v>10000</v>
      </c>
      <c r="E47" s="11">
        <f>E46+D47</f>
        <v>460000</v>
      </c>
      <c r="F47" s="11">
        <f>F46-D47</f>
        <v>140000</v>
      </c>
    </row>
    <row r="48" spans="1:6" x14ac:dyDescent="0.35">
      <c r="A48" s="12" t="s">
        <v>146</v>
      </c>
      <c r="B48" s="10">
        <v>1394</v>
      </c>
      <c r="C48" s="10" t="s">
        <v>19</v>
      </c>
      <c r="D48" s="11">
        <v>10000</v>
      </c>
      <c r="E48" s="11">
        <f>E47+D48</f>
        <v>470000</v>
      </c>
      <c r="F48" s="11">
        <f>F47-D48</f>
        <v>130000</v>
      </c>
    </row>
    <row r="49" spans="1:6" x14ac:dyDescent="0.35">
      <c r="A49" s="12">
        <v>46030</v>
      </c>
      <c r="B49" s="10">
        <v>1619</v>
      </c>
      <c r="C49" s="10" t="s">
        <v>19</v>
      </c>
      <c r="D49" s="11">
        <v>10000</v>
      </c>
      <c r="E49" s="11">
        <v>480000</v>
      </c>
      <c r="F49" s="11">
        <v>120000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J1" sqref="J1"/>
    </sheetView>
  </sheetViews>
  <sheetFormatPr defaultRowHeight="14.5" x14ac:dyDescent="0.35"/>
  <cols>
    <col min="1" max="1" width="9.453125" bestFit="1" customWidth="1"/>
    <col min="3" max="3" width="11.6328125" customWidth="1"/>
    <col min="6" max="6" width="11.453125" customWidth="1"/>
  </cols>
  <sheetData>
    <row r="1" spans="1:6" ht="18.5" x14ac:dyDescent="0.45">
      <c r="A1" s="1" t="s">
        <v>68</v>
      </c>
      <c r="B1" s="1"/>
      <c r="C1" s="2"/>
      <c r="D1" s="1"/>
      <c r="E1" s="1"/>
      <c r="F1" s="1"/>
    </row>
    <row r="2" spans="1:6" ht="18.5" x14ac:dyDescent="0.45">
      <c r="A2" s="1" t="s">
        <v>69</v>
      </c>
      <c r="C2" s="1"/>
      <c r="D2" s="1"/>
      <c r="E2" s="1"/>
      <c r="F2" s="1"/>
    </row>
    <row r="3" spans="1:6" ht="18.5" x14ac:dyDescent="0.45">
      <c r="A3" s="1" t="s">
        <v>70</v>
      </c>
      <c r="B3" s="1"/>
      <c r="C3" s="1"/>
      <c r="D3" s="1"/>
      <c r="E3" s="1"/>
      <c r="F3" s="1"/>
    </row>
    <row r="4" spans="1:6" ht="18.5" x14ac:dyDescent="0.45">
      <c r="A4" s="1" t="s">
        <v>74</v>
      </c>
      <c r="B4" s="1"/>
      <c r="C4" s="1"/>
      <c r="D4" s="1"/>
      <c r="E4" s="1"/>
      <c r="F4" s="1"/>
    </row>
    <row r="5" spans="1:6" ht="18.5" x14ac:dyDescent="0.45">
      <c r="A5" s="1" t="s">
        <v>71</v>
      </c>
      <c r="B5" s="1"/>
      <c r="C5" s="1"/>
      <c r="D5" s="1"/>
      <c r="E5" s="1"/>
      <c r="F5" s="1"/>
    </row>
    <row r="6" spans="1:6" ht="18.5" x14ac:dyDescent="0.45">
      <c r="A6" s="1" t="s">
        <v>72</v>
      </c>
      <c r="B6" s="1"/>
      <c r="C6" s="1"/>
      <c r="D6" s="1" t="s">
        <v>73</v>
      </c>
      <c r="E6" s="1"/>
      <c r="F6" s="1"/>
    </row>
    <row r="7" spans="1:6" x14ac:dyDescent="0.35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</row>
    <row r="8" spans="1:6" x14ac:dyDescent="0.35">
      <c r="A8" s="10" t="s">
        <v>75</v>
      </c>
      <c r="B8" s="10">
        <v>3133</v>
      </c>
      <c r="C8" s="10" t="s">
        <v>35</v>
      </c>
      <c r="D8" s="11">
        <v>110000</v>
      </c>
      <c r="E8" s="11">
        <v>110000</v>
      </c>
      <c r="F8" s="11">
        <v>540000</v>
      </c>
    </row>
    <row r="9" spans="1:6" x14ac:dyDescent="0.35">
      <c r="A9" s="10" t="s">
        <v>48</v>
      </c>
      <c r="B9" s="10">
        <v>2253</v>
      </c>
      <c r="C9" s="10" t="s">
        <v>19</v>
      </c>
      <c r="D9" s="11">
        <v>10000</v>
      </c>
      <c r="E9" s="11">
        <f>SUM(E8+D9)</f>
        <v>120000</v>
      </c>
      <c r="F9" s="11">
        <f>F8-D9</f>
        <v>530000</v>
      </c>
    </row>
    <row r="10" spans="1:6" x14ac:dyDescent="0.35">
      <c r="A10" s="10" t="s">
        <v>49</v>
      </c>
      <c r="B10" s="10">
        <v>113</v>
      </c>
      <c r="C10" s="10" t="s">
        <v>19</v>
      </c>
      <c r="D10" s="11">
        <v>20000</v>
      </c>
      <c r="E10" s="11">
        <f t="shared" ref="E10:E27" si="0">SUM(E9+D10)</f>
        <v>140000</v>
      </c>
      <c r="F10" s="11">
        <f t="shared" ref="F10:F27" si="1">F9-D10</f>
        <v>510000</v>
      </c>
    </row>
    <row r="11" spans="1:6" x14ac:dyDescent="0.35">
      <c r="A11" s="10" t="s">
        <v>76</v>
      </c>
      <c r="B11" s="10">
        <v>522</v>
      </c>
      <c r="C11" s="10" t="s">
        <v>19</v>
      </c>
      <c r="D11" s="11">
        <v>10000</v>
      </c>
      <c r="E11" s="11">
        <f t="shared" si="0"/>
        <v>150000</v>
      </c>
      <c r="F11" s="11">
        <f t="shared" si="1"/>
        <v>500000</v>
      </c>
    </row>
    <row r="12" spans="1:6" x14ac:dyDescent="0.35">
      <c r="A12" s="12">
        <v>45237</v>
      </c>
      <c r="B12" s="10">
        <v>2708</v>
      </c>
      <c r="C12" s="10" t="s">
        <v>19</v>
      </c>
      <c r="D12" s="11">
        <v>10000</v>
      </c>
      <c r="E12" s="11">
        <f t="shared" si="0"/>
        <v>160000</v>
      </c>
      <c r="F12" s="11">
        <f t="shared" si="1"/>
        <v>490000</v>
      </c>
    </row>
    <row r="13" spans="1:6" x14ac:dyDescent="0.35">
      <c r="A13" s="10" t="s">
        <v>50</v>
      </c>
      <c r="B13" s="10">
        <v>3131</v>
      </c>
      <c r="C13" s="10" t="s">
        <v>19</v>
      </c>
      <c r="D13" s="11">
        <v>10000</v>
      </c>
      <c r="E13" s="11">
        <f t="shared" si="0"/>
        <v>170000</v>
      </c>
      <c r="F13" s="11">
        <f t="shared" si="1"/>
        <v>480000</v>
      </c>
    </row>
    <row r="14" spans="1:6" x14ac:dyDescent="0.35">
      <c r="A14" s="10" t="s">
        <v>77</v>
      </c>
      <c r="B14" s="10">
        <v>3635</v>
      </c>
      <c r="C14" s="10" t="s">
        <v>19</v>
      </c>
      <c r="D14" s="11">
        <v>10000</v>
      </c>
      <c r="E14" s="11">
        <f t="shared" si="0"/>
        <v>180000</v>
      </c>
      <c r="F14" s="11">
        <f t="shared" si="1"/>
        <v>470000</v>
      </c>
    </row>
    <row r="15" spans="1:6" x14ac:dyDescent="0.35">
      <c r="A15" s="10" t="s">
        <v>52</v>
      </c>
      <c r="B15" s="10">
        <v>4354</v>
      </c>
      <c r="C15" s="10" t="s">
        <v>19</v>
      </c>
      <c r="D15" s="11">
        <v>10000</v>
      </c>
      <c r="E15" s="11">
        <f t="shared" si="0"/>
        <v>190000</v>
      </c>
      <c r="F15" s="11">
        <f t="shared" si="1"/>
        <v>460000</v>
      </c>
    </row>
    <row r="16" spans="1:6" x14ac:dyDescent="0.35">
      <c r="A16" s="10" t="s">
        <v>53</v>
      </c>
      <c r="B16" s="10">
        <v>4947</v>
      </c>
      <c r="C16" s="10" t="s">
        <v>19</v>
      </c>
      <c r="D16" s="11">
        <v>10000</v>
      </c>
      <c r="E16" s="11">
        <f t="shared" si="0"/>
        <v>200000</v>
      </c>
      <c r="F16" s="11">
        <f t="shared" si="1"/>
        <v>450000</v>
      </c>
    </row>
    <row r="17" spans="1:6" x14ac:dyDescent="0.35">
      <c r="A17" s="10" t="s">
        <v>54</v>
      </c>
      <c r="B17" s="10">
        <v>5657</v>
      </c>
      <c r="C17" s="10" t="s">
        <v>19</v>
      </c>
      <c r="D17" s="11">
        <v>10000</v>
      </c>
      <c r="E17" s="11">
        <f t="shared" si="0"/>
        <v>210000</v>
      </c>
      <c r="F17" s="11">
        <f t="shared" si="1"/>
        <v>440000</v>
      </c>
    </row>
    <row r="18" spans="1:6" x14ac:dyDescent="0.35">
      <c r="A18" s="10" t="s">
        <v>55</v>
      </c>
      <c r="B18" s="10">
        <v>6288</v>
      </c>
      <c r="C18" s="10" t="s">
        <v>19</v>
      </c>
      <c r="D18" s="11">
        <v>10000</v>
      </c>
      <c r="E18" s="11">
        <f t="shared" si="0"/>
        <v>220000</v>
      </c>
      <c r="F18" s="11">
        <f t="shared" si="1"/>
        <v>430000</v>
      </c>
    </row>
    <row r="19" spans="1:6" x14ac:dyDescent="0.35">
      <c r="A19" s="10" t="s">
        <v>58</v>
      </c>
      <c r="B19" s="10">
        <v>6719</v>
      </c>
      <c r="C19" s="10" t="s">
        <v>19</v>
      </c>
      <c r="D19" s="11">
        <v>10000</v>
      </c>
      <c r="E19" s="11">
        <f t="shared" si="0"/>
        <v>230000</v>
      </c>
      <c r="F19" s="11">
        <f t="shared" si="1"/>
        <v>420000</v>
      </c>
    </row>
    <row r="20" spans="1:6" x14ac:dyDescent="0.35">
      <c r="A20" s="10" t="s">
        <v>59</v>
      </c>
      <c r="B20" s="10">
        <v>8783</v>
      </c>
      <c r="C20" s="10" t="s">
        <v>19</v>
      </c>
      <c r="D20" s="11">
        <v>20000</v>
      </c>
      <c r="E20" s="11">
        <f t="shared" si="0"/>
        <v>250000</v>
      </c>
      <c r="F20" s="11">
        <f t="shared" si="1"/>
        <v>400000</v>
      </c>
    </row>
    <row r="21" spans="1:6" x14ac:dyDescent="0.35">
      <c r="A21" s="12">
        <v>45572</v>
      </c>
      <c r="B21" s="10">
        <v>9497</v>
      </c>
      <c r="C21" s="10" t="s">
        <v>19</v>
      </c>
      <c r="D21" s="11">
        <v>20000</v>
      </c>
      <c r="E21" s="11">
        <f t="shared" si="0"/>
        <v>270000</v>
      </c>
      <c r="F21" s="11">
        <f t="shared" si="1"/>
        <v>380000</v>
      </c>
    </row>
    <row r="22" spans="1:6" x14ac:dyDescent="0.35">
      <c r="A22" s="10" t="s">
        <v>78</v>
      </c>
      <c r="B22" s="10">
        <v>10823</v>
      </c>
      <c r="C22" s="10" t="s">
        <v>19</v>
      </c>
      <c r="D22" s="11">
        <v>20000</v>
      </c>
      <c r="E22" s="11">
        <f t="shared" si="0"/>
        <v>290000</v>
      </c>
      <c r="F22" s="11">
        <f t="shared" si="1"/>
        <v>360000</v>
      </c>
    </row>
    <row r="23" spans="1:6" x14ac:dyDescent="0.35">
      <c r="A23" s="12">
        <v>45659</v>
      </c>
      <c r="B23" s="10">
        <v>9178</v>
      </c>
      <c r="C23" s="10" t="s">
        <v>19</v>
      </c>
      <c r="D23" s="11">
        <v>20000</v>
      </c>
      <c r="E23" s="11">
        <f t="shared" si="0"/>
        <v>310000</v>
      </c>
      <c r="F23" s="11">
        <f t="shared" si="1"/>
        <v>340000</v>
      </c>
    </row>
    <row r="24" spans="1:6" x14ac:dyDescent="0.35">
      <c r="A24" s="10" t="s">
        <v>60</v>
      </c>
      <c r="B24" s="10">
        <v>9541</v>
      </c>
      <c r="C24" s="10" t="s">
        <v>19</v>
      </c>
      <c r="D24" s="11">
        <v>10000</v>
      </c>
      <c r="E24" s="11">
        <f t="shared" si="0"/>
        <v>320000</v>
      </c>
      <c r="F24" s="11">
        <f t="shared" si="1"/>
        <v>330000</v>
      </c>
    </row>
    <row r="25" spans="1:6" x14ac:dyDescent="0.35">
      <c r="A25" s="12">
        <v>45994</v>
      </c>
      <c r="B25" s="10">
        <v>9739</v>
      </c>
      <c r="C25" s="10" t="s">
        <v>19</v>
      </c>
      <c r="D25" s="11">
        <v>10000</v>
      </c>
      <c r="E25" s="11">
        <f t="shared" si="0"/>
        <v>330000</v>
      </c>
      <c r="F25" s="11">
        <f t="shared" si="1"/>
        <v>320000</v>
      </c>
    </row>
    <row r="26" spans="1:6" x14ac:dyDescent="0.35">
      <c r="A26" s="10" t="s">
        <v>61</v>
      </c>
      <c r="B26" s="10">
        <v>9950</v>
      </c>
      <c r="C26" s="10" t="s">
        <v>19</v>
      </c>
      <c r="D26" s="11">
        <v>20000</v>
      </c>
      <c r="E26" s="11">
        <f t="shared" si="0"/>
        <v>350000</v>
      </c>
      <c r="F26" s="11">
        <f t="shared" si="1"/>
        <v>300000</v>
      </c>
    </row>
    <row r="27" spans="1:6" x14ac:dyDescent="0.35">
      <c r="A27" s="12" t="s">
        <v>79</v>
      </c>
      <c r="B27" s="10">
        <v>13980</v>
      </c>
      <c r="C27" s="10" t="s">
        <v>19</v>
      </c>
      <c r="D27" s="11">
        <v>100000</v>
      </c>
      <c r="E27" s="11">
        <f t="shared" si="0"/>
        <v>450000</v>
      </c>
      <c r="F27" s="11">
        <f t="shared" si="1"/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29" workbookViewId="0">
      <selection activeCell="F44" sqref="F44"/>
    </sheetView>
  </sheetViews>
  <sheetFormatPr defaultRowHeight="14.5" x14ac:dyDescent="0.35"/>
  <cols>
    <col min="1" max="1" width="12.1796875" customWidth="1"/>
    <col min="3" max="3" width="11.90625" customWidth="1"/>
    <col min="6" max="6" width="10.6328125" customWidth="1"/>
  </cols>
  <sheetData>
    <row r="1" spans="1:6" ht="18.5" x14ac:dyDescent="0.45">
      <c r="A1" s="1" t="s">
        <v>124</v>
      </c>
      <c r="B1" s="1"/>
      <c r="C1" s="2"/>
      <c r="D1" s="1"/>
      <c r="E1" s="1"/>
      <c r="F1" s="1"/>
    </row>
    <row r="2" spans="1:6" ht="18.5" x14ac:dyDescent="0.45">
      <c r="A2" s="1" t="s">
        <v>125</v>
      </c>
      <c r="C2" s="1"/>
      <c r="D2" s="1"/>
      <c r="E2" s="1"/>
      <c r="F2" s="1"/>
    </row>
    <row r="3" spans="1:6" ht="18.5" x14ac:dyDescent="0.45">
      <c r="A3" s="1" t="s">
        <v>126</v>
      </c>
      <c r="B3" s="1"/>
      <c r="C3" s="1"/>
      <c r="D3" s="1"/>
      <c r="E3" s="1"/>
      <c r="F3" s="1"/>
    </row>
    <row r="4" spans="1:6" ht="18.5" x14ac:dyDescent="0.45">
      <c r="A4" s="1" t="s">
        <v>129</v>
      </c>
      <c r="B4" s="1"/>
      <c r="C4" s="1"/>
      <c r="D4" s="1"/>
      <c r="E4" s="1"/>
      <c r="F4" s="1"/>
    </row>
    <row r="5" spans="1:6" ht="18.5" x14ac:dyDescent="0.45">
      <c r="A5" s="1" t="s">
        <v>127</v>
      </c>
      <c r="B5" s="1"/>
      <c r="C5" s="1"/>
      <c r="D5" s="1"/>
      <c r="E5" s="1"/>
      <c r="F5" s="1"/>
    </row>
    <row r="6" spans="1:6" ht="18.5" x14ac:dyDescent="0.45">
      <c r="A6" s="1" t="s">
        <v>128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7" t="s">
        <v>130</v>
      </c>
      <c r="B8" s="17">
        <v>2844</v>
      </c>
      <c r="C8" s="17" t="s">
        <v>57</v>
      </c>
      <c r="D8" s="18">
        <v>100000</v>
      </c>
      <c r="E8" s="18">
        <v>100000</v>
      </c>
      <c r="F8" s="18">
        <v>500000</v>
      </c>
    </row>
    <row r="9" spans="1:6" x14ac:dyDescent="0.35">
      <c r="A9" s="17" t="s">
        <v>131</v>
      </c>
      <c r="B9" s="17">
        <v>2844</v>
      </c>
      <c r="C9" s="17" t="s">
        <v>132</v>
      </c>
      <c r="D9" s="18">
        <v>10000</v>
      </c>
      <c r="E9" s="18">
        <f>SUM(E8+D9)</f>
        <v>110000</v>
      </c>
      <c r="F9" s="18">
        <f>F8-D9</f>
        <v>490000</v>
      </c>
    </row>
    <row r="10" spans="1:6" x14ac:dyDescent="0.35">
      <c r="A10" s="19">
        <v>45141</v>
      </c>
      <c r="B10" s="17">
        <v>2764</v>
      </c>
      <c r="C10" s="17" t="s">
        <v>132</v>
      </c>
      <c r="D10" s="18">
        <v>10000</v>
      </c>
      <c r="E10" s="18">
        <f t="shared" ref="E10:E39" si="0">SUM(E9+D10)</f>
        <v>120000</v>
      </c>
      <c r="F10" s="18">
        <f t="shared" ref="F10:F39" si="1">F9-D10</f>
        <v>480000</v>
      </c>
    </row>
    <row r="11" spans="1:6" x14ac:dyDescent="0.35">
      <c r="A11" s="19">
        <v>45204</v>
      </c>
      <c r="B11" s="17">
        <v>782</v>
      </c>
      <c r="C11" s="17" t="s">
        <v>132</v>
      </c>
      <c r="D11" s="18">
        <v>10000</v>
      </c>
      <c r="E11" s="18">
        <f t="shared" si="0"/>
        <v>130000</v>
      </c>
      <c r="F11" s="18">
        <f t="shared" si="1"/>
        <v>470000</v>
      </c>
    </row>
    <row r="12" spans="1:6" x14ac:dyDescent="0.35">
      <c r="A12" s="19">
        <v>45204</v>
      </c>
      <c r="B12" s="17">
        <v>783</v>
      </c>
      <c r="C12" s="17" t="s">
        <v>132</v>
      </c>
      <c r="D12" s="18">
        <v>10000</v>
      </c>
      <c r="E12" s="18">
        <f t="shared" si="0"/>
        <v>140000</v>
      </c>
      <c r="F12" s="18">
        <f t="shared" si="1"/>
        <v>460000</v>
      </c>
    </row>
    <row r="13" spans="1:6" x14ac:dyDescent="0.35">
      <c r="A13" s="19">
        <v>45145</v>
      </c>
      <c r="B13" s="17">
        <v>2175</v>
      </c>
      <c r="C13" s="17" t="s">
        <v>132</v>
      </c>
      <c r="D13" s="18">
        <v>20000</v>
      </c>
      <c r="E13" s="18">
        <f t="shared" si="0"/>
        <v>160000</v>
      </c>
      <c r="F13" s="18">
        <f t="shared" si="1"/>
        <v>440000</v>
      </c>
    </row>
    <row r="14" spans="1:6" x14ac:dyDescent="0.35">
      <c r="A14" s="19">
        <v>45146</v>
      </c>
      <c r="B14" s="17">
        <v>2279</v>
      </c>
      <c r="C14" s="17" t="s">
        <v>132</v>
      </c>
      <c r="D14" s="18">
        <v>10000</v>
      </c>
      <c r="E14" s="18">
        <f t="shared" si="0"/>
        <v>170000</v>
      </c>
      <c r="F14" s="18">
        <f t="shared" si="1"/>
        <v>430000</v>
      </c>
    </row>
    <row r="15" spans="1:6" x14ac:dyDescent="0.35">
      <c r="A15" s="19">
        <v>45178</v>
      </c>
      <c r="B15" s="17">
        <v>3450</v>
      </c>
      <c r="C15" s="17" t="s">
        <v>132</v>
      </c>
      <c r="D15" s="18">
        <v>10000</v>
      </c>
      <c r="E15" s="18">
        <f t="shared" si="0"/>
        <v>180000</v>
      </c>
      <c r="F15" s="18">
        <f t="shared" si="1"/>
        <v>420000</v>
      </c>
    </row>
    <row r="16" spans="1:6" x14ac:dyDescent="0.35">
      <c r="A16" s="19">
        <v>45179</v>
      </c>
      <c r="B16" s="17">
        <v>4122</v>
      </c>
      <c r="C16" s="17" t="s">
        <v>132</v>
      </c>
      <c r="D16" s="18">
        <v>10000</v>
      </c>
      <c r="E16" s="18">
        <f t="shared" si="0"/>
        <v>190000</v>
      </c>
      <c r="F16" s="18">
        <f t="shared" si="1"/>
        <v>410000</v>
      </c>
    </row>
    <row r="17" spans="1:6" x14ac:dyDescent="0.35">
      <c r="A17" s="19">
        <v>45088</v>
      </c>
      <c r="B17" s="17">
        <v>4667</v>
      </c>
      <c r="C17" s="17" t="s">
        <v>132</v>
      </c>
      <c r="D17" s="18">
        <v>10000</v>
      </c>
      <c r="E17" s="18">
        <f t="shared" si="0"/>
        <v>200000</v>
      </c>
      <c r="F17" s="18">
        <f t="shared" si="1"/>
        <v>400000</v>
      </c>
    </row>
    <row r="18" spans="1:6" x14ac:dyDescent="0.35">
      <c r="A18" s="19">
        <v>44997</v>
      </c>
      <c r="B18" s="17">
        <v>5375</v>
      </c>
      <c r="C18" s="17" t="s">
        <v>132</v>
      </c>
      <c r="D18" s="18">
        <v>10000</v>
      </c>
      <c r="E18" s="18">
        <f t="shared" si="0"/>
        <v>210000</v>
      </c>
      <c r="F18" s="18">
        <f t="shared" si="1"/>
        <v>390000</v>
      </c>
    </row>
    <row r="19" spans="1:6" x14ac:dyDescent="0.35">
      <c r="A19" s="19">
        <v>45444</v>
      </c>
      <c r="B19" s="17">
        <v>5911</v>
      </c>
      <c r="C19" s="17" t="s">
        <v>132</v>
      </c>
      <c r="D19" s="18">
        <v>10000</v>
      </c>
      <c r="E19" s="18">
        <f t="shared" si="0"/>
        <v>220000</v>
      </c>
      <c r="F19" s="18">
        <f t="shared" si="1"/>
        <v>380000</v>
      </c>
    </row>
    <row r="20" spans="1:6" x14ac:dyDescent="0.35">
      <c r="A20" s="19">
        <v>45537</v>
      </c>
      <c r="B20" s="17">
        <v>6589</v>
      </c>
      <c r="C20" s="17" t="s">
        <v>132</v>
      </c>
      <c r="D20" s="18">
        <v>10000</v>
      </c>
      <c r="E20" s="18">
        <f t="shared" si="0"/>
        <v>230000</v>
      </c>
      <c r="F20" s="18">
        <f t="shared" si="1"/>
        <v>370000</v>
      </c>
    </row>
    <row r="21" spans="1:6" x14ac:dyDescent="0.35">
      <c r="A21" s="19">
        <v>45507</v>
      </c>
      <c r="B21" s="17">
        <v>6937</v>
      </c>
      <c r="C21" s="17" t="s">
        <v>132</v>
      </c>
      <c r="D21" s="18">
        <v>10000</v>
      </c>
      <c r="E21" s="18">
        <f t="shared" si="0"/>
        <v>240000</v>
      </c>
      <c r="F21" s="18">
        <f t="shared" si="1"/>
        <v>360000</v>
      </c>
    </row>
    <row r="22" spans="1:6" x14ac:dyDescent="0.35">
      <c r="A22" s="19">
        <v>45477</v>
      </c>
      <c r="B22" s="17">
        <v>7747</v>
      </c>
      <c r="C22" s="17" t="s">
        <v>132</v>
      </c>
      <c r="D22" s="18">
        <v>10000</v>
      </c>
      <c r="E22" s="18">
        <f t="shared" si="0"/>
        <v>250000</v>
      </c>
      <c r="F22" s="18">
        <f t="shared" si="1"/>
        <v>350000</v>
      </c>
    </row>
    <row r="23" spans="1:6" x14ac:dyDescent="0.35">
      <c r="A23" s="19">
        <v>45509</v>
      </c>
      <c r="B23" s="17">
        <v>8325</v>
      </c>
      <c r="C23" s="17" t="s">
        <v>132</v>
      </c>
      <c r="D23" s="18">
        <v>10000</v>
      </c>
      <c r="E23" s="18">
        <f t="shared" si="0"/>
        <v>260000</v>
      </c>
      <c r="F23" s="18">
        <f t="shared" si="1"/>
        <v>340000</v>
      </c>
    </row>
    <row r="24" spans="1:6" x14ac:dyDescent="0.35">
      <c r="A24" s="19">
        <v>45541</v>
      </c>
      <c r="B24" s="17">
        <v>8938</v>
      </c>
      <c r="C24" s="17" t="s">
        <v>132</v>
      </c>
      <c r="D24" s="18">
        <v>10000</v>
      </c>
      <c r="E24" s="18">
        <f t="shared" si="0"/>
        <v>270000</v>
      </c>
      <c r="F24" s="18">
        <f t="shared" si="1"/>
        <v>330000</v>
      </c>
    </row>
    <row r="25" spans="1:6" x14ac:dyDescent="0.35">
      <c r="A25" s="19">
        <v>45603</v>
      </c>
      <c r="B25" s="17">
        <v>9501</v>
      </c>
      <c r="C25" s="17" t="s">
        <v>132</v>
      </c>
      <c r="D25" s="18">
        <v>10000</v>
      </c>
      <c r="E25" s="18">
        <f t="shared" si="0"/>
        <v>280000</v>
      </c>
      <c r="F25" s="18">
        <f t="shared" si="1"/>
        <v>320000</v>
      </c>
    </row>
    <row r="26" spans="1:6" x14ac:dyDescent="0.35">
      <c r="A26" s="19">
        <v>45605</v>
      </c>
      <c r="B26" s="17">
        <v>366</v>
      </c>
      <c r="C26" s="17" t="s">
        <v>132</v>
      </c>
      <c r="D26" s="18">
        <v>20000</v>
      </c>
      <c r="E26" s="18">
        <f t="shared" si="0"/>
        <v>300000</v>
      </c>
      <c r="F26" s="18">
        <f t="shared" si="1"/>
        <v>300000</v>
      </c>
    </row>
    <row r="27" spans="1:6" x14ac:dyDescent="0.35">
      <c r="A27" s="19">
        <v>45484</v>
      </c>
      <c r="B27" s="17">
        <v>11912</v>
      </c>
      <c r="C27" s="17" t="s">
        <v>132</v>
      </c>
      <c r="D27" s="18">
        <v>10000</v>
      </c>
      <c r="E27" s="18">
        <f t="shared" si="0"/>
        <v>310000</v>
      </c>
      <c r="F27" s="18">
        <f t="shared" si="1"/>
        <v>290000</v>
      </c>
    </row>
    <row r="28" spans="1:6" x14ac:dyDescent="0.35">
      <c r="A28" s="19">
        <v>45577</v>
      </c>
      <c r="B28" s="17">
        <v>12284</v>
      </c>
      <c r="C28" s="17" t="s">
        <v>132</v>
      </c>
      <c r="D28" s="18">
        <v>10000</v>
      </c>
      <c r="E28" s="18">
        <f t="shared" si="0"/>
        <v>320000</v>
      </c>
      <c r="F28" s="18">
        <f t="shared" si="1"/>
        <v>280000</v>
      </c>
    </row>
    <row r="29" spans="1:6" x14ac:dyDescent="0.35">
      <c r="A29" s="19">
        <v>45992</v>
      </c>
      <c r="B29" s="17">
        <v>12014</v>
      </c>
      <c r="C29" s="17" t="s">
        <v>132</v>
      </c>
      <c r="D29" s="18">
        <v>20000</v>
      </c>
      <c r="E29" s="18">
        <f t="shared" si="0"/>
        <v>340000</v>
      </c>
      <c r="F29" s="18">
        <f t="shared" si="1"/>
        <v>260000</v>
      </c>
    </row>
    <row r="30" spans="1:6" x14ac:dyDescent="0.35">
      <c r="A30" s="17" t="s">
        <v>133</v>
      </c>
      <c r="B30" s="17">
        <v>9453</v>
      </c>
      <c r="C30" s="17" t="s">
        <v>132</v>
      </c>
      <c r="D30" s="18">
        <v>10000</v>
      </c>
      <c r="E30" s="18">
        <f t="shared" si="0"/>
        <v>350000</v>
      </c>
      <c r="F30" s="18">
        <f t="shared" si="1"/>
        <v>250000</v>
      </c>
    </row>
    <row r="31" spans="1:6" x14ac:dyDescent="0.35">
      <c r="A31" s="19">
        <v>45660</v>
      </c>
      <c r="B31" s="17">
        <v>9904</v>
      </c>
      <c r="C31" s="17" t="s">
        <v>132</v>
      </c>
      <c r="D31" s="18">
        <v>10000</v>
      </c>
      <c r="E31" s="18">
        <f t="shared" si="0"/>
        <v>360000</v>
      </c>
      <c r="F31" s="18">
        <f t="shared" si="1"/>
        <v>240000</v>
      </c>
    </row>
    <row r="32" spans="1:6" x14ac:dyDescent="0.35">
      <c r="A32" s="19">
        <v>45905</v>
      </c>
      <c r="B32" s="17">
        <v>10392</v>
      </c>
      <c r="C32" s="17" t="s">
        <v>132</v>
      </c>
      <c r="D32" s="18">
        <v>10000</v>
      </c>
      <c r="E32" s="18">
        <f t="shared" si="0"/>
        <v>370000</v>
      </c>
      <c r="F32" s="18">
        <f t="shared" si="1"/>
        <v>230000</v>
      </c>
    </row>
    <row r="33" spans="1:6" x14ac:dyDescent="0.35">
      <c r="A33" s="19">
        <v>45936</v>
      </c>
      <c r="B33" s="17">
        <v>10487</v>
      </c>
      <c r="C33" s="17" t="s">
        <v>132</v>
      </c>
      <c r="D33" s="18">
        <v>15000</v>
      </c>
      <c r="E33" s="18">
        <f t="shared" si="0"/>
        <v>385000</v>
      </c>
      <c r="F33" s="18">
        <f t="shared" si="1"/>
        <v>215000</v>
      </c>
    </row>
    <row r="34" spans="1:6" x14ac:dyDescent="0.35">
      <c r="A34" s="17" t="s">
        <v>24</v>
      </c>
      <c r="B34" s="17">
        <v>12190</v>
      </c>
      <c r="C34" s="17" t="s">
        <v>132</v>
      </c>
      <c r="D34" s="18">
        <v>10000</v>
      </c>
      <c r="E34" s="18">
        <f t="shared" si="0"/>
        <v>395000</v>
      </c>
      <c r="F34" s="18">
        <f t="shared" si="1"/>
        <v>205000</v>
      </c>
    </row>
    <row r="35" spans="1:6" x14ac:dyDescent="0.35">
      <c r="A35" s="17" t="s">
        <v>134</v>
      </c>
      <c r="B35" s="17">
        <v>12943</v>
      </c>
      <c r="C35" s="17" t="s">
        <v>132</v>
      </c>
      <c r="D35" s="18">
        <v>12000</v>
      </c>
      <c r="E35" s="18">
        <f t="shared" si="0"/>
        <v>407000</v>
      </c>
      <c r="F35" s="18">
        <f t="shared" si="1"/>
        <v>193000</v>
      </c>
    </row>
    <row r="36" spans="1:6" x14ac:dyDescent="0.35">
      <c r="A36" s="17" t="s">
        <v>135</v>
      </c>
      <c r="B36" s="17">
        <v>13210</v>
      </c>
      <c r="C36" s="17" t="s">
        <v>132</v>
      </c>
      <c r="D36" s="18">
        <v>28000</v>
      </c>
      <c r="E36" s="18">
        <f t="shared" si="0"/>
        <v>435000</v>
      </c>
      <c r="F36" s="18">
        <f t="shared" si="1"/>
        <v>165000</v>
      </c>
    </row>
    <row r="37" spans="1:6" x14ac:dyDescent="0.35">
      <c r="A37" s="17" t="s">
        <v>103</v>
      </c>
      <c r="B37" s="17">
        <v>12216</v>
      </c>
      <c r="C37" s="17" t="s">
        <v>132</v>
      </c>
      <c r="D37" s="18">
        <v>20000</v>
      </c>
      <c r="E37" s="18">
        <f t="shared" si="0"/>
        <v>455000</v>
      </c>
      <c r="F37" s="18">
        <f t="shared" si="1"/>
        <v>145000</v>
      </c>
    </row>
    <row r="38" spans="1:6" x14ac:dyDescent="0.35">
      <c r="A38" s="17" t="s">
        <v>136</v>
      </c>
      <c r="B38" s="17">
        <v>12549</v>
      </c>
      <c r="C38" s="17" t="s">
        <v>132</v>
      </c>
      <c r="D38" s="18">
        <v>10000</v>
      </c>
      <c r="E38" s="18">
        <f t="shared" si="0"/>
        <v>465000</v>
      </c>
      <c r="F38" s="18">
        <f t="shared" si="1"/>
        <v>135000</v>
      </c>
    </row>
    <row r="39" spans="1:6" x14ac:dyDescent="0.35">
      <c r="A39" s="17" t="s">
        <v>137</v>
      </c>
      <c r="B39" s="17">
        <v>13042</v>
      </c>
      <c r="C39" s="17" t="s">
        <v>132</v>
      </c>
      <c r="D39" s="18">
        <v>20000</v>
      </c>
      <c r="E39" s="18">
        <f t="shared" si="0"/>
        <v>485000</v>
      </c>
      <c r="F39" s="18">
        <f t="shared" si="1"/>
        <v>115000</v>
      </c>
    </row>
    <row r="40" spans="1:6" x14ac:dyDescent="0.35">
      <c r="A40" s="17" t="s">
        <v>144</v>
      </c>
      <c r="B40" s="17">
        <v>13463</v>
      </c>
      <c r="C40" s="17" t="s">
        <v>132</v>
      </c>
      <c r="D40" s="18">
        <v>10000</v>
      </c>
      <c r="E40" s="18">
        <f>E39+D40</f>
        <v>495000</v>
      </c>
      <c r="F40" s="18">
        <f>F39-D40</f>
        <v>105000</v>
      </c>
    </row>
    <row r="41" spans="1:6" ht="14" customHeight="1" x14ac:dyDescent="0.35">
      <c r="A41" s="17" t="s">
        <v>145</v>
      </c>
      <c r="B41" s="17">
        <v>1305</v>
      </c>
      <c r="C41" s="17" t="s">
        <v>132</v>
      </c>
      <c r="D41" s="18">
        <v>10000</v>
      </c>
      <c r="E41" s="18">
        <f>E40+D41</f>
        <v>505000</v>
      </c>
      <c r="F41" s="18">
        <f>F40-D41</f>
        <v>95000</v>
      </c>
    </row>
    <row r="42" spans="1:6" x14ac:dyDescent="0.35">
      <c r="A42" s="17" t="s">
        <v>152</v>
      </c>
      <c r="B42" s="17">
        <v>1584</v>
      </c>
      <c r="C42" s="17" t="s">
        <v>132</v>
      </c>
      <c r="D42" s="18">
        <v>10000</v>
      </c>
      <c r="E42" s="18">
        <f>E41+D42</f>
        <v>515000</v>
      </c>
      <c r="F42" s="18">
        <f>F41-D42</f>
        <v>85000</v>
      </c>
    </row>
    <row r="43" spans="1:6" x14ac:dyDescent="0.35">
      <c r="A43" s="17" t="s">
        <v>154</v>
      </c>
      <c r="B43" s="17">
        <v>1818</v>
      </c>
      <c r="C43" s="17" t="s">
        <v>132</v>
      </c>
      <c r="D43" s="18">
        <v>10000</v>
      </c>
      <c r="E43" s="14">
        <f>E42+D43</f>
        <v>525000</v>
      </c>
      <c r="F43" s="14">
        <f>F42-D43</f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L-4406</vt:lpstr>
      <vt:lpstr>L-4407</vt:lpstr>
      <vt:lpstr>L-4408</vt:lpstr>
      <vt:lpstr>L-4409</vt:lpstr>
      <vt:lpstr>L-4412</vt:lpstr>
      <vt:lpstr>L-4413</vt:lpstr>
      <vt:lpstr>L-4422</vt:lpstr>
      <vt:lpstr>L-4423</vt:lpstr>
      <vt:lpstr>L-4424</vt:lpstr>
      <vt:lpstr>L-4426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2026-03-08T20:37:46Z</dcterms:created>
  <dcterms:modified xsi:type="dcterms:W3CDTF">2026-10-11T15:13:07Z</dcterms:modified>
</cp:coreProperties>
</file>