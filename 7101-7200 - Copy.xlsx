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7001-8000\"/>
    </mc:Choice>
  </mc:AlternateContent>
  <bookViews>
    <workbookView xWindow="-110" yWindow="-110" windowWidth="19420" windowHeight="10420" firstSheet="5" activeTab="11"/>
  </bookViews>
  <sheets>
    <sheet name="L-7156" sheetId="1" r:id="rId1"/>
    <sheet name="L-7177" sheetId="3" r:id="rId2"/>
    <sheet name="L-7178" sheetId="4" r:id="rId3"/>
    <sheet name="L-7155" sheetId="5" r:id="rId4"/>
    <sheet name="L-7157" sheetId="2" r:id="rId5"/>
    <sheet name="L-7190" sheetId="6" r:id="rId6"/>
    <sheet name="L-7194" sheetId="7" r:id="rId7"/>
    <sheet name="L-7189" sheetId="8" r:id="rId8"/>
    <sheet name="L-7188" sheetId="9" r:id="rId9"/>
    <sheet name="L-7186" sheetId="14" r:id="rId10"/>
    <sheet name="L-7191" sheetId="15" r:id="rId11"/>
    <sheet name="L-7192" sheetId="10" r:id="rId12"/>
    <sheet name="L-7187" sheetId="11" r:id="rId13"/>
    <sheet name="L-7195" sheetId="12" r:id="rId14"/>
    <sheet name="L-7193" sheetId="13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" i="10" l="1"/>
  <c r="E48" i="10"/>
  <c r="F48" i="13"/>
  <c r="E48" i="13"/>
  <c r="F48" i="11"/>
  <c r="E48" i="11"/>
  <c r="F48" i="14"/>
  <c r="E48" i="14"/>
  <c r="F48" i="15"/>
  <c r="E48" i="15"/>
  <c r="F48" i="7"/>
  <c r="E48" i="7"/>
  <c r="F48" i="8"/>
  <c r="E48" i="8"/>
  <c r="F48" i="12" l="1"/>
  <c r="E48" i="12"/>
  <c r="F48" i="9" l="1"/>
  <c r="E48" i="9"/>
  <c r="F47" i="12" l="1"/>
  <c r="F46" i="12"/>
  <c r="E47" i="12"/>
  <c r="E46" i="12"/>
  <c r="E45" i="12"/>
  <c r="F47" i="7"/>
  <c r="F46" i="7"/>
  <c r="F45" i="7"/>
  <c r="E47" i="7"/>
  <c r="E46" i="7"/>
  <c r="E45" i="7"/>
  <c r="F47" i="13"/>
  <c r="F46" i="13"/>
  <c r="F45" i="13"/>
  <c r="E47" i="13"/>
  <c r="E46" i="13"/>
  <c r="E45" i="13"/>
  <c r="F47" i="10"/>
  <c r="F46" i="10"/>
  <c r="E47" i="10"/>
  <c r="E46" i="10"/>
  <c r="F47" i="15"/>
  <c r="F46" i="15"/>
  <c r="E47" i="15"/>
  <c r="E46" i="15"/>
  <c r="F47" i="8"/>
  <c r="F46" i="8"/>
  <c r="F45" i="8"/>
  <c r="E47" i="8"/>
  <c r="E46" i="8"/>
  <c r="E45" i="8"/>
  <c r="F47" i="9"/>
  <c r="F46" i="9"/>
  <c r="E47" i="9"/>
  <c r="E46" i="9"/>
  <c r="F47" i="11"/>
  <c r="F46" i="11"/>
  <c r="F45" i="11"/>
  <c r="E47" i="11"/>
  <c r="E46" i="11"/>
  <c r="E45" i="11"/>
  <c r="F47" i="14"/>
  <c r="E47" i="14"/>
  <c r="F46" i="14"/>
  <c r="E46" i="14"/>
  <c r="F13" i="1"/>
  <c r="E13" i="1"/>
  <c r="F14" i="2"/>
  <c r="E14" i="2"/>
  <c r="E42" i="3"/>
  <c r="E39" i="5"/>
  <c r="F38" i="5"/>
  <c r="F37" i="5"/>
  <c r="F36" i="5"/>
  <c r="F35" i="5"/>
  <c r="F34" i="5"/>
  <c r="F33" i="5"/>
  <c r="F32" i="5"/>
  <c r="F31" i="5"/>
  <c r="F29" i="5"/>
  <c r="E38" i="5"/>
  <c r="E37" i="5"/>
  <c r="E36" i="5"/>
  <c r="E35" i="5"/>
  <c r="E34" i="5"/>
  <c r="E33" i="5"/>
  <c r="E32" i="5"/>
  <c r="E31" i="5"/>
  <c r="E30" i="5"/>
  <c r="E29" i="5"/>
  <c r="F41" i="3"/>
  <c r="E41" i="3"/>
  <c r="F40" i="3"/>
  <c r="F39" i="3"/>
  <c r="F38" i="3"/>
  <c r="F37" i="3"/>
  <c r="F36" i="3"/>
  <c r="F35" i="3"/>
  <c r="F34" i="3"/>
  <c r="F33" i="3"/>
  <c r="F32" i="3"/>
  <c r="F31" i="3"/>
  <c r="E40" i="3"/>
  <c r="E39" i="3"/>
  <c r="E38" i="3"/>
  <c r="E37" i="3"/>
  <c r="E36" i="3"/>
  <c r="E35" i="3"/>
  <c r="E34" i="3"/>
  <c r="E33" i="3"/>
  <c r="E32" i="3"/>
  <c r="E31" i="3"/>
  <c r="F12" i="1"/>
  <c r="F11" i="1"/>
  <c r="F10" i="1"/>
  <c r="E12" i="1"/>
  <c r="E11" i="1"/>
  <c r="E10" i="1"/>
  <c r="F13" i="2"/>
  <c r="F12" i="2"/>
  <c r="F11" i="2"/>
  <c r="F10" i="2"/>
  <c r="E13" i="2"/>
  <c r="E12" i="2"/>
  <c r="E11" i="2"/>
  <c r="E10" i="2"/>
  <c r="F45" i="10"/>
  <c r="E45" i="10"/>
  <c r="F45" i="15"/>
  <c r="E45" i="15"/>
  <c r="F45" i="9"/>
  <c r="E45" i="9"/>
  <c r="F45" i="14"/>
  <c r="E45" i="14"/>
  <c r="F45" i="12"/>
  <c r="F44" i="11"/>
  <c r="F43" i="11"/>
  <c r="E44" i="11"/>
  <c r="E43" i="11"/>
  <c r="F44" i="14"/>
  <c r="F43" i="14"/>
  <c r="E44" i="14"/>
  <c r="E43" i="14"/>
  <c r="F44" i="9"/>
  <c r="F43" i="9"/>
  <c r="E44" i="9"/>
  <c r="E43" i="9"/>
  <c r="F44" i="8"/>
  <c r="F43" i="8"/>
  <c r="E44" i="8"/>
  <c r="E43" i="8"/>
  <c r="F44" i="15"/>
  <c r="F43" i="15"/>
  <c r="E44" i="15"/>
  <c r="E43" i="15"/>
  <c r="F44" i="10"/>
  <c r="F43" i="10"/>
  <c r="E44" i="10"/>
  <c r="E43" i="10"/>
  <c r="F44" i="13"/>
  <c r="F43" i="13"/>
  <c r="E44" i="13"/>
  <c r="E43" i="13"/>
  <c r="F44" i="7"/>
  <c r="F43" i="7"/>
  <c r="E44" i="7"/>
  <c r="E43" i="7"/>
  <c r="F44" i="12"/>
  <c r="F43" i="12"/>
  <c r="E44" i="12"/>
  <c r="E43" i="12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F10" i="13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9" i="13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F9" i="12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E9" i="12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F10" i="10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E10" i="10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F9" i="10"/>
  <c r="E9" i="10"/>
  <c r="F9" i="9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F21" i="8"/>
  <c r="F22" i="8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E21" i="8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F20" i="8"/>
  <c r="E20" i="8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F19" i="7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E19" i="7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F10" i="7"/>
  <c r="F11" i="7" s="1"/>
  <c r="F12" i="7" s="1"/>
  <c r="F13" i="7" s="1"/>
  <c r="F14" i="7" s="1"/>
  <c r="F15" i="7" s="1"/>
  <c r="F16" i="7" s="1"/>
  <c r="F17" i="7" s="1"/>
  <c r="F18" i="7" s="1"/>
  <c r="E10" i="7"/>
  <c r="E11" i="7"/>
  <c r="E12" i="7" s="1"/>
  <c r="E13" i="7" s="1"/>
  <c r="E14" i="7" s="1"/>
  <c r="E15" i="7" s="1"/>
  <c r="E16" i="7" s="1"/>
  <c r="E17" i="7" s="1"/>
  <c r="E18" i="7" s="1"/>
  <c r="F9" i="7"/>
  <c r="E9" i="7"/>
  <c r="F9" i="1"/>
  <c r="E9" i="1"/>
  <c r="F19" i="3"/>
  <c r="F20" i="3" s="1"/>
  <c r="F21" i="3" s="1"/>
  <c r="F22" i="3" s="1"/>
  <c r="F23" i="3" s="1"/>
  <c r="F24" i="3" s="1"/>
  <c r="F25" i="3" s="1"/>
  <c r="F26" i="3" s="1"/>
  <c r="E19" i="3"/>
  <c r="E20" i="3" s="1"/>
  <c r="E21" i="3" s="1"/>
  <c r="E22" i="3" s="1"/>
  <c r="E23" i="3" s="1"/>
  <c r="E24" i="3" s="1"/>
  <c r="E25" i="3" s="1"/>
  <c r="E26" i="3" s="1"/>
  <c r="F19" i="5"/>
  <c r="F20" i="5" s="1"/>
  <c r="F21" i="5" s="1"/>
  <c r="F22" i="5" s="1"/>
  <c r="F23" i="5" s="1"/>
  <c r="F24" i="5" s="1"/>
  <c r="F25" i="5" s="1"/>
  <c r="F26" i="5" s="1"/>
  <c r="E19" i="5"/>
  <c r="E20" i="5"/>
  <c r="E21" i="5"/>
  <c r="E22" i="5" s="1"/>
  <c r="E23" i="5" s="1"/>
  <c r="E24" i="5" s="1"/>
  <c r="E25" i="5" s="1"/>
  <c r="E26" i="5" s="1"/>
  <c r="F10" i="5"/>
  <c r="F11" i="5" s="1"/>
  <c r="F12" i="5" s="1"/>
  <c r="F13" i="5" s="1"/>
  <c r="F14" i="5" s="1"/>
  <c r="F15" i="5" s="1"/>
  <c r="F16" i="5" s="1"/>
  <c r="F17" i="5" s="1"/>
  <c r="F18" i="5" s="1"/>
  <c r="E10" i="5"/>
  <c r="E11" i="5"/>
  <c r="E12" i="5"/>
  <c r="E13" i="5"/>
  <c r="E14" i="5" s="1"/>
  <c r="E15" i="5" s="1"/>
  <c r="E16" i="5" s="1"/>
  <c r="E17" i="5" s="1"/>
  <c r="E18" i="5" s="1"/>
  <c r="F9" i="5"/>
  <c r="E9" i="5"/>
  <c r="F19" i="4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E19" i="4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F10" i="4"/>
  <c r="F11" i="4" s="1"/>
  <c r="F12" i="4" s="1"/>
  <c r="F13" i="4" s="1"/>
  <c r="F14" i="4" s="1"/>
  <c r="F15" i="4" s="1"/>
  <c r="F16" i="4" s="1"/>
  <c r="F17" i="4" s="1"/>
  <c r="F18" i="4" s="1"/>
  <c r="E10" i="4"/>
  <c r="E11" i="4" s="1"/>
  <c r="E12" i="4" s="1"/>
  <c r="E13" i="4" s="1"/>
  <c r="E14" i="4" s="1"/>
  <c r="E15" i="4" s="1"/>
  <c r="E16" i="4" s="1"/>
  <c r="E17" i="4" s="1"/>
  <c r="E18" i="4" s="1"/>
  <c r="F9" i="4"/>
  <c r="E9" i="4"/>
  <c r="F10" i="3"/>
  <c r="F11" i="3" s="1"/>
  <c r="F12" i="3" s="1"/>
  <c r="F13" i="3" s="1"/>
  <c r="F14" i="3" s="1"/>
  <c r="F15" i="3" s="1"/>
  <c r="F16" i="3" s="1"/>
  <c r="F17" i="3" s="1"/>
  <c r="F18" i="3" s="1"/>
  <c r="E10" i="3"/>
  <c r="E11" i="3" s="1"/>
  <c r="E12" i="3" s="1"/>
  <c r="E13" i="3" s="1"/>
  <c r="E14" i="3" s="1"/>
  <c r="E15" i="3" s="1"/>
  <c r="E16" i="3" s="1"/>
  <c r="E17" i="3" s="1"/>
  <c r="E18" i="3" s="1"/>
  <c r="F9" i="3"/>
  <c r="E9" i="3"/>
  <c r="F9" i="2"/>
  <c r="E9" i="2"/>
</calcChain>
</file>

<file path=xl/sharedStrings.xml><?xml version="1.0" encoding="utf-8"?>
<sst xmlns="http://schemas.openxmlformats.org/spreadsheetml/2006/main" count="989" uniqueCount="167">
  <si>
    <t>Date</t>
  </si>
  <si>
    <t>R.NO</t>
  </si>
  <si>
    <t>Amount Rec</t>
  </si>
  <si>
    <t>Total Rec</t>
  </si>
  <si>
    <t>Amount Due</t>
  </si>
  <si>
    <t>Name : Aster Javed Gills</t>
  </si>
  <si>
    <t>Father Name : Imran</t>
  </si>
  <si>
    <t>CNIC #42401-2022749-2</t>
  </si>
  <si>
    <t>Contact # 03033579298</t>
  </si>
  <si>
    <t>Plot No : 7156</t>
  </si>
  <si>
    <t>Cost :750,000</t>
  </si>
  <si>
    <t>Booking</t>
  </si>
  <si>
    <t>Discription</t>
  </si>
  <si>
    <t>25/3/2026</t>
  </si>
  <si>
    <t>instalment</t>
  </si>
  <si>
    <t>Plot No : 7157</t>
  </si>
  <si>
    <t>Token</t>
  </si>
  <si>
    <t>Code Num;CBB3854909</t>
  </si>
  <si>
    <t>Plot No : 7177</t>
  </si>
  <si>
    <t>Cost :330,000</t>
  </si>
  <si>
    <t>18/7/2020</t>
  </si>
  <si>
    <t>Adv Adj</t>
  </si>
  <si>
    <t>30/8/2022</t>
  </si>
  <si>
    <t>ins sobho</t>
  </si>
  <si>
    <t>19/1/2022</t>
  </si>
  <si>
    <t>13/4/2022</t>
  </si>
  <si>
    <t>19/1/2023</t>
  </si>
  <si>
    <t>27/9/2023</t>
  </si>
  <si>
    <t>21/11/2023</t>
  </si>
  <si>
    <t>13/12/2023</t>
  </si>
  <si>
    <t>22/2/2024</t>
  </si>
  <si>
    <t>Adj instalment</t>
  </si>
  <si>
    <t>ins feb,mar,sep paid</t>
  </si>
  <si>
    <t>ins april, oct paid</t>
  </si>
  <si>
    <t>ins may ,nov paid</t>
  </si>
  <si>
    <t>instal 30,000 pend</t>
  </si>
  <si>
    <t>instal 80,000 pend</t>
  </si>
  <si>
    <t>Plot No : 7178</t>
  </si>
  <si>
    <t>Cost :350,000</t>
  </si>
  <si>
    <t>26/2/2022</t>
  </si>
  <si>
    <t>23/2/2023</t>
  </si>
  <si>
    <t>instament sobh</t>
  </si>
  <si>
    <t>Adj Rehman</t>
  </si>
  <si>
    <t>instal agu.sep paid</t>
  </si>
  <si>
    <t>instal march,oct paid</t>
  </si>
  <si>
    <t>instal april,nov paid</t>
  </si>
  <si>
    <t>instal 30,000 paid</t>
  </si>
  <si>
    <t>instal 20,00 pend</t>
  </si>
  <si>
    <t>instal 1 pending</t>
  </si>
  <si>
    <t>FULL PAID</t>
  </si>
  <si>
    <t>Name : Imran Yousuf</t>
  </si>
  <si>
    <t>Father Name : Yousuf Masih</t>
  </si>
  <si>
    <t>CNIC #42401-3188535-5</t>
  </si>
  <si>
    <t>Contact # 03422028723</t>
  </si>
  <si>
    <t>Plot No : 7155</t>
  </si>
  <si>
    <t>Code Num;CQW8873860</t>
  </si>
  <si>
    <t>20/8/2022</t>
  </si>
  <si>
    <t>21/12/2023</t>
  </si>
  <si>
    <t>21/1/2023</t>
  </si>
  <si>
    <t>23/3/2023</t>
  </si>
  <si>
    <t>19/4/2023</t>
  </si>
  <si>
    <t>15/8/2023</t>
  </si>
  <si>
    <t>23/9/2023</t>
  </si>
  <si>
    <t>Instalment</t>
  </si>
  <si>
    <t>instal AL Reh</t>
  </si>
  <si>
    <t>instal cash sobho</t>
  </si>
  <si>
    <t>DEVELOPMENT CONTINUE</t>
  </si>
  <si>
    <t>Code Num;CSR1662909</t>
  </si>
  <si>
    <t>17/4/2024</t>
  </si>
  <si>
    <t>16/6/2024</t>
  </si>
  <si>
    <t>22/7/2024</t>
  </si>
  <si>
    <t>Instal 20,000 pend</t>
  </si>
  <si>
    <t>Develoment continue</t>
  </si>
  <si>
    <t>Code Num;CLS8372475</t>
  </si>
  <si>
    <t>28/4/2026</t>
  </si>
  <si>
    <t>Code Num;CRN8442461</t>
  </si>
  <si>
    <t>22/2/2025</t>
  </si>
  <si>
    <t>23/12/2024</t>
  </si>
  <si>
    <t>18/11/2024</t>
  </si>
  <si>
    <t xml:space="preserve">Name : Shahid </t>
  </si>
  <si>
    <t>Father Name : EmmanueL Mughal</t>
  </si>
  <si>
    <t>CNIC #42401-4920930-3</t>
  </si>
  <si>
    <t>Contact # 03412930429</t>
  </si>
  <si>
    <t>Plot No : 7190</t>
  </si>
  <si>
    <t>Cost :</t>
  </si>
  <si>
    <t>Code Num;CSV4197369</t>
  </si>
  <si>
    <t>GIFT PLOT FOR SCHOOL</t>
  </si>
  <si>
    <t>Code Num;CGQ6094548</t>
  </si>
  <si>
    <t>Plot No : 7194</t>
  </si>
  <si>
    <t>29/12/2020</t>
  </si>
  <si>
    <t>14/3/2022</t>
  </si>
  <si>
    <t>16/4/2022</t>
  </si>
  <si>
    <t>15/12/2022</t>
  </si>
  <si>
    <t>21/2/2023</t>
  </si>
  <si>
    <t>18/5/2023</t>
  </si>
  <si>
    <t>15/6/2023</t>
  </si>
  <si>
    <t>Adv Adj Reh</t>
  </si>
  <si>
    <t>Ins Reh</t>
  </si>
  <si>
    <t>21/2/2024</t>
  </si>
  <si>
    <t>15/5/2024</t>
  </si>
  <si>
    <t>18/7/2024</t>
  </si>
  <si>
    <t>20/8/2024</t>
  </si>
  <si>
    <t>18/9/2024</t>
  </si>
  <si>
    <t>22/10/2024</t>
  </si>
  <si>
    <t>17/12/2024</t>
  </si>
  <si>
    <t>30/5/2025</t>
  </si>
  <si>
    <t>30/9/2025</t>
  </si>
  <si>
    <t>27/10/2025</t>
  </si>
  <si>
    <t>18/3/2024</t>
  </si>
  <si>
    <t>19/2/2026</t>
  </si>
  <si>
    <t>17/3/2026</t>
  </si>
  <si>
    <t>29/4/2026</t>
  </si>
  <si>
    <t>Code Num;CKW4990310</t>
  </si>
  <si>
    <t>Plot No : 7189</t>
  </si>
  <si>
    <t>Code Num;CNF0748712</t>
  </si>
  <si>
    <t>Plot No : 7188</t>
  </si>
  <si>
    <t>23/12/2020</t>
  </si>
  <si>
    <t>Code Num;CLY0679619</t>
  </si>
  <si>
    <t>Plot No : 7192</t>
  </si>
  <si>
    <t>Code Num;CMT3495359</t>
  </si>
  <si>
    <t>Plot No : 7187</t>
  </si>
  <si>
    <t>Code Num;CMF6505637</t>
  </si>
  <si>
    <t>Plot No : 7195</t>
  </si>
  <si>
    <t>Plot No : 7193</t>
  </si>
  <si>
    <t>Code Num;CTF0576677</t>
  </si>
  <si>
    <t>Plot No : 7186</t>
  </si>
  <si>
    <t>Code Num;CVJ1299153</t>
  </si>
  <si>
    <t>Code Num;CJD7149781</t>
  </si>
  <si>
    <t>Plot No : 7191</t>
  </si>
  <si>
    <t>11\6\26</t>
  </si>
  <si>
    <t>30\6\26</t>
  </si>
  <si>
    <t>28/7/26</t>
  </si>
  <si>
    <t>26/5/26</t>
  </si>
  <si>
    <t>19/7/26</t>
  </si>
  <si>
    <t>DATE</t>
  </si>
  <si>
    <t>R NO</t>
  </si>
  <si>
    <t>DESRIPTION</t>
  </si>
  <si>
    <t xml:space="preserve">AMOUNT </t>
  </si>
  <si>
    <t>TOTAL REC</t>
  </si>
  <si>
    <t>DUE AMOUNT</t>
  </si>
  <si>
    <t>27/5/25</t>
  </si>
  <si>
    <t>15/6/25</t>
  </si>
  <si>
    <t>22/7/25</t>
  </si>
  <si>
    <t>29/10/25</t>
  </si>
  <si>
    <t>25/3/26</t>
  </si>
  <si>
    <t>29/4/26</t>
  </si>
  <si>
    <t>16/6/26</t>
  </si>
  <si>
    <t>DEVELOPMENT</t>
  </si>
  <si>
    <t>20/11/24</t>
  </si>
  <si>
    <t>20/8/25</t>
  </si>
  <si>
    <t>22/10/25</t>
  </si>
  <si>
    <t>22/1/26</t>
  </si>
  <si>
    <t>26/11/25</t>
  </si>
  <si>
    <t>22/2/26</t>
  </si>
  <si>
    <t>25/5/26</t>
  </si>
  <si>
    <t>25/8/26</t>
  </si>
  <si>
    <t>development</t>
  </si>
  <si>
    <t>2\9\26</t>
  </si>
  <si>
    <t>Nill</t>
  </si>
  <si>
    <t>discount given by sir arshad 240,000</t>
  </si>
  <si>
    <t>28/8/26</t>
  </si>
  <si>
    <t>NILL</t>
  </si>
  <si>
    <t>16/9/26</t>
  </si>
  <si>
    <t>15/8/26</t>
  </si>
  <si>
    <t>INSTALLMENT</t>
  </si>
  <si>
    <t>15/9/26</t>
  </si>
  <si>
    <t xml:space="preserve">INSTALLMENT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</si>
</sst>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14" fontId="0" fillId="0" borderId="0" xfId="0" applyNumberFormat="1"/>
    <xf numFmtId="17" fontId="0" fillId="0" borderId="1" xfId="0" applyNumberFormat="1" applyBorder="1"/>
    <xf numFmtId="0" fontId="3" fillId="0" borderId="0" xfId="0" applyFont="1"/>
    <xf numFmtId="16" fontId="0" fillId="0" borderId="0" xfId="0" applyNumberForma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B16" sqref="B16"/>
    </sheetView>
  </sheetViews>
  <sheetFormatPr defaultRowHeight="14.5" x14ac:dyDescent="0.35"/>
  <cols>
    <col min="1" max="1" width="9.453125" bestFit="1" customWidth="1"/>
    <col min="3" max="3" width="11.08984375" bestFit="1" customWidth="1"/>
    <col min="4" max="4" width="15.26953125" bestFit="1" customWidth="1"/>
    <col min="6" max="6" width="12.1796875" bestFit="1" customWidth="1"/>
  </cols>
  <sheetData>
    <row r="1" spans="1:7" ht="18.5" x14ac:dyDescent="0.45">
      <c r="A1" s="2" t="s">
        <v>5</v>
      </c>
      <c r="B1" s="2"/>
      <c r="C1" s="2"/>
      <c r="D1" s="2"/>
      <c r="E1" s="2"/>
      <c r="F1" s="2"/>
    </row>
    <row r="2" spans="1:7" ht="18.5" x14ac:dyDescent="0.45">
      <c r="A2" s="2" t="s">
        <v>6</v>
      </c>
      <c r="B2" s="2"/>
      <c r="C2" s="2"/>
      <c r="D2" s="2"/>
      <c r="E2" s="2"/>
      <c r="F2" s="2"/>
    </row>
    <row r="3" spans="1:7" ht="18.5" x14ac:dyDescent="0.45">
      <c r="A3" s="2" t="s">
        <v>7</v>
      </c>
      <c r="B3" s="2"/>
      <c r="C3" s="2"/>
      <c r="D3" s="2"/>
      <c r="E3" s="2"/>
      <c r="F3" s="2"/>
    </row>
    <row r="4" spans="1:7" ht="18.5" x14ac:dyDescent="0.45">
      <c r="A4" s="2" t="s">
        <v>73</v>
      </c>
      <c r="B4" s="2"/>
      <c r="C4" s="2"/>
      <c r="D4" s="2"/>
      <c r="E4" s="2"/>
      <c r="F4" s="2"/>
    </row>
    <row r="5" spans="1:7" ht="18.5" x14ac:dyDescent="0.45">
      <c r="A5" s="2" t="s">
        <v>8</v>
      </c>
      <c r="B5" s="2"/>
      <c r="C5" s="2"/>
      <c r="D5" s="2"/>
      <c r="E5" s="2"/>
      <c r="F5" s="2"/>
    </row>
    <row r="6" spans="1:7" ht="18.5" x14ac:dyDescent="0.45">
      <c r="A6" s="2" t="s">
        <v>9</v>
      </c>
      <c r="B6" s="2"/>
      <c r="C6" s="2"/>
      <c r="D6" s="2" t="s">
        <v>10</v>
      </c>
      <c r="E6" s="2"/>
      <c r="F6" s="2"/>
    </row>
    <row r="7" spans="1:7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  <c r="G7" s="1"/>
    </row>
    <row r="8" spans="1:7" x14ac:dyDescent="0.35">
      <c r="A8" s="4">
        <v>46145</v>
      </c>
      <c r="B8" s="5">
        <v>12744</v>
      </c>
      <c r="C8" s="5" t="s">
        <v>11</v>
      </c>
      <c r="D8" s="6">
        <v>50000</v>
      </c>
      <c r="E8" s="6">
        <v>50000</v>
      </c>
      <c r="F8" s="6">
        <v>700000</v>
      </c>
    </row>
    <row r="9" spans="1:7" x14ac:dyDescent="0.35">
      <c r="A9" s="5" t="s">
        <v>74</v>
      </c>
      <c r="B9" s="5">
        <v>13085</v>
      </c>
      <c r="C9" s="5" t="s">
        <v>63</v>
      </c>
      <c r="D9" s="6">
        <v>10000</v>
      </c>
      <c r="E9" s="6">
        <f>SUM(E8+D9)</f>
        <v>60000</v>
      </c>
      <c r="F9" s="6">
        <f>F8-D9</f>
        <v>690000</v>
      </c>
    </row>
    <row r="10" spans="1:7" x14ac:dyDescent="0.35">
      <c r="A10" s="5" t="s">
        <v>132</v>
      </c>
      <c r="B10" s="5">
        <v>13474</v>
      </c>
      <c r="C10" s="5" t="s">
        <v>63</v>
      </c>
      <c r="D10" s="6">
        <v>20000</v>
      </c>
      <c r="E10" s="6">
        <f>E9+D10</f>
        <v>80000</v>
      </c>
      <c r="F10" s="6">
        <f>F9-D10</f>
        <v>670000</v>
      </c>
    </row>
    <row r="11" spans="1:7" x14ac:dyDescent="0.35">
      <c r="A11" s="5" t="s">
        <v>133</v>
      </c>
      <c r="B11" s="5">
        <v>1540</v>
      </c>
      <c r="C11" s="5" t="s">
        <v>63</v>
      </c>
      <c r="D11" s="6">
        <v>10000</v>
      </c>
      <c r="E11" s="6">
        <f>E10+D11</f>
        <v>90000</v>
      </c>
      <c r="F11" s="6">
        <f>F10-D11</f>
        <v>660000</v>
      </c>
    </row>
    <row r="12" spans="1:7" x14ac:dyDescent="0.35">
      <c r="A12" s="4">
        <v>46364</v>
      </c>
      <c r="B12" s="5">
        <v>1747</v>
      </c>
      <c r="C12" s="5" t="s">
        <v>63</v>
      </c>
      <c r="D12" s="6">
        <v>10000</v>
      </c>
      <c r="E12" s="6">
        <f>E11+D12</f>
        <v>100000</v>
      </c>
      <c r="F12" s="6">
        <f>F11-D12</f>
        <v>650000</v>
      </c>
    </row>
    <row r="13" spans="1:7" x14ac:dyDescent="0.35">
      <c r="A13" s="17" t="s">
        <v>162</v>
      </c>
      <c r="B13" s="17">
        <v>2077</v>
      </c>
      <c r="C13" s="17" t="s">
        <v>63</v>
      </c>
      <c r="D13" s="7">
        <v>15000</v>
      </c>
      <c r="E13" s="7">
        <f>E12+D13</f>
        <v>115000</v>
      </c>
      <c r="F13" s="7">
        <f>F12-D13</f>
        <v>635000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29" workbookViewId="0">
      <selection activeCell="C50" sqref="C50"/>
    </sheetView>
  </sheetViews>
  <sheetFormatPr defaultRowHeight="14.5" x14ac:dyDescent="0.35"/>
  <cols>
    <col min="1" max="1" width="10.453125" bestFit="1" customWidth="1"/>
    <col min="2" max="2" width="6.81640625" customWidth="1"/>
    <col min="3" max="3" width="13.54296875" customWidth="1"/>
    <col min="4" max="4" width="8.7265625" customWidth="1"/>
    <col min="5" max="5" width="9.453125" customWidth="1"/>
    <col min="6" max="6" width="13.453125" customWidth="1"/>
  </cols>
  <sheetData>
    <row r="1" spans="1:6" ht="18.5" x14ac:dyDescent="0.45">
      <c r="A1" s="2" t="s">
        <v>5</v>
      </c>
      <c r="B1" s="2"/>
      <c r="C1" s="2"/>
      <c r="D1" s="2"/>
      <c r="E1" s="2"/>
      <c r="F1" s="2"/>
    </row>
    <row r="2" spans="1:6" ht="18.5" x14ac:dyDescent="0.45">
      <c r="A2" s="2" t="s">
        <v>6</v>
      </c>
      <c r="B2" s="2"/>
      <c r="C2" s="2"/>
      <c r="D2" s="2"/>
      <c r="E2" s="2"/>
      <c r="F2" s="2"/>
    </row>
    <row r="3" spans="1:6" ht="18.5" x14ac:dyDescent="0.45">
      <c r="A3" s="2" t="s">
        <v>7</v>
      </c>
      <c r="B3" s="2"/>
      <c r="C3" s="2"/>
      <c r="D3" s="2"/>
      <c r="E3" s="2"/>
      <c r="F3" s="2"/>
    </row>
    <row r="4" spans="1:6" ht="18.5" x14ac:dyDescent="0.45">
      <c r="A4" s="2" t="s">
        <v>67</v>
      </c>
      <c r="B4" s="2"/>
      <c r="C4" s="2"/>
      <c r="D4" s="2"/>
      <c r="E4" s="2"/>
      <c r="F4" s="2"/>
    </row>
    <row r="5" spans="1:6" ht="18.5" x14ac:dyDescent="0.45">
      <c r="A5" s="2" t="s">
        <v>8</v>
      </c>
      <c r="B5" s="2"/>
      <c r="C5" s="2"/>
      <c r="D5" s="2"/>
      <c r="E5" s="2"/>
      <c r="F5" s="2"/>
    </row>
    <row r="6" spans="1:6" ht="18.5" x14ac:dyDescent="0.45">
      <c r="A6" s="2" t="s">
        <v>18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s="4" t="s">
        <v>20</v>
      </c>
      <c r="B8" s="5">
        <v>2086</v>
      </c>
      <c r="C8" s="5" t="s">
        <v>21</v>
      </c>
      <c r="D8" s="6">
        <v>50000</v>
      </c>
      <c r="E8" s="6">
        <v>50000</v>
      </c>
      <c r="F8" s="6">
        <v>280000</v>
      </c>
    </row>
    <row r="9" spans="1:6" x14ac:dyDescent="0.35">
      <c r="A9" t="s">
        <v>22</v>
      </c>
      <c r="B9">
        <v>531</v>
      </c>
      <c r="C9" t="s">
        <v>23</v>
      </c>
      <c r="D9" s="7">
        <v>10000</v>
      </c>
      <c r="E9" s="7">
        <f>SUM(E8+D9)</f>
        <v>60000</v>
      </c>
      <c r="F9" s="7">
        <f>F8-D9</f>
        <v>270000</v>
      </c>
    </row>
    <row r="10" spans="1:6" x14ac:dyDescent="0.35">
      <c r="A10" t="s">
        <v>24</v>
      </c>
      <c r="B10">
        <v>2087</v>
      </c>
      <c r="C10" t="s">
        <v>31</v>
      </c>
      <c r="D10" s="7">
        <v>30000</v>
      </c>
      <c r="E10" s="7">
        <f t="shared" ref="E10:E26" si="0">SUM(E9+D10)</f>
        <v>90000</v>
      </c>
      <c r="F10" s="7">
        <f t="shared" ref="F10:F26" si="1">F9-D10</f>
        <v>240000</v>
      </c>
    </row>
    <row r="11" spans="1:6" x14ac:dyDescent="0.35">
      <c r="A11" t="s">
        <v>25</v>
      </c>
      <c r="B11">
        <v>2088</v>
      </c>
      <c r="C11" t="s">
        <v>31</v>
      </c>
      <c r="D11" s="7">
        <v>10000</v>
      </c>
      <c r="E11" s="7">
        <f t="shared" si="0"/>
        <v>100000</v>
      </c>
      <c r="F11" s="7">
        <f t="shared" si="1"/>
        <v>230000</v>
      </c>
    </row>
    <row r="12" spans="1:6" x14ac:dyDescent="0.35">
      <c r="A12" t="s">
        <v>26</v>
      </c>
      <c r="B12">
        <v>2089</v>
      </c>
      <c r="C12" t="s">
        <v>31</v>
      </c>
      <c r="D12" s="7">
        <v>20000</v>
      </c>
      <c r="E12" s="7">
        <f t="shared" si="0"/>
        <v>120000</v>
      </c>
      <c r="F12" s="7">
        <f t="shared" si="1"/>
        <v>210000</v>
      </c>
    </row>
    <row r="13" spans="1:6" x14ac:dyDescent="0.35">
      <c r="A13" t="s">
        <v>27</v>
      </c>
      <c r="B13">
        <v>3815</v>
      </c>
      <c r="C13" t="s">
        <v>32</v>
      </c>
      <c r="D13" s="7">
        <v>30000</v>
      </c>
      <c r="E13" s="7">
        <f t="shared" si="0"/>
        <v>150000</v>
      </c>
      <c r="F13" s="7">
        <f t="shared" si="1"/>
        <v>180000</v>
      </c>
    </row>
    <row r="14" spans="1:6" x14ac:dyDescent="0.35">
      <c r="A14" s="8">
        <v>45087</v>
      </c>
      <c r="B14">
        <v>4029</v>
      </c>
      <c r="C14" t="s">
        <v>33</v>
      </c>
      <c r="D14" s="7">
        <v>20000</v>
      </c>
      <c r="E14" s="7">
        <f t="shared" si="0"/>
        <v>170000</v>
      </c>
      <c r="F14" s="7">
        <f t="shared" si="1"/>
        <v>160000</v>
      </c>
    </row>
    <row r="15" spans="1:6" x14ac:dyDescent="0.35">
      <c r="A15" t="s">
        <v>28</v>
      </c>
      <c r="B15">
        <v>5067</v>
      </c>
      <c r="C15" t="s">
        <v>34</v>
      </c>
      <c r="D15" s="7">
        <v>20000</v>
      </c>
      <c r="E15" s="7">
        <f t="shared" si="0"/>
        <v>190000</v>
      </c>
      <c r="F15" s="7">
        <f t="shared" si="1"/>
        <v>140000</v>
      </c>
    </row>
    <row r="16" spans="1:6" x14ac:dyDescent="0.35">
      <c r="A16" t="s">
        <v>29</v>
      </c>
      <c r="B16">
        <v>5540</v>
      </c>
      <c r="C16" t="s">
        <v>14</v>
      </c>
      <c r="D16" s="7">
        <v>10000</v>
      </c>
      <c r="E16" s="7">
        <f t="shared" si="0"/>
        <v>200000</v>
      </c>
      <c r="F16" s="7">
        <f t="shared" si="1"/>
        <v>130000</v>
      </c>
    </row>
    <row r="17" spans="1:6" x14ac:dyDescent="0.35">
      <c r="A17" s="8">
        <v>45323</v>
      </c>
      <c r="B17">
        <v>5889</v>
      </c>
      <c r="C17" t="s">
        <v>35</v>
      </c>
      <c r="D17" s="7">
        <v>10000</v>
      </c>
      <c r="E17" s="7">
        <f t="shared" si="0"/>
        <v>210000</v>
      </c>
      <c r="F17" s="7">
        <f t="shared" si="1"/>
        <v>120000</v>
      </c>
    </row>
    <row r="18" spans="1:6" x14ac:dyDescent="0.35">
      <c r="A18" t="s">
        <v>30</v>
      </c>
      <c r="B18">
        <v>6751</v>
      </c>
      <c r="C18" t="s">
        <v>36</v>
      </c>
      <c r="D18" s="7">
        <v>10000</v>
      </c>
      <c r="E18" s="7">
        <f t="shared" si="0"/>
        <v>220000</v>
      </c>
      <c r="F18" s="7">
        <f t="shared" si="1"/>
        <v>110000</v>
      </c>
    </row>
    <row r="19" spans="1:6" x14ac:dyDescent="0.35">
      <c r="A19" s="8">
        <v>45476</v>
      </c>
      <c r="B19">
        <v>6921</v>
      </c>
      <c r="C19" t="s">
        <v>71</v>
      </c>
      <c r="D19" s="7">
        <v>20000</v>
      </c>
      <c r="E19" s="7">
        <f t="shared" si="0"/>
        <v>240000</v>
      </c>
      <c r="F19" s="7">
        <f t="shared" si="1"/>
        <v>90000</v>
      </c>
    </row>
    <row r="20" spans="1:6" x14ac:dyDescent="0.35">
      <c r="A20" t="s">
        <v>68</v>
      </c>
      <c r="B20">
        <v>7919</v>
      </c>
      <c r="C20" t="s">
        <v>14</v>
      </c>
      <c r="D20" s="7">
        <v>10000</v>
      </c>
      <c r="E20" s="7">
        <f t="shared" si="0"/>
        <v>250000</v>
      </c>
      <c r="F20" s="7">
        <f t="shared" si="1"/>
        <v>80000</v>
      </c>
    </row>
    <row r="21" spans="1:6" x14ac:dyDescent="0.35">
      <c r="A21" s="8">
        <v>45540</v>
      </c>
      <c r="B21">
        <v>8346</v>
      </c>
      <c r="C21" t="s">
        <v>14</v>
      </c>
      <c r="D21" s="7">
        <v>10000</v>
      </c>
      <c r="E21" s="7">
        <f t="shared" si="0"/>
        <v>260000</v>
      </c>
      <c r="F21" s="7">
        <f t="shared" si="1"/>
        <v>70000</v>
      </c>
    </row>
    <row r="22" spans="1:6" x14ac:dyDescent="0.35">
      <c r="A22" t="s">
        <v>69</v>
      </c>
      <c r="B22">
        <v>9148</v>
      </c>
      <c r="C22" t="s">
        <v>14</v>
      </c>
      <c r="D22" s="7">
        <v>10000</v>
      </c>
      <c r="E22" s="7">
        <f t="shared" si="0"/>
        <v>270000</v>
      </c>
      <c r="F22" s="7">
        <f t="shared" si="1"/>
        <v>60000</v>
      </c>
    </row>
    <row r="23" spans="1:6" x14ac:dyDescent="0.35">
      <c r="A23" s="8" t="s">
        <v>70</v>
      </c>
      <c r="B23">
        <v>9735</v>
      </c>
      <c r="C23" t="s">
        <v>14</v>
      </c>
      <c r="D23" s="7">
        <v>20000</v>
      </c>
      <c r="E23" s="7">
        <f t="shared" si="0"/>
        <v>290000</v>
      </c>
      <c r="F23" s="7">
        <f t="shared" si="1"/>
        <v>40000</v>
      </c>
    </row>
    <row r="24" spans="1:6" x14ac:dyDescent="0.35">
      <c r="A24" s="8">
        <v>45573</v>
      </c>
      <c r="B24">
        <v>11032</v>
      </c>
      <c r="C24" t="s">
        <v>14</v>
      </c>
      <c r="D24" s="7">
        <v>20000</v>
      </c>
      <c r="E24" s="7">
        <f t="shared" si="0"/>
        <v>310000</v>
      </c>
      <c r="F24" s="7">
        <f t="shared" si="1"/>
        <v>20000</v>
      </c>
    </row>
    <row r="25" spans="1:6" x14ac:dyDescent="0.35">
      <c r="A25" s="8">
        <v>45544</v>
      </c>
      <c r="B25">
        <v>10616</v>
      </c>
      <c r="C25" t="s">
        <v>14</v>
      </c>
      <c r="D25" s="7">
        <v>10000</v>
      </c>
      <c r="E25" s="7">
        <f t="shared" si="0"/>
        <v>320000</v>
      </c>
      <c r="F25" s="7">
        <f t="shared" si="1"/>
        <v>10000</v>
      </c>
    </row>
    <row r="26" spans="1:6" x14ac:dyDescent="0.35">
      <c r="A26" s="8">
        <v>45575</v>
      </c>
      <c r="B26">
        <v>11357</v>
      </c>
      <c r="C26" t="s">
        <v>14</v>
      </c>
      <c r="D26" s="7">
        <v>10000</v>
      </c>
      <c r="E26" s="7">
        <f t="shared" si="0"/>
        <v>330000</v>
      </c>
      <c r="F26" s="7">
        <f t="shared" si="1"/>
        <v>0</v>
      </c>
    </row>
    <row r="27" spans="1:6" ht="18.5" x14ac:dyDescent="0.45">
      <c r="A27" s="2" t="s">
        <v>72</v>
      </c>
      <c r="B27" s="2"/>
      <c r="C27" s="2"/>
      <c r="D27" s="10"/>
      <c r="E27" s="10"/>
      <c r="F27" s="10"/>
    </row>
    <row r="28" spans="1:6" x14ac:dyDescent="0.3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35">
      <c r="B29" s="11"/>
    </row>
    <row r="30" spans="1:6" x14ac:dyDescent="0.35">
      <c r="A30" s="12" t="s">
        <v>140</v>
      </c>
      <c r="B30" s="12">
        <v>609</v>
      </c>
      <c r="C30" s="12" t="s">
        <v>147</v>
      </c>
      <c r="D30" s="13">
        <v>25000</v>
      </c>
      <c r="E30" s="12">
        <v>25000</v>
      </c>
      <c r="F30" s="13">
        <v>425000</v>
      </c>
    </row>
    <row r="31" spans="1:6" x14ac:dyDescent="0.35">
      <c r="A31" s="12" t="s">
        <v>141</v>
      </c>
      <c r="B31" s="12">
        <v>694</v>
      </c>
      <c r="C31" s="12" t="s">
        <v>147</v>
      </c>
      <c r="D31" s="12">
        <v>7500</v>
      </c>
      <c r="E31" s="12">
        <f t="shared" ref="E31:E41" si="2">E30+D31</f>
        <v>32500</v>
      </c>
      <c r="F31" s="13">
        <f t="shared" ref="F31:F41" si="3">F30-D31</f>
        <v>417500</v>
      </c>
    </row>
    <row r="32" spans="1:6" x14ac:dyDescent="0.35">
      <c r="A32" s="12" t="s">
        <v>142</v>
      </c>
      <c r="B32" s="12">
        <v>3114</v>
      </c>
      <c r="C32" s="12" t="s">
        <v>147</v>
      </c>
      <c r="D32" s="12">
        <v>7500</v>
      </c>
      <c r="E32" s="12">
        <f t="shared" si="2"/>
        <v>40000</v>
      </c>
      <c r="F32" s="13">
        <f t="shared" si="3"/>
        <v>410000</v>
      </c>
    </row>
    <row r="33" spans="1:6" x14ac:dyDescent="0.35">
      <c r="A33" s="14">
        <v>45999</v>
      </c>
      <c r="B33" s="12">
        <v>3951</v>
      </c>
      <c r="C33" s="12" t="s">
        <v>147</v>
      </c>
      <c r="D33" s="12">
        <v>7500</v>
      </c>
      <c r="E33" s="12">
        <f t="shared" si="2"/>
        <v>47500</v>
      </c>
      <c r="F33" s="13">
        <f t="shared" si="3"/>
        <v>402500</v>
      </c>
    </row>
    <row r="34" spans="1:6" x14ac:dyDescent="0.35">
      <c r="A34" s="12" t="s">
        <v>143</v>
      </c>
      <c r="B34" s="12">
        <v>3617</v>
      </c>
      <c r="C34" s="12" t="s">
        <v>147</v>
      </c>
      <c r="D34" s="13">
        <v>15000</v>
      </c>
      <c r="E34" s="13">
        <f t="shared" si="2"/>
        <v>62500</v>
      </c>
      <c r="F34" s="13">
        <f t="shared" si="3"/>
        <v>387500</v>
      </c>
    </row>
    <row r="35" spans="1:6" x14ac:dyDescent="0.35">
      <c r="A35" s="14">
        <v>45669</v>
      </c>
      <c r="B35" s="12">
        <v>5006</v>
      </c>
      <c r="C35" s="12" t="s">
        <v>147</v>
      </c>
      <c r="D35" s="13">
        <v>15000</v>
      </c>
      <c r="E35" s="13">
        <f t="shared" si="2"/>
        <v>77500</v>
      </c>
      <c r="F35" s="13">
        <f t="shared" si="3"/>
        <v>372500</v>
      </c>
    </row>
    <row r="36" spans="1:6" x14ac:dyDescent="0.35">
      <c r="A36" s="14">
        <v>46144</v>
      </c>
      <c r="B36" s="12">
        <v>5436</v>
      </c>
      <c r="C36" s="12" t="s">
        <v>147</v>
      </c>
      <c r="D36" s="13">
        <v>15000</v>
      </c>
      <c r="E36" s="13">
        <f t="shared" si="2"/>
        <v>92500</v>
      </c>
      <c r="F36" s="13">
        <f t="shared" si="3"/>
        <v>357500</v>
      </c>
    </row>
    <row r="37" spans="1:6" x14ac:dyDescent="0.35">
      <c r="A37" s="12" t="s">
        <v>144</v>
      </c>
      <c r="B37" s="12">
        <v>5786</v>
      </c>
      <c r="C37" s="12" t="s">
        <v>147</v>
      </c>
      <c r="D37" s="13">
        <v>7500</v>
      </c>
      <c r="E37" s="13">
        <f t="shared" si="2"/>
        <v>100000</v>
      </c>
      <c r="F37" s="13">
        <f t="shared" si="3"/>
        <v>350000</v>
      </c>
    </row>
    <row r="38" spans="1:6" x14ac:dyDescent="0.35">
      <c r="A38" s="12" t="s">
        <v>145</v>
      </c>
      <c r="B38" s="12">
        <v>1333</v>
      </c>
      <c r="C38" s="12" t="s">
        <v>147</v>
      </c>
      <c r="D38" s="13">
        <v>10000</v>
      </c>
      <c r="E38" s="13">
        <f t="shared" si="2"/>
        <v>110000</v>
      </c>
      <c r="F38" s="13">
        <f t="shared" si="3"/>
        <v>340000</v>
      </c>
    </row>
    <row r="39" spans="1:6" x14ac:dyDescent="0.35">
      <c r="A39" s="12" t="s">
        <v>146</v>
      </c>
      <c r="B39" s="12">
        <v>1677</v>
      </c>
      <c r="C39" s="12" t="s">
        <v>147</v>
      </c>
      <c r="D39" s="13">
        <v>10000</v>
      </c>
      <c r="E39" s="13">
        <f t="shared" si="2"/>
        <v>120000</v>
      </c>
      <c r="F39" s="13">
        <f t="shared" si="3"/>
        <v>330000</v>
      </c>
    </row>
    <row r="40" spans="1:6" x14ac:dyDescent="0.35">
      <c r="A40" s="12" t="s">
        <v>133</v>
      </c>
      <c r="B40" s="12">
        <v>1874</v>
      </c>
      <c r="C40" s="12" t="s">
        <v>147</v>
      </c>
      <c r="D40" s="13">
        <v>10000</v>
      </c>
      <c r="E40" s="13">
        <f t="shared" si="2"/>
        <v>130000</v>
      </c>
      <c r="F40" s="13">
        <f t="shared" si="3"/>
        <v>320000</v>
      </c>
    </row>
    <row r="41" spans="1:6" x14ac:dyDescent="0.35">
      <c r="A41" s="14">
        <v>46364</v>
      </c>
      <c r="B41" s="12">
        <v>3791</v>
      </c>
      <c r="C41" s="12" t="s">
        <v>147</v>
      </c>
      <c r="D41" s="13">
        <v>10000</v>
      </c>
      <c r="E41" s="13">
        <f t="shared" si="2"/>
        <v>140000</v>
      </c>
      <c r="F41" s="13">
        <f t="shared" si="3"/>
        <v>310000</v>
      </c>
    </row>
    <row r="42" spans="1:6" x14ac:dyDescent="0.35">
      <c r="A42" s="16" t="s">
        <v>160</v>
      </c>
      <c r="B42" s="16">
        <v>1980</v>
      </c>
      <c r="C42" s="12" t="s">
        <v>147</v>
      </c>
      <c r="D42" s="7">
        <v>100000</v>
      </c>
      <c r="E42" s="7">
        <f>E41+D42</f>
        <v>240000</v>
      </c>
      <c r="F42" s="7" t="s">
        <v>161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5" workbookViewId="0">
      <selection activeCell="A32" sqref="A32"/>
    </sheetView>
  </sheetViews>
  <sheetFormatPr defaultRowHeight="14.5" x14ac:dyDescent="0.35"/>
  <cols>
    <col min="1" max="1" width="9.453125" bestFit="1" customWidth="1"/>
    <col min="3" max="3" width="17.453125" customWidth="1"/>
    <col min="6" max="6" width="11.90625" customWidth="1"/>
  </cols>
  <sheetData>
    <row r="1" spans="1:6" ht="18.5" x14ac:dyDescent="0.45">
      <c r="A1" s="2" t="s">
        <v>5</v>
      </c>
      <c r="B1" s="2"/>
      <c r="C1" s="2"/>
      <c r="D1" s="2"/>
      <c r="E1" s="2"/>
      <c r="F1" s="2"/>
    </row>
    <row r="2" spans="1:6" ht="18.5" x14ac:dyDescent="0.45">
      <c r="A2" s="2" t="s">
        <v>6</v>
      </c>
      <c r="B2" s="2"/>
      <c r="C2" s="2"/>
      <c r="D2" s="2"/>
      <c r="E2" s="2"/>
      <c r="F2" s="2"/>
    </row>
    <row r="3" spans="1:6" ht="18.5" x14ac:dyDescent="0.45">
      <c r="A3" s="2" t="s">
        <v>7</v>
      </c>
      <c r="B3" s="2"/>
      <c r="C3" s="2"/>
      <c r="D3" s="2"/>
      <c r="E3" s="2"/>
      <c r="F3" s="2"/>
    </row>
    <row r="4" spans="1:6" ht="18.5" x14ac:dyDescent="0.45">
      <c r="A4" s="2" t="s">
        <v>75</v>
      </c>
      <c r="B4" s="2"/>
      <c r="C4" s="2"/>
      <c r="D4" s="2"/>
      <c r="E4" s="2"/>
      <c r="F4" s="2"/>
    </row>
    <row r="5" spans="1:6" ht="18.5" x14ac:dyDescent="0.45">
      <c r="A5" s="2" t="s">
        <v>8</v>
      </c>
      <c r="B5" s="2"/>
      <c r="C5" s="2"/>
      <c r="D5" s="2"/>
      <c r="E5" s="2"/>
      <c r="F5" s="2"/>
    </row>
    <row r="6" spans="1:6" ht="18.5" x14ac:dyDescent="0.45">
      <c r="A6" s="2" t="s">
        <v>37</v>
      </c>
      <c r="B6" s="2"/>
      <c r="C6" s="2"/>
      <c r="D6" s="2" t="s">
        <v>38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s="4" t="s">
        <v>39</v>
      </c>
      <c r="B8" s="5">
        <v>2091</v>
      </c>
      <c r="C8" s="5" t="s">
        <v>21</v>
      </c>
      <c r="D8" s="6">
        <v>70000</v>
      </c>
      <c r="E8" s="6">
        <v>70000</v>
      </c>
      <c r="F8" s="6">
        <v>280000</v>
      </c>
    </row>
    <row r="9" spans="1:6" x14ac:dyDescent="0.35">
      <c r="A9" s="5" t="s">
        <v>22</v>
      </c>
      <c r="B9" s="5">
        <v>532</v>
      </c>
      <c r="C9" s="5" t="s">
        <v>41</v>
      </c>
      <c r="D9" s="6">
        <v>10000</v>
      </c>
      <c r="E9" s="6">
        <f>SUM(E8+D9)</f>
        <v>80000</v>
      </c>
      <c r="F9" s="6">
        <f>F8-D9</f>
        <v>270000</v>
      </c>
    </row>
    <row r="10" spans="1:6" x14ac:dyDescent="0.35">
      <c r="A10" s="5" t="s">
        <v>25</v>
      </c>
      <c r="B10" s="5">
        <v>2092</v>
      </c>
      <c r="C10" s="5" t="s">
        <v>42</v>
      </c>
      <c r="D10" s="6">
        <v>10000</v>
      </c>
      <c r="E10" s="6">
        <f t="shared" ref="E10:E29" si="0">SUM(E9+D10)</f>
        <v>90000</v>
      </c>
      <c r="F10" s="6">
        <f t="shared" ref="F10:F29" si="1">F9-D10</f>
        <v>260000</v>
      </c>
    </row>
    <row r="11" spans="1:6" x14ac:dyDescent="0.35">
      <c r="A11" s="4" t="s">
        <v>26</v>
      </c>
      <c r="B11" s="5">
        <v>2093</v>
      </c>
      <c r="C11" s="5" t="s">
        <v>42</v>
      </c>
      <c r="D11" s="6">
        <v>20000</v>
      </c>
      <c r="E11" s="6">
        <f t="shared" si="0"/>
        <v>110000</v>
      </c>
      <c r="F11" s="6">
        <f t="shared" si="1"/>
        <v>240000</v>
      </c>
    </row>
    <row r="12" spans="1:6" x14ac:dyDescent="0.35">
      <c r="A12" s="4" t="s">
        <v>40</v>
      </c>
      <c r="B12" s="5">
        <v>2094</v>
      </c>
      <c r="C12" s="5" t="s">
        <v>14</v>
      </c>
      <c r="D12" s="6">
        <v>10000</v>
      </c>
      <c r="E12" s="6">
        <f t="shared" si="0"/>
        <v>120000</v>
      </c>
      <c r="F12" s="6">
        <f t="shared" si="1"/>
        <v>230000</v>
      </c>
    </row>
    <row r="13" spans="1:6" x14ac:dyDescent="0.35">
      <c r="A13" s="4" t="s">
        <v>27</v>
      </c>
      <c r="B13" s="5">
        <v>3814</v>
      </c>
      <c r="C13" s="5" t="s">
        <v>43</v>
      </c>
      <c r="D13" s="6">
        <v>20000</v>
      </c>
      <c r="E13" s="6">
        <f t="shared" si="0"/>
        <v>140000</v>
      </c>
      <c r="F13" s="6">
        <f t="shared" si="1"/>
        <v>210000</v>
      </c>
    </row>
    <row r="14" spans="1:6" x14ac:dyDescent="0.35">
      <c r="A14" s="4">
        <v>45087</v>
      </c>
      <c r="B14" s="5">
        <v>4030</v>
      </c>
      <c r="C14" s="5" t="s">
        <v>44</v>
      </c>
      <c r="D14" s="6">
        <v>20000</v>
      </c>
      <c r="E14" s="6">
        <f t="shared" si="0"/>
        <v>160000</v>
      </c>
      <c r="F14" s="6">
        <f t="shared" si="1"/>
        <v>190000</v>
      </c>
    </row>
    <row r="15" spans="1:6" x14ac:dyDescent="0.35">
      <c r="A15" s="4">
        <v>44937</v>
      </c>
      <c r="B15" s="5">
        <v>5068</v>
      </c>
      <c r="C15" s="5" t="s">
        <v>45</v>
      </c>
      <c r="D15" s="6">
        <v>20000</v>
      </c>
      <c r="E15" s="6">
        <f t="shared" si="0"/>
        <v>180000</v>
      </c>
      <c r="F15" s="6">
        <f t="shared" si="1"/>
        <v>170000</v>
      </c>
    </row>
    <row r="16" spans="1:6" x14ac:dyDescent="0.35">
      <c r="A16" s="5" t="s">
        <v>29</v>
      </c>
      <c r="B16" s="5">
        <v>5539</v>
      </c>
      <c r="C16" s="5" t="s">
        <v>14</v>
      </c>
      <c r="D16" s="6">
        <v>10000</v>
      </c>
      <c r="E16" s="6">
        <f t="shared" si="0"/>
        <v>190000</v>
      </c>
      <c r="F16" s="6">
        <f t="shared" si="1"/>
        <v>160000</v>
      </c>
    </row>
    <row r="17" spans="1:6" x14ac:dyDescent="0.35">
      <c r="A17" s="4">
        <v>45323</v>
      </c>
      <c r="B17" s="5">
        <v>5890</v>
      </c>
      <c r="C17" s="5" t="s">
        <v>46</v>
      </c>
      <c r="D17" s="6">
        <v>10000</v>
      </c>
      <c r="E17" s="6">
        <f t="shared" si="0"/>
        <v>200000</v>
      </c>
      <c r="F17" s="6">
        <f t="shared" si="1"/>
        <v>150000</v>
      </c>
    </row>
    <row r="18" spans="1:6" x14ac:dyDescent="0.35">
      <c r="A18" s="5" t="s">
        <v>30</v>
      </c>
      <c r="B18" s="5">
        <v>6752</v>
      </c>
      <c r="C18" s="5" t="s">
        <v>46</v>
      </c>
      <c r="D18" s="6">
        <v>10000</v>
      </c>
      <c r="E18" s="6">
        <f t="shared" si="0"/>
        <v>210000</v>
      </c>
      <c r="F18" s="6">
        <f t="shared" si="1"/>
        <v>140000</v>
      </c>
    </row>
    <row r="19" spans="1:6" x14ac:dyDescent="0.35">
      <c r="A19" s="4">
        <v>45476</v>
      </c>
      <c r="B19" s="5">
        <v>6922</v>
      </c>
      <c r="C19" s="5" t="s">
        <v>14</v>
      </c>
      <c r="D19" s="6">
        <v>20000</v>
      </c>
      <c r="E19" s="6">
        <f t="shared" si="0"/>
        <v>230000</v>
      </c>
      <c r="F19" s="6">
        <f t="shared" si="1"/>
        <v>120000</v>
      </c>
    </row>
    <row r="20" spans="1:6" x14ac:dyDescent="0.35">
      <c r="A20" s="4" t="s">
        <v>68</v>
      </c>
      <c r="B20" s="5">
        <v>7918</v>
      </c>
      <c r="C20" s="5" t="s">
        <v>47</v>
      </c>
      <c r="D20" s="6">
        <v>10000</v>
      </c>
      <c r="E20" s="6">
        <f t="shared" si="0"/>
        <v>240000</v>
      </c>
      <c r="F20" s="6">
        <f t="shared" si="1"/>
        <v>110000</v>
      </c>
    </row>
    <row r="21" spans="1:6" x14ac:dyDescent="0.35">
      <c r="A21" s="9">
        <v>45540</v>
      </c>
      <c r="B21" s="5">
        <v>8347</v>
      </c>
      <c r="C21" s="5" t="s">
        <v>48</v>
      </c>
      <c r="D21" s="6">
        <v>20000</v>
      </c>
      <c r="E21" s="6">
        <f t="shared" si="0"/>
        <v>260000</v>
      </c>
      <c r="F21" s="6">
        <f t="shared" si="1"/>
        <v>90000</v>
      </c>
    </row>
    <row r="22" spans="1:6" x14ac:dyDescent="0.35">
      <c r="A22" s="9" t="s">
        <v>69</v>
      </c>
      <c r="B22" s="5">
        <v>9149</v>
      </c>
      <c r="C22" s="5" t="s">
        <v>14</v>
      </c>
      <c r="D22" s="6">
        <v>20000</v>
      </c>
      <c r="E22" s="6">
        <f t="shared" si="0"/>
        <v>280000</v>
      </c>
      <c r="F22" s="6">
        <f t="shared" si="1"/>
        <v>70000</v>
      </c>
    </row>
    <row r="23" spans="1:6" x14ac:dyDescent="0.35">
      <c r="A23" s="9" t="s">
        <v>70</v>
      </c>
      <c r="B23" s="5">
        <v>9736</v>
      </c>
      <c r="C23" s="5" t="s">
        <v>14</v>
      </c>
      <c r="D23" s="6">
        <v>10000</v>
      </c>
      <c r="E23" s="6">
        <f t="shared" si="0"/>
        <v>290000</v>
      </c>
      <c r="F23" s="6">
        <f t="shared" si="1"/>
        <v>60000</v>
      </c>
    </row>
    <row r="24" spans="1:6" x14ac:dyDescent="0.35">
      <c r="A24" s="9">
        <v>45573</v>
      </c>
      <c r="B24" s="5">
        <v>11031</v>
      </c>
      <c r="C24" s="5" t="s">
        <v>14</v>
      </c>
      <c r="D24" s="6">
        <v>10000</v>
      </c>
      <c r="E24" s="6">
        <f t="shared" si="0"/>
        <v>300000</v>
      </c>
      <c r="F24" s="6">
        <f t="shared" si="1"/>
        <v>50000</v>
      </c>
    </row>
    <row r="25" spans="1:6" x14ac:dyDescent="0.35">
      <c r="A25" s="9">
        <v>45544</v>
      </c>
      <c r="B25" s="5">
        <v>10617</v>
      </c>
      <c r="C25" s="5" t="s">
        <v>14</v>
      </c>
      <c r="D25" s="6">
        <v>10000</v>
      </c>
      <c r="E25" s="6">
        <f t="shared" si="0"/>
        <v>310000</v>
      </c>
      <c r="F25" s="6">
        <f t="shared" si="1"/>
        <v>40000</v>
      </c>
    </row>
    <row r="26" spans="1:6" x14ac:dyDescent="0.35">
      <c r="A26" s="9">
        <v>45575</v>
      </c>
      <c r="B26" s="5">
        <v>11358</v>
      </c>
      <c r="C26" s="5" t="s">
        <v>14</v>
      </c>
      <c r="D26" s="6">
        <v>10000</v>
      </c>
      <c r="E26" s="6">
        <f t="shared" si="0"/>
        <v>320000</v>
      </c>
      <c r="F26" s="6">
        <f t="shared" si="1"/>
        <v>30000</v>
      </c>
    </row>
    <row r="27" spans="1:6" x14ac:dyDescent="0.35">
      <c r="A27" s="9" t="s">
        <v>78</v>
      </c>
      <c r="B27" s="5">
        <v>12142</v>
      </c>
      <c r="C27" s="5" t="s">
        <v>14</v>
      </c>
      <c r="D27" s="6">
        <v>10000</v>
      </c>
      <c r="E27" s="6">
        <f t="shared" si="0"/>
        <v>330000</v>
      </c>
      <c r="F27" s="6">
        <f t="shared" si="1"/>
        <v>20000</v>
      </c>
    </row>
    <row r="28" spans="1:6" x14ac:dyDescent="0.35">
      <c r="A28" s="9" t="s">
        <v>77</v>
      </c>
      <c r="B28" s="5">
        <v>12753</v>
      </c>
      <c r="C28" s="5" t="s">
        <v>14</v>
      </c>
      <c r="D28" s="6">
        <v>10000</v>
      </c>
      <c r="E28" s="6">
        <f t="shared" si="0"/>
        <v>340000</v>
      </c>
      <c r="F28" s="6">
        <f t="shared" si="1"/>
        <v>10000</v>
      </c>
    </row>
    <row r="29" spans="1:6" x14ac:dyDescent="0.35">
      <c r="A29" s="9" t="s">
        <v>76</v>
      </c>
      <c r="B29" s="5">
        <v>9491</v>
      </c>
      <c r="C29" s="5" t="s">
        <v>14</v>
      </c>
      <c r="D29" s="6">
        <v>10000</v>
      </c>
      <c r="E29" s="6">
        <f t="shared" si="0"/>
        <v>350000</v>
      </c>
      <c r="F29" s="6">
        <f t="shared" si="1"/>
        <v>0</v>
      </c>
    </row>
    <row r="30" spans="1:6" x14ac:dyDescent="0.35">
      <c r="A30" s="5"/>
      <c r="B30" s="5"/>
      <c r="C30" s="5" t="s">
        <v>49</v>
      </c>
      <c r="D30" s="5"/>
      <c r="E30" s="5"/>
      <c r="F30" s="5"/>
    </row>
    <row r="31" spans="1:6" ht="18.5" x14ac:dyDescent="0.45">
      <c r="A31" s="10"/>
      <c r="B31" s="10"/>
      <c r="C31" s="10"/>
      <c r="D31" s="10"/>
      <c r="E31" s="10"/>
      <c r="F3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9" workbookViewId="0">
      <selection activeCell="K37" sqref="K37"/>
    </sheetView>
  </sheetViews>
  <sheetFormatPr defaultRowHeight="14.5" x14ac:dyDescent="0.35"/>
  <cols>
    <col min="1" max="1" width="10.36328125" customWidth="1"/>
    <col min="3" max="3" width="14.81640625" customWidth="1"/>
    <col min="6" max="6" width="11.54296875" customWidth="1"/>
  </cols>
  <sheetData>
    <row r="1" spans="1:6" ht="18.5" x14ac:dyDescent="0.45">
      <c r="A1" s="2" t="s">
        <v>50</v>
      </c>
      <c r="B1" s="2"/>
      <c r="C1" s="2"/>
      <c r="D1" s="2"/>
      <c r="E1" s="2"/>
      <c r="F1" s="2"/>
    </row>
    <row r="2" spans="1:6" ht="18.5" x14ac:dyDescent="0.45">
      <c r="A2" s="2" t="s">
        <v>51</v>
      </c>
      <c r="B2" s="2"/>
      <c r="C2" s="2"/>
      <c r="D2" s="2"/>
      <c r="E2" s="2"/>
      <c r="F2" s="2"/>
    </row>
    <row r="3" spans="1:6" ht="18.5" x14ac:dyDescent="0.45">
      <c r="A3" s="2" t="s">
        <v>52</v>
      </c>
      <c r="B3" s="2"/>
      <c r="C3" s="2"/>
      <c r="D3" s="2"/>
      <c r="E3" s="2"/>
      <c r="F3" s="2"/>
    </row>
    <row r="4" spans="1:6" ht="18.5" x14ac:dyDescent="0.45">
      <c r="A4" s="2" t="s">
        <v>55</v>
      </c>
      <c r="B4" s="2"/>
      <c r="C4" s="2"/>
      <c r="D4" s="2"/>
      <c r="E4" s="2"/>
      <c r="F4" s="2"/>
    </row>
    <row r="5" spans="1:6" ht="18.5" x14ac:dyDescent="0.45">
      <c r="A5" s="2" t="s">
        <v>53</v>
      </c>
      <c r="B5" s="2"/>
      <c r="C5" s="2"/>
      <c r="D5" s="2"/>
      <c r="E5" s="2"/>
      <c r="F5" s="2"/>
    </row>
    <row r="6" spans="1:6" ht="18.5" x14ac:dyDescent="0.45">
      <c r="A6" s="2" t="s">
        <v>54</v>
      </c>
      <c r="B6" s="2"/>
      <c r="C6" s="2"/>
      <c r="D6" s="2" t="s">
        <v>38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s="5" t="s">
        <v>56</v>
      </c>
      <c r="B8" s="5">
        <v>1391</v>
      </c>
      <c r="C8" s="5" t="s">
        <v>63</v>
      </c>
      <c r="D8" s="6">
        <v>10000</v>
      </c>
      <c r="E8" s="6">
        <v>10000</v>
      </c>
      <c r="F8" s="6">
        <v>200000</v>
      </c>
    </row>
    <row r="9" spans="1:6" x14ac:dyDescent="0.35">
      <c r="A9" s="4">
        <v>44660</v>
      </c>
      <c r="B9" s="5">
        <v>204</v>
      </c>
      <c r="C9" s="5" t="s">
        <v>63</v>
      </c>
      <c r="D9" s="6">
        <v>10000</v>
      </c>
      <c r="E9" s="6">
        <f>SUM(E8+D9)</f>
        <v>20000</v>
      </c>
      <c r="F9" s="6">
        <f>F8-D9</f>
        <v>190000</v>
      </c>
    </row>
    <row r="10" spans="1:6" x14ac:dyDescent="0.35">
      <c r="A10" s="5" t="s">
        <v>57</v>
      </c>
      <c r="B10" s="5">
        <v>2558</v>
      </c>
      <c r="C10" s="5" t="s">
        <v>64</v>
      </c>
      <c r="D10" s="6">
        <v>20000</v>
      </c>
      <c r="E10" s="6">
        <f t="shared" ref="E10:E26" si="0">SUM(E9+D10)</f>
        <v>40000</v>
      </c>
      <c r="F10" s="6">
        <f t="shared" ref="F10:F26" si="1">F9-D10</f>
        <v>170000</v>
      </c>
    </row>
    <row r="11" spans="1:6" x14ac:dyDescent="0.35">
      <c r="A11" s="5" t="s">
        <v>58</v>
      </c>
      <c r="B11" s="5">
        <v>2557</v>
      </c>
      <c r="C11" s="5" t="s">
        <v>64</v>
      </c>
      <c r="D11" s="6">
        <v>10000</v>
      </c>
      <c r="E11" s="6">
        <f t="shared" si="0"/>
        <v>50000</v>
      </c>
      <c r="F11" s="6">
        <f t="shared" si="1"/>
        <v>160000</v>
      </c>
    </row>
    <row r="12" spans="1:6" x14ac:dyDescent="0.35">
      <c r="A12" s="5" t="s">
        <v>40</v>
      </c>
      <c r="B12" s="5">
        <v>2559</v>
      </c>
      <c r="C12" s="5" t="s">
        <v>64</v>
      </c>
      <c r="D12" s="6">
        <v>10000</v>
      </c>
      <c r="E12" s="6">
        <f t="shared" si="0"/>
        <v>60000</v>
      </c>
      <c r="F12" s="6">
        <f t="shared" si="1"/>
        <v>150000</v>
      </c>
    </row>
    <row r="13" spans="1:6" x14ac:dyDescent="0.35">
      <c r="A13" s="5" t="s">
        <v>59</v>
      </c>
      <c r="B13" s="5">
        <v>46</v>
      </c>
      <c r="C13" s="5" t="s">
        <v>65</v>
      </c>
      <c r="D13" s="6">
        <v>10000</v>
      </c>
      <c r="E13" s="6">
        <f t="shared" si="0"/>
        <v>70000</v>
      </c>
      <c r="F13" s="6">
        <f t="shared" si="1"/>
        <v>140000</v>
      </c>
    </row>
    <row r="14" spans="1:6" x14ac:dyDescent="0.35">
      <c r="A14" s="5" t="s">
        <v>60</v>
      </c>
      <c r="B14" s="5">
        <v>1224</v>
      </c>
      <c r="C14" s="5" t="s">
        <v>14</v>
      </c>
      <c r="D14" s="6">
        <v>10000</v>
      </c>
      <c r="E14" s="6">
        <f t="shared" si="0"/>
        <v>80000</v>
      </c>
      <c r="F14" s="6">
        <f t="shared" si="1"/>
        <v>130000</v>
      </c>
    </row>
    <row r="15" spans="1:6" x14ac:dyDescent="0.35">
      <c r="A15" s="4">
        <v>45204</v>
      </c>
      <c r="B15" s="5">
        <v>758</v>
      </c>
      <c r="C15" s="5" t="s">
        <v>14</v>
      </c>
      <c r="D15" s="6">
        <v>10000</v>
      </c>
      <c r="E15" s="6">
        <f t="shared" si="0"/>
        <v>90000</v>
      </c>
      <c r="F15" s="6">
        <f t="shared" si="1"/>
        <v>120000</v>
      </c>
    </row>
    <row r="16" spans="1:6" x14ac:dyDescent="0.35">
      <c r="A16" s="4">
        <v>45206</v>
      </c>
      <c r="B16" s="5">
        <v>2649</v>
      </c>
      <c r="C16" s="5" t="s">
        <v>14</v>
      </c>
      <c r="D16" s="6">
        <v>20000</v>
      </c>
      <c r="E16" s="6">
        <f t="shared" si="0"/>
        <v>110000</v>
      </c>
      <c r="F16" s="6">
        <f t="shared" si="1"/>
        <v>100000</v>
      </c>
    </row>
    <row r="17" spans="1:6" x14ac:dyDescent="0.35">
      <c r="A17" s="5" t="s">
        <v>61</v>
      </c>
      <c r="B17" s="5">
        <v>2462</v>
      </c>
      <c r="C17" s="5" t="s">
        <v>14</v>
      </c>
      <c r="D17" s="6">
        <v>10000</v>
      </c>
      <c r="E17" s="6">
        <f t="shared" si="0"/>
        <v>120000</v>
      </c>
      <c r="F17" s="6">
        <f t="shared" si="1"/>
        <v>90000</v>
      </c>
    </row>
    <row r="18" spans="1:6" x14ac:dyDescent="0.35">
      <c r="A18" s="5" t="s">
        <v>62</v>
      </c>
      <c r="B18" s="5">
        <v>3782</v>
      </c>
      <c r="C18" s="5" t="s">
        <v>14</v>
      </c>
      <c r="D18" s="6">
        <v>10000</v>
      </c>
      <c r="E18" s="6">
        <f t="shared" si="0"/>
        <v>130000</v>
      </c>
      <c r="F18" s="6">
        <f t="shared" si="1"/>
        <v>80000</v>
      </c>
    </row>
    <row r="19" spans="1:6" x14ac:dyDescent="0.35">
      <c r="A19" s="4">
        <v>45117</v>
      </c>
      <c r="B19" s="5">
        <v>4041</v>
      </c>
      <c r="C19" s="5" t="s">
        <v>14</v>
      </c>
      <c r="D19" s="6">
        <v>10000</v>
      </c>
      <c r="E19" s="6">
        <f t="shared" si="0"/>
        <v>140000</v>
      </c>
      <c r="F19" s="6">
        <f t="shared" si="1"/>
        <v>70000</v>
      </c>
    </row>
    <row r="20" spans="1:6" x14ac:dyDescent="0.35">
      <c r="A20" s="4">
        <v>45241</v>
      </c>
      <c r="B20" s="5">
        <v>4801</v>
      </c>
      <c r="C20" s="5" t="s">
        <v>14</v>
      </c>
      <c r="D20" s="6">
        <v>10000</v>
      </c>
      <c r="E20" s="6">
        <f t="shared" si="0"/>
        <v>150000</v>
      </c>
      <c r="F20" s="6">
        <f t="shared" si="1"/>
        <v>60000</v>
      </c>
    </row>
    <row r="21" spans="1:6" x14ac:dyDescent="0.35">
      <c r="A21" s="4">
        <v>45181</v>
      </c>
      <c r="B21" s="5">
        <v>5383</v>
      </c>
      <c r="C21" s="5" t="s">
        <v>14</v>
      </c>
      <c r="D21" s="6">
        <v>10000</v>
      </c>
      <c r="E21" s="6">
        <f t="shared" si="0"/>
        <v>160000</v>
      </c>
      <c r="F21" s="6">
        <f t="shared" si="1"/>
        <v>50000</v>
      </c>
    </row>
    <row r="22" spans="1:6" x14ac:dyDescent="0.35">
      <c r="A22" s="4">
        <v>45444</v>
      </c>
      <c r="B22" s="5">
        <v>5917</v>
      </c>
      <c r="C22" s="5" t="s">
        <v>14</v>
      </c>
      <c r="D22" s="6">
        <v>10000</v>
      </c>
      <c r="E22" s="6">
        <f t="shared" si="0"/>
        <v>170000</v>
      </c>
      <c r="F22" s="6">
        <f t="shared" si="1"/>
        <v>40000</v>
      </c>
    </row>
    <row r="23" spans="1:6" x14ac:dyDescent="0.35">
      <c r="A23" s="4">
        <v>45475</v>
      </c>
      <c r="B23" s="5">
        <v>6563</v>
      </c>
      <c r="C23" s="5" t="s">
        <v>14</v>
      </c>
      <c r="D23" s="6">
        <v>10000</v>
      </c>
      <c r="E23" s="6">
        <f t="shared" si="0"/>
        <v>180000</v>
      </c>
      <c r="F23" s="6">
        <f t="shared" si="1"/>
        <v>30000</v>
      </c>
    </row>
    <row r="24" spans="1:6" x14ac:dyDescent="0.35">
      <c r="A24" s="4">
        <v>45476</v>
      </c>
      <c r="B24" s="5">
        <v>6910</v>
      </c>
      <c r="C24" s="5" t="s">
        <v>14</v>
      </c>
      <c r="D24" s="6">
        <v>10000</v>
      </c>
      <c r="E24" s="6">
        <f t="shared" si="0"/>
        <v>190000</v>
      </c>
      <c r="F24" s="6">
        <f t="shared" si="1"/>
        <v>20000</v>
      </c>
    </row>
    <row r="25" spans="1:6" x14ac:dyDescent="0.35">
      <c r="A25" s="4">
        <v>45508</v>
      </c>
      <c r="B25" s="5">
        <v>7753</v>
      </c>
      <c r="C25" s="5" t="s">
        <v>14</v>
      </c>
      <c r="D25" s="6">
        <v>10000</v>
      </c>
      <c r="E25" s="6">
        <f t="shared" si="0"/>
        <v>200000</v>
      </c>
      <c r="F25" s="6">
        <f t="shared" si="1"/>
        <v>10000</v>
      </c>
    </row>
    <row r="26" spans="1:6" x14ac:dyDescent="0.35">
      <c r="A26" s="4">
        <v>45478</v>
      </c>
      <c r="B26" s="5">
        <v>8284</v>
      </c>
      <c r="C26" s="5" t="s">
        <v>14</v>
      </c>
      <c r="D26" s="6">
        <v>10000</v>
      </c>
      <c r="E26" s="6">
        <f t="shared" si="0"/>
        <v>210000</v>
      </c>
      <c r="F26" s="6">
        <f t="shared" si="1"/>
        <v>0</v>
      </c>
    </row>
    <row r="27" spans="1:6" ht="15.5" x14ac:dyDescent="0.35">
      <c r="A27" s="5"/>
      <c r="B27" s="15" t="s">
        <v>66</v>
      </c>
      <c r="C27" s="5"/>
      <c r="D27" s="5"/>
      <c r="E27" s="5"/>
      <c r="F27" s="5"/>
    </row>
    <row r="28" spans="1:6" x14ac:dyDescent="0.35">
      <c r="A28" s="4">
        <v>45361</v>
      </c>
      <c r="B28" s="5">
        <v>327</v>
      </c>
      <c r="C28" s="5" t="s">
        <v>156</v>
      </c>
      <c r="D28" s="6">
        <v>15000</v>
      </c>
      <c r="E28" s="6">
        <v>15000</v>
      </c>
      <c r="F28" s="6">
        <v>435000</v>
      </c>
    </row>
    <row r="29" spans="1:6" x14ac:dyDescent="0.35">
      <c r="A29" s="5" t="s">
        <v>148</v>
      </c>
      <c r="B29" s="5">
        <v>254</v>
      </c>
      <c r="C29" s="5" t="s">
        <v>156</v>
      </c>
      <c r="D29" s="6">
        <v>10000</v>
      </c>
      <c r="E29" s="6">
        <f t="shared" ref="E29:E39" si="2">E28+D29</f>
        <v>25000</v>
      </c>
      <c r="F29" s="6">
        <f>F28-D29</f>
        <v>425000</v>
      </c>
    </row>
    <row r="30" spans="1:6" x14ac:dyDescent="0.35">
      <c r="A30" s="4">
        <v>45846</v>
      </c>
      <c r="B30" s="5">
        <v>3034</v>
      </c>
      <c r="C30" s="5" t="s">
        <v>156</v>
      </c>
      <c r="D30" s="6">
        <v>10000</v>
      </c>
      <c r="E30" s="6">
        <f t="shared" si="2"/>
        <v>35000</v>
      </c>
      <c r="F30" s="6">
        <v>415000</v>
      </c>
    </row>
    <row r="31" spans="1:6" x14ac:dyDescent="0.35">
      <c r="A31" s="5" t="s">
        <v>149</v>
      </c>
      <c r="B31" s="5">
        <v>4000</v>
      </c>
      <c r="C31" s="5" t="s">
        <v>156</v>
      </c>
      <c r="D31" s="6">
        <v>10000</v>
      </c>
      <c r="E31" s="6">
        <f t="shared" si="2"/>
        <v>45000</v>
      </c>
      <c r="F31" s="6">
        <f t="shared" ref="F31:F38" si="3">F30-D31</f>
        <v>405000</v>
      </c>
    </row>
    <row r="32" spans="1:6" x14ac:dyDescent="0.35">
      <c r="A32" s="5" t="s">
        <v>150</v>
      </c>
      <c r="B32" s="5">
        <v>3375</v>
      </c>
      <c r="C32" s="5" t="s">
        <v>156</v>
      </c>
      <c r="D32" s="6">
        <v>10000</v>
      </c>
      <c r="E32" s="6">
        <f t="shared" si="2"/>
        <v>55000</v>
      </c>
      <c r="F32" s="6">
        <f t="shared" si="3"/>
        <v>395000</v>
      </c>
    </row>
    <row r="33" spans="1:6" x14ac:dyDescent="0.35">
      <c r="A33" s="5" t="s">
        <v>152</v>
      </c>
      <c r="B33" s="5">
        <v>3864</v>
      </c>
      <c r="C33" s="5" t="s">
        <v>156</v>
      </c>
      <c r="D33" s="6">
        <v>5000</v>
      </c>
      <c r="E33" s="6">
        <f t="shared" si="2"/>
        <v>60000</v>
      </c>
      <c r="F33" s="6">
        <f t="shared" si="3"/>
        <v>390000</v>
      </c>
    </row>
    <row r="34" spans="1:6" x14ac:dyDescent="0.35">
      <c r="A34" s="5" t="s">
        <v>151</v>
      </c>
      <c r="B34" s="5">
        <v>5363</v>
      </c>
      <c r="C34" s="5" t="s">
        <v>156</v>
      </c>
      <c r="D34" s="6">
        <v>10000</v>
      </c>
      <c r="E34" s="6">
        <f t="shared" si="2"/>
        <v>70000</v>
      </c>
      <c r="F34" s="6">
        <f t="shared" si="3"/>
        <v>380000</v>
      </c>
    </row>
    <row r="35" spans="1:6" x14ac:dyDescent="0.35">
      <c r="A35" s="5" t="s">
        <v>153</v>
      </c>
      <c r="B35" s="5">
        <v>5575</v>
      </c>
      <c r="C35" s="5" t="s">
        <v>156</v>
      </c>
      <c r="D35" s="6">
        <v>10000</v>
      </c>
      <c r="E35" s="6">
        <f t="shared" si="2"/>
        <v>80000</v>
      </c>
      <c r="F35" s="6">
        <f t="shared" si="3"/>
        <v>370000</v>
      </c>
    </row>
    <row r="36" spans="1:6" x14ac:dyDescent="0.35">
      <c r="A36" s="5" t="s">
        <v>144</v>
      </c>
      <c r="B36" s="5">
        <v>5784</v>
      </c>
      <c r="C36" s="5" t="s">
        <v>156</v>
      </c>
      <c r="D36" s="6">
        <v>10000</v>
      </c>
      <c r="E36" s="6">
        <f t="shared" si="2"/>
        <v>90000</v>
      </c>
      <c r="F36" s="6">
        <f t="shared" si="3"/>
        <v>360000</v>
      </c>
    </row>
    <row r="37" spans="1:6" x14ac:dyDescent="0.35">
      <c r="A37" s="5" t="s">
        <v>154</v>
      </c>
      <c r="B37" s="5">
        <v>1541</v>
      </c>
      <c r="C37" s="5" t="s">
        <v>156</v>
      </c>
      <c r="D37" s="6">
        <v>10000</v>
      </c>
      <c r="E37" s="6">
        <f t="shared" si="2"/>
        <v>100000</v>
      </c>
      <c r="F37" s="6">
        <f t="shared" si="3"/>
        <v>350000</v>
      </c>
    </row>
    <row r="38" spans="1:6" x14ac:dyDescent="0.35">
      <c r="A38" s="5" t="s">
        <v>155</v>
      </c>
      <c r="B38" s="5">
        <v>1974</v>
      </c>
      <c r="C38" s="5" t="s">
        <v>156</v>
      </c>
      <c r="D38" s="6">
        <v>10000</v>
      </c>
      <c r="E38" s="6">
        <f t="shared" si="2"/>
        <v>110000</v>
      </c>
      <c r="F38" s="6">
        <f t="shared" si="3"/>
        <v>340000</v>
      </c>
    </row>
    <row r="39" spans="1:6" x14ac:dyDescent="0.35">
      <c r="A39" s="5" t="s">
        <v>157</v>
      </c>
      <c r="B39" s="5">
        <v>1994</v>
      </c>
      <c r="C39" s="5" t="s">
        <v>156</v>
      </c>
      <c r="D39" s="6">
        <v>100000</v>
      </c>
      <c r="E39" s="6">
        <f t="shared" si="2"/>
        <v>210000</v>
      </c>
      <c r="F39" s="5" t="s">
        <v>158</v>
      </c>
    </row>
    <row r="41" spans="1:6" ht="18.5" x14ac:dyDescent="0.45">
      <c r="B41" s="2" t="s">
        <v>159</v>
      </c>
      <c r="C41" s="2"/>
      <c r="D41" s="2"/>
      <c r="E4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15" sqref="F15"/>
    </sheetView>
  </sheetViews>
  <sheetFormatPr defaultRowHeight="14.5" x14ac:dyDescent="0.35"/>
  <cols>
    <col min="1" max="1" width="9.453125" bestFit="1" customWidth="1"/>
    <col min="3" max="3" width="13.26953125" customWidth="1"/>
    <col min="6" max="6" width="12.08984375" customWidth="1"/>
  </cols>
  <sheetData>
    <row r="1" spans="1:6" ht="18.5" x14ac:dyDescent="0.45">
      <c r="A1" s="2" t="s">
        <v>5</v>
      </c>
      <c r="B1" s="2"/>
      <c r="C1" s="2"/>
      <c r="D1" s="2"/>
      <c r="E1" s="2"/>
      <c r="F1" s="2"/>
    </row>
    <row r="2" spans="1:6" ht="18.5" x14ac:dyDescent="0.45">
      <c r="A2" s="2" t="s">
        <v>6</v>
      </c>
      <c r="B2" s="2"/>
      <c r="C2" s="2"/>
      <c r="D2" s="2"/>
      <c r="E2" s="2"/>
      <c r="F2" s="2"/>
    </row>
    <row r="3" spans="1:6" ht="18.5" x14ac:dyDescent="0.45">
      <c r="A3" s="2" t="s">
        <v>7</v>
      </c>
      <c r="B3" s="2"/>
      <c r="C3" s="2"/>
      <c r="D3" s="2"/>
      <c r="E3" s="2"/>
      <c r="F3" s="2"/>
    </row>
    <row r="4" spans="1:6" ht="18.5" x14ac:dyDescent="0.45">
      <c r="A4" s="2" t="s">
        <v>17</v>
      </c>
      <c r="B4" s="2"/>
      <c r="C4" s="2"/>
      <c r="D4" s="2"/>
      <c r="E4" s="2"/>
      <c r="F4" s="2"/>
    </row>
    <row r="5" spans="1:6" ht="18.5" x14ac:dyDescent="0.45">
      <c r="A5" s="2" t="s">
        <v>8</v>
      </c>
      <c r="B5" s="2"/>
      <c r="C5" s="2"/>
      <c r="D5" s="2"/>
      <c r="E5" s="2"/>
      <c r="F5" s="2"/>
    </row>
    <row r="6" spans="1:6" ht="18.5" x14ac:dyDescent="0.45">
      <c r="A6" s="2" t="s">
        <v>15</v>
      </c>
      <c r="B6" s="2"/>
      <c r="C6" s="2"/>
      <c r="D6" s="2" t="s">
        <v>10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s="4">
        <v>46145</v>
      </c>
      <c r="B8" s="5">
        <v>856</v>
      </c>
      <c r="C8" s="5" t="s">
        <v>16</v>
      </c>
      <c r="D8" s="6">
        <v>5000</v>
      </c>
      <c r="E8" s="6">
        <v>5000</v>
      </c>
      <c r="F8" s="6">
        <v>745000</v>
      </c>
    </row>
    <row r="9" spans="1:6" x14ac:dyDescent="0.35">
      <c r="A9" s="5" t="s">
        <v>13</v>
      </c>
      <c r="B9" s="5">
        <v>13958</v>
      </c>
      <c r="C9" s="5" t="s">
        <v>14</v>
      </c>
      <c r="D9" s="6">
        <v>45000</v>
      </c>
      <c r="E9" s="6">
        <f>SUM(E8+D9)</f>
        <v>50000</v>
      </c>
      <c r="F9" s="6">
        <f t="shared" ref="F9:F14" si="0">F8-D9</f>
        <v>700000</v>
      </c>
    </row>
    <row r="10" spans="1:6" x14ac:dyDescent="0.35">
      <c r="A10" s="5" t="s">
        <v>74</v>
      </c>
      <c r="B10" s="5">
        <v>13084</v>
      </c>
      <c r="C10" s="5" t="s">
        <v>14</v>
      </c>
      <c r="D10" s="6">
        <v>10000</v>
      </c>
      <c r="E10" s="6">
        <f>E9+D10</f>
        <v>60000</v>
      </c>
      <c r="F10" s="6">
        <f t="shared" si="0"/>
        <v>690000</v>
      </c>
    </row>
    <row r="11" spans="1:6" x14ac:dyDescent="0.35">
      <c r="A11" s="5" t="s">
        <v>132</v>
      </c>
      <c r="B11" s="5">
        <v>13473</v>
      </c>
      <c r="C11" s="5" t="s">
        <v>14</v>
      </c>
      <c r="D11" s="6">
        <v>20000</v>
      </c>
      <c r="E11" s="6">
        <f>E10+D11</f>
        <v>80000</v>
      </c>
      <c r="F11" s="6">
        <f t="shared" si="0"/>
        <v>670000</v>
      </c>
    </row>
    <row r="12" spans="1:6" x14ac:dyDescent="0.35">
      <c r="A12" s="5" t="s">
        <v>133</v>
      </c>
      <c r="B12" s="5">
        <v>1539</v>
      </c>
      <c r="C12" s="5" t="s">
        <v>14</v>
      </c>
      <c r="D12" s="6">
        <v>10000</v>
      </c>
      <c r="E12" s="6">
        <f>E11+D12</f>
        <v>90000</v>
      </c>
      <c r="F12" s="6">
        <f t="shared" si="0"/>
        <v>660000</v>
      </c>
    </row>
    <row r="13" spans="1:6" x14ac:dyDescent="0.35">
      <c r="A13" s="4">
        <v>46364</v>
      </c>
      <c r="B13" s="5">
        <v>1746</v>
      </c>
      <c r="C13" s="5" t="s">
        <v>14</v>
      </c>
      <c r="D13" s="6">
        <v>10000</v>
      </c>
      <c r="E13" s="6">
        <f>E12+D13</f>
        <v>100000</v>
      </c>
      <c r="F13" s="6">
        <f t="shared" si="0"/>
        <v>650000</v>
      </c>
    </row>
    <row r="14" spans="1:6" x14ac:dyDescent="0.35">
      <c r="A14" s="8" t="s">
        <v>162</v>
      </c>
      <c r="B14" s="17">
        <v>2076</v>
      </c>
      <c r="C14" s="17" t="s">
        <v>14</v>
      </c>
      <c r="D14" s="7">
        <v>15000</v>
      </c>
      <c r="E14" s="7">
        <f>E13+D14</f>
        <v>115000</v>
      </c>
      <c r="F14" s="7">
        <f t="shared" si="0"/>
        <v>635000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13" sqref="E13"/>
    </sheetView>
  </sheetViews>
  <sheetFormatPr defaultRowHeight="14.5" x14ac:dyDescent="0.35"/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85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83</v>
      </c>
      <c r="B6" s="2"/>
      <c r="C6" s="2"/>
      <c r="D6" s="2" t="s">
        <v>84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9" spans="1:6" ht="18.5" x14ac:dyDescent="0.45">
      <c r="B9" s="10" t="s">
        <v>86</v>
      </c>
      <c r="C9" s="10"/>
      <c r="D9" s="10"/>
      <c r="E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1" workbookViewId="0">
      <selection activeCell="B48" sqref="B48"/>
    </sheetView>
  </sheetViews>
  <sheetFormatPr defaultRowHeight="14.5" x14ac:dyDescent="0.35"/>
  <cols>
    <col min="1" max="1" width="9.81640625" customWidth="1"/>
    <col min="3" max="3" width="12" customWidth="1"/>
    <col min="6" max="6" width="9.54296875" customWidth="1"/>
  </cols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87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88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89</v>
      </c>
      <c r="B8">
        <v>410</v>
      </c>
      <c r="C8" t="s">
        <v>96</v>
      </c>
      <c r="D8" s="7">
        <v>50000</v>
      </c>
      <c r="E8" s="7">
        <v>50000</v>
      </c>
      <c r="F8" s="7">
        <v>280000</v>
      </c>
    </row>
    <row r="9" spans="1:6" x14ac:dyDescent="0.35">
      <c r="A9" t="s">
        <v>90</v>
      </c>
      <c r="B9">
        <v>424</v>
      </c>
      <c r="C9" t="s">
        <v>97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91</v>
      </c>
      <c r="B10">
        <v>425</v>
      </c>
      <c r="C10" t="s">
        <v>97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92</v>
      </c>
      <c r="B11">
        <v>426</v>
      </c>
      <c r="C11" t="s">
        <v>97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514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93</v>
      </c>
      <c r="B13">
        <v>427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1976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94</v>
      </c>
      <c r="B15">
        <v>883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95</v>
      </c>
      <c r="B16">
        <v>558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2687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3467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98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s="8">
        <v>45539</v>
      </c>
      <c r="B20">
        <v>7795</v>
      </c>
      <c r="C20" t="s">
        <v>14</v>
      </c>
      <c r="D20" s="7">
        <v>10000</v>
      </c>
      <c r="E20" s="7">
        <f t="shared" si="0"/>
        <v>125000</v>
      </c>
      <c r="F20" s="7">
        <f t="shared" si="1"/>
        <v>205000</v>
      </c>
    </row>
    <row r="21" spans="1:6" x14ac:dyDescent="0.35">
      <c r="A21" t="s">
        <v>99</v>
      </c>
      <c r="B21">
        <v>8534</v>
      </c>
      <c r="C21" t="s">
        <v>14</v>
      </c>
      <c r="D21" s="7">
        <v>5000</v>
      </c>
      <c r="E21" s="7">
        <f t="shared" si="0"/>
        <v>130000</v>
      </c>
      <c r="F21" s="7">
        <f t="shared" si="1"/>
        <v>200000</v>
      </c>
    </row>
    <row r="22" spans="1:6" x14ac:dyDescent="0.35">
      <c r="A22" s="8">
        <v>45602</v>
      </c>
      <c r="B22">
        <v>9663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t="s">
        <v>100</v>
      </c>
      <c r="B23">
        <v>9664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s="8" t="s">
        <v>101</v>
      </c>
      <c r="B24">
        <v>11233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t="s">
        <v>102</v>
      </c>
      <c r="B25">
        <v>10813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s="8" t="s">
        <v>103</v>
      </c>
      <c r="B26">
        <v>10325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t="s">
        <v>78</v>
      </c>
      <c r="B27">
        <v>12149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s="8" t="s">
        <v>104</v>
      </c>
      <c r="B28">
        <v>12663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>
        <v>45718</v>
      </c>
      <c r="B29">
        <v>9213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45780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45782</v>
      </c>
      <c r="B31">
        <v>10340</v>
      </c>
      <c r="C31" t="s">
        <v>14</v>
      </c>
      <c r="D31" s="7">
        <v>10000</v>
      </c>
      <c r="E31" s="7">
        <f t="shared" si="0"/>
        <v>185000</v>
      </c>
      <c r="F31" s="7">
        <f t="shared" si="1"/>
        <v>145000</v>
      </c>
    </row>
    <row r="32" spans="1:6" x14ac:dyDescent="0.35">
      <c r="A32" t="s">
        <v>105</v>
      </c>
      <c r="B32">
        <v>10412</v>
      </c>
      <c r="C32" t="s">
        <v>14</v>
      </c>
      <c r="D32" s="7">
        <v>5000</v>
      </c>
      <c r="E32" s="7">
        <f t="shared" si="0"/>
        <v>190000</v>
      </c>
      <c r="F32" s="7">
        <f t="shared" si="1"/>
        <v>140000</v>
      </c>
    </row>
    <row r="33" spans="1:6" x14ac:dyDescent="0.35">
      <c r="A33" s="8">
        <v>45663</v>
      </c>
      <c r="B33">
        <v>12025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11">
        <v>46243</v>
      </c>
      <c r="B34">
        <v>12876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t="s">
        <v>106</v>
      </c>
      <c r="B35">
        <v>13847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107</v>
      </c>
      <c r="B36">
        <v>13590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108</v>
      </c>
      <c r="B37">
        <v>7457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12041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109</v>
      </c>
      <c r="B40">
        <v>12528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110</v>
      </c>
      <c r="B41">
        <v>13905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111</v>
      </c>
      <c r="B42">
        <v>13094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129</v>
      </c>
      <c r="B43">
        <v>13598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130</v>
      </c>
      <c r="B44">
        <v>1351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131</v>
      </c>
      <c r="B45">
        <v>1601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163</v>
      </c>
      <c r="B46">
        <v>1784</v>
      </c>
      <c r="C46" t="s">
        <v>14</v>
      </c>
      <c r="D46" s="7">
        <v>5000</v>
      </c>
      <c r="E46" s="7">
        <f>E45+D46</f>
        <v>265000</v>
      </c>
      <c r="F46" s="7">
        <f>F45-D46</f>
        <v>65000</v>
      </c>
    </row>
    <row r="47" spans="1:6" x14ac:dyDescent="0.35">
      <c r="A47" t="s">
        <v>165</v>
      </c>
      <c r="B47">
        <v>2063</v>
      </c>
      <c r="C47" t="s">
        <v>14</v>
      </c>
      <c r="D47" s="7">
        <v>5000</v>
      </c>
      <c r="E47" s="7">
        <f>E46+D47</f>
        <v>270000</v>
      </c>
      <c r="F47" s="7">
        <f>F46-D47</f>
        <v>60000</v>
      </c>
    </row>
    <row r="48" spans="1:6" x14ac:dyDescent="0.35">
      <c r="A48" s="8">
        <v>46244</v>
      </c>
      <c r="B48">
        <v>2188</v>
      </c>
      <c r="C48" t="s">
        <v>14</v>
      </c>
      <c r="D48" s="7">
        <v>5000</v>
      </c>
      <c r="E48" s="7">
        <f>E47+D48</f>
        <v>275000</v>
      </c>
      <c r="F48" s="7">
        <f>F47-D48</f>
        <v>55000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selection activeCell="B48" sqref="B48"/>
    </sheetView>
  </sheetViews>
  <sheetFormatPr defaultRowHeight="14.5" x14ac:dyDescent="0.35"/>
  <cols>
    <col min="1" max="1" width="9.453125" bestFit="1" customWidth="1"/>
    <col min="3" max="3" width="11.81640625" customWidth="1"/>
    <col min="4" max="4" width="10.6328125" customWidth="1"/>
    <col min="6" max="6" width="12.26953125" customWidth="1"/>
  </cols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112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113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89</v>
      </c>
      <c r="B8">
        <v>401</v>
      </c>
      <c r="C8" t="s">
        <v>96</v>
      </c>
      <c r="D8" s="7">
        <v>50000</v>
      </c>
      <c r="E8" s="7">
        <v>50000</v>
      </c>
      <c r="F8" s="7">
        <v>280000</v>
      </c>
    </row>
    <row r="9" spans="1:6" x14ac:dyDescent="0.35">
      <c r="A9" t="s">
        <v>90</v>
      </c>
      <c r="B9">
        <v>402</v>
      </c>
      <c r="C9" t="s">
        <v>97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91</v>
      </c>
      <c r="B10">
        <v>2521</v>
      </c>
      <c r="C10" t="s">
        <v>97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92</v>
      </c>
      <c r="B11">
        <v>2522</v>
      </c>
      <c r="C11" t="s">
        <v>97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518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93</v>
      </c>
      <c r="B13">
        <v>2523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1972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94</v>
      </c>
      <c r="B15">
        <v>888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95</v>
      </c>
      <c r="B16">
        <v>555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2693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3469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98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108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99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100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101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102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103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78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104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105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106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107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12038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109</v>
      </c>
      <c r="B40">
        <v>12524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110</v>
      </c>
      <c r="B41">
        <v>13901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111</v>
      </c>
      <c r="B42">
        <v>13090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129</v>
      </c>
      <c r="B43">
        <v>13594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130</v>
      </c>
      <c r="B44">
        <v>1347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131</v>
      </c>
      <c r="B45">
        <v>1597</v>
      </c>
      <c r="C45" t="s">
        <v>166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163</v>
      </c>
      <c r="B46">
        <v>1780</v>
      </c>
      <c r="C46" t="s">
        <v>166</v>
      </c>
      <c r="D46" s="7">
        <v>5000</v>
      </c>
      <c r="E46" s="7">
        <f>E45+D46</f>
        <v>265000</v>
      </c>
      <c r="F46" s="7">
        <f>F45-D46</f>
        <v>65000</v>
      </c>
    </row>
    <row r="47" spans="1:6" x14ac:dyDescent="0.35">
      <c r="A47" t="s">
        <v>165</v>
      </c>
      <c r="B47">
        <v>2059</v>
      </c>
      <c r="C47" t="s">
        <v>166</v>
      </c>
      <c r="D47" s="7">
        <v>5000</v>
      </c>
      <c r="E47" s="7">
        <f>E46+D47</f>
        <v>270000</v>
      </c>
      <c r="F47" s="7">
        <f>F46-D47</f>
        <v>60000</v>
      </c>
    </row>
    <row r="48" spans="1:6" x14ac:dyDescent="0.35">
      <c r="A48" s="8">
        <v>46244</v>
      </c>
      <c r="B48">
        <v>2184</v>
      </c>
      <c r="C48" t="s">
        <v>166</v>
      </c>
      <c r="D48" s="7">
        <v>5000</v>
      </c>
      <c r="E48" s="7">
        <f>E47+D48</f>
        <v>275000</v>
      </c>
      <c r="F48" s="7">
        <f>F47-D48</f>
        <v>55000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selection activeCell="B48" sqref="B48"/>
    </sheetView>
  </sheetViews>
  <sheetFormatPr defaultRowHeight="14.5" x14ac:dyDescent="0.35"/>
  <cols>
    <col min="1" max="1" width="10.26953125" customWidth="1"/>
    <col min="3" max="3" width="10.08984375" customWidth="1"/>
  </cols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114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115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116</v>
      </c>
      <c r="B8">
        <v>408</v>
      </c>
      <c r="C8" t="s">
        <v>96</v>
      </c>
      <c r="D8" s="7">
        <v>50000</v>
      </c>
      <c r="E8" s="7">
        <v>50000</v>
      </c>
      <c r="F8" s="7">
        <v>280000</v>
      </c>
    </row>
    <row r="9" spans="1:6" x14ac:dyDescent="0.35">
      <c r="A9" t="s">
        <v>90</v>
      </c>
      <c r="B9">
        <v>436</v>
      </c>
      <c r="C9" t="s">
        <v>97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91</v>
      </c>
      <c r="B10">
        <v>488</v>
      </c>
      <c r="C10" t="s">
        <v>97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92</v>
      </c>
      <c r="B11">
        <v>437</v>
      </c>
      <c r="C11" t="s">
        <v>97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519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93</v>
      </c>
      <c r="B13">
        <v>439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1974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94</v>
      </c>
      <c r="B15">
        <v>881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95</v>
      </c>
      <c r="B16">
        <v>559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2690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3468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98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108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99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100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101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102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103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78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104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105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106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107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12035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109</v>
      </c>
      <c r="B40">
        <v>12523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110</v>
      </c>
      <c r="B41">
        <v>12500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111</v>
      </c>
      <c r="B42">
        <v>13089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129</v>
      </c>
      <c r="B43">
        <v>13593</v>
      </c>
      <c r="C43" t="s">
        <v>14</v>
      </c>
      <c r="D43" s="7">
        <v>5000</v>
      </c>
      <c r="E43" s="7">
        <f t="shared" ref="E43:E48" si="2">E42+D43</f>
        <v>250000</v>
      </c>
      <c r="F43" s="7">
        <f t="shared" ref="F43:F48" si="3">F42-D43</f>
        <v>80000</v>
      </c>
    </row>
    <row r="44" spans="1:6" x14ac:dyDescent="0.35">
      <c r="A44" t="s">
        <v>130</v>
      </c>
      <c r="B44">
        <v>1346</v>
      </c>
      <c r="C44" t="s">
        <v>14</v>
      </c>
      <c r="D44" s="7">
        <v>5000</v>
      </c>
      <c r="E44" s="7">
        <f t="shared" si="2"/>
        <v>255000</v>
      </c>
      <c r="F44" s="7">
        <f t="shared" si="3"/>
        <v>75000</v>
      </c>
    </row>
    <row r="45" spans="1:6" x14ac:dyDescent="0.35">
      <c r="A45" t="s">
        <v>131</v>
      </c>
      <c r="B45">
        <v>1596</v>
      </c>
      <c r="C45" t="s">
        <v>14</v>
      </c>
      <c r="D45" s="7">
        <v>5000</v>
      </c>
      <c r="E45" s="7">
        <f t="shared" si="2"/>
        <v>260000</v>
      </c>
      <c r="F45" s="7">
        <f t="shared" si="3"/>
        <v>70000</v>
      </c>
    </row>
    <row r="46" spans="1:6" x14ac:dyDescent="0.35">
      <c r="A46" t="s">
        <v>163</v>
      </c>
      <c r="B46">
        <v>1779</v>
      </c>
      <c r="C46" t="s">
        <v>14</v>
      </c>
      <c r="D46" s="7">
        <v>5000</v>
      </c>
      <c r="E46" s="7">
        <f t="shared" si="2"/>
        <v>265000</v>
      </c>
      <c r="F46" s="7">
        <f t="shared" si="3"/>
        <v>65000</v>
      </c>
    </row>
    <row r="47" spans="1:6" x14ac:dyDescent="0.35">
      <c r="A47" t="s">
        <v>165</v>
      </c>
      <c r="B47">
        <v>2058</v>
      </c>
      <c r="C47" t="s">
        <v>14</v>
      </c>
      <c r="D47" s="7">
        <v>5000</v>
      </c>
      <c r="E47" s="7">
        <f t="shared" si="2"/>
        <v>270000</v>
      </c>
      <c r="F47" s="7">
        <f t="shared" si="3"/>
        <v>60000</v>
      </c>
    </row>
    <row r="48" spans="1:6" x14ac:dyDescent="0.35">
      <c r="A48" s="8">
        <v>46244</v>
      </c>
      <c r="B48">
        <v>2183</v>
      </c>
      <c r="C48" t="s">
        <v>14</v>
      </c>
      <c r="D48" s="7">
        <v>5000</v>
      </c>
      <c r="E48" s="7">
        <f t="shared" si="2"/>
        <v>275000</v>
      </c>
      <c r="F48" s="7">
        <f t="shared" si="3"/>
        <v>55000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selection activeCell="B48" sqref="B48"/>
    </sheetView>
  </sheetViews>
  <sheetFormatPr defaultRowHeight="14.5" x14ac:dyDescent="0.35"/>
  <cols>
    <col min="1" max="1" width="10" customWidth="1"/>
    <col min="3" max="3" width="13.54296875" customWidth="1"/>
    <col min="4" max="4" width="10.7265625" customWidth="1"/>
    <col min="5" max="5" width="10.1796875" customWidth="1"/>
    <col min="6" max="6" width="12.6328125" customWidth="1"/>
  </cols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126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125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116</v>
      </c>
      <c r="B8">
        <v>407</v>
      </c>
      <c r="C8" t="s">
        <v>96</v>
      </c>
      <c r="D8" s="7">
        <v>50000</v>
      </c>
      <c r="E8" s="7">
        <v>50000</v>
      </c>
      <c r="F8" s="7">
        <v>280000</v>
      </c>
    </row>
    <row r="9" spans="1:6" x14ac:dyDescent="0.35">
      <c r="A9" t="s">
        <v>90</v>
      </c>
      <c r="B9">
        <v>432</v>
      </c>
      <c r="C9" t="s">
        <v>97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91</v>
      </c>
      <c r="B10">
        <v>433</v>
      </c>
      <c r="C10" t="s">
        <v>97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92</v>
      </c>
      <c r="B11">
        <v>434</v>
      </c>
      <c r="C11" t="s">
        <v>97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513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93</v>
      </c>
      <c r="B13">
        <v>435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1973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94</v>
      </c>
      <c r="B15">
        <v>884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95</v>
      </c>
      <c r="B16">
        <v>556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2686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3470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98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108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99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100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101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102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103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78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104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105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106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107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12040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109</v>
      </c>
      <c r="B40">
        <v>12521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110</v>
      </c>
      <c r="B41">
        <v>12899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111</v>
      </c>
      <c r="B42">
        <v>13087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129</v>
      </c>
      <c r="B43">
        <v>13591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130</v>
      </c>
      <c r="B44">
        <v>1344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131</v>
      </c>
      <c r="B45">
        <v>1594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163</v>
      </c>
      <c r="B46">
        <v>1777</v>
      </c>
      <c r="C46" t="s">
        <v>164</v>
      </c>
      <c r="D46" s="7">
        <v>5000</v>
      </c>
      <c r="E46" s="7">
        <f>E45+D46</f>
        <v>265000</v>
      </c>
      <c r="F46" s="7">
        <f>F45-D46</f>
        <v>65000</v>
      </c>
    </row>
    <row r="47" spans="1:6" x14ac:dyDescent="0.35">
      <c r="A47" t="s">
        <v>165</v>
      </c>
      <c r="B47">
        <v>2056</v>
      </c>
      <c r="C47" t="s">
        <v>164</v>
      </c>
      <c r="D47" s="7">
        <v>5000</v>
      </c>
      <c r="E47" s="7">
        <f>E46+D47</f>
        <v>270000</v>
      </c>
      <c r="F47" s="7">
        <f>F46-D47</f>
        <v>60000</v>
      </c>
    </row>
    <row r="48" spans="1:6" x14ac:dyDescent="0.35">
      <c r="A48" s="8">
        <v>46244</v>
      </c>
      <c r="B48">
        <v>2181</v>
      </c>
      <c r="C48" t="s">
        <v>14</v>
      </c>
      <c r="D48" s="7">
        <v>5000</v>
      </c>
      <c r="E48" s="7">
        <f>E47+D48</f>
        <v>275000</v>
      </c>
      <c r="F48" s="7">
        <f>F47-D48</f>
        <v>55000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4" workbookViewId="0">
      <selection activeCell="A48" sqref="A48:F48"/>
    </sheetView>
  </sheetViews>
  <sheetFormatPr defaultRowHeight="14.5" x14ac:dyDescent="0.35"/>
  <cols>
    <col min="1" max="1" width="10.26953125" customWidth="1"/>
    <col min="3" max="3" width="10.1796875" customWidth="1"/>
    <col min="6" max="6" width="12.36328125" customWidth="1"/>
  </cols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127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128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116</v>
      </c>
      <c r="B8">
        <v>404</v>
      </c>
      <c r="C8" t="s">
        <v>96</v>
      </c>
      <c r="D8" s="7">
        <v>50000</v>
      </c>
      <c r="E8" s="7">
        <v>50000</v>
      </c>
      <c r="F8" s="7">
        <v>280000</v>
      </c>
    </row>
    <row r="9" spans="1:6" x14ac:dyDescent="0.35">
      <c r="A9" t="s">
        <v>90</v>
      </c>
      <c r="B9">
        <v>412</v>
      </c>
      <c r="C9" t="s">
        <v>97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91</v>
      </c>
      <c r="B10">
        <v>413</v>
      </c>
      <c r="C10" t="s">
        <v>97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92</v>
      </c>
      <c r="B11">
        <v>414</v>
      </c>
      <c r="C11" t="s">
        <v>97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517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93</v>
      </c>
      <c r="B13">
        <v>415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1970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94</v>
      </c>
      <c r="B15">
        <v>887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95</v>
      </c>
      <c r="B16">
        <v>554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2691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3461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98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108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99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100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101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102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103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78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104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105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106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107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12036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109</v>
      </c>
      <c r="B40">
        <v>12525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110</v>
      </c>
      <c r="B41">
        <v>13902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111</v>
      </c>
      <c r="B42">
        <v>13091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129</v>
      </c>
      <c r="B43">
        <v>13595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130</v>
      </c>
      <c r="B44">
        <v>1348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131</v>
      </c>
      <c r="B45">
        <v>1598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163</v>
      </c>
      <c r="B46">
        <v>1781</v>
      </c>
      <c r="C46" t="s">
        <v>14</v>
      </c>
      <c r="D46" s="7">
        <v>5000</v>
      </c>
      <c r="E46" s="7">
        <f>E45+D46</f>
        <v>265000</v>
      </c>
      <c r="F46" s="7">
        <f>F45-D46</f>
        <v>65000</v>
      </c>
    </row>
    <row r="47" spans="1:6" x14ac:dyDescent="0.35">
      <c r="A47" t="s">
        <v>165</v>
      </c>
      <c r="B47">
        <v>2060</v>
      </c>
      <c r="C47" t="s">
        <v>14</v>
      </c>
      <c r="D47" s="7">
        <v>5000</v>
      </c>
      <c r="E47" s="7">
        <f>E46+D47</f>
        <v>270000</v>
      </c>
      <c r="F47" s="7">
        <f>F46-D47</f>
        <v>60000</v>
      </c>
    </row>
    <row r="48" spans="1:6" x14ac:dyDescent="0.35">
      <c r="A48" s="8">
        <v>46244</v>
      </c>
      <c r="B48">
        <v>2185</v>
      </c>
      <c r="C48" t="s">
        <v>14</v>
      </c>
      <c r="D48" s="7">
        <v>5000</v>
      </c>
      <c r="E48" s="7">
        <f>E47+D48</f>
        <v>275000</v>
      </c>
      <c r="F48" s="7">
        <f>F47-D48</f>
        <v>55000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topLeftCell="A33" workbookViewId="0">
      <selection activeCell="B48" sqref="B48"/>
    </sheetView>
  </sheetViews>
  <sheetFormatPr defaultRowHeight="14.5" x14ac:dyDescent="0.35"/>
  <cols>
    <col min="1" max="1" width="10.453125" customWidth="1"/>
    <col min="3" max="3" width="9.90625" customWidth="1"/>
  </cols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117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118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116</v>
      </c>
      <c r="B8">
        <v>409</v>
      </c>
      <c r="C8" t="s">
        <v>96</v>
      </c>
      <c r="D8" s="7">
        <v>50000</v>
      </c>
      <c r="E8" s="7">
        <v>50000</v>
      </c>
      <c r="F8" s="7">
        <v>280000</v>
      </c>
    </row>
    <row r="9" spans="1:6" x14ac:dyDescent="0.35">
      <c r="A9" t="s">
        <v>90</v>
      </c>
      <c r="B9">
        <v>428</v>
      </c>
      <c r="C9" t="s">
        <v>97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91</v>
      </c>
      <c r="B10">
        <v>429</v>
      </c>
      <c r="C10" t="s">
        <v>97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92</v>
      </c>
      <c r="B11">
        <v>430</v>
      </c>
      <c r="C11" t="s">
        <v>97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516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93</v>
      </c>
      <c r="B13">
        <v>431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1975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94</v>
      </c>
      <c r="B15">
        <v>882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95</v>
      </c>
      <c r="B16">
        <v>2703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3465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3469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98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108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99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100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101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102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103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78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104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105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106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107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12042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109</v>
      </c>
      <c r="B40">
        <v>12526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110</v>
      </c>
      <c r="B41">
        <v>13903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111</v>
      </c>
      <c r="B42">
        <v>13092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129</v>
      </c>
      <c r="B43">
        <v>13576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130</v>
      </c>
      <c r="B44">
        <v>1349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131</v>
      </c>
      <c r="B45">
        <v>1599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163</v>
      </c>
      <c r="B46">
        <v>1782</v>
      </c>
      <c r="C46" t="s">
        <v>14</v>
      </c>
      <c r="D46" s="7">
        <v>5000</v>
      </c>
      <c r="E46" s="7">
        <f>E45+D46</f>
        <v>265000</v>
      </c>
      <c r="F46" s="7">
        <f>F45-D46</f>
        <v>65000</v>
      </c>
    </row>
    <row r="47" spans="1:6" x14ac:dyDescent="0.35">
      <c r="A47" t="s">
        <v>165</v>
      </c>
      <c r="B47">
        <v>2061</v>
      </c>
      <c r="C47" t="s">
        <v>14</v>
      </c>
      <c r="D47" s="7">
        <v>5000</v>
      </c>
      <c r="E47" s="7">
        <f>E46+D47</f>
        <v>270000</v>
      </c>
      <c r="F47" s="7">
        <f>F46-D47</f>
        <v>60000</v>
      </c>
    </row>
    <row r="48" spans="1:6" x14ac:dyDescent="0.35">
      <c r="A48" s="8">
        <v>46244</v>
      </c>
      <c r="B48">
        <v>2186</v>
      </c>
      <c r="C48" t="s">
        <v>14</v>
      </c>
      <c r="D48" s="7">
        <v>5000</v>
      </c>
      <c r="E48" s="7">
        <f t="shared" ref="E48" si="2">E47+D48</f>
        <v>275000</v>
      </c>
      <c r="F48" s="7">
        <f t="shared" ref="F48" si="3">F47-D48</f>
        <v>55000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8" workbookViewId="0">
      <selection activeCell="B49" sqref="B49"/>
    </sheetView>
  </sheetViews>
  <sheetFormatPr defaultRowHeight="14.5" x14ac:dyDescent="0.35"/>
  <cols>
    <col min="1" max="1" width="9.453125" bestFit="1" customWidth="1"/>
    <col min="3" max="3" width="12" customWidth="1"/>
  </cols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119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120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116</v>
      </c>
      <c r="B8">
        <v>406</v>
      </c>
      <c r="C8" t="s">
        <v>96</v>
      </c>
      <c r="D8" s="7">
        <v>50000</v>
      </c>
      <c r="E8" s="7">
        <v>50000</v>
      </c>
      <c r="F8" s="7">
        <v>280000</v>
      </c>
    </row>
    <row r="9" spans="1:6" x14ac:dyDescent="0.35">
      <c r="A9" t="s">
        <v>90</v>
      </c>
      <c r="B9">
        <v>440</v>
      </c>
      <c r="C9" t="s">
        <v>97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91</v>
      </c>
      <c r="B10">
        <v>441</v>
      </c>
      <c r="C10" t="s">
        <v>97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92</v>
      </c>
      <c r="B11">
        <v>442</v>
      </c>
      <c r="C11" t="s">
        <v>97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516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93</v>
      </c>
      <c r="B13">
        <v>443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1977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94</v>
      </c>
      <c r="B15">
        <v>885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95</v>
      </c>
      <c r="B16">
        <v>558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2688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3466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98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108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99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100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101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102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103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78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104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105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106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107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12037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109</v>
      </c>
      <c r="B40">
        <v>12522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110</v>
      </c>
      <c r="B41">
        <v>12900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111</v>
      </c>
      <c r="B42">
        <v>13088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129</v>
      </c>
      <c r="B43">
        <v>13592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130</v>
      </c>
      <c r="B44">
        <v>1345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131</v>
      </c>
      <c r="B45">
        <v>1595</v>
      </c>
      <c r="C45" t="s">
        <v>166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163</v>
      </c>
      <c r="B46">
        <v>1778</v>
      </c>
      <c r="C46" t="s">
        <v>166</v>
      </c>
      <c r="D46" s="7">
        <v>5000</v>
      </c>
      <c r="E46" s="7">
        <f>E45+D46</f>
        <v>265000</v>
      </c>
      <c r="F46" s="7">
        <f>F45-D46</f>
        <v>65000</v>
      </c>
    </row>
    <row r="47" spans="1:6" x14ac:dyDescent="0.35">
      <c r="A47" t="s">
        <v>165</v>
      </c>
      <c r="B47">
        <v>2057</v>
      </c>
      <c r="C47" t="s">
        <v>166</v>
      </c>
      <c r="D47" s="7">
        <v>5000</v>
      </c>
      <c r="E47" s="7">
        <f>E46+D47</f>
        <v>270000</v>
      </c>
      <c r="F47" s="7">
        <f>F46-D47</f>
        <v>60000</v>
      </c>
    </row>
    <row r="48" spans="1:6" x14ac:dyDescent="0.35">
      <c r="A48" s="8">
        <v>46244</v>
      </c>
      <c r="B48">
        <v>2182</v>
      </c>
      <c r="C48" t="s">
        <v>14</v>
      </c>
      <c r="D48" s="7">
        <v>5000</v>
      </c>
      <c r="E48" s="7">
        <f t="shared" ref="E48" si="2">E47+D48</f>
        <v>275000</v>
      </c>
      <c r="F48" s="7">
        <f t="shared" ref="F48" si="3">F47-D48</f>
        <v>55000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40" workbookViewId="0">
      <selection activeCell="A48" sqref="A48:F48"/>
    </sheetView>
  </sheetViews>
  <sheetFormatPr defaultRowHeight="14.5" x14ac:dyDescent="0.35"/>
  <cols>
    <col min="1" max="1" width="10.26953125" customWidth="1"/>
    <col min="3" max="3" width="10.08984375" customWidth="1"/>
  </cols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121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122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116</v>
      </c>
      <c r="B8">
        <v>403</v>
      </c>
      <c r="C8" t="s">
        <v>96</v>
      </c>
      <c r="D8" s="7">
        <v>50000</v>
      </c>
      <c r="E8" s="7">
        <v>50000</v>
      </c>
      <c r="F8" s="7">
        <v>280000</v>
      </c>
    </row>
    <row r="9" spans="1:6" x14ac:dyDescent="0.35">
      <c r="A9" t="s">
        <v>90</v>
      </c>
      <c r="B9">
        <v>420</v>
      </c>
      <c r="C9" t="s">
        <v>97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91</v>
      </c>
      <c r="B10">
        <v>421</v>
      </c>
      <c r="C10" t="s">
        <v>97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92</v>
      </c>
      <c r="B11">
        <v>422</v>
      </c>
      <c r="C11" t="s">
        <v>97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515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93</v>
      </c>
      <c r="B13">
        <v>423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1969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94</v>
      </c>
      <c r="B15">
        <v>880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95</v>
      </c>
      <c r="B16">
        <v>2557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2689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3463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98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108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99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100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101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102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103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78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104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105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106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107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12039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109</v>
      </c>
      <c r="B40">
        <v>12529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110</v>
      </c>
      <c r="B41">
        <v>13906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111</v>
      </c>
      <c r="B42">
        <v>13095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129</v>
      </c>
      <c r="B43">
        <v>13593</v>
      </c>
      <c r="C43" t="s">
        <v>14</v>
      </c>
      <c r="D43" s="7">
        <v>5000</v>
      </c>
      <c r="E43" s="7">
        <f t="shared" ref="E43:E48" si="2">E42+D43</f>
        <v>250000</v>
      </c>
      <c r="F43" s="7">
        <f t="shared" ref="F43:F48" si="3">F42-D43</f>
        <v>80000</v>
      </c>
    </row>
    <row r="44" spans="1:6" x14ac:dyDescent="0.35">
      <c r="A44" t="s">
        <v>130</v>
      </c>
      <c r="B44">
        <v>1352</v>
      </c>
      <c r="C44" t="s">
        <v>14</v>
      </c>
      <c r="D44" s="7">
        <v>5000</v>
      </c>
      <c r="E44" s="7">
        <f t="shared" si="2"/>
        <v>255000</v>
      </c>
      <c r="F44" s="7">
        <f t="shared" si="3"/>
        <v>75000</v>
      </c>
    </row>
    <row r="45" spans="1:6" x14ac:dyDescent="0.35">
      <c r="A45" t="s">
        <v>131</v>
      </c>
      <c r="B45">
        <v>1602</v>
      </c>
      <c r="C45" t="s">
        <v>14</v>
      </c>
      <c r="D45" s="7">
        <v>5000</v>
      </c>
      <c r="E45" s="7">
        <f t="shared" si="2"/>
        <v>260000</v>
      </c>
      <c r="F45" s="7">
        <f t="shared" si="3"/>
        <v>70000</v>
      </c>
    </row>
    <row r="46" spans="1:6" x14ac:dyDescent="0.35">
      <c r="A46" t="s">
        <v>163</v>
      </c>
      <c r="B46">
        <v>1785</v>
      </c>
      <c r="C46" t="s">
        <v>14</v>
      </c>
      <c r="D46" s="7">
        <v>5000</v>
      </c>
      <c r="E46" s="7">
        <f t="shared" si="2"/>
        <v>265000</v>
      </c>
      <c r="F46" s="7">
        <f t="shared" si="3"/>
        <v>65000</v>
      </c>
    </row>
    <row r="47" spans="1:6" x14ac:dyDescent="0.35">
      <c r="A47" t="s">
        <v>165</v>
      </c>
      <c r="B47">
        <v>2064</v>
      </c>
      <c r="C47" t="s">
        <v>14</v>
      </c>
      <c r="D47" s="7">
        <v>5000</v>
      </c>
      <c r="E47" s="7">
        <f t="shared" si="2"/>
        <v>270000</v>
      </c>
      <c r="F47" s="7">
        <f t="shared" si="3"/>
        <v>60000</v>
      </c>
    </row>
    <row r="48" spans="1:6" x14ac:dyDescent="0.35">
      <c r="A48" s="8">
        <v>46244</v>
      </c>
      <c r="B48">
        <v>2189</v>
      </c>
      <c r="C48" t="s">
        <v>14</v>
      </c>
      <c r="D48" s="7">
        <v>5000</v>
      </c>
      <c r="E48" s="7">
        <f t="shared" si="2"/>
        <v>275000</v>
      </c>
      <c r="F48" s="7">
        <f t="shared" si="3"/>
        <v>55000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47" workbookViewId="0">
      <selection activeCell="A48" sqref="A48"/>
    </sheetView>
  </sheetViews>
  <sheetFormatPr defaultRowHeight="14.5" x14ac:dyDescent="0.35"/>
  <cols>
    <col min="1" max="1" width="9.453125" bestFit="1" customWidth="1"/>
    <col min="3" max="3" width="9.7265625" customWidth="1"/>
  </cols>
  <sheetData>
    <row r="1" spans="1:6" ht="18.5" x14ac:dyDescent="0.45">
      <c r="A1" s="2" t="s">
        <v>79</v>
      </c>
      <c r="B1" s="2"/>
      <c r="C1" s="2"/>
      <c r="D1" s="2"/>
      <c r="E1" s="2"/>
      <c r="F1" s="2"/>
    </row>
    <row r="2" spans="1:6" ht="18.5" x14ac:dyDescent="0.45">
      <c r="A2" s="2" t="s">
        <v>80</v>
      </c>
      <c r="B2" s="2"/>
      <c r="C2" s="2"/>
      <c r="D2" s="2"/>
      <c r="E2" s="2"/>
      <c r="F2" s="2"/>
    </row>
    <row r="3" spans="1:6" ht="18.5" x14ac:dyDescent="0.45">
      <c r="A3" s="2" t="s">
        <v>81</v>
      </c>
      <c r="B3" s="2"/>
      <c r="C3" s="2"/>
      <c r="D3" s="2"/>
      <c r="E3" s="2"/>
      <c r="F3" s="2"/>
    </row>
    <row r="4" spans="1:6" ht="18.5" x14ac:dyDescent="0.45">
      <c r="A4" s="2" t="s">
        <v>124</v>
      </c>
      <c r="B4" s="2"/>
      <c r="C4" s="2"/>
      <c r="D4" s="2"/>
      <c r="E4" s="2"/>
      <c r="F4" s="2"/>
    </row>
    <row r="5" spans="1:6" ht="18.5" x14ac:dyDescent="0.45">
      <c r="A5" s="2" t="s">
        <v>82</v>
      </c>
      <c r="B5" s="2"/>
      <c r="C5" s="2"/>
      <c r="D5" s="2"/>
      <c r="E5" s="2"/>
      <c r="F5" s="2"/>
    </row>
    <row r="6" spans="1:6" ht="18.5" x14ac:dyDescent="0.45">
      <c r="A6" s="2" t="s">
        <v>123</v>
      </c>
      <c r="B6" s="2"/>
      <c r="C6" s="2"/>
      <c r="D6" s="2" t="s">
        <v>19</v>
      </c>
      <c r="E6" s="2"/>
      <c r="F6" s="2"/>
    </row>
    <row r="7" spans="1:6" ht="15.5" x14ac:dyDescent="0.35">
      <c r="A7" s="3" t="s">
        <v>0</v>
      </c>
      <c r="B7" s="3" t="s">
        <v>1</v>
      </c>
      <c r="C7" s="3" t="s">
        <v>12</v>
      </c>
      <c r="D7" s="3" t="s">
        <v>2</v>
      </c>
      <c r="E7" s="3" t="s">
        <v>3</v>
      </c>
      <c r="F7" s="3" t="s">
        <v>4</v>
      </c>
    </row>
    <row r="8" spans="1:6" x14ac:dyDescent="0.35">
      <c r="A8" t="s">
        <v>116</v>
      </c>
      <c r="B8">
        <v>405</v>
      </c>
      <c r="C8" t="s">
        <v>96</v>
      </c>
      <c r="D8" s="7">
        <v>50000</v>
      </c>
      <c r="E8" s="7">
        <v>50000</v>
      </c>
      <c r="F8" s="7">
        <v>280000</v>
      </c>
    </row>
    <row r="9" spans="1:6" x14ac:dyDescent="0.35">
      <c r="A9" t="s">
        <v>90</v>
      </c>
      <c r="B9">
        <v>416</v>
      </c>
      <c r="C9" t="s">
        <v>97</v>
      </c>
      <c r="D9" s="7">
        <v>5000</v>
      </c>
      <c r="E9" s="7">
        <f>SUM(E8+D9)</f>
        <v>55000</v>
      </c>
      <c r="F9" s="7">
        <f>F8-D9</f>
        <v>275000</v>
      </c>
    </row>
    <row r="10" spans="1:6" x14ac:dyDescent="0.35">
      <c r="A10" t="s">
        <v>91</v>
      </c>
      <c r="B10">
        <v>417</v>
      </c>
      <c r="C10" t="s">
        <v>97</v>
      </c>
      <c r="D10" s="7">
        <v>5000</v>
      </c>
      <c r="E10" s="7">
        <f t="shared" ref="E10:E42" si="0">SUM(E9+D10)</f>
        <v>60000</v>
      </c>
      <c r="F10" s="7">
        <f t="shared" ref="F10:F42" si="1">F9-D10</f>
        <v>270000</v>
      </c>
    </row>
    <row r="11" spans="1:6" x14ac:dyDescent="0.35">
      <c r="A11" t="s">
        <v>92</v>
      </c>
      <c r="B11">
        <v>418</v>
      </c>
      <c r="C11" t="s">
        <v>97</v>
      </c>
      <c r="D11" s="7">
        <v>5000</v>
      </c>
      <c r="E11" s="7">
        <f t="shared" si="0"/>
        <v>65000</v>
      </c>
      <c r="F11" s="7">
        <f t="shared" si="1"/>
        <v>265000</v>
      </c>
    </row>
    <row r="12" spans="1:6" x14ac:dyDescent="0.35">
      <c r="A12" t="s">
        <v>22</v>
      </c>
      <c r="B12">
        <v>511</v>
      </c>
      <c r="C12" t="s">
        <v>23</v>
      </c>
      <c r="D12" s="7">
        <v>5000</v>
      </c>
      <c r="E12" s="7">
        <f t="shared" si="0"/>
        <v>70000</v>
      </c>
      <c r="F12" s="7">
        <f t="shared" si="1"/>
        <v>260000</v>
      </c>
    </row>
    <row r="13" spans="1:6" x14ac:dyDescent="0.35">
      <c r="A13" t="s">
        <v>93</v>
      </c>
      <c r="B13">
        <v>419</v>
      </c>
      <c r="C13" t="s">
        <v>14</v>
      </c>
      <c r="D13" s="7">
        <v>5000</v>
      </c>
      <c r="E13" s="7">
        <f t="shared" si="0"/>
        <v>75000</v>
      </c>
      <c r="F13" s="7">
        <f t="shared" si="1"/>
        <v>255000</v>
      </c>
    </row>
    <row r="14" spans="1:6" x14ac:dyDescent="0.35">
      <c r="A14" s="8">
        <v>45264</v>
      </c>
      <c r="B14">
        <v>1971</v>
      </c>
      <c r="C14" t="s">
        <v>14</v>
      </c>
      <c r="D14" s="7">
        <v>5000</v>
      </c>
      <c r="E14" s="7">
        <f t="shared" si="0"/>
        <v>80000</v>
      </c>
      <c r="F14" s="7">
        <f t="shared" si="1"/>
        <v>250000</v>
      </c>
    </row>
    <row r="15" spans="1:6" x14ac:dyDescent="0.35">
      <c r="A15" t="s">
        <v>94</v>
      </c>
      <c r="B15">
        <v>886</v>
      </c>
      <c r="C15" t="s">
        <v>14</v>
      </c>
      <c r="D15" s="7">
        <v>5000</v>
      </c>
      <c r="E15" s="7">
        <f t="shared" si="0"/>
        <v>85000</v>
      </c>
      <c r="F15" s="7">
        <f t="shared" si="1"/>
        <v>245000</v>
      </c>
    </row>
    <row r="16" spans="1:6" x14ac:dyDescent="0.35">
      <c r="A16" t="s">
        <v>95</v>
      </c>
      <c r="B16">
        <v>553</v>
      </c>
      <c r="C16" t="s">
        <v>14</v>
      </c>
      <c r="D16" s="7">
        <v>5000</v>
      </c>
      <c r="E16" s="7">
        <f t="shared" si="0"/>
        <v>90000</v>
      </c>
      <c r="F16" s="7">
        <f t="shared" si="1"/>
        <v>240000</v>
      </c>
    </row>
    <row r="17" spans="1:6" x14ac:dyDescent="0.35">
      <c r="A17" s="8">
        <v>45237</v>
      </c>
      <c r="B17">
        <v>2692</v>
      </c>
      <c r="C17" t="s">
        <v>14</v>
      </c>
      <c r="D17" s="7">
        <v>5000</v>
      </c>
      <c r="E17" s="7">
        <f t="shared" si="0"/>
        <v>95000</v>
      </c>
      <c r="F17" s="7">
        <f t="shared" si="1"/>
        <v>235000</v>
      </c>
    </row>
    <row r="18" spans="1:6" x14ac:dyDescent="0.35">
      <c r="A18" s="8">
        <v>45178</v>
      </c>
      <c r="B18">
        <v>3462</v>
      </c>
      <c r="C18" t="s">
        <v>14</v>
      </c>
      <c r="D18" s="7">
        <v>5000</v>
      </c>
      <c r="E18" s="7">
        <f t="shared" si="0"/>
        <v>100000</v>
      </c>
      <c r="F18" s="7">
        <f t="shared" si="1"/>
        <v>230000</v>
      </c>
    </row>
    <row r="19" spans="1:6" x14ac:dyDescent="0.35">
      <c r="A19" t="s">
        <v>98</v>
      </c>
      <c r="B19">
        <v>6746</v>
      </c>
      <c r="C19" t="s">
        <v>14</v>
      </c>
      <c r="D19" s="7">
        <v>15000</v>
      </c>
      <c r="E19" s="7">
        <f t="shared" si="0"/>
        <v>115000</v>
      </c>
      <c r="F19" s="7">
        <f t="shared" si="1"/>
        <v>215000</v>
      </c>
    </row>
    <row r="20" spans="1:6" x14ac:dyDescent="0.35">
      <c r="A20" t="s">
        <v>108</v>
      </c>
      <c r="B20">
        <v>7457</v>
      </c>
      <c r="C20" t="s">
        <v>14</v>
      </c>
      <c r="D20" s="7">
        <v>5000</v>
      </c>
      <c r="E20" s="7">
        <f t="shared" si="0"/>
        <v>120000</v>
      </c>
      <c r="F20" s="7">
        <f t="shared" si="1"/>
        <v>210000</v>
      </c>
    </row>
    <row r="21" spans="1:6" x14ac:dyDescent="0.35">
      <c r="A21" s="8">
        <v>45539</v>
      </c>
      <c r="B21">
        <v>7795</v>
      </c>
      <c r="C21" t="s">
        <v>14</v>
      </c>
      <c r="D21" s="7">
        <v>10000</v>
      </c>
      <c r="E21" s="7">
        <f t="shared" si="0"/>
        <v>130000</v>
      </c>
      <c r="F21" s="7">
        <f t="shared" si="1"/>
        <v>200000</v>
      </c>
    </row>
    <row r="22" spans="1:6" x14ac:dyDescent="0.35">
      <c r="A22" t="s">
        <v>99</v>
      </c>
      <c r="B22">
        <v>8534</v>
      </c>
      <c r="C22" t="s">
        <v>14</v>
      </c>
      <c r="D22" s="7">
        <v>5000</v>
      </c>
      <c r="E22" s="7">
        <f t="shared" si="0"/>
        <v>135000</v>
      </c>
      <c r="F22" s="7">
        <f t="shared" si="1"/>
        <v>195000</v>
      </c>
    </row>
    <row r="23" spans="1:6" x14ac:dyDescent="0.35">
      <c r="A23" s="8">
        <v>45602</v>
      </c>
      <c r="B23">
        <v>9663</v>
      </c>
      <c r="C23" t="s">
        <v>14</v>
      </c>
      <c r="D23" s="7">
        <v>5000</v>
      </c>
      <c r="E23" s="7">
        <f t="shared" si="0"/>
        <v>140000</v>
      </c>
      <c r="F23" s="7">
        <f t="shared" si="1"/>
        <v>190000</v>
      </c>
    </row>
    <row r="24" spans="1:6" x14ac:dyDescent="0.35">
      <c r="A24" t="s">
        <v>100</v>
      </c>
      <c r="B24">
        <v>9664</v>
      </c>
      <c r="C24" t="s">
        <v>14</v>
      </c>
      <c r="D24" s="7">
        <v>5000</v>
      </c>
      <c r="E24" s="7">
        <f t="shared" si="0"/>
        <v>145000</v>
      </c>
      <c r="F24" s="7">
        <f t="shared" si="1"/>
        <v>185000</v>
      </c>
    </row>
    <row r="25" spans="1:6" x14ac:dyDescent="0.35">
      <c r="A25" s="8" t="s">
        <v>101</v>
      </c>
      <c r="B25">
        <v>11233</v>
      </c>
      <c r="C25" t="s">
        <v>14</v>
      </c>
      <c r="D25" s="7">
        <v>5000</v>
      </c>
      <c r="E25" s="7">
        <f t="shared" si="0"/>
        <v>150000</v>
      </c>
      <c r="F25" s="7">
        <f t="shared" si="1"/>
        <v>180000</v>
      </c>
    </row>
    <row r="26" spans="1:6" x14ac:dyDescent="0.35">
      <c r="A26" t="s">
        <v>102</v>
      </c>
      <c r="B26">
        <v>10813</v>
      </c>
      <c r="C26" t="s">
        <v>14</v>
      </c>
      <c r="D26" s="7">
        <v>5000</v>
      </c>
      <c r="E26" s="7">
        <f t="shared" si="0"/>
        <v>155000</v>
      </c>
      <c r="F26" s="7">
        <f t="shared" si="1"/>
        <v>175000</v>
      </c>
    </row>
    <row r="27" spans="1:6" x14ac:dyDescent="0.35">
      <c r="A27" s="8" t="s">
        <v>103</v>
      </c>
      <c r="B27">
        <v>10325</v>
      </c>
      <c r="C27" t="s">
        <v>14</v>
      </c>
      <c r="D27" s="7">
        <v>5000</v>
      </c>
      <c r="E27" s="7">
        <f t="shared" si="0"/>
        <v>160000</v>
      </c>
      <c r="F27" s="7">
        <f t="shared" si="1"/>
        <v>170000</v>
      </c>
    </row>
    <row r="28" spans="1:6" x14ac:dyDescent="0.35">
      <c r="A28" t="s">
        <v>78</v>
      </c>
      <c r="B28">
        <v>12149</v>
      </c>
      <c r="C28" t="s">
        <v>14</v>
      </c>
      <c r="D28" s="7">
        <v>5000</v>
      </c>
      <c r="E28" s="7">
        <f t="shared" si="0"/>
        <v>165000</v>
      </c>
      <c r="F28" s="7">
        <f t="shared" si="1"/>
        <v>165000</v>
      </c>
    </row>
    <row r="29" spans="1:6" x14ac:dyDescent="0.35">
      <c r="A29" s="8" t="s">
        <v>104</v>
      </c>
      <c r="B29">
        <v>12663</v>
      </c>
      <c r="C29" t="s">
        <v>14</v>
      </c>
      <c r="D29" s="7">
        <v>5000</v>
      </c>
      <c r="E29" s="7">
        <f t="shared" si="0"/>
        <v>170000</v>
      </c>
      <c r="F29" s="7">
        <f t="shared" si="1"/>
        <v>160000</v>
      </c>
    </row>
    <row r="30" spans="1:6" x14ac:dyDescent="0.35">
      <c r="A30" s="8">
        <v>45718</v>
      </c>
      <c r="B30">
        <v>9213</v>
      </c>
      <c r="C30" t="s">
        <v>14</v>
      </c>
      <c r="D30" s="7">
        <v>5000</v>
      </c>
      <c r="E30" s="7">
        <f t="shared" si="0"/>
        <v>175000</v>
      </c>
      <c r="F30" s="7">
        <f t="shared" si="1"/>
        <v>155000</v>
      </c>
    </row>
    <row r="31" spans="1:6" x14ac:dyDescent="0.35">
      <c r="A31" s="8">
        <v>45780</v>
      </c>
      <c r="B31">
        <v>9615</v>
      </c>
      <c r="C31" t="s">
        <v>14</v>
      </c>
      <c r="D31" s="7">
        <v>5000</v>
      </c>
      <c r="E31" s="7">
        <f t="shared" si="0"/>
        <v>180000</v>
      </c>
      <c r="F31" s="7">
        <f t="shared" si="1"/>
        <v>150000</v>
      </c>
    </row>
    <row r="32" spans="1:6" x14ac:dyDescent="0.35">
      <c r="A32" s="8">
        <v>45782</v>
      </c>
      <c r="B32">
        <v>10340</v>
      </c>
      <c r="C32" t="s">
        <v>14</v>
      </c>
      <c r="D32" s="7">
        <v>10000</v>
      </c>
      <c r="E32" s="7">
        <f t="shared" si="0"/>
        <v>190000</v>
      </c>
      <c r="F32" s="7">
        <f t="shared" si="1"/>
        <v>140000</v>
      </c>
    </row>
    <row r="33" spans="1:6" x14ac:dyDescent="0.35">
      <c r="A33" t="s">
        <v>105</v>
      </c>
      <c r="B33">
        <v>10412</v>
      </c>
      <c r="C33" t="s">
        <v>14</v>
      </c>
      <c r="D33" s="7">
        <v>5000</v>
      </c>
      <c r="E33" s="7">
        <f t="shared" si="0"/>
        <v>195000</v>
      </c>
      <c r="F33" s="7">
        <f t="shared" si="1"/>
        <v>135000</v>
      </c>
    </row>
    <row r="34" spans="1:6" x14ac:dyDescent="0.35">
      <c r="A34" s="8">
        <v>45663</v>
      </c>
      <c r="B34">
        <v>12025</v>
      </c>
      <c r="C34" t="s">
        <v>14</v>
      </c>
      <c r="D34" s="7">
        <v>5000</v>
      </c>
      <c r="E34" s="7">
        <f t="shared" si="0"/>
        <v>200000</v>
      </c>
      <c r="F34" s="7">
        <f t="shared" si="1"/>
        <v>130000</v>
      </c>
    </row>
    <row r="35" spans="1:6" x14ac:dyDescent="0.35">
      <c r="A35" s="11">
        <v>46243</v>
      </c>
      <c r="B35">
        <v>12876</v>
      </c>
      <c r="C35" t="s">
        <v>14</v>
      </c>
      <c r="D35" s="7">
        <v>5000</v>
      </c>
      <c r="E35" s="7">
        <f t="shared" si="0"/>
        <v>205000</v>
      </c>
      <c r="F35" s="7">
        <f t="shared" si="1"/>
        <v>125000</v>
      </c>
    </row>
    <row r="36" spans="1:6" x14ac:dyDescent="0.35">
      <c r="A36" t="s">
        <v>106</v>
      </c>
      <c r="B36">
        <v>13847</v>
      </c>
      <c r="C36" t="s">
        <v>14</v>
      </c>
      <c r="D36" s="7">
        <v>5000</v>
      </c>
      <c r="E36" s="7">
        <f t="shared" si="0"/>
        <v>210000</v>
      </c>
      <c r="F36" s="7">
        <f t="shared" si="1"/>
        <v>120000</v>
      </c>
    </row>
    <row r="37" spans="1:6" x14ac:dyDescent="0.35">
      <c r="A37" t="s">
        <v>107</v>
      </c>
      <c r="B37">
        <v>13590</v>
      </c>
      <c r="C37" t="s">
        <v>14</v>
      </c>
      <c r="D37" s="7">
        <v>5000</v>
      </c>
      <c r="E37" s="7">
        <f t="shared" si="0"/>
        <v>215000</v>
      </c>
      <c r="F37" s="7">
        <f t="shared" si="1"/>
        <v>115000</v>
      </c>
    </row>
    <row r="38" spans="1:6" x14ac:dyDescent="0.35">
      <c r="A38" s="8">
        <v>45334</v>
      </c>
      <c r="B38">
        <v>13264</v>
      </c>
      <c r="C38" t="s">
        <v>14</v>
      </c>
      <c r="D38" s="7">
        <v>5000</v>
      </c>
      <c r="E38" s="7">
        <f t="shared" si="0"/>
        <v>220000</v>
      </c>
      <c r="F38" s="7">
        <f t="shared" si="1"/>
        <v>110000</v>
      </c>
    </row>
    <row r="39" spans="1:6" x14ac:dyDescent="0.35">
      <c r="A39" s="8">
        <v>46266</v>
      </c>
      <c r="B39">
        <v>12043</v>
      </c>
      <c r="C39" t="s">
        <v>14</v>
      </c>
      <c r="D39" s="7">
        <v>5000</v>
      </c>
      <c r="E39" s="7">
        <f t="shared" si="0"/>
        <v>225000</v>
      </c>
      <c r="F39" s="7">
        <f t="shared" si="1"/>
        <v>105000</v>
      </c>
    </row>
    <row r="40" spans="1:6" x14ac:dyDescent="0.35">
      <c r="A40" t="s">
        <v>109</v>
      </c>
      <c r="B40">
        <v>12572</v>
      </c>
      <c r="C40" t="s">
        <v>14</v>
      </c>
      <c r="D40" s="7">
        <v>5000</v>
      </c>
      <c r="E40" s="7">
        <f t="shared" si="0"/>
        <v>230000</v>
      </c>
      <c r="F40" s="7">
        <f t="shared" si="1"/>
        <v>100000</v>
      </c>
    </row>
    <row r="41" spans="1:6" x14ac:dyDescent="0.35">
      <c r="A41" t="s">
        <v>110</v>
      </c>
      <c r="B41">
        <v>13904</v>
      </c>
      <c r="C41" t="s">
        <v>14</v>
      </c>
      <c r="D41" s="7">
        <v>10000</v>
      </c>
      <c r="E41" s="7">
        <f t="shared" si="0"/>
        <v>240000</v>
      </c>
      <c r="F41" s="7">
        <f t="shared" si="1"/>
        <v>90000</v>
      </c>
    </row>
    <row r="42" spans="1:6" x14ac:dyDescent="0.35">
      <c r="A42" t="s">
        <v>111</v>
      </c>
      <c r="B42">
        <v>13093</v>
      </c>
      <c r="C42" t="s">
        <v>14</v>
      </c>
      <c r="D42" s="7">
        <v>5000</v>
      </c>
      <c r="E42" s="7">
        <f t="shared" si="0"/>
        <v>245000</v>
      </c>
      <c r="F42" s="7">
        <f t="shared" si="1"/>
        <v>85000</v>
      </c>
    </row>
    <row r="43" spans="1:6" x14ac:dyDescent="0.35">
      <c r="A43" t="s">
        <v>129</v>
      </c>
      <c r="B43">
        <v>13597</v>
      </c>
      <c r="C43" t="s">
        <v>14</v>
      </c>
      <c r="D43" s="7">
        <v>5000</v>
      </c>
      <c r="E43" s="7">
        <f>E42+D43</f>
        <v>250000</v>
      </c>
      <c r="F43" s="7">
        <f>F42-D43</f>
        <v>80000</v>
      </c>
    </row>
    <row r="44" spans="1:6" x14ac:dyDescent="0.35">
      <c r="A44" t="s">
        <v>130</v>
      </c>
      <c r="B44">
        <v>1350</v>
      </c>
      <c r="C44" t="s">
        <v>14</v>
      </c>
      <c r="D44" s="7">
        <v>5000</v>
      </c>
      <c r="E44" s="7">
        <f>E43+D44</f>
        <v>255000</v>
      </c>
      <c r="F44" s="7">
        <f>F43-D44</f>
        <v>75000</v>
      </c>
    </row>
    <row r="45" spans="1:6" x14ac:dyDescent="0.35">
      <c r="A45" t="s">
        <v>131</v>
      </c>
      <c r="B45">
        <v>1600</v>
      </c>
      <c r="C45" t="s">
        <v>14</v>
      </c>
      <c r="D45" s="7">
        <v>5000</v>
      </c>
      <c r="E45" s="7">
        <f>E44+D45</f>
        <v>260000</v>
      </c>
      <c r="F45" s="7">
        <f>F44-D45</f>
        <v>70000</v>
      </c>
    </row>
    <row r="46" spans="1:6" x14ac:dyDescent="0.35">
      <c r="A46" t="s">
        <v>163</v>
      </c>
      <c r="B46">
        <v>1783</v>
      </c>
      <c r="C46" t="s">
        <v>14</v>
      </c>
      <c r="D46" s="7">
        <v>5000</v>
      </c>
      <c r="E46" s="7">
        <f>E45+D46</f>
        <v>265000</v>
      </c>
      <c r="F46" s="7">
        <f>F45-D46</f>
        <v>65000</v>
      </c>
    </row>
    <row r="47" spans="1:6" x14ac:dyDescent="0.35">
      <c r="A47" t="s">
        <v>165</v>
      </c>
      <c r="B47">
        <v>2062</v>
      </c>
      <c r="C47" t="s">
        <v>14</v>
      </c>
      <c r="D47" s="7">
        <v>5000</v>
      </c>
      <c r="E47" s="7">
        <f>E46+D47</f>
        <v>270000</v>
      </c>
      <c r="F47" s="7">
        <f>F46-D47</f>
        <v>60000</v>
      </c>
    </row>
    <row r="48" spans="1:6" x14ac:dyDescent="0.35">
      <c r="A48" s="8">
        <v>46244</v>
      </c>
      <c r="B48">
        <v>2187</v>
      </c>
      <c r="C48" t="s">
        <v>14</v>
      </c>
      <c r="D48" s="7">
        <v>5000</v>
      </c>
      <c r="E48" s="7">
        <f t="shared" ref="E48" si="2">E47+D48</f>
        <v>275000</v>
      </c>
      <c r="F48" s="7">
        <f t="shared" ref="F48" si="3">F47-D48</f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L-7156</vt:lpstr>
      <vt:lpstr>L-7177</vt:lpstr>
      <vt:lpstr>L-7178</vt:lpstr>
      <vt:lpstr>L-7155</vt:lpstr>
      <vt:lpstr>L-7157</vt:lpstr>
      <vt:lpstr>L-7190</vt:lpstr>
      <vt:lpstr>L-7194</vt:lpstr>
      <vt:lpstr>L-7189</vt:lpstr>
      <vt:lpstr>L-7188</vt:lpstr>
      <vt:lpstr>L-7186</vt:lpstr>
      <vt:lpstr>L-7191</vt:lpstr>
      <vt:lpstr>L-7192</vt:lpstr>
      <vt:lpstr>L-7187</vt:lpstr>
      <vt:lpstr>L-7195</vt:lpstr>
      <vt:lpstr>L-7193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2026-03-06T21:06:29Z</dcterms:created>
  <dcterms:modified xsi:type="dcterms:W3CDTF">2026-10-09T13:01:24Z</dcterms:modified>
</cp:coreProperties>
</file>