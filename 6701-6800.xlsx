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OT-6001-7000\"/>
    </mc:Choice>
  </mc:AlternateContent>
  <xr:revisionPtr revIDLastSave="0" documentId="13_ncr:1_{81B3EBFE-07AD-4114-BA28-5256BE17A87A}" xr6:coauthVersionLast="47" xr6:coauthVersionMax="47" xr10:uidLastSave="{00000000-0000-0000-0000-000000000000}"/>
  <bookViews>
    <workbookView xWindow="-110" yWindow="-110" windowWidth="19420" windowHeight="10420" activeTab="3" xr2:uid="{DB666EE2-0A2C-4E75-853C-D8346E212C8C}"/>
  </bookViews>
  <sheets>
    <sheet name="L-6761" sheetId="1" r:id="rId1"/>
    <sheet name="L-6793" sheetId="2" r:id="rId2"/>
    <sheet name="L-6791" sheetId="5" r:id="rId3"/>
    <sheet name="L-6758" sheetId="3" r:id="rId4"/>
    <sheet name="L-6766" sheetId="6" r:id="rId5"/>
    <sheet name="L-6757" sheetId="4" r:id="rId6"/>
    <sheet name="L-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6" l="1"/>
  <c r="F22" i="6" s="1"/>
  <c r="F23" i="6" s="1"/>
  <c r="F24" i="6" s="1"/>
  <c r="F25" i="6" s="1"/>
  <c r="F26" i="6" s="1"/>
  <c r="F27" i="6" s="1"/>
  <c r="F28" i="6" s="1"/>
  <c r="F29" i="6" s="1"/>
  <c r="E21" i="6"/>
  <c r="E22" i="6" s="1"/>
  <c r="E23" i="6" s="1"/>
  <c r="E24" i="6" s="1"/>
  <c r="E25" i="6" s="1"/>
  <c r="E26" i="6" s="1"/>
  <c r="E27" i="6" s="1"/>
  <c r="E28" i="6" s="1"/>
  <c r="E29" i="6" s="1"/>
  <c r="F10" i="6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E10" i="6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F9" i="6"/>
  <c r="E9" i="6"/>
  <c r="F19" i="5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E19" i="5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F10" i="5"/>
  <c r="F11" i="5" s="1"/>
  <c r="F12" i="5" s="1"/>
  <c r="F13" i="5" s="1"/>
  <c r="F14" i="5" s="1"/>
  <c r="F15" i="5" s="1"/>
  <c r="F16" i="5" s="1"/>
  <c r="F17" i="5" s="1"/>
  <c r="F18" i="5" s="1"/>
  <c r="E10" i="5"/>
  <c r="E11" i="5"/>
  <c r="E12" i="5"/>
  <c r="E13" i="5"/>
  <c r="E14" i="5" s="1"/>
  <c r="E15" i="5" s="1"/>
  <c r="E16" i="5" s="1"/>
  <c r="E17" i="5" s="1"/>
  <c r="E18" i="5" s="1"/>
  <c r="F9" i="5"/>
  <c r="E9" i="5"/>
  <c r="F39" i="2"/>
  <c r="E39" i="2"/>
  <c r="F9" i="2"/>
  <c r="E10" i="3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E9" i="3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</calcChain>
</file>

<file path=xl/sharedStrings.xml><?xml version="1.0" encoding="utf-8"?>
<sst xmlns="http://schemas.openxmlformats.org/spreadsheetml/2006/main" count="298" uniqueCount="119">
  <si>
    <t>Date</t>
  </si>
  <si>
    <t>R.NO</t>
  </si>
  <si>
    <t>Description</t>
  </si>
  <si>
    <t>Amount Rec</t>
  </si>
  <si>
    <t>Total Rec</t>
  </si>
  <si>
    <t>Amount Due</t>
  </si>
  <si>
    <t>Name : Rubina Kousar</t>
  </si>
  <si>
    <t>Father Name : Muhammad Ilyas</t>
  </si>
  <si>
    <t>CNIC #42301-2154720-4</t>
  </si>
  <si>
    <t>Contact # 03432445885</t>
  </si>
  <si>
    <t>Plot No : 6761</t>
  </si>
  <si>
    <t>Cost :700,000</t>
  </si>
  <si>
    <t>13/7/2024</t>
  </si>
  <si>
    <t>Res Booking</t>
  </si>
  <si>
    <t>instalment</t>
  </si>
  <si>
    <t>27/10/2024</t>
  </si>
  <si>
    <t>16/12/2024</t>
  </si>
  <si>
    <t>13/1/2025</t>
  </si>
  <si>
    <t>22/4/2024</t>
  </si>
  <si>
    <t>13/5/2025</t>
  </si>
  <si>
    <t>13/8/2025</t>
  </si>
  <si>
    <t>Name : M. Mehran</t>
  </si>
  <si>
    <t>Father Name : M.Javed</t>
  </si>
  <si>
    <t>CNIC #42401-3465857-3</t>
  </si>
  <si>
    <t>Contact # 03472586400</t>
  </si>
  <si>
    <t>Plot No : 6793</t>
  </si>
  <si>
    <t>Cost ;440,000</t>
  </si>
  <si>
    <t>29/11/2020</t>
  </si>
  <si>
    <t>15/9/2022</t>
  </si>
  <si>
    <t>17/7/2023</t>
  </si>
  <si>
    <t>14/9/2023</t>
  </si>
  <si>
    <t>Adj Rehman</t>
  </si>
  <si>
    <t xml:space="preserve">instalment </t>
  </si>
  <si>
    <t>instalment sobho</t>
  </si>
  <si>
    <t>15/2/2024</t>
  </si>
  <si>
    <t>20/4/2024</t>
  </si>
  <si>
    <t>13/5/2024</t>
  </si>
  <si>
    <t>13/6/2024</t>
  </si>
  <si>
    <t>14/10/2025</t>
  </si>
  <si>
    <t>Name : Liaquat Hussain</t>
  </si>
  <si>
    <t>Father Name : Muhammad Khan</t>
  </si>
  <si>
    <t>CNIC #37201-1793847-9</t>
  </si>
  <si>
    <t>Contact # 03338007004</t>
  </si>
  <si>
    <t>Plot No : 6758</t>
  </si>
  <si>
    <t>Cost ;450,000</t>
  </si>
  <si>
    <t>19/2/2022</t>
  </si>
  <si>
    <t>31/7/2023</t>
  </si>
  <si>
    <t>30/8/2023</t>
  </si>
  <si>
    <t>30/9/2023</t>
  </si>
  <si>
    <t>29/10/2023</t>
  </si>
  <si>
    <t>29/11/2023</t>
  </si>
  <si>
    <t>30/12/2023</t>
  </si>
  <si>
    <t>30/1/2024</t>
  </si>
  <si>
    <t>29/2/2024</t>
  </si>
  <si>
    <t>Adjustmet</t>
  </si>
  <si>
    <t>30/3/2024</t>
  </si>
  <si>
    <t>30/4/2024</t>
  </si>
  <si>
    <t>28/5/2024</t>
  </si>
  <si>
    <t>29/6/2024</t>
  </si>
  <si>
    <t>FULL PAID</t>
  </si>
  <si>
    <t>Name : Abdul Qadir</t>
  </si>
  <si>
    <t>Father Name : Abdul Hafeez</t>
  </si>
  <si>
    <t>CNIC #42401-9881911-5</t>
  </si>
  <si>
    <t>Contact #03114349470</t>
  </si>
  <si>
    <t>Plot No : 6757</t>
  </si>
  <si>
    <t>Cost ;350,000</t>
  </si>
  <si>
    <t>FILE TRANSFERRED TO;</t>
  </si>
  <si>
    <t>DETAIL OF TRANSFERRED</t>
  </si>
  <si>
    <t>Name : Allah Baksh Baloch</t>
  </si>
  <si>
    <t>Father Name : Sahib Dad Baloch</t>
  </si>
  <si>
    <t>CNIC #424001-8633555-5</t>
  </si>
  <si>
    <t xml:space="preserve">Contact </t>
  </si>
  <si>
    <t>Code Num;BYY7102904</t>
  </si>
  <si>
    <t>Adj Reh</t>
  </si>
  <si>
    <t>14/4/2023</t>
  </si>
  <si>
    <t>Nill</t>
  </si>
  <si>
    <t>31/3/2026</t>
  </si>
  <si>
    <t>Development</t>
  </si>
  <si>
    <t>Full Paid</t>
  </si>
  <si>
    <t>INSTALLMENT AND DEVELOPMENT BOTH CLEAR</t>
  </si>
  <si>
    <t>Code Num;CQW8873881</t>
  </si>
  <si>
    <t>14/8/2024</t>
  </si>
  <si>
    <t>Name : Rukhsana Bano</t>
  </si>
  <si>
    <t>Father Name :Nafees ul Rehman</t>
  </si>
  <si>
    <t>CNIC #42401-16432240-4</t>
  </si>
  <si>
    <t>Plot No : 6791</t>
  </si>
  <si>
    <t>Cost ;390,000</t>
  </si>
  <si>
    <t>Code Num;CQW8873880</t>
  </si>
  <si>
    <t>222/3/2023</t>
  </si>
  <si>
    <t>Sobho</t>
  </si>
  <si>
    <t>13/8/2024</t>
  </si>
  <si>
    <t>18/11/2025</t>
  </si>
  <si>
    <t>INSTALMENT CLEAR</t>
  </si>
  <si>
    <t>DEVELOPMENT CONTINUE</t>
  </si>
  <si>
    <t>Code Num;CKH7786120</t>
  </si>
  <si>
    <t>Name : M.Saad Akhter</t>
  </si>
  <si>
    <t>Father Name : M. Akhter</t>
  </si>
  <si>
    <t>CNIC #42101-04969841-1</t>
  </si>
  <si>
    <t>Contact # 03333413383</t>
  </si>
  <si>
    <t>Plot No : 6766</t>
  </si>
  <si>
    <t>Code Num;</t>
  </si>
  <si>
    <t>13/12/2023</t>
  </si>
  <si>
    <t>14/12/2023</t>
  </si>
  <si>
    <t>18/1/2024</t>
  </si>
  <si>
    <t>21/2/2024</t>
  </si>
  <si>
    <t>23/3/2024</t>
  </si>
  <si>
    <t>installment</t>
  </si>
  <si>
    <t>16/5/2024</t>
  </si>
  <si>
    <t>24/6/2024</t>
  </si>
  <si>
    <t>26/7/2024</t>
  </si>
  <si>
    <t>23/10/2024</t>
  </si>
  <si>
    <t>21/2/2025</t>
  </si>
  <si>
    <t>CODE:</t>
  </si>
  <si>
    <t>BLA7829231</t>
  </si>
  <si>
    <t>CML6681957</t>
  </si>
  <si>
    <t>CKX2744921</t>
  </si>
  <si>
    <t>17\7\26</t>
  </si>
  <si>
    <t>development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</si>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</sst>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0" fillId="0" borderId="0" xfId="0" applyNumberFormat="1"/>
    <xf numFmtId="16" fontId="0" fillId="0" borderId="1" xfId="0" applyNumberFormat="1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0" fontId="1" fillId="0" borderId="0" xfId="0" applyFont="1" applyAlignment="1">
      <alignment horizontal="left"/>
    </xf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257E-9B89-4DAC-A2D3-B188069C113B}">
  <dimension ref="A1:G35"/>
  <sheetViews>
    <sheetView workbookViewId="0">
      <selection activeCell="B7" sqref="B7"/>
    </sheetView>
  </sheetViews>
  <sheetFormatPr defaultRowHeight="14.5" x14ac:dyDescent="0.35"/>
  <cols>
    <col min="1" max="1" width="9.453125" bestFit="1" customWidth="1"/>
    <col min="3" max="3" width="13.26953125" bestFit="1" customWidth="1"/>
    <col min="4" max="4" width="15.26953125" bestFit="1" customWidth="1"/>
    <col min="6" max="6" width="14.54296875" bestFit="1" customWidth="1"/>
  </cols>
  <sheetData>
    <row r="1" spans="1:7" ht="18.5" x14ac:dyDescent="0.45">
      <c r="A1" s="1" t="s">
        <v>6</v>
      </c>
      <c r="B1" s="1"/>
      <c r="C1" s="1"/>
      <c r="D1" s="1"/>
      <c r="E1" s="1"/>
      <c r="F1" s="1"/>
      <c r="G1" s="1"/>
    </row>
    <row r="2" spans="1:7" ht="18.5" x14ac:dyDescent="0.45">
      <c r="A2" s="1" t="s">
        <v>7</v>
      </c>
      <c r="B2" s="1"/>
      <c r="C2" s="1"/>
      <c r="D2" s="1"/>
      <c r="E2" s="1"/>
      <c r="F2" s="1"/>
      <c r="G2" s="1"/>
    </row>
    <row r="3" spans="1:7" ht="18.5" x14ac:dyDescent="0.45">
      <c r="A3" s="1" t="s">
        <v>112</v>
      </c>
      <c r="B3" s="1" t="s">
        <v>113</v>
      </c>
      <c r="C3" s="1"/>
      <c r="D3" s="1"/>
      <c r="E3" s="1"/>
      <c r="F3" s="1"/>
      <c r="G3" s="1"/>
    </row>
    <row r="4" spans="1:7" ht="18.5" x14ac:dyDescent="0.45">
      <c r="A4" s="1" t="s">
        <v>8</v>
      </c>
      <c r="B4" s="1"/>
      <c r="C4" s="1"/>
      <c r="D4" s="1"/>
      <c r="E4" s="1"/>
      <c r="F4" s="1"/>
      <c r="G4" s="1"/>
    </row>
    <row r="5" spans="1:7" ht="18.5" x14ac:dyDescent="0.45">
      <c r="A5" s="1" t="s">
        <v>9</v>
      </c>
      <c r="B5" s="1"/>
      <c r="C5" s="1"/>
      <c r="D5" s="1"/>
      <c r="E5" s="1"/>
      <c r="F5" s="1"/>
      <c r="G5" s="1"/>
    </row>
    <row r="6" spans="1:7" ht="18.5" x14ac:dyDescent="0.45">
      <c r="A6" s="1" t="s">
        <v>10</v>
      </c>
      <c r="B6" s="1"/>
      <c r="C6" s="1"/>
      <c r="D6" s="1" t="s">
        <v>11</v>
      </c>
      <c r="E6" s="1"/>
      <c r="F6" s="1"/>
      <c r="G6" s="1"/>
    </row>
    <row r="7" spans="1:7" ht="18.5" x14ac:dyDescent="0.4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1"/>
    </row>
    <row r="8" spans="1:7" x14ac:dyDescent="0.35">
      <c r="A8" s="3">
        <v>45118</v>
      </c>
      <c r="B8" s="4">
        <v>4698</v>
      </c>
      <c r="C8" s="4" t="s">
        <v>13</v>
      </c>
      <c r="D8" s="5">
        <v>50000</v>
      </c>
      <c r="E8" s="5">
        <v>50000</v>
      </c>
      <c r="F8" s="5">
        <v>650000</v>
      </c>
    </row>
    <row r="9" spans="1:7" x14ac:dyDescent="0.35">
      <c r="A9" s="3">
        <v>44997</v>
      </c>
      <c r="B9" s="4">
        <v>5256</v>
      </c>
      <c r="C9" s="4" t="s">
        <v>14</v>
      </c>
      <c r="D9" s="5">
        <v>10000</v>
      </c>
      <c r="E9" s="5">
        <f>SUM(E8+D9)</f>
        <v>60000</v>
      </c>
      <c r="F9" s="5">
        <f>F8-D9</f>
        <v>640000</v>
      </c>
    </row>
    <row r="10" spans="1:7" x14ac:dyDescent="0.35">
      <c r="A10" s="3">
        <v>45474</v>
      </c>
      <c r="B10" s="4">
        <v>5975</v>
      </c>
      <c r="C10" s="4" t="s">
        <v>14</v>
      </c>
      <c r="D10" s="5">
        <v>10000</v>
      </c>
      <c r="E10" s="5">
        <f t="shared" ref="E10:E35" si="0">SUM(E9+D10)</f>
        <v>70000</v>
      </c>
      <c r="F10" s="5">
        <f t="shared" ref="F10:F35" si="1">F9-D10</f>
        <v>630000</v>
      </c>
    </row>
    <row r="11" spans="1:7" x14ac:dyDescent="0.35">
      <c r="A11" s="3">
        <v>45598</v>
      </c>
      <c r="B11" s="4">
        <v>7062</v>
      </c>
      <c r="C11" s="4" t="s">
        <v>14</v>
      </c>
      <c r="D11" s="5">
        <v>10000</v>
      </c>
      <c r="E11" s="5">
        <f t="shared" si="0"/>
        <v>80000</v>
      </c>
      <c r="F11" s="5">
        <f t="shared" si="1"/>
        <v>620000</v>
      </c>
    </row>
    <row r="12" spans="1:7" x14ac:dyDescent="0.35">
      <c r="A12" s="3">
        <v>45599</v>
      </c>
      <c r="B12" s="4">
        <v>7304</v>
      </c>
      <c r="C12" s="4" t="s">
        <v>14</v>
      </c>
      <c r="D12" s="5">
        <v>10000</v>
      </c>
      <c r="E12" s="5">
        <f t="shared" si="0"/>
        <v>90000</v>
      </c>
      <c r="F12" s="5">
        <f t="shared" si="1"/>
        <v>610000</v>
      </c>
    </row>
    <row r="13" spans="1:7" x14ac:dyDescent="0.35">
      <c r="A13" s="3">
        <v>45508</v>
      </c>
      <c r="B13" s="4">
        <v>7759</v>
      </c>
      <c r="C13" s="4" t="s">
        <v>14</v>
      </c>
      <c r="D13" s="5">
        <v>10000</v>
      </c>
      <c r="E13" s="5">
        <f t="shared" si="0"/>
        <v>100000</v>
      </c>
      <c r="F13" s="5">
        <f t="shared" si="1"/>
        <v>600000</v>
      </c>
    </row>
    <row r="14" spans="1:7" x14ac:dyDescent="0.35">
      <c r="A14" s="3">
        <v>45631</v>
      </c>
      <c r="B14" s="4">
        <v>8462</v>
      </c>
      <c r="C14" s="4" t="s">
        <v>14</v>
      </c>
      <c r="D14" s="5">
        <v>10000</v>
      </c>
      <c r="E14" s="5">
        <f t="shared" si="0"/>
        <v>110000</v>
      </c>
      <c r="F14" s="5">
        <f t="shared" si="1"/>
        <v>590000</v>
      </c>
    </row>
    <row r="15" spans="1:7" x14ac:dyDescent="0.35">
      <c r="A15" s="3">
        <v>45541</v>
      </c>
      <c r="B15" s="4">
        <v>8936</v>
      </c>
      <c r="C15" s="4" t="s">
        <v>14</v>
      </c>
      <c r="D15" s="5">
        <v>10000</v>
      </c>
      <c r="E15" s="5">
        <f t="shared" si="0"/>
        <v>120000</v>
      </c>
      <c r="F15" s="5">
        <f t="shared" si="1"/>
        <v>580000</v>
      </c>
    </row>
    <row r="16" spans="1:7" x14ac:dyDescent="0.35">
      <c r="A16" s="4" t="s">
        <v>12</v>
      </c>
      <c r="B16" s="4">
        <v>9577</v>
      </c>
      <c r="C16" s="4" t="s">
        <v>14</v>
      </c>
      <c r="D16" s="5">
        <v>10000</v>
      </c>
      <c r="E16" s="5">
        <f t="shared" si="0"/>
        <v>130000</v>
      </c>
      <c r="F16" s="5">
        <f t="shared" si="1"/>
        <v>570000</v>
      </c>
    </row>
    <row r="17" spans="1:6" x14ac:dyDescent="0.35">
      <c r="A17" s="3">
        <v>45604</v>
      </c>
      <c r="B17" s="4">
        <v>11081</v>
      </c>
      <c r="C17" s="4" t="s">
        <v>14</v>
      </c>
      <c r="D17" s="5">
        <v>10000</v>
      </c>
      <c r="E17" s="5">
        <f t="shared" si="0"/>
        <v>140000</v>
      </c>
      <c r="F17" s="5">
        <f t="shared" si="1"/>
        <v>560000</v>
      </c>
    </row>
    <row r="18" spans="1:6" x14ac:dyDescent="0.35">
      <c r="A18" s="3">
        <v>45574</v>
      </c>
      <c r="B18" s="4">
        <v>345</v>
      </c>
      <c r="C18" s="4" t="s">
        <v>14</v>
      </c>
      <c r="D18" s="5">
        <v>10000</v>
      </c>
      <c r="E18" s="5">
        <f t="shared" si="0"/>
        <v>150000</v>
      </c>
      <c r="F18" s="5">
        <f t="shared" si="1"/>
        <v>550000</v>
      </c>
    </row>
    <row r="19" spans="1:6" x14ac:dyDescent="0.35">
      <c r="A19" s="4" t="s">
        <v>15</v>
      </c>
      <c r="B19" s="4">
        <v>10384</v>
      </c>
      <c r="C19" s="4" t="s">
        <v>14</v>
      </c>
      <c r="D19" s="5">
        <v>10000</v>
      </c>
      <c r="E19" s="5">
        <f t="shared" si="0"/>
        <v>160000</v>
      </c>
      <c r="F19" s="5">
        <f t="shared" si="1"/>
        <v>540000</v>
      </c>
    </row>
    <row r="20" spans="1:6" x14ac:dyDescent="0.35">
      <c r="A20" s="3">
        <v>45515</v>
      </c>
      <c r="B20" s="4">
        <v>12251</v>
      </c>
      <c r="C20" s="4" t="s">
        <v>14</v>
      </c>
      <c r="D20" s="5">
        <v>10000</v>
      </c>
      <c r="E20" s="5">
        <f t="shared" si="0"/>
        <v>170000</v>
      </c>
      <c r="F20" s="5">
        <f t="shared" si="1"/>
        <v>530000</v>
      </c>
    </row>
    <row r="21" spans="1:6" x14ac:dyDescent="0.35">
      <c r="A21" s="4" t="s">
        <v>16</v>
      </c>
      <c r="B21" s="4">
        <v>12650</v>
      </c>
      <c r="C21" s="4" t="s">
        <v>14</v>
      </c>
      <c r="D21" s="5">
        <v>10000</v>
      </c>
      <c r="E21" s="5">
        <f t="shared" si="0"/>
        <v>180000</v>
      </c>
      <c r="F21" s="5">
        <f t="shared" si="1"/>
        <v>520000</v>
      </c>
    </row>
    <row r="22" spans="1:6" x14ac:dyDescent="0.35">
      <c r="A22" s="4" t="s">
        <v>17</v>
      </c>
      <c r="B22" s="4">
        <v>12069</v>
      </c>
      <c r="C22" s="4" t="s">
        <v>14</v>
      </c>
      <c r="D22" s="5">
        <v>10000</v>
      </c>
      <c r="E22" s="5">
        <f t="shared" si="0"/>
        <v>190000</v>
      </c>
      <c r="F22" s="5">
        <f t="shared" si="1"/>
        <v>510000</v>
      </c>
    </row>
    <row r="23" spans="1:6" x14ac:dyDescent="0.35">
      <c r="A23" s="3">
        <v>45993</v>
      </c>
      <c r="B23" s="4">
        <v>10986</v>
      </c>
      <c r="C23" s="4" t="s">
        <v>14</v>
      </c>
      <c r="D23" s="5">
        <v>10000</v>
      </c>
      <c r="E23" s="5">
        <f t="shared" si="0"/>
        <v>200000</v>
      </c>
      <c r="F23" s="5">
        <f t="shared" si="1"/>
        <v>500000</v>
      </c>
    </row>
    <row r="24" spans="1:6" x14ac:dyDescent="0.35">
      <c r="A24" s="3">
        <v>45780</v>
      </c>
      <c r="B24" s="4">
        <v>10987</v>
      </c>
      <c r="C24" s="4" t="s">
        <v>14</v>
      </c>
      <c r="D24" s="5">
        <v>10000</v>
      </c>
      <c r="E24" s="5">
        <f t="shared" si="0"/>
        <v>210000</v>
      </c>
      <c r="F24" s="5">
        <f t="shared" si="1"/>
        <v>490000</v>
      </c>
    </row>
    <row r="25" spans="1:6" x14ac:dyDescent="0.35">
      <c r="A25" s="4" t="s">
        <v>18</v>
      </c>
      <c r="B25" s="4">
        <v>10988</v>
      </c>
      <c r="C25" s="4" t="s">
        <v>14</v>
      </c>
      <c r="D25" s="5">
        <v>10000</v>
      </c>
      <c r="E25" s="5">
        <f t="shared" si="0"/>
        <v>220000</v>
      </c>
      <c r="F25" s="5">
        <f t="shared" si="1"/>
        <v>480000</v>
      </c>
    </row>
    <row r="26" spans="1:6" x14ac:dyDescent="0.35">
      <c r="A26" s="4" t="s">
        <v>19</v>
      </c>
      <c r="B26" s="4">
        <v>10989</v>
      </c>
      <c r="C26" s="4" t="s">
        <v>14</v>
      </c>
      <c r="D26" s="5">
        <v>10000</v>
      </c>
      <c r="E26" s="5">
        <f t="shared" si="0"/>
        <v>230000</v>
      </c>
      <c r="F26" s="5">
        <f t="shared" si="1"/>
        <v>470000</v>
      </c>
    </row>
    <row r="27" spans="1:6" x14ac:dyDescent="0.35">
      <c r="A27" s="3">
        <v>45936</v>
      </c>
      <c r="B27" s="4">
        <v>12029</v>
      </c>
      <c r="C27" s="4" t="s">
        <v>14</v>
      </c>
      <c r="D27" s="5">
        <v>10000</v>
      </c>
      <c r="E27" s="5">
        <f t="shared" si="0"/>
        <v>240000</v>
      </c>
      <c r="F27" s="5">
        <f t="shared" si="1"/>
        <v>460000</v>
      </c>
    </row>
    <row r="28" spans="1:6" x14ac:dyDescent="0.35">
      <c r="A28" s="3">
        <v>45845</v>
      </c>
      <c r="B28" s="4">
        <v>12100</v>
      </c>
      <c r="C28" s="4" t="s">
        <v>14</v>
      </c>
      <c r="D28" s="5">
        <v>10000</v>
      </c>
      <c r="E28" s="5">
        <f t="shared" si="0"/>
        <v>250000</v>
      </c>
      <c r="F28" s="5">
        <f t="shared" si="1"/>
        <v>450000</v>
      </c>
    </row>
    <row r="29" spans="1:6" x14ac:dyDescent="0.35">
      <c r="A29" s="4" t="s">
        <v>20</v>
      </c>
      <c r="B29" s="4">
        <v>12919</v>
      </c>
      <c r="C29" s="4" t="s">
        <v>14</v>
      </c>
      <c r="D29" s="5">
        <v>10000</v>
      </c>
      <c r="E29" s="5">
        <f t="shared" si="0"/>
        <v>260000</v>
      </c>
      <c r="F29" s="5">
        <f t="shared" si="1"/>
        <v>440000</v>
      </c>
    </row>
    <row r="30" spans="1:6" x14ac:dyDescent="0.35">
      <c r="A30" s="3">
        <v>45878</v>
      </c>
      <c r="B30" s="4">
        <v>12609</v>
      </c>
      <c r="C30" s="4" t="s">
        <v>14</v>
      </c>
      <c r="D30" s="5">
        <v>10000</v>
      </c>
      <c r="E30" s="5">
        <f t="shared" si="0"/>
        <v>270000</v>
      </c>
      <c r="F30" s="5">
        <f t="shared" si="1"/>
        <v>430000</v>
      </c>
    </row>
    <row r="31" spans="1:6" x14ac:dyDescent="0.35">
      <c r="A31" s="3">
        <v>45726</v>
      </c>
      <c r="B31" s="4">
        <v>13861</v>
      </c>
      <c r="C31" s="4" t="s">
        <v>14</v>
      </c>
      <c r="D31" s="5">
        <v>10000</v>
      </c>
      <c r="E31" s="5">
        <f t="shared" si="0"/>
        <v>280000</v>
      </c>
      <c r="F31" s="5">
        <f t="shared" si="1"/>
        <v>420000</v>
      </c>
    </row>
    <row r="32" spans="1:6" x14ac:dyDescent="0.35">
      <c r="A32" s="3">
        <v>45668</v>
      </c>
      <c r="B32" s="4">
        <v>13405</v>
      </c>
      <c r="C32" s="4" t="s">
        <v>14</v>
      </c>
      <c r="D32" s="5">
        <v>10000</v>
      </c>
      <c r="E32" s="5">
        <f t="shared" si="0"/>
        <v>290000</v>
      </c>
      <c r="F32" s="5">
        <f t="shared" si="1"/>
        <v>410000</v>
      </c>
    </row>
    <row r="33" spans="1:6" x14ac:dyDescent="0.35">
      <c r="A33" s="3">
        <v>45759</v>
      </c>
      <c r="B33" s="4">
        <v>13277</v>
      </c>
      <c r="C33" s="4" t="s">
        <v>14</v>
      </c>
      <c r="D33" s="5">
        <v>10000</v>
      </c>
      <c r="E33" s="5">
        <f t="shared" si="0"/>
        <v>300000</v>
      </c>
      <c r="F33" s="5">
        <f t="shared" si="1"/>
        <v>400000</v>
      </c>
    </row>
    <row r="34" spans="1:6" x14ac:dyDescent="0.35">
      <c r="A34" s="3">
        <v>46204</v>
      </c>
      <c r="B34" s="4">
        <v>12014</v>
      </c>
      <c r="C34" s="4" t="s">
        <v>14</v>
      </c>
      <c r="D34" s="5">
        <v>10000</v>
      </c>
      <c r="E34" s="5">
        <f t="shared" si="0"/>
        <v>310000</v>
      </c>
      <c r="F34" s="5">
        <f t="shared" si="1"/>
        <v>390000</v>
      </c>
    </row>
    <row r="35" spans="1:6" x14ac:dyDescent="0.35">
      <c r="A35" s="3">
        <v>46328</v>
      </c>
      <c r="B35" s="4">
        <v>12428</v>
      </c>
      <c r="C35" s="4" t="s">
        <v>14</v>
      </c>
      <c r="D35" s="5">
        <v>10000</v>
      </c>
      <c r="E35" s="5">
        <f t="shared" si="0"/>
        <v>320000</v>
      </c>
      <c r="F35" s="5">
        <f t="shared" si="1"/>
        <v>380000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8A1C-A030-4FF4-B6D1-B2E8D7B2B706}">
  <dimension ref="A1:F138"/>
  <sheetViews>
    <sheetView workbookViewId="0">
      <selection activeCell="A40" sqref="A40"/>
    </sheetView>
  </sheetViews>
  <sheetFormatPr defaultRowHeight="14.5" x14ac:dyDescent="0.35"/>
  <cols>
    <col min="1" max="1" width="10.453125" bestFit="1" customWidth="1"/>
    <col min="3" max="3" width="15.36328125" bestFit="1" customWidth="1"/>
    <col min="4" max="4" width="15.26953125" bestFit="1" customWidth="1"/>
    <col min="6" max="6" width="11.453125" bestFit="1" customWidth="1"/>
  </cols>
  <sheetData>
    <row r="1" spans="1:6" ht="18.5" x14ac:dyDescent="0.45">
      <c r="A1" s="1" t="s">
        <v>21</v>
      </c>
      <c r="B1" s="1"/>
      <c r="C1" s="1"/>
      <c r="D1" s="1"/>
      <c r="E1" s="1"/>
      <c r="F1" s="1"/>
    </row>
    <row r="2" spans="1:6" ht="18.5" x14ac:dyDescent="0.45">
      <c r="A2" s="1" t="s">
        <v>22</v>
      </c>
      <c r="B2" s="1"/>
      <c r="C2" s="1"/>
      <c r="D2" s="1"/>
      <c r="E2" s="1"/>
      <c r="F2" s="1"/>
    </row>
    <row r="3" spans="1:6" ht="18.5" x14ac:dyDescent="0.45">
      <c r="A3" s="1" t="s">
        <v>23</v>
      </c>
      <c r="B3" s="1"/>
      <c r="C3" s="1"/>
      <c r="D3" s="1"/>
      <c r="E3" s="1"/>
      <c r="F3" s="1"/>
    </row>
    <row r="4" spans="1:6" ht="18.5" x14ac:dyDescent="0.45">
      <c r="A4" s="1" t="s">
        <v>80</v>
      </c>
      <c r="B4" s="1" t="s">
        <v>114</v>
      </c>
      <c r="C4" s="1"/>
      <c r="D4" s="1"/>
      <c r="E4" s="1"/>
      <c r="F4" s="1"/>
    </row>
    <row r="5" spans="1:6" ht="18.5" x14ac:dyDescent="0.45">
      <c r="A5" s="1" t="s">
        <v>24</v>
      </c>
      <c r="B5" s="1"/>
      <c r="C5" s="1"/>
      <c r="D5" s="1"/>
      <c r="E5" s="1"/>
      <c r="F5" s="1"/>
    </row>
    <row r="6" spans="1:6" ht="18.5" x14ac:dyDescent="0.45">
      <c r="A6" s="1" t="s">
        <v>25</v>
      </c>
      <c r="B6" s="1"/>
      <c r="C6" s="1"/>
      <c r="D6" s="1" t="s">
        <v>26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4" t="s">
        <v>27</v>
      </c>
      <c r="B8" s="4">
        <v>1780</v>
      </c>
      <c r="C8" s="4" t="s">
        <v>31</v>
      </c>
      <c r="D8" s="5">
        <v>110000</v>
      </c>
      <c r="E8" s="5">
        <v>110000</v>
      </c>
      <c r="F8" s="5">
        <v>330000</v>
      </c>
    </row>
    <row r="9" spans="1:6" x14ac:dyDescent="0.35">
      <c r="A9" s="4" t="s">
        <v>28</v>
      </c>
      <c r="B9" s="4">
        <v>1780</v>
      </c>
      <c r="C9" s="4" t="s">
        <v>33</v>
      </c>
      <c r="D9" s="5">
        <v>20000</v>
      </c>
      <c r="E9" s="5">
        <f>SUM(E8+D9)</f>
        <v>130000</v>
      </c>
      <c r="F9" s="5">
        <f>F8-D9</f>
        <v>310000</v>
      </c>
    </row>
    <row r="10" spans="1:6" x14ac:dyDescent="0.35">
      <c r="A10" s="3">
        <v>44989</v>
      </c>
      <c r="B10" s="4">
        <v>1781</v>
      </c>
      <c r="C10" s="4" t="s">
        <v>32</v>
      </c>
      <c r="D10" s="5">
        <v>10000</v>
      </c>
      <c r="E10" s="5">
        <f t="shared" ref="E10:E39" si="0">SUM(E9+D10)</f>
        <v>140000</v>
      </c>
      <c r="F10" s="5">
        <f t="shared" ref="F10:F39" si="1">F9-D10</f>
        <v>300000</v>
      </c>
    </row>
    <row r="11" spans="1:6" x14ac:dyDescent="0.35">
      <c r="A11" s="3">
        <v>45266</v>
      </c>
      <c r="B11" s="4">
        <v>501</v>
      </c>
      <c r="C11" s="4" t="s">
        <v>32</v>
      </c>
      <c r="D11" s="5">
        <v>10000</v>
      </c>
      <c r="E11" s="5">
        <f t="shared" si="0"/>
        <v>150000</v>
      </c>
      <c r="F11" s="5">
        <f t="shared" si="1"/>
        <v>290000</v>
      </c>
    </row>
    <row r="12" spans="1:6" x14ac:dyDescent="0.35">
      <c r="A12" s="4" t="s">
        <v>29</v>
      </c>
      <c r="B12" s="4">
        <v>2834</v>
      </c>
      <c r="C12" s="4" t="s">
        <v>32</v>
      </c>
      <c r="D12" s="5">
        <v>10000</v>
      </c>
      <c r="E12" s="5">
        <f t="shared" si="0"/>
        <v>160000</v>
      </c>
      <c r="F12" s="5">
        <f t="shared" si="1"/>
        <v>280000</v>
      </c>
    </row>
    <row r="13" spans="1:6" x14ac:dyDescent="0.35">
      <c r="A13" s="3">
        <v>45268</v>
      </c>
      <c r="B13" s="4">
        <v>2386</v>
      </c>
      <c r="C13" s="4" t="s">
        <v>32</v>
      </c>
      <c r="D13" s="5">
        <v>20000</v>
      </c>
      <c r="E13" s="5">
        <f t="shared" si="0"/>
        <v>180000</v>
      </c>
      <c r="F13" s="5">
        <f t="shared" si="1"/>
        <v>260000</v>
      </c>
    </row>
    <row r="14" spans="1:6" x14ac:dyDescent="0.35">
      <c r="A14" s="4" t="s">
        <v>30</v>
      </c>
      <c r="B14" s="4">
        <v>8610</v>
      </c>
      <c r="C14" s="4" t="s">
        <v>32</v>
      </c>
      <c r="D14" s="5">
        <v>10000</v>
      </c>
      <c r="E14" s="5">
        <f t="shared" si="0"/>
        <v>190000</v>
      </c>
      <c r="F14" s="5">
        <f t="shared" si="1"/>
        <v>250000</v>
      </c>
    </row>
    <row r="15" spans="1:6" x14ac:dyDescent="0.35">
      <c r="A15" s="3">
        <v>45209</v>
      </c>
      <c r="B15" s="4">
        <v>4188</v>
      </c>
      <c r="C15" s="4" t="s">
        <v>32</v>
      </c>
      <c r="D15" s="5">
        <v>10000</v>
      </c>
      <c r="E15" s="5">
        <f t="shared" si="0"/>
        <v>200000</v>
      </c>
      <c r="F15" s="5">
        <f t="shared" si="1"/>
        <v>240000</v>
      </c>
    </row>
    <row r="16" spans="1:6" x14ac:dyDescent="0.35">
      <c r="A16" s="3">
        <v>45180</v>
      </c>
      <c r="B16" s="4">
        <v>4744</v>
      </c>
      <c r="C16" s="4" t="s">
        <v>32</v>
      </c>
      <c r="D16" s="5">
        <v>10000</v>
      </c>
      <c r="E16" s="5">
        <f t="shared" si="0"/>
        <v>210000</v>
      </c>
      <c r="F16" s="5">
        <f t="shared" si="1"/>
        <v>230000</v>
      </c>
    </row>
    <row r="17" spans="1:6" x14ac:dyDescent="0.35">
      <c r="A17" s="3">
        <v>45089</v>
      </c>
      <c r="B17" s="4">
        <v>5329</v>
      </c>
      <c r="C17" s="4" t="s">
        <v>32</v>
      </c>
      <c r="D17" s="5">
        <v>10000</v>
      </c>
      <c r="E17" s="5">
        <f t="shared" si="0"/>
        <v>220000</v>
      </c>
      <c r="F17" s="5">
        <f t="shared" si="1"/>
        <v>220000</v>
      </c>
    </row>
    <row r="18" spans="1:6" x14ac:dyDescent="0.35">
      <c r="A18" s="3">
        <v>45505</v>
      </c>
      <c r="B18" s="4">
        <v>6006</v>
      </c>
      <c r="C18" s="4" t="s">
        <v>32</v>
      </c>
      <c r="D18" s="5">
        <v>10000</v>
      </c>
      <c r="E18" s="5">
        <f t="shared" si="0"/>
        <v>230000</v>
      </c>
      <c r="F18" s="5">
        <f t="shared" si="1"/>
        <v>210000</v>
      </c>
    </row>
    <row r="19" spans="1:6" x14ac:dyDescent="0.35">
      <c r="A19" s="4" t="s">
        <v>34</v>
      </c>
      <c r="B19" s="4">
        <v>7191</v>
      </c>
      <c r="C19" s="4" t="s">
        <v>32</v>
      </c>
      <c r="D19" s="5">
        <v>10000</v>
      </c>
      <c r="E19" s="5">
        <f t="shared" si="0"/>
        <v>240000</v>
      </c>
      <c r="F19" s="5">
        <f t="shared" si="1"/>
        <v>200000</v>
      </c>
    </row>
    <row r="20" spans="1:6" x14ac:dyDescent="0.35">
      <c r="A20" s="3">
        <v>45599</v>
      </c>
      <c r="B20" s="4">
        <v>7301</v>
      </c>
      <c r="C20" s="4" t="s">
        <v>32</v>
      </c>
      <c r="D20" s="5">
        <v>10000</v>
      </c>
      <c r="E20" s="5">
        <f t="shared" si="0"/>
        <v>250000</v>
      </c>
      <c r="F20" s="5">
        <f t="shared" si="1"/>
        <v>190000</v>
      </c>
    </row>
    <row r="21" spans="1:6" x14ac:dyDescent="0.35">
      <c r="A21" s="4" t="s">
        <v>35</v>
      </c>
      <c r="B21" s="4">
        <v>7984</v>
      </c>
      <c r="C21" s="4" t="s">
        <v>32</v>
      </c>
      <c r="D21" s="5">
        <v>10000</v>
      </c>
      <c r="E21" s="5">
        <f t="shared" si="0"/>
        <v>260000</v>
      </c>
      <c r="F21" s="5">
        <f t="shared" si="1"/>
        <v>180000</v>
      </c>
    </row>
    <row r="22" spans="1:6" x14ac:dyDescent="0.35">
      <c r="A22" s="4" t="s">
        <v>36</v>
      </c>
      <c r="B22" s="4">
        <v>8491</v>
      </c>
      <c r="C22" s="4" t="s">
        <v>32</v>
      </c>
      <c r="D22" s="5">
        <v>10000</v>
      </c>
      <c r="E22" s="5">
        <f t="shared" si="0"/>
        <v>270000</v>
      </c>
      <c r="F22" s="5">
        <f t="shared" si="1"/>
        <v>170000</v>
      </c>
    </row>
    <row r="23" spans="1:6" x14ac:dyDescent="0.35">
      <c r="A23" s="4" t="s">
        <v>37</v>
      </c>
      <c r="B23" s="4">
        <v>9078</v>
      </c>
      <c r="C23" s="4" t="s">
        <v>32</v>
      </c>
      <c r="D23" s="5">
        <v>10000</v>
      </c>
      <c r="E23" s="5">
        <f t="shared" si="0"/>
        <v>280000</v>
      </c>
      <c r="F23" s="5">
        <f t="shared" si="1"/>
        <v>160000</v>
      </c>
    </row>
    <row r="24" spans="1:6" x14ac:dyDescent="0.35">
      <c r="A24" s="4" t="s">
        <v>12</v>
      </c>
      <c r="B24" s="4">
        <v>9560</v>
      </c>
      <c r="C24" s="4" t="s">
        <v>32</v>
      </c>
      <c r="D24" s="5">
        <v>10000</v>
      </c>
      <c r="E24" s="5">
        <f t="shared" si="0"/>
        <v>290000</v>
      </c>
      <c r="F24" s="5">
        <f t="shared" si="1"/>
        <v>150000</v>
      </c>
    </row>
    <row r="25" spans="1:6" x14ac:dyDescent="0.35">
      <c r="A25" s="4" t="s">
        <v>81</v>
      </c>
      <c r="B25" s="4">
        <v>11513</v>
      </c>
      <c r="C25" s="4" t="s">
        <v>32</v>
      </c>
      <c r="D25" s="5">
        <v>10000</v>
      </c>
      <c r="E25" s="5">
        <f t="shared" si="0"/>
        <v>300000</v>
      </c>
      <c r="F25" s="5">
        <f t="shared" si="1"/>
        <v>140000</v>
      </c>
    </row>
    <row r="26" spans="1:6" x14ac:dyDescent="0.35">
      <c r="A26" s="3">
        <v>45574</v>
      </c>
      <c r="B26" s="4">
        <v>10670</v>
      </c>
      <c r="C26" s="4" t="s">
        <v>32</v>
      </c>
      <c r="D26" s="5">
        <v>10000</v>
      </c>
      <c r="E26" s="5">
        <f t="shared" si="0"/>
        <v>310000</v>
      </c>
      <c r="F26" s="5">
        <f t="shared" si="1"/>
        <v>130000</v>
      </c>
    </row>
    <row r="27" spans="1:6" x14ac:dyDescent="0.35">
      <c r="A27" s="3">
        <v>45545</v>
      </c>
      <c r="B27" s="4">
        <v>11332</v>
      </c>
      <c r="C27" s="4" t="s">
        <v>32</v>
      </c>
      <c r="D27" s="5">
        <v>10000</v>
      </c>
      <c r="E27" s="5">
        <f t="shared" si="0"/>
        <v>320000</v>
      </c>
      <c r="F27" s="5">
        <f t="shared" si="1"/>
        <v>120000</v>
      </c>
    </row>
    <row r="28" spans="1:6" x14ac:dyDescent="0.35">
      <c r="A28" s="3">
        <v>45607</v>
      </c>
      <c r="B28" s="4">
        <v>10118</v>
      </c>
      <c r="C28" s="4" t="s">
        <v>32</v>
      </c>
      <c r="D28" s="5">
        <v>10000</v>
      </c>
      <c r="E28" s="5">
        <f t="shared" si="0"/>
        <v>330000</v>
      </c>
      <c r="F28" s="5">
        <f t="shared" si="1"/>
        <v>110000</v>
      </c>
    </row>
    <row r="29" spans="1:6" x14ac:dyDescent="0.35">
      <c r="A29" s="3">
        <v>45424</v>
      </c>
      <c r="B29" s="4">
        <v>12595</v>
      </c>
      <c r="C29" s="4" t="s">
        <v>32</v>
      </c>
      <c r="D29" s="5">
        <v>10000</v>
      </c>
      <c r="E29" s="5">
        <f t="shared" si="0"/>
        <v>340000</v>
      </c>
      <c r="F29" s="5">
        <f t="shared" si="1"/>
        <v>100000</v>
      </c>
    </row>
    <row r="30" spans="1:6" x14ac:dyDescent="0.35">
      <c r="A30" s="3">
        <v>45809</v>
      </c>
      <c r="B30" s="4">
        <v>10119</v>
      </c>
      <c r="C30" s="4" t="s">
        <v>32</v>
      </c>
      <c r="D30" s="5">
        <v>10000</v>
      </c>
      <c r="E30" s="5">
        <f t="shared" si="0"/>
        <v>350000</v>
      </c>
      <c r="F30" s="5">
        <f t="shared" si="1"/>
        <v>90000</v>
      </c>
    </row>
    <row r="31" spans="1:6" x14ac:dyDescent="0.35">
      <c r="A31" s="3">
        <v>45932</v>
      </c>
      <c r="B31" s="4">
        <v>9319</v>
      </c>
      <c r="C31" s="4" t="s">
        <v>32</v>
      </c>
      <c r="D31" s="5">
        <v>10000</v>
      </c>
      <c r="E31" s="5">
        <f t="shared" si="0"/>
        <v>360000</v>
      </c>
      <c r="F31" s="5">
        <f t="shared" si="1"/>
        <v>80000</v>
      </c>
    </row>
    <row r="32" spans="1:6" x14ac:dyDescent="0.35">
      <c r="A32" s="3">
        <v>45964</v>
      </c>
      <c r="B32" s="4">
        <v>9708</v>
      </c>
      <c r="C32" s="4" t="s">
        <v>32</v>
      </c>
      <c r="D32" s="5">
        <v>10000</v>
      </c>
      <c r="E32" s="5">
        <f t="shared" si="0"/>
        <v>370000</v>
      </c>
      <c r="F32" s="5">
        <f t="shared" si="1"/>
        <v>70000</v>
      </c>
    </row>
    <row r="33" spans="1:6" x14ac:dyDescent="0.35">
      <c r="A33" s="3">
        <v>45873</v>
      </c>
      <c r="B33" s="4">
        <v>9978</v>
      </c>
      <c r="C33" s="4" t="s">
        <v>32</v>
      </c>
      <c r="D33" s="5">
        <v>10000</v>
      </c>
      <c r="E33" s="5">
        <f t="shared" si="0"/>
        <v>380000</v>
      </c>
      <c r="F33" s="5">
        <f t="shared" si="1"/>
        <v>60000</v>
      </c>
    </row>
    <row r="34" spans="1:6" x14ac:dyDescent="0.35">
      <c r="A34" s="3">
        <v>45782</v>
      </c>
      <c r="B34" s="4">
        <v>13028</v>
      </c>
      <c r="C34" s="4" t="s">
        <v>32</v>
      </c>
      <c r="D34" s="5">
        <v>10000</v>
      </c>
      <c r="E34" s="5">
        <f t="shared" si="0"/>
        <v>390000</v>
      </c>
      <c r="F34" s="5">
        <f t="shared" si="1"/>
        <v>50000</v>
      </c>
    </row>
    <row r="35" spans="1:6" x14ac:dyDescent="0.35">
      <c r="A35" s="7">
        <v>45783</v>
      </c>
      <c r="B35" s="4">
        <v>10445</v>
      </c>
      <c r="C35" s="4" t="s">
        <v>32</v>
      </c>
      <c r="D35" s="5">
        <v>10000</v>
      </c>
      <c r="E35" s="5">
        <f t="shared" si="0"/>
        <v>400000</v>
      </c>
      <c r="F35" s="5">
        <f t="shared" si="1"/>
        <v>40000</v>
      </c>
    </row>
    <row r="36" spans="1:6" x14ac:dyDescent="0.35">
      <c r="A36" s="3">
        <v>45968</v>
      </c>
      <c r="B36" s="4">
        <v>12142</v>
      </c>
      <c r="C36" s="4" t="s">
        <v>32</v>
      </c>
      <c r="D36" s="5">
        <v>10000</v>
      </c>
      <c r="E36" s="5">
        <f t="shared" si="0"/>
        <v>410000</v>
      </c>
      <c r="F36" s="5">
        <f t="shared" si="1"/>
        <v>30000</v>
      </c>
    </row>
    <row r="37" spans="1:6" x14ac:dyDescent="0.35">
      <c r="A37" s="3">
        <v>45816</v>
      </c>
      <c r="B37" s="4">
        <v>12413</v>
      </c>
      <c r="C37" s="4" t="s">
        <v>32</v>
      </c>
      <c r="D37" s="5">
        <v>10000</v>
      </c>
      <c r="E37" s="5">
        <f t="shared" si="0"/>
        <v>420000</v>
      </c>
      <c r="F37" s="5">
        <f t="shared" si="1"/>
        <v>20000</v>
      </c>
    </row>
    <row r="38" spans="1:6" x14ac:dyDescent="0.35">
      <c r="A38" s="3">
        <v>45878</v>
      </c>
      <c r="B38" s="4">
        <v>12671</v>
      </c>
      <c r="C38" s="4" t="s">
        <v>32</v>
      </c>
      <c r="D38" s="5">
        <v>10000</v>
      </c>
      <c r="E38" s="5">
        <f t="shared" si="0"/>
        <v>430000</v>
      </c>
      <c r="F38" s="5">
        <f t="shared" si="1"/>
        <v>10000</v>
      </c>
    </row>
    <row r="39" spans="1:6" x14ac:dyDescent="0.35">
      <c r="A39" s="10" t="s">
        <v>38</v>
      </c>
      <c r="B39" s="4">
        <v>13618</v>
      </c>
      <c r="C39" s="4" t="s">
        <v>32</v>
      </c>
      <c r="D39" s="5">
        <v>10000</v>
      </c>
      <c r="E39" s="5">
        <f t="shared" si="0"/>
        <v>440000</v>
      </c>
      <c r="F39" s="5">
        <f t="shared" si="1"/>
        <v>0</v>
      </c>
    </row>
    <row r="40" spans="1:6" x14ac:dyDescent="0.35">
      <c r="A40" s="12"/>
      <c r="B40" s="14"/>
      <c r="C40" s="14"/>
      <c r="D40" s="15"/>
      <c r="E40" s="15"/>
      <c r="F40" s="15"/>
    </row>
    <row r="41" spans="1:6" x14ac:dyDescent="0.35">
      <c r="B41" s="14"/>
      <c r="C41" s="14"/>
      <c r="D41" s="15"/>
      <c r="E41" s="15"/>
      <c r="F41" s="15"/>
    </row>
    <row r="42" spans="1:6" x14ac:dyDescent="0.35">
      <c r="B42" s="14"/>
      <c r="C42" s="14"/>
      <c r="D42" s="15"/>
      <c r="E42" s="15"/>
      <c r="F42" s="15"/>
    </row>
    <row r="43" spans="1:6" x14ac:dyDescent="0.35">
      <c r="D43" s="6"/>
    </row>
    <row r="44" spans="1:6" x14ac:dyDescent="0.35">
      <c r="D44" s="6"/>
    </row>
    <row r="45" spans="1:6" x14ac:dyDescent="0.35">
      <c r="D45" s="6"/>
    </row>
    <row r="46" spans="1:6" x14ac:dyDescent="0.35">
      <c r="D46" s="6"/>
    </row>
    <row r="47" spans="1:6" x14ac:dyDescent="0.35">
      <c r="D47" s="6"/>
    </row>
    <row r="48" spans="1:6" x14ac:dyDescent="0.35">
      <c r="D48" s="6"/>
    </row>
    <row r="49" spans="4:4" x14ac:dyDescent="0.35">
      <c r="D49" s="6"/>
    </row>
    <row r="50" spans="4:4" x14ac:dyDescent="0.35">
      <c r="D50" s="6"/>
    </row>
    <row r="51" spans="4:4" x14ac:dyDescent="0.35">
      <c r="D51" s="6"/>
    </row>
    <row r="52" spans="4:4" x14ac:dyDescent="0.35">
      <c r="D52" s="6"/>
    </row>
    <row r="53" spans="4:4" x14ac:dyDescent="0.35">
      <c r="D53" s="6"/>
    </row>
    <row r="54" spans="4:4" x14ac:dyDescent="0.35">
      <c r="D54" s="6"/>
    </row>
    <row r="55" spans="4:4" x14ac:dyDescent="0.35">
      <c r="D55" s="6"/>
    </row>
    <row r="56" spans="4:4" x14ac:dyDescent="0.35">
      <c r="D56" s="6"/>
    </row>
    <row r="57" spans="4:4" x14ac:dyDescent="0.35">
      <c r="D57" s="6"/>
    </row>
    <row r="58" spans="4:4" x14ac:dyDescent="0.35">
      <c r="D58" s="6"/>
    </row>
    <row r="59" spans="4:4" x14ac:dyDescent="0.35">
      <c r="D59" s="6"/>
    </row>
    <row r="60" spans="4:4" x14ac:dyDescent="0.35">
      <c r="D60" s="6"/>
    </row>
    <row r="61" spans="4:4" x14ac:dyDescent="0.35">
      <c r="D61" s="6"/>
    </row>
    <row r="62" spans="4:4" x14ac:dyDescent="0.35">
      <c r="D62" s="6"/>
    </row>
    <row r="63" spans="4:4" x14ac:dyDescent="0.35">
      <c r="D63" s="6"/>
    </row>
    <row r="64" spans="4:4" x14ac:dyDescent="0.35">
      <c r="D64" s="6"/>
    </row>
    <row r="65" spans="4:4" x14ac:dyDescent="0.35">
      <c r="D65" s="6"/>
    </row>
    <row r="66" spans="4:4" x14ac:dyDescent="0.35">
      <c r="D66" s="6"/>
    </row>
    <row r="67" spans="4:4" x14ac:dyDescent="0.35">
      <c r="D67" s="6"/>
    </row>
    <row r="68" spans="4:4" x14ac:dyDescent="0.35">
      <c r="D68" s="6"/>
    </row>
    <row r="69" spans="4:4" x14ac:dyDescent="0.35">
      <c r="D69" s="6"/>
    </row>
    <row r="70" spans="4:4" x14ac:dyDescent="0.35">
      <c r="D70" s="6"/>
    </row>
    <row r="71" spans="4:4" x14ac:dyDescent="0.35">
      <c r="D71" s="6"/>
    </row>
    <row r="72" spans="4:4" x14ac:dyDescent="0.35">
      <c r="D72" s="6"/>
    </row>
    <row r="73" spans="4:4" x14ac:dyDescent="0.35">
      <c r="D73" s="6"/>
    </row>
    <row r="74" spans="4:4" x14ac:dyDescent="0.35">
      <c r="D74" s="6"/>
    </row>
    <row r="75" spans="4:4" x14ac:dyDescent="0.35">
      <c r="D75" s="6"/>
    </row>
    <row r="76" spans="4:4" x14ac:dyDescent="0.35">
      <c r="D76" s="6"/>
    </row>
    <row r="77" spans="4:4" x14ac:dyDescent="0.35">
      <c r="D77" s="6"/>
    </row>
    <row r="78" spans="4:4" x14ac:dyDescent="0.35">
      <c r="D78" s="6"/>
    </row>
    <row r="79" spans="4:4" x14ac:dyDescent="0.35">
      <c r="D79" s="6"/>
    </row>
    <row r="80" spans="4:4" x14ac:dyDescent="0.35">
      <c r="D80" s="6"/>
    </row>
    <row r="81" spans="4:4" x14ac:dyDescent="0.35">
      <c r="D81" s="6"/>
    </row>
    <row r="82" spans="4:4" x14ac:dyDescent="0.35">
      <c r="D82" s="6"/>
    </row>
    <row r="83" spans="4:4" x14ac:dyDescent="0.35">
      <c r="D83" s="6"/>
    </row>
    <row r="84" spans="4:4" x14ac:dyDescent="0.35">
      <c r="D84" s="6"/>
    </row>
    <row r="85" spans="4:4" x14ac:dyDescent="0.35">
      <c r="D85" s="6"/>
    </row>
    <row r="86" spans="4:4" x14ac:dyDescent="0.35">
      <c r="D86" s="6"/>
    </row>
    <row r="87" spans="4:4" x14ac:dyDescent="0.35">
      <c r="D87" s="6"/>
    </row>
    <row r="88" spans="4:4" x14ac:dyDescent="0.35">
      <c r="D88" s="6"/>
    </row>
    <row r="89" spans="4:4" x14ac:dyDescent="0.35">
      <c r="D89" s="6"/>
    </row>
    <row r="90" spans="4:4" x14ac:dyDescent="0.35">
      <c r="D90" s="6"/>
    </row>
    <row r="91" spans="4:4" x14ac:dyDescent="0.35">
      <c r="D91" s="6"/>
    </row>
    <row r="92" spans="4:4" x14ac:dyDescent="0.35">
      <c r="D92" s="6"/>
    </row>
    <row r="93" spans="4:4" x14ac:dyDescent="0.35">
      <c r="D93" s="6"/>
    </row>
    <row r="94" spans="4:4" x14ac:dyDescent="0.35">
      <c r="D94" s="6"/>
    </row>
    <row r="95" spans="4:4" x14ac:dyDescent="0.35">
      <c r="D95" s="6"/>
    </row>
    <row r="96" spans="4:4" x14ac:dyDescent="0.35">
      <c r="D96" s="6"/>
    </row>
    <row r="97" spans="4:4" x14ac:dyDescent="0.35">
      <c r="D97" s="6"/>
    </row>
    <row r="98" spans="4:4" x14ac:dyDescent="0.35">
      <c r="D98" s="6"/>
    </row>
    <row r="99" spans="4:4" x14ac:dyDescent="0.35">
      <c r="D99" s="6"/>
    </row>
    <row r="100" spans="4:4" x14ac:dyDescent="0.35">
      <c r="D100" s="6"/>
    </row>
    <row r="101" spans="4:4" x14ac:dyDescent="0.35">
      <c r="D101" s="6"/>
    </row>
    <row r="102" spans="4:4" x14ac:dyDescent="0.35">
      <c r="D102" s="6"/>
    </row>
    <row r="103" spans="4:4" x14ac:dyDescent="0.35">
      <c r="D103" s="6"/>
    </row>
    <row r="104" spans="4:4" x14ac:dyDescent="0.35">
      <c r="D104" s="6"/>
    </row>
    <row r="105" spans="4:4" x14ac:dyDescent="0.35">
      <c r="D105" s="6"/>
    </row>
    <row r="106" spans="4:4" x14ac:dyDescent="0.35">
      <c r="D106" s="6"/>
    </row>
    <row r="107" spans="4:4" x14ac:dyDescent="0.35">
      <c r="D107" s="6"/>
    </row>
    <row r="108" spans="4:4" x14ac:dyDescent="0.35">
      <c r="D108" s="6"/>
    </row>
    <row r="109" spans="4:4" x14ac:dyDescent="0.35">
      <c r="D109" s="6"/>
    </row>
    <row r="110" spans="4:4" x14ac:dyDescent="0.35">
      <c r="D110" s="6"/>
    </row>
    <row r="111" spans="4:4" x14ac:dyDescent="0.35">
      <c r="D111" s="6"/>
    </row>
    <row r="112" spans="4:4" x14ac:dyDescent="0.35">
      <c r="D112" s="6"/>
    </row>
    <row r="113" spans="4:4" x14ac:dyDescent="0.35">
      <c r="D113" s="6"/>
    </row>
    <row r="114" spans="4:4" x14ac:dyDescent="0.35">
      <c r="D114" s="6"/>
    </row>
    <row r="115" spans="4:4" x14ac:dyDescent="0.35">
      <c r="D115" s="6"/>
    </row>
    <row r="116" spans="4:4" x14ac:dyDescent="0.35">
      <c r="D116" s="6"/>
    </row>
    <row r="117" spans="4:4" x14ac:dyDescent="0.35">
      <c r="D117" s="6"/>
    </row>
    <row r="118" spans="4:4" x14ac:dyDescent="0.35">
      <c r="D118" s="6"/>
    </row>
    <row r="119" spans="4:4" x14ac:dyDescent="0.35">
      <c r="D119" s="6"/>
    </row>
    <row r="120" spans="4:4" x14ac:dyDescent="0.35">
      <c r="D120" s="6"/>
    </row>
    <row r="121" spans="4:4" x14ac:dyDescent="0.35">
      <c r="D121" s="6"/>
    </row>
    <row r="122" spans="4:4" x14ac:dyDescent="0.35">
      <c r="D122" s="6"/>
    </row>
    <row r="123" spans="4:4" x14ac:dyDescent="0.35">
      <c r="D123" s="6"/>
    </row>
    <row r="124" spans="4:4" x14ac:dyDescent="0.35">
      <c r="D124" s="6"/>
    </row>
    <row r="125" spans="4:4" x14ac:dyDescent="0.35">
      <c r="D125" s="6"/>
    </row>
    <row r="126" spans="4:4" x14ac:dyDescent="0.35">
      <c r="D126" s="6"/>
    </row>
    <row r="127" spans="4:4" x14ac:dyDescent="0.35">
      <c r="D127" s="6"/>
    </row>
    <row r="128" spans="4:4" x14ac:dyDescent="0.35">
      <c r="D128" s="6"/>
    </row>
    <row r="129" spans="4:4" x14ac:dyDescent="0.35">
      <c r="D129" s="6"/>
    </row>
    <row r="130" spans="4:4" x14ac:dyDescent="0.35">
      <c r="D130" s="6"/>
    </row>
    <row r="131" spans="4:4" x14ac:dyDescent="0.35">
      <c r="D131" s="6"/>
    </row>
    <row r="132" spans="4:4" x14ac:dyDescent="0.35">
      <c r="D132" s="6"/>
    </row>
    <row r="133" spans="4:4" x14ac:dyDescent="0.35">
      <c r="D133" s="6"/>
    </row>
    <row r="134" spans="4:4" x14ac:dyDescent="0.35">
      <c r="D134" s="6"/>
    </row>
    <row r="135" spans="4:4" x14ac:dyDescent="0.35">
      <c r="D135" s="6"/>
    </row>
    <row r="136" spans="4:4" x14ac:dyDescent="0.35">
      <c r="D136" s="6"/>
    </row>
    <row r="137" spans="4:4" x14ac:dyDescent="0.35">
      <c r="D137" s="6"/>
    </row>
    <row r="138" spans="4:4" x14ac:dyDescent="0.35">
      <c r="D138" s="6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8245-3717-4F5E-93C9-C6B488A7E18D}">
  <dimension ref="A1:F36"/>
  <sheetViews>
    <sheetView topLeftCell="A5" workbookViewId="0">
      <selection activeCell="B5" sqref="B5"/>
    </sheetView>
  </sheetViews>
  <sheetFormatPr defaultRowHeight="14.5" x14ac:dyDescent="0.35"/>
  <cols>
    <col min="1" max="1" width="10.453125" bestFit="1" customWidth="1"/>
    <col min="3" max="3" width="10.36328125" customWidth="1"/>
    <col min="6" max="6" width="11.453125" customWidth="1"/>
  </cols>
  <sheetData>
    <row r="1" spans="1:6" ht="18.5" x14ac:dyDescent="0.45">
      <c r="A1" s="1" t="s">
        <v>82</v>
      </c>
      <c r="B1" s="1"/>
      <c r="C1" s="1"/>
      <c r="D1" s="1"/>
      <c r="E1" s="1"/>
      <c r="F1" s="1"/>
    </row>
    <row r="2" spans="1:6" ht="18.5" x14ac:dyDescent="0.45">
      <c r="A2" s="1" t="s">
        <v>83</v>
      </c>
      <c r="B2" s="1"/>
      <c r="C2" s="1"/>
      <c r="D2" s="1"/>
      <c r="E2" s="1"/>
      <c r="F2" s="1"/>
    </row>
    <row r="3" spans="1:6" ht="18.5" x14ac:dyDescent="0.45">
      <c r="A3" s="1" t="s">
        <v>84</v>
      </c>
      <c r="B3" s="1"/>
      <c r="C3" s="1"/>
      <c r="D3" s="1"/>
      <c r="E3" s="1"/>
      <c r="F3" s="1"/>
    </row>
    <row r="4" spans="1:6" ht="18.5" x14ac:dyDescent="0.45">
      <c r="A4" s="1" t="s">
        <v>87</v>
      </c>
      <c r="B4" s="1" t="s">
        <v>115</v>
      </c>
      <c r="C4" s="1"/>
      <c r="D4" s="1"/>
      <c r="E4" s="1"/>
      <c r="F4" s="1"/>
    </row>
    <row r="5" spans="1:6" ht="18.5" x14ac:dyDescent="0.45">
      <c r="A5" s="1" t="s">
        <v>24</v>
      </c>
      <c r="B5" s="1"/>
      <c r="C5" s="1"/>
      <c r="D5" s="1"/>
      <c r="E5" s="1"/>
      <c r="F5" s="1"/>
    </row>
    <row r="6" spans="1:6" ht="18.5" x14ac:dyDescent="0.45">
      <c r="A6" s="1" t="s">
        <v>85</v>
      </c>
      <c r="B6" s="1"/>
      <c r="C6" s="1"/>
      <c r="D6" s="1" t="s">
        <v>86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4" t="s">
        <v>27</v>
      </c>
      <c r="B8" s="4">
        <v>1781</v>
      </c>
      <c r="C8" s="4" t="s">
        <v>31</v>
      </c>
      <c r="D8" s="5">
        <v>110000</v>
      </c>
      <c r="E8" s="5">
        <v>110000</v>
      </c>
      <c r="F8" s="5">
        <v>280000</v>
      </c>
    </row>
    <row r="9" spans="1:6" x14ac:dyDescent="0.35">
      <c r="A9" s="4" t="s">
        <v>28</v>
      </c>
      <c r="B9" s="4"/>
      <c r="C9" s="4" t="s">
        <v>89</v>
      </c>
      <c r="D9" s="5">
        <v>20000</v>
      </c>
      <c r="E9" s="5">
        <f>SUM(E8+D9)</f>
        <v>130000</v>
      </c>
      <c r="F9" s="5">
        <f>F8-D9</f>
        <v>260000</v>
      </c>
    </row>
    <row r="10" spans="1:6" x14ac:dyDescent="0.35">
      <c r="A10" s="4" t="s">
        <v>88</v>
      </c>
      <c r="B10" s="4">
        <v>31</v>
      </c>
      <c r="C10" s="4" t="s">
        <v>14</v>
      </c>
      <c r="D10" s="5">
        <v>10000</v>
      </c>
      <c r="E10" s="5">
        <f t="shared" ref="E10:E34" si="0">SUM(E9+D10)</f>
        <v>140000</v>
      </c>
      <c r="F10" s="5">
        <f t="shared" ref="F10:F34" si="1">F9-D10</f>
        <v>250000</v>
      </c>
    </row>
    <row r="11" spans="1:6" x14ac:dyDescent="0.35">
      <c r="A11" s="3">
        <v>45266</v>
      </c>
      <c r="B11" s="4">
        <v>499</v>
      </c>
      <c r="C11" s="4" t="s">
        <v>14</v>
      </c>
      <c r="D11" s="5">
        <v>10000</v>
      </c>
      <c r="E11" s="5">
        <f t="shared" si="0"/>
        <v>150000</v>
      </c>
      <c r="F11" s="5">
        <f t="shared" si="1"/>
        <v>240000</v>
      </c>
    </row>
    <row r="12" spans="1:6" x14ac:dyDescent="0.35">
      <c r="A12" s="4" t="s">
        <v>29</v>
      </c>
      <c r="B12" s="4">
        <v>2833</v>
      </c>
      <c r="C12" s="4" t="s">
        <v>14</v>
      </c>
      <c r="D12" s="5">
        <v>10000</v>
      </c>
      <c r="E12" s="5">
        <f t="shared" si="0"/>
        <v>160000</v>
      </c>
      <c r="F12" s="5">
        <f t="shared" si="1"/>
        <v>230000</v>
      </c>
    </row>
    <row r="13" spans="1:6" x14ac:dyDescent="0.35">
      <c r="A13" s="3">
        <v>45207</v>
      </c>
      <c r="B13" s="4">
        <v>2383</v>
      </c>
      <c r="C13" s="4" t="s">
        <v>14</v>
      </c>
      <c r="D13" s="5">
        <v>20000</v>
      </c>
      <c r="E13" s="5">
        <f t="shared" si="0"/>
        <v>180000</v>
      </c>
      <c r="F13" s="5">
        <f t="shared" si="1"/>
        <v>210000</v>
      </c>
    </row>
    <row r="14" spans="1:6" x14ac:dyDescent="0.35">
      <c r="A14" s="4" t="s">
        <v>30</v>
      </c>
      <c r="B14" s="4">
        <v>3612</v>
      </c>
      <c r="C14" s="4" t="s">
        <v>14</v>
      </c>
      <c r="D14" s="5">
        <v>10000</v>
      </c>
      <c r="E14" s="5">
        <f t="shared" si="0"/>
        <v>190000</v>
      </c>
      <c r="F14" s="5">
        <f t="shared" si="1"/>
        <v>200000</v>
      </c>
    </row>
    <row r="15" spans="1:6" x14ac:dyDescent="0.35">
      <c r="A15" s="3">
        <v>45209</v>
      </c>
      <c r="B15" s="4">
        <v>4187</v>
      </c>
      <c r="C15" s="4" t="s">
        <v>14</v>
      </c>
      <c r="D15" s="5">
        <v>10000</v>
      </c>
      <c r="E15" s="5">
        <f t="shared" si="0"/>
        <v>200000</v>
      </c>
      <c r="F15" s="5">
        <f t="shared" si="1"/>
        <v>190000</v>
      </c>
    </row>
    <row r="16" spans="1:6" x14ac:dyDescent="0.35">
      <c r="A16" s="3">
        <v>45180</v>
      </c>
      <c r="B16" s="4">
        <v>9745</v>
      </c>
      <c r="C16" s="4" t="s">
        <v>14</v>
      </c>
      <c r="D16" s="5">
        <v>10000</v>
      </c>
      <c r="E16" s="5">
        <f t="shared" si="0"/>
        <v>210000</v>
      </c>
      <c r="F16" s="5">
        <f t="shared" si="1"/>
        <v>180000</v>
      </c>
    </row>
    <row r="17" spans="1:6" x14ac:dyDescent="0.35">
      <c r="A17" s="3">
        <v>45089</v>
      </c>
      <c r="B17" s="4">
        <v>5335</v>
      </c>
      <c r="C17" s="4" t="s">
        <v>14</v>
      </c>
      <c r="D17" s="5">
        <v>10000</v>
      </c>
      <c r="E17" s="5">
        <f t="shared" si="0"/>
        <v>220000</v>
      </c>
      <c r="F17" s="5">
        <f t="shared" si="1"/>
        <v>170000</v>
      </c>
    </row>
    <row r="18" spans="1:6" x14ac:dyDescent="0.35">
      <c r="A18" s="3">
        <v>45505</v>
      </c>
      <c r="B18" s="4">
        <v>6005</v>
      </c>
      <c r="C18" s="4" t="s">
        <v>14</v>
      </c>
      <c r="D18" s="5">
        <v>10000</v>
      </c>
      <c r="E18" s="5">
        <f t="shared" si="0"/>
        <v>230000</v>
      </c>
      <c r="F18" s="5">
        <f t="shared" si="1"/>
        <v>160000</v>
      </c>
    </row>
    <row r="19" spans="1:6" x14ac:dyDescent="0.35">
      <c r="A19" s="3">
        <v>45414</v>
      </c>
      <c r="B19" s="4">
        <v>7190</v>
      </c>
      <c r="C19" s="4" t="s">
        <v>14</v>
      </c>
      <c r="D19" s="5">
        <v>10000</v>
      </c>
      <c r="E19" s="5">
        <f t="shared" si="0"/>
        <v>240000</v>
      </c>
      <c r="F19" s="5">
        <f t="shared" si="1"/>
        <v>150000</v>
      </c>
    </row>
    <row r="20" spans="1:6" x14ac:dyDescent="0.35">
      <c r="A20" s="3">
        <v>45599</v>
      </c>
      <c r="B20" s="4">
        <v>7302</v>
      </c>
      <c r="C20" s="4" t="s">
        <v>14</v>
      </c>
      <c r="D20" s="5">
        <v>10000</v>
      </c>
      <c r="E20" s="5">
        <f t="shared" si="0"/>
        <v>250000</v>
      </c>
      <c r="F20" s="5">
        <f t="shared" si="1"/>
        <v>140000</v>
      </c>
    </row>
    <row r="21" spans="1:6" x14ac:dyDescent="0.35">
      <c r="A21" s="4" t="s">
        <v>35</v>
      </c>
      <c r="B21" s="4">
        <v>7985</v>
      </c>
      <c r="C21" s="4" t="s">
        <v>14</v>
      </c>
      <c r="D21" s="5">
        <v>10000</v>
      </c>
      <c r="E21" s="5">
        <f t="shared" si="0"/>
        <v>260000</v>
      </c>
      <c r="F21" s="5">
        <f t="shared" si="1"/>
        <v>130000</v>
      </c>
    </row>
    <row r="22" spans="1:6" x14ac:dyDescent="0.35">
      <c r="A22" s="4" t="s">
        <v>36</v>
      </c>
      <c r="B22" s="4">
        <v>8490</v>
      </c>
      <c r="C22" s="4" t="s">
        <v>14</v>
      </c>
      <c r="D22" s="5">
        <v>10000</v>
      </c>
      <c r="E22" s="5">
        <f t="shared" si="0"/>
        <v>270000</v>
      </c>
      <c r="F22" s="5">
        <f t="shared" si="1"/>
        <v>120000</v>
      </c>
    </row>
    <row r="23" spans="1:6" x14ac:dyDescent="0.35">
      <c r="A23" s="4" t="s">
        <v>37</v>
      </c>
      <c r="B23" s="4">
        <v>9079</v>
      </c>
      <c r="C23" s="4" t="s">
        <v>14</v>
      </c>
      <c r="D23" s="5">
        <v>10000</v>
      </c>
      <c r="E23" s="5">
        <f t="shared" si="0"/>
        <v>280000</v>
      </c>
      <c r="F23" s="5">
        <f t="shared" si="1"/>
        <v>110000</v>
      </c>
    </row>
    <row r="24" spans="1:6" x14ac:dyDescent="0.35">
      <c r="A24" s="4" t="s">
        <v>12</v>
      </c>
      <c r="B24" s="4">
        <v>9561</v>
      </c>
      <c r="C24" s="4" t="s">
        <v>14</v>
      </c>
      <c r="D24" s="5">
        <v>10000</v>
      </c>
      <c r="E24" s="5">
        <f t="shared" si="0"/>
        <v>290000</v>
      </c>
      <c r="F24" s="5">
        <f t="shared" si="1"/>
        <v>100000</v>
      </c>
    </row>
    <row r="25" spans="1:6" x14ac:dyDescent="0.35">
      <c r="A25" s="4" t="s">
        <v>90</v>
      </c>
      <c r="B25" s="4">
        <v>11514</v>
      </c>
      <c r="C25" s="4" t="s">
        <v>14</v>
      </c>
      <c r="D25" s="5">
        <v>10000</v>
      </c>
      <c r="E25" s="5">
        <f t="shared" si="0"/>
        <v>300000</v>
      </c>
      <c r="F25" s="5">
        <f t="shared" si="1"/>
        <v>90000</v>
      </c>
    </row>
    <row r="26" spans="1:6" x14ac:dyDescent="0.35">
      <c r="A26" s="3">
        <v>45574</v>
      </c>
      <c r="B26" s="4">
        <v>10669</v>
      </c>
      <c r="C26" s="4" t="s">
        <v>14</v>
      </c>
      <c r="D26" s="5">
        <v>10000</v>
      </c>
      <c r="E26" s="5">
        <f t="shared" si="0"/>
        <v>310000</v>
      </c>
      <c r="F26" s="5">
        <f t="shared" si="1"/>
        <v>80000</v>
      </c>
    </row>
    <row r="27" spans="1:6" x14ac:dyDescent="0.35">
      <c r="A27" s="3">
        <v>45545</v>
      </c>
      <c r="B27" s="4">
        <v>11331</v>
      </c>
      <c r="C27" s="4" t="s">
        <v>14</v>
      </c>
      <c r="D27" s="5">
        <v>10000</v>
      </c>
      <c r="E27" s="5">
        <f t="shared" si="0"/>
        <v>320000</v>
      </c>
      <c r="F27" s="5">
        <f t="shared" si="1"/>
        <v>70000</v>
      </c>
    </row>
    <row r="28" spans="1:6" x14ac:dyDescent="0.35">
      <c r="A28" s="3">
        <v>45607</v>
      </c>
      <c r="B28" s="4">
        <v>10136</v>
      </c>
      <c r="C28" s="4" t="s">
        <v>14</v>
      </c>
      <c r="D28" s="5">
        <v>10000</v>
      </c>
      <c r="E28" s="5">
        <f t="shared" si="0"/>
        <v>330000</v>
      </c>
      <c r="F28" s="5">
        <f t="shared" si="1"/>
        <v>60000</v>
      </c>
    </row>
    <row r="29" spans="1:6" x14ac:dyDescent="0.35">
      <c r="A29" s="3">
        <v>45424</v>
      </c>
      <c r="B29" s="4">
        <v>12594</v>
      </c>
      <c r="C29" s="4" t="s">
        <v>14</v>
      </c>
      <c r="D29" s="5">
        <v>10000</v>
      </c>
      <c r="E29" s="5">
        <f t="shared" si="0"/>
        <v>340000</v>
      </c>
      <c r="F29" s="5">
        <f t="shared" si="1"/>
        <v>50000</v>
      </c>
    </row>
    <row r="30" spans="1:6" x14ac:dyDescent="0.35">
      <c r="A30" s="3">
        <v>45809</v>
      </c>
      <c r="B30" s="4">
        <v>10135</v>
      </c>
      <c r="C30" s="4" t="s">
        <v>14</v>
      </c>
      <c r="D30" s="5">
        <v>10000</v>
      </c>
      <c r="E30" s="5">
        <f t="shared" si="0"/>
        <v>350000</v>
      </c>
      <c r="F30" s="5">
        <f t="shared" si="1"/>
        <v>40000</v>
      </c>
    </row>
    <row r="31" spans="1:6" x14ac:dyDescent="0.35">
      <c r="A31" s="3">
        <v>45932</v>
      </c>
      <c r="B31" s="4">
        <v>9321</v>
      </c>
      <c r="C31" s="4" t="s">
        <v>14</v>
      </c>
      <c r="D31" s="5">
        <v>10000</v>
      </c>
      <c r="E31" s="5">
        <f t="shared" si="0"/>
        <v>360000</v>
      </c>
      <c r="F31" s="5">
        <f t="shared" si="1"/>
        <v>30000</v>
      </c>
    </row>
    <row r="32" spans="1:6" x14ac:dyDescent="0.35">
      <c r="A32" s="3">
        <v>45811</v>
      </c>
      <c r="B32" s="4">
        <v>10134</v>
      </c>
      <c r="C32" s="4" t="s">
        <v>14</v>
      </c>
      <c r="D32" s="5">
        <v>10000</v>
      </c>
      <c r="E32" s="5">
        <f t="shared" si="0"/>
        <v>370000</v>
      </c>
      <c r="F32" s="5">
        <f t="shared" si="1"/>
        <v>20000</v>
      </c>
    </row>
    <row r="33" spans="1:6" x14ac:dyDescent="0.35">
      <c r="A33" s="3">
        <v>45873</v>
      </c>
      <c r="B33" s="4">
        <v>9975</v>
      </c>
      <c r="C33" s="4" t="s">
        <v>14</v>
      </c>
      <c r="D33" s="5">
        <v>10000</v>
      </c>
      <c r="E33" s="5">
        <f t="shared" si="0"/>
        <v>380000</v>
      </c>
      <c r="F33" s="5">
        <f t="shared" si="1"/>
        <v>10000</v>
      </c>
    </row>
    <row r="34" spans="1:6" x14ac:dyDescent="0.35">
      <c r="A34" s="4" t="s">
        <v>91</v>
      </c>
      <c r="B34" s="4">
        <v>13033</v>
      </c>
      <c r="C34" s="4" t="s">
        <v>14</v>
      </c>
      <c r="D34" s="5">
        <v>10000</v>
      </c>
      <c r="E34" s="5">
        <f t="shared" si="0"/>
        <v>390000</v>
      </c>
      <c r="F34" s="5">
        <f t="shared" si="1"/>
        <v>0</v>
      </c>
    </row>
    <row r="35" spans="1:6" x14ac:dyDescent="0.35">
      <c r="A35" t="s">
        <v>92</v>
      </c>
    </row>
    <row r="36" spans="1:6" x14ac:dyDescent="0.35">
      <c r="A3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0489-16FE-4AF0-BC4F-E118ED7C908F}">
  <dimension ref="A1:F39"/>
  <sheetViews>
    <sheetView tabSelected="1" topLeftCell="A25" workbookViewId="0">
      <selection activeCell="F39" sqref="F39"/>
    </sheetView>
  </sheetViews>
  <sheetFormatPr defaultRowHeight="14.5" x14ac:dyDescent="0.35"/>
  <cols>
    <col min="1" max="1" width="9.453125" bestFit="1" customWidth="1"/>
    <col min="3" max="3" width="12.54296875" customWidth="1"/>
    <col min="6" max="6" width="11.81640625" customWidth="1"/>
  </cols>
  <sheetData>
    <row r="1" spans="1:6" ht="18.5" x14ac:dyDescent="0.45">
      <c r="A1" s="1" t="s">
        <v>39</v>
      </c>
      <c r="B1" s="1"/>
      <c r="C1" s="1"/>
      <c r="D1" s="1"/>
      <c r="E1" s="1"/>
      <c r="F1" s="1"/>
    </row>
    <row r="2" spans="1:6" ht="18.5" x14ac:dyDescent="0.45">
      <c r="A2" s="1" t="s">
        <v>40</v>
      </c>
      <c r="B2" s="1"/>
      <c r="C2" s="1"/>
      <c r="D2" s="1"/>
      <c r="E2" s="1"/>
      <c r="F2" s="1"/>
    </row>
    <row r="3" spans="1:6" ht="18.5" x14ac:dyDescent="0.45">
      <c r="A3" s="1" t="s">
        <v>41</v>
      </c>
      <c r="B3" s="1"/>
      <c r="C3" s="1"/>
      <c r="D3" s="1"/>
      <c r="E3" s="1"/>
      <c r="F3" s="1"/>
    </row>
    <row r="4" spans="1:6" ht="18.5" x14ac:dyDescent="0.45">
      <c r="A4" s="1" t="s">
        <v>94</v>
      </c>
      <c r="B4" s="1"/>
      <c r="C4" s="1"/>
      <c r="D4" s="1"/>
      <c r="E4" s="1"/>
      <c r="F4" s="1"/>
    </row>
    <row r="5" spans="1:6" ht="18.5" x14ac:dyDescent="0.45">
      <c r="A5" s="1" t="s">
        <v>42</v>
      </c>
      <c r="B5" s="1"/>
      <c r="C5" s="1"/>
      <c r="D5" s="1"/>
      <c r="E5" s="1"/>
      <c r="F5" s="1"/>
    </row>
    <row r="6" spans="1:6" ht="18.5" x14ac:dyDescent="0.45">
      <c r="A6" s="1" t="s">
        <v>43</v>
      </c>
      <c r="B6" s="1"/>
      <c r="C6" s="1"/>
      <c r="D6" s="1" t="s">
        <v>44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8" t="s">
        <v>45</v>
      </c>
      <c r="B8" s="8">
        <v>1405</v>
      </c>
      <c r="C8" s="8" t="s">
        <v>54</v>
      </c>
      <c r="D8" s="9">
        <v>170000</v>
      </c>
      <c r="E8" s="9">
        <v>170000</v>
      </c>
      <c r="F8" s="9">
        <v>280000</v>
      </c>
    </row>
    <row r="9" spans="1:6" x14ac:dyDescent="0.35">
      <c r="A9" s="10">
        <v>44931</v>
      </c>
      <c r="B9" s="8">
        <v>1406</v>
      </c>
      <c r="C9" s="8" t="s">
        <v>14</v>
      </c>
      <c r="D9" s="9">
        <v>10000</v>
      </c>
      <c r="E9" s="9">
        <f>SUM(E8+D9)</f>
        <v>180000</v>
      </c>
      <c r="F9" s="9">
        <f>F8-D9</f>
        <v>270000</v>
      </c>
    </row>
    <row r="10" spans="1:6" x14ac:dyDescent="0.35">
      <c r="A10" s="10">
        <v>44932</v>
      </c>
      <c r="B10" s="8">
        <v>289</v>
      </c>
      <c r="C10" s="8" t="s">
        <v>14</v>
      </c>
      <c r="D10" s="9">
        <v>10000</v>
      </c>
      <c r="E10" s="9">
        <f t="shared" ref="E10:E35" si="0">SUM(E9+D10)</f>
        <v>190000</v>
      </c>
      <c r="F10" s="9">
        <f t="shared" ref="F10:F35" si="1">F9-D10</f>
        <v>260000</v>
      </c>
    </row>
    <row r="11" spans="1:6" x14ac:dyDescent="0.35">
      <c r="A11" s="8" t="s">
        <v>46</v>
      </c>
      <c r="B11" s="8">
        <v>2564</v>
      </c>
      <c r="C11" s="8" t="s">
        <v>14</v>
      </c>
      <c r="D11" s="9">
        <v>10000</v>
      </c>
      <c r="E11" s="9">
        <f t="shared" si="0"/>
        <v>200000</v>
      </c>
      <c r="F11" s="9">
        <f t="shared" si="1"/>
        <v>250000</v>
      </c>
    </row>
    <row r="12" spans="1:6" x14ac:dyDescent="0.35">
      <c r="A12" s="8" t="s">
        <v>47</v>
      </c>
      <c r="B12" s="8">
        <v>3326</v>
      </c>
      <c r="C12" s="8" t="s">
        <v>14</v>
      </c>
      <c r="D12" s="9">
        <v>10000</v>
      </c>
      <c r="E12" s="9">
        <f t="shared" si="0"/>
        <v>210000</v>
      </c>
      <c r="F12" s="9">
        <f t="shared" si="1"/>
        <v>240000</v>
      </c>
    </row>
    <row r="13" spans="1:6" x14ac:dyDescent="0.35">
      <c r="A13" s="8" t="s">
        <v>48</v>
      </c>
      <c r="B13" s="8">
        <v>3884</v>
      </c>
      <c r="C13" s="8" t="s">
        <v>14</v>
      </c>
      <c r="D13" s="9">
        <v>10000</v>
      </c>
      <c r="E13" s="9">
        <f t="shared" si="0"/>
        <v>220000</v>
      </c>
      <c r="F13" s="9">
        <f t="shared" si="1"/>
        <v>230000</v>
      </c>
    </row>
    <row r="14" spans="1:6" x14ac:dyDescent="0.35">
      <c r="A14" s="8" t="s">
        <v>49</v>
      </c>
      <c r="B14" s="8">
        <v>4582</v>
      </c>
      <c r="C14" s="8" t="s">
        <v>14</v>
      </c>
      <c r="D14" s="9">
        <v>10000</v>
      </c>
      <c r="E14" s="9">
        <f t="shared" si="0"/>
        <v>230000</v>
      </c>
      <c r="F14" s="9">
        <f t="shared" si="1"/>
        <v>220000</v>
      </c>
    </row>
    <row r="15" spans="1:6" x14ac:dyDescent="0.35">
      <c r="A15" s="8" t="s">
        <v>50</v>
      </c>
      <c r="B15" s="8">
        <v>5209</v>
      </c>
      <c r="C15" s="8" t="s">
        <v>14</v>
      </c>
      <c r="D15" s="9">
        <v>10000</v>
      </c>
      <c r="E15" s="9">
        <f t="shared" si="0"/>
        <v>240000</v>
      </c>
      <c r="F15" s="9">
        <f t="shared" si="1"/>
        <v>210000</v>
      </c>
    </row>
    <row r="16" spans="1:6" x14ac:dyDescent="0.35">
      <c r="A16" s="8" t="s">
        <v>51</v>
      </c>
      <c r="B16" s="8">
        <v>5862</v>
      </c>
      <c r="C16" s="8" t="s">
        <v>14</v>
      </c>
      <c r="D16" s="9">
        <v>10000</v>
      </c>
      <c r="E16" s="9">
        <f t="shared" si="0"/>
        <v>250000</v>
      </c>
      <c r="F16" s="9">
        <f t="shared" si="1"/>
        <v>200000</v>
      </c>
    </row>
    <row r="17" spans="1:6" x14ac:dyDescent="0.35">
      <c r="A17" s="8" t="s">
        <v>52</v>
      </c>
      <c r="B17" s="8">
        <v>6479</v>
      </c>
      <c r="C17" s="8" t="s">
        <v>14</v>
      </c>
      <c r="D17" s="9">
        <v>10000</v>
      </c>
      <c r="E17" s="9">
        <f t="shared" si="0"/>
        <v>260000</v>
      </c>
      <c r="F17" s="9">
        <f t="shared" si="1"/>
        <v>190000</v>
      </c>
    </row>
    <row r="18" spans="1:6" x14ac:dyDescent="0.35">
      <c r="A18" s="8" t="s">
        <v>53</v>
      </c>
      <c r="B18" s="8">
        <v>6851</v>
      </c>
      <c r="C18" s="8" t="s">
        <v>14</v>
      </c>
      <c r="D18" s="9">
        <v>10000</v>
      </c>
      <c r="E18" s="9">
        <f t="shared" si="0"/>
        <v>270000</v>
      </c>
      <c r="F18" s="9">
        <f t="shared" si="1"/>
        <v>180000</v>
      </c>
    </row>
    <row r="19" spans="1:6" x14ac:dyDescent="0.35">
      <c r="A19" s="8" t="s">
        <v>55</v>
      </c>
      <c r="B19" s="8">
        <v>7608</v>
      </c>
      <c r="C19" s="8" t="s">
        <v>14</v>
      </c>
      <c r="D19" s="9">
        <v>10000</v>
      </c>
      <c r="E19" s="9">
        <f t="shared" si="0"/>
        <v>280000</v>
      </c>
      <c r="F19" s="9">
        <f t="shared" si="1"/>
        <v>170000</v>
      </c>
    </row>
    <row r="20" spans="1:6" x14ac:dyDescent="0.35">
      <c r="A20" s="8" t="s">
        <v>56</v>
      </c>
      <c r="B20" s="8">
        <v>8165</v>
      </c>
      <c r="C20" s="8" t="s">
        <v>14</v>
      </c>
      <c r="D20" s="9">
        <v>10000</v>
      </c>
      <c r="E20" s="9">
        <f t="shared" si="0"/>
        <v>290000</v>
      </c>
      <c r="F20" s="9">
        <f t="shared" si="1"/>
        <v>160000</v>
      </c>
    </row>
    <row r="21" spans="1:6" x14ac:dyDescent="0.35">
      <c r="A21" s="8" t="s">
        <v>57</v>
      </c>
      <c r="B21" s="8">
        <v>8744</v>
      </c>
      <c r="C21" s="8" t="s">
        <v>14</v>
      </c>
      <c r="D21" s="9">
        <v>10000</v>
      </c>
      <c r="E21" s="9">
        <f t="shared" si="0"/>
        <v>300000</v>
      </c>
      <c r="F21" s="9">
        <f t="shared" si="1"/>
        <v>150000</v>
      </c>
    </row>
    <row r="22" spans="1:6" x14ac:dyDescent="0.35">
      <c r="A22" s="8" t="s">
        <v>58</v>
      </c>
      <c r="B22" s="8">
        <v>9318</v>
      </c>
      <c r="C22" s="8" t="s">
        <v>14</v>
      </c>
      <c r="D22" s="9">
        <v>10000</v>
      </c>
      <c r="E22" s="9">
        <f t="shared" si="0"/>
        <v>310000</v>
      </c>
      <c r="F22" s="9">
        <f t="shared" si="1"/>
        <v>140000</v>
      </c>
    </row>
    <row r="23" spans="1:6" x14ac:dyDescent="0.35">
      <c r="A23" s="10">
        <v>45451</v>
      </c>
      <c r="B23" s="8">
        <v>10058</v>
      </c>
      <c r="C23" s="8" t="s">
        <v>14</v>
      </c>
      <c r="D23" s="9">
        <v>10000</v>
      </c>
      <c r="E23" s="9">
        <f t="shared" si="0"/>
        <v>320000</v>
      </c>
      <c r="F23" s="9">
        <f t="shared" si="1"/>
        <v>130000</v>
      </c>
    </row>
    <row r="24" spans="1:6" x14ac:dyDescent="0.35">
      <c r="A24" s="10">
        <v>45360</v>
      </c>
      <c r="B24" s="8">
        <v>10492</v>
      </c>
      <c r="C24" s="8" t="s">
        <v>14</v>
      </c>
      <c r="D24" s="9">
        <v>10000</v>
      </c>
      <c r="E24" s="9">
        <f t="shared" si="0"/>
        <v>330000</v>
      </c>
      <c r="F24" s="9">
        <f t="shared" si="1"/>
        <v>120000</v>
      </c>
    </row>
    <row r="25" spans="1:6" x14ac:dyDescent="0.35">
      <c r="A25" s="10">
        <v>45361</v>
      </c>
      <c r="B25" s="8">
        <v>10192</v>
      </c>
      <c r="C25" s="8" t="s">
        <v>14</v>
      </c>
      <c r="D25" s="9">
        <v>10000</v>
      </c>
      <c r="E25" s="9">
        <f t="shared" si="0"/>
        <v>340000</v>
      </c>
      <c r="F25" s="9">
        <f t="shared" si="1"/>
        <v>110000</v>
      </c>
    </row>
    <row r="26" spans="1:6" x14ac:dyDescent="0.35">
      <c r="A26" s="10">
        <v>45333</v>
      </c>
      <c r="B26" s="8">
        <v>11909</v>
      </c>
      <c r="C26" s="8" t="s">
        <v>14</v>
      </c>
      <c r="D26" s="9">
        <v>10000</v>
      </c>
      <c r="E26" s="9">
        <f t="shared" si="0"/>
        <v>350000</v>
      </c>
      <c r="F26" s="9">
        <f t="shared" si="1"/>
        <v>100000</v>
      </c>
    </row>
    <row r="27" spans="1:6" x14ac:dyDescent="0.35">
      <c r="A27" s="10">
        <v>45424</v>
      </c>
      <c r="B27" s="8">
        <v>12589</v>
      </c>
      <c r="C27" s="8" t="s">
        <v>14</v>
      </c>
      <c r="D27" s="9">
        <v>10000</v>
      </c>
      <c r="E27" s="9">
        <f t="shared" si="0"/>
        <v>360000</v>
      </c>
      <c r="F27" s="9">
        <f t="shared" si="1"/>
        <v>90000</v>
      </c>
    </row>
    <row r="28" spans="1:6" x14ac:dyDescent="0.35">
      <c r="A28" s="10">
        <v>45778</v>
      </c>
      <c r="B28" s="8">
        <v>12895</v>
      </c>
      <c r="C28" s="8" t="s">
        <v>14</v>
      </c>
      <c r="D28" s="9">
        <v>10000</v>
      </c>
      <c r="E28" s="9">
        <f t="shared" si="0"/>
        <v>370000</v>
      </c>
      <c r="F28" s="9">
        <f t="shared" si="1"/>
        <v>80000</v>
      </c>
    </row>
    <row r="29" spans="1:6" x14ac:dyDescent="0.35">
      <c r="A29" s="10">
        <v>45902</v>
      </c>
      <c r="B29" s="8">
        <v>9269</v>
      </c>
      <c r="C29" s="8" t="s">
        <v>14</v>
      </c>
      <c r="D29" s="9">
        <v>10000</v>
      </c>
      <c r="E29" s="9">
        <f t="shared" si="0"/>
        <v>380000</v>
      </c>
      <c r="F29" s="9">
        <f t="shared" si="1"/>
        <v>70000</v>
      </c>
    </row>
    <row r="30" spans="1:6" x14ac:dyDescent="0.35">
      <c r="A30" s="10">
        <v>45903</v>
      </c>
      <c r="B30" s="8">
        <v>9656</v>
      </c>
      <c r="C30" s="8" t="s">
        <v>14</v>
      </c>
      <c r="D30" s="9">
        <v>10000</v>
      </c>
      <c r="E30" s="9">
        <f t="shared" si="0"/>
        <v>390000</v>
      </c>
      <c r="F30" s="9">
        <f t="shared" si="1"/>
        <v>60000</v>
      </c>
    </row>
    <row r="31" spans="1:6" x14ac:dyDescent="0.35">
      <c r="A31" s="10">
        <v>45995</v>
      </c>
      <c r="B31" s="8">
        <v>10141</v>
      </c>
      <c r="C31" s="8" t="s">
        <v>14</v>
      </c>
      <c r="D31" s="9">
        <v>10000</v>
      </c>
      <c r="E31" s="9">
        <f t="shared" si="0"/>
        <v>400000</v>
      </c>
      <c r="F31" s="9">
        <f t="shared" si="1"/>
        <v>50000</v>
      </c>
    </row>
    <row r="32" spans="1:6" x14ac:dyDescent="0.35">
      <c r="A32" s="10">
        <v>45783</v>
      </c>
      <c r="B32" s="8">
        <v>10460</v>
      </c>
      <c r="C32" s="8" t="s">
        <v>14</v>
      </c>
      <c r="D32" s="9">
        <v>20000</v>
      </c>
      <c r="E32" s="9">
        <f t="shared" si="0"/>
        <v>420000</v>
      </c>
      <c r="F32" s="9">
        <f t="shared" si="1"/>
        <v>30000</v>
      </c>
    </row>
    <row r="33" spans="1:6" x14ac:dyDescent="0.35">
      <c r="A33" s="10">
        <v>45877</v>
      </c>
      <c r="B33" s="8">
        <v>12435</v>
      </c>
      <c r="C33" s="8" t="s">
        <v>14</v>
      </c>
      <c r="D33" s="9">
        <v>10000</v>
      </c>
      <c r="E33" s="9">
        <f t="shared" si="0"/>
        <v>430000</v>
      </c>
      <c r="F33" s="9">
        <f t="shared" si="1"/>
        <v>20000</v>
      </c>
    </row>
    <row r="34" spans="1:6" x14ac:dyDescent="0.35">
      <c r="A34" s="10">
        <v>45909</v>
      </c>
      <c r="B34" s="8">
        <v>12682</v>
      </c>
      <c r="C34" s="8" t="s">
        <v>14</v>
      </c>
      <c r="D34" s="9">
        <v>10000</v>
      </c>
      <c r="E34" s="9">
        <f t="shared" si="0"/>
        <v>440000</v>
      </c>
      <c r="F34" s="9">
        <f t="shared" si="1"/>
        <v>10000</v>
      </c>
    </row>
    <row r="35" spans="1:6" x14ac:dyDescent="0.35">
      <c r="A35" s="10">
        <v>45849</v>
      </c>
      <c r="B35" s="8">
        <v>13451</v>
      </c>
      <c r="C35" s="8" t="s">
        <v>14</v>
      </c>
      <c r="D35" s="9">
        <v>10000</v>
      </c>
      <c r="E35" s="9">
        <f t="shared" si="0"/>
        <v>450000</v>
      </c>
      <c r="F35" s="9">
        <f t="shared" si="1"/>
        <v>0</v>
      </c>
    </row>
    <row r="36" spans="1:6" x14ac:dyDescent="0.35">
      <c r="C36" t="s">
        <v>59</v>
      </c>
    </row>
    <row r="37" spans="1:6" x14ac:dyDescent="0.35">
      <c r="A37" t="s">
        <v>93</v>
      </c>
    </row>
    <row r="39" spans="1:6" x14ac:dyDescent="0.35">
      <c r="A39" t="s">
        <v>116</v>
      </c>
      <c r="B39">
        <v>1867</v>
      </c>
      <c r="C39" t="s">
        <v>117</v>
      </c>
      <c r="D39" s="6">
        <v>150000</v>
      </c>
      <c r="E39" s="6">
        <v>185000</v>
      </c>
      <c r="F3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C52C-2E8C-471D-92CC-9E6D67485A02}">
  <dimension ref="A1:F34"/>
  <sheetViews>
    <sheetView workbookViewId="0">
      <selection activeCell="J16" sqref="J16"/>
    </sheetView>
  </sheetViews>
  <sheetFormatPr defaultRowHeight="14.5" x14ac:dyDescent="0.35"/>
  <cols>
    <col min="1" max="1" width="12.6328125" customWidth="1"/>
    <col min="3" max="3" width="11.1796875" customWidth="1"/>
    <col min="6" max="6" width="11.6328125" customWidth="1"/>
  </cols>
  <sheetData>
    <row r="1" spans="1:6" ht="18.5" x14ac:dyDescent="0.45">
      <c r="A1" s="1" t="s">
        <v>95</v>
      </c>
      <c r="B1" s="1"/>
      <c r="C1" s="1"/>
      <c r="D1" s="1"/>
      <c r="E1" s="1"/>
      <c r="F1" s="1"/>
    </row>
    <row r="2" spans="1:6" ht="18.5" x14ac:dyDescent="0.45">
      <c r="A2" s="1" t="s">
        <v>96</v>
      </c>
      <c r="B2" s="1"/>
      <c r="C2" s="1"/>
      <c r="D2" s="1"/>
      <c r="E2" s="1"/>
      <c r="F2" s="1"/>
    </row>
    <row r="3" spans="1:6" ht="18.5" x14ac:dyDescent="0.45">
      <c r="A3" s="1" t="s">
        <v>97</v>
      </c>
      <c r="B3" s="1"/>
      <c r="C3" s="1"/>
      <c r="D3" s="1"/>
      <c r="E3" s="1"/>
      <c r="F3" s="1"/>
    </row>
    <row r="4" spans="1:6" ht="18.5" x14ac:dyDescent="0.45">
      <c r="A4" s="1" t="s">
        <v>100</v>
      </c>
      <c r="B4" s="1"/>
      <c r="C4" s="1"/>
      <c r="D4" s="1"/>
      <c r="E4" s="1"/>
      <c r="F4" s="1"/>
    </row>
    <row r="5" spans="1:6" ht="18.5" x14ac:dyDescent="0.45">
      <c r="A5" s="1" t="s">
        <v>98</v>
      </c>
      <c r="B5" s="1"/>
      <c r="C5" s="1"/>
      <c r="D5" s="1"/>
      <c r="E5" s="1"/>
      <c r="F5" s="1"/>
    </row>
    <row r="6" spans="1:6" ht="18.5" x14ac:dyDescent="0.45">
      <c r="A6" s="1" t="s">
        <v>99</v>
      </c>
      <c r="B6" s="1"/>
      <c r="C6" s="1"/>
      <c r="D6" s="1" t="s">
        <v>44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56</v>
      </c>
      <c r="B8">
        <v>2734</v>
      </c>
      <c r="C8" t="s">
        <v>31</v>
      </c>
      <c r="D8" s="6">
        <v>180000</v>
      </c>
      <c r="E8" s="6">
        <v>180000</v>
      </c>
      <c r="F8" s="6">
        <v>270000</v>
      </c>
    </row>
    <row r="9" spans="1:6" x14ac:dyDescent="0.35">
      <c r="A9" s="12">
        <v>45110</v>
      </c>
      <c r="B9">
        <v>2735</v>
      </c>
      <c r="C9" t="s">
        <v>106</v>
      </c>
      <c r="D9" s="6">
        <v>30000</v>
      </c>
      <c r="E9" s="6">
        <f>SUM(E8+D9)</f>
        <v>210000</v>
      </c>
      <c r="F9" s="6">
        <f>F8-D9</f>
        <v>240000</v>
      </c>
    </row>
    <row r="10" spans="1:6" x14ac:dyDescent="0.35">
      <c r="A10" s="12">
        <v>44931</v>
      </c>
      <c r="B10">
        <v>1537</v>
      </c>
      <c r="C10" t="s">
        <v>106</v>
      </c>
      <c r="D10" s="6">
        <v>20000</v>
      </c>
      <c r="E10" s="6">
        <f t="shared" ref="E10:E29" si="0">SUM(E9+D10)</f>
        <v>230000</v>
      </c>
      <c r="F10" s="6">
        <f t="shared" ref="F10:F29" si="1">F9-D10</f>
        <v>220000</v>
      </c>
    </row>
    <row r="11" spans="1:6" x14ac:dyDescent="0.35">
      <c r="A11" s="12">
        <v>45266</v>
      </c>
      <c r="B11">
        <v>12323</v>
      </c>
      <c r="C11" t="s">
        <v>106</v>
      </c>
      <c r="D11" s="6">
        <v>10000</v>
      </c>
      <c r="E11" s="6">
        <f t="shared" si="0"/>
        <v>240000</v>
      </c>
      <c r="F11" s="6">
        <f t="shared" si="1"/>
        <v>210000</v>
      </c>
    </row>
    <row r="12" spans="1:6" x14ac:dyDescent="0.35">
      <c r="A12" s="12">
        <v>44995</v>
      </c>
      <c r="C12" t="s">
        <v>106</v>
      </c>
      <c r="D12" s="6">
        <v>40000</v>
      </c>
      <c r="E12" s="6">
        <f t="shared" si="0"/>
        <v>280000</v>
      </c>
      <c r="F12" s="6">
        <f t="shared" si="1"/>
        <v>170000</v>
      </c>
    </row>
    <row r="13" spans="1:6" x14ac:dyDescent="0.35">
      <c r="A13" s="12">
        <v>45149</v>
      </c>
      <c r="C13" t="s">
        <v>106</v>
      </c>
      <c r="D13" s="6">
        <v>10000</v>
      </c>
      <c r="E13" s="6">
        <f t="shared" si="0"/>
        <v>290000</v>
      </c>
      <c r="F13" s="6">
        <f t="shared" si="1"/>
        <v>160000</v>
      </c>
    </row>
    <row r="14" spans="1:6" x14ac:dyDescent="0.35">
      <c r="A14" t="s">
        <v>101</v>
      </c>
      <c r="C14" t="s">
        <v>106</v>
      </c>
      <c r="D14" s="6">
        <v>10000</v>
      </c>
      <c r="E14" s="6">
        <f t="shared" si="0"/>
        <v>300000</v>
      </c>
      <c r="F14" s="6">
        <f t="shared" si="1"/>
        <v>150000</v>
      </c>
    </row>
    <row r="15" spans="1:6" x14ac:dyDescent="0.35">
      <c r="A15" s="12">
        <v>45149</v>
      </c>
      <c r="C15" t="s">
        <v>106</v>
      </c>
      <c r="D15" s="6">
        <v>10000</v>
      </c>
      <c r="E15" s="6">
        <f t="shared" si="0"/>
        <v>310000</v>
      </c>
      <c r="F15" s="6">
        <f t="shared" si="1"/>
        <v>140000</v>
      </c>
    </row>
    <row r="16" spans="1:6" x14ac:dyDescent="0.35">
      <c r="A16" t="s">
        <v>102</v>
      </c>
      <c r="C16" t="s">
        <v>106</v>
      </c>
      <c r="D16" s="6">
        <v>10000</v>
      </c>
      <c r="E16" s="6">
        <f t="shared" si="0"/>
        <v>320000</v>
      </c>
      <c r="F16" s="6">
        <f t="shared" si="1"/>
        <v>130000</v>
      </c>
    </row>
    <row r="17" spans="1:6" x14ac:dyDescent="0.35">
      <c r="A17" t="s">
        <v>103</v>
      </c>
      <c r="B17">
        <v>12323</v>
      </c>
      <c r="C17" t="s">
        <v>106</v>
      </c>
      <c r="D17" s="6">
        <v>10000</v>
      </c>
      <c r="E17" s="6">
        <f t="shared" si="0"/>
        <v>330000</v>
      </c>
      <c r="F17" s="6">
        <f t="shared" si="1"/>
        <v>120000</v>
      </c>
    </row>
    <row r="18" spans="1:6" x14ac:dyDescent="0.35">
      <c r="A18" t="s">
        <v>104</v>
      </c>
      <c r="C18" t="s">
        <v>106</v>
      </c>
      <c r="D18" s="6">
        <v>10000</v>
      </c>
      <c r="E18" s="6">
        <f t="shared" si="0"/>
        <v>340000</v>
      </c>
      <c r="F18" s="6">
        <f t="shared" si="1"/>
        <v>110000</v>
      </c>
    </row>
    <row r="19" spans="1:6" x14ac:dyDescent="0.35">
      <c r="A19" t="s">
        <v>105</v>
      </c>
      <c r="C19" t="s">
        <v>106</v>
      </c>
      <c r="D19" s="6">
        <v>10000</v>
      </c>
      <c r="E19" s="6">
        <f t="shared" si="0"/>
        <v>350000</v>
      </c>
      <c r="F19" s="6">
        <f t="shared" si="1"/>
        <v>100000</v>
      </c>
    </row>
    <row r="20" spans="1:6" x14ac:dyDescent="0.35">
      <c r="A20" t="s">
        <v>18</v>
      </c>
      <c r="B20">
        <v>12323</v>
      </c>
      <c r="C20" t="s">
        <v>106</v>
      </c>
      <c r="D20" s="6">
        <v>10000</v>
      </c>
      <c r="E20" s="6">
        <f t="shared" si="0"/>
        <v>360000</v>
      </c>
      <c r="F20" s="6">
        <f t="shared" si="1"/>
        <v>90000</v>
      </c>
    </row>
    <row r="21" spans="1:6" x14ac:dyDescent="0.35">
      <c r="A21" t="s">
        <v>107</v>
      </c>
      <c r="B21">
        <v>12323</v>
      </c>
      <c r="C21" t="s">
        <v>106</v>
      </c>
      <c r="D21" s="6">
        <v>10000</v>
      </c>
      <c r="E21" s="6">
        <f t="shared" si="0"/>
        <v>370000</v>
      </c>
      <c r="F21" s="6">
        <f t="shared" si="1"/>
        <v>80000</v>
      </c>
    </row>
    <row r="22" spans="1:6" x14ac:dyDescent="0.35">
      <c r="A22" t="s">
        <v>108</v>
      </c>
      <c r="C22" t="s">
        <v>106</v>
      </c>
      <c r="D22" s="6">
        <v>10000</v>
      </c>
      <c r="E22" s="6">
        <f t="shared" si="0"/>
        <v>380000</v>
      </c>
      <c r="F22" s="6">
        <f t="shared" si="1"/>
        <v>70000</v>
      </c>
    </row>
    <row r="23" spans="1:6" x14ac:dyDescent="0.35">
      <c r="A23" t="s">
        <v>109</v>
      </c>
      <c r="C23" t="s">
        <v>106</v>
      </c>
      <c r="D23" s="6">
        <v>10000</v>
      </c>
      <c r="E23" s="6">
        <f t="shared" si="0"/>
        <v>390000</v>
      </c>
      <c r="F23" s="6">
        <f t="shared" si="1"/>
        <v>60000</v>
      </c>
    </row>
    <row r="24" spans="1:6" x14ac:dyDescent="0.35">
      <c r="A24" t="s">
        <v>81</v>
      </c>
      <c r="C24" t="s">
        <v>106</v>
      </c>
      <c r="D24" s="6">
        <v>10000</v>
      </c>
      <c r="E24" s="6">
        <f t="shared" si="0"/>
        <v>400000</v>
      </c>
      <c r="F24" s="6">
        <f t="shared" si="1"/>
        <v>50000</v>
      </c>
    </row>
    <row r="25" spans="1:6" x14ac:dyDescent="0.35">
      <c r="A25" s="12">
        <v>45605</v>
      </c>
      <c r="C25" t="s">
        <v>106</v>
      </c>
      <c r="D25" s="6">
        <v>10000</v>
      </c>
      <c r="E25" s="6">
        <f t="shared" si="0"/>
        <v>410000</v>
      </c>
      <c r="F25" s="6">
        <f t="shared" si="1"/>
        <v>40000</v>
      </c>
    </row>
    <row r="26" spans="1:6" x14ac:dyDescent="0.35">
      <c r="A26" t="s">
        <v>110</v>
      </c>
      <c r="C26" t="s">
        <v>106</v>
      </c>
      <c r="D26" s="6">
        <v>10000</v>
      </c>
      <c r="E26" s="6">
        <f t="shared" si="0"/>
        <v>420000</v>
      </c>
      <c r="F26" s="6">
        <f t="shared" si="1"/>
        <v>30000</v>
      </c>
    </row>
    <row r="27" spans="1:6" x14ac:dyDescent="0.35">
      <c r="A27" s="12">
        <v>45516</v>
      </c>
      <c r="C27" t="s">
        <v>106</v>
      </c>
      <c r="D27" s="6">
        <v>20000</v>
      </c>
      <c r="E27" s="6">
        <f t="shared" si="0"/>
        <v>440000</v>
      </c>
      <c r="F27" s="6">
        <f t="shared" si="1"/>
        <v>10000</v>
      </c>
    </row>
    <row r="28" spans="1:6" x14ac:dyDescent="0.35">
      <c r="A28" t="s">
        <v>17</v>
      </c>
      <c r="C28" t="s">
        <v>106</v>
      </c>
      <c r="D28" s="6">
        <v>5000</v>
      </c>
      <c r="E28" s="6">
        <f t="shared" si="0"/>
        <v>445000</v>
      </c>
      <c r="F28" s="6">
        <f t="shared" si="1"/>
        <v>5000</v>
      </c>
    </row>
    <row r="29" spans="1:6" x14ac:dyDescent="0.35">
      <c r="A29" s="12" t="s">
        <v>111</v>
      </c>
      <c r="C29" t="s">
        <v>106</v>
      </c>
      <c r="D29" s="6">
        <v>5000</v>
      </c>
      <c r="E29" s="6">
        <f t="shared" si="0"/>
        <v>450000</v>
      </c>
      <c r="F29" s="6">
        <f t="shared" si="1"/>
        <v>0</v>
      </c>
    </row>
    <row r="30" spans="1:6" ht="18.5" x14ac:dyDescent="0.45">
      <c r="A30" s="13" t="s">
        <v>93</v>
      </c>
      <c r="B30" s="13"/>
      <c r="C30" s="13"/>
      <c r="D30" s="16"/>
      <c r="E30" s="16"/>
      <c r="F30" s="16"/>
    </row>
    <row r="31" spans="1:6" x14ac:dyDescent="0.35">
      <c r="A31" s="12"/>
      <c r="D31" s="6"/>
      <c r="E31" s="6"/>
      <c r="F31" s="6"/>
    </row>
    <row r="32" spans="1:6" x14ac:dyDescent="0.35">
      <c r="D32" s="6"/>
      <c r="E32" s="6"/>
      <c r="F32" s="6"/>
    </row>
    <row r="33" spans="1:6" x14ac:dyDescent="0.35">
      <c r="A33" s="12"/>
      <c r="D33" s="6"/>
      <c r="E33" s="6"/>
      <c r="F33" s="6"/>
    </row>
    <row r="34" spans="1:6" x14ac:dyDescent="0.35">
      <c r="D34" s="6"/>
      <c r="E34" s="6"/>
      <c r="F3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6798-E4FE-407B-B64A-C410F7373C6A}">
  <dimension ref="A1:F20"/>
  <sheetViews>
    <sheetView topLeftCell="A9" workbookViewId="0">
      <selection activeCell="I15" sqref="I15"/>
    </sheetView>
  </sheetViews>
  <sheetFormatPr defaultRowHeight="14.5" x14ac:dyDescent="0.35"/>
  <cols>
    <col min="3" max="3" width="11.6328125" customWidth="1"/>
  </cols>
  <sheetData>
    <row r="1" spans="1:6" ht="18.5" x14ac:dyDescent="0.45">
      <c r="A1" s="1" t="s">
        <v>60</v>
      </c>
      <c r="B1" s="1"/>
      <c r="C1" s="1"/>
      <c r="D1" s="1"/>
      <c r="E1" s="1"/>
      <c r="F1" s="1"/>
    </row>
    <row r="2" spans="1:6" ht="18.5" x14ac:dyDescent="0.45">
      <c r="A2" s="1" t="s">
        <v>61</v>
      </c>
      <c r="B2" s="1"/>
      <c r="C2" s="1"/>
      <c r="D2" s="1"/>
      <c r="E2" s="1"/>
      <c r="F2" s="1"/>
    </row>
    <row r="3" spans="1:6" ht="18.5" x14ac:dyDescent="0.45">
      <c r="A3" s="1" t="s">
        <v>62</v>
      </c>
      <c r="B3" s="1"/>
      <c r="C3" s="1"/>
      <c r="D3" s="1"/>
      <c r="E3" s="1"/>
      <c r="F3" s="1"/>
    </row>
    <row r="4" spans="1:6" ht="18.5" x14ac:dyDescent="0.45">
      <c r="A4" s="1" t="s">
        <v>63</v>
      </c>
      <c r="B4" s="1"/>
      <c r="C4" s="1"/>
      <c r="D4" s="1"/>
      <c r="E4" s="1"/>
      <c r="F4" s="1"/>
    </row>
    <row r="5" spans="1:6" ht="18.5" x14ac:dyDescent="0.45">
      <c r="A5" s="1" t="s">
        <v>64</v>
      </c>
      <c r="B5" s="1"/>
      <c r="C5" s="1"/>
      <c r="D5" s="1" t="s">
        <v>65</v>
      </c>
      <c r="E5" s="1"/>
      <c r="F5" s="1"/>
    </row>
    <row r="6" spans="1:6" ht="18.5" x14ac:dyDescent="0.45">
      <c r="A6" s="11" t="s">
        <v>66</v>
      </c>
      <c r="B6" s="11"/>
      <c r="C6" s="11"/>
      <c r="D6" s="11"/>
      <c r="E6" s="11"/>
      <c r="F6" s="1"/>
    </row>
    <row r="7" spans="1:6" x14ac:dyDescent="0.35">
      <c r="A7" s="11"/>
      <c r="B7" s="11"/>
      <c r="C7" s="11"/>
      <c r="D7" s="11"/>
      <c r="E7" s="11"/>
      <c r="F7" s="11"/>
    </row>
    <row r="8" spans="1:6" ht="18.5" x14ac:dyDescent="0.45">
      <c r="A8" s="1" t="s">
        <v>67</v>
      </c>
    </row>
    <row r="9" spans="1:6" ht="18.5" x14ac:dyDescent="0.45">
      <c r="A9" s="1" t="s">
        <v>68</v>
      </c>
      <c r="B9" s="1"/>
      <c r="C9" s="1"/>
      <c r="D9" s="1"/>
      <c r="E9" s="1"/>
    </row>
    <row r="10" spans="1:6" ht="18.5" x14ac:dyDescent="0.45">
      <c r="A10" s="1" t="s">
        <v>69</v>
      </c>
      <c r="B10" s="1"/>
      <c r="C10" s="1"/>
      <c r="D10" s="1"/>
      <c r="E10" s="1"/>
    </row>
    <row r="11" spans="1:6" ht="18.5" x14ac:dyDescent="0.45">
      <c r="A11" s="1" t="s">
        <v>70</v>
      </c>
      <c r="B11" s="1"/>
      <c r="C11" s="1"/>
      <c r="D11" s="1"/>
      <c r="E11" s="1"/>
    </row>
    <row r="12" spans="1:6" ht="18.5" x14ac:dyDescent="0.45">
      <c r="A12" s="1" t="s">
        <v>72</v>
      </c>
      <c r="B12" s="1"/>
      <c r="C12" s="1"/>
      <c r="D12" s="1"/>
      <c r="E12" s="1"/>
    </row>
    <row r="13" spans="1:6" ht="18.5" x14ac:dyDescent="0.45">
      <c r="A13" s="1" t="s">
        <v>71</v>
      </c>
      <c r="B13" s="1"/>
      <c r="C13" s="1"/>
      <c r="D13" s="1"/>
      <c r="E13" s="1"/>
    </row>
    <row r="14" spans="1:6" ht="18.5" x14ac:dyDescent="0.45">
      <c r="A14" s="1" t="s">
        <v>64</v>
      </c>
      <c r="B14" s="1"/>
      <c r="C14" s="1"/>
      <c r="D14" s="1" t="s">
        <v>65</v>
      </c>
      <c r="E14" s="1"/>
    </row>
    <row r="15" spans="1:6" x14ac:dyDescent="0.35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</row>
    <row r="16" spans="1:6" x14ac:dyDescent="0.35">
      <c r="A16" s="12">
        <v>44018</v>
      </c>
      <c r="B16">
        <v>1962</v>
      </c>
      <c r="C16" t="s">
        <v>73</v>
      </c>
      <c r="D16" s="6">
        <v>330000</v>
      </c>
      <c r="E16" s="6">
        <v>330000</v>
      </c>
      <c r="F16" s="6">
        <v>20000</v>
      </c>
    </row>
    <row r="17" spans="1:6" x14ac:dyDescent="0.35">
      <c r="A17" t="s">
        <v>74</v>
      </c>
      <c r="B17">
        <v>1180</v>
      </c>
      <c r="C17" t="s">
        <v>14</v>
      </c>
      <c r="D17" s="6">
        <v>20000</v>
      </c>
      <c r="E17" s="6">
        <v>350000</v>
      </c>
      <c r="F17" t="s">
        <v>75</v>
      </c>
    </row>
    <row r="18" spans="1:6" x14ac:dyDescent="0.35">
      <c r="A18" t="s">
        <v>76</v>
      </c>
      <c r="B18">
        <v>5819</v>
      </c>
      <c r="C18" t="s">
        <v>77</v>
      </c>
      <c r="D18" s="6">
        <v>150000</v>
      </c>
      <c r="E18" t="s">
        <v>78</v>
      </c>
    </row>
    <row r="20" spans="1:6" ht="18.5" x14ac:dyDescent="0.45">
      <c r="A20" s="13" t="s">
        <v>79</v>
      </c>
      <c r="B20" s="13"/>
      <c r="C20" s="13"/>
      <c r="D20" s="13"/>
      <c r="E20" s="13"/>
      <c r="F2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350D-2F39-4D07-B7D0-AB64CEE65A8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L-6761</vt:lpstr>
      <vt:lpstr>L-6793</vt:lpstr>
      <vt:lpstr>L-6791</vt:lpstr>
      <vt:lpstr>L-6758</vt:lpstr>
      <vt:lpstr>L-6766</vt:lpstr>
      <vt:lpstr>L-6757</vt:lpstr>
      <vt:lpstr>L-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2026-02-25T23:20:34Z</dcterms:created>
  <dcterms:modified xsi:type="dcterms:W3CDTF">2026-07-18T22:04:07Z</dcterms:modified>
</cp:coreProperties>
</file>