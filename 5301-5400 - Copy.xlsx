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2" activeTab="6"/>
  </bookViews>
  <sheets>
    <sheet name="L-5362" sheetId="1" r:id="rId1"/>
    <sheet name="L-5356" sheetId="2" r:id="rId2"/>
    <sheet name="L-5338" sheetId="3" r:id="rId3"/>
    <sheet name="L-5370" sheetId="4" r:id="rId4"/>
    <sheet name="L-5339" sheetId="8" r:id="rId5"/>
    <sheet name="L-5329" sheetId="9" r:id="rId6"/>
    <sheet name="L-5353" sheetId="10" r:id="rId7"/>
    <sheet name="L-5303 A" sheetId="11" r:id="rId8"/>
    <sheet name=" SHEET2" sheetId="13" r:id="rId9"/>
    <sheet name="L-5316" sheetId="14" r:id="rId10"/>
    <sheet name="L5317" sheetId="34" r:id="rId11"/>
    <sheet name="L-5357" sheetId="15" r:id="rId12"/>
    <sheet name="L-5335" sheetId="16" r:id="rId13"/>
    <sheet name="L-5337" sheetId="17" r:id="rId14"/>
    <sheet name="L-5385" sheetId="18" r:id="rId15"/>
    <sheet name="L-5346" sheetId="12" r:id="rId16"/>
    <sheet name="L-5384" sheetId="19" r:id="rId17"/>
    <sheet name="L-5369" sheetId="7" r:id="rId18"/>
    <sheet name="l" sheetId="37" r:id="rId19"/>
    <sheet name="L-5345" sheetId="21" r:id="rId20"/>
    <sheet name="L-5307" sheetId="22" r:id="rId21"/>
    <sheet name="L-5378" sheetId="33" r:id="rId22"/>
    <sheet name="L-5306" sheetId="24" r:id="rId23"/>
    <sheet name="L-5390" sheetId="25" r:id="rId24"/>
    <sheet name="L-5392" sheetId="36" r:id="rId25"/>
    <sheet name="L-5394" sheetId="35" r:id="rId26"/>
    <sheet name="L-5330" sheetId="26" r:id="rId27"/>
    <sheet name="L-5323" sheetId="5" r:id="rId28"/>
    <sheet name="L-5358" sheetId="29" r:id="rId29"/>
    <sheet name="L-5324" sheetId="6" r:id="rId30"/>
    <sheet name="L-5343" sheetId="31" r:id="rId31"/>
    <sheet name="L-5374" sheetId="32" r:id="rId3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0" l="1"/>
  <c r="E20" i="10"/>
  <c r="F43" i="11" l="1"/>
  <c r="E43" i="11"/>
  <c r="E26" i="8" l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F26" i="8"/>
  <c r="F27" i="8"/>
  <c r="F28" i="8"/>
  <c r="F29" i="8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3" i="7" l="1"/>
  <c r="E53" i="7"/>
  <c r="F53" i="4"/>
  <c r="E53" i="4"/>
  <c r="F34" i="12" l="1"/>
  <c r="F33" i="12"/>
  <c r="F26" i="1" l="1"/>
  <c r="E26" i="1"/>
  <c r="F19" i="10"/>
  <c r="E19" i="10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F42" i="11"/>
  <c r="F41" i="11"/>
  <c r="F40" i="11"/>
  <c r="E42" i="11"/>
  <c r="E41" i="11"/>
  <c r="E40" i="11"/>
  <c r="F41" i="16"/>
  <c r="E41" i="16"/>
  <c r="F9" i="36"/>
  <c r="E9" i="36"/>
  <c r="F20" i="35"/>
  <c r="E20" i="35"/>
  <c r="F19" i="35"/>
  <c r="E19" i="35"/>
  <c r="F27" i="3"/>
  <c r="E27" i="3"/>
  <c r="F16" i="22"/>
  <c r="E16" i="22"/>
  <c r="F16" i="24"/>
  <c r="E16" i="24"/>
  <c r="F33" i="32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F46" i="32" s="1"/>
  <c r="F11" i="32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E10" i="32"/>
  <c r="E11" i="32" s="1"/>
  <c r="E12" i="32" s="1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9" i="32"/>
  <c r="F10" i="31"/>
  <c r="F11" i="31" s="1"/>
  <c r="F12" i="31" s="1"/>
  <c r="F13" i="31" s="1"/>
  <c r="F14" i="31" s="1"/>
  <c r="F15" i="31" s="1"/>
  <c r="E11" i="31"/>
  <c r="E12" i="31" s="1"/>
  <c r="E13" i="31" s="1"/>
  <c r="E14" i="31" s="1"/>
  <c r="E15" i="31" s="1"/>
  <c r="E16" i="31" s="1"/>
  <c r="E10" i="31"/>
  <c r="F52" i="4"/>
  <c r="E52" i="4"/>
  <c r="F52" i="7"/>
  <c r="E52" i="7"/>
  <c r="F25" i="1"/>
  <c r="E25" i="1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F18" i="29"/>
  <c r="F17" i="29"/>
  <c r="F16" i="29"/>
  <c r="F15" i="29"/>
  <c r="F14" i="29"/>
  <c r="F13" i="29"/>
  <c r="F12" i="29"/>
  <c r="F11" i="29"/>
  <c r="F10" i="29"/>
  <c r="F9" i="29"/>
  <c r="E18" i="29"/>
  <c r="E17" i="29"/>
  <c r="E16" i="29"/>
  <c r="E15" i="29"/>
  <c r="E14" i="29"/>
  <c r="E13" i="29"/>
  <c r="E12" i="29"/>
  <c r="E11" i="29"/>
  <c r="E10" i="29"/>
  <c r="E9" i="29"/>
  <c r="F35" i="26"/>
  <c r="F34" i="26"/>
  <c r="F33" i="26"/>
  <c r="F32" i="26"/>
  <c r="F31" i="26"/>
  <c r="F30" i="26"/>
  <c r="E36" i="26"/>
  <c r="E35" i="26"/>
  <c r="E34" i="26"/>
  <c r="E33" i="26"/>
  <c r="E32" i="26"/>
  <c r="E31" i="26"/>
  <c r="E30" i="26"/>
  <c r="F29" i="26"/>
  <c r="F28" i="26"/>
  <c r="F27" i="26"/>
  <c r="F26" i="26"/>
  <c r="F25" i="26"/>
  <c r="F24" i="26"/>
  <c r="F23" i="26"/>
  <c r="F22" i="26"/>
  <c r="F21" i="26"/>
  <c r="E29" i="26"/>
  <c r="E28" i="26"/>
  <c r="E27" i="26"/>
  <c r="E26" i="26"/>
  <c r="E25" i="26"/>
  <c r="E24" i="26"/>
  <c r="E23" i="26"/>
  <c r="E22" i="26"/>
  <c r="E21" i="26"/>
  <c r="F15" i="26"/>
  <c r="F14" i="26"/>
  <c r="F13" i="26"/>
  <c r="F12" i="26"/>
  <c r="F11" i="26"/>
  <c r="F10" i="26"/>
  <c r="F9" i="26"/>
  <c r="E16" i="26"/>
  <c r="E15" i="26"/>
  <c r="E14" i="26"/>
  <c r="E13" i="26"/>
  <c r="E12" i="26"/>
  <c r="E11" i="26"/>
  <c r="E10" i="26"/>
  <c r="E9" i="26"/>
  <c r="F34" i="9"/>
  <c r="F35" i="9" s="1"/>
  <c r="F33" i="9"/>
  <c r="F32" i="9"/>
  <c r="F31" i="9"/>
  <c r="F30" i="9"/>
  <c r="E35" i="9"/>
  <c r="E36" i="9" s="1"/>
  <c r="E34" i="9"/>
  <c r="E33" i="9"/>
  <c r="E32" i="9"/>
  <c r="E31" i="9"/>
  <c r="E30" i="9"/>
  <c r="F29" i="9"/>
  <c r="F28" i="9"/>
  <c r="F27" i="9"/>
  <c r="F26" i="9"/>
  <c r="F25" i="9"/>
  <c r="F24" i="9"/>
  <c r="F23" i="9"/>
  <c r="F22" i="9"/>
  <c r="F21" i="9"/>
  <c r="E29" i="9"/>
  <c r="E28" i="9"/>
  <c r="E27" i="9"/>
  <c r="E26" i="9"/>
  <c r="E25" i="9"/>
  <c r="E24" i="9"/>
  <c r="E23" i="9"/>
  <c r="E22" i="9"/>
  <c r="E21" i="9"/>
  <c r="F15" i="9"/>
  <c r="F14" i="9"/>
  <c r="F13" i="9"/>
  <c r="F12" i="9"/>
  <c r="F11" i="9"/>
  <c r="F10" i="9"/>
  <c r="F9" i="9"/>
  <c r="E16" i="9"/>
  <c r="E15" i="9"/>
  <c r="E14" i="9"/>
  <c r="E13" i="9"/>
  <c r="E12" i="9"/>
  <c r="E11" i="9"/>
  <c r="E10" i="9"/>
  <c r="E9" i="9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F18" i="25"/>
  <c r="F17" i="25"/>
  <c r="F16" i="25"/>
  <c r="F15" i="25"/>
  <c r="F14" i="25"/>
  <c r="F13" i="25"/>
  <c r="F12" i="25"/>
  <c r="F11" i="25"/>
  <c r="F10" i="25"/>
  <c r="F9" i="25"/>
  <c r="E18" i="25"/>
  <c r="E17" i="25"/>
  <c r="E16" i="25"/>
  <c r="E15" i="25"/>
  <c r="E14" i="25"/>
  <c r="E13" i="25"/>
  <c r="E12" i="25"/>
  <c r="E11" i="25"/>
  <c r="E10" i="25"/>
  <c r="E9" i="25"/>
  <c r="F15" i="24"/>
  <c r="F14" i="24"/>
  <c r="F13" i="24"/>
  <c r="F12" i="24"/>
  <c r="F11" i="24"/>
  <c r="F10" i="24"/>
  <c r="F9" i="24"/>
  <c r="E15" i="24"/>
  <c r="E14" i="24"/>
  <c r="E13" i="24"/>
  <c r="E12" i="24"/>
  <c r="E11" i="24"/>
  <c r="E10" i="24"/>
  <c r="E9" i="24"/>
  <c r="F15" i="22"/>
  <c r="F14" i="22"/>
  <c r="F13" i="22"/>
  <c r="F12" i="22"/>
  <c r="F11" i="22"/>
  <c r="F10" i="22"/>
  <c r="F9" i="22"/>
  <c r="E15" i="22"/>
  <c r="E14" i="22"/>
  <c r="E13" i="22"/>
  <c r="E12" i="22"/>
  <c r="E11" i="22"/>
  <c r="E10" i="22"/>
  <c r="E9" i="22"/>
  <c r="F49" i="21"/>
  <c r="F48" i="21"/>
  <c r="F47" i="21"/>
  <c r="F46" i="21"/>
  <c r="F45" i="21"/>
  <c r="F44" i="21"/>
  <c r="F43" i="21"/>
  <c r="E50" i="21"/>
  <c r="E49" i="21"/>
  <c r="E48" i="21"/>
  <c r="E47" i="21"/>
  <c r="E46" i="21"/>
  <c r="E45" i="21"/>
  <c r="E44" i="21"/>
  <c r="E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F9" i="21"/>
  <c r="F10" i="21" s="1"/>
  <c r="F11" i="21" s="1"/>
  <c r="F12" i="21" s="1"/>
  <c r="F13" i="21" s="1"/>
  <c r="F14" i="21" s="1"/>
  <c r="F15" i="21" s="1"/>
  <c r="F16" i="21" s="1"/>
  <c r="F17" i="21" s="1"/>
  <c r="F18" i="21" s="1"/>
  <c r="E9" i="21"/>
  <c r="E10" i="21" s="1"/>
  <c r="E11" i="21" s="1"/>
  <c r="E12" i="21" s="1"/>
  <c r="E13" i="21" s="1"/>
  <c r="E14" i="21" s="1"/>
  <c r="E15" i="21" s="1"/>
  <c r="E16" i="21" s="1"/>
  <c r="E17" i="21" s="1"/>
  <c r="E18" i="21" s="1"/>
  <c r="E42" i="21" s="1"/>
  <c r="F38" i="19"/>
  <c r="E28" i="19"/>
  <c r="E27" i="19"/>
  <c r="E26" i="19"/>
  <c r="F37" i="19"/>
  <c r="F36" i="19"/>
  <c r="E38" i="19"/>
  <c r="E37" i="19"/>
  <c r="E36" i="19"/>
  <c r="F34" i="19"/>
  <c r="F35" i="19" s="1"/>
  <c r="F33" i="19"/>
  <c r="F32" i="19"/>
  <c r="F31" i="19"/>
  <c r="F30" i="19"/>
  <c r="E33" i="19"/>
  <c r="E34" i="19" s="1"/>
  <c r="E35" i="19" s="1"/>
  <c r="E32" i="19"/>
  <c r="E31" i="19"/>
  <c r="E30" i="19"/>
  <c r="F29" i="19"/>
  <c r="F28" i="19"/>
  <c r="F27" i="19"/>
  <c r="F26" i="19"/>
  <c r="E29" i="19"/>
  <c r="F21" i="19"/>
  <c r="F20" i="19"/>
  <c r="F19" i="19"/>
  <c r="E21" i="19"/>
  <c r="E20" i="19"/>
  <c r="E19" i="19"/>
  <c r="F18" i="19"/>
  <c r="F17" i="19"/>
  <c r="F16" i="19"/>
  <c r="F15" i="19"/>
  <c r="F14" i="19"/>
  <c r="F13" i="19"/>
  <c r="F12" i="19"/>
  <c r="F11" i="19"/>
  <c r="F10" i="19"/>
  <c r="F9" i="19"/>
  <c r="E18" i="19"/>
  <c r="E17" i="19"/>
  <c r="E16" i="19"/>
  <c r="E15" i="19"/>
  <c r="E14" i="19"/>
  <c r="E13" i="19"/>
  <c r="E12" i="19"/>
  <c r="E11" i="19"/>
  <c r="E10" i="19"/>
  <c r="E9" i="19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F18" i="18"/>
  <c r="F17" i="18"/>
  <c r="F16" i="18"/>
  <c r="F15" i="18"/>
  <c r="F14" i="18"/>
  <c r="F13" i="18"/>
  <c r="F12" i="18"/>
  <c r="F11" i="18"/>
  <c r="F10" i="18"/>
  <c r="F9" i="18"/>
  <c r="E18" i="18"/>
  <c r="E17" i="18"/>
  <c r="E16" i="18"/>
  <c r="E15" i="18"/>
  <c r="E14" i="18"/>
  <c r="E13" i="18"/>
  <c r="E12" i="18"/>
  <c r="E11" i="18"/>
  <c r="E10" i="18"/>
  <c r="E9" i="18"/>
  <c r="F10" i="17"/>
  <c r="F9" i="17"/>
  <c r="E11" i="17"/>
  <c r="E10" i="17"/>
  <c r="E9" i="17"/>
  <c r="F40" i="16"/>
  <c r="F39" i="16"/>
  <c r="F38" i="16"/>
  <c r="F37" i="16"/>
  <c r="F36" i="16"/>
  <c r="F35" i="16"/>
  <c r="F34" i="16"/>
  <c r="E40" i="16"/>
  <c r="E39" i="16"/>
  <c r="E38" i="16"/>
  <c r="E37" i="16"/>
  <c r="E36" i="16"/>
  <c r="E35" i="16"/>
  <c r="E34" i="16"/>
  <c r="F33" i="16"/>
  <c r="F32" i="16"/>
  <c r="F31" i="16"/>
  <c r="F30" i="16"/>
  <c r="F29" i="16"/>
  <c r="F28" i="16"/>
  <c r="F27" i="16"/>
  <c r="F26" i="16"/>
  <c r="E33" i="16"/>
  <c r="E32" i="16"/>
  <c r="E31" i="16"/>
  <c r="E30" i="16"/>
  <c r="E29" i="16"/>
  <c r="E28" i="16"/>
  <c r="E27" i="16"/>
  <c r="E26" i="16"/>
  <c r="F20" i="16"/>
  <c r="F19" i="16"/>
  <c r="E21" i="16"/>
  <c r="E20" i="16"/>
  <c r="E19" i="16"/>
  <c r="F18" i="16"/>
  <c r="F17" i="16"/>
  <c r="F16" i="16"/>
  <c r="F15" i="16"/>
  <c r="F14" i="16"/>
  <c r="F13" i="16"/>
  <c r="F12" i="16"/>
  <c r="F11" i="16"/>
  <c r="F10" i="16"/>
  <c r="F9" i="16"/>
  <c r="E18" i="16"/>
  <c r="E17" i="16"/>
  <c r="E16" i="16"/>
  <c r="E15" i="16"/>
  <c r="E14" i="16"/>
  <c r="E13" i="16"/>
  <c r="E12" i="16"/>
  <c r="E11" i="16"/>
  <c r="E10" i="16"/>
  <c r="E9" i="16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F18" i="15"/>
  <c r="F17" i="15"/>
  <c r="F16" i="15"/>
  <c r="F15" i="15"/>
  <c r="F14" i="15"/>
  <c r="F13" i="15"/>
  <c r="F12" i="15"/>
  <c r="F11" i="15"/>
  <c r="F10" i="15"/>
  <c r="F9" i="15"/>
  <c r="E18" i="15"/>
  <c r="E17" i="15"/>
  <c r="E16" i="15"/>
  <c r="E15" i="15"/>
  <c r="E14" i="15"/>
  <c r="E13" i="15"/>
  <c r="E12" i="15"/>
  <c r="E11" i="15"/>
  <c r="E10" i="15"/>
  <c r="E9" i="15"/>
  <c r="F22" i="14"/>
  <c r="F21" i="14"/>
  <c r="F20" i="14"/>
  <c r="F19" i="14"/>
  <c r="F18" i="14"/>
  <c r="F17" i="14"/>
  <c r="F16" i="14"/>
  <c r="F15" i="14"/>
  <c r="F14" i="14"/>
  <c r="F13" i="14"/>
  <c r="E22" i="14"/>
  <c r="E21" i="14"/>
  <c r="E20" i="14"/>
  <c r="E19" i="14"/>
  <c r="E18" i="14"/>
  <c r="E17" i="14"/>
  <c r="E16" i="14"/>
  <c r="E15" i="14"/>
  <c r="E14" i="14"/>
  <c r="E13" i="14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E22" i="12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20" i="12"/>
  <c r="E19" i="12"/>
  <c r="F18" i="12"/>
  <c r="F17" i="12"/>
  <c r="F16" i="12"/>
  <c r="F15" i="12"/>
  <c r="F14" i="12"/>
  <c r="F13" i="12"/>
  <c r="F12" i="12"/>
  <c r="F11" i="12"/>
  <c r="F10" i="12"/>
  <c r="F9" i="12"/>
  <c r="E18" i="12"/>
  <c r="E17" i="12"/>
  <c r="E16" i="12"/>
  <c r="E15" i="12"/>
  <c r="E14" i="12"/>
  <c r="E13" i="12"/>
  <c r="E12" i="12"/>
  <c r="E11" i="12"/>
  <c r="E10" i="12"/>
  <c r="E9" i="12"/>
  <c r="F35" i="11"/>
  <c r="F36" i="11" s="1"/>
  <c r="F37" i="11" s="1"/>
  <c r="F38" i="11" s="1"/>
  <c r="F39" i="11" s="1"/>
  <c r="E35" i="11"/>
  <c r="E36" i="11" s="1"/>
  <c r="E37" i="11" s="1"/>
  <c r="E38" i="11" s="1"/>
  <c r="E39" i="11" s="1"/>
  <c r="F30" i="11"/>
  <c r="F29" i="11"/>
  <c r="F28" i="11"/>
  <c r="F27" i="11"/>
  <c r="F26" i="11"/>
  <c r="F25" i="11"/>
  <c r="F24" i="11"/>
  <c r="F23" i="11"/>
  <c r="F22" i="11"/>
  <c r="F21" i="11"/>
  <c r="F20" i="11"/>
  <c r="F19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F18" i="11"/>
  <c r="F17" i="11"/>
  <c r="F16" i="11"/>
  <c r="F15" i="11"/>
  <c r="F14" i="11"/>
  <c r="F13" i="11"/>
  <c r="F12" i="11"/>
  <c r="F11" i="11"/>
  <c r="F10" i="11"/>
  <c r="F9" i="11"/>
  <c r="E18" i="11"/>
  <c r="E17" i="11"/>
  <c r="E16" i="11"/>
  <c r="E15" i="11"/>
  <c r="E14" i="11"/>
  <c r="E13" i="11"/>
  <c r="E12" i="11"/>
  <c r="E11" i="11"/>
  <c r="F18" i="10"/>
  <c r="F17" i="10"/>
  <c r="F16" i="10"/>
  <c r="F15" i="10"/>
  <c r="F14" i="10"/>
  <c r="F13" i="10"/>
  <c r="F12" i="10"/>
  <c r="F11" i="10"/>
  <c r="F10" i="10"/>
  <c r="F9" i="10"/>
  <c r="E18" i="10"/>
  <c r="E17" i="10"/>
  <c r="E16" i="10"/>
  <c r="E15" i="10"/>
  <c r="E14" i="10"/>
  <c r="E13" i="10"/>
  <c r="E12" i="10"/>
  <c r="E11" i="10"/>
  <c r="E10" i="10"/>
  <c r="E9" i="10"/>
  <c r="F21" i="8"/>
  <c r="F20" i="8"/>
  <c r="F19" i="8"/>
  <c r="E21" i="8"/>
  <c r="E20" i="8"/>
  <c r="E19" i="8"/>
  <c r="F18" i="8"/>
  <c r="F17" i="8"/>
  <c r="F16" i="8"/>
  <c r="F15" i="8"/>
  <c r="F14" i="8"/>
  <c r="F13" i="8"/>
  <c r="F12" i="8"/>
  <c r="F11" i="8"/>
  <c r="F10" i="8"/>
  <c r="F9" i="8"/>
  <c r="E18" i="8"/>
  <c r="E17" i="8"/>
  <c r="E16" i="8"/>
  <c r="E15" i="8"/>
  <c r="E14" i="8"/>
  <c r="E13" i="8"/>
  <c r="E12" i="8"/>
  <c r="E11" i="8"/>
  <c r="E10" i="8"/>
  <c r="E9" i="8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F35" i="4"/>
  <c r="F34" i="4"/>
  <c r="F33" i="4"/>
  <c r="F32" i="4"/>
  <c r="F31" i="4"/>
  <c r="F30" i="4"/>
  <c r="F29" i="4"/>
  <c r="F28" i="4"/>
  <c r="F27" i="4"/>
  <c r="F26" i="4"/>
  <c r="E35" i="4"/>
  <c r="E34" i="4"/>
  <c r="E33" i="4"/>
  <c r="E32" i="4"/>
  <c r="E31" i="4"/>
  <c r="E30" i="4"/>
  <c r="E29" i="4"/>
  <c r="E28" i="4"/>
  <c r="E27" i="4"/>
  <c r="E26" i="4"/>
  <c r="F22" i="4"/>
  <c r="F21" i="4"/>
  <c r="F20" i="4"/>
  <c r="F19" i="4"/>
  <c r="E22" i="4"/>
  <c r="E21" i="4"/>
  <c r="E20" i="4"/>
  <c r="E19" i="4"/>
  <c r="F18" i="4"/>
  <c r="F17" i="4"/>
  <c r="F16" i="4"/>
  <c r="F15" i="4"/>
  <c r="F14" i="4"/>
  <c r="F13" i="4"/>
  <c r="F12" i="4"/>
  <c r="F11" i="4"/>
  <c r="F10" i="4"/>
  <c r="F9" i="4"/>
  <c r="E18" i="4"/>
  <c r="E17" i="4"/>
  <c r="E16" i="4"/>
  <c r="E15" i="4"/>
  <c r="E14" i="4"/>
  <c r="E13" i="4"/>
  <c r="E12" i="4"/>
  <c r="E11" i="4"/>
  <c r="E10" i="4"/>
  <c r="E9" i="4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F22" i="7"/>
  <c r="F21" i="7"/>
  <c r="F20" i="7"/>
  <c r="F19" i="7"/>
  <c r="E22" i="7"/>
  <c r="E21" i="7"/>
  <c r="E20" i="7"/>
  <c r="E19" i="7"/>
  <c r="F18" i="7"/>
  <c r="F17" i="7"/>
  <c r="F16" i="7"/>
  <c r="F15" i="7"/>
  <c r="F14" i="7"/>
  <c r="F13" i="7"/>
  <c r="F12" i="7"/>
  <c r="F11" i="7"/>
  <c r="F10" i="7"/>
  <c r="F9" i="7"/>
  <c r="E18" i="7"/>
  <c r="E17" i="7"/>
  <c r="E16" i="7"/>
  <c r="E15" i="7"/>
  <c r="E14" i="7"/>
  <c r="E13" i="7"/>
  <c r="E12" i="7"/>
  <c r="E11" i="7"/>
  <c r="E10" i="7"/>
  <c r="E9" i="7"/>
  <c r="F45" i="6"/>
  <c r="F46" i="6" s="1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E45" i="6"/>
  <c r="E46" i="6" s="1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F46" i="5"/>
  <c r="F45" i="5"/>
  <c r="F44" i="5"/>
  <c r="F43" i="5"/>
  <c r="E43" i="5"/>
  <c r="E44" i="5" s="1"/>
  <c r="E45" i="5" s="1"/>
  <c r="E46" i="5" s="1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F18" i="5"/>
  <c r="F17" i="5"/>
  <c r="F16" i="5"/>
  <c r="F15" i="5"/>
  <c r="F14" i="5"/>
  <c r="F13" i="5"/>
  <c r="F12" i="5"/>
  <c r="F11" i="5"/>
  <c r="F10" i="5"/>
  <c r="F9" i="5"/>
  <c r="E18" i="5"/>
  <c r="E17" i="5"/>
  <c r="E16" i="5"/>
  <c r="E15" i="5"/>
  <c r="E14" i="5"/>
  <c r="E13" i="5"/>
  <c r="E12" i="5"/>
  <c r="E11" i="5"/>
  <c r="E10" i="5"/>
  <c r="E9" i="5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24" i="1"/>
  <c r="F23" i="1"/>
  <c r="F22" i="1"/>
  <c r="F21" i="1"/>
  <c r="F20" i="1"/>
  <c r="F19" i="1"/>
  <c r="F18" i="1"/>
  <c r="F17" i="1"/>
  <c r="F16" i="1"/>
  <c r="F15" i="1"/>
  <c r="E24" i="1"/>
  <c r="E23" i="1"/>
  <c r="E22" i="1"/>
  <c r="E21" i="1"/>
  <c r="E20" i="1"/>
  <c r="E19" i="1"/>
  <c r="E18" i="1"/>
  <c r="E17" i="1"/>
  <c r="E16" i="1"/>
  <c r="E15" i="1"/>
  <c r="F14" i="1"/>
  <c r="E14" i="1"/>
</calcChain>
</file>

<file path=xl/sharedStrings.xml><?xml version="1.0" encoding="utf-8"?>
<sst xmlns="http://schemas.openxmlformats.org/spreadsheetml/2006/main" count="1714" uniqueCount="619">
  <si>
    <t>Contact # 03102533382</t>
  </si>
  <si>
    <t>Date</t>
  </si>
  <si>
    <t>R.NO</t>
  </si>
  <si>
    <t>Description</t>
  </si>
  <si>
    <t>Amount Rec</t>
  </si>
  <si>
    <t>Total Rec</t>
  </si>
  <si>
    <t>Amount Due</t>
  </si>
  <si>
    <t>Cost : 420,000</t>
  </si>
  <si>
    <t>Plot No : L-5362</t>
  </si>
  <si>
    <t>Code Num;CLA0718356</t>
  </si>
  <si>
    <t>CNIC # 42401-4548284-9</t>
  </si>
  <si>
    <t>Father Name : M.khalid</t>
  </si>
  <si>
    <t>Name :M.Sheraz</t>
  </si>
  <si>
    <t>Nill</t>
  </si>
  <si>
    <t>12855\11886</t>
  </si>
  <si>
    <t>15\9\24/10\7\25</t>
  </si>
  <si>
    <t>15\9\24/10\7\25/22\6\25</t>
  </si>
  <si>
    <t>Al-Rehman Adj</t>
  </si>
  <si>
    <t>SOBH0</t>
  </si>
  <si>
    <t>Development Continue</t>
  </si>
  <si>
    <t>20\8\2025</t>
  </si>
  <si>
    <t>development</t>
  </si>
  <si>
    <t>22\9\25</t>
  </si>
  <si>
    <t>26\10\25</t>
  </si>
  <si>
    <t>23\11\25</t>
  </si>
  <si>
    <t>26\12\25</t>
  </si>
  <si>
    <t>22\1\2026</t>
  </si>
  <si>
    <t>24\2\26\</t>
  </si>
  <si>
    <t>24\3\26</t>
  </si>
  <si>
    <t>19\4\26</t>
  </si>
  <si>
    <t>21\5\26</t>
  </si>
  <si>
    <t>21\6\26</t>
  </si>
  <si>
    <t>24\7\26</t>
  </si>
  <si>
    <t xml:space="preserve">Name </t>
  </si>
  <si>
    <t>Father Name :</t>
  </si>
  <si>
    <t xml:space="preserve">CNIC # </t>
  </si>
  <si>
    <t>Code Num;</t>
  </si>
  <si>
    <t xml:space="preserve">Contact # </t>
  </si>
  <si>
    <t>MUHAMMAD BARKAT</t>
  </si>
  <si>
    <t>MUHAMMAD NASEEM</t>
  </si>
  <si>
    <t>36502-5126442-2</t>
  </si>
  <si>
    <t>BYM0638080</t>
  </si>
  <si>
    <t>30/8/23</t>
  </si>
  <si>
    <t xml:space="preserve">FUL CASH </t>
  </si>
  <si>
    <t>3,50,000</t>
  </si>
  <si>
    <t>NILL</t>
  </si>
  <si>
    <t>DEVELIPMENT NILL</t>
  </si>
  <si>
    <t>DEVELOPMENT</t>
  </si>
  <si>
    <t xml:space="preserve">70,000 ALREADY GIVEN </t>
  </si>
  <si>
    <t>Cost : 5,00,000</t>
  </si>
  <si>
    <t>Name #KANWAL</t>
  </si>
  <si>
    <t>Father Name #MUHAMMAD ISHRAF</t>
  </si>
  <si>
    <t>CNIC # 42401-2204127-0</t>
  </si>
  <si>
    <t>Code Num#CGZ0230089</t>
  </si>
  <si>
    <t>Contact # 0318-4001801</t>
  </si>
  <si>
    <t>Plot No : L-5338</t>
  </si>
  <si>
    <t>22/9/24</t>
  </si>
  <si>
    <t>16/7/25</t>
  </si>
  <si>
    <t>13/1/26</t>
  </si>
  <si>
    <t>RES B</t>
  </si>
  <si>
    <t>INSTALMENT</t>
  </si>
  <si>
    <t>Code Num#BLH5624766</t>
  </si>
  <si>
    <t>Name #MEHDI HAYAT</t>
  </si>
  <si>
    <t>Father Name #MAPAL KHAN</t>
  </si>
  <si>
    <t>CNIC # 33202-7992997-3</t>
  </si>
  <si>
    <t>Contact # 0343-2203829</t>
  </si>
  <si>
    <t>Plot No : L-5370</t>
  </si>
  <si>
    <t>Cost : 400,000</t>
  </si>
  <si>
    <t>Name #GHULAM NABI SHAH</t>
  </si>
  <si>
    <t>Father Name #RAHEEM SHAH</t>
  </si>
  <si>
    <t>CNIC # 13202-8490192-3</t>
  </si>
  <si>
    <t>Code Num#CHQ1986775</t>
  </si>
  <si>
    <t>Plot No : L-5323</t>
  </si>
  <si>
    <t>Cost : 650,000</t>
  </si>
  <si>
    <t>Contact # 0322-3906309</t>
  </si>
  <si>
    <t>15/2/23</t>
  </si>
  <si>
    <t>13/3/23</t>
  </si>
  <si>
    <t>REHMAN</t>
  </si>
  <si>
    <t>instalment</t>
  </si>
  <si>
    <t>ins 10,000 adj</t>
  </si>
  <si>
    <t>22/6/24</t>
  </si>
  <si>
    <t>14/7/24</t>
  </si>
  <si>
    <t>13/10/24</t>
  </si>
  <si>
    <t>15/12/24</t>
  </si>
  <si>
    <t>18/2/25</t>
  </si>
  <si>
    <t>13/3/25</t>
  </si>
  <si>
    <t>20/4/25</t>
  </si>
  <si>
    <t>15/6/25</t>
  </si>
  <si>
    <t>13/7/25</t>
  </si>
  <si>
    <t>14/9/25</t>
  </si>
  <si>
    <t>15/2/26</t>
  </si>
  <si>
    <t>13/3/26</t>
  </si>
  <si>
    <t>Name #QASIM SHAH</t>
  </si>
  <si>
    <t>Father Name #M.MEER SHAH</t>
  </si>
  <si>
    <t>CNIC # 13202-8402410-3</t>
  </si>
  <si>
    <t>Contact # 0342-2416841</t>
  </si>
  <si>
    <t>Plot No : L-5324</t>
  </si>
  <si>
    <t>Cost : 600,000</t>
  </si>
  <si>
    <t>Code Num#CFV8024851</t>
  </si>
  <si>
    <t>18/3/23</t>
  </si>
  <si>
    <t>REH ADJ</t>
  </si>
  <si>
    <t>10,000 adj</t>
  </si>
  <si>
    <t>nxt double</t>
  </si>
  <si>
    <t>Name :MUHAMMAD AKMAL</t>
  </si>
  <si>
    <t>Father Name :MUHAMMAD CHIRAGH</t>
  </si>
  <si>
    <t>CNIC:42401-1608387-5</t>
  </si>
  <si>
    <t>Contact :0343-2203829</t>
  </si>
  <si>
    <t>Plot No : L-5369</t>
  </si>
  <si>
    <t>Code Num:BWT0415793</t>
  </si>
  <si>
    <t>8//11/20</t>
  </si>
  <si>
    <t>14/5/23</t>
  </si>
  <si>
    <t>13/8/23</t>
  </si>
  <si>
    <t>15/2/24</t>
  </si>
  <si>
    <t>DEVELOPMENT CONTINUE</t>
  </si>
  <si>
    <t>30/11/25</t>
  </si>
  <si>
    <t>developemt</t>
  </si>
  <si>
    <t>14/6/23</t>
  </si>
  <si>
    <t>reh adj</t>
  </si>
  <si>
    <t>DEVELOPMENT CONTINE</t>
  </si>
  <si>
    <t>30/12/25</t>
  </si>
  <si>
    <t>Plot No : L-5339</t>
  </si>
  <si>
    <t>Cost : 350,000</t>
  </si>
  <si>
    <t>Name :QALIMA KHATOON</t>
  </si>
  <si>
    <t>Father Name:SADAR UDDIN</t>
  </si>
  <si>
    <t>CNIC # 42401-1641425-6</t>
  </si>
  <si>
    <t>Contact :0344-2049153</t>
  </si>
  <si>
    <t>Code Num:CTG4037991</t>
  </si>
  <si>
    <t>21/8/22</t>
  </si>
  <si>
    <t>27/9/22</t>
  </si>
  <si>
    <t>23/10/22/9/2/23</t>
  </si>
  <si>
    <t>13/4/23</t>
  </si>
  <si>
    <t>23/5/23</t>
  </si>
  <si>
    <t>30/7/23</t>
  </si>
  <si>
    <t>27/8/23</t>
  </si>
  <si>
    <t>26/9/23</t>
  </si>
  <si>
    <t>26/11/23</t>
  </si>
  <si>
    <t>double ins</t>
  </si>
  <si>
    <t>17/3/24</t>
  </si>
  <si>
    <t>28/4/24</t>
  </si>
  <si>
    <t>26/5/24</t>
  </si>
  <si>
    <t>23/6/24</t>
  </si>
  <si>
    <t>21/7/24</t>
  </si>
  <si>
    <t>25/8/24</t>
  </si>
  <si>
    <t>27/10/24</t>
  </si>
  <si>
    <t>24/11/24</t>
  </si>
  <si>
    <t>22/12/24</t>
  </si>
  <si>
    <t>23/1/25</t>
  </si>
  <si>
    <t>13/4/25</t>
  </si>
  <si>
    <t>17/5/25</t>
  </si>
  <si>
    <t>19/10/25</t>
  </si>
  <si>
    <t>23/11/25</t>
  </si>
  <si>
    <t>14/12/25</t>
  </si>
  <si>
    <t>15/3/26</t>
  </si>
  <si>
    <t>DATE</t>
  </si>
  <si>
    <t>SLIP</t>
  </si>
  <si>
    <t>AMOUNT</t>
  </si>
  <si>
    <t>TOTAL REC</t>
  </si>
  <si>
    <t>AMOUNT DUE</t>
  </si>
  <si>
    <t>Name :SAFIA BEGUM</t>
  </si>
  <si>
    <t>Father Name:RAMZAN KHAN</t>
  </si>
  <si>
    <t>CNIC :42401-5346245-6</t>
  </si>
  <si>
    <t>Contact :0301-7039831</t>
  </si>
  <si>
    <t>Plot No : L-5329</t>
  </si>
  <si>
    <t>Cost : 380,000</t>
  </si>
  <si>
    <t>Code Num:CMU8875302</t>
  </si>
  <si>
    <t>27/8/22</t>
  </si>
  <si>
    <t>12/12/22/16/123</t>
  </si>
  <si>
    <t>13/7/23</t>
  </si>
  <si>
    <t>27/12/23</t>
  </si>
  <si>
    <t>16/4/24</t>
  </si>
  <si>
    <t>Name :HAJI AHMED</t>
  </si>
  <si>
    <t>Father Name:HAJI MUHAMMAD BIN JAMAL</t>
  </si>
  <si>
    <t>CNIC :42401-1896082-7</t>
  </si>
  <si>
    <t>Contact :0316-2715044</t>
  </si>
  <si>
    <t>Plot No : L-5353</t>
  </si>
  <si>
    <t>Code Num:CMN1401652</t>
  </si>
  <si>
    <t>15/10/25</t>
  </si>
  <si>
    <t>15/12/25</t>
  </si>
  <si>
    <t>13/7/26</t>
  </si>
  <si>
    <t>BOOKING</t>
  </si>
  <si>
    <t>Name :AKHTAR ALI</t>
  </si>
  <si>
    <t>Father Name:ABDUL AZIZ</t>
  </si>
  <si>
    <t>CNIC :44202-712513-5</t>
  </si>
  <si>
    <t>Code Num:CQP8832598</t>
  </si>
  <si>
    <t>Plot No : L-5303</t>
  </si>
  <si>
    <t>Cost : 4,50,000</t>
  </si>
  <si>
    <t>Contact :0306-3315625</t>
  </si>
  <si>
    <r>
      <t>6/1</t>
    </r>
    <r>
      <rPr>
        <sz val="11"/>
        <color theme="1"/>
        <rFont val="Calibri"/>
        <family val="2"/>
        <scheme val="minor"/>
      </rPr>
      <t>1/22/11/2/23</t>
    </r>
  </si>
  <si>
    <t>27/3/23</t>
  </si>
  <si>
    <t>15/7/23/</t>
  </si>
  <si>
    <t>17/8/23</t>
  </si>
  <si>
    <t>13/9/23</t>
  </si>
  <si>
    <t>15/11/23</t>
  </si>
  <si>
    <t>13/12/23</t>
  </si>
  <si>
    <t>13/1/24</t>
  </si>
  <si>
    <t>installment</t>
  </si>
  <si>
    <t>13/3/24</t>
  </si>
  <si>
    <t>15/4/24</t>
  </si>
  <si>
    <t>13/5/24</t>
  </si>
  <si>
    <t>16/6/24</t>
  </si>
  <si>
    <t>15/7/24</t>
  </si>
  <si>
    <t>18/8/24</t>
  </si>
  <si>
    <t>15/9/24</t>
  </si>
  <si>
    <t>16/10/24</t>
  </si>
  <si>
    <t>15/11/24</t>
  </si>
  <si>
    <t>14/1/26</t>
  </si>
  <si>
    <t>22/4/26</t>
  </si>
  <si>
    <t>17/6/26</t>
  </si>
  <si>
    <t>14/8/26</t>
  </si>
  <si>
    <t>28/7/23</t>
  </si>
  <si>
    <t>31/7/23</t>
  </si>
  <si>
    <t>25/5/24</t>
  </si>
  <si>
    <t>INSTALLMENT</t>
  </si>
  <si>
    <t>25/6/24</t>
  </si>
  <si>
    <t>25/9/24</t>
  </si>
  <si>
    <t>26/2/25</t>
  </si>
  <si>
    <t>21/6/25</t>
  </si>
  <si>
    <t>29/7/25</t>
  </si>
  <si>
    <t>27/1/26</t>
  </si>
  <si>
    <t>23/6/26</t>
  </si>
  <si>
    <t>13/8/26</t>
  </si>
  <si>
    <t>Name :ZEESHAN ALI</t>
  </si>
  <si>
    <t>Father Name:ARSHAD ALI</t>
  </si>
  <si>
    <t>Contact :0305-8441581</t>
  </si>
  <si>
    <t>Plot No : L-5392</t>
  </si>
  <si>
    <t>Cost : 800,0000</t>
  </si>
  <si>
    <t>Code Num:BUE0541413</t>
  </si>
  <si>
    <t>15/8/26</t>
  </si>
  <si>
    <t>Name :MUHAMMAD WAQAS</t>
  </si>
  <si>
    <t xml:space="preserve">Father Name:MUHAMMAD SAWAR </t>
  </si>
  <si>
    <t>CNIC :42410-7000365</t>
  </si>
  <si>
    <t>Code Num:</t>
  </si>
  <si>
    <t>Contact :0307-3991183</t>
  </si>
  <si>
    <t>Plot No : L-5316</t>
  </si>
  <si>
    <t>ADJESTMENT</t>
  </si>
  <si>
    <t>DEVELOPEMNT CONTINUE</t>
  </si>
  <si>
    <t>22/10/25</t>
  </si>
  <si>
    <t>25/11/25</t>
  </si>
  <si>
    <t>15/6/26</t>
  </si>
  <si>
    <t>15/7/26</t>
  </si>
  <si>
    <t>Name :GUL NOOR</t>
  </si>
  <si>
    <t>Father Name:MUHAMMAD AIDREES</t>
  </si>
  <si>
    <t>CNIC :42401-4730895-2</t>
  </si>
  <si>
    <t>Contact :0312-2183070</t>
  </si>
  <si>
    <t>Plot No : L-5357</t>
  </si>
  <si>
    <t>CLJ0504009</t>
  </si>
  <si>
    <t>22/9/23</t>
  </si>
  <si>
    <t>23/1/24</t>
  </si>
  <si>
    <t>RES BOOKING</t>
  </si>
  <si>
    <t>19/1/25</t>
  </si>
  <si>
    <t>15/8/25</t>
  </si>
  <si>
    <t>19/3/26</t>
  </si>
  <si>
    <t>14/6/26</t>
  </si>
  <si>
    <t>Plot No : L-5335</t>
  </si>
  <si>
    <t xml:space="preserve">Name :MUHAMMAD ADEEL </t>
  </si>
  <si>
    <t>Father Name:IRFAN ALI</t>
  </si>
  <si>
    <t>CNIC :42401-10721705-9</t>
  </si>
  <si>
    <t>Contact :0311-3117261</t>
  </si>
  <si>
    <t>CODE NO:CQP1716036</t>
  </si>
  <si>
    <t>9/9/22/22/9/20</t>
  </si>
  <si>
    <t>19/1/23</t>
  </si>
  <si>
    <t>25/5/23</t>
  </si>
  <si>
    <t>residential</t>
  </si>
  <si>
    <t>adjestment</t>
  </si>
  <si>
    <t>jun july</t>
  </si>
  <si>
    <t>19/5/25</t>
  </si>
  <si>
    <t>14/7/25</t>
  </si>
  <si>
    <t>24/8/25</t>
  </si>
  <si>
    <t>17/9/25</t>
  </si>
  <si>
    <t>20/10/25</t>
  </si>
  <si>
    <t>24/11/25</t>
  </si>
  <si>
    <t>24/12/25</t>
  </si>
  <si>
    <t>22/1/26</t>
  </si>
  <si>
    <t>25/3/26</t>
  </si>
  <si>
    <t>24/4/26</t>
  </si>
  <si>
    <t>16/5/26</t>
  </si>
  <si>
    <t>17/8/26</t>
  </si>
  <si>
    <t>Name :WASEEM PARVEZ</t>
  </si>
  <si>
    <t>Father Name:RASHEED AHMEED</t>
  </si>
  <si>
    <t>CNIC :36104-3070240-7</t>
  </si>
  <si>
    <t>Contact :0303-2160654</t>
  </si>
  <si>
    <t>Plot No : L-5337</t>
  </si>
  <si>
    <t>CODE NO:CMV5338541</t>
  </si>
  <si>
    <t>13/4/26</t>
  </si>
  <si>
    <t>15/4/26</t>
  </si>
  <si>
    <t>19/4/26</t>
  </si>
  <si>
    <t xml:space="preserve">DEVELOPMENT NILL </t>
  </si>
  <si>
    <t>16/8/26</t>
  </si>
  <si>
    <t xml:space="preserve">NILL </t>
  </si>
  <si>
    <t xml:space="preserve">Name :MUHAMMAD JAVED </t>
  </si>
  <si>
    <t>Father Name:MUHAMMAD SADDIQ</t>
  </si>
  <si>
    <t>CNIC :42401-3155369-1</t>
  </si>
  <si>
    <t>Plot No : L-5385</t>
  </si>
  <si>
    <t>CODE NO:CJZ8472038</t>
  </si>
  <si>
    <t>Contact :</t>
  </si>
  <si>
    <t>21/6/23</t>
  </si>
  <si>
    <t>21/8/23</t>
  </si>
  <si>
    <t>24/9/23</t>
  </si>
  <si>
    <t>23/10/23</t>
  </si>
  <si>
    <t>23/11/23</t>
  </si>
  <si>
    <t>26/12/23</t>
  </si>
  <si>
    <t>22/1/24</t>
  </si>
  <si>
    <t>27/2/24</t>
  </si>
  <si>
    <t xml:space="preserve">ADJ REH </t>
  </si>
  <si>
    <t xml:space="preserve">INSTALLMENT </t>
  </si>
  <si>
    <t>30/3/24</t>
  </si>
  <si>
    <t>17/4/24</t>
  </si>
  <si>
    <t>24/6/24</t>
  </si>
  <si>
    <t>25/11/24</t>
  </si>
  <si>
    <t>28/12/24</t>
  </si>
  <si>
    <t>27/1/25</t>
  </si>
  <si>
    <t>24/4/25</t>
  </si>
  <si>
    <t>29/5/25</t>
  </si>
  <si>
    <t>29/6/25</t>
  </si>
  <si>
    <t xml:space="preserve">DEVELOPMENT CONTINUE </t>
  </si>
  <si>
    <t xml:space="preserve">DEVELOPMENT </t>
  </si>
  <si>
    <t>Plot No : L-5384</t>
  </si>
  <si>
    <t>21/9/22</t>
  </si>
  <si>
    <t>ADJ REH</t>
  </si>
  <si>
    <t>28/3/26</t>
  </si>
  <si>
    <t>30/4/26</t>
  </si>
  <si>
    <t>31/5/26</t>
  </si>
  <si>
    <t>28/7/26</t>
  </si>
  <si>
    <t>DEVELOPMENT NILL</t>
  </si>
  <si>
    <t xml:space="preserve"> </t>
  </si>
  <si>
    <t>Name :MUHAMMAD FAIZAN</t>
  </si>
  <si>
    <t>Father Name :MUHAMMAD SHAFIQ</t>
  </si>
  <si>
    <t>CNIC:42401-7837304-7</t>
  </si>
  <si>
    <t>Contact :0341-2514490</t>
  </si>
  <si>
    <t>Plot No : L-5345</t>
  </si>
  <si>
    <t>Code Num:CHZ3382973</t>
  </si>
  <si>
    <t>21/3/23</t>
  </si>
  <si>
    <t>29/4/23</t>
  </si>
  <si>
    <t>22/5/23</t>
  </si>
  <si>
    <t>29/11/23</t>
  </si>
  <si>
    <t>20/12/23</t>
  </si>
  <si>
    <t xml:space="preserve">REH ADJ </t>
  </si>
  <si>
    <t>21/1/24</t>
  </si>
  <si>
    <t>13/7/24</t>
  </si>
  <si>
    <t>14/8/24</t>
  </si>
  <si>
    <t>26/10/24</t>
  </si>
  <si>
    <t>19/2/25</t>
  </si>
  <si>
    <t>17/3/25</t>
  </si>
  <si>
    <t>18/4/25</t>
  </si>
  <si>
    <t>18/5/25</t>
  </si>
  <si>
    <t>22/6/25</t>
  </si>
  <si>
    <t>21/7/25</t>
  </si>
  <si>
    <t>18/8/25</t>
  </si>
  <si>
    <t>22/9/25</t>
  </si>
  <si>
    <t>26/10/25</t>
  </si>
  <si>
    <t>15/3/24</t>
  </si>
  <si>
    <t>14/5/24</t>
  </si>
  <si>
    <t>17/2/26</t>
  </si>
  <si>
    <t>16/3/26</t>
  </si>
  <si>
    <t>20/5/26</t>
  </si>
  <si>
    <t>16/6/26</t>
  </si>
  <si>
    <t>19/7/26</t>
  </si>
  <si>
    <t>19/8/26</t>
  </si>
  <si>
    <t>Name :MUHAMMAD YASIN</t>
  </si>
  <si>
    <t>Father Name :MUHAMMAD SALEEM</t>
  </si>
  <si>
    <t>CNIC:33104-3057717-7</t>
  </si>
  <si>
    <t>Contact :0310-3705474</t>
  </si>
  <si>
    <t>Plot No : L-5307</t>
  </si>
  <si>
    <t>Code Num:CQA3319114</t>
  </si>
  <si>
    <t>Cost : 800,000</t>
  </si>
  <si>
    <t>21/1/26</t>
  </si>
  <si>
    <t xml:space="preserve">BOOKING </t>
  </si>
  <si>
    <t>Plot No : L-5306</t>
  </si>
  <si>
    <t>Name :NAZIA BUTT</t>
  </si>
  <si>
    <t>Father Name :MUHAMMAD YASIN</t>
  </si>
  <si>
    <t>Code Num:AWB7781018</t>
  </si>
  <si>
    <t>16/11/22</t>
  </si>
  <si>
    <t>Name :MUHAMMAD RIZWAN</t>
  </si>
  <si>
    <t>Father Name :MUHAMMAD SARWAR</t>
  </si>
  <si>
    <t>CNIC:41303-3637860-3</t>
  </si>
  <si>
    <t>Contact :0301-5268519</t>
  </si>
  <si>
    <t>Plot No : L-5390</t>
  </si>
  <si>
    <t>Code Num:BTU4014954</t>
  </si>
  <si>
    <t>20/1/25</t>
  </si>
  <si>
    <t>31/3/26</t>
  </si>
  <si>
    <t>27/6/24</t>
  </si>
  <si>
    <t>26/5/25</t>
  </si>
  <si>
    <t xml:space="preserve">80,000 GIVEN DISCOUNT </t>
  </si>
  <si>
    <t>Plot No : L-5330</t>
  </si>
  <si>
    <t>Name :RAMZAN KHAN</t>
  </si>
  <si>
    <t>Father Name :ALI KHAN ALMANI</t>
  </si>
  <si>
    <t>CNIC:42401-6679793-1</t>
  </si>
  <si>
    <t>Code Num:CMJ7827542</t>
  </si>
  <si>
    <t>30/7/20</t>
  </si>
  <si>
    <t>27/8/22/9/3/23</t>
  </si>
  <si>
    <t>12/12/22/16/1/23</t>
  </si>
  <si>
    <t xml:space="preserve">ADJUSTMENT </t>
  </si>
  <si>
    <t xml:space="preserve">Name #GUL NOOR </t>
  </si>
  <si>
    <t>Father Name #MUHAMMAD IDREES</t>
  </si>
  <si>
    <t>CNIC # 42401-4730895-5</t>
  </si>
  <si>
    <t>Contact # 0312-2183070</t>
  </si>
  <si>
    <t>Plot No : L-5358</t>
  </si>
  <si>
    <t>Code Num#CHU5341228</t>
  </si>
  <si>
    <t>15/5/24</t>
  </si>
  <si>
    <t xml:space="preserve">RES BOOKING </t>
  </si>
  <si>
    <t>15/2/25</t>
  </si>
  <si>
    <t>24/8/26</t>
  </si>
  <si>
    <t>30/8/26</t>
  </si>
  <si>
    <t>date</t>
  </si>
  <si>
    <t>discount given by sir arshad 300,000</t>
  </si>
  <si>
    <t xml:space="preserve">Name :Nasreen Khatoon </t>
  </si>
  <si>
    <t>Father Name :Nizan ul Hussan</t>
  </si>
  <si>
    <t>CNIC:42401-1531214-2</t>
  </si>
  <si>
    <t>Contact :03312189015</t>
  </si>
  <si>
    <t>Plot No : L-5343</t>
  </si>
  <si>
    <t>13/7/20</t>
  </si>
  <si>
    <t>24/7/23</t>
  </si>
  <si>
    <t>adjustment</t>
  </si>
  <si>
    <t>Name #MR ZAWAR ALI</t>
  </si>
  <si>
    <t>Father Name #ABDUL WASI</t>
  </si>
  <si>
    <t>CNIC # 42301-0257161-1</t>
  </si>
  <si>
    <t>Code Num#BWN3062374</t>
  </si>
  <si>
    <t>Contact # 0321-2665128</t>
  </si>
  <si>
    <t>Plot No : L-5374</t>
  </si>
  <si>
    <t>30/11/22/5/2/23</t>
  </si>
  <si>
    <t>17/4/23</t>
  </si>
  <si>
    <t>28/5/23</t>
  </si>
  <si>
    <t>24/6/23</t>
  </si>
  <si>
    <t>REH AJD</t>
  </si>
  <si>
    <t>14/4/24</t>
  </si>
  <si>
    <t>24/8/24</t>
  </si>
  <si>
    <t>31/8/25</t>
  </si>
  <si>
    <t>30/9/25</t>
  </si>
  <si>
    <t>29/10/25</t>
  </si>
  <si>
    <t>30/1/26</t>
  </si>
  <si>
    <t>26/5/26</t>
  </si>
  <si>
    <t>26/6/26</t>
  </si>
  <si>
    <t>27/7/26</t>
  </si>
  <si>
    <t>updated</t>
  </si>
  <si>
    <t>R.NO.</t>
  </si>
  <si>
    <t>DESCRIPTION</t>
  </si>
  <si>
    <t>AMOUNT RECEIVED</t>
  </si>
  <si>
    <t>TOTAL RECEIVED</t>
  </si>
  <si>
    <t>REMARKS</t>
  </si>
  <si>
    <t>28/11/2021</t>
  </si>
  <si>
    <t>615</t>
  </si>
  <si>
    <t>Residential Booking</t>
  </si>
  <si>
    <t>Signed</t>
  </si>
  <si>
    <t>01/01/2022</t>
  </si>
  <si>
    <t>252</t>
  </si>
  <si>
    <t>Installment</t>
  </si>
  <si>
    <t>08/01/2022</t>
  </si>
  <si>
    <t>2403</t>
  </si>
  <si>
    <t>Rehman (chs)</t>
  </si>
  <si>
    <t>05/01/2023</t>
  </si>
  <si>
    <t>2404</t>
  </si>
  <si>
    <t>08/02/2023</t>
  </si>
  <si>
    <t>1624</t>
  </si>
  <si>
    <t>08/05/2023</t>
  </si>
  <si>
    <t>0942</t>
  </si>
  <si>
    <t>10/06/2023</t>
  </si>
  <si>
    <t>0392</t>
  </si>
  <si>
    <t>06/07/2023</t>
  </si>
  <si>
    <t>9841</t>
  </si>
  <si>
    <t>20/08/2023</t>
  </si>
  <si>
    <t>3100</t>
  </si>
  <si>
    <t>18/09/2023</t>
  </si>
  <si>
    <t>3717</t>
  </si>
  <si>
    <t>12/10/2023</t>
  </si>
  <si>
    <t>4234</t>
  </si>
  <si>
    <t>Installment (Next month double)</t>
  </si>
  <si>
    <t xml:space="preserve">Name :MUHAMMAD FARHAN </t>
  </si>
  <si>
    <t xml:space="preserve">Father Name :MUHAMMAD ASLAM </t>
  </si>
  <si>
    <t>CNIC:42401-8707127-3</t>
  </si>
  <si>
    <t>Code Num:CHL0005426</t>
  </si>
  <si>
    <t>Contact :0346-3161704</t>
  </si>
  <si>
    <t>Plot No : L-5378</t>
  </si>
  <si>
    <t>13/01/2024</t>
  </si>
  <si>
    <t>6147</t>
  </si>
  <si>
    <t>11/02/2024</t>
  </si>
  <si>
    <t>7039</t>
  </si>
  <si>
    <t>14/03/2024</t>
  </si>
  <si>
    <t>7352</t>
  </si>
  <si>
    <t>07/04/2024</t>
  </si>
  <si>
    <t>9732</t>
  </si>
  <si>
    <t>13/05/2024</t>
  </si>
  <si>
    <t>8476</t>
  </si>
  <si>
    <t>24/06/2024</t>
  </si>
  <si>
    <t>9257</t>
  </si>
  <si>
    <t>06/08/2024</t>
  </si>
  <si>
    <t>10073</t>
  </si>
  <si>
    <t>Installment (double, incl. skipped month)</t>
  </si>
  <si>
    <t>Sobho Goth - FULL PAID</t>
  </si>
  <si>
    <t>29/8/26</t>
  </si>
  <si>
    <t>R. NO</t>
  </si>
  <si>
    <t>7/1/23</t>
  </si>
  <si>
    <t>-</t>
  </si>
  <si>
    <t>Token (Booking)</t>
  </si>
  <si>
    <t>0347</t>
  </si>
  <si>
    <t>07/07/23</t>
  </si>
  <si>
    <t>26/08/23</t>
  </si>
  <si>
    <t>19/09/23</t>
  </si>
  <si>
    <t>05/10/23</t>
  </si>
  <si>
    <t>5/11/23</t>
  </si>
  <si>
    <t>3/12/23</t>
  </si>
  <si>
    <t>3/1/24</t>
  </si>
  <si>
    <t>4/2/24</t>
  </si>
  <si>
    <t>6520</t>
  </si>
  <si>
    <t>3/3/24</t>
  </si>
  <si>
    <t>6837</t>
  </si>
  <si>
    <t>3/4/24</t>
  </si>
  <si>
    <t>5/5/24</t>
  </si>
  <si>
    <t>2/6/24</t>
  </si>
  <si>
    <t>3/7/24</t>
  </si>
  <si>
    <t>9350</t>
  </si>
  <si>
    <t>4/8/24</t>
  </si>
  <si>
    <t>3/9/24</t>
  </si>
  <si>
    <t>10595</t>
  </si>
  <si>
    <t>6/10/24</t>
  </si>
  <si>
    <t>11407</t>
  </si>
  <si>
    <t>3/11/24</t>
  </si>
  <si>
    <t>11567</t>
  </si>
  <si>
    <t>8/12/24</t>
  </si>
  <si>
    <t>12236</t>
  </si>
  <si>
    <t>5/1/25</t>
  </si>
  <si>
    <t>12891</t>
  </si>
  <si>
    <t>2/2/25</t>
  </si>
  <si>
    <t>10/3/25</t>
  </si>
  <si>
    <t>9696</t>
  </si>
  <si>
    <t>23/4/25</t>
  </si>
  <si>
    <t>4/5/25</t>
  </si>
  <si>
    <t>12/6/25</t>
  </si>
  <si>
    <t>9901</t>
  </si>
  <si>
    <t>8/7/25</t>
  </si>
  <si>
    <t>12804</t>
  </si>
  <si>
    <t>4/8/25</t>
  </si>
  <si>
    <t>12378</t>
  </si>
  <si>
    <t>8/9/25</t>
  </si>
  <si>
    <t>12673</t>
  </si>
  <si>
    <t>11/10/25</t>
  </si>
  <si>
    <t>9/11/25</t>
  </si>
  <si>
    <t>7/12/25</t>
  </si>
  <si>
    <t>13290</t>
  </si>
  <si>
    <t>4/1/26</t>
  </si>
  <si>
    <t>13886</t>
  </si>
  <si>
    <t>12/2/26</t>
  </si>
  <si>
    <t>7/3/26</t>
  </si>
  <si>
    <t>4/4/26</t>
  </si>
  <si>
    <t>6/5/26</t>
  </si>
  <si>
    <t>12944</t>
  </si>
  <si>
    <t>6/6/26</t>
  </si>
  <si>
    <t>13519</t>
  </si>
  <si>
    <t>6/7/26</t>
  </si>
  <si>
    <t>1407</t>
  </si>
  <si>
    <t>8/8/26</t>
  </si>
  <si>
    <t>1673</t>
  </si>
  <si>
    <t>6/9/26</t>
  </si>
  <si>
    <t>1911</t>
  </si>
  <si>
    <t>Code Num:BYN8895863</t>
  </si>
  <si>
    <t>Name :MULA DINO</t>
  </si>
  <si>
    <t>Father Name:NASEEM KHAN</t>
  </si>
  <si>
    <t>CNIC :45302-8238265-9</t>
  </si>
  <si>
    <t>Contact :0304-3090270</t>
  </si>
  <si>
    <t>Plot No : L-5317</t>
  </si>
  <si>
    <t>01/7/25</t>
  </si>
  <si>
    <t>12345</t>
  </si>
  <si>
    <t>Booking</t>
  </si>
  <si>
    <t>60,000</t>
  </si>
  <si>
    <t>690,000</t>
  </si>
  <si>
    <t>10/9/25</t>
  </si>
  <si>
    <t>12649</t>
  </si>
  <si>
    <t>Instalment</t>
  </si>
  <si>
    <t>10,000</t>
  </si>
  <si>
    <t>70,000</t>
  </si>
  <si>
    <t>680,000</t>
  </si>
  <si>
    <t>01/10/25</t>
  </si>
  <si>
    <t>13733</t>
  </si>
  <si>
    <t>80,000</t>
  </si>
  <si>
    <t>670,000</t>
  </si>
  <si>
    <t>8/11/25</t>
  </si>
  <si>
    <t>13763</t>
  </si>
  <si>
    <t>90,000</t>
  </si>
  <si>
    <t>660,000</t>
  </si>
  <si>
    <t>13898</t>
  </si>
  <si>
    <t>100,000</t>
  </si>
  <si>
    <t>650,000</t>
  </si>
  <si>
    <t>7/1/26</t>
  </si>
  <si>
    <t>~1276</t>
  </si>
  <si>
    <t>110,000</t>
  </si>
  <si>
    <t>640,000</t>
  </si>
  <si>
    <t>9/4/26</t>
  </si>
  <si>
    <t>~1169</t>
  </si>
  <si>
    <t>120,000</t>
  </si>
  <si>
    <t>630,000</t>
  </si>
  <si>
    <t>10/3/26</t>
  </si>
  <si>
    <t>~1282</t>
  </si>
  <si>
    <t>130,000</t>
  </si>
  <si>
    <t>620,000</t>
  </si>
  <si>
    <t>15/5/26</t>
  </si>
  <si>
    <t>~1985</t>
  </si>
  <si>
    <t>140,000</t>
  </si>
  <si>
    <t>610,000</t>
  </si>
  <si>
    <t>~25/6/26</t>
  </si>
  <si>
    <t>~1956</t>
  </si>
  <si>
    <t>150,000</t>
  </si>
  <si>
    <t>600,000</t>
  </si>
  <si>
    <t>5/7/26</t>
  </si>
  <si>
    <t>13991</t>
  </si>
  <si>
    <t>~10,000</t>
  </si>
  <si>
    <t>160,000</t>
  </si>
  <si>
    <t>590,000</t>
  </si>
  <si>
    <t>Name :MUQADAS SHOUKAT Ali</t>
  </si>
  <si>
    <t>Father Name :SHOUKAT ALI</t>
  </si>
  <si>
    <t>CNIC:42401-5334881-6</t>
  </si>
  <si>
    <t>Contact :0305-3272458</t>
  </si>
  <si>
    <t>Cost : 750,000</t>
  </si>
  <si>
    <t>Plot No : L-5394</t>
  </si>
  <si>
    <t>Code Num:CBF4092778</t>
  </si>
  <si>
    <t>CNIC :45202-7547663-1</t>
  </si>
  <si>
    <t>14/9/26</t>
  </si>
  <si>
    <t>15/9/26</t>
  </si>
  <si>
    <t>25/1/23</t>
  </si>
  <si>
    <t>25/9/26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</si>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</sst>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&quot;/-&quot;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2F2F2F"/>
        <bgColor rgb="FF333300"/>
      </patternFill>
    </fill>
    <fill>
      <patternFill patternType="solid">
        <fgColor rgb="FF155A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AAB8C2"/>
      </left>
      <right style="thin">
        <color rgb="FFAAB8C2"/>
      </right>
      <top style="thin">
        <color rgb="FFAAB8C2"/>
      </top>
      <bottom style="thin">
        <color rgb="FFAAB8C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83">
    <xf numFmtId="0" fontId="0" fillId="0" borderId="0" xfId="0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4" borderId="1" xfId="0" applyFont="1" applyFill="1" applyBorder="1" applyAlignment="1">
      <alignment horizontal="left"/>
    </xf>
    <xf numFmtId="3" fontId="3" fillId="3" borderId="1" xfId="0" applyNumberFormat="1" applyFont="1" applyFill="1" applyBorder="1"/>
    <xf numFmtId="14" fontId="0" fillId="0" borderId="3" xfId="0" applyNumberFormat="1" applyBorder="1" applyAlignment="1">
      <alignment horizontal="left"/>
    </xf>
    <xf numFmtId="3" fontId="0" fillId="3" borderId="1" xfId="0" applyNumberFormat="1" applyFill="1" applyBorder="1"/>
    <xf numFmtId="3" fontId="0" fillId="3" borderId="0" xfId="0" applyNumberFormat="1" applyFill="1"/>
    <xf numFmtId="3" fontId="0" fillId="0" borderId="3" xfId="0" applyNumberFormat="1" applyBorder="1" applyAlignment="1">
      <alignment horizontal="left"/>
    </xf>
    <xf numFmtId="0" fontId="1" fillId="0" borderId="0" xfId="0" applyFont="1"/>
    <xf numFmtId="0" fontId="1" fillId="4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3" borderId="1" xfId="0" applyFill="1" applyBorder="1"/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8" fillId="6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/>
    </xf>
    <xf numFmtId="164" fontId="7" fillId="0" borderId="1" xfId="1" applyNumberFormat="1" applyFont="1" applyBorder="1" applyAlignment="1">
      <alignment horizontal="right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/>
    </xf>
    <xf numFmtId="164" fontId="10" fillId="0" borderId="1" xfId="1" applyNumberFormat="1" applyFont="1" applyBorder="1" applyAlignment="1">
      <alignment horizontal="right" vertical="center"/>
    </xf>
    <xf numFmtId="0" fontId="9" fillId="3" borderId="0" xfId="1" applyFont="1" applyFill="1" applyAlignment="1">
      <alignment horizontal="center" vertical="center" wrapText="1"/>
    </xf>
    <xf numFmtId="0" fontId="0" fillId="0" borderId="3" xfId="0" applyBorder="1"/>
    <xf numFmtId="0" fontId="11" fillId="7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3" fillId="8" borderId="0" xfId="0" applyFont="1" applyFill="1"/>
    <xf numFmtId="0" fontId="3" fillId="9" borderId="1" xfId="0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3" fontId="0" fillId="0" borderId="3" xfId="0" applyNumberFormat="1" applyFill="1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4" fontId="0" fillId="0" borderId="3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21" workbookViewId="0">
      <selection activeCell="F27" sqref="F27"/>
    </sheetView>
  </sheetViews>
  <sheetFormatPr defaultRowHeight="14.5" x14ac:dyDescent="0.35"/>
  <cols>
    <col min="2" max="2" width="9.453125" customWidth="1"/>
    <col min="3" max="3" width="12.36328125" customWidth="1"/>
    <col min="4" max="4" width="11.36328125" customWidth="1"/>
    <col min="5" max="5" width="11" customWidth="1"/>
    <col min="6" max="6" width="11.1796875" customWidth="1"/>
  </cols>
  <sheetData>
    <row r="1" spans="1:6" ht="18.5" x14ac:dyDescent="0.45">
      <c r="A1" s="12" t="s">
        <v>12</v>
      </c>
      <c r="B1" s="12"/>
      <c r="C1" s="12"/>
      <c r="D1" s="12"/>
      <c r="E1" s="12"/>
      <c r="F1" s="12"/>
    </row>
    <row r="2" spans="1:6" ht="18.5" x14ac:dyDescent="0.45">
      <c r="A2" s="14" t="s">
        <v>11</v>
      </c>
      <c r="B2" s="14"/>
      <c r="C2" s="14"/>
      <c r="D2" s="14"/>
      <c r="E2" s="14"/>
      <c r="F2" s="14"/>
    </row>
    <row r="3" spans="1:6" ht="18.5" x14ac:dyDescent="0.45">
      <c r="A3" s="14" t="s">
        <v>10</v>
      </c>
      <c r="B3" s="14"/>
      <c r="C3" s="14"/>
      <c r="D3" s="14"/>
      <c r="E3" s="14"/>
      <c r="F3" s="14"/>
    </row>
    <row r="4" spans="1:6" ht="18.5" x14ac:dyDescent="0.45">
      <c r="A4" s="14" t="s">
        <v>9</v>
      </c>
      <c r="B4" s="14"/>
      <c r="C4" s="14"/>
      <c r="D4" s="14"/>
      <c r="E4" s="14"/>
      <c r="F4" s="14"/>
    </row>
    <row r="5" spans="1:6" ht="18.5" x14ac:dyDescent="0.45">
      <c r="A5" s="14" t="s">
        <v>0</v>
      </c>
      <c r="B5" s="14"/>
      <c r="C5" s="14"/>
      <c r="D5" s="14"/>
      <c r="E5" s="14"/>
      <c r="F5" s="14"/>
    </row>
    <row r="6" spans="1:6" ht="18.5" x14ac:dyDescent="0.45">
      <c r="A6" s="14" t="s">
        <v>8</v>
      </c>
      <c r="B6" s="14"/>
      <c r="C6" s="14"/>
      <c r="D6" s="14" t="s">
        <v>7</v>
      </c>
      <c r="E6" s="14"/>
      <c r="F6" s="14"/>
    </row>
    <row r="7" spans="1:6" x14ac:dyDescent="0.35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</row>
    <row r="8" spans="1:6" x14ac:dyDescent="0.35">
      <c r="A8" s="1" t="s">
        <v>15</v>
      </c>
      <c r="B8" s="1">
        <v>12854</v>
      </c>
      <c r="C8" s="1" t="s">
        <v>17</v>
      </c>
      <c r="D8" s="2">
        <v>2220000</v>
      </c>
      <c r="E8" s="2">
        <v>220000</v>
      </c>
      <c r="F8" s="2">
        <v>200000</v>
      </c>
    </row>
    <row r="9" spans="1:6" x14ac:dyDescent="0.35">
      <c r="A9" s="1" t="s">
        <v>16</v>
      </c>
      <c r="B9" s="1" t="s">
        <v>14</v>
      </c>
      <c r="C9" s="1" t="s">
        <v>18</v>
      </c>
      <c r="D9" s="2">
        <v>200000</v>
      </c>
      <c r="E9" s="2">
        <v>420000</v>
      </c>
      <c r="F9" s="1" t="s">
        <v>13</v>
      </c>
    </row>
    <row r="10" spans="1:6" x14ac:dyDescent="0.35">
      <c r="A10" s="1"/>
      <c r="B10" s="1"/>
      <c r="C10" s="1"/>
      <c r="D10" s="1"/>
      <c r="E10" s="1"/>
      <c r="F10" s="1"/>
    </row>
    <row r="11" spans="1:6" ht="15.5" x14ac:dyDescent="0.35">
      <c r="A11" s="3" t="s">
        <v>19</v>
      </c>
      <c r="B11" s="3"/>
      <c r="C11" s="3"/>
      <c r="D11" s="1"/>
      <c r="E11" s="1"/>
      <c r="F11" s="1"/>
    </row>
    <row r="12" spans="1:6" x14ac:dyDescent="0.35">
      <c r="A12" s="1"/>
      <c r="B12" s="1"/>
      <c r="C12" s="1"/>
      <c r="D12" s="1"/>
      <c r="E12" s="1"/>
      <c r="F12" s="1"/>
    </row>
    <row r="13" spans="1:6" x14ac:dyDescent="0.35">
      <c r="A13" s="1" t="s">
        <v>20</v>
      </c>
      <c r="B13" s="1">
        <v>3994</v>
      </c>
      <c r="C13" s="2" t="s">
        <v>21</v>
      </c>
      <c r="D13" s="2">
        <v>20000</v>
      </c>
      <c r="E13" s="2">
        <v>20000</v>
      </c>
      <c r="F13" s="2">
        <v>430000</v>
      </c>
    </row>
    <row r="14" spans="1:6" x14ac:dyDescent="0.35">
      <c r="A14" s="1" t="s">
        <v>22</v>
      </c>
      <c r="B14" s="1">
        <v>3593</v>
      </c>
      <c r="C14" s="2" t="s">
        <v>21</v>
      </c>
      <c r="D14" s="2">
        <v>10000</v>
      </c>
      <c r="E14" s="2">
        <f t="shared" ref="E14:E24" si="0">E13+D14</f>
        <v>30000</v>
      </c>
      <c r="F14" s="2">
        <f t="shared" ref="F14:F24" si="1">F13-D14</f>
        <v>420000</v>
      </c>
    </row>
    <row r="15" spans="1:6" x14ac:dyDescent="0.35">
      <c r="A15" s="1" t="s">
        <v>23</v>
      </c>
      <c r="B15" s="1">
        <v>3395</v>
      </c>
      <c r="C15" s="2" t="s">
        <v>21</v>
      </c>
      <c r="D15" s="1">
        <v>5000</v>
      </c>
      <c r="E15" s="2">
        <f t="shared" si="0"/>
        <v>35000</v>
      </c>
      <c r="F15" s="2">
        <f t="shared" si="1"/>
        <v>415000</v>
      </c>
    </row>
    <row r="16" spans="1:6" x14ac:dyDescent="0.35">
      <c r="A16" s="1" t="s">
        <v>24</v>
      </c>
      <c r="B16" s="1">
        <v>3853</v>
      </c>
      <c r="C16" s="2" t="s">
        <v>21</v>
      </c>
      <c r="D16" s="2">
        <v>10000</v>
      </c>
      <c r="E16" s="2">
        <f t="shared" si="0"/>
        <v>45000</v>
      </c>
      <c r="F16" s="2">
        <f t="shared" si="1"/>
        <v>405000</v>
      </c>
    </row>
    <row r="17" spans="1:6" x14ac:dyDescent="0.35">
      <c r="A17" s="1" t="s">
        <v>25</v>
      </c>
      <c r="B17" s="1">
        <v>5152</v>
      </c>
      <c r="C17" s="2" t="s">
        <v>21</v>
      </c>
      <c r="D17" s="2">
        <v>10000</v>
      </c>
      <c r="E17" s="2">
        <f t="shared" si="0"/>
        <v>55000</v>
      </c>
      <c r="F17" s="2">
        <f t="shared" si="1"/>
        <v>395000</v>
      </c>
    </row>
    <row r="18" spans="1:6" x14ac:dyDescent="0.35">
      <c r="A18" s="1" t="s">
        <v>26</v>
      </c>
      <c r="B18" s="1">
        <v>5364</v>
      </c>
      <c r="C18" s="2" t="s">
        <v>21</v>
      </c>
      <c r="D18" s="2">
        <v>10000</v>
      </c>
      <c r="E18" s="2">
        <f t="shared" si="0"/>
        <v>65000</v>
      </c>
      <c r="F18" s="2">
        <f t="shared" si="1"/>
        <v>385000</v>
      </c>
    </row>
    <row r="19" spans="1:6" x14ac:dyDescent="0.35">
      <c r="A19" s="1" t="s">
        <v>27</v>
      </c>
      <c r="B19" s="1">
        <v>5586</v>
      </c>
      <c r="C19" s="2" t="s">
        <v>21</v>
      </c>
      <c r="D19" s="2">
        <v>10000</v>
      </c>
      <c r="E19" s="2">
        <f t="shared" si="0"/>
        <v>75000</v>
      </c>
      <c r="F19" s="2">
        <f t="shared" si="1"/>
        <v>375000</v>
      </c>
    </row>
    <row r="20" spans="1:6" x14ac:dyDescent="0.35">
      <c r="A20" s="1" t="s">
        <v>28</v>
      </c>
      <c r="B20" s="1">
        <v>5772</v>
      </c>
      <c r="C20" s="2" t="s">
        <v>21</v>
      </c>
      <c r="D20" s="2">
        <v>10000</v>
      </c>
      <c r="E20" s="2">
        <f t="shared" si="0"/>
        <v>85000</v>
      </c>
      <c r="F20" s="2">
        <f t="shared" si="1"/>
        <v>365000</v>
      </c>
    </row>
    <row r="21" spans="1:6" x14ac:dyDescent="0.35">
      <c r="A21" s="1" t="s">
        <v>29</v>
      </c>
      <c r="B21" s="1">
        <v>5987</v>
      </c>
      <c r="C21" s="2" t="s">
        <v>21</v>
      </c>
      <c r="D21" s="2">
        <v>10000</v>
      </c>
      <c r="E21" s="2">
        <f t="shared" si="0"/>
        <v>95000</v>
      </c>
      <c r="F21" s="2">
        <f t="shared" si="1"/>
        <v>355000</v>
      </c>
    </row>
    <row r="22" spans="1:6" x14ac:dyDescent="0.35">
      <c r="A22" s="1" t="s">
        <v>30</v>
      </c>
      <c r="B22" s="1">
        <v>1514</v>
      </c>
      <c r="C22" s="2" t="s">
        <v>21</v>
      </c>
      <c r="D22" s="2">
        <v>10000</v>
      </c>
      <c r="E22" s="2">
        <f t="shared" si="0"/>
        <v>105000</v>
      </c>
      <c r="F22" s="2">
        <f t="shared" si="1"/>
        <v>345000</v>
      </c>
    </row>
    <row r="23" spans="1:6" x14ac:dyDescent="0.35">
      <c r="A23" s="1" t="s">
        <v>31</v>
      </c>
      <c r="B23" s="1">
        <v>1699</v>
      </c>
      <c r="C23" s="2" t="s">
        <v>21</v>
      </c>
      <c r="D23" s="2">
        <v>10000</v>
      </c>
      <c r="E23" s="2">
        <f t="shared" si="0"/>
        <v>115000</v>
      </c>
      <c r="F23" s="2">
        <f t="shared" si="1"/>
        <v>335000</v>
      </c>
    </row>
    <row r="24" spans="1:6" x14ac:dyDescent="0.35">
      <c r="A24" s="1" t="s">
        <v>32</v>
      </c>
      <c r="B24" s="1">
        <v>1892</v>
      </c>
      <c r="C24" s="2" t="s">
        <v>21</v>
      </c>
      <c r="D24" s="2">
        <v>10000</v>
      </c>
      <c r="E24" s="2">
        <f t="shared" si="0"/>
        <v>125000</v>
      </c>
      <c r="F24" s="2">
        <f t="shared" si="1"/>
        <v>325000</v>
      </c>
    </row>
    <row r="25" spans="1:6" x14ac:dyDescent="0.35">
      <c r="A25" t="s">
        <v>401</v>
      </c>
      <c r="B25" s="19">
        <v>1973</v>
      </c>
      <c r="C25" s="36" t="s">
        <v>21</v>
      </c>
      <c r="D25" s="8">
        <v>10000</v>
      </c>
      <c r="E25" s="8">
        <f>E24+D25</f>
        <v>135000</v>
      </c>
      <c r="F25" s="8">
        <f>F24-D25</f>
        <v>315000</v>
      </c>
    </row>
    <row r="26" spans="1:6" x14ac:dyDescent="0.35">
      <c r="A26" s="71" t="s">
        <v>617</v>
      </c>
      <c r="B26" s="72">
        <v>2121</v>
      </c>
      <c r="C26" s="73" t="s">
        <v>21</v>
      </c>
      <c r="D26" s="8">
        <v>10000</v>
      </c>
      <c r="E26" s="8">
        <f>E25+D26</f>
        <v>145000</v>
      </c>
      <c r="F26" s="8">
        <f>F25-D26</f>
        <v>305000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16" sqref="C16"/>
    </sheetView>
  </sheetViews>
  <sheetFormatPr defaultRowHeight="14.5" x14ac:dyDescent="0.35"/>
  <sheetData>
    <row r="1" spans="1:6" x14ac:dyDescent="0.35">
      <c r="A1" s="4" t="s">
        <v>33</v>
      </c>
      <c r="B1" s="4" t="s">
        <v>38</v>
      </c>
      <c r="C1" s="4"/>
      <c r="D1" s="4"/>
      <c r="E1" s="4"/>
      <c r="F1" s="4"/>
    </row>
    <row r="2" spans="1:6" x14ac:dyDescent="0.35">
      <c r="A2" s="5" t="s">
        <v>34</v>
      </c>
      <c r="B2" s="5" t="s">
        <v>39</v>
      </c>
      <c r="C2" s="5"/>
      <c r="D2" s="5"/>
      <c r="E2" s="5"/>
      <c r="F2" s="5"/>
    </row>
    <row r="3" spans="1:6" x14ac:dyDescent="0.35">
      <c r="A3" s="5" t="s">
        <v>35</v>
      </c>
      <c r="B3" s="5" t="s">
        <v>40</v>
      </c>
      <c r="C3" s="5"/>
      <c r="D3" s="5"/>
      <c r="E3" s="5"/>
      <c r="F3" s="5"/>
    </row>
    <row r="4" spans="1:6" x14ac:dyDescent="0.35">
      <c r="A4" s="5" t="s">
        <v>36</v>
      </c>
      <c r="B4" s="5" t="s">
        <v>41</v>
      </c>
      <c r="C4" s="5"/>
      <c r="D4" s="5"/>
      <c r="E4" s="5"/>
      <c r="F4" s="5"/>
    </row>
    <row r="5" spans="1:6" x14ac:dyDescent="0.35">
      <c r="A5" s="5" t="s">
        <v>37</v>
      </c>
      <c r="B5" s="5"/>
      <c r="C5" s="5"/>
      <c r="D5" s="5"/>
      <c r="E5" s="5"/>
      <c r="F5" s="5"/>
    </row>
    <row r="6" spans="1:6" x14ac:dyDescent="0.35">
      <c r="A6" s="6" t="s">
        <v>42</v>
      </c>
      <c r="B6">
        <v>3316</v>
      </c>
      <c r="C6" t="s">
        <v>43</v>
      </c>
      <c r="D6" t="s">
        <v>44</v>
      </c>
      <c r="E6" t="s">
        <v>44</v>
      </c>
      <c r="F6" t="s">
        <v>45</v>
      </c>
    </row>
    <row r="9" spans="1:6" x14ac:dyDescent="0.35">
      <c r="A9" s="6" t="s">
        <v>46</v>
      </c>
    </row>
    <row r="10" spans="1:6" x14ac:dyDescent="0.35">
      <c r="A10" s="7">
        <v>46061</v>
      </c>
      <c r="B10">
        <v>3721</v>
      </c>
      <c r="C10" t="s">
        <v>47</v>
      </c>
      <c r="D10" s="8">
        <v>125000</v>
      </c>
      <c r="E10" s="8">
        <v>195000</v>
      </c>
      <c r="F10" t="s">
        <v>45</v>
      </c>
    </row>
    <row r="12" spans="1:6" x14ac:dyDescent="0.35">
      <c r="C1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22" zoomScale="115" zoomScaleNormal="115" workbookViewId="0">
      <selection activeCell="G4" sqref="G4"/>
    </sheetView>
  </sheetViews>
  <sheetFormatPr defaultRowHeight="14.5" x14ac:dyDescent="0.35"/>
  <cols>
    <col min="1" max="1" width="32.7265625" customWidth="1"/>
    <col min="2" max="2" width="10.54296875" customWidth="1"/>
    <col min="3" max="3" width="15.08984375" customWidth="1"/>
    <col min="4" max="4" width="12.54296875" customWidth="1"/>
    <col min="5" max="5" width="12.6328125" customWidth="1"/>
    <col min="6" max="6" width="13.90625" customWidth="1"/>
  </cols>
  <sheetData>
    <row r="1" spans="1:6" x14ac:dyDescent="0.35">
      <c r="A1" s="79" t="s">
        <v>50</v>
      </c>
      <c r="B1" s="79"/>
      <c r="C1" s="79"/>
      <c r="D1" s="79"/>
      <c r="E1" s="79"/>
      <c r="F1" s="79"/>
    </row>
    <row r="2" spans="1:6" x14ac:dyDescent="0.35">
      <c r="A2" s="24" t="s">
        <v>51</v>
      </c>
      <c r="B2" s="24"/>
      <c r="C2" s="24"/>
      <c r="D2" s="24"/>
      <c r="E2" s="24"/>
      <c r="F2" s="24"/>
    </row>
    <row r="3" spans="1:6" x14ac:dyDescent="0.35">
      <c r="A3" s="24" t="s">
        <v>52</v>
      </c>
      <c r="B3" s="24"/>
      <c r="C3" s="24" t="s">
        <v>618</v>
      </c>
      <c r="D3" s="24"/>
      <c r="E3" s="24"/>
      <c r="F3" s="24"/>
    </row>
    <row r="4" spans="1:6" x14ac:dyDescent="0.35">
      <c r="A4" s="24" t="s">
        <v>53</v>
      </c>
      <c r="B4" s="24"/>
      <c r="C4" s="24"/>
      <c r="D4" s="24"/>
      <c r="E4" s="24"/>
      <c r="F4" s="24"/>
    </row>
    <row r="5" spans="1:6" x14ac:dyDescent="0.35">
      <c r="A5" s="24" t="s">
        <v>54</v>
      </c>
      <c r="B5" s="24"/>
      <c r="C5" s="24"/>
      <c r="D5" s="24"/>
      <c r="E5" s="24"/>
      <c r="F5" s="24"/>
    </row>
    <row r="6" spans="1:6" x14ac:dyDescent="0.35">
      <c r="A6" s="24" t="s">
        <v>55</v>
      </c>
      <c r="B6" s="24"/>
      <c r="C6" s="24"/>
      <c r="D6" s="24" t="s">
        <v>49</v>
      </c>
      <c r="E6" s="24"/>
      <c r="F6" s="24"/>
    </row>
    <row r="7" spans="1:6" x14ac:dyDescent="0.35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</row>
    <row r="8" spans="1:6" x14ac:dyDescent="0.35">
      <c r="A8" s="5" t="s">
        <v>56</v>
      </c>
      <c r="B8" s="1">
        <v>505</v>
      </c>
      <c r="C8" s="1" t="s">
        <v>59</v>
      </c>
      <c r="D8" s="2">
        <v>250000</v>
      </c>
      <c r="E8" s="2">
        <v>250000</v>
      </c>
      <c r="F8" s="2">
        <v>250000</v>
      </c>
    </row>
    <row r="9" spans="1:6" x14ac:dyDescent="0.35">
      <c r="A9" s="16">
        <v>45576</v>
      </c>
      <c r="B9" s="1">
        <v>11999</v>
      </c>
      <c r="C9" s="1" t="s">
        <v>60</v>
      </c>
      <c r="D9" s="2">
        <v>10000</v>
      </c>
      <c r="E9" s="2">
        <f t="shared" ref="E9:E26" si="0">E8+D9</f>
        <v>260000</v>
      </c>
      <c r="F9" s="2">
        <f t="shared" ref="F9:F26" si="1">F8-D9</f>
        <v>240000</v>
      </c>
    </row>
    <row r="10" spans="1:6" x14ac:dyDescent="0.35">
      <c r="A10" s="16">
        <v>45577</v>
      </c>
      <c r="B10" s="1">
        <v>12305</v>
      </c>
      <c r="C10" s="1" t="s">
        <v>60</v>
      </c>
      <c r="D10" s="2">
        <v>10000</v>
      </c>
      <c r="E10" s="2">
        <f t="shared" si="0"/>
        <v>270000</v>
      </c>
      <c r="F10" s="2">
        <f t="shared" si="1"/>
        <v>230000</v>
      </c>
    </row>
    <row r="11" spans="1:6" x14ac:dyDescent="0.35">
      <c r="A11" s="16">
        <v>45992</v>
      </c>
      <c r="B11" s="1">
        <v>12032</v>
      </c>
      <c r="C11" s="1" t="s">
        <v>60</v>
      </c>
      <c r="D11" s="2">
        <v>10000</v>
      </c>
      <c r="E11" s="2">
        <f t="shared" si="0"/>
        <v>280000</v>
      </c>
      <c r="F11" s="2">
        <f t="shared" si="1"/>
        <v>220000</v>
      </c>
    </row>
    <row r="12" spans="1:6" x14ac:dyDescent="0.35">
      <c r="A12" s="16">
        <v>45691</v>
      </c>
      <c r="B12" s="1">
        <v>9597</v>
      </c>
      <c r="C12" s="1" t="s">
        <v>60</v>
      </c>
      <c r="D12" s="2">
        <v>10000</v>
      </c>
      <c r="E12" s="2">
        <f t="shared" si="0"/>
        <v>290000</v>
      </c>
      <c r="F12" s="2">
        <f t="shared" si="1"/>
        <v>210000</v>
      </c>
    </row>
    <row r="13" spans="1:6" x14ac:dyDescent="0.35">
      <c r="A13" s="16">
        <v>45722</v>
      </c>
      <c r="B13" s="1">
        <v>10438</v>
      </c>
      <c r="C13" s="1" t="s">
        <v>60</v>
      </c>
      <c r="D13" s="2">
        <v>10000</v>
      </c>
      <c r="E13" s="2">
        <f t="shared" si="0"/>
        <v>300000</v>
      </c>
      <c r="F13" s="2">
        <f t="shared" si="1"/>
        <v>200000</v>
      </c>
    </row>
    <row r="14" spans="1:6" x14ac:dyDescent="0.35">
      <c r="A14" s="1" t="s">
        <v>57</v>
      </c>
      <c r="B14" s="1">
        <v>12877</v>
      </c>
      <c r="C14" s="1" t="s">
        <v>60</v>
      </c>
      <c r="D14" s="2">
        <v>5000</v>
      </c>
      <c r="E14" s="2">
        <f t="shared" si="0"/>
        <v>305000</v>
      </c>
      <c r="F14" s="2">
        <f t="shared" si="1"/>
        <v>195000</v>
      </c>
    </row>
    <row r="15" spans="1:6" x14ac:dyDescent="0.35">
      <c r="A15" s="16">
        <v>45999</v>
      </c>
      <c r="B15" s="1">
        <v>12499</v>
      </c>
      <c r="C15" s="1" t="s">
        <v>60</v>
      </c>
      <c r="D15" s="2">
        <v>5000</v>
      </c>
      <c r="E15" s="2">
        <f t="shared" si="0"/>
        <v>310000</v>
      </c>
      <c r="F15" s="2">
        <f t="shared" si="1"/>
        <v>190000</v>
      </c>
    </row>
    <row r="16" spans="1:6" x14ac:dyDescent="0.35">
      <c r="A16" s="16">
        <v>46000</v>
      </c>
      <c r="B16" s="1">
        <v>12722</v>
      </c>
      <c r="C16" s="1" t="s">
        <v>60</v>
      </c>
      <c r="D16" s="2">
        <v>5000</v>
      </c>
      <c r="E16" s="2">
        <f t="shared" si="0"/>
        <v>315000</v>
      </c>
      <c r="F16" s="2">
        <f t="shared" si="1"/>
        <v>185000</v>
      </c>
    </row>
    <row r="17" spans="1:6" x14ac:dyDescent="0.35">
      <c r="A17" s="16">
        <v>45848</v>
      </c>
      <c r="B17" s="1">
        <v>13703</v>
      </c>
      <c r="C17" s="1" t="s">
        <v>60</v>
      </c>
      <c r="D17" s="2">
        <v>5000</v>
      </c>
      <c r="E17" s="2">
        <f t="shared" si="0"/>
        <v>320000</v>
      </c>
      <c r="F17" s="2">
        <f t="shared" si="1"/>
        <v>180000</v>
      </c>
    </row>
    <row r="18" spans="1:6" x14ac:dyDescent="0.35">
      <c r="A18" s="16">
        <v>45911</v>
      </c>
      <c r="B18" s="1">
        <v>13481</v>
      </c>
      <c r="C18" s="1" t="s">
        <v>60</v>
      </c>
      <c r="D18" s="2">
        <v>5000</v>
      </c>
      <c r="E18" s="2">
        <f t="shared" si="0"/>
        <v>325000</v>
      </c>
      <c r="F18" s="2">
        <f t="shared" si="1"/>
        <v>175000</v>
      </c>
    </row>
    <row r="19" spans="1:6" x14ac:dyDescent="0.35">
      <c r="A19" s="16">
        <v>45881</v>
      </c>
      <c r="B19" s="1">
        <v>13112</v>
      </c>
      <c r="C19" s="1" t="s">
        <v>60</v>
      </c>
      <c r="D19" s="2">
        <v>5000</v>
      </c>
      <c r="E19" s="2">
        <f t="shared" si="0"/>
        <v>330000</v>
      </c>
      <c r="F19" s="2">
        <f t="shared" si="1"/>
        <v>170000</v>
      </c>
    </row>
    <row r="20" spans="1:6" x14ac:dyDescent="0.35">
      <c r="A20" s="1" t="s">
        <v>58</v>
      </c>
      <c r="B20" s="1">
        <v>12121</v>
      </c>
      <c r="C20" s="1" t="s">
        <v>60</v>
      </c>
      <c r="D20" s="2">
        <v>5000</v>
      </c>
      <c r="E20" s="2">
        <f t="shared" si="0"/>
        <v>335000</v>
      </c>
      <c r="F20" s="2">
        <f t="shared" si="1"/>
        <v>165000</v>
      </c>
    </row>
    <row r="21" spans="1:6" x14ac:dyDescent="0.35">
      <c r="A21" s="16">
        <v>46236</v>
      </c>
      <c r="B21" s="1">
        <v>12395</v>
      </c>
      <c r="C21" s="1" t="s">
        <v>60</v>
      </c>
      <c r="D21" s="2">
        <v>5000</v>
      </c>
      <c r="E21" s="2">
        <f t="shared" si="0"/>
        <v>340000</v>
      </c>
      <c r="F21" s="2">
        <f t="shared" si="1"/>
        <v>160000</v>
      </c>
    </row>
    <row r="22" spans="1:6" x14ac:dyDescent="0.35">
      <c r="A22" s="16">
        <v>46237</v>
      </c>
      <c r="B22" s="1">
        <v>12787</v>
      </c>
      <c r="C22" s="1" t="s">
        <v>60</v>
      </c>
      <c r="D22" s="2">
        <v>5000</v>
      </c>
      <c r="E22" s="2">
        <f t="shared" si="0"/>
        <v>345000</v>
      </c>
      <c r="F22" s="2">
        <f t="shared" si="1"/>
        <v>155000</v>
      </c>
    </row>
    <row r="23" spans="1:6" x14ac:dyDescent="0.35">
      <c r="A23" s="16">
        <v>46360</v>
      </c>
      <c r="B23" s="1">
        <v>13249</v>
      </c>
      <c r="C23" s="1" t="s">
        <v>60</v>
      </c>
      <c r="D23" s="2">
        <v>5000</v>
      </c>
      <c r="E23" s="2">
        <f t="shared" si="0"/>
        <v>350000</v>
      </c>
      <c r="F23" s="2">
        <f t="shared" si="1"/>
        <v>150000</v>
      </c>
    </row>
    <row r="24" spans="1:6" x14ac:dyDescent="0.35">
      <c r="A24" s="16">
        <v>46300</v>
      </c>
      <c r="B24" s="1">
        <v>13305</v>
      </c>
      <c r="C24" s="1" t="s">
        <v>60</v>
      </c>
      <c r="D24" s="2">
        <v>5000</v>
      </c>
      <c r="E24" s="2">
        <f t="shared" si="0"/>
        <v>355000</v>
      </c>
      <c r="F24" s="2">
        <f t="shared" si="1"/>
        <v>145000</v>
      </c>
    </row>
    <row r="25" spans="1:6" x14ac:dyDescent="0.35">
      <c r="A25" s="16">
        <v>46059</v>
      </c>
      <c r="B25" s="1">
        <v>13490</v>
      </c>
      <c r="C25" s="1" t="s">
        <v>60</v>
      </c>
      <c r="D25" s="2">
        <v>5000</v>
      </c>
      <c r="E25" s="2">
        <f t="shared" si="0"/>
        <v>360000</v>
      </c>
      <c r="F25" s="2">
        <f t="shared" si="1"/>
        <v>140000</v>
      </c>
    </row>
    <row r="26" spans="1:6" x14ac:dyDescent="0.35">
      <c r="A26" s="16">
        <v>46089</v>
      </c>
      <c r="B26" s="1">
        <v>1634</v>
      </c>
      <c r="C26" s="1" t="s">
        <v>60</v>
      </c>
      <c r="D26" s="2">
        <v>10000</v>
      </c>
      <c r="E26" s="2">
        <f t="shared" si="0"/>
        <v>370000</v>
      </c>
      <c r="F26" s="2">
        <f t="shared" si="1"/>
        <v>130000</v>
      </c>
    </row>
    <row r="27" spans="1:6" x14ac:dyDescent="0.35">
      <c r="A27" s="80">
        <v>46335</v>
      </c>
      <c r="B27" s="19">
        <v>1977</v>
      </c>
      <c r="C27" s="1" t="s">
        <v>60</v>
      </c>
      <c r="D27" s="81">
        <v>5000</v>
      </c>
      <c r="E27" s="81">
        <f>E26+D27</f>
        <v>375000</v>
      </c>
      <c r="F27" s="81">
        <f>F26-D27</f>
        <v>125000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3" workbookViewId="0">
      <selection activeCell="E53" sqref="E53"/>
    </sheetView>
  </sheetViews>
  <sheetFormatPr defaultRowHeight="14.5" x14ac:dyDescent="0.35"/>
  <cols>
    <col min="1" max="1" width="10.453125" bestFit="1" customWidth="1"/>
    <col min="3" max="3" width="11.453125" customWidth="1"/>
    <col min="4" max="4" width="9" customWidth="1"/>
    <col min="5" max="5" width="10.08984375" customWidth="1"/>
    <col min="6" max="6" width="12.453125" customWidth="1"/>
  </cols>
  <sheetData>
    <row r="1" spans="1:7" ht="18.5" x14ac:dyDescent="0.45">
      <c r="A1" s="12" t="s">
        <v>62</v>
      </c>
      <c r="B1" s="12"/>
      <c r="C1" s="12"/>
      <c r="D1" s="12"/>
      <c r="E1" s="12"/>
      <c r="F1" s="12"/>
      <c r="G1" s="13"/>
    </row>
    <row r="2" spans="1:7" ht="18.5" x14ac:dyDescent="0.45">
      <c r="A2" s="39" t="s">
        <v>63</v>
      </c>
      <c r="B2" s="39"/>
      <c r="C2" s="39"/>
      <c r="D2" s="39"/>
      <c r="E2" s="39"/>
      <c r="F2" s="39"/>
      <c r="G2" s="13"/>
    </row>
    <row r="3" spans="1:7" ht="18.5" x14ac:dyDescent="0.45">
      <c r="A3" s="39" t="s">
        <v>64</v>
      </c>
      <c r="B3" s="39"/>
      <c r="C3" s="39"/>
      <c r="D3" s="39"/>
      <c r="E3" s="39"/>
      <c r="F3" s="39"/>
      <c r="G3" s="13"/>
    </row>
    <row r="4" spans="1:7" ht="18.5" x14ac:dyDescent="0.45">
      <c r="A4" s="39" t="s">
        <v>61</v>
      </c>
      <c r="B4" s="39"/>
      <c r="C4" s="39"/>
      <c r="D4" s="39"/>
      <c r="E4" s="39"/>
      <c r="F4" s="39"/>
      <c r="G4" s="13"/>
    </row>
    <row r="5" spans="1:7" ht="18.5" x14ac:dyDescent="0.45">
      <c r="A5" s="39" t="s">
        <v>65</v>
      </c>
      <c r="B5" s="39"/>
      <c r="C5" s="39"/>
      <c r="D5" s="39"/>
      <c r="E5" s="39"/>
      <c r="F5" s="39"/>
      <c r="G5" s="13"/>
    </row>
    <row r="6" spans="1:7" ht="18.5" x14ac:dyDescent="0.45">
      <c r="A6" s="39" t="s">
        <v>66</v>
      </c>
      <c r="B6" s="39"/>
      <c r="C6" s="39"/>
      <c r="D6" s="39" t="s">
        <v>67</v>
      </c>
      <c r="E6" s="39"/>
      <c r="F6" s="39"/>
      <c r="G6" s="13"/>
    </row>
    <row r="7" spans="1:7" ht="15.5" x14ac:dyDescent="0.3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42"/>
    </row>
    <row r="8" spans="1:7" x14ac:dyDescent="0.35">
      <c r="A8" s="16">
        <v>45149</v>
      </c>
      <c r="B8" s="1">
        <v>1092</v>
      </c>
      <c r="C8" s="1" t="s">
        <v>117</v>
      </c>
      <c r="D8" s="2">
        <v>265000</v>
      </c>
      <c r="E8" s="2">
        <v>265000</v>
      </c>
      <c r="F8" s="2">
        <v>135000</v>
      </c>
    </row>
    <row r="9" spans="1:7" x14ac:dyDescent="0.35">
      <c r="A9" s="16">
        <v>45263</v>
      </c>
      <c r="B9" s="1">
        <v>2185</v>
      </c>
      <c r="C9" s="1" t="s">
        <v>78</v>
      </c>
      <c r="D9" s="2">
        <v>10000</v>
      </c>
      <c r="E9" s="2">
        <f t="shared" ref="E9:E22" si="0">E8+D9</f>
        <v>275000</v>
      </c>
      <c r="F9" s="2">
        <f t="shared" ref="F9:F22" si="1">F8-D9</f>
        <v>125000</v>
      </c>
    </row>
    <row r="10" spans="1:7" x14ac:dyDescent="0.35">
      <c r="A10" s="16">
        <v>45203</v>
      </c>
      <c r="B10" s="1">
        <v>1088</v>
      </c>
      <c r="C10" s="1" t="s">
        <v>78</v>
      </c>
      <c r="D10" s="2">
        <v>10000</v>
      </c>
      <c r="E10" s="2">
        <f t="shared" si="0"/>
        <v>285000</v>
      </c>
      <c r="F10" s="2">
        <f t="shared" si="1"/>
        <v>115000</v>
      </c>
    </row>
    <row r="11" spans="1:7" x14ac:dyDescent="0.35">
      <c r="A11" s="16">
        <v>45235</v>
      </c>
      <c r="B11" s="1">
        <v>443</v>
      </c>
      <c r="C11" s="1" t="s">
        <v>78</v>
      </c>
      <c r="D11" s="2">
        <v>10000</v>
      </c>
      <c r="E11" s="2">
        <f t="shared" si="0"/>
        <v>295000</v>
      </c>
      <c r="F11" s="2">
        <f t="shared" si="1"/>
        <v>105000</v>
      </c>
    </row>
    <row r="12" spans="1:7" x14ac:dyDescent="0.35">
      <c r="A12" s="1" t="s">
        <v>116</v>
      </c>
      <c r="B12" s="1">
        <v>1558</v>
      </c>
      <c r="C12" s="1" t="s">
        <v>78</v>
      </c>
      <c r="D12" s="2">
        <v>10000</v>
      </c>
      <c r="E12" s="2">
        <f t="shared" si="0"/>
        <v>305000</v>
      </c>
      <c r="F12" s="2">
        <f t="shared" si="1"/>
        <v>95000</v>
      </c>
    </row>
    <row r="13" spans="1:7" x14ac:dyDescent="0.35">
      <c r="A13" s="16">
        <v>45176</v>
      </c>
      <c r="B13" s="1">
        <v>2611</v>
      </c>
      <c r="C13" s="1" t="s">
        <v>78</v>
      </c>
      <c r="D13" s="2">
        <v>10000</v>
      </c>
      <c r="E13" s="2">
        <f t="shared" si="0"/>
        <v>315000</v>
      </c>
      <c r="F13" s="2">
        <f t="shared" si="1"/>
        <v>85000</v>
      </c>
    </row>
    <row r="14" spans="1:7" x14ac:dyDescent="0.35">
      <c r="A14" s="1" t="s">
        <v>111</v>
      </c>
      <c r="B14" s="1">
        <v>2406</v>
      </c>
      <c r="C14" s="1" t="s">
        <v>78</v>
      </c>
      <c r="D14" s="2">
        <v>10000</v>
      </c>
      <c r="E14" s="2">
        <f t="shared" si="0"/>
        <v>325000</v>
      </c>
      <c r="F14" s="2">
        <f t="shared" si="1"/>
        <v>75000</v>
      </c>
    </row>
    <row r="15" spans="1:7" x14ac:dyDescent="0.35">
      <c r="A15" s="16">
        <v>45208</v>
      </c>
      <c r="B15" s="1">
        <v>3494</v>
      </c>
      <c r="C15" s="1" t="s">
        <v>78</v>
      </c>
      <c r="D15" s="2">
        <v>10000</v>
      </c>
      <c r="E15" s="2">
        <f t="shared" si="0"/>
        <v>335000</v>
      </c>
      <c r="F15" s="2">
        <f t="shared" si="1"/>
        <v>65000</v>
      </c>
    </row>
    <row r="16" spans="1:7" x14ac:dyDescent="0.35">
      <c r="A16" s="16">
        <v>45148</v>
      </c>
      <c r="B16" s="1">
        <v>4079</v>
      </c>
      <c r="C16" s="1" t="s">
        <v>78</v>
      </c>
      <c r="D16" s="2">
        <v>10000</v>
      </c>
      <c r="E16" s="2">
        <f t="shared" si="0"/>
        <v>345000</v>
      </c>
      <c r="F16" s="2">
        <f t="shared" si="1"/>
        <v>55000</v>
      </c>
    </row>
    <row r="17" spans="1:6" x14ac:dyDescent="0.35">
      <c r="A17" s="16">
        <v>45057</v>
      </c>
      <c r="B17" s="1">
        <v>4633</v>
      </c>
      <c r="C17" s="1" t="s">
        <v>78</v>
      </c>
      <c r="D17" s="2">
        <v>10000</v>
      </c>
      <c r="E17" s="2">
        <f t="shared" si="0"/>
        <v>355000</v>
      </c>
      <c r="F17" s="2">
        <f t="shared" si="1"/>
        <v>45000</v>
      </c>
    </row>
    <row r="18" spans="1:6" x14ac:dyDescent="0.35">
      <c r="A18" s="16">
        <v>45211</v>
      </c>
      <c r="B18" s="1">
        <v>5404</v>
      </c>
      <c r="C18" s="1" t="s">
        <v>78</v>
      </c>
      <c r="D18" s="2">
        <v>10000</v>
      </c>
      <c r="E18" s="2">
        <f t="shared" si="0"/>
        <v>365000</v>
      </c>
      <c r="F18" s="2">
        <f t="shared" si="1"/>
        <v>35000</v>
      </c>
    </row>
    <row r="19" spans="1:6" x14ac:dyDescent="0.35">
      <c r="A19" s="16">
        <v>45474</v>
      </c>
      <c r="B19" s="1">
        <v>5951</v>
      </c>
      <c r="C19" s="1" t="s">
        <v>78</v>
      </c>
      <c r="D19" s="2">
        <v>10000</v>
      </c>
      <c r="E19" s="2">
        <f t="shared" si="0"/>
        <v>375000</v>
      </c>
      <c r="F19" s="2">
        <f t="shared" si="1"/>
        <v>25000</v>
      </c>
    </row>
    <row r="20" spans="1:6" x14ac:dyDescent="0.35">
      <c r="A20" s="16">
        <v>45414</v>
      </c>
      <c r="B20" s="1">
        <v>6539</v>
      </c>
      <c r="C20" s="1" t="s">
        <v>78</v>
      </c>
      <c r="D20" s="2">
        <v>10000</v>
      </c>
      <c r="E20" s="2">
        <f t="shared" si="0"/>
        <v>385000</v>
      </c>
      <c r="F20" s="2">
        <f t="shared" si="1"/>
        <v>15000</v>
      </c>
    </row>
    <row r="21" spans="1:6" x14ac:dyDescent="0.35">
      <c r="A21" s="16">
        <v>45354</v>
      </c>
      <c r="B21" s="1">
        <v>6867</v>
      </c>
      <c r="C21" s="1" t="s">
        <v>78</v>
      </c>
      <c r="D21" s="2">
        <v>10000</v>
      </c>
      <c r="E21" s="2">
        <f t="shared" si="0"/>
        <v>395000</v>
      </c>
      <c r="F21" s="2">
        <f t="shared" si="1"/>
        <v>5000</v>
      </c>
    </row>
    <row r="22" spans="1:6" x14ac:dyDescent="0.35">
      <c r="A22" s="16">
        <v>45355</v>
      </c>
      <c r="B22" s="1">
        <v>7665</v>
      </c>
      <c r="C22" s="1" t="s">
        <v>78</v>
      </c>
      <c r="D22" s="2">
        <v>5000</v>
      </c>
      <c r="E22" s="2">
        <f t="shared" si="0"/>
        <v>400000</v>
      </c>
      <c r="F22" s="2">
        <f t="shared" si="1"/>
        <v>0</v>
      </c>
    </row>
    <row r="23" spans="1:6" x14ac:dyDescent="0.35">
      <c r="A23" s="43"/>
      <c r="B23" s="43"/>
      <c r="C23" s="43"/>
      <c r="D23" s="43"/>
      <c r="E23" s="43"/>
      <c r="F23" s="43"/>
    </row>
    <row r="24" spans="1:6" ht="18.5" x14ac:dyDescent="0.45">
      <c r="A24" s="39" t="s">
        <v>118</v>
      </c>
      <c r="B24" s="39"/>
      <c r="C24" s="39"/>
      <c r="D24" s="43"/>
      <c r="E24" s="43"/>
      <c r="F24" s="43"/>
    </row>
    <row r="25" spans="1:6" x14ac:dyDescent="0.35">
      <c r="A25" s="16">
        <v>45417</v>
      </c>
      <c r="B25" s="1">
        <v>262</v>
      </c>
      <c r="C25" s="1" t="s">
        <v>21</v>
      </c>
      <c r="D25" s="2">
        <v>25000</v>
      </c>
      <c r="E25" s="2">
        <v>25000</v>
      </c>
      <c r="F25" s="2">
        <v>425000</v>
      </c>
    </row>
    <row r="26" spans="1:6" x14ac:dyDescent="0.35">
      <c r="A26" s="16">
        <v>45541</v>
      </c>
      <c r="B26" s="1">
        <v>39</v>
      </c>
      <c r="C26" s="1" t="s">
        <v>21</v>
      </c>
      <c r="D26" s="2">
        <v>25000</v>
      </c>
      <c r="E26" s="2">
        <f t="shared" ref="E26:E51" si="2">E25+D26</f>
        <v>50000</v>
      </c>
      <c r="F26" s="2">
        <f t="shared" ref="F26:F51" si="3">F25-D26</f>
        <v>400000</v>
      </c>
    </row>
    <row r="27" spans="1:6" x14ac:dyDescent="0.35">
      <c r="A27" s="16">
        <v>45480</v>
      </c>
      <c r="B27" s="1">
        <v>91</v>
      </c>
      <c r="C27" s="1" t="s">
        <v>21</v>
      </c>
      <c r="D27" s="2">
        <v>10000</v>
      </c>
      <c r="E27" s="2">
        <f t="shared" si="2"/>
        <v>60000</v>
      </c>
      <c r="F27" s="2">
        <f t="shared" si="3"/>
        <v>390000</v>
      </c>
    </row>
    <row r="28" spans="1:6" x14ac:dyDescent="0.35">
      <c r="A28" s="16">
        <v>45390</v>
      </c>
      <c r="B28" s="1">
        <v>135</v>
      </c>
      <c r="C28" s="1" t="s">
        <v>21</v>
      </c>
      <c r="D28" s="2">
        <v>10000</v>
      </c>
      <c r="E28" s="2">
        <f t="shared" si="2"/>
        <v>70000</v>
      </c>
      <c r="F28" s="2">
        <f t="shared" si="3"/>
        <v>380000</v>
      </c>
    </row>
    <row r="29" spans="1:6" x14ac:dyDescent="0.35">
      <c r="A29" s="16">
        <v>45513</v>
      </c>
      <c r="B29" s="1">
        <v>10584</v>
      </c>
      <c r="C29" s="1" t="s">
        <v>21</v>
      </c>
      <c r="D29" s="2">
        <v>10000</v>
      </c>
      <c r="E29" s="2">
        <f t="shared" si="2"/>
        <v>80000</v>
      </c>
      <c r="F29" s="2">
        <f t="shared" si="3"/>
        <v>370000</v>
      </c>
    </row>
    <row r="30" spans="1:6" x14ac:dyDescent="0.35">
      <c r="A30" s="16">
        <v>45453</v>
      </c>
      <c r="B30" s="1">
        <v>356</v>
      </c>
      <c r="C30" s="1" t="s">
        <v>21</v>
      </c>
      <c r="D30" s="2">
        <v>10000</v>
      </c>
      <c r="E30" s="2">
        <f t="shared" si="2"/>
        <v>90000</v>
      </c>
      <c r="F30" s="2">
        <f t="shared" si="3"/>
        <v>360000</v>
      </c>
    </row>
    <row r="31" spans="1:6" x14ac:dyDescent="0.35">
      <c r="A31" s="16">
        <v>45362</v>
      </c>
      <c r="B31" s="1">
        <v>205</v>
      </c>
      <c r="C31" s="1" t="s">
        <v>21</v>
      </c>
      <c r="D31" s="2">
        <v>10000</v>
      </c>
      <c r="E31" s="2">
        <f t="shared" si="2"/>
        <v>100000</v>
      </c>
      <c r="F31" s="2">
        <f t="shared" si="3"/>
        <v>350000</v>
      </c>
    </row>
    <row r="32" spans="1:6" x14ac:dyDescent="0.35">
      <c r="A32" s="16">
        <v>45516</v>
      </c>
      <c r="B32" s="1">
        <v>287</v>
      </c>
      <c r="C32" s="1" t="s">
        <v>21</v>
      </c>
      <c r="D32" s="2">
        <v>10000</v>
      </c>
      <c r="E32" s="2">
        <f t="shared" si="2"/>
        <v>110000</v>
      </c>
      <c r="F32" s="2">
        <f t="shared" si="3"/>
        <v>340000</v>
      </c>
    </row>
    <row r="33" spans="1:6" x14ac:dyDescent="0.35">
      <c r="A33" s="16">
        <v>45778</v>
      </c>
      <c r="B33" s="1">
        <v>543</v>
      </c>
      <c r="C33" s="1" t="s">
        <v>21</v>
      </c>
      <c r="D33" s="2">
        <v>10000</v>
      </c>
      <c r="E33" s="2">
        <f t="shared" si="2"/>
        <v>120000</v>
      </c>
      <c r="F33" s="2">
        <f t="shared" si="3"/>
        <v>330000</v>
      </c>
    </row>
    <row r="34" spans="1:6" x14ac:dyDescent="0.35">
      <c r="A34" s="16">
        <v>45690</v>
      </c>
      <c r="B34" s="1">
        <v>921</v>
      </c>
      <c r="C34" s="1" t="s">
        <v>21</v>
      </c>
      <c r="D34" s="2">
        <v>10000</v>
      </c>
      <c r="E34" s="2">
        <f t="shared" si="2"/>
        <v>130000</v>
      </c>
      <c r="F34" s="2">
        <f t="shared" si="3"/>
        <v>320000</v>
      </c>
    </row>
    <row r="35" spans="1:6" x14ac:dyDescent="0.35">
      <c r="A35" s="16">
        <v>45903</v>
      </c>
      <c r="B35" s="1">
        <v>992</v>
      </c>
      <c r="C35" s="1" t="s">
        <v>21</v>
      </c>
      <c r="D35" s="2">
        <v>10000</v>
      </c>
      <c r="E35" s="2">
        <f t="shared" si="2"/>
        <v>140000</v>
      </c>
      <c r="F35" s="2">
        <f t="shared" si="3"/>
        <v>310000</v>
      </c>
    </row>
    <row r="36" spans="1:6" x14ac:dyDescent="0.35">
      <c r="A36" s="16">
        <v>45812</v>
      </c>
      <c r="B36" s="1">
        <v>707</v>
      </c>
      <c r="C36" s="1" t="s">
        <v>21</v>
      </c>
      <c r="D36" s="2">
        <v>10000</v>
      </c>
      <c r="E36" s="2">
        <f t="shared" si="2"/>
        <v>150000</v>
      </c>
      <c r="F36" s="2">
        <f t="shared" si="3"/>
        <v>300000</v>
      </c>
    </row>
    <row r="37" spans="1:6" x14ac:dyDescent="0.35">
      <c r="A37" s="16">
        <v>45936</v>
      </c>
      <c r="B37" s="1">
        <v>646</v>
      </c>
      <c r="C37" s="1" t="s">
        <v>21</v>
      </c>
      <c r="D37" s="2">
        <v>20000</v>
      </c>
      <c r="E37" s="2">
        <f t="shared" si="2"/>
        <v>170000</v>
      </c>
      <c r="F37" s="2">
        <f t="shared" si="3"/>
        <v>280000</v>
      </c>
    </row>
    <row r="38" spans="1:6" x14ac:dyDescent="0.35">
      <c r="A38" s="1" t="s">
        <v>88</v>
      </c>
      <c r="B38" s="1">
        <v>5059</v>
      </c>
      <c r="C38" s="1" t="s">
        <v>21</v>
      </c>
      <c r="D38" s="2">
        <v>10000</v>
      </c>
      <c r="E38" s="2">
        <f t="shared" si="2"/>
        <v>180000</v>
      </c>
      <c r="F38" s="2">
        <f t="shared" si="3"/>
        <v>270000</v>
      </c>
    </row>
    <row r="39" spans="1:6" x14ac:dyDescent="0.35">
      <c r="A39" s="16">
        <v>45724</v>
      </c>
      <c r="B39" s="1">
        <v>12366</v>
      </c>
      <c r="C39" s="1" t="s">
        <v>21</v>
      </c>
      <c r="D39" s="2">
        <v>10000</v>
      </c>
      <c r="E39" s="2">
        <f t="shared" si="2"/>
        <v>190000</v>
      </c>
      <c r="F39" s="2">
        <f t="shared" si="3"/>
        <v>260000</v>
      </c>
    </row>
    <row r="40" spans="1:6" x14ac:dyDescent="0.35">
      <c r="A40" s="16">
        <v>45847</v>
      </c>
      <c r="B40" s="1">
        <v>3477</v>
      </c>
      <c r="C40" s="1" t="s">
        <v>21</v>
      </c>
      <c r="D40" s="2">
        <v>10000</v>
      </c>
      <c r="E40" s="2">
        <f t="shared" si="2"/>
        <v>200000</v>
      </c>
      <c r="F40" s="2">
        <f t="shared" si="3"/>
        <v>250000</v>
      </c>
    </row>
    <row r="41" spans="1:6" x14ac:dyDescent="0.35">
      <c r="A41" s="16">
        <v>45787</v>
      </c>
      <c r="B41" s="1">
        <v>3249</v>
      </c>
      <c r="C41" s="1" t="s">
        <v>21</v>
      </c>
      <c r="D41" s="2">
        <v>10000</v>
      </c>
      <c r="E41" s="2">
        <f t="shared" si="2"/>
        <v>210000</v>
      </c>
      <c r="F41" s="2">
        <f t="shared" si="3"/>
        <v>240000</v>
      </c>
    </row>
    <row r="42" spans="1:6" x14ac:dyDescent="0.35">
      <c r="A42" s="16">
        <v>45911</v>
      </c>
      <c r="B42" s="1">
        <v>3658</v>
      </c>
      <c r="C42" s="1" t="s">
        <v>21</v>
      </c>
      <c r="D42" s="2">
        <v>10000</v>
      </c>
      <c r="E42" s="2">
        <f t="shared" si="2"/>
        <v>220000</v>
      </c>
      <c r="F42" s="2">
        <f t="shared" si="3"/>
        <v>230000</v>
      </c>
    </row>
    <row r="43" spans="1:6" x14ac:dyDescent="0.35">
      <c r="A43" s="1" t="s">
        <v>119</v>
      </c>
      <c r="B43" s="1">
        <v>3889</v>
      </c>
      <c r="C43" s="1" t="s">
        <v>21</v>
      </c>
      <c r="D43" s="2">
        <v>10000</v>
      </c>
      <c r="E43" s="2">
        <f t="shared" si="2"/>
        <v>230000</v>
      </c>
      <c r="F43" s="2">
        <f t="shared" si="3"/>
        <v>220000</v>
      </c>
    </row>
    <row r="44" spans="1:6" x14ac:dyDescent="0.35">
      <c r="A44" s="16">
        <v>46113</v>
      </c>
      <c r="B44" s="1">
        <v>5206</v>
      </c>
      <c r="C44" s="1" t="s">
        <v>21</v>
      </c>
      <c r="D44" s="2">
        <v>10000</v>
      </c>
      <c r="E44" s="2">
        <f t="shared" si="2"/>
        <v>240000</v>
      </c>
      <c r="F44" s="2">
        <f t="shared" si="3"/>
        <v>210000</v>
      </c>
    </row>
    <row r="45" spans="1:6" x14ac:dyDescent="0.35">
      <c r="A45" s="16">
        <v>46236</v>
      </c>
      <c r="B45" s="1">
        <v>5452</v>
      </c>
      <c r="C45" s="1" t="s">
        <v>21</v>
      </c>
      <c r="D45" s="2">
        <v>10000</v>
      </c>
      <c r="E45" s="2">
        <f t="shared" si="2"/>
        <v>250000</v>
      </c>
      <c r="F45" s="2">
        <f t="shared" si="3"/>
        <v>200000</v>
      </c>
    </row>
    <row r="46" spans="1:6" x14ac:dyDescent="0.35">
      <c r="A46" s="16">
        <v>46237</v>
      </c>
      <c r="B46" s="1">
        <v>5668</v>
      </c>
      <c r="C46" s="1" t="s">
        <v>21</v>
      </c>
      <c r="D46" s="2">
        <v>10000</v>
      </c>
      <c r="E46" s="2">
        <f t="shared" si="2"/>
        <v>260000</v>
      </c>
      <c r="F46" s="2">
        <f t="shared" si="3"/>
        <v>190000</v>
      </c>
    </row>
    <row r="47" spans="1:6" x14ac:dyDescent="0.35">
      <c r="A47" s="16">
        <v>46146</v>
      </c>
      <c r="B47" s="1">
        <v>5835</v>
      </c>
      <c r="C47" s="1" t="s">
        <v>21</v>
      </c>
      <c r="D47" s="2">
        <v>10000</v>
      </c>
      <c r="E47" s="2">
        <f t="shared" si="2"/>
        <v>270000</v>
      </c>
      <c r="F47" s="2">
        <f t="shared" si="3"/>
        <v>180000</v>
      </c>
    </row>
    <row r="48" spans="1:6" x14ac:dyDescent="0.35">
      <c r="A48" s="16">
        <v>46086</v>
      </c>
      <c r="B48" s="1">
        <v>1363</v>
      </c>
      <c r="C48" s="1" t="s">
        <v>21</v>
      </c>
      <c r="D48" s="2">
        <v>10000</v>
      </c>
      <c r="E48" s="2">
        <f t="shared" si="2"/>
        <v>280000</v>
      </c>
      <c r="F48" s="2">
        <f t="shared" si="3"/>
        <v>170000</v>
      </c>
    </row>
    <row r="49" spans="1:6" x14ac:dyDescent="0.35">
      <c r="A49" s="16">
        <v>46209</v>
      </c>
      <c r="B49" s="1">
        <v>1589</v>
      </c>
      <c r="C49" s="1" t="s">
        <v>21</v>
      </c>
      <c r="D49" s="2">
        <v>10000</v>
      </c>
      <c r="E49" s="2">
        <f t="shared" si="2"/>
        <v>290000</v>
      </c>
      <c r="F49" s="2">
        <f t="shared" si="3"/>
        <v>160000</v>
      </c>
    </row>
    <row r="50" spans="1:6" x14ac:dyDescent="0.35">
      <c r="A50" s="16">
        <v>46149</v>
      </c>
      <c r="B50" s="1">
        <v>1757</v>
      </c>
      <c r="C50" s="1" t="s">
        <v>21</v>
      </c>
      <c r="D50" s="2">
        <v>10000</v>
      </c>
      <c r="E50" s="2">
        <f t="shared" si="2"/>
        <v>300000</v>
      </c>
      <c r="F50" s="2">
        <f t="shared" si="3"/>
        <v>150000</v>
      </c>
    </row>
    <row r="51" spans="1:6" x14ac:dyDescent="0.35">
      <c r="A51" s="16">
        <v>46273</v>
      </c>
      <c r="B51" s="1">
        <v>3744</v>
      </c>
      <c r="C51" s="1" t="s">
        <v>21</v>
      </c>
      <c r="D51" s="2">
        <v>10000</v>
      </c>
      <c r="E51" s="2">
        <f t="shared" si="2"/>
        <v>310000</v>
      </c>
      <c r="F51" s="2">
        <f t="shared" si="3"/>
        <v>140000</v>
      </c>
    </row>
    <row r="52" spans="1:6" x14ac:dyDescent="0.35">
      <c r="A52" s="1" t="s">
        <v>402</v>
      </c>
      <c r="B52" s="1">
        <v>1985</v>
      </c>
      <c r="C52" s="1" t="s">
        <v>21</v>
      </c>
      <c r="D52" s="2">
        <v>10000</v>
      </c>
      <c r="E52" s="2">
        <f>E51+D52</f>
        <v>320000</v>
      </c>
      <c r="F52" s="2">
        <f>F51-D52</f>
        <v>130000</v>
      </c>
    </row>
    <row r="53" spans="1:6" x14ac:dyDescent="0.35">
      <c r="A53" s="16">
        <v>46152</v>
      </c>
      <c r="B53" s="1">
        <v>2151</v>
      </c>
      <c r="C53" s="1" t="s">
        <v>21</v>
      </c>
      <c r="D53" s="2">
        <v>10000</v>
      </c>
      <c r="E53" s="2">
        <f>E52+D53</f>
        <v>330000</v>
      </c>
      <c r="F53" s="2">
        <f>F52-D53</f>
        <v>120000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17" zoomScale="115" zoomScaleNormal="115" workbookViewId="0">
      <selection activeCell="A25" sqref="A25:F53"/>
    </sheetView>
  </sheetViews>
  <sheetFormatPr defaultRowHeight="14.5" x14ac:dyDescent="0.35"/>
  <cols>
    <col min="1" max="1" width="10.453125" bestFit="1" customWidth="1"/>
    <col min="2" max="2" width="6.7265625" customWidth="1"/>
    <col min="3" max="3" width="13.1796875" customWidth="1"/>
    <col min="4" max="4" width="8.26953125" customWidth="1"/>
    <col min="5" max="5" width="10.36328125" customWidth="1"/>
    <col min="6" max="6" width="10.1796875" customWidth="1"/>
  </cols>
  <sheetData>
    <row r="1" spans="1:7" ht="18.5" x14ac:dyDescent="0.45">
      <c r="A1" s="12" t="s">
        <v>122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123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124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126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125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120</v>
      </c>
      <c r="B6" s="14"/>
      <c r="C6" s="14"/>
      <c r="D6" s="14" t="s">
        <v>121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1" t="s">
        <v>127</v>
      </c>
      <c r="B8" s="9">
        <v>1203</v>
      </c>
      <c r="C8" s="9" t="s">
        <v>78</v>
      </c>
      <c r="D8" s="10">
        <v>20000</v>
      </c>
      <c r="E8" s="10">
        <v>20000</v>
      </c>
      <c r="F8" s="10">
        <v>167500</v>
      </c>
    </row>
    <row r="9" spans="1:7" x14ac:dyDescent="0.35">
      <c r="A9" s="1" t="s">
        <v>128</v>
      </c>
      <c r="B9" s="9">
        <v>1400</v>
      </c>
      <c r="C9" s="9" t="s">
        <v>78</v>
      </c>
      <c r="D9" s="10">
        <v>10000</v>
      </c>
      <c r="E9" s="10">
        <f t="shared" ref="E9:E21" si="0">E8+D9</f>
        <v>30000</v>
      </c>
      <c r="F9" s="10">
        <f t="shared" ref="F9:F21" si="1">F8-D9</f>
        <v>157500</v>
      </c>
    </row>
    <row r="10" spans="1:7" x14ac:dyDescent="0.35">
      <c r="A10" s="1" t="s">
        <v>129</v>
      </c>
      <c r="B10" s="9">
        <v>1997</v>
      </c>
      <c r="C10" s="1" t="s">
        <v>117</v>
      </c>
      <c r="D10" s="10">
        <v>30000</v>
      </c>
      <c r="E10" s="10">
        <f t="shared" si="0"/>
        <v>60000</v>
      </c>
      <c r="F10" s="10">
        <f t="shared" si="1"/>
        <v>127500</v>
      </c>
    </row>
    <row r="11" spans="1:7" x14ac:dyDescent="0.35">
      <c r="A11" s="1" t="s">
        <v>130</v>
      </c>
      <c r="B11" s="9">
        <v>1998</v>
      </c>
      <c r="C11" s="9" t="s">
        <v>78</v>
      </c>
      <c r="D11" s="10">
        <v>10000</v>
      </c>
      <c r="E11" s="10">
        <f t="shared" si="0"/>
        <v>70000</v>
      </c>
      <c r="F11" s="10">
        <f t="shared" si="1"/>
        <v>117500</v>
      </c>
    </row>
    <row r="12" spans="1:7" x14ac:dyDescent="0.35">
      <c r="A12" s="1" t="s">
        <v>131</v>
      </c>
      <c r="B12" s="9">
        <v>687</v>
      </c>
      <c r="C12" s="9" t="s">
        <v>78</v>
      </c>
      <c r="D12" s="10">
        <v>10000</v>
      </c>
      <c r="E12" s="10">
        <f t="shared" si="0"/>
        <v>80000</v>
      </c>
      <c r="F12" s="10">
        <f t="shared" si="1"/>
        <v>107500</v>
      </c>
    </row>
    <row r="13" spans="1:7" x14ac:dyDescent="0.35">
      <c r="A13" s="1" t="s">
        <v>132</v>
      </c>
      <c r="B13" s="9">
        <v>2534</v>
      </c>
      <c r="C13" s="9" t="s">
        <v>78</v>
      </c>
      <c r="D13" s="10">
        <v>10000</v>
      </c>
      <c r="E13" s="10">
        <f t="shared" si="0"/>
        <v>90000</v>
      </c>
      <c r="F13" s="10">
        <f t="shared" si="1"/>
        <v>97500</v>
      </c>
    </row>
    <row r="14" spans="1:7" x14ac:dyDescent="0.35">
      <c r="A14" s="1" t="s">
        <v>133</v>
      </c>
      <c r="B14" s="9">
        <v>3243</v>
      </c>
      <c r="C14" s="9" t="s">
        <v>136</v>
      </c>
      <c r="D14" s="10">
        <v>20000</v>
      </c>
      <c r="E14" s="10">
        <f t="shared" si="0"/>
        <v>110000</v>
      </c>
      <c r="F14" s="10">
        <f t="shared" si="1"/>
        <v>77500</v>
      </c>
    </row>
    <row r="15" spans="1:7" x14ac:dyDescent="0.35">
      <c r="A15" s="1" t="s">
        <v>134</v>
      </c>
      <c r="B15" s="9">
        <v>3926</v>
      </c>
      <c r="C15" s="9" t="s">
        <v>78</v>
      </c>
      <c r="D15" s="10">
        <v>10000</v>
      </c>
      <c r="E15" s="10">
        <f t="shared" si="0"/>
        <v>120000</v>
      </c>
      <c r="F15" s="10">
        <f t="shared" si="1"/>
        <v>67500</v>
      </c>
    </row>
    <row r="16" spans="1:7" x14ac:dyDescent="0.35">
      <c r="A16" s="1" t="s">
        <v>135</v>
      </c>
      <c r="B16" s="9">
        <v>5160</v>
      </c>
      <c r="C16" s="9" t="s">
        <v>78</v>
      </c>
      <c r="D16" s="10">
        <v>10000</v>
      </c>
      <c r="E16" s="10">
        <f t="shared" si="0"/>
        <v>130000</v>
      </c>
      <c r="F16" s="10">
        <f t="shared" si="1"/>
        <v>57500</v>
      </c>
    </row>
    <row r="17" spans="1:7" x14ac:dyDescent="0.35">
      <c r="A17" s="11">
        <v>45211</v>
      </c>
      <c r="B17" s="9">
        <v>5403</v>
      </c>
      <c r="C17" s="9" t="s">
        <v>78</v>
      </c>
      <c r="D17" s="10">
        <v>10000</v>
      </c>
      <c r="E17" s="10">
        <f t="shared" si="0"/>
        <v>140000</v>
      </c>
      <c r="F17" s="10">
        <f t="shared" si="1"/>
        <v>47500</v>
      </c>
    </row>
    <row r="18" spans="1:7" x14ac:dyDescent="0.35">
      <c r="A18" s="11">
        <v>45474</v>
      </c>
      <c r="B18" s="9">
        <v>5977</v>
      </c>
      <c r="C18" s="9" t="s">
        <v>78</v>
      </c>
      <c r="D18" s="10">
        <v>20000</v>
      </c>
      <c r="E18" s="10">
        <f t="shared" si="0"/>
        <v>160000</v>
      </c>
      <c r="F18" s="10">
        <f t="shared" si="1"/>
        <v>27500</v>
      </c>
    </row>
    <row r="19" spans="1:7" x14ac:dyDescent="0.35">
      <c r="A19" s="11">
        <v>45598</v>
      </c>
      <c r="B19" s="9">
        <v>7087</v>
      </c>
      <c r="C19" s="9" t="s">
        <v>78</v>
      </c>
      <c r="D19" s="10">
        <v>10000</v>
      </c>
      <c r="E19" s="10">
        <f t="shared" si="0"/>
        <v>170000</v>
      </c>
      <c r="F19" s="10">
        <f t="shared" si="1"/>
        <v>17500</v>
      </c>
    </row>
    <row r="20" spans="1:7" x14ac:dyDescent="0.35">
      <c r="A20" s="9" t="s">
        <v>137</v>
      </c>
      <c r="B20" s="9">
        <v>7434</v>
      </c>
      <c r="C20" s="9" t="s">
        <v>78</v>
      </c>
      <c r="D20" s="10">
        <v>10000</v>
      </c>
      <c r="E20" s="10">
        <f t="shared" si="0"/>
        <v>180000</v>
      </c>
      <c r="F20" s="10">
        <f t="shared" si="1"/>
        <v>7500</v>
      </c>
    </row>
    <row r="21" spans="1:7" x14ac:dyDescent="0.35">
      <c r="A21" s="9" t="s">
        <v>138</v>
      </c>
      <c r="B21" s="9">
        <v>8139</v>
      </c>
      <c r="C21" s="9" t="s">
        <v>78</v>
      </c>
      <c r="D21" s="10">
        <v>7500</v>
      </c>
      <c r="E21" s="10">
        <f t="shared" si="0"/>
        <v>187500</v>
      </c>
      <c r="F21" s="10">
        <f t="shared" si="1"/>
        <v>0</v>
      </c>
    </row>
    <row r="23" spans="1:7" ht="18.5" x14ac:dyDescent="0.45">
      <c r="A23" s="12" t="s">
        <v>113</v>
      </c>
      <c r="B23" s="12"/>
      <c r="C23" s="12"/>
    </row>
    <row r="24" spans="1:7" x14ac:dyDescent="0.35">
      <c r="A24" s="18" t="s">
        <v>153</v>
      </c>
      <c r="B24" s="18" t="s">
        <v>154</v>
      </c>
      <c r="C24" s="18" t="s">
        <v>60</v>
      </c>
      <c r="D24" s="18" t="s">
        <v>155</v>
      </c>
      <c r="E24" s="18" t="s">
        <v>156</v>
      </c>
      <c r="F24" s="18" t="s">
        <v>157</v>
      </c>
      <c r="G24" s="18"/>
    </row>
    <row r="25" spans="1:7" x14ac:dyDescent="0.35">
      <c r="A25" s="74" t="s">
        <v>138</v>
      </c>
      <c r="B25" s="74">
        <v>252</v>
      </c>
      <c r="C25" s="74" t="s">
        <v>21</v>
      </c>
      <c r="D25" s="75">
        <v>20000</v>
      </c>
      <c r="E25" s="75">
        <v>20000</v>
      </c>
      <c r="F25" s="75">
        <v>430000</v>
      </c>
    </row>
    <row r="26" spans="1:7" x14ac:dyDescent="0.35">
      <c r="A26" s="22" t="s">
        <v>139</v>
      </c>
      <c r="B26" s="22">
        <v>13</v>
      </c>
      <c r="C26" s="22" t="s">
        <v>21</v>
      </c>
      <c r="D26" s="23">
        <v>10000</v>
      </c>
      <c r="E26" s="23">
        <f t="shared" ref="E26:E51" si="2">E25+D26</f>
        <v>30000</v>
      </c>
      <c r="F26" s="23">
        <f t="shared" ref="F26:F51" si="3">F25-D26</f>
        <v>420000</v>
      </c>
    </row>
    <row r="27" spans="1:7" x14ac:dyDescent="0.35">
      <c r="A27" s="22" t="s">
        <v>140</v>
      </c>
      <c r="B27" s="22">
        <v>75</v>
      </c>
      <c r="C27" s="22" t="s">
        <v>21</v>
      </c>
      <c r="D27" s="23">
        <v>10000</v>
      </c>
      <c r="E27" s="23">
        <f t="shared" si="2"/>
        <v>40000</v>
      </c>
      <c r="F27" s="23">
        <f t="shared" si="3"/>
        <v>410000</v>
      </c>
    </row>
    <row r="28" spans="1:7" x14ac:dyDescent="0.35">
      <c r="A28" s="22" t="s">
        <v>141</v>
      </c>
      <c r="B28" s="22">
        <v>127</v>
      </c>
      <c r="C28" s="22" t="s">
        <v>21</v>
      </c>
      <c r="D28" s="23">
        <v>10000</v>
      </c>
      <c r="E28" s="23">
        <f t="shared" si="2"/>
        <v>50000</v>
      </c>
      <c r="F28" s="23">
        <f t="shared" si="3"/>
        <v>400000</v>
      </c>
    </row>
    <row r="29" spans="1:7" x14ac:dyDescent="0.35">
      <c r="A29" s="22" t="s">
        <v>142</v>
      </c>
      <c r="B29" s="22">
        <v>190</v>
      </c>
      <c r="C29" s="22" t="s">
        <v>21</v>
      </c>
      <c r="D29" s="23">
        <v>10000</v>
      </c>
      <c r="E29" s="23">
        <f t="shared" si="2"/>
        <v>60000</v>
      </c>
      <c r="F29" s="23">
        <f t="shared" si="3"/>
        <v>390000</v>
      </c>
    </row>
    <row r="30" spans="1:7" x14ac:dyDescent="0.35">
      <c r="A30" s="22" t="s">
        <v>56</v>
      </c>
      <c r="B30" s="22">
        <v>313</v>
      </c>
      <c r="C30" s="22" t="s">
        <v>21</v>
      </c>
      <c r="D30" s="23">
        <v>10000</v>
      </c>
      <c r="E30" s="23">
        <f t="shared" si="2"/>
        <v>70000</v>
      </c>
      <c r="F30" s="23">
        <f t="shared" si="3"/>
        <v>380000</v>
      </c>
    </row>
    <row r="31" spans="1:7" x14ac:dyDescent="0.35">
      <c r="A31" s="22" t="s">
        <v>143</v>
      </c>
      <c r="B31" s="22">
        <v>399</v>
      </c>
      <c r="C31" s="22" t="s">
        <v>21</v>
      </c>
      <c r="D31" s="23">
        <v>10000</v>
      </c>
      <c r="E31" s="23">
        <f t="shared" si="2"/>
        <v>80000</v>
      </c>
      <c r="F31" s="23">
        <f t="shared" si="3"/>
        <v>370000</v>
      </c>
    </row>
    <row r="32" spans="1:7" x14ac:dyDescent="0.35">
      <c r="A32" s="22" t="s">
        <v>144</v>
      </c>
      <c r="B32" s="22">
        <v>258</v>
      </c>
      <c r="C32" s="22" t="s">
        <v>21</v>
      </c>
      <c r="D32" s="23">
        <v>10000</v>
      </c>
      <c r="E32" s="23">
        <f t="shared" si="2"/>
        <v>90000</v>
      </c>
      <c r="F32" s="23">
        <f t="shared" si="3"/>
        <v>360000</v>
      </c>
    </row>
    <row r="33" spans="1:6" x14ac:dyDescent="0.35">
      <c r="A33" s="22" t="s">
        <v>145</v>
      </c>
      <c r="B33" s="22">
        <v>523</v>
      </c>
      <c r="C33" s="22" t="s">
        <v>21</v>
      </c>
      <c r="D33" s="23">
        <v>10000</v>
      </c>
      <c r="E33" s="23">
        <f t="shared" si="2"/>
        <v>100000</v>
      </c>
      <c r="F33" s="23">
        <f t="shared" si="3"/>
        <v>350000</v>
      </c>
    </row>
    <row r="34" spans="1:6" x14ac:dyDescent="0.35">
      <c r="A34" s="22" t="s">
        <v>146</v>
      </c>
      <c r="B34" s="22">
        <v>600</v>
      </c>
      <c r="C34" s="22" t="s">
        <v>21</v>
      </c>
      <c r="D34" s="23">
        <v>5000</v>
      </c>
      <c r="E34" s="23">
        <f t="shared" si="2"/>
        <v>105000</v>
      </c>
      <c r="F34" s="23">
        <f t="shared" si="3"/>
        <v>345000</v>
      </c>
    </row>
    <row r="35" spans="1:6" x14ac:dyDescent="0.35">
      <c r="A35" s="22" t="s">
        <v>147</v>
      </c>
      <c r="B35" s="22">
        <v>721</v>
      </c>
      <c r="C35" s="22" t="s">
        <v>21</v>
      </c>
      <c r="D35" s="23">
        <v>10000</v>
      </c>
      <c r="E35" s="23">
        <f t="shared" si="2"/>
        <v>115000</v>
      </c>
      <c r="F35" s="23">
        <f t="shared" si="3"/>
        <v>335000</v>
      </c>
    </row>
    <row r="36" spans="1:6" x14ac:dyDescent="0.35">
      <c r="A36" s="22" t="s">
        <v>148</v>
      </c>
      <c r="B36" s="22">
        <v>771</v>
      </c>
      <c r="C36" s="22" t="s">
        <v>21</v>
      </c>
      <c r="D36" s="23">
        <v>5000</v>
      </c>
      <c r="E36" s="23">
        <f t="shared" si="2"/>
        <v>120000</v>
      </c>
      <c r="F36" s="23">
        <f t="shared" si="3"/>
        <v>330000</v>
      </c>
    </row>
    <row r="37" spans="1:6" x14ac:dyDescent="0.35">
      <c r="A37" s="21">
        <v>45997</v>
      </c>
      <c r="B37" s="22">
        <v>664</v>
      </c>
      <c r="C37" s="22" t="s">
        <v>21</v>
      </c>
      <c r="D37" s="23">
        <v>5000</v>
      </c>
      <c r="E37" s="23">
        <f t="shared" si="2"/>
        <v>125000</v>
      </c>
      <c r="F37" s="23">
        <f t="shared" si="3"/>
        <v>325000</v>
      </c>
    </row>
    <row r="38" spans="1:6" x14ac:dyDescent="0.35">
      <c r="A38" s="22" t="s">
        <v>88</v>
      </c>
      <c r="B38" s="22">
        <v>3074</v>
      </c>
      <c r="C38" s="22" t="s">
        <v>21</v>
      </c>
      <c r="D38" s="23">
        <v>5000</v>
      </c>
      <c r="E38" s="23">
        <f t="shared" si="2"/>
        <v>130000</v>
      </c>
      <c r="F38" s="23">
        <f t="shared" si="3"/>
        <v>320000</v>
      </c>
    </row>
    <row r="39" spans="1:6" x14ac:dyDescent="0.35">
      <c r="A39" s="21">
        <v>45938</v>
      </c>
      <c r="B39" s="22">
        <v>3936</v>
      </c>
      <c r="C39" s="22" t="s">
        <v>21</v>
      </c>
      <c r="D39" s="23">
        <v>5000</v>
      </c>
      <c r="E39" s="23">
        <f t="shared" si="2"/>
        <v>135000</v>
      </c>
      <c r="F39" s="23">
        <f t="shared" si="3"/>
        <v>315000</v>
      </c>
    </row>
    <row r="40" spans="1:6" x14ac:dyDescent="0.35">
      <c r="A40" s="22" t="s">
        <v>89</v>
      </c>
      <c r="B40" s="22">
        <v>3535</v>
      </c>
      <c r="C40" s="22" t="s">
        <v>21</v>
      </c>
      <c r="D40" s="23">
        <v>5000</v>
      </c>
      <c r="E40" s="23">
        <f t="shared" si="2"/>
        <v>140000</v>
      </c>
      <c r="F40" s="23">
        <f t="shared" si="3"/>
        <v>310000</v>
      </c>
    </row>
    <row r="41" spans="1:6" x14ac:dyDescent="0.35">
      <c r="A41" s="21" t="s">
        <v>149</v>
      </c>
      <c r="B41" s="22">
        <v>3351</v>
      </c>
      <c r="C41" s="22" t="s">
        <v>21</v>
      </c>
      <c r="D41" s="23">
        <v>5000</v>
      </c>
      <c r="E41" s="23">
        <f t="shared" si="2"/>
        <v>145000</v>
      </c>
      <c r="F41" s="23">
        <f t="shared" si="3"/>
        <v>305000</v>
      </c>
    </row>
    <row r="42" spans="1:6" x14ac:dyDescent="0.35">
      <c r="A42" s="22" t="s">
        <v>150</v>
      </c>
      <c r="B42" s="22">
        <v>3841</v>
      </c>
      <c r="C42" s="22" t="s">
        <v>21</v>
      </c>
      <c r="D42" s="23">
        <v>5000</v>
      </c>
      <c r="E42" s="23">
        <f t="shared" si="2"/>
        <v>150000</v>
      </c>
      <c r="F42" s="23">
        <f t="shared" si="3"/>
        <v>300000</v>
      </c>
    </row>
    <row r="43" spans="1:6" x14ac:dyDescent="0.35">
      <c r="A43" s="21" t="s">
        <v>151</v>
      </c>
      <c r="B43" s="22">
        <v>5088</v>
      </c>
      <c r="C43" s="22" t="s">
        <v>21</v>
      </c>
      <c r="D43" s="23">
        <v>5000</v>
      </c>
      <c r="E43" s="23">
        <f t="shared" si="2"/>
        <v>155000</v>
      </c>
      <c r="F43" s="23">
        <f t="shared" si="3"/>
        <v>295000</v>
      </c>
    </row>
    <row r="44" spans="1:6" x14ac:dyDescent="0.35">
      <c r="A44" s="21">
        <v>46327</v>
      </c>
      <c r="B44" s="22">
        <v>5272</v>
      </c>
      <c r="C44" s="22" t="s">
        <v>21</v>
      </c>
      <c r="D44" s="23">
        <v>5000</v>
      </c>
      <c r="E44" s="23">
        <f t="shared" si="2"/>
        <v>160000</v>
      </c>
      <c r="F44" s="23">
        <f t="shared" si="3"/>
        <v>290000</v>
      </c>
    </row>
    <row r="45" spans="1:6" x14ac:dyDescent="0.35">
      <c r="A45" s="21">
        <v>46236</v>
      </c>
      <c r="B45" s="22">
        <v>5448</v>
      </c>
      <c r="C45" s="22" t="s">
        <v>21</v>
      </c>
      <c r="D45" s="23">
        <v>5000</v>
      </c>
      <c r="E45" s="23">
        <f t="shared" si="2"/>
        <v>165000</v>
      </c>
      <c r="F45" s="23">
        <f t="shared" si="3"/>
        <v>285000</v>
      </c>
    </row>
    <row r="46" spans="1:6" x14ac:dyDescent="0.35">
      <c r="A46" s="21" t="s">
        <v>152</v>
      </c>
      <c r="B46" s="22">
        <v>5727</v>
      </c>
      <c r="C46" s="22" t="s">
        <v>21</v>
      </c>
      <c r="D46" s="23">
        <v>5000</v>
      </c>
      <c r="E46" s="23">
        <f t="shared" si="2"/>
        <v>170000</v>
      </c>
      <c r="F46" s="23">
        <f t="shared" si="3"/>
        <v>280000</v>
      </c>
    </row>
    <row r="47" spans="1:6" x14ac:dyDescent="0.35">
      <c r="A47" s="21">
        <v>46146</v>
      </c>
      <c r="B47" s="22">
        <v>5841</v>
      </c>
      <c r="C47" s="22" t="s">
        <v>21</v>
      </c>
      <c r="D47" s="23">
        <v>5000</v>
      </c>
      <c r="E47" s="23">
        <f t="shared" si="2"/>
        <v>175000</v>
      </c>
      <c r="F47" s="23">
        <f t="shared" si="3"/>
        <v>275000</v>
      </c>
    </row>
    <row r="48" spans="1:6" x14ac:dyDescent="0.35">
      <c r="A48" s="21">
        <v>46152</v>
      </c>
      <c r="B48" s="22">
        <v>1425</v>
      </c>
      <c r="C48" s="22" t="s">
        <v>21</v>
      </c>
      <c r="D48" s="23">
        <v>5000</v>
      </c>
      <c r="E48" s="23">
        <f t="shared" si="2"/>
        <v>180000</v>
      </c>
      <c r="F48" s="23">
        <f t="shared" si="3"/>
        <v>270000</v>
      </c>
    </row>
    <row r="49" spans="1:6" x14ac:dyDescent="0.35">
      <c r="A49" s="21">
        <v>46209</v>
      </c>
      <c r="B49" s="22">
        <v>1591</v>
      </c>
      <c r="C49" s="22" t="s">
        <v>21</v>
      </c>
      <c r="D49" s="23">
        <v>5000</v>
      </c>
      <c r="E49" s="23">
        <f t="shared" si="2"/>
        <v>185000</v>
      </c>
      <c r="F49" s="23">
        <f t="shared" si="3"/>
        <v>265000</v>
      </c>
    </row>
    <row r="50" spans="1:6" x14ac:dyDescent="0.35">
      <c r="A50" s="21">
        <v>46149</v>
      </c>
      <c r="B50" s="22">
        <v>1755</v>
      </c>
      <c r="C50" s="22" t="s">
        <v>21</v>
      </c>
      <c r="D50" s="23">
        <v>5000</v>
      </c>
      <c r="E50" s="23">
        <f t="shared" si="2"/>
        <v>190000</v>
      </c>
      <c r="F50" s="23">
        <f t="shared" si="3"/>
        <v>260000</v>
      </c>
    </row>
    <row r="51" spans="1:6" x14ac:dyDescent="0.35">
      <c r="A51" s="21">
        <v>46273</v>
      </c>
      <c r="B51" s="22">
        <v>3754</v>
      </c>
      <c r="C51" s="22" t="s">
        <v>21</v>
      </c>
      <c r="D51" s="23">
        <v>5000</v>
      </c>
      <c r="E51" s="23">
        <f t="shared" si="2"/>
        <v>195000</v>
      </c>
      <c r="F51" s="23">
        <f t="shared" si="3"/>
        <v>255000</v>
      </c>
    </row>
    <row r="52" spans="1:6" x14ac:dyDescent="0.35">
      <c r="A52" s="76">
        <v>46182</v>
      </c>
      <c r="B52" s="77">
        <v>2011</v>
      </c>
      <c r="C52" s="77" t="s">
        <v>21</v>
      </c>
      <c r="D52" s="78">
        <v>5000</v>
      </c>
      <c r="E52" s="78">
        <v>200000</v>
      </c>
      <c r="F52" s="78">
        <v>250000</v>
      </c>
    </row>
    <row r="53" spans="1:6" x14ac:dyDescent="0.35">
      <c r="A53" s="76">
        <v>46244</v>
      </c>
      <c r="B53" s="77">
        <v>2160</v>
      </c>
      <c r="C53" s="77" t="s">
        <v>21</v>
      </c>
      <c r="D53" s="78">
        <v>5000</v>
      </c>
      <c r="E53" s="78">
        <v>205000</v>
      </c>
      <c r="F53" s="78">
        <v>245000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3" workbookViewId="0">
      <selection activeCell="E33" sqref="E33"/>
    </sheetView>
  </sheetViews>
  <sheetFormatPr defaultRowHeight="14.5" x14ac:dyDescent="0.35"/>
  <cols>
    <col min="1" max="1" width="10.453125" bestFit="1" customWidth="1"/>
    <col min="3" max="3" width="15.453125" customWidth="1"/>
    <col min="4" max="4" width="14.26953125" customWidth="1"/>
    <col min="5" max="5" width="11.26953125" customWidth="1"/>
    <col min="6" max="6" width="11.1796875" customWidth="1"/>
  </cols>
  <sheetData>
    <row r="1" spans="1:7" ht="18.5" x14ac:dyDescent="0.45">
      <c r="A1" s="12" t="s">
        <v>158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159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160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164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161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162</v>
      </c>
      <c r="B6" s="14"/>
      <c r="C6" s="14"/>
      <c r="D6" s="14" t="s">
        <v>163</v>
      </c>
      <c r="E6" s="14"/>
      <c r="F6" s="14"/>
      <c r="G6" s="13"/>
    </row>
    <row r="7" spans="1:7" ht="18.5" x14ac:dyDescent="0.45">
      <c r="A7" s="31" t="s">
        <v>1</v>
      </c>
      <c r="B7" s="31" t="s">
        <v>2</v>
      </c>
      <c r="C7" s="31" t="s">
        <v>3</v>
      </c>
      <c r="D7" s="31" t="s">
        <v>4</v>
      </c>
      <c r="E7" s="31" t="s">
        <v>5</v>
      </c>
      <c r="F7" s="31" t="s">
        <v>6</v>
      </c>
      <c r="G7" s="13"/>
    </row>
    <row r="8" spans="1:7" x14ac:dyDescent="0.35">
      <c r="A8" s="1" t="s">
        <v>165</v>
      </c>
      <c r="B8" s="9">
        <v>1403</v>
      </c>
      <c r="C8" s="9" t="s">
        <v>60</v>
      </c>
      <c r="D8" s="10">
        <v>10000</v>
      </c>
      <c r="E8" s="10">
        <v>10000</v>
      </c>
      <c r="F8" s="10">
        <v>210000</v>
      </c>
    </row>
    <row r="9" spans="1:7" x14ac:dyDescent="0.35">
      <c r="A9" s="1" t="s">
        <v>166</v>
      </c>
      <c r="B9" s="9">
        <v>2779</v>
      </c>
      <c r="C9" s="9" t="s">
        <v>100</v>
      </c>
      <c r="D9" s="10">
        <v>60000</v>
      </c>
      <c r="E9" s="10">
        <f t="shared" ref="E9:E16" si="0">E8+D9</f>
        <v>70000</v>
      </c>
      <c r="F9" s="10">
        <f t="shared" ref="F9:F15" si="1">F8-D9</f>
        <v>150000</v>
      </c>
    </row>
    <row r="10" spans="1:7" x14ac:dyDescent="0.35">
      <c r="A10" s="11">
        <v>45172</v>
      </c>
      <c r="B10" s="9">
        <v>2780</v>
      </c>
      <c r="C10" s="1" t="s">
        <v>60</v>
      </c>
      <c r="D10" s="10">
        <v>20000</v>
      </c>
      <c r="E10" s="10">
        <f t="shared" si="0"/>
        <v>90000</v>
      </c>
      <c r="F10" s="10">
        <f t="shared" si="1"/>
        <v>130000</v>
      </c>
    </row>
    <row r="11" spans="1:7" x14ac:dyDescent="0.35">
      <c r="A11" s="11">
        <v>44962</v>
      </c>
      <c r="B11" s="9">
        <v>1412</v>
      </c>
      <c r="C11" s="1" t="s">
        <v>60</v>
      </c>
      <c r="D11" s="10">
        <v>20000</v>
      </c>
      <c r="E11" s="10">
        <f t="shared" si="0"/>
        <v>110000</v>
      </c>
      <c r="F11" s="10">
        <f t="shared" si="1"/>
        <v>110000</v>
      </c>
    </row>
    <row r="12" spans="1:7" x14ac:dyDescent="0.35">
      <c r="A12" s="9" t="s">
        <v>167</v>
      </c>
      <c r="B12" s="9">
        <v>2751</v>
      </c>
      <c r="C12" s="1" t="s">
        <v>60</v>
      </c>
      <c r="D12" s="10">
        <v>20000</v>
      </c>
      <c r="E12" s="10">
        <f t="shared" si="0"/>
        <v>130000</v>
      </c>
      <c r="F12" s="10">
        <f t="shared" si="1"/>
        <v>90000</v>
      </c>
    </row>
    <row r="13" spans="1:7" x14ac:dyDescent="0.35">
      <c r="A13" s="11">
        <v>45239</v>
      </c>
      <c r="B13" s="9">
        <v>3525</v>
      </c>
      <c r="C13" s="1" t="s">
        <v>60</v>
      </c>
      <c r="D13" s="10">
        <v>20000</v>
      </c>
      <c r="E13" s="10">
        <f t="shared" si="0"/>
        <v>150000</v>
      </c>
      <c r="F13" s="10">
        <f t="shared" si="1"/>
        <v>70000</v>
      </c>
    </row>
    <row r="14" spans="1:7" x14ac:dyDescent="0.35">
      <c r="A14" s="11">
        <v>45241</v>
      </c>
      <c r="B14" s="9">
        <v>4802</v>
      </c>
      <c r="C14" s="1" t="s">
        <v>60</v>
      </c>
      <c r="D14" s="10">
        <v>20000</v>
      </c>
      <c r="E14" s="10">
        <f t="shared" si="0"/>
        <v>170000</v>
      </c>
      <c r="F14" s="10">
        <f t="shared" si="1"/>
        <v>50000</v>
      </c>
    </row>
    <row r="15" spans="1:7" x14ac:dyDescent="0.35">
      <c r="A15" s="9" t="s">
        <v>168</v>
      </c>
      <c r="B15" s="9">
        <v>5822</v>
      </c>
      <c r="C15" s="1" t="s">
        <v>60</v>
      </c>
      <c r="D15" s="10">
        <v>30000</v>
      </c>
      <c r="E15" s="10">
        <f t="shared" si="0"/>
        <v>200000</v>
      </c>
      <c r="F15" s="10">
        <f t="shared" si="1"/>
        <v>20000</v>
      </c>
    </row>
    <row r="16" spans="1:7" x14ac:dyDescent="0.35">
      <c r="A16" s="9" t="s">
        <v>169</v>
      </c>
      <c r="B16" s="9">
        <v>1882</v>
      </c>
      <c r="C16" s="1" t="s">
        <v>60</v>
      </c>
      <c r="D16" s="10">
        <v>20000</v>
      </c>
      <c r="E16" s="10">
        <f t="shared" si="0"/>
        <v>220000</v>
      </c>
      <c r="F16" s="10" t="s">
        <v>45</v>
      </c>
    </row>
    <row r="17" spans="1:7" x14ac:dyDescent="0.35">
      <c r="A17" s="7"/>
      <c r="E17" s="8"/>
    </row>
    <row r="18" spans="1:7" x14ac:dyDescent="0.35">
      <c r="A18" s="30" t="s">
        <v>314</v>
      </c>
      <c r="B18" s="30"/>
      <c r="C18" s="30"/>
    </row>
    <row r="19" spans="1:7" ht="18.5" x14ac:dyDescent="0.45">
      <c r="A19" s="31" t="s">
        <v>1</v>
      </c>
      <c r="B19" s="31" t="s">
        <v>2</v>
      </c>
      <c r="C19" s="31" t="s">
        <v>3</v>
      </c>
      <c r="D19" s="31" t="s">
        <v>4</v>
      </c>
      <c r="E19" s="31" t="s">
        <v>5</v>
      </c>
      <c r="F19" s="31" t="s">
        <v>6</v>
      </c>
      <c r="G19" s="13"/>
    </row>
    <row r="20" spans="1:7" x14ac:dyDescent="0.35">
      <c r="A20" s="11">
        <v>44962</v>
      </c>
      <c r="B20" s="9">
        <v>3</v>
      </c>
      <c r="C20" s="9" t="s">
        <v>315</v>
      </c>
      <c r="D20" s="10">
        <v>30000</v>
      </c>
      <c r="E20" s="10">
        <v>30000</v>
      </c>
      <c r="F20" s="10">
        <v>420000</v>
      </c>
    </row>
    <row r="21" spans="1:7" x14ac:dyDescent="0.35">
      <c r="A21" s="9" t="s">
        <v>380</v>
      </c>
      <c r="B21" s="9">
        <v>79</v>
      </c>
      <c r="C21" s="9" t="s">
        <v>315</v>
      </c>
      <c r="D21" s="10">
        <v>10000</v>
      </c>
      <c r="E21" s="10">
        <f t="shared" ref="E21:E36" si="2">E20+D21</f>
        <v>40000</v>
      </c>
      <c r="F21" s="10">
        <f t="shared" ref="F21:F35" si="3">F20-D21</f>
        <v>410000</v>
      </c>
    </row>
    <row r="22" spans="1:7" x14ac:dyDescent="0.35">
      <c r="A22" s="11">
        <v>45634</v>
      </c>
      <c r="B22" s="9">
        <v>159</v>
      </c>
      <c r="C22" s="9" t="s">
        <v>315</v>
      </c>
      <c r="D22" s="10">
        <v>20000</v>
      </c>
      <c r="E22" s="10">
        <f t="shared" si="2"/>
        <v>60000</v>
      </c>
      <c r="F22" s="10">
        <f t="shared" si="3"/>
        <v>390000</v>
      </c>
    </row>
    <row r="23" spans="1:7" x14ac:dyDescent="0.35">
      <c r="A23" s="11">
        <v>45575</v>
      </c>
      <c r="B23" s="9">
        <v>363</v>
      </c>
      <c r="C23" s="9" t="s">
        <v>315</v>
      </c>
      <c r="D23" s="10">
        <v>20000</v>
      </c>
      <c r="E23" s="10">
        <f t="shared" si="2"/>
        <v>80000</v>
      </c>
      <c r="F23" s="10">
        <f t="shared" si="3"/>
        <v>370000</v>
      </c>
    </row>
    <row r="24" spans="1:7" x14ac:dyDescent="0.35">
      <c r="A24" s="11">
        <v>45516</v>
      </c>
      <c r="B24" s="9">
        <v>283</v>
      </c>
      <c r="C24" s="9" t="s">
        <v>315</v>
      </c>
      <c r="D24" s="10">
        <v>10000</v>
      </c>
      <c r="E24" s="10">
        <f t="shared" si="2"/>
        <v>90000</v>
      </c>
      <c r="F24" s="10">
        <f t="shared" si="3"/>
        <v>360000</v>
      </c>
    </row>
    <row r="25" spans="1:7" x14ac:dyDescent="0.35">
      <c r="A25" s="11">
        <v>45871</v>
      </c>
      <c r="B25" s="9">
        <v>925</v>
      </c>
      <c r="C25" s="9" t="s">
        <v>315</v>
      </c>
      <c r="D25" s="10">
        <v>20000</v>
      </c>
      <c r="E25" s="10">
        <f t="shared" si="2"/>
        <v>110000</v>
      </c>
      <c r="F25" s="10">
        <f t="shared" si="3"/>
        <v>340000</v>
      </c>
    </row>
    <row r="26" spans="1:7" x14ac:dyDescent="0.35">
      <c r="A26" s="11">
        <v>45965</v>
      </c>
      <c r="B26" s="9">
        <v>715</v>
      </c>
      <c r="C26" s="9" t="s">
        <v>315</v>
      </c>
      <c r="D26" s="10">
        <v>20000</v>
      </c>
      <c r="E26" s="10">
        <f t="shared" si="2"/>
        <v>130000</v>
      </c>
      <c r="F26" s="10">
        <f t="shared" si="3"/>
        <v>320000</v>
      </c>
    </row>
    <row r="27" spans="1:7" x14ac:dyDescent="0.35">
      <c r="A27" s="9" t="s">
        <v>381</v>
      </c>
      <c r="B27" s="9">
        <v>602</v>
      </c>
      <c r="C27" s="9" t="s">
        <v>315</v>
      </c>
      <c r="D27" s="10">
        <v>10000</v>
      </c>
      <c r="E27" s="10">
        <f t="shared" si="2"/>
        <v>140000</v>
      </c>
      <c r="F27" s="10">
        <f t="shared" si="3"/>
        <v>310000</v>
      </c>
    </row>
    <row r="28" spans="1:7" x14ac:dyDescent="0.35">
      <c r="A28" s="11">
        <v>45907</v>
      </c>
      <c r="B28" s="9">
        <v>3040</v>
      </c>
      <c r="C28" s="9" t="s">
        <v>315</v>
      </c>
      <c r="D28" s="10">
        <v>20000</v>
      </c>
      <c r="E28" s="10">
        <f t="shared" si="2"/>
        <v>160000</v>
      </c>
      <c r="F28" s="10">
        <f t="shared" si="3"/>
        <v>290000</v>
      </c>
    </row>
    <row r="29" spans="1:7" x14ac:dyDescent="0.35">
      <c r="A29" s="11">
        <v>45909</v>
      </c>
      <c r="B29" s="9">
        <v>12685</v>
      </c>
      <c r="C29" s="9" t="s">
        <v>315</v>
      </c>
      <c r="D29" s="10">
        <v>20000</v>
      </c>
      <c r="E29" s="10">
        <f t="shared" si="2"/>
        <v>180000</v>
      </c>
      <c r="F29" s="10">
        <f t="shared" si="3"/>
        <v>270000</v>
      </c>
    </row>
    <row r="30" spans="1:7" x14ac:dyDescent="0.35">
      <c r="A30" s="11">
        <v>45941</v>
      </c>
      <c r="B30" s="9">
        <v>3673</v>
      </c>
      <c r="C30" s="9" t="s">
        <v>315</v>
      </c>
      <c r="D30" s="10">
        <v>20000</v>
      </c>
      <c r="E30" s="10">
        <f t="shared" si="2"/>
        <v>200000</v>
      </c>
      <c r="F30" s="10">
        <f t="shared" si="3"/>
        <v>250000</v>
      </c>
    </row>
    <row r="31" spans="1:7" x14ac:dyDescent="0.35">
      <c r="A31" s="11">
        <v>46296</v>
      </c>
      <c r="B31" s="9">
        <v>5242</v>
      </c>
      <c r="C31" s="9" t="s">
        <v>315</v>
      </c>
      <c r="D31" s="10">
        <v>20000</v>
      </c>
      <c r="E31" s="10">
        <f t="shared" si="2"/>
        <v>220000</v>
      </c>
      <c r="F31" s="10">
        <f t="shared" si="3"/>
        <v>230000</v>
      </c>
    </row>
    <row r="32" spans="1:7" x14ac:dyDescent="0.35">
      <c r="A32" s="9" t="s">
        <v>353</v>
      </c>
      <c r="B32" s="9">
        <v>5737</v>
      </c>
      <c r="C32" s="9" t="s">
        <v>315</v>
      </c>
      <c r="D32" s="10">
        <v>10000</v>
      </c>
      <c r="E32" s="10">
        <f t="shared" si="2"/>
        <v>230000</v>
      </c>
      <c r="F32" s="10">
        <f t="shared" si="3"/>
        <v>220000</v>
      </c>
    </row>
    <row r="33" spans="1:6" x14ac:dyDescent="0.35">
      <c r="A33" s="11">
        <v>46146</v>
      </c>
      <c r="B33" s="9">
        <v>5839</v>
      </c>
      <c r="C33" s="9" t="s">
        <v>315</v>
      </c>
      <c r="D33" s="10">
        <v>10000</v>
      </c>
      <c r="E33" s="10">
        <f t="shared" si="2"/>
        <v>240000</v>
      </c>
      <c r="F33" s="10">
        <f t="shared" si="3"/>
        <v>210000</v>
      </c>
    </row>
    <row r="34" spans="1:6" x14ac:dyDescent="0.35">
      <c r="A34" s="11">
        <v>46270</v>
      </c>
      <c r="B34" s="9">
        <v>1409</v>
      </c>
      <c r="C34" s="9" t="s">
        <v>315</v>
      </c>
      <c r="D34" s="10">
        <v>20000</v>
      </c>
      <c r="E34" s="10">
        <f t="shared" si="2"/>
        <v>260000</v>
      </c>
      <c r="F34" s="10">
        <f t="shared" si="3"/>
        <v>190000</v>
      </c>
    </row>
    <row r="35" spans="1:6" x14ac:dyDescent="0.35">
      <c r="A35" s="11">
        <v>46301</v>
      </c>
      <c r="B35" s="9">
        <v>1608</v>
      </c>
      <c r="C35" s="9" t="s">
        <v>315</v>
      </c>
      <c r="D35" s="10">
        <v>10000</v>
      </c>
      <c r="E35" s="10">
        <f t="shared" si="2"/>
        <v>270000</v>
      </c>
      <c r="F35" s="10">
        <f t="shared" si="3"/>
        <v>180000</v>
      </c>
    </row>
    <row r="36" spans="1:6" x14ac:dyDescent="0.35">
      <c r="A36" s="11">
        <v>46334</v>
      </c>
      <c r="B36" s="9">
        <v>3774</v>
      </c>
      <c r="C36" s="9" t="s">
        <v>315</v>
      </c>
      <c r="D36" s="10">
        <v>100000</v>
      </c>
      <c r="E36" s="10">
        <f t="shared" si="2"/>
        <v>370000</v>
      </c>
      <c r="F36" s="34" t="s">
        <v>288</v>
      </c>
    </row>
    <row r="38" spans="1:6" x14ac:dyDescent="0.35">
      <c r="C38" t="s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A16" workbookViewId="0">
      <selection activeCell="B20" sqref="B20"/>
    </sheetView>
  </sheetViews>
  <sheetFormatPr defaultRowHeight="14.5" x14ac:dyDescent="0.35"/>
  <cols>
    <col min="1" max="1" width="10.453125" bestFit="1" customWidth="1"/>
    <col min="3" max="3" width="13.7265625" customWidth="1"/>
    <col min="4" max="4" width="14.26953125" customWidth="1"/>
    <col min="5" max="5" width="11.7265625" customWidth="1"/>
    <col min="6" max="6" width="12.90625" customWidth="1"/>
  </cols>
  <sheetData>
    <row r="1" spans="1:7" ht="18.5" x14ac:dyDescent="0.45">
      <c r="A1" s="12" t="s">
        <v>170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171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172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175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173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174</v>
      </c>
      <c r="B6" s="14"/>
      <c r="C6" s="14"/>
      <c r="D6" s="14" t="s">
        <v>73</v>
      </c>
      <c r="E6" s="14"/>
      <c r="F6" s="14"/>
      <c r="G6" s="13"/>
    </row>
    <row r="7" spans="1:7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  <c r="G7" s="13"/>
    </row>
    <row r="8" spans="1:7" x14ac:dyDescent="0.35">
      <c r="A8" s="21">
        <v>45847</v>
      </c>
      <c r="B8" s="22">
        <v>12653</v>
      </c>
      <c r="C8" s="22" t="s">
        <v>179</v>
      </c>
      <c r="D8" s="23">
        <v>100000</v>
      </c>
      <c r="E8" s="23">
        <v>100000</v>
      </c>
      <c r="F8" s="23">
        <v>550000</v>
      </c>
    </row>
    <row r="9" spans="1:7" x14ac:dyDescent="0.35">
      <c r="A9" s="24" t="s">
        <v>176</v>
      </c>
      <c r="B9" s="22">
        <v>13637</v>
      </c>
      <c r="C9" s="22" t="s">
        <v>304</v>
      </c>
      <c r="D9" s="23">
        <v>10000</v>
      </c>
      <c r="E9" s="23">
        <f t="shared" ref="E9:E18" si="0">E8+D9</f>
        <v>110000</v>
      </c>
      <c r="F9" s="23">
        <f t="shared" ref="F9:F18" si="1">F8-D9</f>
        <v>540000</v>
      </c>
    </row>
    <row r="10" spans="1:7" x14ac:dyDescent="0.35">
      <c r="A10" s="21">
        <v>46002</v>
      </c>
      <c r="B10" s="22">
        <v>13351</v>
      </c>
      <c r="C10" s="22" t="s">
        <v>304</v>
      </c>
      <c r="D10" s="23">
        <v>10000</v>
      </c>
      <c r="E10" s="23">
        <f t="shared" si="0"/>
        <v>120000</v>
      </c>
      <c r="F10" s="23">
        <f t="shared" si="1"/>
        <v>530000</v>
      </c>
    </row>
    <row r="11" spans="1:7" x14ac:dyDescent="0.35">
      <c r="A11" s="21" t="s">
        <v>177</v>
      </c>
      <c r="B11" s="22">
        <v>12614</v>
      </c>
      <c r="C11" s="22" t="s">
        <v>304</v>
      </c>
      <c r="D11" s="23">
        <v>10000</v>
      </c>
      <c r="E11" s="23">
        <f t="shared" si="0"/>
        <v>130000</v>
      </c>
      <c r="F11" s="23">
        <f t="shared" si="1"/>
        <v>520000</v>
      </c>
    </row>
    <row r="12" spans="1:7" x14ac:dyDescent="0.35">
      <c r="A12" s="21">
        <v>46297</v>
      </c>
      <c r="B12" s="22">
        <v>12422</v>
      </c>
      <c r="C12" s="22" t="s">
        <v>304</v>
      </c>
      <c r="D12" s="23">
        <v>10000</v>
      </c>
      <c r="E12" s="23">
        <f t="shared" si="0"/>
        <v>140000</v>
      </c>
      <c r="F12" s="23">
        <f t="shared" si="1"/>
        <v>510000</v>
      </c>
    </row>
    <row r="13" spans="1:7" x14ac:dyDescent="0.35">
      <c r="A13" s="21">
        <v>46298</v>
      </c>
      <c r="B13" s="22">
        <v>12817</v>
      </c>
      <c r="C13" s="22" t="s">
        <v>304</v>
      </c>
      <c r="D13" s="23">
        <v>10000</v>
      </c>
      <c r="E13" s="23">
        <f t="shared" si="0"/>
        <v>150000</v>
      </c>
      <c r="F13" s="23">
        <f t="shared" si="1"/>
        <v>500000</v>
      </c>
    </row>
    <row r="14" spans="1:7" x14ac:dyDescent="0.35">
      <c r="A14" s="21">
        <v>46269</v>
      </c>
      <c r="B14" s="22">
        <v>13190</v>
      </c>
      <c r="C14" s="22" t="s">
        <v>304</v>
      </c>
      <c r="D14" s="23">
        <v>10000</v>
      </c>
      <c r="E14" s="23">
        <f t="shared" si="0"/>
        <v>160000</v>
      </c>
      <c r="F14" s="23">
        <f t="shared" si="1"/>
        <v>490000</v>
      </c>
    </row>
    <row r="15" spans="1:7" x14ac:dyDescent="0.35">
      <c r="A15" s="21">
        <v>46300</v>
      </c>
      <c r="B15" s="22">
        <v>13310</v>
      </c>
      <c r="C15" s="22" t="s">
        <v>304</v>
      </c>
      <c r="D15" s="23">
        <v>10000</v>
      </c>
      <c r="E15" s="23">
        <f t="shared" si="0"/>
        <v>170000</v>
      </c>
      <c r="F15" s="23">
        <f t="shared" si="1"/>
        <v>480000</v>
      </c>
    </row>
    <row r="16" spans="1:7" x14ac:dyDescent="0.35">
      <c r="A16" s="21">
        <v>46301</v>
      </c>
      <c r="B16" s="22">
        <v>13581</v>
      </c>
      <c r="C16" s="22" t="s">
        <v>304</v>
      </c>
      <c r="D16" s="23">
        <v>10000</v>
      </c>
      <c r="E16" s="23">
        <f t="shared" si="0"/>
        <v>180000</v>
      </c>
      <c r="F16" s="23">
        <f t="shared" si="1"/>
        <v>470000</v>
      </c>
    </row>
    <row r="17" spans="1:6" x14ac:dyDescent="0.35">
      <c r="A17" s="22" t="s">
        <v>178</v>
      </c>
      <c r="B17" s="22">
        <v>1475</v>
      </c>
      <c r="C17" s="22" t="s">
        <v>304</v>
      </c>
      <c r="D17" s="23">
        <v>10000</v>
      </c>
      <c r="E17" s="23">
        <f t="shared" si="0"/>
        <v>190000</v>
      </c>
      <c r="F17" s="23">
        <f t="shared" si="1"/>
        <v>460000</v>
      </c>
    </row>
    <row r="18" spans="1:6" x14ac:dyDescent="0.35">
      <c r="A18" s="21">
        <v>46273</v>
      </c>
      <c r="B18" s="22">
        <v>1709</v>
      </c>
      <c r="C18" s="22" t="s">
        <v>304</v>
      </c>
      <c r="D18" s="23">
        <v>10000</v>
      </c>
      <c r="E18" s="23">
        <f t="shared" si="0"/>
        <v>200000</v>
      </c>
      <c r="F18" s="23">
        <f t="shared" si="1"/>
        <v>450000</v>
      </c>
    </row>
    <row r="19" spans="1:6" x14ac:dyDescent="0.35">
      <c r="A19" t="s">
        <v>614</v>
      </c>
      <c r="B19" s="67">
        <v>2035</v>
      </c>
      <c r="C19" s="22" t="s">
        <v>304</v>
      </c>
      <c r="D19" s="8">
        <v>10000</v>
      </c>
      <c r="E19" s="8">
        <f>E18+D19</f>
        <v>210000</v>
      </c>
      <c r="F19" s="8">
        <f>F18-D19</f>
        <v>440000</v>
      </c>
    </row>
    <row r="20" spans="1:6" x14ac:dyDescent="0.35">
      <c r="A20" s="7">
        <v>46305</v>
      </c>
      <c r="B20" s="67">
        <v>5034</v>
      </c>
      <c r="C20" s="22" t="s">
        <v>304</v>
      </c>
      <c r="D20" s="8">
        <v>10000</v>
      </c>
      <c r="E20" s="8">
        <f>E19+D20</f>
        <v>220000</v>
      </c>
      <c r="F20" s="8">
        <f>F19-D20</f>
        <v>430000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34" workbookViewId="0">
      <selection activeCell="D43" sqref="D43"/>
    </sheetView>
  </sheetViews>
  <sheetFormatPr defaultRowHeight="14.5" x14ac:dyDescent="0.35"/>
  <cols>
    <col min="1" max="1" width="10.453125" bestFit="1" customWidth="1"/>
    <col min="3" max="3" width="12" customWidth="1"/>
    <col min="4" max="4" width="13.7265625" customWidth="1"/>
    <col min="5" max="5" width="11.1796875" customWidth="1"/>
    <col min="6" max="6" width="14.6328125" customWidth="1"/>
  </cols>
  <sheetData>
    <row r="1" spans="1:7" ht="18.5" x14ac:dyDescent="0.45">
      <c r="A1" s="12" t="s">
        <v>180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181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182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183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186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184</v>
      </c>
      <c r="B6" s="14"/>
      <c r="C6" s="14"/>
      <c r="D6" s="14" t="s">
        <v>185</v>
      </c>
      <c r="E6" s="14"/>
      <c r="F6" s="14"/>
      <c r="G6" s="13"/>
    </row>
    <row r="7" spans="1:7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  <c r="G7" s="13"/>
    </row>
    <row r="8" spans="1:7" x14ac:dyDescent="0.35">
      <c r="A8" s="21">
        <v>45115</v>
      </c>
      <c r="B8" s="22">
        <v>187</v>
      </c>
      <c r="C8" s="22" t="s">
        <v>195</v>
      </c>
      <c r="D8" s="22">
        <v>5000</v>
      </c>
      <c r="E8" s="22">
        <v>5000</v>
      </c>
      <c r="F8" s="23">
        <v>240000</v>
      </c>
    </row>
    <row r="9" spans="1:7" ht="18.5" x14ac:dyDescent="0.45">
      <c r="A9" s="20" t="s">
        <v>187</v>
      </c>
      <c r="B9" s="22">
        <v>2775</v>
      </c>
      <c r="C9" s="22" t="s">
        <v>195</v>
      </c>
      <c r="D9" s="23">
        <v>25000</v>
      </c>
      <c r="E9" s="23">
        <v>30000</v>
      </c>
      <c r="F9" s="23">
        <f t="shared" ref="F9:F30" si="0">F8-D9</f>
        <v>215000</v>
      </c>
    </row>
    <row r="10" spans="1:7" x14ac:dyDescent="0.35">
      <c r="A10" s="22" t="s">
        <v>188</v>
      </c>
      <c r="B10" s="22">
        <v>1630</v>
      </c>
      <c r="C10" s="22" t="s">
        <v>195</v>
      </c>
      <c r="D10" s="22">
        <v>5000</v>
      </c>
      <c r="E10" s="23">
        <v>35000</v>
      </c>
      <c r="F10" s="23">
        <f t="shared" si="0"/>
        <v>210000</v>
      </c>
    </row>
    <row r="11" spans="1:7" x14ac:dyDescent="0.35">
      <c r="A11" s="22" t="s">
        <v>189</v>
      </c>
      <c r="B11" s="22">
        <v>2776</v>
      </c>
      <c r="C11" s="22" t="s">
        <v>195</v>
      </c>
      <c r="D11" s="22">
        <v>15000</v>
      </c>
      <c r="E11" s="23">
        <f t="shared" ref="E11:E31" si="1">E10+D11</f>
        <v>50000</v>
      </c>
      <c r="F11" s="23">
        <f t="shared" si="0"/>
        <v>195000</v>
      </c>
    </row>
    <row r="12" spans="1:7" x14ac:dyDescent="0.35">
      <c r="A12" s="22" t="s">
        <v>190</v>
      </c>
      <c r="B12" s="22">
        <v>3030</v>
      </c>
      <c r="C12" s="22" t="s">
        <v>195</v>
      </c>
      <c r="D12" s="23">
        <v>10000</v>
      </c>
      <c r="E12" s="23">
        <f t="shared" si="1"/>
        <v>60000</v>
      </c>
      <c r="F12" s="23">
        <f t="shared" si="0"/>
        <v>185000</v>
      </c>
    </row>
    <row r="13" spans="1:7" x14ac:dyDescent="0.35">
      <c r="A13" s="22" t="s">
        <v>191</v>
      </c>
      <c r="B13" s="22">
        <v>3603</v>
      </c>
      <c r="C13" s="22" t="s">
        <v>195</v>
      </c>
      <c r="D13" s="23">
        <v>10000</v>
      </c>
      <c r="E13" s="23">
        <f t="shared" si="1"/>
        <v>70000</v>
      </c>
      <c r="F13" s="23">
        <f t="shared" si="0"/>
        <v>175000</v>
      </c>
    </row>
    <row r="14" spans="1:7" x14ac:dyDescent="0.35">
      <c r="A14" s="21">
        <v>45240</v>
      </c>
      <c r="B14" s="22">
        <v>4216</v>
      </c>
      <c r="C14" s="22" t="s">
        <v>195</v>
      </c>
      <c r="D14" s="23">
        <v>10000</v>
      </c>
      <c r="E14" s="23">
        <f t="shared" si="1"/>
        <v>80000</v>
      </c>
      <c r="F14" s="23">
        <f t="shared" si="0"/>
        <v>165000</v>
      </c>
    </row>
    <row r="15" spans="1:7" x14ac:dyDescent="0.35">
      <c r="A15" s="22" t="s">
        <v>192</v>
      </c>
      <c r="B15" s="22">
        <v>4941</v>
      </c>
      <c r="C15" s="22" t="s">
        <v>195</v>
      </c>
      <c r="D15" s="23">
        <v>10000</v>
      </c>
      <c r="E15" s="23">
        <f t="shared" si="1"/>
        <v>90000</v>
      </c>
      <c r="F15" s="23">
        <f t="shared" si="0"/>
        <v>155000</v>
      </c>
    </row>
    <row r="16" spans="1:7" x14ac:dyDescent="0.35">
      <c r="A16" s="22" t="s">
        <v>193</v>
      </c>
      <c r="B16" s="22">
        <v>5523</v>
      </c>
      <c r="C16" s="22" t="s">
        <v>195</v>
      </c>
      <c r="D16" s="23">
        <v>10000</v>
      </c>
      <c r="E16" s="23">
        <f t="shared" si="1"/>
        <v>100000</v>
      </c>
      <c r="F16" s="23">
        <f t="shared" si="0"/>
        <v>145000</v>
      </c>
    </row>
    <row r="17" spans="1:6" x14ac:dyDescent="0.35">
      <c r="A17" s="22" t="s">
        <v>194</v>
      </c>
      <c r="B17" s="22">
        <v>6145</v>
      </c>
      <c r="C17" s="22" t="s">
        <v>195</v>
      </c>
      <c r="D17" s="23">
        <v>10000</v>
      </c>
      <c r="E17" s="23">
        <f t="shared" si="1"/>
        <v>110000</v>
      </c>
      <c r="F17" s="23">
        <f t="shared" si="0"/>
        <v>135000</v>
      </c>
    </row>
    <row r="18" spans="1:6" x14ac:dyDescent="0.35">
      <c r="A18" s="21">
        <v>45353</v>
      </c>
      <c r="B18" s="22">
        <v>7143</v>
      </c>
      <c r="C18" s="22" t="s">
        <v>195</v>
      </c>
      <c r="D18" s="23">
        <v>10000</v>
      </c>
      <c r="E18" s="23">
        <f t="shared" si="1"/>
        <v>120000</v>
      </c>
      <c r="F18" s="23">
        <f t="shared" si="0"/>
        <v>125000</v>
      </c>
    </row>
    <row r="19" spans="1:6" x14ac:dyDescent="0.35">
      <c r="A19" s="22" t="s">
        <v>196</v>
      </c>
      <c r="B19" s="22">
        <v>7337</v>
      </c>
      <c r="C19" s="22" t="s">
        <v>195</v>
      </c>
      <c r="D19" s="23">
        <v>10000</v>
      </c>
      <c r="E19" s="10">
        <f t="shared" si="1"/>
        <v>130000</v>
      </c>
      <c r="F19" s="10">
        <f t="shared" si="0"/>
        <v>115000</v>
      </c>
    </row>
    <row r="20" spans="1:6" x14ac:dyDescent="0.35">
      <c r="A20" s="22" t="s">
        <v>197</v>
      </c>
      <c r="B20" s="22">
        <v>7847</v>
      </c>
      <c r="C20" s="22" t="s">
        <v>195</v>
      </c>
      <c r="D20" s="23">
        <v>10000</v>
      </c>
      <c r="E20" s="10">
        <f t="shared" si="1"/>
        <v>140000</v>
      </c>
      <c r="F20" s="10">
        <f t="shared" si="0"/>
        <v>105000</v>
      </c>
    </row>
    <row r="21" spans="1:6" x14ac:dyDescent="0.35">
      <c r="A21" s="22" t="s">
        <v>198</v>
      </c>
      <c r="B21" s="22">
        <v>8495</v>
      </c>
      <c r="C21" s="22" t="s">
        <v>195</v>
      </c>
      <c r="D21" s="23">
        <v>10000</v>
      </c>
      <c r="E21" s="10">
        <f t="shared" si="1"/>
        <v>150000</v>
      </c>
      <c r="F21" s="10">
        <f t="shared" si="0"/>
        <v>95000</v>
      </c>
    </row>
    <row r="22" spans="1:6" x14ac:dyDescent="0.35">
      <c r="A22" s="22" t="s">
        <v>199</v>
      </c>
      <c r="B22" s="22">
        <v>9121</v>
      </c>
      <c r="C22" s="22" t="s">
        <v>195</v>
      </c>
      <c r="D22" s="23">
        <v>10000</v>
      </c>
      <c r="E22" s="10">
        <f t="shared" si="1"/>
        <v>160000</v>
      </c>
      <c r="F22" s="10">
        <f t="shared" si="0"/>
        <v>85000</v>
      </c>
    </row>
    <row r="23" spans="1:6" x14ac:dyDescent="0.35">
      <c r="A23" s="22" t="s">
        <v>200</v>
      </c>
      <c r="B23" s="22">
        <v>9645</v>
      </c>
      <c r="C23" s="22" t="s">
        <v>195</v>
      </c>
      <c r="D23" s="23">
        <v>10000</v>
      </c>
      <c r="E23" s="10">
        <f t="shared" si="1"/>
        <v>170000</v>
      </c>
      <c r="F23" s="10">
        <f t="shared" si="0"/>
        <v>75000</v>
      </c>
    </row>
    <row r="24" spans="1:6" x14ac:dyDescent="0.35">
      <c r="A24" s="22" t="s">
        <v>201</v>
      </c>
      <c r="B24" s="22">
        <v>11188</v>
      </c>
      <c r="C24" s="22" t="s">
        <v>195</v>
      </c>
      <c r="D24" s="23">
        <v>10000</v>
      </c>
      <c r="E24" s="10">
        <f t="shared" si="1"/>
        <v>180000</v>
      </c>
      <c r="F24" s="10">
        <f t="shared" si="0"/>
        <v>65000</v>
      </c>
    </row>
    <row r="25" spans="1:6" x14ac:dyDescent="0.35">
      <c r="A25" s="22" t="s">
        <v>202</v>
      </c>
      <c r="B25" s="22">
        <v>10764</v>
      </c>
      <c r="C25" s="22" t="s">
        <v>195</v>
      </c>
      <c r="D25" s="23">
        <v>10000</v>
      </c>
      <c r="E25" s="10">
        <f t="shared" si="1"/>
        <v>190000</v>
      </c>
      <c r="F25" s="10">
        <f t="shared" si="0"/>
        <v>55000</v>
      </c>
    </row>
    <row r="26" spans="1:6" x14ac:dyDescent="0.35">
      <c r="A26" s="22" t="s">
        <v>203</v>
      </c>
      <c r="B26" s="22">
        <v>10234</v>
      </c>
      <c r="C26" s="22" t="s">
        <v>195</v>
      </c>
      <c r="D26" s="23">
        <v>10000</v>
      </c>
      <c r="E26" s="10">
        <f t="shared" si="1"/>
        <v>200000</v>
      </c>
      <c r="F26" s="10">
        <f t="shared" si="0"/>
        <v>45000</v>
      </c>
    </row>
    <row r="27" spans="1:6" x14ac:dyDescent="0.35">
      <c r="A27" s="22" t="s">
        <v>204</v>
      </c>
      <c r="B27" s="22">
        <v>10999</v>
      </c>
      <c r="C27" s="22" t="s">
        <v>195</v>
      </c>
      <c r="D27" s="23">
        <v>10000</v>
      </c>
      <c r="E27" s="10">
        <f t="shared" si="1"/>
        <v>210000</v>
      </c>
      <c r="F27" s="10">
        <f t="shared" si="0"/>
        <v>35000</v>
      </c>
    </row>
    <row r="28" spans="1:6" x14ac:dyDescent="0.35">
      <c r="A28" s="11">
        <v>45608</v>
      </c>
      <c r="B28" s="22">
        <v>12325</v>
      </c>
      <c r="C28" s="22" t="s">
        <v>195</v>
      </c>
      <c r="D28" s="23">
        <v>10000</v>
      </c>
      <c r="E28" s="10">
        <f t="shared" si="1"/>
        <v>220000</v>
      </c>
      <c r="F28" s="10">
        <f t="shared" si="0"/>
        <v>25000</v>
      </c>
    </row>
    <row r="29" spans="1:6" x14ac:dyDescent="0.35">
      <c r="A29" s="11">
        <v>45962</v>
      </c>
      <c r="B29" s="22">
        <v>12011</v>
      </c>
      <c r="C29" s="22" t="s">
        <v>195</v>
      </c>
      <c r="D29" s="23">
        <v>10000</v>
      </c>
      <c r="E29" s="10">
        <f t="shared" si="1"/>
        <v>230000</v>
      </c>
      <c r="F29" s="10">
        <f t="shared" si="0"/>
        <v>15000</v>
      </c>
    </row>
    <row r="30" spans="1:6" x14ac:dyDescent="0.35">
      <c r="A30" s="11">
        <v>45993</v>
      </c>
      <c r="B30" s="22">
        <v>9732</v>
      </c>
      <c r="C30" s="22" t="s">
        <v>195</v>
      </c>
      <c r="D30" s="23">
        <v>10000</v>
      </c>
      <c r="E30" s="10">
        <f t="shared" si="1"/>
        <v>240000</v>
      </c>
      <c r="F30" s="10">
        <f t="shared" si="0"/>
        <v>5000</v>
      </c>
    </row>
    <row r="31" spans="1:6" x14ac:dyDescent="0.35">
      <c r="A31" s="9" t="s">
        <v>86</v>
      </c>
      <c r="B31" s="22">
        <v>10238</v>
      </c>
      <c r="C31" s="22" t="s">
        <v>195</v>
      </c>
      <c r="D31" s="23">
        <v>5000</v>
      </c>
      <c r="E31" s="10">
        <f t="shared" si="1"/>
        <v>245000</v>
      </c>
      <c r="F31" s="10" t="s">
        <v>45</v>
      </c>
    </row>
    <row r="33" spans="1:6" ht="18.5" x14ac:dyDescent="0.45">
      <c r="A33" s="12" t="s">
        <v>113</v>
      </c>
      <c r="B33" s="12"/>
      <c r="C33" s="12"/>
    </row>
    <row r="34" spans="1:6" x14ac:dyDescent="0.35">
      <c r="A34" s="11">
        <v>45971</v>
      </c>
      <c r="B34" s="22">
        <v>3286</v>
      </c>
      <c r="C34" s="22" t="s">
        <v>21</v>
      </c>
      <c r="D34" s="10">
        <v>10000</v>
      </c>
      <c r="E34" s="10">
        <v>10000</v>
      </c>
      <c r="F34" s="10">
        <v>215000</v>
      </c>
    </row>
    <row r="35" spans="1:6" x14ac:dyDescent="0.35">
      <c r="A35" s="11">
        <v>46002</v>
      </c>
      <c r="B35" s="22">
        <v>3694</v>
      </c>
      <c r="C35" s="22" t="s">
        <v>21</v>
      </c>
      <c r="D35" s="9">
        <v>5000</v>
      </c>
      <c r="E35" s="10">
        <f t="shared" ref="E35:E39" si="2">E34+D35</f>
        <v>15000</v>
      </c>
      <c r="F35" s="10">
        <f t="shared" ref="F35:F39" si="3">F34-D35</f>
        <v>210000</v>
      </c>
    </row>
    <row r="36" spans="1:6" x14ac:dyDescent="0.35">
      <c r="A36" s="9" t="s">
        <v>151</v>
      </c>
      <c r="B36" s="22">
        <v>5092</v>
      </c>
      <c r="C36" s="22" t="s">
        <v>21</v>
      </c>
      <c r="D36" s="9">
        <v>5000</v>
      </c>
      <c r="E36" s="10">
        <f t="shared" si="2"/>
        <v>20000</v>
      </c>
      <c r="F36" s="10">
        <f t="shared" si="3"/>
        <v>205000</v>
      </c>
    </row>
    <row r="37" spans="1:6" x14ac:dyDescent="0.35">
      <c r="A37" s="9" t="s">
        <v>205</v>
      </c>
      <c r="B37" s="22">
        <v>5296</v>
      </c>
      <c r="C37" s="22" t="s">
        <v>21</v>
      </c>
      <c r="D37" s="9">
        <v>5000</v>
      </c>
      <c r="E37" s="10">
        <f t="shared" si="2"/>
        <v>25000</v>
      </c>
      <c r="F37" s="10">
        <f t="shared" si="3"/>
        <v>200000</v>
      </c>
    </row>
    <row r="38" spans="1:6" x14ac:dyDescent="0.35">
      <c r="A38" s="11">
        <v>46359</v>
      </c>
      <c r="B38" s="22">
        <v>5709</v>
      </c>
      <c r="C38" s="22" t="s">
        <v>21</v>
      </c>
      <c r="D38" s="10">
        <v>10000</v>
      </c>
      <c r="E38" s="10">
        <f t="shared" si="2"/>
        <v>35000</v>
      </c>
      <c r="F38" s="10">
        <f t="shared" si="3"/>
        <v>190000</v>
      </c>
    </row>
    <row r="39" spans="1:6" x14ac:dyDescent="0.35">
      <c r="A39" s="9" t="s">
        <v>206</v>
      </c>
      <c r="B39" s="22">
        <v>1303</v>
      </c>
      <c r="C39" s="22" t="s">
        <v>21</v>
      </c>
      <c r="D39" s="9">
        <v>5000</v>
      </c>
      <c r="E39" s="10">
        <f t="shared" si="2"/>
        <v>40000</v>
      </c>
      <c r="F39" s="10">
        <f t="shared" si="3"/>
        <v>185000</v>
      </c>
    </row>
    <row r="40" spans="1:6" x14ac:dyDescent="0.35">
      <c r="A40" s="9" t="s">
        <v>207</v>
      </c>
      <c r="B40" s="22">
        <v>1681</v>
      </c>
      <c r="C40" s="22" t="s">
        <v>21</v>
      </c>
      <c r="D40" s="10">
        <v>10000</v>
      </c>
      <c r="E40" s="10">
        <f>E39+D40</f>
        <v>50000</v>
      </c>
      <c r="F40" s="10">
        <f>F39-D40</f>
        <v>175000</v>
      </c>
    </row>
    <row r="41" spans="1:6" x14ac:dyDescent="0.35">
      <c r="A41" s="9" t="s">
        <v>208</v>
      </c>
      <c r="B41" s="22">
        <v>1920</v>
      </c>
      <c r="C41" s="22" t="s">
        <v>21</v>
      </c>
      <c r="D41" s="8">
        <v>10000</v>
      </c>
      <c r="E41" s="10">
        <f>E40+D41</f>
        <v>60000</v>
      </c>
      <c r="F41" s="10">
        <f>F40-D41</f>
        <v>165000</v>
      </c>
    </row>
    <row r="42" spans="1:6" x14ac:dyDescent="0.35">
      <c r="A42" s="58" t="s">
        <v>615</v>
      </c>
      <c r="B42" s="67">
        <v>2099</v>
      </c>
      <c r="C42" s="22" t="s">
        <v>21</v>
      </c>
      <c r="D42" s="10">
        <v>5000</v>
      </c>
      <c r="E42" s="8">
        <f>E41+D42</f>
        <v>65000</v>
      </c>
      <c r="F42" s="8">
        <f>F41-D42</f>
        <v>160000</v>
      </c>
    </row>
    <row r="43" spans="1:6" x14ac:dyDescent="0.35">
      <c r="A43" s="82">
        <v>46305</v>
      </c>
      <c r="B43" s="67">
        <v>2198</v>
      </c>
      <c r="C43" s="22" t="s">
        <v>21</v>
      </c>
      <c r="D43" s="10">
        <v>4950</v>
      </c>
      <c r="E43" s="8">
        <f>E42+D43</f>
        <v>69950</v>
      </c>
      <c r="F43" s="8">
        <f>F42-D43</f>
        <v>155050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0" sqref="C10"/>
    </sheetView>
  </sheetViews>
  <sheetFormatPr defaultRowHeight="14.5" x14ac:dyDescent="0.35"/>
  <cols>
    <col min="3" max="3" width="12.90625" customWidth="1"/>
    <col min="4" max="4" width="16.453125" customWidth="1"/>
    <col min="5" max="5" width="13.90625" customWidth="1"/>
    <col min="6" max="6" width="15" customWidth="1"/>
  </cols>
  <sheetData>
    <row r="1" spans="1:3" ht="18.5" x14ac:dyDescent="0.45">
      <c r="A1" s="12"/>
      <c r="B1" s="12"/>
      <c r="C1" s="12"/>
    </row>
    <row r="2" spans="1:3" ht="18.5" x14ac:dyDescent="0.45">
      <c r="A2" s="12"/>
      <c r="B2" s="12"/>
      <c r="C2" s="12"/>
    </row>
    <row r="3" spans="1:3" ht="18.5" x14ac:dyDescent="0.45">
      <c r="A3" s="12"/>
      <c r="B3" s="12"/>
      <c r="C3" s="12"/>
    </row>
    <row r="4" spans="1:3" ht="18.5" x14ac:dyDescent="0.45">
      <c r="A4" s="12"/>
      <c r="B4" s="12"/>
      <c r="C4" s="12"/>
    </row>
    <row r="5" spans="1:3" ht="18.5" x14ac:dyDescent="0.45">
      <c r="A5" s="12"/>
      <c r="B5" s="12"/>
      <c r="C5" s="12"/>
    </row>
    <row r="6" spans="1:3" ht="18.5" x14ac:dyDescent="0.45">
      <c r="A6" s="12"/>
      <c r="B6" s="12"/>
      <c r="C6" s="12"/>
    </row>
    <row r="7" spans="1:3" ht="18.5" x14ac:dyDescent="0.45">
      <c r="A7" s="12"/>
      <c r="B7" s="12"/>
      <c r="C7" s="12"/>
    </row>
    <row r="8" spans="1:3" ht="18.5" x14ac:dyDescent="0.45">
      <c r="A8" s="12"/>
      <c r="B8" s="12"/>
      <c r="C8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sqref="A1:F6"/>
    </sheetView>
  </sheetViews>
  <sheetFormatPr defaultRowHeight="14.5" x14ac:dyDescent="0.35"/>
  <cols>
    <col min="3" max="3" width="13.6328125" customWidth="1"/>
    <col min="4" max="4" width="15.54296875" customWidth="1"/>
    <col min="5" max="5" width="12.90625" customWidth="1"/>
    <col min="6" max="6" width="13.26953125" customWidth="1"/>
  </cols>
  <sheetData>
    <row r="1" spans="1:6" ht="18.5" x14ac:dyDescent="0.45">
      <c r="A1" s="12" t="s">
        <v>228</v>
      </c>
      <c r="B1" s="12"/>
      <c r="C1" s="12"/>
      <c r="D1" s="12"/>
      <c r="E1" s="12"/>
      <c r="F1" s="12"/>
    </row>
    <row r="2" spans="1:6" ht="18.5" x14ac:dyDescent="0.45">
      <c r="A2" s="14" t="s">
        <v>229</v>
      </c>
      <c r="B2" s="14"/>
      <c r="C2" s="14"/>
      <c r="D2" s="14"/>
      <c r="E2" s="14"/>
      <c r="F2" s="14"/>
    </row>
    <row r="3" spans="1:6" ht="18.5" x14ac:dyDescent="0.45">
      <c r="A3" s="14" t="s">
        <v>230</v>
      </c>
      <c r="B3" s="14"/>
      <c r="C3" s="14"/>
      <c r="D3" s="14"/>
      <c r="E3" s="14"/>
      <c r="F3" s="14"/>
    </row>
    <row r="4" spans="1:6" ht="18.5" x14ac:dyDescent="0.45">
      <c r="A4" s="14" t="s">
        <v>231</v>
      </c>
      <c r="B4" s="14"/>
      <c r="C4" s="14"/>
      <c r="D4" s="14"/>
      <c r="E4" s="14"/>
      <c r="F4" s="14"/>
    </row>
    <row r="5" spans="1:6" ht="18.5" x14ac:dyDescent="0.45">
      <c r="A5" s="14" t="s">
        <v>232</v>
      </c>
      <c r="B5" s="14"/>
      <c r="C5" s="14"/>
      <c r="D5" s="14"/>
      <c r="E5" s="14"/>
      <c r="F5" s="14"/>
    </row>
    <row r="6" spans="1:6" ht="18.5" x14ac:dyDescent="0.45">
      <c r="A6" s="14" t="s">
        <v>233</v>
      </c>
      <c r="B6" s="14"/>
      <c r="C6" s="14"/>
      <c r="D6" s="14" t="s">
        <v>121</v>
      </c>
      <c r="E6" s="14"/>
      <c r="F6" s="14"/>
    </row>
    <row r="7" spans="1:6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</row>
    <row r="8" spans="1:6" x14ac:dyDescent="0.35">
      <c r="A8" s="11">
        <v>44596</v>
      </c>
      <c r="B8" s="9">
        <v>893</v>
      </c>
      <c r="C8" s="9" t="s">
        <v>234</v>
      </c>
      <c r="D8" s="10">
        <v>350000</v>
      </c>
      <c r="E8" s="10">
        <v>350000</v>
      </c>
      <c r="F8" s="9" t="s">
        <v>45</v>
      </c>
    </row>
    <row r="10" spans="1:6" ht="18.5" x14ac:dyDescent="0.45">
      <c r="A10" s="12" t="s">
        <v>235</v>
      </c>
      <c r="B10" s="12"/>
      <c r="C10" s="12"/>
    </row>
    <row r="11" spans="1:6" ht="18.5" x14ac:dyDescent="0.45">
      <c r="A11" s="20" t="s">
        <v>1</v>
      </c>
      <c r="B11" s="20" t="s">
        <v>2</v>
      </c>
      <c r="C11" s="20" t="s">
        <v>3</v>
      </c>
      <c r="D11" s="20" t="s">
        <v>4</v>
      </c>
      <c r="E11" s="20" t="s">
        <v>5</v>
      </c>
      <c r="F11" s="20" t="s">
        <v>6</v>
      </c>
    </row>
    <row r="12" spans="1:6" x14ac:dyDescent="0.35">
      <c r="A12" s="21">
        <v>45725</v>
      </c>
      <c r="B12" s="22">
        <v>3461</v>
      </c>
      <c r="C12" s="22" t="s">
        <v>47</v>
      </c>
      <c r="D12" s="22">
        <v>5000</v>
      </c>
      <c r="E12" s="22">
        <v>5000</v>
      </c>
      <c r="F12" s="23">
        <v>445000</v>
      </c>
    </row>
    <row r="13" spans="1:6" x14ac:dyDescent="0.35">
      <c r="A13" s="22" t="s">
        <v>236</v>
      </c>
      <c r="B13" s="22">
        <v>3372</v>
      </c>
      <c r="C13" s="22" t="s">
        <v>47</v>
      </c>
      <c r="D13" s="22">
        <v>5000</v>
      </c>
      <c r="E13" s="22">
        <f t="shared" ref="E13:E22" si="0">E12+D13</f>
        <v>10000</v>
      </c>
      <c r="F13" s="23">
        <f t="shared" ref="F13:F22" si="1">F12-D13</f>
        <v>440000</v>
      </c>
    </row>
    <row r="14" spans="1:6" x14ac:dyDescent="0.35">
      <c r="A14" s="22" t="s">
        <v>237</v>
      </c>
      <c r="B14" s="22">
        <v>3861</v>
      </c>
      <c r="C14" s="22" t="s">
        <v>47</v>
      </c>
      <c r="D14" s="22">
        <v>5000</v>
      </c>
      <c r="E14" s="22">
        <f t="shared" si="0"/>
        <v>15000</v>
      </c>
      <c r="F14" s="23">
        <f t="shared" si="1"/>
        <v>435000</v>
      </c>
    </row>
    <row r="15" spans="1:6" x14ac:dyDescent="0.35">
      <c r="A15" s="21">
        <v>46143</v>
      </c>
      <c r="B15" s="22">
        <v>5225</v>
      </c>
      <c r="C15" s="22" t="s">
        <v>47</v>
      </c>
      <c r="D15" s="22">
        <v>5000</v>
      </c>
      <c r="E15" s="22">
        <f t="shared" si="0"/>
        <v>20000</v>
      </c>
      <c r="F15" s="23">
        <f t="shared" si="1"/>
        <v>430000</v>
      </c>
    </row>
    <row r="16" spans="1:6" x14ac:dyDescent="0.35">
      <c r="A16" s="21">
        <v>46144</v>
      </c>
      <c r="B16" s="22">
        <v>5435</v>
      </c>
      <c r="C16" s="22" t="s">
        <v>47</v>
      </c>
      <c r="D16" s="22">
        <v>5000</v>
      </c>
      <c r="E16" s="22">
        <f t="shared" si="0"/>
        <v>25000</v>
      </c>
      <c r="F16" s="23">
        <f t="shared" si="1"/>
        <v>425000</v>
      </c>
    </row>
    <row r="17" spans="1:6" x14ac:dyDescent="0.35">
      <c r="A17" s="21">
        <v>46145</v>
      </c>
      <c r="B17" s="22">
        <v>5649</v>
      </c>
      <c r="C17" s="22" t="s">
        <v>47</v>
      </c>
      <c r="D17" s="22">
        <v>5000</v>
      </c>
      <c r="E17" s="22">
        <f t="shared" si="0"/>
        <v>30000</v>
      </c>
      <c r="F17" s="23">
        <f t="shared" si="1"/>
        <v>420000</v>
      </c>
    </row>
    <row r="18" spans="1:6" x14ac:dyDescent="0.35">
      <c r="A18" s="21">
        <v>46146</v>
      </c>
      <c r="B18" s="22">
        <v>5833</v>
      </c>
      <c r="C18" s="22" t="s">
        <v>47</v>
      </c>
      <c r="D18" s="22">
        <v>5000</v>
      </c>
      <c r="E18" s="22">
        <f t="shared" si="0"/>
        <v>35000</v>
      </c>
      <c r="F18" s="23">
        <f t="shared" si="1"/>
        <v>415000</v>
      </c>
    </row>
    <row r="19" spans="1:6" x14ac:dyDescent="0.35">
      <c r="A19" s="21">
        <v>46147</v>
      </c>
      <c r="B19" s="22">
        <v>1376</v>
      </c>
      <c r="C19" s="22" t="s">
        <v>47</v>
      </c>
      <c r="D19" s="22">
        <v>5000</v>
      </c>
      <c r="E19" s="22">
        <f t="shared" si="0"/>
        <v>40000</v>
      </c>
      <c r="F19" s="23">
        <f t="shared" si="1"/>
        <v>410000</v>
      </c>
    </row>
    <row r="20" spans="1:6" x14ac:dyDescent="0.35">
      <c r="A20" s="22" t="s">
        <v>238</v>
      </c>
      <c r="B20" s="22">
        <v>1654</v>
      </c>
      <c r="C20" s="22" t="s">
        <v>47</v>
      </c>
      <c r="D20" s="22">
        <v>5000</v>
      </c>
      <c r="E20" s="22">
        <f t="shared" si="0"/>
        <v>45000</v>
      </c>
      <c r="F20" s="23">
        <f t="shared" si="1"/>
        <v>405000</v>
      </c>
    </row>
    <row r="21" spans="1:6" x14ac:dyDescent="0.35">
      <c r="A21" s="22" t="s">
        <v>239</v>
      </c>
      <c r="B21" s="22">
        <v>1844</v>
      </c>
      <c r="C21" s="22" t="s">
        <v>47</v>
      </c>
      <c r="D21" s="22">
        <v>5000</v>
      </c>
      <c r="E21" s="22">
        <f t="shared" si="0"/>
        <v>50000</v>
      </c>
      <c r="F21" s="23">
        <f t="shared" si="1"/>
        <v>400000</v>
      </c>
    </row>
    <row r="22" spans="1:6" x14ac:dyDescent="0.35">
      <c r="A22" s="22" t="s">
        <v>227</v>
      </c>
      <c r="B22" s="22">
        <v>1922</v>
      </c>
      <c r="C22" s="22" t="s">
        <v>47</v>
      </c>
      <c r="D22" s="22">
        <v>5000</v>
      </c>
      <c r="E22" s="22">
        <f t="shared" si="0"/>
        <v>55000</v>
      </c>
      <c r="F22" s="23">
        <f t="shared" si="1"/>
        <v>395000</v>
      </c>
    </row>
    <row r="23" spans="1:6" x14ac:dyDescent="0.35">
      <c r="F23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37" workbookViewId="0">
      <selection activeCell="H15" sqref="H15"/>
    </sheetView>
  </sheetViews>
  <sheetFormatPr defaultRowHeight="14.5" x14ac:dyDescent="0.35"/>
  <cols>
    <col min="2" max="2" width="12.1796875" customWidth="1"/>
    <col min="3" max="3" width="12.26953125" customWidth="1"/>
    <col min="4" max="4" width="11.54296875" customWidth="1"/>
    <col min="5" max="5" width="12.08984375" customWidth="1"/>
    <col min="6" max="6" width="12.26953125" customWidth="1"/>
  </cols>
  <sheetData>
    <row r="1" spans="1:6" ht="18.5" x14ac:dyDescent="0.45">
      <c r="A1" s="12" t="s">
        <v>554</v>
      </c>
      <c r="B1" s="12"/>
      <c r="C1" s="12"/>
      <c r="D1" s="12"/>
      <c r="E1" s="12"/>
      <c r="F1" s="12"/>
    </row>
    <row r="2" spans="1:6" ht="18.5" x14ac:dyDescent="0.45">
      <c r="A2" s="14" t="s">
        <v>555</v>
      </c>
      <c r="B2" s="14"/>
      <c r="C2" s="14"/>
      <c r="D2" s="14"/>
      <c r="E2" s="14"/>
      <c r="F2" s="14"/>
    </row>
    <row r="3" spans="1:6" ht="18.5" x14ac:dyDescent="0.45">
      <c r="A3" s="14" t="s">
        <v>556</v>
      </c>
      <c r="B3" s="14"/>
      <c r="C3" s="14"/>
      <c r="D3" s="14"/>
      <c r="E3" s="14"/>
      <c r="F3" s="14"/>
    </row>
    <row r="4" spans="1:6" ht="18.5" x14ac:dyDescent="0.45">
      <c r="A4" s="14" t="s">
        <v>553</v>
      </c>
      <c r="B4" s="14"/>
      <c r="C4" s="14"/>
      <c r="D4" s="14"/>
      <c r="E4" s="14"/>
      <c r="F4" s="14"/>
    </row>
    <row r="5" spans="1:6" ht="18.5" x14ac:dyDescent="0.45">
      <c r="A5" s="14" t="s">
        <v>557</v>
      </c>
      <c r="B5" s="14"/>
      <c r="C5" s="14"/>
      <c r="D5" s="14"/>
      <c r="E5" s="14"/>
      <c r="F5" s="14"/>
    </row>
    <row r="6" spans="1:6" ht="18.5" x14ac:dyDescent="0.45">
      <c r="A6" s="14" t="s">
        <v>558</v>
      </c>
      <c r="B6" s="14"/>
      <c r="C6" s="14"/>
      <c r="D6" s="14" t="s">
        <v>97</v>
      </c>
      <c r="E6" s="14"/>
      <c r="F6" s="14"/>
    </row>
    <row r="7" spans="1:6" ht="31" x14ac:dyDescent="0.35">
      <c r="A7" s="59" t="s">
        <v>153</v>
      </c>
      <c r="B7" s="59" t="s">
        <v>489</v>
      </c>
      <c r="C7" s="59" t="s">
        <v>435</v>
      </c>
      <c r="D7" s="59" t="s">
        <v>436</v>
      </c>
      <c r="E7" s="59" t="s">
        <v>437</v>
      </c>
      <c r="F7" s="59" t="s">
        <v>157</v>
      </c>
    </row>
    <row r="8" spans="1:6" x14ac:dyDescent="0.35">
      <c r="A8" s="60" t="s">
        <v>490</v>
      </c>
      <c r="B8" s="60" t="s">
        <v>491</v>
      </c>
      <c r="C8" s="60" t="s">
        <v>492</v>
      </c>
      <c r="D8" s="61">
        <v>10000</v>
      </c>
      <c r="E8" s="61">
        <v>10000</v>
      </c>
      <c r="F8" s="61">
        <v>590000</v>
      </c>
    </row>
    <row r="9" spans="1:6" x14ac:dyDescent="0.35">
      <c r="A9" s="60" t="s">
        <v>616</v>
      </c>
      <c r="B9" s="60">
        <v>2897</v>
      </c>
      <c r="C9" s="60" t="s">
        <v>441</v>
      </c>
      <c r="D9" s="61">
        <v>120000</v>
      </c>
      <c r="E9" s="61">
        <v>120000</v>
      </c>
      <c r="F9" s="61">
        <v>480000</v>
      </c>
    </row>
    <row r="10" spans="1:6" x14ac:dyDescent="0.35">
      <c r="A10" s="68">
        <v>45048</v>
      </c>
      <c r="B10" s="60">
        <v>2896</v>
      </c>
      <c r="C10" s="60" t="s">
        <v>445</v>
      </c>
      <c r="D10" s="61">
        <v>10000</v>
      </c>
      <c r="E10" s="61">
        <v>130000</v>
      </c>
      <c r="F10" s="61">
        <v>470000</v>
      </c>
    </row>
    <row r="11" spans="1:6" x14ac:dyDescent="0.35">
      <c r="A11" s="68">
        <v>45049</v>
      </c>
      <c r="B11" s="60">
        <v>2897</v>
      </c>
      <c r="C11" s="60" t="s">
        <v>445</v>
      </c>
      <c r="D11" s="61">
        <v>10000</v>
      </c>
      <c r="E11" s="61">
        <v>140000</v>
      </c>
      <c r="F11" s="61">
        <v>460000</v>
      </c>
    </row>
    <row r="12" spans="1:6" x14ac:dyDescent="0.35">
      <c r="A12" s="68">
        <v>45050</v>
      </c>
      <c r="B12" s="60">
        <v>1860</v>
      </c>
      <c r="C12" s="60" t="s">
        <v>445</v>
      </c>
      <c r="D12" s="61">
        <v>10000</v>
      </c>
      <c r="E12" s="61">
        <v>150000</v>
      </c>
      <c r="F12" s="61">
        <v>450000</v>
      </c>
    </row>
    <row r="13" spans="1:6" x14ac:dyDescent="0.35">
      <c r="A13" s="68">
        <v>45174</v>
      </c>
      <c r="B13" s="60">
        <v>748</v>
      </c>
      <c r="C13" s="60" t="s">
        <v>445</v>
      </c>
      <c r="D13" s="61">
        <v>10000</v>
      </c>
      <c r="E13" s="61">
        <v>160000</v>
      </c>
      <c r="F13" s="61">
        <v>440000</v>
      </c>
    </row>
    <row r="14" spans="1:6" x14ac:dyDescent="0.35">
      <c r="A14" s="60">
        <v>9</v>
      </c>
      <c r="B14" s="60" t="s">
        <v>493</v>
      </c>
      <c r="C14" s="60" t="s">
        <v>445</v>
      </c>
      <c r="D14" s="61">
        <v>10000</v>
      </c>
      <c r="E14" s="61">
        <v>170000</v>
      </c>
      <c r="F14" s="61">
        <v>430000</v>
      </c>
    </row>
    <row r="15" spans="1:6" x14ac:dyDescent="0.35">
      <c r="A15" s="60" t="s">
        <v>494</v>
      </c>
      <c r="B15" s="60">
        <v>2183</v>
      </c>
      <c r="C15" s="60" t="s">
        <v>445</v>
      </c>
      <c r="D15" s="61">
        <v>10000</v>
      </c>
      <c r="E15" s="61">
        <v>180000</v>
      </c>
      <c r="F15" s="61">
        <v>420000</v>
      </c>
    </row>
    <row r="16" spans="1:6" x14ac:dyDescent="0.35">
      <c r="A16" s="60" t="s">
        <v>495</v>
      </c>
      <c r="B16" s="60">
        <v>2252</v>
      </c>
      <c r="C16" s="60" t="s">
        <v>445</v>
      </c>
      <c r="D16" s="61">
        <v>10000</v>
      </c>
      <c r="E16" s="61">
        <v>190000</v>
      </c>
      <c r="F16" s="61">
        <v>410000</v>
      </c>
    </row>
    <row r="17" spans="1:6" x14ac:dyDescent="0.35">
      <c r="A17" s="60" t="s">
        <v>496</v>
      </c>
      <c r="B17" s="60">
        <v>3454</v>
      </c>
      <c r="C17" s="60" t="s">
        <v>445</v>
      </c>
      <c r="D17" s="61">
        <v>10000</v>
      </c>
      <c r="E17" s="61">
        <v>200000</v>
      </c>
      <c r="F17" s="61">
        <v>400000</v>
      </c>
    </row>
    <row r="18" spans="1:6" x14ac:dyDescent="0.35">
      <c r="A18" s="60" t="s">
        <v>497</v>
      </c>
      <c r="B18" s="60">
        <v>4004</v>
      </c>
      <c r="C18" s="60" t="s">
        <v>445</v>
      </c>
      <c r="D18" s="61">
        <v>10000</v>
      </c>
      <c r="E18" s="61">
        <v>210000</v>
      </c>
      <c r="F18" s="61">
        <v>390000</v>
      </c>
    </row>
    <row r="19" spans="1:6" x14ac:dyDescent="0.35">
      <c r="A19" s="62" t="s">
        <v>498</v>
      </c>
      <c r="B19" s="62">
        <v>4644</v>
      </c>
      <c r="C19" s="62" t="s">
        <v>445</v>
      </c>
      <c r="D19" s="63">
        <v>10000</v>
      </c>
      <c r="E19" s="63">
        <v>220000</v>
      </c>
      <c r="F19" s="63">
        <v>380000</v>
      </c>
    </row>
    <row r="20" spans="1:6" x14ac:dyDescent="0.35">
      <c r="A20" s="62" t="s">
        <v>499</v>
      </c>
      <c r="B20" s="62">
        <v>5266</v>
      </c>
      <c r="C20" s="62" t="s">
        <v>445</v>
      </c>
      <c r="D20" s="63">
        <v>10000</v>
      </c>
      <c r="E20" s="63">
        <v>230000</v>
      </c>
      <c r="F20" s="63">
        <v>370000</v>
      </c>
    </row>
    <row r="21" spans="1:6" x14ac:dyDescent="0.35">
      <c r="A21" s="62" t="s">
        <v>500</v>
      </c>
      <c r="B21" s="62">
        <v>5952</v>
      </c>
      <c r="C21" s="62" t="s">
        <v>445</v>
      </c>
      <c r="D21" s="63">
        <v>10000</v>
      </c>
      <c r="E21" s="63">
        <v>240000</v>
      </c>
      <c r="F21" s="63">
        <v>360000</v>
      </c>
    </row>
    <row r="22" spans="1:6" x14ac:dyDescent="0.35">
      <c r="A22" s="62" t="s">
        <v>501</v>
      </c>
      <c r="B22" s="62" t="s">
        <v>502</v>
      </c>
      <c r="C22" s="62" t="s">
        <v>445</v>
      </c>
      <c r="D22" s="63">
        <v>10000</v>
      </c>
      <c r="E22" s="63">
        <v>250000</v>
      </c>
      <c r="F22" s="63">
        <v>350000</v>
      </c>
    </row>
    <row r="23" spans="1:6" x14ac:dyDescent="0.35">
      <c r="A23" s="62" t="s">
        <v>503</v>
      </c>
      <c r="B23" s="62" t="s">
        <v>504</v>
      </c>
      <c r="C23" s="62" t="s">
        <v>445</v>
      </c>
      <c r="D23" s="63">
        <v>10000</v>
      </c>
      <c r="E23" s="63">
        <v>260000</v>
      </c>
      <c r="F23" s="63">
        <v>340000</v>
      </c>
    </row>
    <row r="24" spans="1:6" x14ac:dyDescent="0.35">
      <c r="A24" s="62" t="s">
        <v>505</v>
      </c>
      <c r="B24" s="62">
        <v>7659</v>
      </c>
      <c r="C24" s="62" t="s">
        <v>445</v>
      </c>
      <c r="D24" s="63">
        <v>10000</v>
      </c>
      <c r="E24" s="63">
        <v>270000</v>
      </c>
      <c r="F24" s="63">
        <v>330000</v>
      </c>
    </row>
    <row r="25" spans="1:6" x14ac:dyDescent="0.35">
      <c r="A25" s="62" t="s">
        <v>506</v>
      </c>
      <c r="B25" s="62">
        <v>8230</v>
      </c>
      <c r="C25" s="62" t="s">
        <v>445</v>
      </c>
      <c r="D25" s="63">
        <v>10000</v>
      </c>
      <c r="E25" s="63">
        <v>280000</v>
      </c>
      <c r="F25" s="63">
        <v>320000</v>
      </c>
    </row>
    <row r="26" spans="1:6" x14ac:dyDescent="0.35">
      <c r="A26" s="62" t="s">
        <v>507</v>
      </c>
      <c r="B26" s="62">
        <v>8812</v>
      </c>
      <c r="C26" s="62" t="s">
        <v>445</v>
      </c>
      <c r="D26" s="63">
        <v>10000</v>
      </c>
      <c r="E26" s="63">
        <v>290000</v>
      </c>
      <c r="F26" s="63">
        <v>310000</v>
      </c>
    </row>
    <row r="27" spans="1:6" x14ac:dyDescent="0.35">
      <c r="A27" s="62" t="s">
        <v>508</v>
      </c>
      <c r="B27" s="62" t="s">
        <v>509</v>
      </c>
      <c r="C27" s="62" t="s">
        <v>445</v>
      </c>
      <c r="D27" s="63">
        <v>10000</v>
      </c>
      <c r="E27" s="63">
        <v>300000</v>
      </c>
      <c r="F27" s="63">
        <v>300000</v>
      </c>
    </row>
    <row r="28" spans="1:6" x14ac:dyDescent="0.35">
      <c r="A28" s="62" t="s">
        <v>510</v>
      </c>
      <c r="B28" s="62">
        <v>10025</v>
      </c>
      <c r="C28" s="62" t="s">
        <v>445</v>
      </c>
      <c r="D28" s="63">
        <v>10000</v>
      </c>
      <c r="E28" s="63">
        <v>310000</v>
      </c>
      <c r="F28" s="63">
        <v>290000</v>
      </c>
    </row>
    <row r="29" spans="1:6" x14ac:dyDescent="0.35">
      <c r="A29" s="62" t="s">
        <v>511</v>
      </c>
      <c r="B29" s="62" t="s">
        <v>512</v>
      </c>
      <c r="C29" s="62" t="s">
        <v>445</v>
      </c>
      <c r="D29" s="63">
        <v>10000</v>
      </c>
      <c r="E29" s="63">
        <v>320000</v>
      </c>
      <c r="F29" s="63">
        <v>280000</v>
      </c>
    </row>
    <row r="30" spans="1:6" x14ac:dyDescent="0.35">
      <c r="A30" s="62" t="s">
        <v>513</v>
      </c>
      <c r="B30" s="62" t="s">
        <v>514</v>
      </c>
      <c r="C30" s="62" t="s">
        <v>445</v>
      </c>
      <c r="D30" s="63">
        <v>10000</v>
      </c>
      <c r="E30" s="63">
        <v>330000</v>
      </c>
      <c r="F30" s="63">
        <v>270000</v>
      </c>
    </row>
    <row r="31" spans="1:6" x14ac:dyDescent="0.35">
      <c r="A31" s="62" t="s">
        <v>515</v>
      </c>
      <c r="B31" s="62" t="s">
        <v>516</v>
      </c>
      <c r="C31" s="62" t="s">
        <v>445</v>
      </c>
      <c r="D31" s="63">
        <v>10000</v>
      </c>
      <c r="E31" s="63">
        <v>340000</v>
      </c>
      <c r="F31" s="63">
        <v>260000</v>
      </c>
    </row>
    <row r="32" spans="1:6" x14ac:dyDescent="0.35">
      <c r="A32" s="62" t="s">
        <v>517</v>
      </c>
      <c r="B32" s="62" t="s">
        <v>518</v>
      </c>
      <c r="C32" s="62" t="s">
        <v>445</v>
      </c>
      <c r="D32" s="63">
        <v>10000</v>
      </c>
      <c r="E32" s="63">
        <v>350000</v>
      </c>
      <c r="F32" s="63">
        <v>250000</v>
      </c>
    </row>
    <row r="33" spans="1:6" x14ac:dyDescent="0.35">
      <c r="A33" s="62" t="s">
        <v>519</v>
      </c>
      <c r="B33" s="62" t="s">
        <v>520</v>
      </c>
      <c r="C33" s="62" t="s">
        <v>445</v>
      </c>
      <c r="D33" s="63">
        <v>10000</v>
      </c>
      <c r="E33" s="63">
        <v>360000</v>
      </c>
      <c r="F33" s="63">
        <v>240000</v>
      </c>
    </row>
    <row r="34" spans="1:6" x14ac:dyDescent="0.35">
      <c r="A34" s="62" t="s">
        <v>521</v>
      </c>
      <c r="B34" s="62">
        <v>9185</v>
      </c>
      <c r="C34" s="62" t="s">
        <v>445</v>
      </c>
      <c r="D34" s="63">
        <v>10000</v>
      </c>
      <c r="E34" s="63">
        <v>370000</v>
      </c>
      <c r="F34" s="63">
        <v>230000</v>
      </c>
    </row>
    <row r="35" spans="1:6" x14ac:dyDescent="0.35">
      <c r="A35" s="62" t="s">
        <v>522</v>
      </c>
      <c r="B35" s="62" t="s">
        <v>523</v>
      </c>
      <c r="C35" s="62" t="s">
        <v>445</v>
      </c>
      <c r="D35" s="63">
        <v>10000</v>
      </c>
      <c r="E35" s="63">
        <v>380000</v>
      </c>
      <c r="F35" s="63">
        <v>220000</v>
      </c>
    </row>
    <row r="36" spans="1:6" x14ac:dyDescent="0.35">
      <c r="A36" s="62" t="s">
        <v>524</v>
      </c>
      <c r="B36" s="62">
        <v>10039</v>
      </c>
      <c r="C36" s="62" t="s">
        <v>445</v>
      </c>
      <c r="D36" s="63">
        <v>10000</v>
      </c>
      <c r="E36" s="63">
        <v>390000</v>
      </c>
      <c r="F36" s="63">
        <v>210000</v>
      </c>
    </row>
    <row r="37" spans="1:6" x14ac:dyDescent="0.35">
      <c r="A37" s="62" t="s">
        <v>525</v>
      </c>
      <c r="B37" s="62">
        <v>10309</v>
      </c>
      <c r="C37" s="62" t="s">
        <v>445</v>
      </c>
      <c r="D37" s="63">
        <v>20000</v>
      </c>
      <c r="E37" s="63">
        <v>400000</v>
      </c>
      <c r="F37" s="63">
        <v>200000</v>
      </c>
    </row>
    <row r="38" spans="1:6" x14ac:dyDescent="0.35">
      <c r="A38" s="62" t="s">
        <v>526</v>
      </c>
      <c r="B38" s="62" t="s">
        <v>527</v>
      </c>
      <c r="C38" s="62" t="s">
        <v>445</v>
      </c>
      <c r="D38" s="63">
        <v>20000</v>
      </c>
      <c r="E38" s="63">
        <v>410000</v>
      </c>
      <c r="F38" s="63">
        <v>190000</v>
      </c>
    </row>
    <row r="39" spans="1:6" x14ac:dyDescent="0.35">
      <c r="A39" s="62" t="s">
        <v>528</v>
      </c>
      <c r="B39" s="62" t="s">
        <v>529</v>
      </c>
      <c r="C39" s="62" t="s">
        <v>445</v>
      </c>
      <c r="D39" s="63">
        <v>10000</v>
      </c>
      <c r="E39" s="63">
        <v>420000</v>
      </c>
      <c r="F39" s="63">
        <v>180000</v>
      </c>
    </row>
    <row r="40" spans="1:6" x14ac:dyDescent="0.35">
      <c r="A40" s="62" t="s">
        <v>530</v>
      </c>
      <c r="B40" s="62" t="s">
        <v>531</v>
      </c>
      <c r="C40" s="62" t="s">
        <v>445</v>
      </c>
      <c r="D40" s="63">
        <v>10000</v>
      </c>
      <c r="E40" s="63">
        <v>430000</v>
      </c>
      <c r="F40" s="63">
        <v>170000</v>
      </c>
    </row>
    <row r="41" spans="1:6" x14ac:dyDescent="0.35">
      <c r="A41" s="62" t="s">
        <v>532</v>
      </c>
      <c r="B41" s="62" t="s">
        <v>533</v>
      </c>
      <c r="C41" s="62" t="s">
        <v>445</v>
      </c>
      <c r="D41" s="63">
        <v>10000</v>
      </c>
      <c r="E41" s="63">
        <v>440000</v>
      </c>
      <c r="F41" s="63">
        <v>160000</v>
      </c>
    </row>
    <row r="42" spans="1:6" x14ac:dyDescent="0.35">
      <c r="A42" s="62" t="s">
        <v>534</v>
      </c>
      <c r="B42" s="62">
        <v>13870</v>
      </c>
      <c r="C42" s="62" t="s">
        <v>445</v>
      </c>
      <c r="D42" s="63">
        <v>10000</v>
      </c>
      <c r="E42" s="63">
        <v>450000</v>
      </c>
      <c r="F42" s="63">
        <v>150000</v>
      </c>
    </row>
    <row r="43" spans="1:6" x14ac:dyDescent="0.35">
      <c r="A43" s="62" t="s">
        <v>535</v>
      </c>
      <c r="B43" s="62">
        <v>13489</v>
      </c>
      <c r="C43" s="62" t="s">
        <v>445</v>
      </c>
      <c r="D43" s="63">
        <v>10000</v>
      </c>
      <c r="E43" s="63">
        <v>460000</v>
      </c>
      <c r="F43" s="63">
        <v>140000</v>
      </c>
    </row>
    <row r="44" spans="1:6" x14ac:dyDescent="0.35">
      <c r="A44" s="62" t="s">
        <v>536</v>
      </c>
      <c r="B44" s="62" t="s">
        <v>537</v>
      </c>
      <c r="C44" s="62" t="s">
        <v>445</v>
      </c>
      <c r="D44" s="63">
        <v>10000</v>
      </c>
      <c r="E44" s="63">
        <v>470000</v>
      </c>
      <c r="F44" s="63">
        <v>130000</v>
      </c>
    </row>
    <row r="45" spans="1:6" x14ac:dyDescent="0.35">
      <c r="A45" s="62" t="s">
        <v>538</v>
      </c>
      <c r="B45" s="62" t="s">
        <v>539</v>
      </c>
      <c r="C45" s="62" t="s">
        <v>445</v>
      </c>
      <c r="D45" s="63">
        <v>10000</v>
      </c>
      <c r="E45" s="63">
        <v>480000</v>
      </c>
      <c r="F45" s="63">
        <v>120000</v>
      </c>
    </row>
    <row r="46" spans="1:6" x14ac:dyDescent="0.35">
      <c r="A46" s="62" t="s">
        <v>540</v>
      </c>
      <c r="B46" s="62">
        <v>12323</v>
      </c>
      <c r="C46" s="62" t="s">
        <v>445</v>
      </c>
      <c r="D46" s="63">
        <v>10000</v>
      </c>
      <c r="E46" s="63">
        <v>490000</v>
      </c>
      <c r="F46" s="63">
        <v>110000</v>
      </c>
    </row>
    <row r="47" spans="1:6" x14ac:dyDescent="0.35">
      <c r="A47" s="62" t="s">
        <v>541</v>
      </c>
      <c r="B47" s="62">
        <v>12762</v>
      </c>
      <c r="C47" s="62" t="s">
        <v>445</v>
      </c>
      <c r="D47" s="63">
        <v>10000</v>
      </c>
      <c r="E47" s="63">
        <v>500000</v>
      </c>
      <c r="F47" s="63">
        <v>100000</v>
      </c>
    </row>
    <row r="48" spans="1:6" x14ac:dyDescent="0.35">
      <c r="A48" s="62" t="s">
        <v>542</v>
      </c>
      <c r="B48" s="62">
        <v>13112</v>
      </c>
      <c r="C48" s="62" t="s">
        <v>445</v>
      </c>
      <c r="D48" s="63">
        <v>10000</v>
      </c>
      <c r="E48" s="63">
        <v>510000</v>
      </c>
      <c r="F48" s="63">
        <v>90000</v>
      </c>
    </row>
    <row r="49" spans="1:6" x14ac:dyDescent="0.35">
      <c r="A49" s="62" t="s">
        <v>543</v>
      </c>
      <c r="B49" s="62" t="s">
        <v>544</v>
      </c>
      <c r="C49" s="62" t="s">
        <v>445</v>
      </c>
      <c r="D49" s="63">
        <v>10000</v>
      </c>
      <c r="E49" s="63">
        <v>520000</v>
      </c>
      <c r="F49" s="63">
        <v>80000</v>
      </c>
    </row>
    <row r="50" spans="1:6" x14ac:dyDescent="0.35">
      <c r="A50" s="62" t="s">
        <v>545</v>
      </c>
      <c r="B50" s="62" t="s">
        <v>546</v>
      </c>
      <c r="C50" s="62" t="s">
        <v>445</v>
      </c>
      <c r="D50" s="63">
        <v>10000</v>
      </c>
      <c r="E50" s="63">
        <v>530000</v>
      </c>
      <c r="F50" s="63">
        <v>70000</v>
      </c>
    </row>
    <row r="51" spans="1:6" x14ac:dyDescent="0.35">
      <c r="A51" s="62" t="s">
        <v>547</v>
      </c>
      <c r="B51" s="62" t="s">
        <v>548</v>
      </c>
      <c r="C51" s="62" t="s">
        <v>445</v>
      </c>
      <c r="D51" s="63">
        <v>10000</v>
      </c>
      <c r="E51" s="63">
        <v>540000</v>
      </c>
      <c r="F51" s="63">
        <v>60000</v>
      </c>
    </row>
    <row r="52" spans="1:6" x14ac:dyDescent="0.35">
      <c r="A52" s="62" t="s">
        <v>549</v>
      </c>
      <c r="B52" s="62" t="s">
        <v>550</v>
      </c>
      <c r="C52" s="62" t="s">
        <v>445</v>
      </c>
      <c r="D52" s="63">
        <v>10000</v>
      </c>
      <c r="E52" s="63">
        <v>550000</v>
      </c>
      <c r="F52" s="63">
        <v>50000</v>
      </c>
    </row>
    <row r="53" spans="1:6" x14ac:dyDescent="0.35">
      <c r="A53" s="62" t="s">
        <v>551</v>
      </c>
      <c r="B53" s="62" t="s">
        <v>552</v>
      </c>
      <c r="C53" s="62" t="s">
        <v>445</v>
      </c>
      <c r="D53" s="63">
        <v>10000</v>
      </c>
      <c r="E53" s="63">
        <v>560000</v>
      </c>
      <c r="F53" s="63">
        <v>40000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sqref="A1:F7"/>
    </sheetView>
  </sheetViews>
  <sheetFormatPr defaultRowHeight="14.5" x14ac:dyDescent="0.35"/>
  <cols>
    <col min="1" max="1" width="10.453125" bestFit="1" customWidth="1"/>
    <col min="3" max="3" width="12.7265625" customWidth="1"/>
    <col min="4" max="4" width="16.54296875" customWidth="1"/>
    <col min="5" max="5" width="14.54296875" customWidth="1"/>
    <col min="6" max="6" width="14.26953125" customWidth="1"/>
  </cols>
  <sheetData>
    <row r="1" spans="1:6" ht="18.5" x14ac:dyDescent="0.45">
      <c r="A1" s="12" t="s">
        <v>240</v>
      </c>
      <c r="B1" s="12"/>
      <c r="C1" s="12"/>
      <c r="D1" s="12"/>
      <c r="E1" s="12"/>
      <c r="F1" s="12"/>
    </row>
    <row r="2" spans="1:6" ht="18.5" x14ac:dyDescent="0.45">
      <c r="A2" s="14" t="s">
        <v>241</v>
      </c>
      <c r="B2" s="14"/>
      <c r="C2" s="14"/>
      <c r="D2" s="14"/>
      <c r="E2" s="14"/>
      <c r="F2" s="14"/>
    </row>
    <row r="3" spans="1:6" ht="18.5" x14ac:dyDescent="0.45">
      <c r="A3" s="14" t="s">
        <v>242</v>
      </c>
      <c r="B3" s="14"/>
      <c r="C3" s="14"/>
      <c r="D3" s="14"/>
      <c r="E3" s="14"/>
      <c r="F3" s="14"/>
    </row>
    <row r="4" spans="1:6" ht="18.5" x14ac:dyDescent="0.45">
      <c r="A4" s="14" t="s">
        <v>245</v>
      </c>
      <c r="B4" s="14"/>
      <c r="C4" s="14"/>
      <c r="D4" s="14"/>
      <c r="E4" s="14"/>
      <c r="F4" s="14"/>
    </row>
    <row r="5" spans="1:6" ht="18.5" x14ac:dyDescent="0.45">
      <c r="A5" s="14" t="s">
        <v>243</v>
      </c>
      <c r="B5" s="14"/>
      <c r="C5" s="14"/>
      <c r="D5" s="14"/>
      <c r="E5" s="14"/>
      <c r="F5" s="14"/>
    </row>
    <row r="6" spans="1:6" ht="18.5" x14ac:dyDescent="0.45">
      <c r="A6" s="14" t="s">
        <v>244</v>
      </c>
      <c r="B6" s="14"/>
      <c r="C6" s="14"/>
      <c r="D6" s="14" t="s">
        <v>97</v>
      </c>
      <c r="E6" s="14"/>
      <c r="F6" s="14"/>
    </row>
    <row r="7" spans="1:6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</row>
    <row r="8" spans="1:6" x14ac:dyDescent="0.35">
      <c r="A8" s="22" t="s">
        <v>246</v>
      </c>
      <c r="B8" s="22">
        <v>3776</v>
      </c>
      <c r="C8" s="22" t="s">
        <v>248</v>
      </c>
      <c r="D8" s="23">
        <v>100000</v>
      </c>
      <c r="E8" s="23">
        <v>100000</v>
      </c>
      <c r="F8" s="23">
        <v>500000</v>
      </c>
    </row>
    <row r="9" spans="1:6" x14ac:dyDescent="0.35">
      <c r="A9" s="21">
        <v>45058</v>
      </c>
      <c r="B9" s="22">
        <v>5302</v>
      </c>
      <c r="C9" s="22" t="s">
        <v>212</v>
      </c>
      <c r="D9" s="22">
        <v>14000</v>
      </c>
      <c r="E9" s="23">
        <f t="shared" ref="E9:E41" si="0">E8+D9</f>
        <v>114000</v>
      </c>
      <c r="F9" s="23">
        <f t="shared" ref="F9:F41" si="1">F8-D9</f>
        <v>486000</v>
      </c>
    </row>
    <row r="10" spans="1:6" x14ac:dyDescent="0.35">
      <c r="A10" s="21">
        <v>45211</v>
      </c>
      <c r="B10" s="22">
        <v>5441</v>
      </c>
      <c r="C10" s="22" t="s">
        <v>212</v>
      </c>
      <c r="D10" s="22">
        <v>7000</v>
      </c>
      <c r="E10" s="23">
        <f t="shared" si="0"/>
        <v>121000</v>
      </c>
      <c r="F10" s="23">
        <f t="shared" si="1"/>
        <v>479000</v>
      </c>
    </row>
    <row r="11" spans="1:6" x14ac:dyDescent="0.35">
      <c r="A11" s="22" t="s">
        <v>247</v>
      </c>
      <c r="B11" s="22">
        <v>6394</v>
      </c>
      <c r="C11" s="22" t="s">
        <v>212</v>
      </c>
      <c r="D11" s="22">
        <v>7000</v>
      </c>
      <c r="E11" s="23">
        <f t="shared" si="0"/>
        <v>128000</v>
      </c>
      <c r="F11" s="23">
        <f t="shared" si="1"/>
        <v>472000</v>
      </c>
    </row>
    <row r="12" spans="1:6" x14ac:dyDescent="0.35">
      <c r="A12" s="21">
        <v>45568</v>
      </c>
      <c r="B12" s="22">
        <v>7249</v>
      </c>
      <c r="C12" s="22" t="s">
        <v>212</v>
      </c>
      <c r="D12" s="22">
        <v>7000</v>
      </c>
      <c r="E12" s="23">
        <f t="shared" si="0"/>
        <v>135000</v>
      </c>
      <c r="F12" s="23">
        <f t="shared" si="1"/>
        <v>465000</v>
      </c>
    </row>
    <row r="13" spans="1:6" x14ac:dyDescent="0.35">
      <c r="A13" s="21">
        <v>45295</v>
      </c>
      <c r="B13" s="22">
        <v>7649</v>
      </c>
      <c r="C13" s="22" t="s">
        <v>212</v>
      </c>
      <c r="D13" s="22">
        <v>7000</v>
      </c>
      <c r="E13" s="23">
        <f t="shared" si="0"/>
        <v>142000</v>
      </c>
      <c r="F13" s="23">
        <f t="shared" si="1"/>
        <v>458000</v>
      </c>
    </row>
    <row r="14" spans="1:6" x14ac:dyDescent="0.35">
      <c r="A14" s="22" t="s">
        <v>197</v>
      </c>
      <c r="B14" s="22">
        <v>7864</v>
      </c>
      <c r="C14" s="22" t="s">
        <v>212</v>
      </c>
      <c r="D14" s="22">
        <v>7000</v>
      </c>
      <c r="E14" s="23">
        <f t="shared" si="0"/>
        <v>149000</v>
      </c>
      <c r="F14" s="23">
        <f t="shared" si="1"/>
        <v>451000</v>
      </c>
    </row>
    <row r="15" spans="1:6" x14ac:dyDescent="0.35">
      <c r="A15" s="21">
        <v>45417</v>
      </c>
      <c r="B15" s="22">
        <v>8266</v>
      </c>
      <c r="C15" s="22" t="s">
        <v>212</v>
      </c>
      <c r="D15" s="22">
        <v>7000</v>
      </c>
      <c r="E15" s="23">
        <f t="shared" si="0"/>
        <v>156000</v>
      </c>
      <c r="F15" s="23">
        <f t="shared" si="1"/>
        <v>444000</v>
      </c>
    </row>
    <row r="16" spans="1:6" x14ac:dyDescent="0.35">
      <c r="A16" s="21">
        <v>45602</v>
      </c>
      <c r="B16" s="22">
        <v>9019</v>
      </c>
      <c r="C16" s="22" t="s">
        <v>212</v>
      </c>
      <c r="D16" s="22">
        <v>7000</v>
      </c>
      <c r="E16" s="23">
        <f t="shared" si="0"/>
        <v>163000</v>
      </c>
      <c r="F16" s="23">
        <f t="shared" si="1"/>
        <v>437000</v>
      </c>
    </row>
    <row r="17" spans="1:6" x14ac:dyDescent="0.35">
      <c r="A17" s="22" t="s">
        <v>81</v>
      </c>
      <c r="B17" s="22">
        <v>9618</v>
      </c>
      <c r="C17" s="22" t="s">
        <v>212</v>
      </c>
      <c r="D17" s="22">
        <v>7000</v>
      </c>
      <c r="E17" s="23">
        <f t="shared" si="0"/>
        <v>170000</v>
      </c>
      <c r="F17" s="23">
        <f t="shared" si="1"/>
        <v>430000</v>
      </c>
    </row>
    <row r="18" spans="1:6" x14ac:dyDescent="0.35">
      <c r="A18" s="21">
        <v>45604</v>
      </c>
      <c r="B18" s="22">
        <v>11086</v>
      </c>
      <c r="C18" s="22" t="s">
        <v>212</v>
      </c>
      <c r="D18" s="22">
        <v>7000</v>
      </c>
      <c r="E18" s="23">
        <f t="shared" si="0"/>
        <v>177000</v>
      </c>
      <c r="F18" s="23">
        <f t="shared" si="1"/>
        <v>423000</v>
      </c>
    </row>
    <row r="19" spans="1:6" x14ac:dyDescent="0.35">
      <c r="A19" s="21">
        <v>45453</v>
      </c>
      <c r="B19" s="22">
        <v>11423</v>
      </c>
      <c r="C19" s="22" t="s">
        <v>212</v>
      </c>
      <c r="D19" s="22">
        <v>14000</v>
      </c>
      <c r="E19" s="23">
        <f t="shared" si="0"/>
        <v>191000</v>
      </c>
      <c r="F19" s="23">
        <f t="shared" si="1"/>
        <v>409000</v>
      </c>
    </row>
    <row r="20" spans="1:6" x14ac:dyDescent="0.35">
      <c r="A20" s="21">
        <v>45576</v>
      </c>
      <c r="B20" s="22">
        <v>11972</v>
      </c>
      <c r="C20" s="22" t="s">
        <v>212</v>
      </c>
      <c r="D20" s="22">
        <v>7000</v>
      </c>
      <c r="E20" s="23">
        <f t="shared" si="0"/>
        <v>198000</v>
      </c>
      <c r="F20" s="23">
        <f t="shared" si="1"/>
        <v>402000</v>
      </c>
    </row>
    <row r="21" spans="1:6" x14ac:dyDescent="0.35">
      <c r="A21" s="21">
        <v>45455</v>
      </c>
      <c r="B21" s="22">
        <v>12204</v>
      </c>
      <c r="C21" s="22" t="s">
        <v>212</v>
      </c>
      <c r="D21" s="22">
        <v>7000</v>
      </c>
      <c r="E21" s="23">
        <f t="shared" si="0"/>
        <v>205000</v>
      </c>
      <c r="F21" s="23">
        <f t="shared" si="1"/>
        <v>395000</v>
      </c>
    </row>
    <row r="22" spans="1:6" x14ac:dyDescent="0.35">
      <c r="A22" s="22" t="s">
        <v>249</v>
      </c>
      <c r="B22" s="22">
        <v>9051</v>
      </c>
      <c r="C22" s="22" t="s">
        <v>212</v>
      </c>
      <c r="D22" s="22">
        <v>7000</v>
      </c>
      <c r="E22" s="23">
        <f t="shared" si="0"/>
        <v>212000</v>
      </c>
      <c r="F22" s="23">
        <f t="shared" si="1"/>
        <v>388000</v>
      </c>
    </row>
    <row r="23" spans="1:6" x14ac:dyDescent="0.35">
      <c r="A23" s="21">
        <v>45902</v>
      </c>
      <c r="B23" s="22">
        <v>9291</v>
      </c>
      <c r="C23" s="22" t="s">
        <v>212</v>
      </c>
      <c r="D23" s="22">
        <v>7000</v>
      </c>
      <c r="E23" s="23">
        <f t="shared" si="0"/>
        <v>219000</v>
      </c>
      <c r="F23" s="23">
        <f t="shared" si="1"/>
        <v>381000</v>
      </c>
    </row>
    <row r="24" spans="1:6" x14ac:dyDescent="0.35">
      <c r="A24" s="21">
        <v>45691</v>
      </c>
      <c r="B24" s="22">
        <v>9591</v>
      </c>
      <c r="C24" s="22" t="s">
        <v>212</v>
      </c>
      <c r="D24" s="22">
        <v>7000</v>
      </c>
      <c r="E24" s="23">
        <f t="shared" si="0"/>
        <v>226000</v>
      </c>
      <c r="F24" s="23">
        <f t="shared" si="1"/>
        <v>374000</v>
      </c>
    </row>
    <row r="25" spans="1:6" x14ac:dyDescent="0.35">
      <c r="A25" s="22" t="s">
        <v>147</v>
      </c>
      <c r="B25" s="22">
        <v>10160</v>
      </c>
      <c r="C25" s="22" t="s">
        <v>212</v>
      </c>
      <c r="D25" s="22">
        <v>7000</v>
      </c>
      <c r="E25" s="23">
        <f t="shared" si="0"/>
        <v>233000</v>
      </c>
      <c r="F25" s="23">
        <f t="shared" si="1"/>
        <v>367000</v>
      </c>
    </row>
    <row r="26" spans="1:6" x14ac:dyDescent="0.35">
      <c r="A26" s="21">
        <v>45966</v>
      </c>
      <c r="B26" s="22">
        <v>10932</v>
      </c>
      <c r="C26" s="22" t="s">
        <v>212</v>
      </c>
      <c r="D26" s="22">
        <v>7000</v>
      </c>
      <c r="E26" s="23">
        <f t="shared" si="0"/>
        <v>240000</v>
      </c>
      <c r="F26" s="23">
        <f t="shared" si="1"/>
        <v>360000</v>
      </c>
    </row>
    <row r="27" spans="1:6" x14ac:dyDescent="0.35">
      <c r="A27" s="21">
        <v>45936</v>
      </c>
      <c r="B27" s="22">
        <v>10498</v>
      </c>
      <c r="C27" s="22" t="s">
        <v>212</v>
      </c>
      <c r="D27" s="22">
        <v>7000</v>
      </c>
      <c r="E27" s="23">
        <f t="shared" si="0"/>
        <v>247000</v>
      </c>
      <c r="F27" s="23">
        <f t="shared" si="1"/>
        <v>353000</v>
      </c>
    </row>
    <row r="28" spans="1:6" x14ac:dyDescent="0.35">
      <c r="A28" s="21">
        <v>45784</v>
      </c>
      <c r="B28" s="22">
        <v>12064</v>
      </c>
      <c r="C28" s="22" t="s">
        <v>212</v>
      </c>
      <c r="D28" s="22">
        <v>7000</v>
      </c>
      <c r="E28" s="23">
        <f t="shared" si="0"/>
        <v>254000</v>
      </c>
      <c r="F28" s="23">
        <f t="shared" si="1"/>
        <v>346000</v>
      </c>
    </row>
    <row r="29" spans="1:6" x14ac:dyDescent="0.35">
      <c r="A29" s="22" t="s">
        <v>250</v>
      </c>
      <c r="B29" s="22">
        <v>12925</v>
      </c>
      <c r="C29" s="22" t="s">
        <v>212</v>
      </c>
      <c r="D29" s="22">
        <v>7000</v>
      </c>
      <c r="E29" s="23">
        <f t="shared" si="0"/>
        <v>261000</v>
      </c>
      <c r="F29" s="23">
        <f t="shared" si="1"/>
        <v>339000</v>
      </c>
    </row>
    <row r="30" spans="1:6" x14ac:dyDescent="0.35">
      <c r="A30" s="22" t="s">
        <v>89</v>
      </c>
      <c r="B30" s="22">
        <v>12751</v>
      </c>
      <c r="C30" s="22" t="s">
        <v>212</v>
      </c>
      <c r="D30" s="22">
        <v>7000</v>
      </c>
      <c r="E30" s="23">
        <f t="shared" si="0"/>
        <v>268000</v>
      </c>
      <c r="F30" s="23">
        <f t="shared" si="1"/>
        <v>332000</v>
      </c>
    </row>
    <row r="31" spans="1:6" x14ac:dyDescent="0.35">
      <c r="A31" s="21">
        <v>46001</v>
      </c>
      <c r="B31" s="22">
        <v>13781</v>
      </c>
      <c r="C31" s="22" t="s">
        <v>212</v>
      </c>
      <c r="D31" s="22">
        <v>7000</v>
      </c>
      <c r="E31" s="23">
        <f t="shared" si="0"/>
        <v>275000</v>
      </c>
      <c r="F31" s="23">
        <f t="shared" si="1"/>
        <v>325000</v>
      </c>
    </row>
    <row r="32" spans="1:6" x14ac:dyDescent="0.35">
      <c r="A32" s="22" t="s">
        <v>150</v>
      </c>
      <c r="B32" s="22">
        <v>13083</v>
      </c>
      <c r="C32" s="22" t="s">
        <v>212</v>
      </c>
      <c r="D32" s="22">
        <v>7000</v>
      </c>
      <c r="E32" s="23">
        <f t="shared" si="0"/>
        <v>282000</v>
      </c>
      <c r="F32" s="23">
        <f t="shared" si="1"/>
        <v>318000</v>
      </c>
    </row>
    <row r="33" spans="1:6" x14ac:dyDescent="0.35">
      <c r="A33" s="22" t="s">
        <v>151</v>
      </c>
      <c r="B33" s="22">
        <v>12604</v>
      </c>
      <c r="C33" s="22" t="s">
        <v>212</v>
      </c>
      <c r="D33" s="22">
        <v>7000</v>
      </c>
      <c r="E33" s="23">
        <f t="shared" si="0"/>
        <v>289000</v>
      </c>
      <c r="F33" s="23">
        <f t="shared" si="1"/>
        <v>311000</v>
      </c>
    </row>
    <row r="34" spans="1:6" x14ac:dyDescent="0.35">
      <c r="A34" s="21">
        <v>46357</v>
      </c>
      <c r="B34" s="22">
        <v>12184</v>
      </c>
      <c r="C34" s="22" t="s">
        <v>212</v>
      </c>
      <c r="D34" s="22">
        <v>7000</v>
      </c>
      <c r="E34" s="23">
        <f t="shared" si="0"/>
        <v>296000</v>
      </c>
      <c r="F34" s="23">
        <f t="shared" si="1"/>
        <v>304000</v>
      </c>
    </row>
    <row r="35" spans="1:6" x14ac:dyDescent="0.35">
      <c r="A35" s="22" t="s">
        <v>90</v>
      </c>
      <c r="B35" s="22">
        <v>12484</v>
      </c>
      <c r="C35" s="22" t="s">
        <v>212</v>
      </c>
      <c r="D35" s="22">
        <v>7000</v>
      </c>
      <c r="E35" s="23">
        <f t="shared" si="0"/>
        <v>303000</v>
      </c>
      <c r="F35" s="23">
        <f t="shared" si="1"/>
        <v>297000</v>
      </c>
    </row>
    <row r="36" spans="1:6" x14ac:dyDescent="0.35">
      <c r="A36" s="22" t="s">
        <v>251</v>
      </c>
      <c r="B36" s="22">
        <v>13923</v>
      </c>
      <c r="C36" s="22" t="s">
        <v>212</v>
      </c>
      <c r="D36" s="22">
        <v>7000</v>
      </c>
      <c r="E36" s="23">
        <f t="shared" si="0"/>
        <v>310000</v>
      </c>
      <c r="F36" s="23">
        <f t="shared" si="1"/>
        <v>290000</v>
      </c>
    </row>
    <row r="37" spans="1:6" x14ac:dyDescent="0.35">
      <c r="A37" s="21">
        <v>46146</v>
      </c>
      <c r="B37" s="22">
        <v>13124</v>
      </c>
      <c r="C37" s="22" t="s">
        <v>212</v>
      </c>
      <c r="D37" s="22">
        <v>7000</v>
      </c>
      <c r="E37" s="23">
        <f t="shared" si="0"/>
        <v>317000</v>
      </c>
      <c r="F37" s="23">
        <f t="shared" si="1"/>
        <v>283000</v>
      </c>
    </row>
    <row r="38" spans="1:6" x14ac:dyDescent="0.35">
      <c r="A38" s="21">
        <v>46300</v>
      </c>
      <c r="B38" s="22">
        <v>13314</v>
      </c>
      <c r="C38" s="22" t="s">
        <v>212</v>
      </c>
      <c r="D38" s="22">
        <v>7000</v>
      </c>
      <c r="E38" s="23">
        <f t="shared" si="0"/>
        <v>324000</v>
      </c>
      <c r="F38" s="23">
        <f t="shared" si="1"/>
        <v>276000</v>
      </c>
    </row>
    <row r="39" spans="1:6" x14ac:dyDescent="0.35">
      <c r="A39" s="22" t="s">
        <v>252</v>
      </c>
      <c r="B39" s="22">
        <v>13634</v>
      </c>
      <c r="C39" s="22" t="s">
        <v>212</v>
      </c>
      <c r="D39" s="22">
        <v>7000</v>
      </c>
      <c r="E39" s="23">
        <f t="shared" si="0"/>
        <v>331000</v>
      </c>
      <c r="F39" s="23">
        <f t="shared" si="1"/>
        <v>269000</v>
      </c>
    </row>
    <row r="40" spans="1:6" x14ac:dyDescent="0.35">
      <c r="A40" s="21">
        <v>46363</v>
      </c>
      <c r="B40" s="22">
        <v>1468</v>
      </c>
      <c r="C40" s="22" t="s">
        <v>212</v>
      </c>
      <c r="D40" s="22">
        <v>7000</v>
      </c>
      <c r="E40" s="23">
        <f t="shared" si="0"/>
        <v>338000</v>
      </c>
      <c r="F40" s="23">
        <f t="shared" si="1"/>
        <v>262000</v>
      </c>
    </row>
    <row r="41" spans="1:6" x14ac:dyDescent="0.35">
      <c r="A41" s="22" t="s">
        <v>227</v>
      </c>
      <c r="B41" s="22">
        <v>1769</v>
      </c>
      <c r="C41" s="22" t="s">
        <v>212</v>
      </c>
      <c r="D41" s="22">
        <v>7000</v>
      </c>
      <c r="E41" s="23">
        <f t="shared" si="0"/>
        <v>345000</v>
      </c>
      <c r="F41" s="23">
        <f t="shared" si="1"/>
        <v>255000</v>
      </c>
    </row>
    <row r="42" spans="1:6" x14ac:dyDescent="0.35">
      <c r="F42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5" workbookViewId="0">
      <selection activeCell="F42" sqref="F42"/>
    </sheetView>
  </sheetViews>
  <sheetFormatPr defaultRowHeight="14.5" x14ac:dyDescent="0.35"/>
  <cols>
    <col min="1" max="1" width="9.453125" bestFit="1" customWidth="1"/>
    <col min="3" max="3" width="13.54296875" customWidth="1"/>
    <col min="4" max="4" width="14.54296875" customWidth="1"/>
    <col min="5" max="5" width="12.81640625" customWidth="1"/>
    <col min="6" max="6" width="16.81640625" customWidth="1"/>
  </cols>
  <sheetData>
    <row r="1" spans="1:6" ht="18.5" x14ac:dyDescent="0.45">
      <c r="A1" s="12" t="s">
        <v>254</v>
      </c>
      <c r="B1" s="12"/>
      <c r="C1" s="12"/>
      <c r="D1" s="12"/>
      <c r="E1" s="12"/>
      <c r="F1" s="12"/>
    </row>
    <row r="2" spans="1:6" ht="18.5" x14ac:dyDescent="0.45">
      <c r="A2" s="14" t="s">
        <v>255</v>
      </c>
      <c r="B2" s="14"/>
      <c r="C2" s="14"/>
      <c r="D2" s="14"/>
      <c r="E2" s="14"/>
      <c r="F2" s="14"/>
    </row>
    <row r="3" spans="1:6" ht="18.5" x14ac:dyDescent="0.45">
      <c r="A3" s="14" t="s">
        <v>256</v>
      </c>
      <c r="B3" s="14"/>
      <c r="C3" s="14"/>
      <c r="D3" s="14"/>
      <c r="E3" s="14"/>
      <c r="F3" s="14"/>
    </row>
    <row r="4" spans="1:6" ht="18.5" x14ac:dyDescent="0.45">
      <c r="A4" s="14" t="s">
        <v>258</v>
      </c>
      <c r="B4" s="14"/>
      <c r="C4" s="14"/>
      <c r="D4" s="14"/>
      <c r="E4" s="14"/>
      <c r="F4" s="14"/>
    </row>
    <row r="5" spans="1:6" ht="18.5" x14ac:dyDescent="0.45">
      <c r="A5" s="14" t="s">
        <v>257</v>
      </c>
      <c r="B5" s="14"/>
      <c r="C5" s="14"/>
      <c r="D5" s="14"/>
      <c r="E5" s="14"/>
      <c r="F5" s="14"/>
    </row>
    <row r="6" spans="1:6" ht="18.5" x14ac:dyDescent="0.45">
      <c r="A6" s="14" t="s">
        <v>253</v>
      </c>
      <c r="B6" s="14"/>
      <c r="C6" s="14"/>
      <c r="D6" s="14" t="s">
        <v>67</v>
      </c>
      <c r="E6" s="14"/>
      <c r="F6" s="14"/>
    </row>
    <row r="7" spans="1:6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</row>
    <row r="8" spans="1:6" x14ac:dyDescent="0.35">
      <c r="A8" s="1" t="s">
        <v>259</v>
      </c>
      <c r="B8" s="9">
        <v>1121</v>
      </c>
      <c r="C8" s="9" t="s">
        <v>262</v>
      </c>
      <c r="D8" s="9">
        <v>15000</v>
      </c>
      <c r="E8" s="9">
        <v>15000</v>
      </c>
      <c r="F8" s="10">
        <v>195000</v>
      </c>
    </row>
    <row r="9" spans="1:6" x14ac:dyDescent="0.35">
      <c r="A9" s="1" t="s">
        <v>260</v>
      </c>
      <c r="B9" s="9">
        <v>1593</v>
      </c>
      <c r="C9" s="9" t="s">
        <v>117</v>
      </c>
      <c r="D9" s="9">
        <v>15000</v>
      </c>
      <c r="E9" s="9">
        <f t="shared" ref="E9:E21" si="0">E8+D9</f>
        <v>30000</v>
      </c>
      <c r="F9" s="10">
        <f t="shared" ref="F9:F20" si="1">F8-D9</f>
        <v>180000</v>
      </c>
    </row>
    <row r="10" spans="1:6" x14ac:dyDescent="0.35">
      <c r="A10" s="9" t="s">
        <v>76</v>
      </c>
      <c r="B10" s="9">
        <v>1594</v>
      </c>
      <c r="C10" s="9" t="s">
        <v>195</v>
      </c>
      <c r="D10" s="9">
        <v>15000</v>
      </c>
      <c r="E10" s="9">
        <f t="shared" si="0"/>
        <v>45000</v>
      </c>
      <c r="F10" s="10">
        <f t="shared" si="1"/>
        <v>165000</v>
      </c>
    </row>
    <row r="11" spans="1:6" x14ac:dyDescent="0.35">
      <c r="A11" s="11">
        <v>45170</v>
      </c>
      <c r="B11" s="9">
        <v>2204</v>
      </c>
      <c r="C11" s="9" t="s">
        <v>263</v>
      </c>
      <c r="D11" s="9">
        <v>15000</v>
      </c>
      <c r="E11" s="9">
        <f t="shared" si="0"/>
        <v>60000</v>
      </c>
      <c r="F11" s="10">
        <f t="shared" si="1"/>
        <v>150000</v>
      </c>
    </row>
    <row r="12" spans="1:6" x14ac:dyDescent="0.35">
      <c r="A12" s="11">
        <v>45264</v>
      </c>
      <c r="B12" s="9">
        <v>1963</v>
      </c>
      <c r="C12" s="9" t="s">
        <v>195</v>
      </c>
      <c r="D12" s="9">
        <v>15000</v>
      </c>
      <c r="E12" s="9">
        <f t="shared" si="0"/>
        <v>75000</v>
      </c>
      <c r="F12" s="10">
        <f t="shared" si="1"/>
        <v>135000</v>
      </c>
    </row>
    <row r="13" spans="1:6" x14ac:dyDescent="0.35">
      <c r="A13" s="9" t="s">
        <v>261</v>
      </c>
      <c r="B13" s="9">
        <v>121</v>
      </c>
      <c r="C13" s="9" t="s">
        <v>195</v>
      </c>
      <c r="D13" s="9">
        <v>15000</v>
      </c>
      <c r="E13" s="9">
        <f t="shared" si="0"/>
        <v>90000</v>
      </c>
      <c r="F13" s="10">
        <f t="shared" si="1"/>
        <v>120000</v>
      </c>
    </row>
    <row r="14" spans="1:6" x14ac:dyDescent="0.35">
      <c r="A14" s="9" t="s">
        <v>210</v>
      </c>
      <c r="B14" s="9">
        <v>2542</v>
      </c>
      <c r="C14" s="9" t="s">
        <v>264</v>
      </c>
      <c r="D14" s="9">
        <v>15000</v>
      </c>
      <c r="E14" s="9">
        <f t="shared" si="0"/>
        <v>105000</v>
      </c>
      <c r="F14" s="10">
        <f t="shared" si="1"/>
        <v>105000</v>
      </c>
    </row>
    <row r="15" spans="1:6" x14ac:dyDescent="0.35">
      <c r="A15" s="9" t="s">
        <v>210</v>
      </c>
      <c r="B15" s="9">
        <v>2545</v>
      </c>
      <c r="C15" s="9" t="s">
        <v>195</v>
      </c>
      <c r="D15" s="9">
        <v>15000</v>
      </c>
      <c r="E15" s="9">
        <f t="shared" si="0"/>
        <v>120000</v>
      </c>
      <c r="F15" s="10">
        <f t="shared" si="1"/>
        <v>90000</v>
      </c>
    </row>
    <row r="16" spans="1:6" x14ac:dyDescent="0.35">
      <c r="A16" s="11">
        <v>45025</v>
      </c>
      <c r="B16" s="9">
        <v>3389</v>
      </c>
      <c r="C16" s="9" t="s">
        <v>195</v>
      </c>
      <c r="D16" s="9">
        <v>15000</v>
      </c>
      <c r="E16" s="9">
        <f t="shared" si="0"/>
        <v>135000</v>
      </c>
      <c r="F16" s="10">
        <f t="shared" si="1"/>
        <v>75000</v>
      </c>
    </row>
    <row r="17" spans="1:6" x14ac:dyDescent="0.35">
      <c r="A17" s="11">
        <v>45026</v>
      </c>
      <c r="B17" s="9">
        <v>270</v>
      </c>
      <c r="C17" s="9" t="s">
        <v>195</v>
      </c>
      <c r="D17" s="9">
        <v>15000</v>
      </c>
      <c r="E17" s="9">
        <f t="shared" si="0"/>
        <v>150000</v>
      </c>
      <c r="F17" s="10">
        <f t="shared" si="1"/>
        <v>60000</v>
      </c>
    </row>
    <row r="18" spans="1:6" x14ac:dyDescent="0.35">
      <c r="A18" s="11">
        <v>45088</v>
      </c>
      <c r="B18" s="9">
        <v>4663</v>
      </c>
      <c r="C18" s="9" t="s">
        <v>195</v>
      </c>
      <c r="D18" s="9">
        <v>15000</v>
      </c>
      <c r="E18" s="9">
        <f t="shared" si="0"/>
        <v>165000</v>
      </c>
      <c r="F18" s="10">
        <f t="shared" si="1"/>
        <v>45000</v>
      </c>
    </row>
    <row r="19" spans="1:6" x14ac:dyDescent="0.35">
      <c r="A19" s="11">
        <v>45119</v>
      </c>
      <c r="B19" s="9">
        <v>5345</v>
      </c>
      <c r="C19" s="9" t="s">
        <v>195</v>
      </c>
      <c r="D19" s="9">
        <v>15000</v>
      </c>
      <c r="E19" s="9">
        <f t="shared" si="0"/>
        <v>180000</v>
      </c>
      <c r="F19" s="10">
        <f t="shared" si="1"/>
        <v>30000</v>
      </c>
    </row>
    <row r="20" spans="1:6" x14ac:dyDescent="0.35">
      <c r="A20" s="11">
        <v>45413</v>
      </c>
      <c r="B20" s="9">
        <v>5904</v>
      </c>
      <c r="C20" s="9" t="s">
        <v>195</v>
      </c>
      <c r="D20" s="9">
        <v>15000</v>
      </c>
      <c r="E20" s="9">
        <f t="shared" si="0"/>
        <v>195000</v>
      </c>
      <c r="F20" s="10">
        <f t="shared" si="1"/>
        <v>15000</v>
      </c>
    </row>
    <row r="21" spans="1:6" x14ac:dyDescent="0.35">
      <c r="A21" s="11">
        <v>45628</v>
      </c>
      <c r="B21" s="9">
        <v>7195</v>
      </c>
      <c r="C21" s="9" t="s">
        <v>195</v>
      </c>
      <c r="D21" s="9">
        <v>15000</v>
      </c>
      <c r="E21" s="9">
        <f t="shared" si="0"/>
        <v>210000</v>
      </c>
      <c r="F21" s="10" t="s">
        <v>45</v>
      </c>
    </row>
    <row r="23" spans="1:6" ht="18.5" x14ac:dyDescent="0.45">
      <c r="A23" s="26" t="s">
        <v>113</v>
      </c>
      <c r="B23" s="27"/>
      <c r="C23" s="27"/>
    </row>
    <row r="24" spans="1:6" ht="18.5" x14ac:dyDescent="0.45">
      <c r="A24" s="20" t="s">
        <v>1</v>
      </c>
      <c r="B24" s="20" t="s">
        <v>2</v>
      </c>
      <c r="C24" s="20" t="s">
        <v>3</v>
      </c>
      <c r="D24" s="20" t="s">
        <v>4</v>
      </c>
      <c r="E24" s="20" t="s">
        <v>5</v>
      </c>
      <c r="F24" s="20" t="s">
        <v>6</v>
      </c>
    </row>
    <row r="25" spans="1:6" x14ac:dyDescent="0.35">
      <c r="A25" s="11">
        <v>45963</v>
      </c>
      <c r="B25" s="9">
        <v>941</v>
      </c>
      <c r="C25" s="9" t="s">
        <v>47</v>
      </c>
      <c r="D25" s="10">
        <v>30000</v>
      </c>
      <c r="E25" s="10">
        <v>30000</v>
      </c>
      <c r="F25" s="10">
        <v>420000</v>
      </c>
    </row>
    <row r="26" spans="1:6" x14ac:dyDescent="0.35">
      <c r="A26" s="11">
        <v>45781</v>
      </c>
      <c r="B26" s="9">
        <v>703</v>
      </c>
      <c r="C26" s="9" t="s">
        <v>47</v>
      </c>
      <c r="D26" s="10">
        <v>20000</v>
      </c>
      <c r="E26" s="10">
        <f t="shared" ref="E26:E40" si="2">E25+D26</f>
        <v>50000</v>
      </c>
      <c r="F26" s="10">
        <f t="shared" ref="F26:F40" si="3">F25-D26</f>
        <v>400000</v>
      </c>
    </row>
    <row r="27" spans="1:6" x14ac:dyDescent="0.35">
      <c r="A27" s="9" t="s">
        <v>265</v>
      </c>
      <c r="B27" s="9">
        <v>774</v>
      </c>
      <c r="C27" s="9" t="s">
        <v>47</v>
      </c>
      <c r="D27" s="10">
        <v>10000</v>
      </c>
      <c r="E27" s="10">
        <f t="shared" si="2"/>
        <v>60000</v>
      </c>
      <c r="F27" s="10">
        <f t="shared" si="3"/>
        <v>390000</v>
      </c>
    </row>
    <row r="28" spans="1:6" x14ac:dyDescent="0.35">
      <c r="A28" s="9" t="s">
        <v>266</v>
      </c>
      <c r="B28" s="9">
        <v>3080</v>
      </c>
      <c r="C28" s="9" t="s">
        <v>47</v>
      </c>
      <c r="D28" s="10">
        <v>20000</v>
      </c>
      <c r="E28" s="10">
        <f t="shared" si="2"/>
        <v>80000</v>
      </c>
      <c r="F28" s="10">
        <f t="shared" si="3"/>
        <v>370000</v>
      </c>
    </row>
    <row r="29" spans="1:6" x14ac:dyDescent="0.35">
      <c r="A29" s="9" t="s">
        <v>267</v>
      </c>
      <c r="B29" s="9">
        <v>3406</v>
      </c>
      <c r="C29" s="9" t="s">
        <v>47</v>
      </c>
      <c r="D29" s="10">
        <v>10000</v>
      </c>
      <c r="E29" s="10">
        <f t="shared" si="2"/>
        <v>90000</v>
      </c>
      <c r="F29" s="10">
        <f t="shared" si="3"/>
        <v>360000</v>
      </c>
    </row>
    <row r="30" spans="1:6" x14ac:dyDescent="0.35">
      <c r="A30" s="9" t="s">
        <v>268</v>
      </c>
      <c r="B30" s="9">
        <v>3562</v>
      </c>
      <c r="C30" s="9" t="s">
        <v>47</v>
      </c>
      <c r="D30" s="10">
        <v>10000</v>
      </c>
      <c r="E30" s="10">
        <f t="shared" si="2"/>
        <v>100000</v>
      </c>
      <c r="F30" s="10">
        <f t="shared" si="3"/>
        <v>350000</v>
      </c>
    </row>
    <row r="31" spans="1:6" x14ac:dyDescent="0.35">
      <c r="A31" s="9" t="s">
        <v>269</v>
      </c>
      <c r="B31" s="9">
        <v>3354</v>
      </c>
      <c r="C31" s="9" t="s">
        <v>47</v>
      </c>
      <c r="D31" s="10">
        <v>10000</v>
      </c>
      <c r="E31" s="10">
        <f t="shared" si="2"/>
        <v>110000</v>
      </c>
      <c r="F31" s="10">
        <f t="shared" si="3"/>
        <v>340000</v>
      </c>
    </row>
    <row r="32" spans="1:6" x14ac:dyDescent="0.35">
      <c r="A32" s="9" t="s">
        <v>270</v>
      </c>
      <c r="B32" s="9">
        <v>3859</v>
      </c>
      <c r="C32" s="9" t="s">
        <v>47</v>
      </c>
      <c r="D32" s="10">
        <v>10000</v>
      </c>
      <c r="E32" s="10">
        <f t="shared" si="2"/>
        <v>120000</v>
      </c>
      <c r="F32" s="10">
        <f t="shared" si="3"/>
        <v>330000</v>
      </c>
    </row>
    <row r="33" spans="1:6" x14ac:dyDescent="0.35">
      <c r="A33" s="9" t="s">
        <v>271</v>
      </c>
      <c r="B33" s="9">
        <v>5144</v>
      </c>
      <c r="C33" s="9" t="s">
        <v>47</v>
      </c>
      <c r="D33" s="10">
        <v>10000</v>
      </c>
      <c r="E33" s="10">
        <f t="shared" si="2"/>
        <v>130000</v>
      </c>
      <c r="F33" s="10">
        <f t="shared" si="3"/>
        <v>320000</v>
      </c>
    </row>
    <row r="34" spans="1:6" x14ac:dyDescent="0.35">
      <c r="A34" s="9" t="s">
        <v>272</v>
      </c>
      <c r="B34" s="9">
        <v>5362</v>
      </c>
      <c r="C34" s="9" t="s">
        <v>47</v>
      </c>
      <c r="D34" s="10">
        <v>10000</v>
      </c>
      <c r="E34" s="10">
        <f t="shared" si="2"/>
        <v>140000</v>
      </c>
      <c r="F34" s="10">
        <f t="shared" si="3"/>
        <v>310000</v>
      </c>
    </row>
    <row r="35" spans="1:6" x14ac:dyDescent="0.35">
      <c r="A35" s="9" t="s">
        <v>273</v>
      </c>
      <c r="B35" s="9">
        <v>5779</v>
      </c>
      <c r="C35" s="9" t="s">
        <v>47</v>
      </c>
      <c r="D35" s="10">
        <v>10000</v>
      </c>
      <c r="E35" s="10">
        <f t="shared" si="2"/>
        <v>150000</v>
      </c>
      <c r="F35" s="10">
        <f t="shared" si="3"/>
        <v>300000</v>
      </c>
    </row>
    <row r="36" spans="1:6" x14ac:dyDescent="0.35">
      <c r="A36" s="9" t="s">
        <v>274</v>
      </c>
      <c r="B36" s="9">
        <v>1312</v>
      </c>
      <c r="C36" s="9" t="s">
        <v>47</v>
      </c>
      <c r="D36" s="10">
        <v>10000</v>
      </c>
      <c r="E36" s="10">
        <f t="shared" si="2"/>
        <v>160000</v>
      </c>
      <c r="F36" s="10">
        <f t="shared" si="3"/>
        <v>290000</v>
      </c>
    </row>
    <row r="37" spans="1:6" x14ac:dyDescent="0.35">
      <c r="A37" s="9" t="s">
        <v>275</v>
      </c>
      <c r="B37" s="9">
        <v>1476</v>
      </c>
      <c r="C37" s="9" t="s">
        <v>47</v>
      </c>
      <c r="D37" s="10">
        <v>10000</v>
      </c>
      <c r="E37" s="10">
        <f t="shared" si="2"/>
        <v>170000</v>
      </c>
      <c r="F37" s="10">
        <f t="shared" si="3"/>
        <v>280000</v>
      </c>
    </row>
    <row r="38" spans="1:6" x14ac:dyDescent="0.35">
      <c r="A38" s="9" t="s">
        <v>238</v>
      </c>
      <c r="B38" s="9">
        <v>1657</v>
      </c>
      <c r="C38" s="9" t="s">
        <v>47</v>
      </c>
      <c r="D38" s="10">
        <v>10000</v>
      </c>
      <c r="E38" s="10">
        <f t="shared" si="2"/>
        <v>180000</v>
      </c>
      <c r="F38" s="10">
        <f t="shared" si="3"/>
        <v>270000</v>
      </c>
    </row>
    <row r="39" spans="1:6" x14ac:dyDescent="0.35">
      <c r="A39" s="9" t="s">
        <v>239</v>
      </c>
      <c r="B39" s="9">
        <v>1853</v>
      </c>
      <c r="C39" s="9" t="s">
        <v>47</v>
      </c>
      <c r="D39" s="10">
        <v>10000</v>
      </c>
      <c r="E39" s="10">
        <f t="shared" si="2"/>
        <v>190000</v>
      </c>
      <c r="F39" s="10">
        <f t="shared" si="3"/>
        <v>260000</v>
      </c>
    </row>
    <row r="40" spans="1:6" x14ac:dyDescent="0.35">
      <c r="A40" s="9" t="s">
        <v>276</v>
      </c>
      <c r="B40" s="9">
        <v>1962</v>
      </c>
      <c r="C40" s="9" t="s">
        <v>47</v>
      </c>
      <c r="D40" s="10">
        <v>10000</v>
      </c>
      <c r="E40" s="10">
        <f t="shared" si="2"/>
        <v>200000</v>
      </c>
      <c r="F40" s="10">
        <f t="shared" si="3"/>
        <v>250000</v>
      </c>
    </row>
    <row r="41" spans="1:6" x14ac:dyDescent="0.35">
      <c r="A41" s="58" t="s">
        <v>614</v>
      </c>
      <c r="B41" s="58">
        <v>2069</v>
      </c>
      <c r="C41" s="58" t="s">
        <v>47</v>
      </c>
      <c r="D41" s="8">
        <v>10000</v>
      </c>
      <c r="E41" s="8">
        <f>E40+D41</f>
        <v>210000</v>
      </c>
      <c r="F41" s="8">
        <f>F40-D41</f>
        <v>240000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7" sqref="C17"/>
    </sheetView>
  </sheetViews>
  <sheetFormatPr defaultRowHeight="14.5" x14ac:dyDescent="0.35"/>
  <cols>
    <col min="1" max="1" width="9.453125" bestFit="1" customWidth="1"/>
    <col min="3" max="3" width="13.36328125" customWidth="1"/>
    <col min="4" max="4" width="15.1796875" customWidth="1"/>
    <col min="5" max="5" width="11.54296875" customWidth="1"/>
    <col min="6" max="6" width="14.7265625" customWidth="1"/>
  </cols>
  <sheetData>
    <row r="1" spans="1:6" ht="18.5" x14ac:dyDescent="0.45">
      <c r="A1" s="12" t="s">
        <v>277</v>
      </c>
      <c r="B1" s="12"/>
      <c r="C1" s="12"/>
      <c r="D1" s="12"/>
      <c r="E1" s="12"/>
      <c r="F1" s="12"/>
    </row>
    <row r="2" spans="1:6" ht="18.5" x14ac:dyDescent="0.45">
      <c r="A2" s="14" t="s">
        <v>278</v>
      </c>
      <c r="B2" s="14"/>
      <c r="C2" s="14"/>
      <c r="D2" s="14"/>
      <c r="E2" s="14"/>
      <c r="F2" s="14"/>
    </row>
    <row r="3" spans="1:6" ht="18.5" x14ac:dyDescent="0.45">
      <c r="A3" s="14" t="s">
        <v>279</v>
      </c>
      <c r="B3" s="14"/>
      <c r="C3" s="14"/>
      <c r="D3" s="14"/>
      <c r="E3" s="14"/>
      <c r="F3" s="14"/>
    </row>
    <row r="4" spans="1:6" ht="18.5" x14ac:dyDescent="0.45">
      <c r="A4" s="14" t="s">
        <v>282</v>
      </c>
      <c r="B4" s="14"/>
      <c r="C4" s="14"/>
      <c r="D4" s="14"/>
      <c r="E4" s="14"/>
      <c r="F4" s="14"/>
    </row>
    <row r="5" spans="1:6" ht="18.5" x14ac:dyDescent="0.45">
      <c r="A5" s="14" t="s">
        <v>280</v>
      </c>
      <c r="B5" s="14"/>
      <c r="C5" s="14"/>
      <c r="D5" s="14"/>
      <c r="E5" s="14"/>
      <c r="F5" s="14"/>
    </row>
    <row r="6" spans="1:6" ht="18.5" x14ac:dyDescent="0.45">
      <c r="A6" s="14" t="s">
        <v>281</v>
      </c>
      <c r="B6" s="14"/>
      <c r="C6" s="14"/>
      <c r="D6" s="14" t="s">
        <v>67</v>
      </c>
      <c r="E6" s="14"/>
      <c r="F6" s="14"/>
    </row>
    <row r="7" spans="1:6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</row>
    <row r="8" spans="1:6" x14ac:dyDescent="0.35">
      <c r="A8" s="11">
        <v>46357</v>
      </c>
      <c r="B8" s="9">
        <v>12109</v>
      </c>
      <c r="C8" s="9" t="s">
        <v>179</v>
      </c>
      <c r="D8" s="10">
        <v>100000</v>
      </c>
      <c r="E8" s="10">
        <v>100000</v>
      </c>
      <c r="F8" s="10">
        <v>300000</v>
      </c>
    </row>
    <row r="9" spans="1:6" x14ac:dyDescent="0.35">
      <c r="A9" s="1" t="s">
        <v>283</v>
      </c>
      <c r="B9" s="9">
        <v>13274</v>
      </c>
      <c r="C9" s="9" t="s">
        <v>212</v>
      </c>
      <c r="D9" s="10">
        <v>200000</v>
      </c>
      <c r="E9" s="10">
        <f>E8+D9</f>
        <v>300000</v>
      </c>
      <c r="F9" s="10">
        <f>F8-D9</f>
        <v>100000</v>
      </c>
    </row>
    <row r="10" spans="1:6" x14ac:dyDescent="0.35">
      <c r="A10" s="9" t="s">
        <v>284</v>
      </c>
      <c r="B10" s="9">
        <v>13002</v>
      </c>
      <c r="C10" s="9" t="s">
        <v>212</v>
      </c>
      <c r="D10" s="10">
        <v>50000</v>
      </c>
      <c r="E10" s="10">
        <f>E9+D10</f>
        <v>350000</v>
      </c>
      <c r="F10" s="10">
        <f>F9-D10</f>
        <v>50000</v>
      </c>
    </row>
    <row r="11" spans="1:6" x14ac:dyDescent="0.35">
      <c r="A11" s="9" t="s">
        <v>285</v>
      </c>
      <c r="B11" s="9">
        <v>13031</v>
      </c>
      <c r="C11" s="9" t="s">
        <v>212</v>
      </c>
      <c r="D11" s="10">
        <v>50000</v>
      </c>
      <c r="E11" s="10">
        <f>E10+D11</f>
        <v>400000</v>
      </c>
      <c r="F11" s="10" t="s">
        <v>45</v>
      </c>
    </row>
    <row r="13" spans="1:6" ht="18.5" x14ac:dyDescent="0.45">
      <c r="A13" s="28" t="s">
        <v>286</v>
      </c>
      <c r="B13" s="28"/>
      <c r="C13" s="29"/>
    </row>
    <row r="14" spans="1:6" x14ac:dyDescent="0.35">
      <c r="A14" s="9" t="s">
        <v>287</v>
      </c>
      <c r="B14" s="9">
        <v>1957</v>
      </c>
      <c r="C14" s="9" t="s">
        <v>47</v>
      </c>
      <c r="D14" s="10">
        <v>200000</v>
      </c>
      <c r="E14" s="10">
        <v>200000</v>
      </c>
      <c r="F14" s="9" t="s">
        <v>288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5" workbookViewId="0">
      <selection sqref="A1:F7"/>
    </sheetView>
  </sheetViews>
  <sheetFormatPr defaultRowHeight="14.5" x14ac:dyDescent="0.35"/>
  <cols>
    <col min="1" max="1" width="10.453125" bestFit="1" customWidth="1"/>
    <col min="3" max="3" width="14.1796875" customWidth="1"/>
    <col min="4" max="4" width="14.08984375" customWidth="1"/>
    <col min="5" max="5" width="16.81640625" customWidth="1"/>
    <col min="6" max="6" width="16.7265625" customWidth="1"/>
  </cols>
  <sheetData>
    <row r="1" spans="1:6" ht="18.5" x14ac:dyDescent="0.45">
      <c r="A1" s="12" t="s">
        <v>289</v>
      </c>
      <c r="B1" s="12"/>
      <c r="C1" s="12"/>
      <c r="D1" s="12"/>
      <c r="E1" s="12"/>
      <c r="F1" s="12"/>
    </row>
    <row r="2" spans="1:6" ht="18.5" x14ac:dyDescent="0.45">
      <c r="A2" s="14" t="s">
        <v>290</v>
      </c>
      <c r="B2" s="14"/>
      <c r="C2" s="14"/>
      <c r="D2" s="14"/>
      <c r="E2" s="14"/>
      <c r="F2" s="14"/>
    </row>
    <row r="3" spans="1:6" ht="18.5" x14ac:dyDescent="0.45">
      <c r="A3" s="14" t="s">
        <v>291</v>
      </c>
      <c r="B3" s="14"/>
      <c r="C3" s="14"/>
      <c r="D3" s="14"/>
      <c r="E3" s="14"/>
      <c r="F3" s="14"/>
    </row>
    <row r="4" spans="1:6" ht="18.5" x14ac:dyDescent="0.45">
      <c r="A4" s="14" t="s">
        <v>293</v>
      </c>
      <c r="B4" s="14"/>
      <c r="C4" s="14"/>
      <c r="D4" s="14"/>
      <c r="E4" s="14"/>
      <c r="F4" s="14"/>
    </row>
    <row r="5" spans="1:6" ht="18.5" x14ac:dyDescent="0.45">
      <c r="A5" s="14" t="s">
        <v>294</v>
      </c>
      <c r="B5" s="14"/>
      <c r="C5" s="14"/>
      <c r="D5" s="14"/>
      <c r="E5" s="14"/>
      <c r="F5" s="14"/>
    </row>
    <row r="6" spans="1:6" ht="18.5" x14ac:dyDescent="0.45">
      <c r="A6" s="14" t="s">
        <v>292</v>
      </c>
      <c r="B6" s="14"/>
      <c r="C6" s="14"/>
      <c r="D6" s="14" t="s">
        <v>67</v>
      </c>
      <c r="E6" s="14"/>
      <c r="F6" s="14"/>
    </row>
    <row r="7" spans="1:6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</row>
    <row r="8" spans="1:6" x14ac:dyDescent="0.35">
      <c r="A8" s="11">
        <v>44873</v>
      </c>
      <c r="B8" s="9">
        <v>820</v>
      </c>
      <c r="C8" s="9" t="s">
        <v>212</v>
      </c>
      <c r="D8" s="10">
        <v>10000</v>
      </c>
      <c r="E8" s="10">
        <v>10000</v>
      </c>
      <c r="F8" s="10">
        <v>260000</v>
      </c>
    </row>
    <row r="9" spans="1:6" x14ac:dyDescent="0.35">
      <c r="A9" s="11">
        <v>44917</v>
      </c>
      <c r="B9" s="9">
        <v>2672</v>
      </c>
      <c r="C9" s="9" t="s">
        <v>303</v>
      </c>
      <c r="D9" s="10">
        <v>10000</v>
      </c>
      <c r="E9" s="10">
        <f t="shared" ref="E9:E32" si="0">E8+D9</f>
        <v>20000</v>
      </c>
      <c r="F9" s="10">
        <f t="shared" ref="F9:F31" si="1">F8-D9</f>
        <v>250000</v>
      </c>
    </row>
    <row r="10" spans="1:6" x14ac:dyDescent="0.35">
      <c r="A10" s="11">
        <v>45080</v>
      </c>
      <c r="B10" s="9">
        <v>2673</v>
      </c>
      <c r="C10" s="9" t="s">
        <v>304</v>
      </c>
      <c r="D10" s="10">
        <v>10000</v>
      </c>
      <c r="E10" s="10">
        <f t="shared" si="0"/>
        <v>30000</v>
      </c>
      <c r="F10" s="10">
        <f t="shared" si="1"/>
        <v>240000</v>
      </c>
    </row>
    <row r="11" spans="1:6" x14ac:dyDescent="0.35">
      <c r="A11" s="9" t="s">
        <v>295</v>
      </c>
      <c r="B11" s="9">
        <v>965</v>
      </c>
      <c r="C11" s="9" t="s">
        <v>304</v>
      </c>
      <c r="D11" s="10">
        <v>20000</v>
      </c>
      <c r="E11" s="10">
        <f t="shared" si="0"/>
        <v>50000</v>
      </c>
      <c r="F11" s="10">
        <f t="shared" si="1"/>
        <v>220000</v>
      </c>
    </row>
    <row r="12" spans="1:6" x14ac:dyDescent="0.35">
      <c r="A12" s="9" t="s">
        <v>296</v>
      </c>
      <c r="B12" s="9">
        <v>3108</v>
      </c>
      <c r="C12" s="9" t="s">
        <v>304</v>
      </c>
      <c r="D12" s="10">
        <v>20000</v>
      </c>
      <c r="E12" s="10">
        <f t="shared" si="0"/>
        <v>70000</v>
      </c>
      <c r="F12" s="10">
        <f t="shared" si="1"/>
        <v>200000</v>
      </c>
    </row>
    <row r="13" spans="1:6" x14ac:dyDescent="0.35">
      <c r="A13" s="9" t="s">
        <v>297</v>
      </c>
      <c r="B13" s="9">
        <v>3799</v>
      </c>
      <c r="C13" s="9" t="s">
        <v>304</v>
      </c>
      <c r="D13" s="10">
        <v>10000</v>
      </c>
      <c r="E13" s="10">
        <f t="shared" si="0"/>
        <v>80000</v>
      </c>
      <c r="F13" s="10">
        <f t="shared" si="1"/>
        <v>190000</v>
      </c>
    </row>
    <row r="14" spans="1:6" x14ac:dyDescent="0.35">
      <c r="A14" s="9" t="s">
        <v>298</v>
      </c>
      <c r="B14" s="9">
        <v>4480</v>
      </c>
      <c r="C14" s="9" t="s">
        <v>304</v>
      </c>
      <c r="D14" s="10">
        <v>10000</v>
      </c>
      <c r="E14" s="10">
        <f t="shared" si="0"/>
        <v>90000</v>
      </c>
      <c r="F14" s="10">
        <f t="shared" si="1"/>
        <v>180000</v>
      </c>
    </row>
    <row r="15" spans="1:6" x14ac:dyDescent="0.35">
      <c r="A15" s="9" t="s">
        <v>299</v>
      </c>
      <c r="B15" s="9">
        <v>5096</v>
      </c>
      <c r="C15" s="9" t="s">
        <v>304</v>
      </c>
      <c r="D15" s="10">
        <v>10000</v>
      </c>
      <c r="E15" s="10">
        <f t="shared" si="0"/>
        <v>100000</v>
      </c>
      <c r="F15" s="10">
        <f t="shared" si="1"/>
        <v>170000</v>
      </c>
    </row>
    <row r="16" spans="1:6" x14ac:dyDescent="0.35">
      <c r="A16" s="9" t="s">
        <v>300</v>
      </c>
      <c r="B16" s="9">
        <v>5816</v>
      </c>
      <c r="C16" s="9" t="s">
        <v>304</v>
      </c>
      <c r="D16" s="10">
        <v>10000</v>
      </c>
      <c r="E16" s="10">
        <f t="shared" si="0"/>
        <v>110000</v>
      </c>
      <c r="F16" s="10">
        <f t="shared" si="1"/>
        <v>160000</v>
      </c>
    </row>
    <row r="17" spans="1:6" x14ac:dyDescent="0.35">
      <c r="A17" s="9" t="s">
        <v>301</v>
      </c>
      <c r="B17" s="9">
        <v>6364</v>
      </c>
      <c r="C17" s="9" t="s">
        <v>304</v>
      </c>
      <c r="D17" s="10">
        <v>10000</v>
      </c>
      <c r="E17" s="10">
        <f t="shared" si="0"/>
        <v>120000</v>
      </c>
      <c r="F17" s="10">
        <f t="shared" si="1"/>
        <v>150000</v>
      </c>
    </row>
    <row r="18" spans="1:6" x14ac:dyDescent="0.35">
      <c r="A18" s="9" t="s">
        <v>302</v>
      </c>
      <c r="B18" s="9">
        <v>6813</v>
      </c>
      <c r="C18" s="9" t="s">
        <v>304</v>
      </c>
      <c r="D18" s="10">
        <v>10000</v>
      </c>
      <c r="E18" s="10">
        <f t="shared" si="0"/>
        <v>130000</v>
      </c>
      <c r="F18" s="10">
        <f t="shared" si="1"/>
        <v>140000</v>
      </c>
    </row>
    <row r="19" spans="1:6" x14ac:dyDescent="0.35">
      <c r="A19" s="9" t="s">
        <v>305</v>
      </c>
      <c r="B19" s="9">
        <v>7621</v>
      </c>
      <c r="C19" s="9" t="s">
        <v>304</v>
      </c>
      <c r="D19" s="10">
        <v>10000</v>
      </c>
      <c r="E19" s="10">
        <f t="shared" si="0"/>
        <v>140000</v>
      </c>
      <c r="F19" s="10">
        <f t="shared" si="1"/>
        <v>130000</v>
      </c>
    </row>
    <row r="20" spans="1:6" x14ac:dyDescent="0.35">
      <c r="A20" s="9" t="s">
        <v>306</v>
      </c>
      <c r="B20" s="9">
        <v>7912</v>
      </c>
      <c r="C20" s="9" t="s">
        <v>304</v>
      </c>
      <c r="D20" s="10">
        <v>10000</v>
      </c>
      <c r="E20" s="10">
        <f t="shared" si="0"/>
        <v>150000</v>
      </c>
      <c r="F20" s="10">
        <f t="shared" si="1"/>
        <v>120000</v>
      </c>
    </row>
    <row r="21" spans="1:6" x14ac:dyDescent="0.35">
      <c r="A21" s="9" t="s">
        <v>211</v>
      </c>
      <c r="B21" s="9">
        <v>8716</v>
      </c>
      <c r="C21" s="9" t="s">
        <v>304</v>
      </c>
      <c r="D21" s="10">
        <v>10000</v>
      </c>
      <c r="E21" s="10">
        <f t="shared" si="0"/>
        <v>160000</v>
      </c>
      <c r="F21" s="10">
        <f t="shared" si="1"/>
        <v>110000</v>
      </c>
    </row>
    <row r="22" spans="1:6" x14ac:dyDescent="0.35">
      <c r="A22" s="9" t="s">
        <v>307</v>
      </c>
      <c r="B22" s="9">
        <v>9259</v>
      </c>
      <c r="C22" s="9" t="s">
        <v>304</v>
      </c>
      <c r="D22" s="10">
        <v>10000</v>
      </c>
      <c r="E22" s="10">
        <f t="shared" si="0"/>
        <v>170000</v>
      </c>
      <c r="F22" s="10">
        <f t="shared" si="1"/>
        <v>100000</v>
      </c>
    </row>
    <row r="23" spans="1:6" x14ac:dyDescent="0.35">
      <c r="A23" s="11">
        <v>45420</v>
      </c>
      <c r="B23" s="9">
        <v>10044</v>
      </c>
      <c r="C23" s="9" t="s">
        <v>304</v>
      </c>
      <c r="D23" s="10">
        <v>10000</v>
      </c>
      <c r="E23" s="10">
        <f t="shared" si="0"/>
        <v>180000</v>
      </c>
      <c r="F23" s="10">
        <f t="shared" si="1"/>
        <v>90000</v>
      </c>
    </row>
    <row r="24" spans="1:6" x14ac:dyDescent="0.35">
      <c r="A24" s="11">
        <v>45544</v>
      </c>
      <c r="B24" s="9">
        <v>10627</v>
      </c>
      <c r="C24" s="9" t="s">
        <v>304</v>
      </c>
      <c r="D24" s="10">
        <v>10000</v>
      </c>
      <c r="E24" s="10">
        <f t="shared" si="0"/>
        <v>190000</v>
      </c>
      <c r="F24" s="10">
        <f t="shared" si="1"/>
        <v>80000</v>
      </c>
    </row>
    <row r="25" spans="1:6" x14ac:dyDescent="0.35">
      <c r="A25" s="11">
        <v>45483</v>
      </c>
      <c r="B25" s="9">
        <v>11459</v>
      </c>
      <c r="C25" s="9" t="s">
        <v>304</v>
      </c>
      <c r="D25" s="10">
        <v>10000</v>
      </c>
      <c r="E25" s="10">
        <f t="shared" si="0"/>
        <v>200000</v>
      </c>
      <c r="F25" s="10">
        <f t="shared" si="1"/>
        <v>70000</v>
      </c>
    </row>
    <row r="26" spans="1:6" x14ac:dyDescent="0.35">
      <c r="A26" s="9" t="s">
        <v>308</v>
      </c>
      <c r="B26" s="9">
        <v>12455</v>
      </c>
      <c r="C26" s="9" t="s">
        <v>304</v>
      </c>
      <c r="D26" s="10">
        <v>10000</v>
      </c>
      <c r="E26" s="10">
        <f t="shared" si="0"/>
        <v>210000</v>
      </c>
      <c r="F26" s="10">
        <f t="shared" si="1"/>
        <v>60000</v>
      </c>
    </row>
    <row r="27" spans="1:6" x14ac:dyDescent="0.35">
      <c r="A27" s="9" t="s">
        <v>309</v>
      </c>
      <c r="B27" s="9">
        <v>12796</v>
      </c>
      <c r="C27" s="9" t="s">
        <v>304</v>
      </c>
      <c r="D27" s="10">
        <v>10000</v>
      </c>
      <c r="E27" s="10">
        <f t="shared" si="0"/>
        <v>220000</v>
      </c>
      <c r="F27" s="10">
        <f t="shared" si="1"/>
        <v>50000</v>
      </c>
    </row>
    <row r="28" spans="1:6" x14ac:dyDescent="0.35">
      <c r="A28" s="9" t="s">
        <v>310</v>
      </c>
      <c r="B28" s="9">
        <v>9136</v>
      </c>
      <c r="C28" s="9" t="s">
        <v>304</v>
      </c>
      <c r="D28" s="10">
        <v>10000</v>
      </c>
      <c r="E28" s="10">
        <f t="shared" si="0"/>
        <v>230000</v>
      </c>
      <c r="F28" s="10">
        <f t="shared" si="1"/>
        <v>40000</v>
      </c>
    </row>
    <row r="29" spans="1:6" x14ac:dyDescent="0.35">
      <c r="A29" s="9" t="s">
        <v>311</v>
      </c>
      <c r="B29" s="9">
        <v>10046</v>
      </c>
      <c r="C29" s="9" t="s">
        <v>304</v>
      </c>
      <c r="D29" s="10">
        <v>10000</v>
      </c>
      <c r="E29" s="10">
        <f t="shared" si="0"/>
        <v>240000</v>
      </c>
      <c r="F29" s="10">
        <f t="shared" si="1"/>
        <v>30000</v>
      </c>
    </row>
    <row r="30" spans="1:6" x14ac:dyDescent="0.35">
      <c r="A30" s="9" t="s">
        <v>312</v>
      </c>
      <c r="B30" s="9">
        <v>10409</v>
      </c>
      <c r="C30" s="9" t="s">
        <v>304</v>
      </c>
      <c r="D30" s="10">
        <v>10000</v>
      </c>
      <c r="E30" s="10">
        <f t="shared" si="0"/>
        <v>250000</v>
      </c>
      <c r="F30" s="10">
        <f t="shared" si="1"/>
        <v>20000</v>
      </c>
    </row>
    <row r="31" spans="1:6" x14ac:dyDescent="0.35">
      <c r="A31" s="9" t="s">
        <v>313</v>
      </c>
      <c r="B31" s="9">
        <v>12022</v>
      </c>
      <c r="C31" s="9" t="s">
        <v>304</v>
      </c>
      <c r="D31" s="10">
        <v>10000</v>
      </c>
      <c r="E31" s="10">
        <f t="shared" si="0"/>
        <v>260000</v>
      </c>
      <c r="F31" s="10">
        <f t="shared" si="1"/>
        <v>10000</v>
      </c>
    </row>
    <row r="32" spans="1:6" x14ac:dyDescent="0.35">
      <c r="A32" s="11">
        <v>45696</v>
      </c>
      <c r="B32" s="9">
        <v>12360</v>
      </c>
      <c r="C32" s="9" t="s">
        <v>304</v>
      </c>
      <c r="D32" s="10">
        <v>10000</v>
      </c>
      <c r="E32" s="10">
        <f t="shared" si="0"/>
        <v>270000</v>
      </c>
      <c r="F32" s="10" t="s">
        <v>45</v>
      </c>
    </row>
    <row r="34" spans="1:6" ht="18.5" x14ac:dyDescent="0.45">
      <c r="A34" s="28" t="s">
        <v>314</v>
      </c>
      <c r="B34" s="28"/>
      <c r="C34" s="28"/>
    </row>
    <row r="35" spans="1:6" ht="18.5" x14ac:dyDescent="0.45">
      <c r="A35" s="20" t="s">
        <v>1</v>
      </c>
      <c r="B35" s="20" t="s">
        <v>2</v>
      </c>
      <c r="C35" s="20" t="s">
        <v>3</v>
      </c>
      <c r="D35" s="20" t="s">
        <v>4</v>
      </c>
      <c r="E35" s="20" t="s">
        <v>5</v>
      </c>
      <c r="F35" s="20" t="s">
        <v>6</v>
      </c>
    </row>
    <row r="36" spans="1:6" x14ac:dyDescent="0.35">
      <c r="A36" t="s">
        <v>287</v>
      </c>
      <c r="B36">
        <v>1950</v>
      </c>
      <c r="C36" t="s">
        <v>315</v>
      </c>
      <c r="D36" s="8">
        <v>130000</v>
      </c>
      <c r="E36" s="8">
        <v>170000</v>
      </c>
      <c r="F36" t="s">
        <v>45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E21" sqref="E21"/>
    </sheetView>
  </sheetViews>
  <sheetFormatPr defaultRowHeight="14.5" x14ac:dyDescent="0.35"/>
  <cols>
    <col min="1" max="1" width="9.453125" bestFit="1" customWidth="1"/>
    <col min="3" max="3" width="14" customWidth="1"/>
    <col min="4" max="4" width="14.453125" customWidth="1"/>
    <col min="5" max="5" width="12.1796875" customWidth="1"/>
    <col min="6" max="6" width="14.6328125" customWidth="1"/>
  </cols>
  <sheetData>
    <row r="1" spans="1:6" ht="18.5" x14ac:dyDescent="0.45">
      <c r="A1" s="12" t="s">
        <v>180</v>
      </c>
      <c r="B1" s="12"/>
      <c r="C1" s="12"/>
      <c r="D1" s="12"/>
      <c r="E1" s="12"/>
      <c r="F1" s="12"/>
    </row>
    <row r="2" spans="1:6" ht="18.5" x14ac:dyDescent="0.45">
      <c r="A2" s="14" t="s">
        <v>181</v>
      </c>
      <c r="B2" s="14"/>
      <c r="C2" s="14"/>
      <c r="D2" s="14"/>
      <c r="E2" s="14"/>
      <c r="F2" s="14"/>
    </row>
    <row r="3" spans="1:6" ht="18.5" x14ac:dyDescent="0.45">
      <c r="A3" s="14" t="s">
        <v>182</v>
      </c>
      <c r="B3" s="14"/>
      <c r="C3" s="14"/>
      <c r="D3" s="14"/>
      <c r="E3" s="14"/>
      <c r="F3" s="14"/>
    </row>
    <row r="4" spans="1:6" ht="18.5" x14ac:dyDescent="0.45">
      <c r="A4" s="14" t="s">
        <v>183</v>
      </c>
      <c r="B4" s="14"/>
      <c r="C4" s="14"/>
      <c r="D4" s="14"/>
      <c r="E4" s="14"/>
      <c r="F4" s="14"/>
    </row>
    <row r="5" spans="1:6" ht="18.5" x14ac:dyDescent="0.45">
      <c r="A5" s="14" t="s">
        <v>186</v>
      </c>
      <c r="B5" s="14"/>
      <c r="C5" s="14"/>
      <c r="D5" s="14"/>
      <c r="E5" s="14"/>
      <c r="F5" s="14"/>
    </row>
    <row r="6" spans="1:6" ht="18.5" x14ac:dyDescent="0.45">
      <c r="A6" s="14" t="s">
        <v>184</v>
      </c>
      <c r="B6" s="14"/>
      <c r="C6" s="14"/>
      <c r="D6" s="14" t="s">
        <v>185</v>
      </c>
      <c r="E6" s="14"/>
      <c r="F6" s="14"/>
    </row>
    <row r="7" spans="1:6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</row>
    <row r="8" spans="1:6" x14ac:dyDescent="0.35">
      <c r="A8" s="1" t="s">
        <v>209</v>
      </c>
      <c r="B8" s="9">
        <v>137</v>
      </c>
      <c r="C8" s="9" t="s">
        <v>212</v>
      </c>
      <c r="D8" s="10">
        <v>5000</v>
      </c>
      <c r="E8" s="10">
        <v>5000</v>
      </c>
      <c r="F8" s="10">
        <v>595000</v>
      </c>
    </row>
    <row r="9" spans="1:6" x14ac:dyDescent="0.35">
      <c r="A9" s="1" t="s">
        <v>210</v>
      </c>
      <c r="B9" s="9">
        <v>2571</v>
      </c>
      <c r="C9" s="9" t="s">
        <v>212</v>
      </c>
      <c r="D9" s="10">
        <v>145000</v>
      </c>
      <c r="E9" s="10">
        <f t="shared" ref="E9:E32" si="0">E8+D9</f>
        <v>150000</v>
      </c>
      <c r="F9" s="10">
        <f t="shared" ref="F9:F32" si="1">F8-D9</f>
        <v>450000</v>
      </c>
    </row>
    <row r="10" spans="1:6" x14ac:dyDescent="0.35">
      <c r="A10" s="11">
        <v>45178</v>
      </c>
      <c r="B10" s="9">
        <v>3464</v>
      </c>
      <c r="C10" s="9" t="s">
        <v>212</v>
      </c>
      <c r="D10" s="10">
        <v>10000</v>
      </c>
      <c r="E10" s="10">
        <f t="shared" si="0"/>
        <v>160000</v>
      </c>
      <c r="F10" s="10">
        <f t="shared" si="1"/>
        <v>440000</v>
      </c>
    </row>
    <row r="11" spans="1:6" x14ac:dyDescent="0.35">
      <c r="A11" s="11">
        <v>44995</v>
      </c>
      <c r="B11" s="9">
        <v>2261</v>
      </c>
      <c r="C11" s="9" t="s">
        <v>212</v>
      </c>
      <c r="D11" s="10">
        <v>10000</v>
      </c>
      <c r="E11" s="10">
        <f t="shared" si="0"/>
        <v>170000</v>
      </c>
      <c r="F11" s="10">
        <f t="shared" si="1"/>
        <v>430000</v>
      </c>
    </row>
    <row r="12" spans="1:6" x14ac:dyDescent="0.35">
      <c r="A12" s="11">
        <v>45057</v>
      </c>
      <c r="B12" s="9">
        <v>4647</v>
      </c>
      <c r="C12" s="9" t="s">
        <v>212</v>
      </c>
      <c r="D12" s="10">
        <v>10000</v>
      </c>
      <c r="E12" s="10">
        <f t="shared" si="0"/>
        <v>180000</v>
      </c>
      <c r="F12" s="10">
        <f t="shared" si="1"/>
        <v>420000</v>
      </c>
    </row>
    <row r="13" spans="1:6" x14ac:dyDescent="0.35">
      <c r="A13" s="11">
        <v>45089</v>
      </c>
      <c r="B13" s="9">
        <v>5320</v>
      </c>
      <c r="C13" s="9" t="s">
        <v>212</v>
      </c>
      <c r="D13" s="10">
        <v>10000</v>
      </c>
      <c r="E13" s="10">
        <f t="shared" si="0"/>
        <v>190000</v>
      </c>
      <c r="F13" s="10">
        <f t="shared" si="1"/>
        <v>410000</v>
      </c>
    </row>
    <row r="14" spans="1:6" x14ac:dyDescent="0.35">
      <c r="A14" s="11">
        <v>45474</v>
      </c>
      <c r="B14" s="9">
        <v>5968</v>
      </c>
      <c r="C14" s="9" t="s">
        <v>212</v>
      </c>
      <c r="D14" s="10">
        <v>10000</v>
      </c>
      <c r="E14" s="10">
        <f t="shared" si="0"/>
        <v>200000</v>
      </c>
      <c r="F14" s="10">
        <f t="shared" si="1"/>
        <v>400000</v>
      </c>
    </row>
    <row r="15" spans="1:6" x14ac:dyDescent="0.35">
      <c r="A15" s="11">
        <v>45475</v>
      </c>
      <c r="B15" s="9">
        <v>6570</v>
      </c>
      <c r="C15" s="9" t="s">
        <v>212</v>
      </c>
      <c r="D15" s="10">
        <v>10000</v>
      </c>
      <c r="E15" s="10">
        <f t="shared" si="0"/>
        <v>210000</v>
      </c>
      <c r="F15" s="10">
        <f t="shared" si="1"/>
        <v>390000</v>
      </c>
    </row>
    <row r="16" spans="1:6" x14ac:dyDescent="0.35">
      <c r="A16" s="11">
        <v>45538</v>
      </c>
      <c r="B16" s="9">
        <v>6974</v>
      </c>
      <c r="C16" s="9" t="s">
        <v>212</v>
      </c>
      <c r="D16" s="10">
        <v>10000</v>
      </c>
      <c r="E16" s="10">
        <f t="shared" si="0"/>
        <v>220000</v>
      </c>
      <c r="F16" s="10">
        <f t="shared" si="1"/>
        <v>380000</v>
      </c>
    </row>
    <row r="17" spans="1:6" x14ac:dyDescent="0.35">
      <c r="A17" s="11">
        <v>45508</v>
      </c>
      <c r="B17" s="9">
        <v>7765</v>
      </c>
      <c r="C17" s="9" t="s">
        <v>212</v>
      </c>
      <c r="D17" s="10">
        <v>10000</v>
      </c>
      <c r="E17" s="10">
        <f t="shared" si="0"/>
        <v>230000</v>
      </c>
      <c r="F17" s="10">
        <f t="shared" si="1"/>
        <v>370000</v>
      </c>
    </row>
    <row r="18" spans="1:6" x14ac:dyDescent="0.35">
      <c r="A18" s="9" t="s">
        <v>211</v>
      </c>
      <c r="B18" s="9">
        <v>8717</v>
      </c>
      <c r="C18" s="9" t="s">
        <v>212</v>
      </c>
      <c r="D18" s="10">
        <v>10000</v>
      </c>
      <c r="E18" s="10">
        <f t="shared" si="0"/>
        <v>240000</v>
      </c>
      <c r="F18" s="10">
        <f t="shared" si="1"/>
        <v>360000</v>
      </c>
    </row>
    <row r="19" spans="1:6" x14ac:dyDescent="0.35">
      <c r="A19" s="9" t="s">
        <v>213</v>
      </c>
      <c r="B19" s="9">
        <v>9276</v>
      </c>
      <c r="C19" s="9" t="s">
        <v>212</v>
      </c>
      <c r="D19" s="10">
        <v>10000</v>
      </c>
      <c r="E19" s="10">
        <f t="shared" si="0"/>
        <v>250000</v>
      </c>
      <c r="F19" s="10">
        <f t="shared" si="1"/>
        <v>350000</v>
      </c>
    </row>
    <row r="20" spans="1:6" x14ac:dyDescent="0.35">
      <c r="A20" s="9" t="s">
        <v>214</v>
      </c>
      <c r="B20" s="9">
        <v>10125</v>
      </c>
      <c r="C20" s="9" t="s">
        <v>212</v>
      </c>
      <c r="D20" s="10">
        <v>30000</v>
      </c>
      <c r="E20" s="10">
        <f t="shared" si="0"/>
        <v>280000</v>
      </c>
      <c r="F20" s="10">
        <f t="shared" si="1"/>
        <v>320000</v>
      </c>
    </row>
    <row r="21" spans="1:6" x14ac:dyDescent="0.35">
      <c r="A21" s="11">
        <v>45689</v>
      </c>
      <c r="B21" s="9">
        <v>12865</v>
      </c>
      <c r="C21" s="9" t="s">
        <v>212</v>
      </c>
      <c r="D21" s="10">
        <v>10000</v>
      </c>
      <c r="E21" s="10" t="s">
        <v>618</v>
      </c>
      <c r="F21" s="10">
        <f t="shared" si="1"/>
        <v>310000</v>
      </c>
    </row>
    <row r="22" spans="1:6" x14ac:dyDescent="0.35">
      <c r="A22" s="9" t="s">
        <v>215</v>
      </c>
      <c r="B22" s="9">
        <v>9547</v>
      </c>
      <c r="C22" s="9" t="s">
        <v>212</v>
      </c>
      <c r="D22" s="10">
        <v>10000</v>
      </c>
      <c r="E22" s="10" t="e">
        <f t="shared" si="0"/>
        <v>#VALUE!</v>
      </c>
      <c r="F22" s="10">
        <f t="shared" si="1"/>
        <v>300000</v>
      </c>
    </row>
    <row r="23" spans="1:6" x14ac:dyDescent="0.35">
      <c r="A23" s="11">
        <v>45966</v>
      </c>
      <c r="B23" s="9">
        <v>10929</v>
      </c>
      <c r="C23" s="9" t="s">
        <v>212</v>
      </c>
      <c r="D23" s="10">
        <v>10000</v>
      </c>
      <c r="E23" s="10" t="e">
        <f t="shared" si="0"/>
        <v>#VALUE!</v>
      </c>
      <c r="F23" s="10">
        <f t="shared" si="1"/>
        <v>290000</v>
      </c>
    </row>
    <row r="24" spans="1:6" x14ac:dyDescent="0.35">
      <c r="A24" s="9" t="s">
        <v>216</v>
      </c>
      <c r="B24" s="9">
        <v>11840</v>
      </c>
      <c r="C24" s="9" t="s">
        <v>212</v>
      </c>
      <c r="D24" s="10">
        <v>10000</v>
      </c>
      <c r="E24" s="10" t="e">
        <f t="shared" si="0"/>
        <v>#VALUE!</v>
      </c>
      <c r="F24" s="10">
        <f t="shared" si="1"/>
        <v>280000</v>
      </c>
    </row>
    <row r="25" spans="1:6" x14ac:dyDescent="0.35">
      <c r="A25" s="11" t="s">
        <v>217</v>
      </c>
      <c r="B25" s="9">
        <v>12326</v>
      </c>
      <c r="C25" s="9" t="s">
        <v>212</v>
      </c>
      <c r="D25" s="10">
        <v>10000</v>
      </c>
      <c r="E25" s="10" t="e">
        <f t="shared" si="0"/>
        <v>#VALUE!</v>
      </c>
      <c r="F25" s="10">
        <f t="shared" si="1"/>
        <v>270000</v>
      </c>
    </row>
    <row r="26" spans="1:6" x14ac:dyDescent="0.35">
      <c r="A26" s="11">
        <v>45725</v>
      </c>
      <c r="B26" s="9">
        <v>12610</v>
      </c>
      <c r="C26" s="9" t="s">
        <v>212</v>
      </c>
      <c r="D26" s="10">
        <v>5000</v>
      </c>
      <c r="E26" s="10" t="e">
        <f t="shared" si="0"/>
        <v>#VALUE!</v>
      </c>
      <c r="F26" s="10">
        <f t="shared" si="1"/>
        <v>265000</v>
      </c>
    </row>
    <row r="27" spans="1:6" x14ac:dyDescent="0.35">
      <c r="A27" s="11">
        <v>45787</v>
      </c>
      <c r="B27" s="9">
        <v>13885</v>
      </c>
      <c r="C27" s="9" t="s">
        <v>212</v>
      </c>
      <c r="D27" s="10">
        <v>5000</v>
      </c>
      <c r="E27" s="10" t="e">
        <f t="shared" si="0"/>
        <v>#VALUE!</v>
      </c>
      <c r="F27" s="10">
        <f t="shared" si="1"/>
        <v>260000</v>
      </c>
    </row>
    <row r="28" spans="1:6" x14ac:dyDescent="0.35">
      <c r="A28" s="11">
        <v>45912</v>
      </c>
      <c r="B28" s="9">
        <v>13126</v>
      </c>
      <c r="C28" s="9" t="s">
        <v>212</v>
      </c>
      <c r="D28" s="10">
        <v>10000</v>
      </c>
      <c r="E28" s="10" t="e">
        <f t="shared" si="0"/>
        <v>#VALUE!</v>
      </c>
      <c r="F28" s="10">
        <f t="shared" si="1"/>
        <v>250000</v>
      </c>
    </row>
    <row r="29" spans="1:6" x14ac:dyDescent="0.35">
      <c r="A29" s="9" t="s">
        <v>218</v>
      </c>
      <c r="B29" s="9">
        <v>12287</v>
      </c>
      <c r="C29" s="9" t="s">
        <v>212</v>
      </c>
      <c r="D29" s="10">
        <v>10000</v>
      </c>
      <c r="E29" s="10" t="e">
        <f t="shared" si="0"/>
        <v>#VALUE!</v>
      </c>
      <c r="F29" s="10">
        <f t="shared" si="1"/>
        <v>240000</v>
      </c>
    </row>
    <row r="30" spans="1:6" x14ac:dyDescent="0.35">
      <c r="A30" s="11">
        <v>46299</v>
      </c>
      <c r="B30" s="9">
        <v>13196</v>
      </c>
      <c r="C30" s="9" t="s">
        <v>212</v>
      </c>
      <c r="D30" s="10">
        <v>10000</v>
      </c>
      <c r="E30" s="10" t="e">
        <f t="shared" si="0"/>
        <v>#VALUE!</v>
      </c>
      <c r="F30" s="10">
        <f t="shared" si="1"/>
        <v>230000</v>
      </c>
    </row>
    <row r="31" spans="1:6" x14ac:dyDescent="0.35">
      <c r="A31" s="9" t="s">
        <v>219</v>
      </c>
      <c r="B31" s="9">
        <v>1315</v>
      </c>
      <c r="C31" s="9" t="s">
        <v>212</v>
      </c>
      <c r="D31" s="10">
        <v>10000</v>
      </c>
      <c r="E31" s="10" t="e">
        <f t="shared" si="0"/>
        <v>#VALUE!</v>
      </c>
      <c r="F31" s="10">
        <f t="shared" si="1"/>
        <v>220000</v>
      </c>
    </row>
    <row r="32" spans="1:6" x14ac:dyDescent="0.35">
      <c r="A32" s="9" t="s">
        <v>220</v>
      </c>
      <c r="B32" s="9">
        <v>1754</v>
      </c>
      <c r="C32" s="9" t="s">
        <v>212</v>
      </c>
      <c r="D32" s="10">
        <v>10000</v>
      </c>
      <c r="E32" s="10" t="e">
        <f t="shared" si="0"/>
        <v>#VALUE!</v>
      </c>
      <c r="F32" s="10">
        <f t="shared" si="1"/>
        <v>210000</v>
      </c>
    </row>
    <row r="33" spans="1:6" x14ac:dyDescent="0.35">
      <c r="A33" s="9" t="s">
        <v>220</v>
      </c>
      <c r="B33" s="9">
        <v>1754</v>
      </c>
      <c r="C33" s="9" t="s">
        <v>212</v>
      </c>
      <c r="D33" s="10">
        <v>10000</v>
      </c>
      <c r="E33" s="10" t="e">
        <f t="shared" ref="E33:E34" si="2">E32+D33</f>
        <v>#VALUE!</v>
      </c>
      <c r="F33" s="10">
        <f t="shared" ref="F33:F34" si="3">F32-D33</f>
        <v>200000</v>
      </c>
    </row>
    <row r="34" spans="1:6" x14ac:dyDescent="0.35">
      <c r="A34" s="11">
        <v>46122</v>
      </c>
      <c r="B34" s="9">
        <v>2155</v>
      </c>
      <c r="C34" s="9" t="s">
        <v>212</v>
      </c>
      <c r="D34" s="10">
        <v>10000</v>
      </c>
      <c r="E34" s="10" t="e">
        <f t="shared" si="2"/>
        <v>#VALUE!</v>
      </c>
      <c r="F34" s="10">
        <f t="shared" si="3"/>
        <v>190000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5" workbookViewId="0">
      <selection activeCell="C40" sqref="C40:D40"/>
    </sheetView>
  </sheetViews>
  <sheetFormatPr defaultRowHeight="14.5" x14ac:dyDescent="0.35"/>
  <cols>
    <col min="1" max="1" width="10.453125" bestFit="1" customWidth="1"/>
    <col min="3" max="3" width="13" customWidth="1"/>
    <col min="4" max="4" width="16.453125" customWidth="1"/>
    <col min="5" max="5" width="14.90625" customWidth="1"/>
    <col min="6" max="6" width="13.453125" customWidth="1"/>
  </cols>
  <sheetData>
    <row r="1" spans="1:6" ht="18.5" x14ac:dyDescent="0.45">
      <c r="A1" s="12" t="s">
        <v>289</v>
      </c>
      <c r="B1" s="12"/>
      <c r="C1" s="12"/>
      <c r="D1" s="12"/>
      <c r="E1" s="12"/>
      <c r="F1" s="12"/>
    </row>
    <row r="2" spans="1:6" ht="18.5" x14ac:dyDescent="0.45">
      <c r="A2" s="14" t="s">
        <v>290</v>
      </c>
      <c r="B2" s="14"/>
      <c r="C2" s="14"/>
      <c r="D2" s="14"/>
      <c r="E2" s="14"/>
      <c r="F2" s="14"/>
    </row>
    <row r="3" spans="1:6" ht="18.5" x14ac:dyDescent="0.45">
      <c r="A3" s="14" t="s">
        <v>291</v>
      </c>
      <c r="B3" s="14"/>
      <c r="C3" s="14"/>
      <c r="D3" s="14"/>
      <c r="E3" s="14"/>
      <c r="F3" s="14"/>
    </row>
    <row r="4" spans="1:6" ht="18.5" x14ac:dyDescent="0.45">
      <c r="A4" s="14" t="s">
        <v>293</v>
      </c>
      <c r="B4" s="14"/>
      <c r="C4" s="14"/>
      <c r="D4" s="14"/>
      <c r="E4" s="14"/>
      <c r="F4" s="14"/>
    </row>
    <row r="5" spans="1:6" ht="18.5" x14ac:dyDescent="0.45">
      <c r="A5" s="14" t="s">
        <v>294</v>
      </c>
      <c r="B5" s="14"/>
      <c r="C5" s="14"/>
      <c r="D5" s="14"/>
      <c r="E5" s="14"/>
      <c r="F5" s="14"/>
    </row>
    <row r="6" spans="1:6" ht="18.5" x14ac:dyDescent="0.45">
      <c r="A6" s="14" t="s">
        <v>316</v>
      </c>
      <c r="B6" s="14"/>
      <c r="C6" s="14"/>
      <c r="D6" s="14" t="s">
        <v>67</v>
      </c>
      <c r="E6" s="14"/>
      <c r="F6" s="14"/>
    </row>
    <row r="7" spans="1:6" ht="18.5" x14ac:dyDescent="0.45">
      <c r="A7" s="20" t="s">
        <v>1</v>
      </c>
      <c r="B7" s="20" t="s">
        <v>2</v>
      </c>
      <c r="C7" s="20" t="s">
        <v>3</v>
      </c>
      <c r="D7" s="20" t="s">
        <v>4</v>
      </c>
      <c r="E7" s="20" t="s">
        <v>5</v>
      </c>
      <c r="F7" s="20" t="s">
        <v>6</v>
      </c>
    </row>
    <row r="8" spans="1:6" x14ac:dyDescent="0.35">
      <c r="A8" s="11">
        <v>44873</v>
      </c>
      <c r="B8" s="9">
        <v>843</v>
      </c>
      <c r="C8" s="9" t="s">
        <v>304</v>
      </c>
      <c r="D8" s="10">
        <v>10000</v>
      </c>
      <c r="E8" s="10">
        <v>10000</v>
      </c>
      <c r="F8" s="10">
        <v>160000</v>
      </c>
    </row>
    <row r="9" spans="1:6" x14ac:dyDescent="0.35">
      <c r="A9" s="1" t="s">
        <v>317</v>
      </c>
      <c r="B9" s="9">
        <v>1249</v>
      </c>
      <c r="C9" s="9" t="s">
        <v>304</v>
      </c>
      <c r="D9" s="10">
        <v>10000</v>
      </c>
      <c r="E9" s="10">
        <f t="shared" ref="E9:E21" si="0">E8+D9</f>
        <v>20000</v>
      </c>
      <c r="F9" s="10">
        <f t="shared" ref="F9:F21" si="1">F8-D9</f>
        <v>150000</v>
      </c>
    </row>
    <row r="10" spans="1:6" x14ac:dyDescent="0.35">
      <c r="A10" s="11">
        <v>44907</v>
      </c>
      <c r="B10" s="9">
        <v>2667</v>
      </c>
      <c r="C10" s="9" t="s">
        <v>318</v>
      </c>
      <c r="D10" s="10">
        <v>10000</v>
      </c>
      <c r="E10" s="10">
        <f t="shared" si="0"/>
        <v>30000</v>
      </c>
      <c r="F10" s="10">
        <f t="shared" si="1"/>
        <v>140000</v>
      </c>
    </row>
    <row r="11" spans="1:6" x14ac:dyDescent="0.35">
      <c r="A11" s="11">
        <v>45080</v>
      </c>
      <c r="B11" s="9">
        <v>2668</v>
      </c>
      <c r="C11" s="9" t="s">
        <v>304</v>
      </c>
      <c r="D11" s="10">
        <v>10000</v>
      </c>
      <c r="E11" s="10">
        <f t="shared" si="0"/>
        <v>40000</v>
      </c>
      <c r="F11" s="10">
        <f t="shared" si="1"/>
        <v>130000</v>
      </c>
    </row>
    <row r="12" spans="1:6" x14ac:dyDescent="0.35">
      <c r="A12" s="9" t="s">
        <v>295</v>
      </c>
      <c r="B12" s="9">
        <v>964</v>
      </c>
      <c r="C12" s="9" t="s">
        <v>304</v>
      </c>
      <c r="D12" s="10">
        <v>20000</v>
      </c>
      <c r="E12" s="10">
        <f t="shared" si="0"/>
        <v>60000</v>
      </c>
      <c r="F12" s="10">
        <f t="shared" si="1"/>
        <v>110000</v>
      </c>
    </row>
    <row r="13" spans="1:6" x14ac:dyDescent="0.35">
      <c r="A13" s="9" t="s">
        <v>296</v>
      </c>
      <c r="B13" s="9">
        <v>3106</v>
      </c>
      <c r="C13" s="9" t="s">
        <v>304</v>
      </c>
      <c r="D13" s="10">
        <v>20000</v>
      </c>
      <c r="E13" s="10">
        <f t="shared" si="0"/>
        <v>80000</v>
      </c>
      <c r="F13" s="10">
        <f t="shared" si="1"/>
        <v>90000</v>
      </c>
    </row>
    <row r="14" spans="1:6" x14ac:dyDescent="0.35">
      <c r="A14" s="9" t="s">
        <v>297</v>
      </c>
      <c r="B14" s="9">
        <v>3797</v>
      </c>
      <c r="C14" s="9" t="s">
        <v>304</v>
      </c>
      <c r="D14" s="10">
        <v>20000</v>
      </c>
      <c r="E14" s="10">
        <f t="shared" si="0"/>
        <v>100000</v>
      </c>
      <c r="F14" s="10">
        <f t="shared" si="1"/>
        <v>70000</v>
      </c>
    </row>
    <row r="15" spans="1:6" x14ac:dyDescent="0.35">
      <c r="A15" s="9" t="s">
        <v>298</v>
      </c>
      <c r="B15" s="9">
        <v>4479</v>
      </c>
      <c r="C15" s="9" t="s">
        <v>304</v>
      </c>
      <c r="D15" s="10">
        <v>10000</v>
      </c>
      <c r="E15" s="10">
        <f t="shared" si="0"/>
        <v>110000</v>
      </c>
      <c r="F15" s="10">
        <f t="shared" si="1"/>
        <v>60000</v>
      </c>
    </row>
    <row r="16" spans="1:6" x14ac:dyDescent="0.35">
      <c r="A16" s="9" t="s">
        <v>299</v>
      </c>
      <c r="B16" s="9">
        <v>5095</v>
      </c>
      <c r="C16" s="9" t="s">
        <v>304</v>
      </c>
      <c r="D16" s="10">
        <v>10000</v>
      </c>
      <c r="E16" s="10">
        <f t="shared" si="0"/>
        <v>120000</v>
      </c>
      <c r="F16" s="10">
        <f t="shared" si="1"/>
        <v>50000</v>
      </c>
    </row>
    <row r="17" spans="1:6" x14ac:dyDescent="0.35">
      <c r="A17" s="9" t="s">
        <v>300</v>
      </c>
      <c r="B17" s="9">
        <v>5815</v>
      </c>
      <c r="C17" s="9" t="s">
        <v>304</v>
      </c>
      <c r="D17" s="10">
        <v>10000</v>
      </c>
      <c r="E17" s="10">
        <f t="shared" si="0"/>
        <v>130000</v>
      </c>
      <c r="F17" s="10">
        <f t="shared" si="1"/>
        <v>40000</v>
      </c>
    </row>
    <row r="18" spans="1:6" x14ac:dyDescent="0.35">
      <c r="A18" s="9" t="s">
        <v>247</v>
      </c>
      <c r="B18" s="9">
        <v>6363</v>
      </c>
      <c r="C18" s="9" t="s">
        <v>304</v>
      </c>
      <c r="D18" s="10">
        <v>10000</v>
      </c>
      <c r="E18" s="10">
        <f t="shared" si="0"/>
        <v>140000</v>
      </c>
      <c r="F18" s="10">
        <f t="shared" si="1"/>
        <v>30000</v>
      </c>
    </row>
    <row r="19" spans="1:6" x14ac:dyDescent="0.35">
      <c r="A19" s="9" t="s">
        <v>302</v>
      </c>
      <c r="B19" s="9">
        <v>6812</v>
      </c>
      <c r="C19" s="9" t="s">
        <v>304</v>
      </c>
      <c r="D19" s="10">
        <v>10000</v>
      </c>
      <c r="E19" s="10">
        <f t="shared" si="0"/>
        <v>150000</v>
      </c>
      <c r="F19" s="10">
        <f t="shared" si="1"/>
        <v>20000</v>
      </c>
    </row>
    <row r="20" spans="1:6" x14ac:dyDescent="0.35">
      <c r="A20" s="9" t="s">
        <v>305</v>
      </c>
      <c r="B20" s="9">
        <v>7620</v>
      </c>
      <c r="C20" s="9" t="s">
        <v>304</v>
      </c>
      <c r="D20" s="10">
        <v>10000</v>
      </c>
      <c r="E20" s="10">
        <f t="shared" si="0"/>
        <v>160000</v>
      </c>
      <c r="F20" s="10">
        <f t="shared" si="1"/>
        <v>10000</v>
      </c>
    </row>
    <row r="21" spans="1:6" x14ac:dyDescent="0.35">
      <c r="A21" s="9" t="s">
        <v>306</v>
      </c>
      <c r="B21" s="9">
        <v>7911</v>
      </c>
      <c r="C21" s="9" t="s">
        <v>304</v>
      </c>
      <c r="D21" s="10">
        <v>10000</v>
      </c>
      <c r="E21" s="10">
        <f t="shared" si="0"/>
        <v>170000</v>
      </c>
      <c r="F21" s="10">
        <f t="shared" si="1"/>
        <v>0</v>
      </c>
    </row>
    <row r="23" spans="1:6" ht="18.5" x14ac:dyDescent="0.45">
      <c r="A23" s="28" t="s">
        <v>113</v>
      </c>
      <c r="B23" s="28"/>
      <c r="C23" s="28"/>
    </row>
    <row r="24" spans="1:6" ht="18.5" x14ac:dyDescent="0.45">
      <c r="A24" s="20" t="s">
        <v>1</v>
      </c>
      <c r="B24" s="20" t="s">
        <v>2</v>
      </c>
      <c r="C24" s="20" t="s">
        <v>3</v>
      </c>
      <c r="D24" s="20" t="s">
        <v>4</v>
      </c>
      <c r="E24" s="20" t="s">
        <v>5</v>
      </c>
      <c r="F24" s="20" t="s">
        <v>6</v>
      </c>
    </row>
    <row r="25" spans="1:6" x14ac:dyDescent="0.35">
      <c r="A25" t="s">
        <v>211</v>
      </c>
      <c r="B25">
        <v>8715</v>
      </c>
      <c r="C25" t="s">
        <v>47</v>
      </c>
      <c r="D25" s="8">
        <v>10000</v>
      </c>
      <c r="E25" s="8">
        <v>10000</v>
      </c>
      <c r="F25" s="8">
        <v>440000</v>
      </c>
    </row>
    <row r="26" spans="1:6" x14ac:dyDescent="0.35">
      <c r="A26" t="s">
        <v>307</v>
      </c>
      <c r="B26">
        <v>9258</v>
      </c>
      <c r="C26" t="s">
        <v>47</v>
      </c>
      <c r="D26" s="8">
        <v>10000</v>
      </c>
      <c r="E26" s="8">
        <f t="shared" ref="E26:E38" si="2">E25+D26</f>
        <v>20000</v>
      </c>
      <c r="F26" s="8">
        <f t="shared" ref="F26:F38" si="3">F25-D26</f>
        <v>430000</v>
      </c>
    </row>
    <row r="27" spans="1:6" x14ac:dyDescent="0.35">
      <c r="A27" s="7">
        <v>45420</v>
      </c>
      <c r="B27">
        <v>10043</v>
      </c>
      <c r="C27" t="s">
        <v>47</v>
      </c>
      <c r="D27" s="8">
        <v>10000</v>
      </c>
      <c r="E27" s="8">
        <f t="shared" si="2"/>
        <v>30000</v>
      </c>
      <c r="F27" s="8">
        <f t="shared" si="3"/>
        <v>420000</v>
      </c>
    </row>
    <row r="28" spans="1:6" x14ac:dyDescent="0.35">
      <c r="A28" s="7">
        <v>45544</v>
      </c>
      <c r="B28">
        <v>10626</v>
      </c>
      <c r="C28" t="s">
        <v>47</v>
      </c>
      <c r="D28" s="8">
        <v>20000</v>
      </c>
      <c r="E28" s="8">
        <f t="shared" si="2"/>
        <v>50000</v>
      </c>
      <c r="F28" s="8">
        <f t="shared" si="3"/>
        <v>400000</v>
      </c>
    </row>
    <row r="29" spans="1:6" x14ac:dyDescent="0.35">
      <c r="A29" s="7">
        <v>45483</v>
      </c>
      <c r="B29">
        <v>11458</v>
      </c>
      <c r="C29" t="s">
        <v>47</v>
      </c>
      <c r="D29" s="8">
        <v>10000</v>
      </c>
      <c r="E29" s="8">
        <f t="shared" si="2"/>
        <v>60000</v>
      </c>
      <c r="F29" s="8">
        <f t="shared" si="3"/>
        <v>390000</v>
      </c>
    </row>
    <row r="30" spans="1:6" x14ac:dyDescent="0.35">
      <c r="A30" s="7">
        <v>45787</v>
      </c>
      <c r="B30">
        <v>3252</v>
      </c>
      <c r="C30" t="s">
        <v>47</v>
      </c>
      <c r="D30" s="8">
        <v>10000</v>
      </c>
      <c r="E30" s="8">
        <f t="shared" si="2"/>
        <v>70000</v>
      </c>
      <c r="F30" s="8">
        <f t="shared" si="3"/>
        <v>380000</v>
      </c>
    </row>
    <row r="31" spans="1:6" x14ac:dyDescent="0.35">
      <c r="A31" t="s">
        <v>205</v>
      </c>
      <c r="B31">
        <v>5297</v>
      </c>
      <c r="C31" t="s">
        <v>47</v>
      </c>
      <c r="D31" s="8">
        <v>10000</v>
      </c>
      <c r="E31" s="8">
        <f t="shared" si="2"/>
        <v>80000</v>
      </c>
      <c r="F31" s="8">
        <f t="shared" si="3"/>
        <v>370000</v>
      </c>
    </row>
    <row r="32" spans="1:6" x14ac:dyDescent="0.35">
      <c r="A32" s="7">
        <v>46056</v>
      </c>
      <c r="B32">
        <v>5628</v>
      </c>
      <c r="C32" t="s">
        <v>47</v>
      </c>
      <c r="D32" s="8">
        <v>10000</v>
      </c>
      <c r="E32" s="8">
        <f t="shared" si="2"/>
        <v>90000</v>
      </c>
      <c r="F32" s="8">
        <f t="shared" si="3"/>
        <v>360000</v>
      </c>
    </row>
    <row r="33" spans="1:6" x14ac:dyDescent="0.35">
      <c r="A33" t="s">
        <v>319</v>
      </c>
      <c r="B33">
        <v>5800</v>
      </c>
      <c r="C33" t="s">
        <v>47</v>
      </c>
      <c r="D33" s="8">
        <v>5000</v>
      </c>
      <c r="E33" s="8">
        <f t="shared" si="2"/>
        <v>95000</v>
      </c>
      <c r="F33" s="8">
        <f t="shared" si="3"/>
        <v>355000</v>
      </c>
    </row>
    <row r="34" spans="1:6" x14ac:dyDescent="0.35">
      <c r="A34" t="s">
        <v>320</v>
      </c>
      <c r="B34">
        <v>1339</v>
      </c>
      <c r="C34" t="s">
        <v>47</v>
      </c>
      <c r="D34">
        <v>5000</v>
      </c>
      <c r="E34" s="8">
        <f t="shared" si="2"/>
        <v>100000</v>
      </c>
      <c r="F34" s="8">
        <f t="shared" si="3"/>
        <v>350000</v>
      </c>
    </row>
    <row r="35" spans="1:6" x14ac:dyDescent="0.35">
      <c r="A35" t="s">
        <v>321</v>
      </c>
      <c r="B35">
        <v>1552</v>
      </c>
      <c r="C35" t="s">
        <v>47</v>
      </c>
      <c r="D35">
        <v>5000</v>
      </c>
      <c r="E35" s="8">
        <f t="shared" si="2"/>
        <v>105000</v>
      </c>
      <c r="F35" s="8">
        <f t="shared" si="3"/>
        <v>345000</v>
      </c>
    </row>
    <row r="36" spans="1:6" x14ac:dyDescent="0.35">
      <c r="A36" s="7">
        <v>46060</v>
      </c>
      <c r="B36">
        <v>1745</v>
      </c>
      <c r="C36" t="s">
        <v>47</v>
      </c>
      <c r="D36">
        <v>5000</v>
      </c>
      <c r="E36" s="8">
        <f t="shared" si="2"/>
        <v>110000</v>
      </c>
      <c r="F36" s="8">
        <f t="shared" si="3"/>
        <v>340000</v>
      </c>
    </row>
    <row r="37" spans="1:6" x14ac:dyDescent="0.35">
      <c r="A37" t="s">
        <v>322</v>
      </c>
      <c r="B37">
        <v>3709</v>
      </c>
      <c r="C37" t="s">
        <v>47</v>
      </c>
      <c r="D37">
        <v>5000</v>
      </c>
      <c r="E37" s="8">
        <f t="shared" si="2"/>
        <v>115000</v>
      </c>
      <c r="F37" s="8">
        <f t="shared" si="3"/>
        <v>335000</v>
      </c>
    </row>
    <row r="38" spans="1:6" x14ac:dyDescent="0.35">
      <c r="A38" t="s">
        <v>287</v>
      </c>
      <c r="B38">
        <v>1951</v>
      </c>
      <c r="C38" t="s">
        <v>47</v>
      </c>
      <c r="D38" s="8">
        <v>100000</v>
      </c>
      <c r="E38" s="8">
        <f t="shared" si="2"/>
        <v>215000</v>
      </c>
      <c r="F38" s="8">
        <f t="shared" si="3"/>
        <v>235000</v>
      </c>
    </row>
    <row r="40" spans="1:6" x14ac:dyDescent="0.35">
      <c r="C40" s="30" t="s">
        <v>323</v>
      </c>
      <c r="D40" s="30"/>
    </row>
    <row r="41" spans="1:6" x14ac:dyDescent="0.35">
      <c r="C41" t="s">
        <v>324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37" workbookViewId="0">
      <selection activeCell="B53" sqref="B53"/>
    </sheetView>
  </sheetViews>
  <sheetFormatPr defaultRowHeight="14.5" x14ac:dyDescent="0.35"/>
  <cols>
    <col min="1" max="1" width="10.453125" bestFit="1" customWidth="1"/>
  </cols>
  <sheetData>
    <row r="1" spans="1:7" ht="18.5" x14ac:dyDescent="0.45">
      <c r="A1" s="12" t="s">
        <v>103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104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105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108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106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107</v>
      </c>
      <c r="B6" s="14"/>
      <c r="C6" s="14"/>
      <c r="D6" s="14" t="s">
        <v>67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1" t="s">
        <v>109</v>
      </c>
      <c r="B8" s="9">
        <v>1091</v>
      </c>
      <c r="C8" s="9" t="s">
        <v>100</v>
      </c>
      <c r="D8" s="10">
        <v>250000</v>
      </c>
      <c r="E8" s="10">
        <v>250000</v>
      </c>
      <c r="F8" s="10">
        <v>150000</v>
      </c>
    </row>
    <row r="9" spans="1:7" x14ac:dyDescent="0.35">
      <c r="A9" s="16">
        <v>45263</v>
      </c>
      <c r="B9" s="9">
        <v>2184</v>
      </c>
      <c r="C9" s="9" t="s">
        <v>78</v>
      </c>
      <c r="D9" s="10">
        <v>10000</v>
      </c>
      <c r="E9" s="10">
        <f t="shared" ref="E9:E22" si="0">E8+D9</f>
        <v>260000</v>
      </c>
      <c r="F9" s="10">
        <f t="shared" ref="F9:F22" si="1">F8-D9</f>
        <v>140000</v>
      </c>
    </row>
    <row r="10" spans="1:7" x14ac:dyDescent="0.35">
      <c r="A10" s="16">
        <v>45203</v>
      </c>
      <c r="B10" s="9">
        <v>1087</v>
      </c>
      <c r="C10" s="9" t="s">
        <v>78</v>
      </c>
      <c r="D10" s="10">
        <v>10000</v>
      </c>
      <c r="E10" s="10">
        <f t="shared" si="0"/>
        <v>270000</v>
      </c>
      <c r="F10" s="10">
        <f t="shared" si="1"/>
        <v>130000</v>
      </c>
    </row>
    <row r="11" spans="1:7" x14ac:dyDescent="0.35">
      <c r="A11" s="16">
        <v>45236</v>
      </c>
      <c r="B11" s="9">
        <v>444</v>
      </c>
      <c r="C11" s="9" t="s">
        <v>78</v>
      </c>
      <c r="D11" s="10">
        <v>10000</v>
      </c>
      <c r="E11" s="10">
        <f t="shared" si="0"/>
        <v>280000</v>
      </c>
      <c r="F11" s="10">
        <f t="shared" si="1"/>
        <v>120000</v>
      </c>
    </row>
    <row r="12" spans="1:7" x14ac:dyDescent="0.35">
      <c r="A12" s="1" t="s">
        <v>110</v>
      </c>
      <c r="B12" s="9">
        <v>1557</v>
      </c>
      <c r="C12" s="9" t="s">
        <v>78</v>
      </c>
      <c r="D12" s="10">
        <v>10000</v>
      </c>
      <c r="E12" s="10">
        <f t="shared" si="0"/>
        <v>290000</v>
      </c>
      <c r="F12" s="10">
        <f t="shared" si="1"/>
        <v>110000</v>
      </c>
    </row>
    <row r="13" spans="1:7" x14ac:dyDescent="0.35">
      <c r="A13" s="16">
        <v>45176</v>
      </c>
      <c r="B13" s="9">
        <v>2610</v>
      </c>
      <c r="C13" s="9" t="s">
        <v>78</v>
      </c>
      <c r="D13" s="10">
        <v>10000</v>
      </c>
      <c r="E13" s="10">
        <f t="shared" si="0"/>
        <v>300000</v>
      </c>
      <c r="F13" s="10">
        <f t="shared" si="1"/>
        <v>100000</v>
      </c>
    </row>
    <row r="14" spans="1:7" x14ac:dyDescent="0.35">
      <c r="A14" s="1" t="s">
        <v>111</v>
      </c>
      <c r="B14" s="9">
        <v>2405</v>
      </c>
      <c r="C14" s="9" t="s">
        <v>78</v>
      </c>
      <c r="D14" s="10">
        <v>10000</v>
      </c>
      <c r="E14" s="10">
        <f t="shared" si="0"/>
        <v>310000</v>
      </c>
      <c r="F14" s="10">
        <f t="shared" si="1"/>
        <v>90000</v>
      </c>
    </row>
    <row r="15" spans="1:7" x14ac:dyDescent="0.35">
      <c r="A15" s="16">
        <v>45208</v>
      </c>
      <c r="B15" s="9">
        <v>3495</v>
      </c>
      <c r="C15" s="9" t="s">
        <v>78</v>
      </c>
      <c r="D15" s="10">
        <v>10000</v>
      </c>
      <c r="E15" s="10">
        <f t="shared" si="0"/>
        <v>320000</v>
      </c>
      <c r="F15" s="10">
        <f t="shared" si="1"/>
        <v>80000</v>
      </c>
    </row>
    <row r="16" spans="1:7" x14ac:dyDescent="0.35">
      <c r="A16" s="16">
        <v>45148</v>
      </c>
      <c r="B16" s="9">
        <v>4078</v>
      </c>
      <c r="C16" s="9" t="s">
        <v>78</v>
      </c>
      <c r="D16" s="10">
        <v>10000</v>
      </c>
      <c r="E16" s="10">
        <f t="shared" si="0"/>
        <v>330000</v>
      </c>
      <c r="F16" s="10">
        <f t="shared" si="1"/>
        <v>70000</v>
      </c>
    </row>
    <row r="17" spans="1:6" x14ac:dyDescent="0.35">
      <c r="A17" s="16">
        <v>45057</v>
      </c>
      <c r="B17" s="9">
        <v>4632</v>
      </c>
      <c r="C17" s="9" t="s">
        <v>78</v>
      </c>
      <c r="D17" s="10">
        <v>10000</v>
      </c>
      <c r="E17" s="10">
        <f t="shared" si="0"/>
        <v>340000</v>
      </c>
      <c r="F17" s="10">
        <f t="shared" si="1"/>
        <v>60000</v>
      </c>
    </row>
    <row r="18" spans="1:6" x14ac:dyDescent="0.35">
      <c r="A18" s="16">
        <v>45211</v>
      </c>
      <c r="B18" s="9">
        <v>5405</v>
      </c>
      <c r="C18" s="9" t="s">
        <v>78</v>
      </c>
      <c r="D18" s="10">
        <v>10000</v>
      </c>
      <c r="E18" s="10">
        <f t="shared" si="0"/>
        <v>350000</v>
      </c>
      <c r="F18" s="10">
        <f t="shared" si="1"/>
        <v>50000</v>
      </c>
    </row>
    <row r="19" spans="1:6" x14ac:dyDescent="0.35">
      <c r="A19" s="16">
        <v>45474</v>
      </c>
      <c r="B19" s="9">
        <v>5950</v>
      </c>
      <c r="C19" s="9" t="s">
        <v>78</v>
      </c>
      <c r="D19" s="10">
        <v>10000</v>
      </c>
      <c r="E19" s="10">
        <f t="shared" si="0"/>
        <v>360000</v>
      </c>
      <c r="F19" s="10">
        <f t="shared" si="1"/>
        <v>40000</v>
      </c>
    </row>
    <row r="20" spans="1:6" x14ac:dyDescent="0.35">
      <c r="A20" s="1" t="s">
        <v>112</v>
      </c>
      <c r="B20" s="9">
        <v>6540</v>
      </c>
      <c r="C20" s="9" t="s">
        <v>78</v>
      </c>
      <c r="D20" s="10">
        <v>10000</v>
      </c>
      <c r="E20" s="10">
        <f t="shared" si="0"/>
        <v>370000</v>
      </c>
      <c r="F20" s="10">
        <f t="shared" si="1"/>
        <v>30000</v>
      </c>
    </row>
    <row r="21" spans="1:6" x14ac:dyDescent="0.35">
      <c r="A21" s="16">
        <v>45354</v>
      </c>
      <c r="B21" s="9">
        <v>6866</v>
      </c>
      <c r="C21" s="9" t="s">
        <v>78</v>
      </c>
      <c r="D21" s="10">
        <v>10000</v>
      </c>
      <c r="E21" s="10">
        <f t="shared" si="0"/>
        <v>380000</v>
      </c>
      <c r="F21" s="10">
        <f t="shared" si="1"/>
        <v>20000</v>
      </c>
    </row>
    <row r="22" spans="1:6" x14ac:dyDescent="0.35">
      <c r="A22" s="16">
        <v>45508</v>
      </c>
      <c r="B22" s="9">
        <v>7662</v>
      </c>
      <c r="C22" s="9" t="s">
        <v>78</v>
      </c>
      <c r="D22" s="10">
        <v>20000</v>
      </c>
      <c r="E22" s="10">
        <f t="shared" si="0"/>
        <v>400000</v>
      </c>
      <c r="F22" s="10">
        <f t="shared" si="1"/>
        <v>0</v>
      </c>
    </row>
    <row r="24" spans="1:6" ht="18.5" x14ac:dyDescent="0.45">
      <c r="A24" s="12" t="s">
        <v>113</v>
      </c>
      <c r="B24" s="12"/>
      <c r="C24" s="12"/>
    </row>
    <row r="25" spans="1:6" x14ac:dyDescent="0.35">
      <c r="A25" s="11">
        <v>45417</v>
      </c>
      <c r="B25" s="9">
        <v>263</v>
      </c>
      <c r="C25" s="10" t="s">
        <v>115</v>
      </c>
      <c r="D25" s="10">
        <v>25000</v>
      </c>
      <c r="E25" s="10">
        <v>25000</v>
      </c>
      <c r="F25" s="10">
        <v>425000</v>
      </c>
    </row>
    <row r="26" spans="1:6" x14ac:dyDescent="0.35">
      <c r="A26" s="11">
        <v>45541</v>
      </c>
      <c r="B26" s="9">
        <v>40</v>
      </c>
      <c r="C26" s="10" t="s">
        <v>115</v>
      </c>
      <c r="D26" s="10">
        <v>25000</v>
      </c>
      <c r="E26" s="10">
        <f t="shared" ref="E26:E51" si="2">E25+D26</f>
        <v>50000</v>
      </c>
      <c r="F26" s="10">
        <f t="shared" ref="F26:F51" si="3">F25-D26</f>
        <v>400000</v>
      </c>
    </row>
    <row r="27" spans="1:6" x14ac:dyDescent="0.35">
      <c r="A27" s="11">
        <v>45480</v>
      </c>
      <c r="B27" s="9">
        <v>92</v>
      </c>
      <c r="C27" s="10" t="s">
        <v>115</v>
      </c>
      <c r="D27" s="10">
        <v>10000</v>
      </c>
      <c r="E27" s="10">
        <f t="shared" si="2"/>
        <v>60000</v>
      </c>
      <c r="F27" s="10">
        <f t="shared" si="3"/>
        <v>390000</v>
      </c>
    </row>
    <row r="28" spans="1:6" x14ac:dyDescent="0.35">
      <c r="A28" s="11">
        <v>45390</v>
      </c>
      <c r="B28" s="9">
        <v>134</v>
      </c>
      <c r="C28" s="10" t="s">
        <v>115</v>
      </c>
      <c r="D28" s="10">
        <v>10000</v>
      </c>
      <c r="E28" s="10">
        <f t="shared" si="2"/>
        <v>70000</v>
      </c>
      <c r="F28" s="10">
        <f t="shared" si="3"/>
        <v>380000</v>
      </c>
    </row>
    <row r="29" spans="1:6" x14ac:dyDescent="0.35">
      <c r="A29" s="11">
        <v>45513</v>
      </c>
      <c r="B29" s="9">
        <v>10583</v>
      </c>
      <c r="C29" s="10" t="s">
        <v>115</v>
      </c>
      <c r="D29" s="10">
        <v>10000</v>
      </c>
      <c r="E29" s="10">
        <f t="shared" si="2"/>
        <v>80000</v>
      </c>
      <c r="F29" s="10">
        <f t="shared" si="3"/>
        <v>370000</v>
      </c>
    </row>
    <row r="30" spans="1:6" x14ac:dyDescent="0.35">
      <c r="A30" s="11">
        <v>45453</v>
      </c>
      <c r="B30" s="9">
        <v>357</v>
      </c>
      <c r="C30" s="10" t="s">
        <v>115</v>
      </c>
      <c r="D30" s="10">
        <v>10000</v>
      </c>
      <c r="E30" s="10">
        <f t="shared" si="2"/>
        <v>90000</v>
      </c>
      <c r="F30" s="10">
        <f t="shared" si="3"/>
        <v>360000</v>
      </c>
    </row>
    <row r="31" spans="1:6" x14ac:dyDescent="0.35">
      <c r="A31" s="11">
        <v>45362</v>
      </c>
      <c r="B31" s="9">
        <v>269</v>
      </c>
      <c r="C31" s="10" t="s">
        <v>115</v>
      </c>
      <c r="D31" s="10">
        <v>10000</v>
      </c>
      <c r="E31" s="10">
        <f t="shared" si="2"/>
        <v>100000</v>
      </c>
      <c r="F31" s="10">
        <f t="shared" si="3"/>
        <v>350000</v>
      </c>
    </row>
    <row r="32" spans="1:6" x14ac:dyDescent="0.35">
      <c r="A32" s="11">
        <v>45516</v>
      </c>
      <c r="B32" s="9">
        <v>286</v>
      </c>
      <c r="C32" s="10" t="s">
        <v>115</v>
      </c>
      <c r="D32" s="10">
        <v>10000</v>
      </c>
      <c r="E32" s="10">
        <f t="shared" si="2"/>
        <v>110000</v>
      </c>
      <c r="F32" s="10">
        <f t="shared" si="3"/>
        <v>340000</v>
      </c>
    </row>
    <row r="33" spans="1:6" x14ac:dyDescent="0.35">
      <c r="A33" s="11">
        <v>45778</v>
      </c>
      <c r="B33" s="9"/>
      <c r="C33" s="10" t="s">
        <v>115</v>
      </c>
      <c r="D33" s="10">
        <v>10000</v>
      </c>
      <c r="E33" s="10">
        <f t="shared" si="2"/>
        <v>120000</v>
      </c>
      <c r="F33" s="10">
        <f t="shared" si="3"/>
        <v>330000</v>
      </c>
    </row>
    <row r="34" spans="1:6" x14ac:dyDescent="0.35">
      <c r="A34" s="11">
        <v>45690</v>
      </c>
      <c r="B34" s="9">
        <v>920</v>
      </c>
      <c r="C34" s="10" t="s">
        <v>115</v>
      </c>
      <c r="D34" s="10">
        <v>10000</v>
      </c>
      <c r="E34" s="10">
        <f t="shared" si="2"/>
        <v>130000</v>
      </c>
      <c r="F34" s="10">
        <f t="shared" si="3"/>
        <v>320000</v>
      </c>
    </row>
    <row r="35" spans="1:6" x14ac:dyDescent="0.35">
      <c r="A35" s="11">
        <v>45903</v>
      </c>
      <c r="B35" s="9">
        <v>991</v>
      </c>
      <c r="C35" s="10" t="s">
        <v>115</v>
      </c>
      <c r="D35" s="10">
        <v>10000</v>
      </c>
      <c r="E35" s="10">
        <f t="shared" si="2"/>
        <v>140000</v>
      </c>
      <c r="F35" s="10">
        <f t="shared" si="3"/>
        <v>310000</v>
      </c>
    </row>
    <row r="36" spans="1:6" x14ac:dyDescent="0.35">
      <c r="A36" s="11">
        <v>45812</v>
      </c>
      <c r="B36" s="9">
        <v>705</v>
      </c>
      <c r="C36" s="10" t="s">
        <v>115</v>
      </c>
      <c r="D36" s="10">
        <v>10000</v>
      </c>
      <c r="E36" s="10">
        <f t="shared" si="2"/>
        <v>150000</v>
      </c>
      <c r="F36" s="10">
        <f t="shared" si="3"/>
        <v>300000</v>
      </c>
    </row>
    <row r="37" spans="1:6" x14ac:dyDescent="0.35">
      <c r="A37" s="11">
        <v>45936</v>
      </c>
      <c r="B37" s="9">
        <v>649</v>
      </c>
      <c r="C37" s="10" t="s">
        <v>115</v>
      </c>
      <c r="D37" s="10">
        <v>20000</v>
      </c>
      <c r="E37" s="10">
        <f t="shared" si="2"/>
        <v>170000</v>
      </c>
      <c r="F37" s="10">
        <f t="shared" si="3"/>
        <v>280000</v>
      </c>
    </row>
    <row r="38" spans="1:6" x14ac:dyDescent="0.35">
      <c r="A38" s="9" t="s">
        <v>88</v>
      </c>
      <c r="B38" s="9">
        <v>3060</v>
      </c>
      <c r="C38" s="10" t="s">
        <v>115</v>
      </c>
      <c r="D38" s="10">
        <v>10000</v>
      </c>
      <c r="E38" s="10">
        <f t="shared" si="2"/>
        <v>180000</v>
      </c>
      <c r="F38" s="10">
        <f t="shared" si="3"/>
        <v>270000</v>
      </c>
    </row>
    <row r="39" spans="1:6" x14ac:dyDescent="0.35">
      <c r="A39" s="11">
        <v>45724</v>
      </c>
      <c r="B39" s="9">
        <v>12367</v>
      </c>
      <c r="C39" s="10" t="s">
        <v>115</v>
      </c>
      <c r="D39" s="10">
        <v>10000</v>
      </c>
      <c r="E39" s="10">
        <f t="shared" si="2"/>
        <v>190000</v>
      </c>
      <c r="F39" s="10">
        <f t="shared" si="3"/>
        <v>260000</v>
      </c>
    </row>
    <row r="40" spans="1:6" x14ac:dyDescent="0.35">
      <c r="A40" s="11">
        <v>45847</v>
      </c>
      <c r="B40" s="9">
        <v>3480</v>
      </c>
      <c r="C40" s="10" t="s">
        <v>115</v>
      </c>
      <c r="D40" s="10">
        <v>10000</v>
      </c>
      <c r="E40" s="10">
        <f t="shared" si="2"/>
        <v>200000</v>
      </c>
      <c r="F40" s="10">
        <f t="shared" si="3"/>
        <v>250000</v>
      </c>
    </row>
    <row r="41" spans="1:6" x14ac:dyDescent="0.35">
      <c r="A41" s="11">
        <v>45787</v>
      </c>
      <c r="B41" s="9">
        <v>3247</v>
      </c>
      <c r="C41" s="10" t="s">
        <v>115</v>
      </c>
      <c r="D41" s="10">
        <v>10000</v>
      </c>
      <c r="E41" s="10">
        <f t="shared" si="2"/>
        <v>210000</v>
      </c>
      <c r="F41" s="10">
        <f t="shared" si="3"/>
        <v>240000</v>
      </c>
    </row>
    <row r="42" spans="1:6" x14ac:dyDescent="0.35">
      <c r="A42" s="11">
        <v>45911</v>
      </c>
      <c r="B42" s="9">
        <v>3659</v>
      </c>
      <c r="C42" s="10" t="s">
        <v>115</v>
      </c>
      <c r="D42" s="10">
        <v>10000</v>
      </c>
      <c r="E42" s="10">
        <f t="shared" si="2"/>
        <v>220000</v>
      </c>
      <c r="F42" s="10">
        <f t="shared" si="3"/>
        <v>230000</v>
      </c>
    </row>
    <row r="43" spans="1:6" x14ac:dyDescent="0.35">
      <c r="A43" s="9" t="s">
        <v>114</v>
      </c>
      <c r="B43" s="9">
        <v>3890</v>
      </c>
      <c r="C43" s="10" t="s">
        <v>115</v>
      </c>
      <c r="D43" s="10">
        <v>10000</v>
      </c>
      <c r="E43" s="10">
        <f t="shared" si="2"/>
        <v>230000</v>
      </c>
      <c r="F43" s="10">
        <f t="shared" si="3"/>
        <v>220000</v>
      </c>
    </row>
    <row r="44" spans="1:6" x14ac:dyDescent="0.35">
      <c r="A44" s="11">
        <v>46113</v>
      </c>
      <c r="B44" s="9">
        <v>5208</v>
      </c>
      <c r="C44" s="10" t="s">
        <v>115</v>
      </c>
      <c r="D44" s="10">
        <v>10000</v>
      </c>
      <c r="E44" s="10">
        <f t="shared" si="2"/>
        <v>240000</v>
      </c>
      <c r="F44" s="10">
        <f t="shared" si="3"/>
        <v>210000</v>
      </c>
    </row>
    <row r="45" spans="1:6" x14ac:dyDescent="0.35">
      <c r="A45" s="11">
        <v>46236</v>
      </c>
      <c r="B45" s="9">
        <v>5454</v>
      </c>
      <c r="C45" s="10" t="s">
        <v>115</v>
      </c>
      <c r="D45" s="10">
        <v>10000</v>
      </c>
      <c r="E45" s="10">
        <f t="shared" si="2"/>
        <v>250000</v>
      </c>
      <c r="F45" s="10">
        <f t="shared" si="3"/>
        <v>200000</v>
      </c>
    </row>
    <row r="46" spans="1:6" x14ac:dyDescent="0.35">
      <c r="A46" s="11">
        <v>46237</v>
      </c>
      <c r="B46" s="9">
        <v>5669</v>
      </c>
      <c r="C46" s="10" t="s">
        <v>115</v>
      </c>
      <c r="D46" s="10">
        <v>10000</v>
      </c>
      <c r="E46" s="10">
        <f t="shared" si="2"/>
        <v>260000</v>
      </c>
      <c r="F46" s="10">
        <f t="shared" si="3"/>
        <v>190000</v>
      </c>
    </row>
    <row r="47" spans="1:6" x14ac:dyDescent="0.35">
      <c r="A47" s="11">
        <v>46146</v>
      </c>
      <c r="B47" s="9">
        <v>5837</v>
      </c>
      <c r="C47" s="10" t="s">
        <v>115</v>
      </c>
      <c r="D47" s="10">
        <v>10000</v>
      </c>
      <c r="E47" s="10">
        <f t="shared" si="2"/>
        <v>270000</v>
      </c>
      <c r="F47" s="10">
        <f t="shared" si="3"/>
        <v>180000</v>
      </c>
    </row>
    <row r="48" spans="1:6" x14ac:dyDescent="0.35">
      <c r="A48" s="11">
        <v>46086</v>
      </c>
      <c r="B48" s="9">
        <v>1361</v>
      </c>
      <c r="C48" s="10" t="s">
        <v>115</v>
      </c>
      <c r="D48" s="10">
        <v>10000</v>
      </c>
      <c r="E48" s="10">
        <f t="shared" si="2"/>
        <v>280000</v>
      </c>
      <c r="F48" s="10">
        <f t="shared" si="3"/>
        <v>170000</v>
      </c>
    </row>
    <row r="49" spans="1:6" x14ac:dyDescent="0.35">
      <c r="A49" s="11">
        <v>45844</v>
      </c>
      <c r="B49" s="9">
        <v>1586</v>
      </c>
      <c r="C49" s="10" t="s">
        <v>115</v>
      </c>
      <c r="D49" s="10">
        <v>10000</v>
      </c>
      <c r="E49" s="10">
        <f t="shared" si="2"/>
        <v>290000</v>
      </c>
      <c r="F49" s="10">
        <f t="shared" si="3"/>
        <v>160000</v>
      </c>
    </row>
    <row r="50" spans="1:6" x14ac:dyDescent="0.35">
      <c r="A50" s="16">
        <v>46149</v>
      </c>
      <c r="B50" s="1">
        <v>1758</v>
      </c>
      <c r="C50" s="2" t="s">
        <v>115</v>
      </c>
      <c r="D50" s="2">
        <v>10000</v>
      </c>
      <c r="E50" s="2">
        <f t="shared" si="2"/>
        <v>300000</v>
      </c>
      <c r="F50" s="2">
        <f t="shared" si="3"/>
        <v>150000</v>
      </c>
    </row>
    <row r="51" spans="1:6" x14ac:dyDescent="0.35">
      <c r="A51" s="16">
        <v>46273</v>
      </c>
      <c r="B51" s="1">
        <v>3747</v>
      </c>
      <c r="C51" s="2" t="s">
        <v>115</v>
      </c>
      <c r="D51" s="2">
        <v>10000</v>
      </c>
      <c r="E51" s="2">
        <f t="shared" si="2"/>
        <v>310000</v>
      </c>
      <c r="F51" s="2">
        <f t="shared" si="3"/>
        <v>140000</v>
      </c>
    </row>
    <row r="52" spans="1:6" x14ac:dyDescent="0.35">
      <c r="A52" s="1" t="s">
        <v>402</v>
      </c>
      <c r="B52" s="1">
        <v>1988</v>
      </c>
      <c r="C52" s="2" t="s">
        <v>115</v>
      </c>
      <c r="D52" s="2">
        <v>10000</v>
      </c>
      <c r="E52" s="2">
        <f>E51+D52</f>
        <v>320000</v>
      </c>
      <c r="F52" s="2">
        <f>F51-D52</f>
        <v>130000</v>
      </c>
    </row>
    <row r="53" spans="1:6" x14ac:dyDescent="0.35">
      <c r="A53" s="16">
        <v>46152</v>
      </c>
      <c r="B53" s="1">
        <v>2154</v>
      </c>
      <c r="C53" s="2" t="s">
        <v>115</v>
      </c>
      <c r="D53" s="2">
        <v>10000</v>
      </c>
      <c r="E53" s="2">
        <f>E52+D53</f>
        <v>330000</v>
      </c>
      <c r="F53" s="2">
        <f>F52-D53</f>
        <v>120000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41" workbookViewId="0">
      <selection activeCell="N55" sqref="N55"/>
    </sheetView>
  </sheetViews>
  <sheetFormatPr defaultRowHeight="14.5" x14ac:dyDescent="0.35"/>
  <cols>
    <col min="1" max="1" width="10.453125" bestFit="1" customWidth="1"/>
    <col min="3" max="3" width="13.1796875" customWidth="1"/>
    <col min="4" max="4" width="12.26953125" customWidth="1"/>
    <col min="5" max="5" width="9.26953125" customWidth="1"/>
    <col min="6" max="6" width="12.1796875" customWidth="1"/>
    <col min="7" max="7" width="9.08984375" customWidth="1"/>
  </cols>
  <sheetData>
    <row r="1" spans="1:7" ht="18.5" x14ac:dyDescent="0.45">
      <c r="A1" s="12" t="s">
        <v>325</v>
      </c>
      <c r="B1" s="12"/>
      <c r="C1" s="12"/>
      <c r="D1" s="12"/>
      <c r="E1" s="12"/>
      <c r="F1" s="12"/>
      <c r="G1" s="13"/>
    </row>
    <row r="2" spans="1:7" ht="18.5" x14ac:dyDescent="0.45">
      <c r="A2" s="39" t="s">
        <v>326</v>
      </c>
      <c r="B2" s="39"/>
      <c r="C2" s="39"/>
      <c r="D2" s="39"/>
      <c r="E2" s="39"/>
      <c r="F2" s="39"/>
      <c r="G2" s="13"/>
    </row>
    <row r="3" spans="1:7" ht="18.5" x14ac:dyDescent="0.45">
      <c r="A3" s="39" t="s">
        <v>327</v>
      </c>
      <c r="B3" s="39"/>
      <c r="C3" s="39"/>
      <c r="D3" s="39"/>
      <c r="E3" s="39"/>
      <c r="F3" s="39"/>
      <c r="G3" s="13"/>
    </row>
    <row r="4" spans="1:7" ht="18.5" x14ac:dyDescent="0.45">
      <c r="A4" s="39" t="s">
        <v>330</v>
      </c>
      <c r="B4" s="39"/>
      <c r="C4" s="39"/>
      <c r="D4" s="39"/>
      <c r="E4" s="39"/>
      <c r="F4" s="39"/>
      <c r="G4" s="13"/>
    </row>
    <row r="5" spans="1:7" ht="18.5" x14ac:dyDescent="0.45">
      <c r="A5" s="39" t="s">
        <v>328</v>
      </c>
      <c r="B5" s="39"/>
      <c r="C5" s="39"/>
      <c r="D5" s="39"/>
      <c r="E5" s="39"/>
      <c r="F5" s="39"/>
      <c r="G5" s="13"/>
    </row>
    <row r="6" spans="1:7" ht="18.5" x14ac:dyDescent="0.45">
      <c r="A6" s="39" t="s">
        <v>329</v>
      </c>
      <c r="B6" s="39"/>
      <c r="C6" s="39"/>
      <c r="D6" s="39" t="s">
        <v>97</v>
      </c>
      <c r="E6" s="39"/>
      <c r="F6" s="39"/>
      <c r="G6" s="13"/>
    </row>
    <row r="7" spans="1:7" ht="18.5" x14ac:dyDescent="0.45">
      <c r="A7" s="38" t="s">
        <v>403</v>
      </c>
      <c r="B7" s="38" t="s">
        <v>2</v>
      </c>
      <c r="C7" s="38" t="s">
        <v>3</v>
      </c>
      <c r="D7" s="38" t="s">
        <v>4</v>
      </c>
      <c r="E7" s="38" t="s">
        <v>5</v>
      </c>
      <c r="F7" s="38" t="s">
        <v>6</v>
      </c>
      <c r="G7" s="13"/>
    </row>
    <row r="8" spans="1:7" x14ac:dyDescent="0.35">
      <c r="A8" s="11">
        <v>44603</v>
      </c>
      <c r="B8" s="9">
        <v>1692</v>
      </c>
      <c r="C8" s="9" t="s">
        <v>336</v>
      </c>
      <c r="D8" s="10">
        <v>150000</v>
      </c>
      <c r="E8" s="10">
        <v>150000</v>
      </c>
      <c r="F8" s="10">
        <v>450000</v>
      </c>
    </row>
    <row r="9" spans="1:7" x14ac:dyDescent="0.35">
      <c r="A9" s="11">
        <v>45079</v>
      </c>
      <c r="B9" s="9">
        <v>1643</v>
      </c>
      <c r="C9" s="9" t="s">
        <v>336</v>
      </c>
      <c r="D9" s="10">
        <v>20000</v>
      </c>
      <c r="E9" s="10">
        <f t="shared" ref="E9:E50" si="0">E8+D9</f>
        <v>170000</v>
      </c>
      <c r="F9" s="10">
        <f t="shared" ref="F9:F49" si="1">F8-D9</f>
        <v>430000</v>
      </c>
    </row>
    <row r="10" spans="1:7" x14ac:dyDescent="0.35">
      <c r="A10" s="1" t="s">
        <v>331</v>
      </c>
      <c r="B10" s="9">
        <v>371</v>
      </c>
      <c r="C10" s="1" t="s">
        <v>212</v>
      </c>
      <c r="D10" s="10">
        <v>20000</v>
      </c>
      <c r="E10" s="10">
        <f t="shared" si="0"/>
        <v>190000</v>
      </c>
      <c r="F10" s="10">
        <f t="shared" si="1"/>
        <v>410000</v>
      </c>
    </row>
    <row r="11" spans="1:7" x14ac:dyDescent="0.35">
      <c r="A11" s="9" t="s">
        <v>332</v>
      </c>
      <c r="B11" s="9">
        <v>1346</v>
      </c>
      <c r="C11" s="1" t="s">
        <v>212</v>
      </c>
      <c r="D11" s="10">
        <v>10000</v>
      </c>
      <c r="E11" s="10">
        <f t="shared" si="0"/>
        <v>200000</v>
      </c>
      <c r="F11" s="10">
        <f t="shared" si="1"/>
        <v>400000</v>
      </c>
    </row>
    <row r="12" spans="1:7" x14ac:dyDescent="0.35">
      <c r="A12" s="9" t="s">
        <v>333</v>
      </c>
      <c r="B12" s="9">
        <v>670</v>
      </c>
      <c r="C12" s="1" t="s">
        <v>212</v>
      </c>
      <c r="D12" s="10">
        <v>10000</v>
      </c>
      <c r="E12" s="10">
        <f t="shared" si="0"/>
        <v>210000</v>
      </c>
      <c r="F12" s="10">
        <f t="shared" si="1"/>
        <v>390000</v>
      </c>
    </row>
    <row r="13" spans="1:7" x14ac:dyDescent="0.35">
      <c r="A13" s="11">
        <v>45144</v>
      </c>
      <c r="B13" s="9">
        <v>366</v>
      </c>
      <c r="C13" s="1" t="s">
        <v>212</v>
      </c>
      <c r="D13" s="10">
        <v>10000</v>
      </c>
      <c r="E13" s="10">
        <f t="shared" si="0"/>
        <v>220000</v>
      </c>
      <c r="F13" s="10">
        <f t="shared" si="1"/>
        <v>380000</v>
      </c>
    </row>
    <row r="14" spans="1:7" x14ac:dyDescent="0.35">
      <c r="A14" s="11">
        <v>45177</v>
      </c>
      <c r="B14" s="9">
        <v>2309</v>
      </c>
      <c r="C14" s="1" t="s">
        <v>212</v>
      </c>
      <c r="D14" s="10">
        <v>10000</v>
      </c>
      <c r="E14" s="10">
        <f t="shared" si="0"/>
        <v>230000</v>
      </c>
      <c r="F14" s="10">
        <f t="shared" si="1"/>
        <v>370000</v>
      </c>
    </row>
    <row r="15" spans="1:7" x14ac:dyDescent="0.35">
      <c r="A15" s="11">
        <v>44967</v>
      </c>
      <c r="B15" s="9">
        <v>249</v>
      </c>
      <c r="C15" s="1" t="s">
        <v>212</v>
      </c>
      <c r="D15" s="10">
        <v>10000</v>
      </c>
      <c r="E15" s="10">
        <f t="shared" si="0"/>
        <v>240000</v>
      </c>
      <c r="F15" s="10">
        <f t="shared" si="1"/>
        <v>360000</v>
      </c>
    </row>
    <row r="16" spans="1:7" x14ac:dyDescent="0.35">
      <c r="A16" s="11">
        <v>44937</v>
      </c>
      <c r="B16" s="9">
        <v>4598</v>
      </c>
      <c r="C16" s="1" t="s">
        <v>212</v>
      </c>
      <c r="D16" s="10">
        <v>10000</v>
      </c>
      <c r="E16" s="10">
        <f t="shared" si="0"/>
        <v>250000</v>
      </c>
      <c r="F16" s="10">
        <f t="shared" si="1"/>
        <v>350000</v>
      </c>
    </row>
    <row r="17" spans="1:6" x14ac:dyDescent="0.35">
      <c r="A17" s="9" t="s">
        <v>334</v>
      </c>
      <c r="B17" s="9">
        <v>5205</v>
      </c>
      <c r="C17" s="1" t="s">
        <v>212</v>
      </c>
      <c r="D17" s="10">
        <v>15000</v>
      </c>
      <c r="E17" s="10">
        <f t="shared" si="0"/>
        <v>265000</v>
      </c>
      <c r="F17" s="10">
        <f t="shared" si="1"/>
        <v>335000</v>
      </c>
    </row>
    <row r="18" spans="1:6" x14ac:dyDescent="0.35">
      <c r="A18" s="9" t="s">
        <v>335</v>
      </c>
      <c r="B18" s="9">
        <v>5730</v>
      </c>
      <c r="C18" s="1" t="s">
        <v>212</v>
      </c>
      <c r="D18" s="10">
        <v>15000</v>
      </c>
      <c r="E18" s="10">
        <f t="shared" si="0"/>
        <v>280000</v>
      </c>
      <c r="F18" s="10">
        <f t="shared" si="1"/>
        <v>320000</v>
      </c>
    </row>
    <row r="19" spans="1:6" x14ac:dyDescent="0.35">
      <c r="A19" s="11">
        <v>45598</v>
      </c>
      <c r="B19" s="9">
        <v>7091</v>
      </c>
      <c r="C19" s="1" t="s">
        <v>212</v>
      </c>
      <c r="D19" s="10">
        <v>10000</v>
      </c>
      <c r="E19" s="10">
        <f t="shared" si="0"/>
        <v>290000</v>
      </c>
      <c r="F19" s="10">
        <f t="shared" si="1"/>
        <v>310000</v>
      </c>
    </row>
    <row r="20" spans="1:6" x14ac:dyDescent="0.35">
      <c r="A20" s="11" t="s">
        <v>350</v>
      </c>
      <c r="B20" s="9">
        <v>7378</v>
      </c>
      <c r="C20" s="1" t="s">
        <v>212</v>
      </c>
      <c r="D20" s="10">
        <v>10000</v>
      </c>
      <c r="E20" s="10">
        <f t="shared" si="0"/>
        <v>300000</v>
      </c>
      <c r="F20" s="10">
        <f t="shared" si="1"/>
        <v>300000</v>
      </c>
    </row>
    <row r="21" spans="1:6" x14ac:dyDescent="0.35">
      <c r="A21" s="11">
        <v>45539</v>
      </c>
      <c r="B21" s="9">
        <v>8825</v>
      </c>
      <c r="C21" s="1" t="s">
        <v>212</v>
      </c>
      <c r="D21" s="10">
        <v>10000</v>
      </c>
      <c r="E21" s="10">
        <f t="shared" si="0"/>
        <v>310000</v>
      </c>
      <c r="F21" s="10">
        <f t="shared" si="1"/>
        <v>290000</v>
      </c>
    </row>
    <row r="22" spans="1:6" x14ac:dyDescent="0.35">
      <c r="A22" s="11" t="s">
        <v>351</v>
      </c>
      <c r="B22" s="9">
        <v>8515</v>
      </c>
      <c r="C22" s="1" t="s">
        <v>212</v>
      </c>
      <c r="D22" s="10">
        <v>10000</v>
      </c>
      <c r="E22" s="10">
        <f t="shared" si="0"/>
        <v>320000</v>
      </c>
      <c r="F22" s="10">
        <f t="shared" si="1"/>
        <v>280000</v>
      </c>
    </row>
    <row r="23" spans="1:6" x14ac:dyDescent="0.35">
      <c r="A23" s="11">
        <v>45328</v>
      </c>
      <c r="B23" s="9">
        <v>8824</v>
      </c>
      <c r="C23" s="1" t="s">
        <v>212</v>
      </c>
      <c r="D23" s="10">
        <v>10000</v>
      </c>
      <c r="E23" s="10">
        <f t="shared" si="0"/>
        <v>330000</v>
      </c>
      <c r="F23" s="10">
        <f t="shared" si="1"/>
        <v>270000</v>
      </c>
    </row>
    <row r="24" spans="1:6" x14ac:dyDescent="0.35">
      <c r="A24" s="9" t="s">
        <v>337</v>
      </c>
      <c r="B24" s="9">
        <v>6356</v>
      </c>
      <c r="C24" s="1" t="s">
        <v>212</v>
      </c>
      <c r="D24" s="10">
        <v>10000</v>
      </c>
      <c r="E24" s="10">
        <f t="shared" si="0"/>
        <v>340000</v>
      </c>
      <c r="F24" s="10">
        <f t="shared" si="1"/>
        <v>260000</v>
      </c>
    </row>
    <row r="25" spans="1:6" x14ac:dyDescent="0.35">
      <c r="A25" s="9" t="s">
        <v>338</v>
      </c>
      <c r="B25" s="9">
        <v>19904</v>
      </c>
      <c r="C25" s="1" t="s">
        <v>212</v>
      </c>
      <c r="D25" s="10">
        <v>10000</v>
      </c>
      <c r="E25" s="10">
        <f t="shared" si="0"/>
        <v>350000</v>
      </c>
      <c r="F25" s="10">
        <f t="shared" si="1"/>
        <v>250000</v>
      </c>
    </row>
    <row r="26" spans="1:6" x14ac:dyDescent="0.35">
      <c r="A26" s="9" t="s">
        <v>339</v>
      </c>
      <c r="B26" s="9">
        <v>10904</v>
      </c>
      <c r="C26" s="1" t="s">
        <v>212</v>
      </c>
      <c r="D26" s="10">
        <v>10000</v>
      </c>
      <c r="E26" s="10">
        <f t="shared" si="0"/>
        <v>360000</v>
      </c>
      <c r="F26" s="10">
        <f t="shared" si="1"/>
        <v>240000</v>
      </c>
    </row>
    <row r="27" spans="1:6" x14ac:dyDescent="0.35">
      <c r="A27" s="9" t="s">
        <v>202</v>
      </c>
      <c r="B27" s="9">
        <v>10904</v>
      </c>
      <c r="C27" s="1" t="s">
        <v>212</v>
      </c>
      <c r="D27" s="10">
        <v>10000</v>
      </c>
      <c r="E27" s="10">
        <f t="shared" si="0"/>
        <v>370000</v>
      </c>
      <c r="F27" s="10">
        <f t="shared" si="1"/>
        <v>230000</v>
      </c>
    </row>
    <row r="28" spans="1:6" x14ac:dyDescent="0.35">
      <c r="A28" s="9" t="s">
        <v>340</v>
      </c>
      <c r="B28" s="9">
        <v>10904</v>
      </c>
      <c r="C28" s="1" t="s">
        <v>212</v>
      </c>
      <c r="D28" s="10">
        <v>10000</v>
      </c>
      <c r="E28" s="10">
        <f t="shared" si="0"/>
        <v>380000</v>
      </c>
      <c r="F28" s="10">
        <f t="shared" si="1"/>
        <v>220000</v>
      </c>
    </row>
    <row r="29" spans="1:6" x14ac:dyDescent="0.35">
      <c r="A29" s="11">
        <v>45576</v>
      </c>
      <c r="B29" s="9">
        <v>10903</v>
      </c>
      <c r="C29" s="1" t="s">
        <v>212</v>
      </c>
      <c r="D29" s="10">
        <v>10000</v>
      </c>
      <c r="E29" s="10">
        <f t="shared" si="0"/>
        <v>390000</v>
      </c>
      <c r="F29" s="10">
        <f t="shared" si="1"/>
        <v>210000</v>
      </c>
    </row>
    <row r="30" spans="1:6" x14ac:dyDescent="0.35">
      <c r="A30" s="9" t="s">
        <v>83</v>
      </c>
      <c r="B30" s="9">
        <v>10243</v>
      </c>
      <c r="C30" s="1" t="s">
        <v>212</v>
      </c>
      <c r="D30" s="10">
        <v>10000</v>
      </c>
      <c r="E30" s="10">
        <f t="shared" si="0"/>
        <v>400000</v>
      </c>
      <c r="F30" s="10">
        <f t="shared" si="1"/>
        <v>200000</v>
      </c>
    </row>
    <row r="31" spans="1:6" x14ac:dyDescent="0.35">
      <c r="A31" s="9" t="s">
        <v>249</v>
      </c>
      <c r="B31" s="9">
        <v>9066</v>
      </c>
      <c r="C31" s="1" t="s">
        <v>212</v>
      </c>
      <c r="D31" s="10">
        <v>10000</v>
      </c>
      <c r="E31" s="10">
        <f t="shared" si="0"/>
        <v>410000</v>
      </c>
      <c r="F31" s="10">
        <f t="shared" si="1"/>
        <v>190000</v>
      </c>
    </row>
    <row r="32" spans="1:6" x14ac:dyDescent="0.35">
      <c r="A32" s="9" t="s">
        <v>341</v>
      </c>
      <c r="B32" s="9">
        <v>9307</v>
      </c>
      <c r="C32" s="1" t="s">
        <v>212</v>
      </c>
      <c r="D32" s="10">
        <v>10000</v>
      </c>
      <c r="E32" s="10">
        <f t="shared" si="0"/>
        <v>420000</v>
      </c>
      <c r="F32" s="10">
        <f t="shared" si="1"/>
        <v>180000</v>
      </c>
    </row>
    <row r="33" spans="1:6" x14ac:dyDescent="0.35">
      <c r="A33" s="9" t="s">
        <v>342</v>
      </c>
      <c r="B33" s="9">
        <v>10244</v>
      </c>
      <c r="C33" s="1" t="s">
        <v>212</v>
      </c>
      <c r="D33" s="10">
        <v>10000</v>
      </c>
      <c r="E33" s="10">
        <f t="shared" si="0"/>
        <v>430000</v>
      </c>
      <c r="F33" s="10">
        <f t="shared" si="1"/>
        <v>170000</v>
      </c>
    </row>
    <row r="34" spans="1:6" x14ac:dyDescent="0.35">
      <c r="A34" s="9" t="s">
        <v>343</v>
      </c>
      <c r="B34" s="9">
        <v>10245</v>
      </c>
      <c r="C34" s="1" t="s">
        <v>212</v>
      </c>
      <c r="D34" s="10">
        <v>10000</v>
      </c>
      <c r="E34" s="10">
        <f t="shared" si="0"/>
        <v>440000</v>
      </c>
      <c r="F34" s="10">
        <f t="shared" si="1"/>
        <v>160000</v>
      </c>
    </row>
    <row r="35" spans="1:6" x14ac:dyDescent="0.35">
      <c r="A35" s="9" t="s">
        <v>344</v>
      </c>
      <c r="B35" s="9">
        <v>10699</v>
      </c>
      <c r="C35" s="1" t="s">
        <v>212</v>
      </c>
      <c r="D35" s="10">
        <v>10000</v>
      </c>
      <c r="E35" s="10">
        <f t="shared" si="0"/>
        <v>450000</v>
      </c>
      <c r="F35" s="10">
        <f t="shared" si="1"/>
        <v>150000</v>
      </c>
    </row>
    <row r="36" spans="1:6" x14ac:dyDescent="0.35">
      <c r="A36" s="9" t="s">
        <v>345</v>
      </c>
      <c r="B36" s="9">
        <v>13490</v>
      </c>
      <c r="C36" s="1" t="s">
        <v>212</v>
      </c>
      <c r="D36" s="10">
        <v>10000</v>
      </c>
      <c r="E36" s="10">
        <f t="shared" si="0"/>
        <v>460000</v>
      </c>
      <c r="F36" s="10">
        <f t="shared" si="1"/>
        <v>140000</v>
      </c>
    </row>
    <row r="37" spans="1:6" x14ac:dyDescent="0.35">
      <c r="A37" s="9" t="s">
        <v>346</v>
      </c>
      <c r="B37" s="9">
        <v>13491</v>
      </c>
      <c r="C37" s="1" t="s">
        <v>212</v>
      </c>
      <c r="D37" s="10">
        <v>10000</v>
      </c>
      <c r="E37" s="10">
        <f t="shared" si="0"/>
        <v>470000</v>
      </c>
      <c r="F37" s="10">
        <f t="shared" si="1"/>
        <v>130000</v>
      </c>
    </row>
    <row r="38" spans="1:6" x14ac:dyDescent="0.35">
      <c r="A38" s="9" t="s">
        <v>347</v>
      </c>
      <c r="B38" s="9">
        <v>12980</v>
      </c>
      <c r="C38" s="1" t="s">
        <v>212</v>
      </c>
      <c r="D38" s="10">
        <v>10000</v>
      </c>
      <c r="E38" s="10">
        <f t="shared" si="0"/>
        <v>480000</v>
      </c>
      <c r="F38" s="10">
        <f t="shared" si="1"/>
        <v>120000</v>
      </c>
    </row>
    <row r="39" spans="1:6" x14ac:dyDescent="0.35">
      <c r="A39" s="9" t="s">
        <v>348</v>
      </c>
      <c r="B39" s="9">
        <v>13054</v>
      </c>
      <c r="C39" s="1" t="s">
        <v>212</v>
      </c>
      <c r="D39" s="10">
        <v>10000</v>
      </c>
      <c r="E39" s="10">
        <f t="shared" si="0"/>
        <v>490000</v>
      </c>
      <c r="F39" s="10">
        <f t="shared" si="1"/>
        <v>110000</v>
      </c>
    </row>
    <row r="40" spans="1:6" x14ac:dyDescent="0.35">
      <c r="A40" s="9" t="s">
        <v>349</v>
      </c>
      <c r="B40" s="9">
        <v>13578</v>
      </c>
      <c r="C40" s="1" t="s">
        <v>212</v>
      </c>
      <c r="D40" s="10">
        <v>10000</v>
      </c>
      <c r="E40" s="10">
        <f t="shared" si="0"/>
        <v>500000</v>
      </c>
      <c r="F40" s="10">
        <f t="shared" si="1"/>
        <v>100000</v>
      </c>
    </row>
    <row r="41" spans="1:6" x14ac:dyDescent="0.35">
      <c r="A41" s="11">
        <v>45911</v>
      </c>
      <c r="B41" s="9">
        <v>13492</v>
      </c>
      <c r="C41" s="1" t="s">
        <v>212</v>
      </c>
      <c r="D41" s="10">
        <v>10000</v>
      </c>
      <c r="E41" s="10">
        <f t="shared" si="0"/>
        <v>510000</v>
      </c>
      <c r="F41" s="10">
        <f t="shared" si="1"/>
        <v>90000</v>
      </c>
    </row>
    <row r="42" spans="1:6" x14ac:dyDescent="0.35">
      <c r="A42" s="9" t="s">
        <v>151</v>
      </c>
      <c r="B42" s="9">
        <v>12607</v>
      </c>
      <c r="C42" s="1" t="s">
        <v>212</v>
      </c>
      <c r="D42" s="10">
        <v>10000</v>
      </c>
      <c r="E42" s="10">
        <f t="shared" si="0"/>
        <v>520000</v>
      </c>
      <c r="F42" s="10">
        <f t="shared" si="1"/>
        <v>80000</v>
      </c>
    </row>
    <row r="43" spans="1:6" x14ac:dyDescent="0.35">
      <c r="A43" s="9" t="s">
        <v>58</v>
      </c>
      <c r="B43" s="9">
        <v>12114</v>
      </c>
      <c r="C43" s="1" t="s">
        <v>212</v>
      </c>
      <c r="D43" s="10">
        <v>10000</v>
      </c>
      <c r="E43" s="10">
        <f t="shared" si="0"/>
        <v>530000</v>
      </c>
      <c r="F43" s="10">
        <f t="shared" si="1"/>
        <v>70000</v>
      </c>
    </row>
    <row r="44" spans="1:6" x14ac:dyDescent="0.35">
      <c r="A44" s="9" t="s">
        <v>352</v>
      </c>
      <c r="B44" s="9">
        <v>12505</v>
      </c>
      <c r="C44" s="1" t="s">
        <v>212</v>
      </c>
      <c r="D44" s="10">
        <v>10000</v>
      </c>
      <c r="E44" s="10">
        <f t="shared" si="0"/>
        <v>540000</v>
      </c>
      <c r="F44" s="10">
        <f t="shared" si="1"/>
        <v>60000</v>
      </c>
    </row>
    <row r="45" spans="1:6" x14ac:dyDescent="0.35">
      <c r="A45" s="9" t="s">
        <v>353</v>
      </c>
      <c r="B45" s="9">
        <v>12887</v>
      </c>
      <c r="C45" s="1" t="s">
        <v>212</v>
      </c>
      <c r="D45" s="10">
        <v>10000</v>
      </c>
      <c r="E45" s="10">
        <f t="shared" si="0"/>
        <v>550000</v>
      </c>
      <c r="F45" s="10">
        <f t="shared" si="1"/>
        <v>50000</v>
      </c>
    </row>
    <row r="46" spans="1:6" x14ac:dyDescent="0.35">
      <c r="A46" s="9" t="s">
        <v>285</v>
      </c>
      <c r="B46" s="9">
        <v>13029</v>
      </c>
      <c r="C46" s="1" t="s">
        <v>212</v>
      </c>
      <c r="D46" s="10">
        <v>10000</v>
      </c>
      <c r="E46" s="10">
        <f t="shared" si="0"/>
        <v>560000</v>
      </c>
      <c r="F46" s="10">
        <f t="shared" si="1"/>
        <v>40000</v>
      </c>
    </row>
    <row r="47" spans="1:6" x14ac:dyDescent="0.35">
      <c r="A47" s="9" t="s">
        <v>354</v>
      </c>
      <c r="B47" s="9">
        <v>13439</v>
      </c>
      <c r="C47" s="1" t="s">
        <v>212</v>
      </c>
      <c r="D47" s="10">
        <v>10000</v>
      </c>
      <c r="E47" s="10">
        <f t="shared" si="0"/>
        <v>570000</v>
      </c>
      <c r="F47" s="10">
        <f t="shared" si="1"/>
        <v>30000</v>
      </c>
    </row>
    <row r="48" spans="1:6" x14ac:dyDescent="0.35">
      <c r="A48" s="9" t="s">
        <v>355</v>
      </c>
      <c r="B48" s="9">
        <v>13651</v>
      </c>
      <c r="C48" s="1" t="s">
        <v>212</v>
      </c>
      <c r="D48" s="10">
        <v>10000</v>
      </c>
      <c r="E48" s="10">
        <f t="shared" si="0"/>
        <v>580000</v>
      </c>
      <c r="F48" s="10">
        <f t="shared" si="1"/>
        <v>20000</v>
      </c>
    </row>
    <row r="49" spans="1:6" x14ac:dyDescent="0.35">
      <c r="A49" s="9" t="s">
        <v>356</v>
      </c>
      <c r="B49" s="9">
        <v>1536</v>
      </c>
      <c r="C49" s="1" t="s">
        <v>212</v>
      </c>
      <c r="D49" s="10">
        <v>10000</v>
      </c>
      <c r="E49" s="10">
        <f t="shared" si="0"/>
        <v>590000</v>
      </c>
      <c r="F49" s="10">
        <f t="shared" si="1"/>
        <v>10000</v>
      </c>
    </row>
    <row r="50" spans="1:6" ht="18.5" x14ac:dyDescent="0.45">
      <c r="A50" s="9" t="s">
        <v>357</v>
      </c>
      <c r="B50" s="9">
        <v>1838</v>
      </c>
      <c r="C50" s="1" t="s">
        <v>212</v>
      </c>
      <c r="D50" s="10">
        <v>10000</v>
      </c>
      <c r="E50" s="10">
        <f t="shared" si="0"/>
        <v>600000</v>
      </c>
      <c r="F50" s="32" t="s">
        <v>288</v>
      </c>
    </row>
    <row r="52" spans="1:6" ht="15.5" x14ac:dyDescent="0.35">
      <c r="B52" s="37" t="s">
        <v>113</v>
      </c>
      <c r="C52" s="37"/>
    </row>
    <row r="53" spans="1:6" x14ac:dyDescent="0.35">
      <c r="A53" s="9" t="s">
        <v>402</v>
      </c>
      <c r="B53" s="9">
        <v>1993</v>
      </c>
      <c r="C53" s="1" t="s">
        <v>21</v>
      </c>
      <c r="D53" s="10">
        <v>150000</v>
      </c>
      <c r="E53" s="10">
        <v>150000</v>
      </c>
      <c r="F53" s="41" t="s">
        <v>45</v>
      </c>
    </row>
    <row r="55" spans="1:6" ht="15.5" x14ac:dyDescent="0.35">
      <c r="B55" s="40" t="s">
        <v>404</v>
      </c>
      <c r="C55" s="40"/>
      <c r="D55" s="40"/>
    </row>
  </sheetData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5" workbookViewId="0">
      <selection activeCell="B18" sqref="B18"/>
    </sheetView>
  </sheetViews>
  <sheetFormatPr defaultRowHeight="14.5" x14ac:dyDescent="0.35"/>
  <cols>
    <col min="3" max="3" width="16.6328125" customWidth="1"/>
    <col min="4" max="4" width="13.81640625" customWidth="1"/>
    <col min="5" max="5" width="10.6328125" customWidth="1"/>
    <col min="6" max="6" width="14.81640625" customWidth="1"/>
  </cols>
  <sheetData>
    <row r="1" spans="1:6" ht="18.5" x14ac:dyDescent="0.45">
      <c r="A1" s="12" t="s">
        <v>358</v>
      </c>
      <c r="B1" s="12"/>
      <c r="C1" s="12"/>
      <c r="D1" s="12"/>
      <c r="E1" s="12"/>
      <c r="F1" s="12"/>
    </row>
    <row r="2" spans="1:6" ht="18.5" x14ac:dyDescent="0.45">
      <c r="A2" s="14" t="s">
        <v>359</v>
      </c>
      <c r="B2" s="14"/>
      <c r="C2" s="14"/>
      <c r="D2" s="14"/>
      <c r="E2" s="14"/>
      <c r="F2" s="14"/>
    </row>
    <row r="3" spans="1:6" ht="18.5" x14ac:dyDescent="0.45">
      <c r="A3" s="14" t="s">
        <v>360</v>
      </c>
      <c r="B3" s="14"/>
      <c r="C3" s="14"/>
      <c r="D3" s="14"/>
      <c r="E3" s="14"/>
      <c r="F3" s="14"/>
    </row>
    <row r="4" spans="1:6" ht="18.5" x14ac:dyDescent="0.45">
      <c r="A4" s="14" t="s">
        <v>363</v>
      </c>
      <c r="B4" s="14"/>
      <c r="C4" s="14"/>
      <c r="D4" s="14"/>
      <c r="E4" s="14"/>
      <c r="F4" s="14"/>
    </row>
    <row r="5" spans="1:6" ht="18.5" x14ac:dyDescent="0.45">
      <c r="A5" s="14" t="s">
        <v>361</v>
      </c>
      <c r="B5" s="14"/>
      <c r="C5" s="14"/>
      <c r="D5" s="14"/>
      <c r="E5" s="14"/>
      <c r="F5" s="14"/>
    </row>
    <row r="6" spans="1:6" ht="18.5" x14ac:dyDescent="0.45">
      <c r="A6" s="14" t="s">
        <v>362</v>
      </c>
      <c r="B6" s="14"/>
      <c r="C6" s="14"/>
      <c r="D6" s="14" t="s">
        <v>364</v>
      </c>
      <c r="E6" s="14"/>
      <c r="F6" s="14"/>
    </row>
    <row r="7" spans="1:6" ht="18.5" x14ac:dyDescent="0.45">
      <c r="A7" s="31" t="s">
        <v>1</v>
      </c>
      <c r="B7" s="31" t="s">
        <v>2</v>
      </c>
      <c r="C7" s="31" t="s">
        <v>3</v>
      </c>
      <c r="D7" s="31" t="s">
        <v>4</v>
      </c>
      <c r="E7" s="31" t="s">
        <v>5</v>
      </c>
      <c r="F7" s="31" t="s">
        <v>6</v>
      </c>
    </row>
    <row r="8" spans="1:6" x14ac:dyDescent="0.35">
      <c r="A8" s="19" t="s">
        <v>365</v>
      </c>
      <c r="B8">
        <v>12233</v>
      </c>
      <c r="C8" t="s">
        <v>366</v>
      </c>
      <c r="D8" s="8">
        <v>150000</v>
      </c>
      <c r="E8" s="8">
        <v>150000</v>
      </c>
      <c r="F8" s="8">
        <v>650000</v>
      </c>
    </row>
    <row r="9" spans="1:6" x14ac:dyDescent="0.35">
      <c r="A9" s="33">
        <v>46267</v>
      </c>
      <c r="B9">
        <v>12412</v>
      </c>
      <c r="C9" t="s">
        <v>212</v>
      </c>
      <c r="D9" s="8">
        <v>10000</v>
      </c>
      <c r="E9" s="8">
        <f t="shared" ref="E9:E15" si="0">E8+D9</f>
        <v>160000</v>
      </c>
      <c r="F9" s="8">
        <f t="shared" ref="F9:F15" si="1">F8-D9</f>
        <v>640000</v>
      </c>
    </row>
    <row r="10" spans="1:6" x14ac:dyDescent="0.35">
      <c r="A10" s="7">
        <v>46237</v>
      </c>
      <c r="B10">
        <v>12785</v>
      </c>
      <c r="C10" t="s">
        <v>212</v>
      </c>
      <c r="D10" s="8">
        <v>10000</v>
      </c>
      <c r="E10" s="8">
        <f t="shared" si="0"/>
        <v>170000</v>
      </c>
      <c r="F10" s="8">
        <f t="shared" si="1"/>
        <v>630000</v>
      </c>
    </row>
    <row r="11" spans="1:6" x14ac:dyDescent="0.35">
      <c r="A11" s="7">
        <v>46085</v>
      </c>
      <c r="B11">
        <v>13108</v>
      </c>
      <c r="C11" t="s">
        <v>212</v>
      </c>
      <c r="D11" s="8">
        <v>10000</v>
      </c>
      <c r="E11" s="8">
        <f t="shared" si="0"/>
        <v>180000</v>
      </c>
      <c r="F11" s="8">
        <f t="shared" si="1"/>
        <v>620000</v>
      </c>
    </row>
    <row r="12" spans="1:6" x14ac:dyDescent="0.35">
      <c r="A12" s="7">
        <v>46086</v>
      </c>
      <c r="B12">
        <v>12927</v>
      </c>
      <c r="C12" t="s">
        <v>212</v>
      </c>
      <c r="D12" s="8">
        <v>10000</v>
      </c>
      <c r="E12" s="8">
        <f t="shared" si="0"/>
        <v>190000</v>
      </c>
      <c r="F12" s="8">
        <f t="shared" si="1"/>
        <v>610000</v>
      </c>
    </row>
    <row r="13" spans="1:6" x14ac:dyDescent="0.35">
      <c r="A13" s="7">
        <v>46148</v>
      </c>
      <c r="B13">
        <v>13518</v>
      </c>
      <c r="C13" t="s">
        <v>212</v>
      </c>
      <c r="D13" s="8">
        <v>10000</v>
      </c>
      <c r="E13" s="8">
        <f t="shared" si="0"/>
        <v>200000</v>
      </c>
      <c r="F13" s="8">
        <f t="shared" si="1"/>
        <v>600000</v>
      </c>
    </row>
    <row r="14" spans="1:6" x14ac:dyDescent="0.35">
      <c r="A14" s="7">
        <v>46180</v>
      </c>
      <c r="B14">
        <v>1408</v>
      </c>
      <c r="C14" t="s">
        <v>212</v>
      </c>
      <c r="D14" s="8">
        <v>10000</v>
      </c>
      <c r="E14" s="8">
        <f t="shared" si="0"/>
        <v>210000</v>
      </c>
      <c r="F14" s="8">
        <f t="shared" si="1"/>
        <v>590000</v>
      </c>
    </row>
    <row r="15" spans="1:6" x14ac:dyDescent="0.35">
      <c r="A15" s="7">
        <v>46211</v>
      </c>
      <c r="B15">
        <v>1672</v>
      </c>
      <c r="C15" t="s">
        <v>212</v>
      </c>
      <c r="D15" s="8">
        <v>10000</v>
      </c>
      <c r="E15" s="8">
        <f t="shared" si="0"/>
        <v>220000</v>
      </c>
      <c r="F15" s="8">
        <f t="shared" si="1"/>
        <v>580000</v>
      </c>
    </row>
    <row r="16" spans="1:6" x14ac:dyDescent="0.35">
      <c r="A16" s="7">
        <v>46212</v>
      </c>
      <c r="B16">
        <v>1935</v>
      </c>
      <c r="C16" t="s">
        <v>212</v>
      </c>
      <c r="D16" s="8">
        <v>10000</v>
      </c>
      <c r="E16" s="8">
        <f>E15+D16</f>
        <v>230000</v>
      </c>
      <c r="F16" s="8">
        <f>F15-D16</f>
        <v>570000</v>
      </c>
    </row>
    <row r="18" spans="7:7" x14ac:dyDescent="0.35">
      <c r="G18" t="s">
        <v>433</v>
      </c>
    </row>
  </sheetData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24" workbookViewId="0">
      <selection activeCell="F34" sqref="F34"/>
    </sheetView>
  </sheetViews>
  <sheetFormatPr defaultRowHeight="14.5" x14ac:dyDescent="0.35"/>
  <cols>
    <col min="1" max="1" width="17.54296875" customWidth="1"/>
    <col min="2" max="2" width="14.453125" customWidth="1"/>
    <col min="3" max="3" width="20.81640625" customWidth="1"/>
    <col min="4" max="4" width="14.453125" customWidth="1"/>
    <col min="5" max="5" width="14" customWidth="1"/>
    <col min="6" max="6" width="13.08984375" customWidth="1"/>
    <col min="7" max="7" width="13.36328125" customWidth="1"/>
  </cols>
  <sheetData>
    <row r="1" spans="1:7" ht="18.5" x14ac:dyDescent="0.45">
      <c r="A1" s="12" t="s">
        <v>466</v>
      </c>
      <c r="B1" s="12"/>
      <c r="C1" s="12"/>
      <c r="D1" s="12"/>
      <c r="E1" s="12"/>
    </row>
    <row r="2" spans="1:7" ht="18.5" x14ac:dyDescent="0.45">
      <c r="A2" s="14" t="s">
        <v>467</v>
      </c>
      <c r="B2" s="14"/>
      <c r="C2" s="14"/>
      <c r="D2" s="14"/>
      <c r="E2" s="14"/>
    </row>
    <row r="3" spans="1:7" ht="18.5" x14ac:dyDescent="0.45">
      <c r="A3" s="14" t="s">
        <v>468</v>
      </c>
      <c r="B3" s="14"/>
      <c r="C3" s="14"/>
      <c r="D3" s="14"/>
      <c r="E3" s="14"/>
    </row>
    <row r="4" spans="1:7" ht="18.5" x14ac:dyDescent="0.45">
      <c r="A4" s="14" t="s">
        <v>469</v>
      </c>
      <c r="B4" s="14"/>
      <c r="C4" s="14"/>
      <c r="D4" s="14"/>
      <c r="E4" s="14"/>
    </row>
    <row r="5" spans="1:7" ht="18.5" x14ac:dyDescent="0.45">
      <c r="A5" s="14" t="s">
        <v>470</v>
      </c>
      <c r="B5" s="14"/>
      <c r="C5" s="14"/>
      <c r="D5" s="14"/>
      <c r="E5" s="14"/>
    </row>
    <row r="6" spans="1:7" ht="18.5" x14ac:dyDescent="0.45">
      <c r="A6" s="14" t="s">
        <v>471</v>
      </c>
      <c r="B6" s="14"/>
      <c r="C6" s="14"/>
      <c r="D6" s="14" t="s">
        <v>67</v>
      </c>
      <c r="E6" s="14"/>
    </row>
    <row r="12" spans="1:7" ht="56" x14ac:dyDescent="0.35">
      <c r="A12" s="50" t="s">
        <v>153</v>
      </c>
      <c r="B12" s="50" t="s">
        <v>434</v>
      </c>
      <c r="C12" s="50" t="s">
        <v>435</v>
      </c>
      <c r="D12" s="50" t="s">
        <v>436</v>
      </c>
      <c r="E12" s="50" t="s">
        <v>437</v>
      </c>
      <c r="F12" s="50" t="s">
        <v>157</v>
      </c>
      <c r="G12" s="50" t="s">
        <v>438</v>
      </c>
    </row>
    <row r="13" spans="1:7" x14ac:dyDescent="0.35">
      <c r="A13" s="51" t="s">
        <v>439</v>
      </c>
      <c r="B13" s="51" t="s">
        <v>440</v>
      </c>
      <c r="C13" s="52" t="s">
        <v>441</v>
      </c>
      <c r="D13" s="53">
        <v>147500</v>
      </c>
      <c r="E13" s="53">
        <v>147500</v>
      </c>
      <c r="F13" s="53">
        <v>252500</v>
      </c>
      <c r="G13" s="51" t="s">
        <v>442</v>
      </c>
    </row>
    <row r="14" spans="1:7" x14ac:dyDescent="0.35">
      <c r="A14" s="54" t="s">
        <v>443</v>
      </c>
      <c r="B14" s="54" t="s">
        <v>444</v>
      </c>
      <c r="C14" s="55" t="s">
        <v>445</v>
      </c>
      <c r="D14" s="56">
        <v>25000</v>
      </c>
      <c r="E14" s="56">
        <v>172500</v>
      </c>
      <c r="F14" s="56">
        <v>227500</v>
      </c>
      <c r="G14" s="54" t="s">
        <v>442</v>
      </c>
    </row>
    <row r="15" spans="1:7" x14ac:dyDescent="0.35">
      <c r="A15" s="54" t="s">
        <v>446</v>
      </c>
      <c r="B15" s="54" t="s">
        <v>447</v>
      </c>
      <c r="C15" s="55" t="s">
        <v>448</v>
      </c>
      <c r="D15" s="56">
        <v>12500</v>
      </c>
      <c r="E15" s="56">
        <v>185000</v>
      </c>
      <c r="F15" s="56">
        <v>215000</v>
      </c>
      <c r="G15" s="54" t="s">
        <v>442</v>
      </c>
    </row>
    <row r="16" spans="1:7" x14ac:dyDescent="0.35">
      <c r="A16" s="54" t="s">
        <v>449</v>
      </c>
      <c r="B16" s="54" t="s">
        <v>450</v>
      </c>
      <c r="C16" s="55" t="s">
        <v>448</v>
      </c>
      <c r="D16" s="56">
        <v>12500</v>
      </c>
      <c r="E16" s="56">
        <v>197500</v>
      </c>
      <c r="F16" s="56">
        <v>202500</v>
      </c>
      <c r="G16" s="54" t="s">
        <v>442</v>
      </c>
    </row>
    <row r="17" spans="1:7" x14ac:dyDescent="0.35">
      <c r="A17" s="54" t="s">
        <v>451</v>
      </c>
      <c r="B17" s="54" t="s">
        <v>452</v>
      </c>
      <c r="C17" s="55" t="s">
        <v>445</v>
      </c>
      <c r="D17" s="56">
        <v>12500</v>
      </c>
      <c r="E17" s="56">
        <v>210000</v>
      </c>
      <c r="F17" s="56">
        <v>190000</v>
      </c>
      <c r="G17" s="54" t="s">
        <v>442</v>
      </c>
    </row>
    <row r="18" spans="1:7" x14ac:dyDescent="0.35">
      <c r="A18" s="54" t="s">
        <v>453</v>
      </c>
      <c r="B18" s="54" t="s">
        <v>454</v>
      </c>
      <c r="C18" s="55" t="s">
        <v>445</v>
      </c>
      <c r="D18" s="56">
        <v>12500</v>
      </c>
      <c r="E18" s="56">
        <v>222500</v>
      </c>
      <c r="F18" s="56">
        <v>177500</v>
      </c>
      <c r="G18" s="54" t="s">
        <v>442</v>
      </c>
    </row>
    <row r="19" spans="1:7" x14ac:dyDescent="0.35">
      <c r="A19" s="54" t="s">
        <v>455</v>
      </c>
      <c r="B19" s="54" t="s">
        <v>456</v>
      </c>
      <c r="C19" s="55" t="s">
        <v>445</v>
      </c>
      <c r="D19" s="56">
        <v>12500</v>
      </c>
      <c r="E19" s="56">
        <v>235000</v>
      </c>
      <c r="F19" s="56">
        <v>165000</v>
      </c>
      <c r="G19" s="54" t="s">
        <v>442</v>
      </c>
    </row>
    <row r="20" spans="1:7" x14ac:dyDescent="0.35">
      <c r="A20" s="54" t="s">
        <v>457</v>
      </c>
      <c r="B20" s="54" t="s">
        <v>458</v>
      </c>
      <c r="C20" s="55" t="s">
        <v>445</v>
      </c>
      <c r="D20" s="56">
        <v>12500</v>
      </c>
      <c r="E20" s="56">
        <v>247500</v>
      </c>
      <c r="F20" s="56">
        <v>152500</v>
      </c>
      <c r="G20" s="54" t="s">
        <v>442</v>
      </c>
    </row>
    <row r="21" spans="1:7" x14ac:dyDescent="0.35">
      <c r="A21" s="54" t="s">
        <v>459</v>
      </c>
      <c r="B21" s="54" t="s">
        <v>460</v>
      </c>
      <c r="C21" s="55" t="s">
        <v>445</v>
      </c>
      <c r="D21" s="56">
        <v>12500</v>
      </c>
      <c r="E21" s="56">
        <v>260000</v>
      </c>
      <c r="F21" s="56">
        <v>140000</v>
      </c>
      <c r="G21" s="54" t="s">
        <v>442</v>
      </c>
    </row>
    <row r="22" spans="1:7" x14ac:dyDescent="0.35">
      <c r="A22" s="54" t="s">
        <v>461</v>
      </c>
      <c r="B22" s="54" t="s">
        <v>462</v>
      </c>
      <c r="C22" s="55" t="s">
        <v>445</v>
      </c>
      <c r="D22" s="56">
        <v>12500</v>
      </c>
      <c r="E22" s="56">
        <v>272500</v>
      </c>
      <c r="F22" s="56">
        <v>127500</v>
      </c>
      <c r="G22" s="54" t="s">
        <v>442</v>
      </c>
    </row>
    <row r="23" spans="1:7" x14ac:dyDescent="0.35">
      <c r="A23" s="54" t="s">
        <v>463</v>
      </c>
      <c r="B23" s="54" t="s">
        <v>464</v>
      </c>
      <c r="C23" s="55" t="s">
        <v>465</v>
      </c>
      <c r="D23" s="56">
        <v>12500</v>
      </c>
      <c r="E23" s="56">
        <v>285000</v>
      </c>
      <c r="F23" s="56">
        <v>115000</v>
      </c>
      <c r="G23" s="54" t="s">
        <v>442</v>
      </c>
    </row>
    <row r="24" spans="1:7" x14ac:dyDescent="0.35">
      <c r="A24" s="54" t="s">
        <v>472</v>
      </c>
      <c r="B24" s="54" t="s">
        <v>473</v>
      </c>
      <c r="C24" s="55" t="s">
        <v>445</v>
      </c>
      <c r="D24" s="56">
        <v>37500</v>
      </c>
      <c r="E24" s="56">
        <v>322500</v>
      </c>
      <c r="F24" s="56">
        <v>77500</v>
      </c>
      <c r="G24" s="54" t="s">
        <v>442</v>
      </c>
    </row>
    <row r="25" spans="1:7" x14ac:dyDescent="0.35">
      <c r="A25" s="54" t="s">
        <v>474</v>
      </c>
      <c r="B25" s="54" t="s">
        <v>475</v>
      </c>
      <c r="C25" s="55" t="s">
        <v>445</v>
      </c>
      <c r="D25" s="56">
        <v>12500</v>
      </c>
      <c r="E25" s="56">
        <v>335000</v>
      </c>
      <c r="F25" s="56">
        <v>65000</v>
      </c>
      <c r="G25" s="54" t="s">
        <v>442</v>
      </c>
    </row>
    <row r="26" spans="1:7" x14ac:dyDescent="0.35">
      <c r="A26" s="54" t="s">
        <v>476</v>
      </c>
      <c r="B26" s="54" t="s">
        <v>477</v>
      </c>
      <c r="C26" s="55" t="s">
        <v>445</v>
      </c>
      <c r="D26" s="56">
        <v>12500</v>
      </c>
      <c r="E26" s="56">
        <v>347500</v>
      </c>
      <c r="F26" s="56">
        <v>52500</v>
      </c>
      <c r="G26" s="54" t="s">
        <v>442</v>
      </c>
    </row>
    <row r="27" spans="1:7" x14ac:dyDescent="0.35">
      <c r="A27" s="54" t="s">
        <v>478</v>
      </c>
      <c r="B27" s="54" t="s">
        <v>479</v>
      </c>
      <c r="C27" s="55" t="s">
        <v>445</v>
      </c>
      <c r="D27" s="56">
        <v>12500</v>
      </c>
      <c r="E27" s="56">
        <v>360000</v>
      </c>
      <c r="F27" s="56">
        <v>40000</v>
      </c>
      <c r="G27" s="54" t="s">
        <v>442</v>
      </c>
    </row>
    <row r="28" spans="1:7" x14ac:dyDescent="0.35">
      <c r="A28" s="54" t="s">
        <v>480</v>
      </c>
      <c r="B28" s="54" t="s">
        <v>481</v>
      </c>
      <c r="C28" s="55" t="s">
        <v>445</v>
      </c>
      <c r="D28" s="56">
        <v>12500</v>
      </c>
      <c r="E28" s="56">
        <v>372500</v>
      </c>
      <c r="F28" s="56">
        <v>27500</v>
      </c>
      <c r="G28" s="54" t="s">
        <v>442</v>
      </c>
    </row>
    <row r="29" spans="1:7" x14ac:dyDescent="0.35">
      <c r="A29" s="54" t="s">
        <v>482</v>
      </c>
      <c r="B29" s="54" t="s">
        <v>483</v>
      </c>
      <c r="C29" s="55" t="s">
        <v>445</v>
      </c>
      <c r="D29" s="56">
        <v>12500</v>
      </c>
      <c r="E29" s="56">
        <v>385000</v>
      </c>
      <c r="F29" s="56">
        <v>15000</v>
      </c>
      <c r="G29" s="54" t="s">
        <v>442</v>
      </c>
    </row>
    <row r="30" spans="1:7" ht="28" x14ac:dyDescent="0.35">
      <c r="A30" s="54" t="s">
        <v>484</v>
      </c>
      <c r="B30" s="54" t="s">
        <v>485</v>
      </c>
      <c r="C30" s="55" t="s">
        <v>486</v>
      </c>
      <c r="D30" s="56">
        <v>15000</v>
      </c>
      <c r="E30" s="56">
        <v>400000</v>
      </c>
      <c r="F30" s="56">
        <v>0</v>
      </c>
      <c r="G30" s="54" t="s">
        <v>487</v>
      </c>
    </row>
    <row r="32" spans="1:7" ht="28" x14ac:dyDescent="0.35">
      <c r="A32" s="57" t="s">
        <v>113</v>
      </c>
    </row>
    <row r="33" spans="1:6" ht="18.5" x14ac:dyDescent="0.45">
      <c r="A33" s="31" t="s">
        <v>1</v>
      </c>
      <c r="B33" s="31" t="s">
        <v>2</v>
      </c>
      <c r="C33" s="31" t="s">
        <v>3</v>
      </c>
      <c r="D33" s="31" t="s">
        <v>4</v>
      </c>
      <c r="E33" s="31" t="s">
        <v>5</v>
      </c>
      <c r="F33" s="31" t="s">
        <v>6</v>
      </c>
    </row>
    <row r="34" spans="1:6" x14ac:dyDescent="0.35">
      <c r="A34" t="s">
        <v>488</v>
      </c>
      <c r="B34">
        <v>1983</v>
      </c>
      <c r="C34" t="s">
        <v>315</v>
      </c>
      <c r="D34" s="8">
        <v>250000</v>
      </c>
      <c r="E34" s="8">
        <v>250000</v>
      </c>
      <c r="F34" t="s">
        <v>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7" sqref="A7:F7"/>
    </sheetView>
  </sheetViews>
  <sheetFormatPr defaultRowHeight="14.5" x14ac:dyDescent="0.35"/>
  <cols>
    <col min="3" max="3" width="13.6328125" customWidth="1"/>
    <col min="4" max="4" width="14.1796875" customWidth="1"/>
    <col min="5" max="5" width="11.08984375" customWidth="1"/>
    <col min="6" max="6" width="14.453125" customWidth="1"/>
  </cols>
  <sheetData>
    <row r="1" spans="1:6" ht="18.5" x14ac:dyDescent="0.45">
      <c r="A1" s="12" t="s">
        <v>368</v>
      </c>
      <c r="B1" s="12"/>
      <c r="C1" s="12"/>
      <c r="D1" s="12"/>
      <c r="E1" s="12"/>
      <c r="F1" s="12"/>
    </row>
    <row r="2" spans="1:6" ht="18.5" x14ac:dyDescent="0.45">
      <c r="A2" s="14" t="s">
        <v>369</v>
      </c>
      <c r="B2" s="14"/>
      <c r="C2" s="14"/>
      <c r="D2" s="14"/>
      <c r="E2" s="14"/>
      <c r="F2" s="14"/>
    </row>
    <row r="3" spans="1:6" ht="18.5" x14ac:dyDescent="0.45">
      <c r="A3" s="14" t="s">
        <v>360</v>
      </c>
      <c r="B3" s="14"/>
      <c r="C3" s="14"/>
      <c r="D3" s="14"/>
      <c r="E3" s="14"/>
      <c r="F3" s="14"/>
    </row>
    <row r="4" spans="1:6" ht="18.5" x14ac:dyDescent="0.45">
      <c r="A4" s="14" t="s">
        <v>370</v>
      </c>
      <c r="B4" s="14"/>
      <c r="C4" s="14"/>
      <c r="D4" s="14"/>
      <c r="E4" s="14"/>
      <c r="F4" s="14"/>
    </row>
    <row r="5" spans="1:6" ht="18.5" x14ac:dyDescent="0.45">
      <c r="A5" s="14" t="s">
        <v>361</v>
      </c>
      <c r="B5" s="14"/>
      <c r="C5" s="14"/>
      <c r="D5" s="14"/>
      <c r="E5" s="14"/>
      <c r="F5" s="14"/>
    </row>
    <row r="6" spans="1:6" ht="18.5" x14ac:dyDescent="0.45">
      <c r="A6" s="14" t="s">
        <v>367</v>
      </c>
      <c r="B6" s="14"/>
      <c r="C6" s="14"/>
      <c r="D6" s="14" t="s">
        <v>364</v>
      </c>
      <c r="E6" s="14"/>
      <c r="F6" s="14"/>
    </row>
    <row r="7" spans="1:6" ht="18.5" x14ac:dyDescent="0.45">
      <c r="A7" s="31" t="s">
        <v>1</v>
      </c>
      <c r="B7" s="31" t="s">
        <v>2</v>
      </c>
      <c r="C7" s="31" t="s">
        <v>3</v>
      </c>
      <c r="D7" s="31" t="s">
        <v>4</v>
      </c>
      <c r="E7" s="31" t="s">
        <v>5</v>
      </c>
      <c r="F7" s="31" t="s">
        <v>6</v>
      </c>
    </row>
    <row r="8" spans="1:6" x14ac:dyDescent="0.35">
      <c r="A8" s="1" t="s">
        <v>365</v>
      </c>
      <c r="B8" s="9">
        <v>12234</v>
      </c>
      <c r="C8" s="9" t="s">
        <v>179</v>
      </c>
      <c r="D8" s="10">
        <v>150000</v>
      </c>
      <c r="E8" s="10">
        <v>150000</v>
      </c>
      <c r="F8" s="10">
        <v>650000</v>
      </c>
    </row>
    <row r="9" spans="1:6" x14ac:dyDescent="0.35">
      <c r="A9" s="11">
        <v>46267</v>
      </c>
      <c r="B9" s="9">
        <v>12413</v>
      </c>
      <c r="C9" s="9" t="s">
        <v>212</v>
      </c>
      <c r="D9" s="10">
        <v>10000</v>
      </c>
      <c r="E9" s="10">
        <f t="shared" ref="E9:E15" si="0">E8+D9</f>
        <v>160000</v>
      </c>
      <c r="F9" s="10">
        <f t="shared" ref="F9:F15" si="1">F8-D9</f>
        <v>640000</v>
      </c>
    </row>
    <row r="10" spans="1:6" x14ac:dyDescent="0.35">
      <c r="A10" s="11">
        <v>46237</v>
      </c>
      <c r="B10" s="9">
        <v>12786</v>
      </c>
      <c r="C10" s="9" t="s">
        <v>212</v>
      </c>
      <c r="D10" s="10">
        <v>10000</v>
      </c>
      <c r="E10" s="10">
        <f t="shared" si="0"/>
        <v>170000</v>
      </c>
      <c r="F10" s="10">
        <f t="shared" si="1"/>
        <v>630000</v>
      </c>
    </row>
    <row r="11" spans="1:6" x14ac:dyDescent="0.35">
      <c r="A11" s="11">
        <v>46085</v>
      </c>
      <c r="B11" s="9">
        <v>13109</v>
      </c>
      <c r="C11" s="9" t="s">
        <v>212</v>
      </c>
      <c r="D11" s="10">
        <v>10000</v>
      </c>
      <c r="E11" s="10">
        <f t="shared" si="0"/>
        <v>180000</v>
      </c>
      <c r="F11" s="10">
        <f t="shared" si="1"/>
        <v>620000</v>
      </c>
    </row>
    <row r="12" spans="1:6" x14ac:dyDescent="0.35">
      <c r="A12" s="11">
        <v>46086</v>
      </c>
      <c r="B12" s="9">
        <v>12926</v>
      </c>
      <c r="C12" s="9" t="s">
        <v>212</v>
      </c>
      <c r="D12" s="10">
        <v>10000</v>
      </c>
      <c r="E12" s="10">
        <f t="shared" si="0"/>
        <v>190000</v>
      </c>
      <c r="F12" s="10">
        <f t="shared" si="1"/>
        <v>610000</v>
      </c>
    </row>
    <row r="13" spans="1:6" x14ac:dyDescent="0.35">
      <c r="A13" s="11">
        <v>46148</v>
      </c>
      <c r="B13" s="9">
        <v>13517</v>
      </c>
      <c r="C13" s="9" t="s">
        <v>212</v>
      </c>
      <c r="D13" s="10">
        <v>10000</v>
      </c>
      <c r="E13" s="10">
        <f t="shared" si="0"/>
        <v>200000</v>
      </c>
      <c r="F13" s="10">
        <f t="shared" si="1"/>
        <v>600000</v>
      </c>
    </row>
    <row r="14" spans="1:6" x14ac:dyDescent="0.35">
      <c r="A14" s="11">
        <v>46180</v>
      </c>
      <c r="B14" s="9">
        <v>1404</v>
      </c>
      <c r="C14" s="9" t="s">
        <v>212</v>
      </c>
      <c r="D14" s="10">
        <v>10000</v>
      </c>
      <c r="E14" s="10">
        <f t="shared" si="0"/>
        <v>210000</v>
      </c>
      <c r="F14" s="10">
        <f t="shared" si="1"/>
        <v>590000</v>
      </c>
    </row>
    <row r="15" spans="1:6" x14ac:dyDescent="0.35">
      <c r="A15" s="11">
        <v>46211</v>
      </c>
      <c r="B15" s="9">
        <v>1671</v>
      </c>
      <c r="C15" s="9" t="s">
        <v>212</v>
      </c>
      <c r="D15" s="10">
        <v>10000</v>
      </c>
      <c r="E15" s="10">
        <f t="shared" si="0"/>
        <v>220000</v>
      </c>
      <c r="F15" s="10">
        <f t="shared" si="1"/>
        <v>580000</v>
      </c>
    </row>
    <row r="16" spans="1:6" x14ac:dyDescent="0.35">
      <c r="A16" s="11">
        <v>46212</v>
      </c>
      <c r="B16" s="9">
        <v>1936</v>
      </c>
      <c r="C16" s="9" t="s">
        <v>212</v>
      </c>
      <c r="D16" s="10">
        <v>10000</v>
      </c>
      <c r="E16" s="10">
        <f>E15+D16</f>
        <v>230000</v>
      </c>
      <c r="F16" s="10">
        <f>F15-D16</f>
        <v>570000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A7" sqref="A7:F7"/>
    </sheetView>
  </sheetViews>
  <sheetFormatPr defaultRowHeight="14.5" x14ac:dyDescent="0.35"/>
  <cols>
    <col min="1" max="1" width="9.453125" bestFit="1" customWidth="1"/>
    <col min="3" max="3" width="13.7265625" customWidth="1"/>
    <col min="4" max="4" width="12.90625" customWidth="1"/>
    <col min="5" max="5" width="10.81640625" customWidth="1"/>
    <col min="6" max="6" width="16.26953125" customWidth="1"/>
  </cols>
  <sheetData>
    <row r="1" spans="1:6" ht="18.5" x14ac:dyDescent="0.45">
      <c r="A1" s="12" t="s">
        <v>372</v>
      </c>
      <c r="B1" s="12"/>
      <c r="C1" s="12"/>
      <c r="D1" s="12"/>
      <c r="E1" s="12"/>
      <c r="F1" s="12"/>
    </row>
    <row r="2" spans="1:6" ht="18.5" x14ac:dyDescent="0.45">
      <c r="A2" s="14" t="s">
        <v>373</v>
      </c>
      <c r="B2" s="14"/>
      <c r="C2" s="14"/>
      <c r="D2" s="14"/>
      <c r="E2" s="14"/>
      <c r="F2" s="14"/>
    </row>
    <row r="3" spans="1:6" ht="18.5" x14ac:dyDescent="0.45">
      <c r="A3" s="14" t="s">
        <v>374</v>
      </c>
      <c r="B3" s="14"/>
      <c r="C3" s="14"/>
      <c r="D3" s="14"/>
      <c r="E3" s="14"/>
      <c r="F3" s="14"/>
    </row>
    <row r="4" spans="1:6" ht="18.5" x14ac:dyDescent="0.45">
      <c r="A4" s="14" t="s">
        <v>377</v>
      </c>
      <c r="B4" s="14"/>
      <c r="C4" s="14"/>
      <c r="D4" s="14"/>
      <c r="E4" s="14"/>
      <c r="F4" s="14"/>
    </row>
    <row r="5" spans="1:6" ht="18.5" x14ac:dyDescent="0.45">
      <c r="A5" s="14" t="s">
        <v>375</v>
      </c>
      <c r="B5" s="14"/>
      <c r="C5" s="14"/>
      <c r="D5" s="14"/>
      <c r="E5" s="14"/>
      <c r="F5" s="14"/>
    </row>
    <row r="6" spans="1:6" ht="18.5" x14ac:dyDescent="0.45">
      <c r="A6" s="14" t="s">
        <v>376</v>
      </c>
      <c r="B6" s="14"/>
      <c r="C6" s="14"/>
      <c r="D6" s="14" t="s">
        <v>97</v>
      </c>
      <c r="E6" s="14"/>
      <c r="F6" s="14"/>
    </row>
    <row r="7" spans="1:6" ht="18.5" x14ac:dyDescent="0.45">
      <c r="A7" s="31" t="s">
        <v>1</v>
      </c>
      <c r="B7" s="31" t="s">
        <v>2</v>
      </c>
      <c r="C7" s="31" t="s">
        <v>3</v>
      </c>
      <c r="D7" s="31" t="s">
        <v>4</v>
      </c>
      <c r="E7" s="31" t="s">
        <v>5</v>
      </c>
      <c r="F7" s="31" t="s">
        <v>6</v>
      </c>
    </row>
    <row r="8" spans="1:6" x14ac:dyDescent="0.35">
      <c r="A8" s="19" t="s">
        <v>371</v>
      </c>
      <c r="B8">
        <v>1490</v>
      </c>
      <c r="C8" t="s">
        <v>100</v>
      </c>
      <c r="D8" s="8">
        <v>140000</v>
      </c>
      <c r="E8" s="8">
        <v>140000</v>
      </c>
      <c r="F8" s="8">
        <v>460000</v>
      </c>
    </row>
    <row r="9" spans="1:6" x14ac:dyDescent="0.35">
      <c r="A9" s="7">
        <v>44988</v>
      </c>
      <c r="B9">
        <v>1491</v>
      </c>
      <c r="C9" t="s">
        <v>212</v>
      </c>
      <c r="D9" s="8">
        <v>10000</v>
      </c>
      <c r="E9" s="8">
        <f t="shared" ref="E9:E31" si="0">E8+D9</f>
        <v>150000</v>
      </c>
      <c r="F9" s="8">
        <f t="shared" ref="F9:F31" si="1">F8-D9</f>
        <v>450000</v>
      </c>
    </row>
    <row r="10" spans="1:6" x14ac:dyDescent="0.35">
      <c r="A10" s="7">
        <v>44961</v>
      </c>
      <c r="B10">
        <v>1769</v>
      </c>
      <c r="C10" t="s">
        <v>212</v>
      </c>
      <c r="D10" s="8">
        <v>10000</v>
      </c>
      <c r="E10" s="8">
        <f t="shared" si="0"/>
        <v>160000</v>
      </c>
      <c r="F10" s="8">
        <f t="shared" si="1"/>
        <v>440000</v>
      </c>
    </row>
    <row r="11" spans="1:6" x14ac:dyDescent="0.35">
      <c r="A11" s="7">
        <v>44961</v>
      </c>
      <c r="B11">
        <v>1770</v>
      </c>
      <c r="C11" t="s">
        <v>212</v>
      </c>
      <c r="D11" s="8">
        <v>10000</v>
      </c>
      <c r="E11" s="8">
        <f t="shared" si="0"/>
        <v>170000</v>
      </c>
      <c r="F11" s="8">
        <f t="shared" si="1"/>
        <v>430000</v>
      </c>
    </row>
    <row r="12" spans="1:6" x14ac:dyDescent="0.35">
      <c r="A12" s="7">
        <v>45054</v>
      </c>
      <c r="B12">
        <v>330</v>
      </c>
      <c r="C12" t="s">
        <v>212</v>
      </c>
      <c r="D12" s="8">
        <v>10000</v>
      </c>
      <c r="E12" s="8">
        <f t="shared" si="0"/>
        <v>180000</v>
      </c>
      <c r="F12" s="8">
        <f t="shared" si="1"/>
        <v>420000</v>
      </c>
    </row>
    <row r="13" spans="1:6" x14ac:dyDescent="0.35">
      <c r="A13" s="7">
        <v>45208</v>
      </c>
      <c r="B13">
        <v>3497</v>
      </c>
      <c r="C13" t="s">
        <v>212</v>
      </c>
      <c r="D13" s="8">
        <v>20000</v>
      </c>
      <c r="E13" s="8">
        <f t="shared" si="0"/>
        <v>200000</v>
      </c>
      <c r="F13" s="8">
        <f t="shared" si="1"/>
        <v>400000</v>
      </c>
    </row>
    <row r="14" spans="1:6" x14ac:dyDescent="0.35">
      <c r="A14" s="7">
        <v>45208</v>
      </c>
      <c r="B14">
        <v>25</v>
      </c>
      <c r="C14" t="s">
        <v>212</v>
      </c>
      <c r="D14" s="8">
        <v>20000</v>
      </c>
      <c r="E14" s="8">
        <f t="shared" si="0"/>
        <v>220000</v>
      </c>
      <c r="F14" s="8">
        <f t="shared" si="1"/>
        <v>380000</v>
      </c>
    </row>
    <row r="15" spans="1:6" x14ac:dyDescent="0.35">
      <c r="A15" s="7">
        <v>44997</v>
      </c>
      <c r="B15">
        <v>5278</v>
      </c>
      <c r="C15" t="s">
        <v>212</v>
      </c>
      <c r="D15" s="8">
        <v>40000</v>
      </c>
      <c r="E15" s="8">
        <f t="shared" si="0"/>
        <v>260000</v>
      </c>
      <c r="F15" s="8">
        <f t="shared" si="1"/>
        <v>340000</v>
      </c>
    </row>
    <row r="16" spans="1:6" x14ac:dyDescent="0.35">
      <c r="A16" s="7">
        <v>45327</v>
      </c>
      <c r="B16">
        <v>6499</v>
      </c>
      <c r="C16" t="s">
        <v>212</v>
      </c>
      <c r="D16" s="8">
        <v>20000</v>
      </c>
      <c r="E16" s="8">
        <f t="shared" si="0"/>
        <v>280000</v>
      </c>
      <c r="F16" s="8">
        <f t="shared" si="1"/>
        <v>320000</v>
      </c>
    </row>
    <row r="17" spans="1:6" x14ac:dyDescent="0.35">
      <c r="A17" s="7">
        <v>45328</v>
      </c>
      <c r="B17">
        <v>8810</v>
      </c>
      <c r="C17" t="s">
        <v>212</v>
      </c>
      <c r="D17" s="8">
        <v>20000</v>
      </c>
      <c r="E17" s="8">
        <f t="shared" si="0"/>
        <v>300000</v>
      </c>
      <c r="F17" s="8">
        <f t="shared" si="1"/>
        <v>300000</v>
      </c>
    </row>
    <row r="18" spans="1:6" x14ac:dyDescent="0.35">
      <c r="A18" s="7">
        <v>45573</v>
      </c>
      <c r="B18">
        <v>11022</v>
      </c>
      <c r="C18" t="s">
        <v>212</v>
      </c>
      <c r="D18" s="8">
        <v>10000</v>
      </c>
      <c r="E18" s="8">
        <f t="shared" si="0"/>
        <v>310000</v>
      </c>
      <c r="F18" s="8">
        <f t="shared" si="1"/>
        <v>290000</v>
      </c>
    </row>
    <row r="19" spans="1:6" x14ac:dyDescent="0.35">
      <c r="A19" s="7">
        <v>45847</v>
      </c>
      <c r="B19">
        <v>10562</v>
      </c>
      <c r="C19" t="s">
        <v>212</v>
      </c>
      <c r="D19" s="8">
        <v>10000</v>
      </c>
      <c r="E19" s="8">
        <f t="shared" si="0"/>
        <v>320000</v>
      </c>
      <c r="F19" s="8">
        <f t="shared" si="1"/>
        <v>280000</v>
      </c>
    </row>
    <row r="20" spans="1:6" x14ac:dyDescent="0.35">
      <c r="A20" t="s">
        <v>378</v>
      </c>
      <c r="B20">
        <v>9075</v>
      </c>
      <c r="C20" t="s">
        <v>212</v>
      </c>
      <c r="D20" s="8">
        <v>50000</v>
      </c>
      <c r="E20" s="8">
        <f t="shared" si="0"/>
        <v>370000</v>
      </c>
      <c r="F20" s="8">
        <f t="shared" si="1"/>
        <v>230000</v>
      </c>
    </row>
    <row r="21" spans="1:6" x14ac:dyDescent="0.35">
      <c r="A21" s="7">
        <v>45904</v>
      </c>
      <c r="B21">
        <v>9982</v>
      </c>
      <c r="C21" t="s">
        <v>212</v>
      </c>
      <c r="D21" s="8">
        <v>40000</v>
      </c>
      <c r="E21" s="8">
        <f t="shared" si="0"/>
        <v>410000</v>
      </c>
      <c r="F21" s="8">
        <f t="shared" si="1"/>
        <v>190000</v>
      </c>
    </row>
    <row r="22" spans="1:6" x14ac:dyDescent="0.35">
      <c r="A22" s="7">
        <v>45727</v>
      </c>
      <c r="B22">
        <v>13425</v>
      </c>
      <c r="C22" t="s">
        <v>212</v>
      </c>
      <c r="D22" s="8">
        <v>10000</v>
      </c>
      <c r="E22" s="8">
        <f t="shared" si="0"/>
        <v>420000</v>
      </c>
      <c r="F22" s="8">
        <f t="shared" si="1"/>
        <v>180000</v>
      </c>
    </row>
    <row r="23" spans="1:6" x14ac:dyDescent="0.35">
      <c r="A23" s="7">
        <v>45728</v>
      </c>
      <c r="B23">
        <v>13266</v>
      </c>
      <c r="C23" t="s">
        <v>212</v>
      </c>
      <c r="D23" s="8">
        <v>10000</v>
      </c>
      <c r="E23" s="8">
        <f t="shared" si="0"/>
        <v>430000</v>
      </c>
      <c r="F23" s="8">
        <f t="shared" si="1"/>
        <v>170000</v>
      </c>
    </row>
    <row r="24" spans="1:6" x14ac:dyDescent="0.35">
      <c r="A24" s="7">
        <v>45728</v>
      </c>
      <c r="B24">
        <v>13267</v>
      </c>
      <c r="C24" t="s">
        <v>212</v>
      </c>
      <c r="D24" s="8">
        <v>40000</v>
      </c>
      <c r="E24" s="8">
        <f t="shared" si="0"/>
        <v>470000</v>
      </c>
      <c r="F24" s="8">
        <f t="shared" si="1"/>
        <v>130000</v>
      </c>
    </row>
    <row r="25" spans="1:6" x14ac:dyDescent="0.35">
      <c r="A25" s="7">
        <v>46113</v>
      </c>
      <c r="B25">
        <v>13891</v>
      </c>
      <c r="C25" t="s">
        <v>212</v>
      </c>
      <c r="D25" s="8">
        <v>10000</v>
      </c>
      <c r="E25" s="8">
        <f t="shared" si="0"/>
        <v>480000</v>
      </c>
      <c r="F25" s="8">
        <f t="shared" si="1"/>
        <v>120000</v>
      </c>
    </row>
    <row r="26" spans="1:6" x14ac:dyDescent="0.35">
      <c r="A26" s="7">
        <v>46358</v>
      </c>
      <c r="B26">
        <v>12449</v>
      </c>
      <c r="C26" t="s">
        <v>212</v>
      </c>
      <c r="D26" s="8">
        <v>10000</v>
      </c>
      <c r="E26" s="8">
        <f t="shared" si="0"/>
        <v>490000</v>
      </c>
      <c r="F26" s="8">
        <f t="shared" si="1"/>
        <v>110000</v>
      </c>
    </row>
    <row r="27" spans="1:6" x14ac:dyDescent="0.35">
      <c r="A27" s="7">
        <v>46145</v>
      </c>
      <c r="B27">
        <v>12740</v>
      </c>
      <c r="C27" t="s">
        <v>212</v>
      </c>
      <c r="D27" s="8">
        <v>10000</v>
      </c>
      <c r="E27" s="8">
        <f t="shared" si="0"/>
        <v>500000</v>
      </c>
      <c r="F27" s="8">
        <f t="shared" si="1"/>
        <v>100000</v>
      </c>
    </row>
    <row r="28" spans="1:6" x14ac:dyDescent="0.35">
      <c r="A28" t="s">
        <v>379</v>
      </c>
      <c r="B28">
        <v>13987</v>
      </c>
      <c r="C28" t="s">
        <v>212</v>
      </c>
      <c r="D28" s="8">
        <v>10000</v>
      </c>
      <c r="E28" s="8">
        <f t="shared" si="0"/>
        <v>510000</v>
      </c>
      <c r="F28" s="8">
        <f t="shared" si="1"/>
        <v>90000</v>
      </c>
    </row>
    <row r="29" spans="1:6" x14ac:dyDescent="0.35">
      <c r="A29" s="7">
        <v>46208</v>
      </c>
      <c r="B29">
        <v>12950</v>
      </c>
      <c r="C29" t="s">
        <v>212</v>
      </c>
      <c r="D29" s="8">
        <v>10000</v>
      </c>
      <c r="E29" s="8">
        <f t="shared" si="0"/>
        <v>520000</v>
      </c>
      <c r="F29" s="8">
        <f t="shared" si="1"/>
        <v>80000</v>
      </c>
    </row>
    <row r="30" spans="1:6" x14ac:dyDescent="0.35">
      <c r="A30" s="7">
        <v>46118</v>
      </c>
      <c r="B30">
        <v>13511</v>
      </c>
      <c r="C30" t="s">
        <v>212</v>
      </c>
      <c r="D30" s="8">
        <v>10000</v>
      </c>
      <c r="E30" s="8">
        <f t="shared" si="0"/>
        <v>530000</v>
      </c>
      <c r="F30" s="8">
        <f t="shared" si="1"/>
        <v>70000</v>
      </c>
    </row>
    <row r="31" spans="1:6" x14ac:dyDescent="0.35">
      <c r="A31" s="7">
        <v>46181</v>
      </c>
      <c r="B31">
        <v>1661</v>
      </c>
      <c r="C31" t="s">
        <v>212</v>
      </c>
      <c r="D31" s="8">
        <v>20000</v>
      </c>
      <c r="E31" s="8">
        <f t="shared" si="0"/>
        <v>550000</v>
      </c>
      <c r="F31" s="8">
        <f t="shared" si="1"/>
        <v>50000</v>
      </c>
    </row>
    <row r="32" spans="1:6" x14ac:dyDescent="0.35">
      <c r="F32" s="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0" sqref="F10"/>
    </sheetView>
  </sheetViews>
  <sheetFormatPr defaultRowHeight="14.5" x14ac:dyDescent="0.35"/>
  <cols>
    <col min="1" max="1" width="9.453125" bestFit="1" customWidth="1"/>
    <col min="3" max="3" width="13.7265625" customWidth="1"/>
    <col min="4" max="4" width="13.54296875" customWidth="1"/>
    <col min="5" max="5" width="12.1796875" customWidth="1"/>
    <col min="6" max="6" width="14.1796875" customWidth="1"/>
  </cols>
  <sheetData>
    <row r="1" spans="1:6" ht="18.5" x14ac:dyDescent="0.45">
      <c r="A1" s="12" t="s">
        <v>221</v>
      </c>
      <c r="B1" s="12"/>
      <c r="C1" s="12"/>
      <c r="D1" s="12"/>
      <c r="E1" s="12"/>
      <c r="F1" s="12"/>
    </row>
    <row r="2" spans="1:6" ht="18.5" x14ac:dyDescent="0.45">
      <c r="A2" s="14" t="s">
        <v>222</v>
      </c>
      <c r="B2" s="14"/>
      <c r="C2" s="14"/>
      <c r="D2" s="14"/>
      <c r="E2" s="14"/>
      <c r="F2" s="14"/>
    </row>
    <row r="3" spans="1:6" ht="18.5" x14ac:dyDescent="0.45">
      <c r="A3" s="14" t="s">
        <v>613</v>
      </c>
      <c r="B3" s="14"/>
      <c r="C3" s="14"/>
      <c r="D3" s="14"/>
      <c r="E3" s="14"/>
      <c r="F3" s="14"/>
    </row>
    <row r="4" spans="1:6" ht="18.5" x14ac:dyDescent="0.45">
      <c r="A4" s="14" t="s">
        <v>226</v>
      </c>
      <c r="B4" s="14"/>
      <c r="C4" s="14"/>
      <c r="D4" s="14"/>
      <c r="E4" s="14"/>
      <c r="F4" s="14"/>
    </row>
    <row r="5" spans="1:6" ht="18.5" x14ac:dyDescent="0.45">
      <c r="A5" s="14" t="s">
        <v>223</v>
      </c>
      <c r="B5" s="14"/>
      <c r="C5" s="14"/>
      <c r="D5" s="14"/>
      <c r="E5" s="14"/>
      <c r="F5" s="14"/>
    </row>
    <row r="6" spans="1:6" ht="18.5" x14ac:dyDescent="0.45">
      <c r="A6" s="14" t="s">
        <v>224</v>
      </c>
      <c r="B6" s="14"/>
      <c r="C6" s="14"/>
      <c r="D6" s="14" t="s">
        <v>225</v>
      </c>
      <c r="E6" s="14"/>
      <c r="F6" s="14"/>
    </row>
    <row r="7" spans="1:6" ht="18.5" x14ac:dyDescent="0.45">
      <c r="A7" s="31" t="s">
        <v>1</v>
      </c>
      <c r="B7" s="31" t="s">
        <v>2</v>
      </c>
      <c r="C7" s="31" t="s">
        <v>3</v>
      </c>
      <c r="D7" s="31" t="s">
        <v>4</v>
      </c>
      <c r="E7" s="31" t="s">
        <v>5</v>
      </c>
      <c r="F7" s="31" t="s">
        <v>6</v>
      </c>
    </row>
    <row r="8" spans="1:6" x14ac:dyDescent="0.35">
      <c r="A8" s="19" t="s">
        <v>227</v>
      </c>
      <c r="B8">
        <v>1791</v>
      </c>
      <c r="C8" t="s">
        <v>179</v>
      </c>
      <c r="D8" s="8">
        <v>50000</v>
      </c>
      <c r="E8" s="8">
        <v>50000</v>
      </c>
      <c r="F8" s="8">
        <v>750000</v>
      </c>
    </row>
    <row r="9" spans="1:6" x14ac:dyDescent="0.35">
      <c r="A9" s="7">
        <v>46365</v>
      </c>
      <c r="B9">
        <v>1985</v>
      </c>
      <c r="C9" t="s">
        <v>212</v>
      </c>
      <c r="D9" s="8">
        <v>10000</v>
      </c>
      <c r="E9" s="8">
        <f>E8+D9</f>
        <v>60000</v>
      </c>
      <c r="F9" s="8">
        <f>F8-D9</f>
        <v>740000</v>
      </c>
    </row>
  </sheetData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13" workbookViewId="0">
      <selection activeCell="A12" sqref="A12"/>
    </sheetView>
  </sheetViews>
  <sheetFormatPr defaultRowHeight="14.5" x14ac:dyDescent="0.35"/>
  <cols>
    <col min="1" max="1" width="10.90625" customWidth="1"/>
    <col min="2" max="2" width="11.6328125" customWidth="1"/>
    <col min="3" max="3" width="11.26953125" customWidth="1"/>
    <col min="4" max="4" width="10.54296875" customWidth="1"/>
    <col min="5" max="5" width="13.453125" customWidth="1"/>
    <col min="6" max="6" width="12.36328125" customWidth="1"/>
  </cols>
  <sheetData>
    <row r="1" spans="1:6" ht="18.5" x14ac:dyDescent="0.45">
      <c r="A1" s="12" t="s">
        <v>606</v>
      </c>
      <c r="B1" s="12"/>
      <c r="C1" s="12"/>
      <c r="D1" s="12"/>
      <c r="E1" s="12"/>
      <c r="F1" s="12"/>
    </row>
    <row r="2" spans="1:6" ht="18.5" x14ac:dyDescent="0.45">
      <c r="A2" s="14" t="s">
        <v>607</v>
      </c>
      <c r="B2" s="14"/>
      <c r="C2" s="14"/>
      <c r="D2" s="14"/>
      <c r="E2" s="14"/>
      <c r="F2" s="14"/>
    </row>
    <row r="3" spans="1:6" ht="18.5" x14ac:dyDescent="0.45">
      <c r="A3" s="14" t="s">
        <v>608</v>
      </c>
      <c r="B3" s="14"/>
      <c r="C3" s="14"/>
      <c r="D3" s="14"/>
      <c r="E3" s="14"/>
      <c r="F3" s="14"/>
    </row>
    <row r="4" spans="1:6" ht="18.5" x14ac:dyDescent="0.45">
      <c r="A4" s="14" t="s">
        <v>612</v>
      </c>
      <c r="B4" s="14"/>
      <c r="C4" s="14"/>
      <c r="D4" s="14"/>
      <c r="E4" s="14"/>
      <c r="F4" s="14"/>
    </row>
    <row r="5" spans="1:6" ht="18.5" x14ac:dyDescent="0.45">
      <c r="A5" s="14" t="s">
        <v>609</v>
      </c>
      <c r="B5" s="14"/>
      <c r="C5" s="14"/>
      <c r="D5" s="14"/>
      <c r="E5" s="14"/>
      <c r="F5" s="14"/>
    </row>
    <row r="6" spans="1:6" ht="18.5" x14ac:dyDescent="0.45">
      <c r="A6" s="14" t="s">
        <v>611</v>
      </c>
      <c r="B6" s="14"/>
      <c r="C6" s="14"/>
      <c r="D6" s="14" t="s">
        <v>610</v>
      </c>
      <c r="E6" s="14"/>
      <c r="F6" s="14"/>
    </row>
    <row r="7" spans="1:6" ht="43.5" x14ac:dyDescent="0.35">
      <c r="A7" s="65" t="s">
        <v>153</v>
      </c>
      <c r="B7" s="65" t="s">
        <v>434</v>
      </c>
      <c r="C7" s="65" t="s">
        <v>435</v>
      </c>
      <c r="D7" s="65" t="s">
        <v>436</v>
      </c>
      <c r="E7" s="65" t="s">
        <v>437</v>
      </c>
      <c r="F7" s="65" t="s">
        <v>157</v>
      </c>
    </row>
    <row r="8" spans="1:6" x14ac:dyDescent="0.35">
      <c r="A8" s="66" t="s">
        <v>559</v>
      </c>
      <c r="B8" s="66" t="s">
        <v>560</v>
      </c>
      <c r="C8" s="66" t="s">
        <v>561</v>
      </c>
      <c r="D8" s="66" t="s">
        <v>562</v>
      </c>
      <c r="E8" s="66" t="s">
        <v>562</v>
      </c>
      <c r="F8" s="66" t="s">
        <v>563</v>
      </c>
    </row>
    <row r="9" spans="1:6" ht="29" x14ac:dyDescent="0.35">
      <c r="A9" s="66" t="s">
        <v>564</v>
      </c>
      <c r="B9" s="66" t="s">
        <v>565</v>
      </c>
      <c r="C9" s="66" t="s">
        <v>566</v>
      </c>
      <c r="D9" s="66" t="s">
        <v>567</v>
      </c>
      <c r="E9" s="66" t="s">
        <v>568</v>
      </c>
      <c r="F9" s="66" t="s">
        <v>569</v>
      </c>
    </row>
    <row r="10" spans="1:6" ht="29" x14ac:dyDescent="0.35">
      <c r="A10" s="66" t="s">
        <v>570</v>
      </c>
      <c r="B10" s="66" t="s">
        <v>571</v>
      </c>
      <c r="C10" s="66" t="s">
        <v>566</v>
      </c>
      <c r="D10" s="66" t="s">
        <v>567</v>
      </c>
      <c r="E10" s="66" t="s">
        <v>572</v>
      </c>
      <c r="F10" s="66" t="s">
        <v>573</v>
      </c>
    </row>
    <row r="11" spans="1:6" ht="29" x14ac:dyDescent="0.35">
      <c r="A11" s="66" t="s">
        <v>574</v>
      </c>
      <c r="B11" s="66" t="s">
        <v>575</v>
      </c>
      <c r="C11" s="66" t="s">
        <v>566</v>
      </c>
      <c r="D11" s="66" t="s">
        <v>567</v>
      </c>
      <c r="E11" s="66" t="s">
        <v>576</v>
      </c>
      <c r="F11" s="66" t="s">
        <v>577</v>
      </c>
    </row>
    <row r="12" spans="1:6" ht="29" x14ac:dyDescent="0.35">
      <c r="A12" s="66" t="s">
        <v>536</v>
      </c>
      <c r="B12" s="66" t="s">
        <v>578</v>
      </c>
      <c r="C12" s="66" t="s">
        <v>566</v>
      </c>
      <c r="D12" s="66" t="s">
        <v>567</v>
      </c>
      <c r="E12" s="66" t="s">
        <v>579</v>
      </c>
      <c r="F12" s="66" t="s">
        <v>580</v>
      </c>
    </row>
    <row r="13" spans="1:6" ht="29" x14ac:dyDescent="0.35">
      <c r="A13" s="66" t="s">
        <v>581</v>
      </c>
      <c r="B13" s="66" t="s">
        <v>582</v>
      </c>
      <c r="C13" s="66" t="s">
        <v>566</v>
      </c>
      <c r="D13" s="66" t="s">
        <v>567</v>
      </c>
      <c r="E13" s="66" t="s">
        <v>583</v>
      </c>
      <c r="F13" s="66" t="s">
        <v>584</v>
      </c>
    </row>
    <row r="14" spans="1:6" ht="29" x14ac:dyDescent="0.35">
      <c r="A14" s="66" t="s">
        <v>585</v>
      </c>
      <c r="B14" s="66" t="s">
        <v>586</v>
      </c>
      <c r="C14" s="66" t="s">
        <v>566</v>
      </c>
      <c r="D14" s="66" t="s">
        <v>567</v>
      </c>
      <c r="E14" s="66" t="s">
        <v>587</v>
      </c>
      <c r="F14" s="66" t="s">
        <v>588</v>
      </c>
    </row>
    <row r="15" spans="1:6" ht="29" x14ac:dyDescent="0.35">
      <c r="A15" s="66" t="s">
        <v>589</v>
      </c>
      <c r="B15" s="66" t="s">
        <v>590</v>
      </c>
      <c r="C15" s="66" t="s">
        <v>566</v>
      </c>
      <c r="D15" s="66" t="s">
        <v>567</v>
      </c>
      <c r="E15" s="66" t="s">
        <v>591</v>
      </c>
      <c r="F15" s="66" t="s">
        <v>592</v>
      </c>
    </row>
    <row r="16" spans="1:6" ht="29" x14ac:dyDescent="0.35">
      <c r="A16" s="66" t="s">
        <v>593</v>
      </c>
      <c r="B16" s="66" t="s">
        <v>594</v>
      </c>
      <c r="C16" s="66" t="s">
        <v>566</v>
      </c>
      <c r="D16" s="66" t="s">
        <v>567</v>
      </c>
      <c r="E16" s="66" t="s">
        <v>595</v>
      </c>
      <c r="F16" s="66" t="s">
        <v>596</v>
      </c>
    </row>
    <row r="17" spans="1:6" ht="29" x14ac:dyDescent="0.35">
      <c r="A17" s="66" t="s">
        <v>597</v>
      </c>
      <c r="B17" s="66" t="s">
        <v>598</v>
      </c>
      <c r="C17" s="66" t="s">
        <v>566</v>
      </c>
      <c r="D17" s="66" t="s">
        <v>567</v>
      </c>
      <c r="E17" s="66" t="s">
        <v>599</v>
      </c>
      <c r="F17" s="66" t="s">
        <v>600</v>
      </c>
    </row>
    <row r="18" spans="1:6" ht="29" x14ac:dyDescent="0.35">
      <c r="A18" s="66" t="s">
        <v>601</v>
      </c>
      <c r="B18" s="66" t="s">
        <v>602</v>
      </c>
      <c r="C18" s="66" t="s">
        <v>566</v>
      </c>
      <c r="D18" s="66" t="s">
        <v>603</v>
      </c>
      <c r="E18" s="66" t="s">
        <v>604</v>
      </c>
      <c r="F18" s="66" t="s">
        <v>605</v>
      </c>
    </row>
    <row r="19" spans="1:6" x14ac:dyDescent="0.35">
      <c r="A19" s="7">
        <v>46242</v>
      </c>
      <c r="B19">
        <v>1680</v>
      </c>
      <c r="C19" s="66" t="s">
        <v>566</v>
      </c>
      <c r="D19" s="64">
        <v>10000</v>
      </c>
      <c r="E19" s="8">
        <f>E18+D19</f>
        <v>170000</v>
      </c>
      <c r="F19" s="8">
        <f>F18-D19</f>
        <v>580000</v>
      </c>
    </row>
    <row r="20" spans="1:6" x14ac:dyDescent="0.35">
      <c r="A20" s="7">
        <v>46365</v>
      </c>
      <c r="B20">
        <v>1986</v>
      </c>
      <c r="C20" s="66" t="s">
        <v>566</v>
      </c>
      <c r="D20" s="8">
        <v>10000</v>
      </c>
      <c r="E20" s="8">
        <f>E19+D20</f>
        <v>180000</v>
      </c>
      <c r="F20" s="8">
        <f>F19-D20</f>
        <v>570000</v>
      </c>
    </row>
    <row r="21" spans="1:6" x14ac:dyDescent="0.35">
      <c r="C21" s="66" t="s">
        <v>566</v>
      </c>
    </row>
  </sheetData>
  <phoneticPr fontId="1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31" workbookViewId="0">
      <selection activeCell="C38" sqref="C38:D38"/>
    </sheetView>
  </sheetViews>
  <sheetFormatPr defaultRowHeight="14.5" x14ac:dyDescent="0.35"/>
  <cols>
    <col min="1" max="1" width="10.453125" bestFit="1" customWidth="1"/>
    <col min="3" max="3" width="13.36328125" customWidth="1"/>
    <col min="4" max="4" width="13.7265625" customWidth="1"/>
    <col min="5" max="5" width="13.6328125" customWidth="1"/>
    <col min="6" max="6" width="14.26953125" customWidth="1"/>
  </cols>
  <sheetData>
    <row r="1" spans="1:6" ht="18.5" x14ac:dyDescent="0.45">
      <c r="A1" s="12" t="s">
        <v>384</v>
      </c>
      <c r="B1" s="12"/>
      <c r="C1" s="12"/>
      <c r="D1" s="12"/>
      <c r="E1" s="12"/>
      <c r="F1" s="12"/>
    </row>
    <row r="2" spans="1:6" ht="18.5" x14ac:dyDescent="0.45">
      <c r="A2" s="14" t="s">
        <v>385</v>
      </c>
      <c r="B2" s="14"/>
      <c r="C2" s="14"/>
      <c r="D2" s="14"/>
      <c r="E2" s="14"/>
      <c r="F2" s="14"/>
    </row>
    <row r="3" spans="1:6" ht="18.5" x14ac:dyDescent="0.45">
      <c r="A3" s="14" t="s">
        <v>386</v>
      </c>
      <c r="B3" s="14"/>
      <c r="C3" s="14"/>
      <c r="D3" s="14"/>
      <c r="E3" s="14"/>
      <c r="F3" s="14"/>
    </row>
    <row r="4" spans="1:6" ht="18.5" x14ac:dyDescent="0.45">
      <c r="A4" s="14" t="s">
        <v>387</v>
      </c>
      <c r="B4" s="14"/>
      <c r="C4" s="14"/>
      <c r="D4" s="14"/>
      <c r="E4" s="14"/>
      <c r="F4" s="14"/>
    </row>
    <row r="5" spans="1:6" ht="18.5" x14ac:dyDescent="0.45">
      <c r="A5" s="14" t="s">
        <v>161</v>
      </c>
      <c r="B5" s="14"/>
      <c r="C5" s="14"/>
      <c r="D5" s="14"/>
      <c r="E5" s="14"/>
      <c r="F5" s="14"/>
    </row>
    <row r="6" spans="1:6" ht="18.5" x14ac:dyDescent="0.45">
      <c r="A6" s="14" t="s">
        <v>383</v>
      </c>
      <c r="B6" s="14"/>
      <c r="C6" s="14"/>
      <c r="D6" s="14" t="s">
        <v>163</v>
      </c>
      <c r="E6" s="14"/>
      <c r="F6" s="14"/>
    </row>
    <row r="7" spans="1:6" ht="18.5" x14ac:dyDescent="0.45">
      <c r="A7" s="31" t="s">
        <v>1</v>
      </c>
      <c r="B7" s="31" t="s">
        <v>2</v>
      </c>
      <c r="C7" s="31" t="s">
        <v>3</v>
      </c>
      <c r="D7" s="31" t="s">
        <v>4</v>
      </c>
      <c r="E7" s="31" t="s">
        <v>5</v>
      </c>
      <c r="F7" s="31" t="s">
        <v>6</v>
      </c>
    </row>
    <row r="8" spans="1:6" x14ac:dyDescent="0.35">
      <c r="A8" s="19" t="s">
        <v>388</v>
      </c>
      <c r="B8">
        <v>400</v>
      </c>
      <c r="C8" t="s">
        <v>212</v>
      </c>
      <c r="D8" s="8">
        <v>10000</v>
      </c>
      <c r="E8" s="8">
        <v>10000</v>
      </c>
      <c r="F8" s="8">
        <v>210000</v>
      </c>
    </row>
    <row r="9" spans="1:6" x14ac:dyDescent="0.35">
      <c r="A9" s="19" t="s">
        <v>389</v>
      </c>
      <c r="B9">
        <v>2778</v>
      </c>
      <c r="C9" t="s">
        <v>212</v>
      </c>
      <c r="D9" s="8">
        <v>20000</v>
      </c>
      <c r="E9" s="8">
        <f t="shared" ref="E9:E16" si="0">E8+D9</f>
        <v>30000</v>
      </c>
      <c r="F9" s="8">
        <f t="shared" ref="F9:F15" si="1">F8-D9</f>
        <v>190000</v>
      </c>
    </row>
    <row r="10" spans="1:6" x14ac:dyDescent="0.35">
      <c r="A10" t="s">
        <v>390</v>
      </c>
      <c r="B10">
        <v>2777</v>
      </c>
      <c r="C10" t="s">
        <v>391</v>
      </c>
      <c r="D10" s="8">
        <v>60000</v>
      </c>
      <c r="E10" s="8">
        <f t="shared" si="0"/>
        <v>90000</v>
      </c>
      <c r="F10" s="8">
        <f t="shared" si="1"/>
        <v>130000</v>
      </c>
    </row>
    <row r="11" spans="1:6" x14ac:dyDescent="0.35">
      <c r="A11" s="7">
        <v>44962</v>
      </c>
      <c r="B11">
        <v>1413</v>
      </c>
      <c r="C11" t="s">
        <v>212</v>
      </c>
      <c r="D11" s="8">
        <v>20000</v>
      </c>
      <c r="E11" s="8">
        <f t="shared" si="0"/>
        <v>110000</v>
      </c>
      <c r="F11" s="8">
        <f t="shared" si="1"/>
        <v>110000</v>
      </c>
    </row>
    <row r="12" spans="1:6" x14ac:dyDescent="0.35">
      <c r="A12" t="s">
        <v>167</v>
      </c>
      <c r="B12">
        <v>2750</v>
      </c>
      <c r="C12" t="s">
        <v>212</v>
      </c>
      <c r="D12" s="8">
        <v>20000</v>
      </c>
      <c r="E12" s="8">
        <f t="shared" si="0"/>
        <v>130000</v>
      </c>
      <c r="F12" s="8">
        <f t="shared" si="1"/>
        <v>90000</v>
      </c>
    </row>
    <row r="13" spans="1:6" x14ac:dyDescent="0.35">
      <c r="A13" s="7">
        <v>45239</v>
      </c>
      <c r="B13">
        <v>3524</v>
      </c>
      <c r="C13" t="s">
        <v>212</v>
      </c>
      <c r="D13" s="8">
        <v>20000</v>
      </c>
      <c r="E13" s="8">
        <f t="shared" si="0"/>
        <v>150000</v>
      </c>
      <c r="F13" s="8">
        <f t="shared" si="1"/>
        <v>70000</v>
      </c>
    </row>
    <row r="14" spans="1:6" x14ac:dyDescent="0.35">
      <c r="A14" s="7">
        <v>45241</v>
      </c>
      <c r="B14">
        <v>4803</v>
      </c>
      <c r="C14" t="s">
        <v>212</v>
      </c>
      <c r="D14" s="8">
        <v>20000</v>
      </c>
      <c r="E14" s="8">
        <f t="shared" si="0"/>
        <v>170000</v>
      </c>
      <c r="F14" s="8">
        <f t="shared" si="1"/>
        <v>50000</v>
      </c>
    </row>
    <row r="15" spans="1:6" x14ac:dyDescent="0.35">
      <c r="A15" t="s">
        <v>168</v>
      </c>
      <c r="B15">
        <v>5823</v>
      </c>
      <c r="C15" t="s">
        <v>212</v>
      </c>
      <c r="D15" s="8">
        <v>30000</v>
      </c>
      <c r="E15" s="8">
        <f t="shared" si="0"/>
        <v>200000</v>
      </c>
      <c r="F15" s="8">
        <f t="shared" si="1"/>
        <v>20000</v>
      </c>
    </row>
    <row r="16" spans="1:6" x14ac:dyDescent="0.35">
      <c r="A16" t="s">
        <v>169</v>
      </c>
      <c r="B16">
        <v>7881</v>
      </c>
      <c r="C16" t="s">
        <v>212</v>
      </c>
      <c r="D16" s="8">
        <v>20000</v>
      </c>
      <c r="E16" s="8">
        <f t="shared" si="0"/>
        <v>220000</v>
      </c>
      <c r="F16" s="8" t="s">
        <v>288</v>
      </c>
    </row>
    <row r="18" spans="1:6" ht="18.5" x14ac:dyDescent="0.45">
      <c r="A18" s="28" t="s">
        <v>113</v>
      </c>
      <c r="B18" s="28"/>
      <c r="C18" s="28"/>
    </row>
    <row r="19" spans="1:6" ht="18.5" x14ac:dyDescent="0.45">
      <c r="A19" s="31" t="s">
        <v>1</v>
      </c>
      <c r="B19" s="31" t="s">
        <v>2</v>
      </c>
      <c r="C19" s="31" t="s">
        <v>3</v>
      </c>
      <c r="D19" s="31" t="s">
        <v>4</v>
      </c>
      <c r="E19" s="31" t="s">
        <v>5</v>
      </c>
      <c r="F19" s="31" t="s">
        <v>6</v>
      </c>
    </row>
    <row r="20" spans="1:6" x14ac:dyDescent="0.35">
      <c r="A20" s="7">
        <v>44962</v>
      </c>
      <c r="B20">
        <v>2</v>
      </c>
      <c r="C20" t="s">
        <v>315</v>
      </c>
      <c r="D20" s="8">
        <v>30000</v>
      </c>
      <c r="E20" s="8">
        <v>30000</v>
      </c>
      <c r="F20" s="8">
        <v>420000</v>
      </c>
    </row>
    <row r="21" spans="1:6" x14ac:dyDescent="0.35">
      <c r="A21" t="s">
        <v>380</v>
      </c>
      <c r="B21">
        <v>80</v>
      </c>
      <c r="C21" t="s">
        <v>315</v>
      </c>
      <c r="D21" s="8">
        <v>10000</v>
      </c>
      <c r="E21" s="8">
        <f t="shared" ref="E21:E36" si="2">E20+D21</f>
        <v>40000</v>
      </c>
      <c r="F21" s="8">
        <f t="shared" ref="F21:F35" si="3">F20-D21</f>
        <v>410000</v>
      </c>
    </row>
    <row r="22" spans="1:6" x14ac:dyDescent="0.35">
      <c r="A22" s="7">
        <v>45634</v>
      </c>
      <c r="B22">
        <v>160</v>
      </c>
      <c r="C22" t="s">
        <v>315</v>
      </c>
      <c r="D22" s="8">
        <v>20000</v>
      </c>
      <c r="E22" s="8">
        <f t="shared" si="2"/>
        <v>60000</v>
      </c>
      <c r="F22" s="8">
        <f t="shared" si="3"/>
        <v>390000</v>
      </c>
    </row>
    <row r="23" spans="1:6" x14ac:dyDescent="0.35">
      <c r="A23" s="7">
        <v>45575</v>
      </c>
      <c r="B23">
        <v>364</v>
      </c>
      <c r="C23" t="s">
        <v>315</v>
      </c>
      <c r="D23" s="8">
        <v>20000</v>
      </c>
      <c r="E23" s="8">
        <f t="shared" si="2"/>
        <v>80000</v>
      </c>
      <c r="F23" s="8">
        <f t="shared" si="3"/>
        <v>370000</v>
      </c>
    </row>
    <row r="24" spans="1:6" x14ac:dyDescent="0.35">
      <c r="A24" s="7">
        <v>45516</v>
      </c>
      <c r="B24">
        <v>284</v>
      </c>
      <c r="C24" t="s">
        <v>315</v>
      </c>
      <c r="D24" s="8">
        <v>10000</v>
      </c>
      <c r="E24" s="8">
        <f t="shared" si="2"/>
        <v>90000</v>
      </c>
      <c r="F24" s="8">
        <f t="shared" si="3"/>
        <v>360000</v>
      </c>
    </row>
    <row r="25" spans="1:6" x14ac:dyDescent="0.35">
      <c r="A25" s="7">
        <v>45871</v>
      </c>
      <c r="B25">
        <v>929</v>
      </c>
      <c r="C25" t="s">
        <v>315</v>
      </c>
      <c r="D25" s="8">
        <v>20000</v>
      </c>
      <c r="E25" s="8">
        <f t="shared" si="2"/>
        <v>110000</v>
      </c>
      <c r="F25" s="8">
        <f t="shared" si="3"/>
        <v>340000</v>
      </c>
    </row>
    <row r="26" spans="1:6" x14ac:dyDescent="0.35">
      <c r="A26" s="7">
        <v>45965</v>
      </c>
      <c r="B26">
        <v>714</v>
      </c>
      <c r="C26" t="s">
        <v>315</v>
      </c>
      <c r="D26" s="8">
        <v>20000</v>
      </c>
      <c r="E26" s="8">
        <f t="shared" si="2"/>
        <v>130000</v>
      </c>
      <c r="F26" s="8">
        <f t="shared" si="3"/>
        <v>320000</v>
      </c>
    </row>
    <row r="27" spans="1:6" x14ac:dyDescent="0.35">
      <c r="A27" t="s">
        <v>381</v>
      </c>
      <c r="B27">
        <v>601</v>
      </c>
      <c r="C27" t="s">
        <v>315</v>
      </c>
      <c r="D27" s="8">
        <v>10000</v>
      </c>
      <c r="E27" s="8">
        <f t="shared" si="2"/>
        <v>140000</v>
      </c>
      <c r="F27" s="8">
        <f t="shared" si="3"/>
        <v>310000</v>
      </c>
    </row>
    <row r="28" spans="1:6" x14ac:dyDescent="0.35">
      <c r="A28" s="7">
        <v>45907</v>
      </c>
      <c r="B28">
        <v>3339</v>
      </c>
      <c r="C28" t="s">
        <v>315</v>
      </c>
      <c r="D28" s="8">
        <v>20000</v>
      </c>
      <c r="E28" s="8">
        <f t="shared" si="2"/>
        <v>160000</v>
      </c>
      <c r="F28" s="8">
        <f t="shared" si="3"/>
        <v>290000</v>
      </c>
    </row>
    <row r="29" spans="1:6" x14ac:dyDescent="0.35">
      <c r="A29" s="7">
        <v>45909</v>
      </c>
      <c r="B29">
        <v>12684</v>
      </c>
      <c r="C29" t="s">
        <v>315</v>
      </c>
      <c r="D29" s="8">
        <v>20000</v>
      </c>
      <c r="E29" s="8">
        <f t="shared" si="2"/>
        <v>180000</v>
      </c>
      <c r="F29" s="8">
        <f t="shared" si="3"/>
        <v>270000</v>
      </c>
    </row>
    <row r="30" spans="1:6" x14ac:dyDescent="0.35">
      <c r="A30" s="7">
        <v>45941</v>
      </c>
      <c r="B30">
        <v>3674</v>
      </c>
      <c r="C30" t="s">
        <v>315</v>
      </c>
      <c r="D30" s="8">
        <v>20000</v>
      </c>
      <c r="E30" s="8">
        <f t="shared" si="2"/>
        <v>200000</v>
      </c>
      <c r="F30" s="8">
        <f t="shared" si="3"/>
        <v>250000</v>
      </c>
    </row>
    <row r="31" spans="1:6" x14ac:dyDescent="0.35">
      <c r="A31" s="7">
        <v>46296</v>
      </c>
      <c r="B31">
        <v>5241</v>
      </c>
      <c r="C31" t="s">
        <v>315</v>
      </c>
      <c r="D31" s="8">
        <v>20000</v>
      </c>
      <c r="E31" s="8">
        <f t="shared" si="2"/>
        <v>220000</v>
      </c>
      <c r="F31" s="8">
        <f t="shared" si="3"/>
        <v>230000</v>
      </c>
    </row>
    <row r="32" spans="1:6" x14ac:dyDescent="0.35">
      <c r="A32" t="s">
        <v>353</v>
      </c>
      <c r="B32">
        <v>5736</v>
      </c>
      <c r="C32" t="s">
        <v>315</v>
      </c>
      <c r="D32" s="8">
        <v>10000</v>
      </c>
      <c r="E32" s="8">
        <f t="shared" si="2"/>
        <v>230000</v>
      </c>
      <c r="F32" s="8">
        <f t="shared" si="3"/>
        <v>220000</v>
      </c>
    </row>
    <row r="33" spans="1:6" x14ac:dyDescent="0.35">
      <c r="A33" s="7">
        <v>46146</v>
      </c>
      <c r="B33">
        <v>5838</v>
      </c>
      <c r="C33" t="s">
        <v>315</v>
      </c>
      <c r="D33" s="8">
        <v>20000</v>
      </c>
      <c r="E33" s="8">
        <f t="shared" si="2"/>
        <v>250000</v>
      </c>
      <c r="F33" s="8">
        <f t="shared" si="3"/>
        <v>200000</v>
      </c>
    </row>
    <row r="34" spans="1:6" x14ac:dyDescent="0.35">
      <c r="A34" s="7">
        <v>46270</v>
      </c>
      <c r="B34">
        <v>1410</v>
      </c>
      <c r="C34" t="s">
        <v>315</v>
      </c>
      <c r="D34" s="8">
        <v>10000</v>
      </c>
      <c r="E34" s="8">
        <f t="shared" si="2"/>
        <v>260000</v>
      </c>
      <c r="F34" s="8">
        <f t="shared" si="3"/>
        <v>190000</v>
      </c>
    </row>
    <row r="35" spans="1:6" x14ac:dyDescent="0.35">
      <c r="A35" s="7">
        <v>46301</v>
      </c>
      <c r="B35">
        <v>1609</v>
      </c>
      <c r="C35" t="s">
        <v>315</v>
      </c>
      <c r="D35" s="8">
        <v>10000</v>
      </c>
      <c r="E35" s="8">
        <f t="shared" si="2"/>
        <v>270000</v>
      </c>
      <c r="F35" s="8">
        <f t="shared" si="3"/>
        <v>180000</v>
      </c>
    </row>
    <row r="36" spans="1:6" x14ac:dyDescent="0.35">
      <c r="A36" s="7">
        <v>46334</v>
      </c>
      <c r="B36">
        <v>3773</v>
      </c>
      <c r="C36" t="s">
        <v>315</v>
      </c>
      <c r="D36" s="8">
        <v>100000</v>
      </c>
      <c r="E36" s="8">
        <f t="shared" si="2"/>
        <v>370000</v>
      </c>
      <c r="F36" s="35" t="s">
        <v>45</v>
      </c>
    </row>
    <row r="37" spans="1:6" x14ac:dyDescent="0.35">
      <c r="F37" t="s">
        <v>324</v>
      </c>
    </row>
    <row r="38" spans="1:6" x14ac:dyDescent="0.35">
      <c r="C38" s="4" t="s">
        <v>382</v>
      </c>
      <c r="D38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sqref="A1:F6"/>
    </sheetView>
  </sheetViews>
  <sheetFormatPr defaultRowHeight="14.5" x14ac:dyDescent="0.35"/>
  <cols>
    <col min="1" max="1" width="10.453125" bestFit="1" customWidth="1"/>
  </cols>
  <sheetData>
    <row r="1" spans="1:7" ht="18.5" x14ac:dyDescent="0.45">
      <c r="A1" s="12" t="s">
        <v>68</v>
      </c>
      <c r="B1" s="12"/>
      <c r="C1" s="12"/>
      <c r="D1" s="12"/>
      <c r="E1" s="12"/>
      <c r="F1" s="12"/>
      <c r="G1" s="13"/>
    </row>
    <row r="2" spans="1:7" ht="18.5" x14ac:dyDescent="0.45">
      <c r="A2" s="14" t="s">
        <v>69</v>
      </c>
      <c r="B2" s="14"/>
      <c r="C2" s="14"/>
      <c r="D2" s="14"/>
      <c r="E2" s="14"/>
      <c r="F2" s="14"/>
      <c r="G2" s="13"/>
    </row>
    <row r="3" spans="1:7" ht="18.5" x14ac:dyDescent="0.45">
      <c r="A3" s="14" t="s">
        <v>70</v>
      </c>
      <c r="B3" s="14"/>
      <c r="C3" s="14"/>
      <c r="D3" s="14"/>
      <c r="E3" s="14"/>
      <c r="F3" s="14"/>
      <c r="G3" s="13"/>
    </row>
    <row r="4" spans="1:7" ht="18.5" x14ac:dyDescent="0.45">
      <c r="A4" s="14" t="s">
        <v>71</v>
      </c>
      <c r="B4" s="14"/>
      <c r="C4" s="14"/>
      <c r="D4" s="14"/>
      <c r="E4" s="14"/>
      <c r="F4" s="14"/>
      <c r="G4" s="13"/>
    </row>
    <row r="5" spans="1:7" ht="18.5" x14ac:dyDescent="0.45">
      <c r="A5" s="14" t="s">
        <v>74</v>
      </c>
      <c r="B5" s="14"/>
      <c r="C5" s="14"/>
      <c r="D5" s="14"/>
      <c r="E5" s="14"/>
      <c r="F5" s="14"/>
      <c r="G5" s="13"/>
    </row>
    <row r="6" spans="1:7" ht="18.5" x14ac:dyDescent="0.45">
      <c r="A6" s="14" t="s">
        <v>72</v>
      </c>
      <c r="B6" s="14"/>
      <c r="C6" s="14"/>
      <c r="D6" s="14" t="s">
        <v>73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11">
        <v>44845</v>
      </c>
      <c r="B8" s="9">
        <v>14</v>
      </c>
      <c r="C8" s="9" t="s">
        <v>77</v>
      </c>
      <c r="D8" s="10">
        <v>50000</v>
      </c>
      <c r="E8" s="10">
        <v>50000</v>
      </c>
      <c r="F8" s="10">
        <v>600000</v>
      </c>
    </row>
    <row r="9" spans="1:7" x14ac:dyDescent="0.35">
      <c r="A9" s="1" t="s">
        <v>75</v>
      </c>
      <c r="B9" s="9">
        <v>1956</v>
      </c>
      <c r="C9" s="9" t="s">
        <v>78</v>
      </c>
      <c r="D9" s="10">
        <v>10000</v>
      </c>
      <c r="E9" s="10">
        <f t="shared" ref="E9:E46" si="0">E8+D9</f>
        <v>60000</v>
      </c>
      <c r="F9" s="10">
        <f t="shared" ref="F9:F46" si="1">F8-D9</f>
        <v>590000</v>
      </c>
    </row>
    <row r="10" spans="1:7" ht="18.5" x14ac:dyDescent="0.45">
      <c r="A10" s="15" t="s">
        <v>76</v>
      </c>
      <c r="B10" s="9">
        <v>2355</v>
      </c>
      <c r="C10" s="1" t="s">
        <v>78</v>
      </c>
      <c r="D10" s="10">
        <v>10000</v>
      </c>
      <c r="E10" s="10">
        <f t="shared" si="0"/>
        <v>70000</v>
      </c>
      <c r="F10" s="10">
        <f t="shared" si="1"/>
        <v>580000</v>
      </c>
    </row>
    <row r="11" spans="1:7" x14ac:dyDescent="0.35">
      <c r="A11" s="11">
        <v>45142</v>
      </c>
      <c r="B11" s="9">
        <v>1895</v>
      </c>
      <c r="C11" s="9" t="s">
        <v>79</v>
      </c>
      <c r="D11" s="10">
        <v>20000</v>
      </c>
      <c r="E11" s="10">
        <f t="shared" si="0"/>
        <v>90000</v>
      </c>
      <c r="F11" s="10">
        <f t="shared" si="1"/>
        <v>560000</v>
      </c>
    </row>
    <row r="12" spans="1:7" x14ac:dyDescent="0.35">
      <c r="A12" s="11">
        <v>45204</v>
      </c>
      <c r="B12" s="9">
        <v>773</v>
      </c>
      <c r="C12" s="9" t="s">
        <v>78</v>
      </c>
      <c r="D12" s="10">
        <v>10000</v>
      </c>
      <c r="E12" s="10">
        <f t="shared" si="0"/>
        <v>100000</v>
      </c>
      <c r="F12" s="10">
        <f t="shared" si="1"/>
        <v>550000</v>
      </c>
    </row>
    <row r="13" spans="1:7" x14ac:dyDescent="0.35">
      <c r="A13" s="11">
        <v>45205</v>
      </c>
      <c r="B13" s="9">
        <v>400</v>
      </c>
      <c r="C13" s="9" t="s">
        <v>78</v>
      </c>
      <c r="D13" s="10">
        <v>10000</v>
      </c>
      <c r="E13" s="10">
        <f t="shared" si="0"/>
        <v>110000</v>
      </c>
      <c r="F13" s="10">
        <f t="shared" si="1"/>
        <v>540000</v>
      </c>
    </row>
    <row r="14" spans="1:7" x14ac:dyDescent="0.35">
      <c r="A14" s="11">
        <v>45206</v>
      </c>
      <c r="B14" s="9">
        <v>2656</v>
      </c>
      <c r="C14" s="9" t="s">
        <v>78</v>
      </c>
      <c r="D14" s="10">
        <v>10000</v>
      </c>
      <c r="E14" s="10">
        <f t="shared" si="0"/>
        <v>120000</v>
      </c>
      <c r="F14" s="10">
        <f t="shared" si="1"/>
        <v>530000</v>
      </c>
    </row>
    <row r="15" spans="1:7" x14ac:dyDescent="0.35">
      <c r="A15" s="11">
        <v>45238</v>
      </c>
      <c r="B15" s="9">
        <v>2366</v>
      </c>
      <c r="C15" s="9" t="s">
        <v>78</v>
      </c>
      <c r="D15" s="10">
        <v>10000</v>
      </c>
      <c r="E15" s="10">
        <f t="shared" si="0"/>
        <v>130000</v>
      </c>
      <c r="F15" s="10">
        <f t="shared" si="1"/>
        <v>520000</v>
      </c>
    </row>
    <row r="16" spans="1:7" x14ac:dyDescent="0.35">
      <c r="A16" s="11">
        <v>45178</v>
      </c>
      <c r="B16" s="9">
        <v>3479</v>
      </c>
      <c r="C16" s="9" t="s">
        <v>78</v>
      </c>
      <c r="D16" s="10">
        <v>10000</v>
      </c>
      <c r="E16" s="10">
        <f t="shared" si="0"/>
        <v>140000</v>
      </c>
      <c r="F16" s="10">
        <f t="shared" si="1"/>
        <v>510000</v>
      </c>
    </row>
    <row r="17" spans="1:6" x14ac:dyDescent="0.35">
      <c r="A17" s="11">
        <v>45148</v>
      </c>
      <c r="B17" s="9">
        <v>4093</v>
      </c>
      <c r="C17" s="9" t="s">
        <v>78</v>
      </c>
      <c r="D17" s="10">
        <v>10000</v>
      </c>
      <c r="E17" s="10">
        <f t="shared" si="0"/>
        <v>150000</v>
      </c>
      <c r="F17" s="10">
        <f t="shared" si="1"/>
        <v>500000</v>
      </c>
    </row>
    <row r="18" spans="1:6" x14ac:dyDescent="0.35">
      <c r="A18" s="11">
        <v>45180</v>
      </c>
      <c r="B18" s="9">
        <v>4750</v>
      </c>
      <c r="C18" s="9" t="s">
        <v>78</v>
      </c>
      <c r="D18" s="10">
        <v>10000</v>
      </c>
      <c r="E18" s="10">
        <f t="shared" si="0"/>
        <v>160000</v>
      </c>
      <c r="F18" s="10">
        <f t="shared" si="1"/>
        <v>490000</v>
      </c>
    </row>
    <row r="19" spans="1:6" x14ac:dyDescent="0.35">
      <c r="A19" s="11">
        <v>44969</v>
      </c>
      <c r="B19" s="9">
        <v>5255</v>
      </c>
      <c r="C19" s="9" t="s">
        <v>78</v>
      </c>
      <c r="D19" s="10">
        <v>10000</v>
      </c>
      <c r="E19" s="10">
        <f t="shared" si="0"/>
        <v>170000</v>
      </c>
      <c r="F19" s="10">
        <f t="shared" si="1"/>
        <v>480000</v>
      </c>
    </row>
    <row r="20" spans="1:6" x14ac:dyDescent="0.35">
      <c r="A20" s="11">
        <v>45444</v>
      </c>
      <c r="B20" s="9">
        <v>5936</v>
      </c>
      <c r="C20" s="9" t="s">
        <v>78</v>
      </c>
      <c r="D20" s="10">
        <v>10000</v>
      </c>
      <c r="E20" s="10">
        <f t="shared" si="0"/>
        <v>180000</v>
      </c>
      <c r="F20" s="10">
        <f t="shared" si="1"/>
        <v>470000</v>
      </c>
    </row>
    <row r="21" spans="1:6" x14ac:dyDescent="0.35">
      <c r="A21" s="11">
        <v>45353</v>
      </c>
      <c r="B21" s="9">
        <v>6517</v>
      </c>
      <c r="C21" s="9" t="s">
        <v>78</v>
      </c>
      <c r="D21" s="10">
        <v>10000</v>
      </c>
      <c r="E21" s="10">
        <f t="shared" si="0"/>
        <v>190000</v>
      </c>
      <c r="F21" s="10">
        <f t="shared" si="1"/>
        <v>460000</v>
      </c>
    </row>
    <row r="22" spans="1:6" x14ac:dyDescent="0.35">
      <c r="A22" s="11">
        <v>45446</v>
      </c>
      <c r="B22" s="9">
        <v>6906</v>
      </c>
      <c r="C22" s="9" t="s">
        <v>78</v>
      </c>
      <c r="D22" s="10">
        <v>10000</v>
      </c>
      <c r="E22" s="10">
        <f t="shared" si="0"/>
        <v>200000</v>
      </c>
      <c r="F22" s="10">
        <f t="shared" si="1"/>
        <v>450000</v>
      </c>
    </row>
    <row r="23" spans="1:6" x14ac:dyDescent="0.35">
      <c r="A23" s="11">
        <v>45417</v>
      </c>
      <c r="B23" s="9">
        <v>8220</v>
      </c>
      <c r="C23" s="9" t="s">
        <v>78</v>
      </c>
      <c r="D23" s="10">
        <v>10000</v>
      </c>
      <c r="E23" s="10">
        <f t="shared" si="0"/>
        <v>210000</v>
      </c>
      <c r="F23" s="10">
        <f t="shared" si="1"/>
        <v>440000</v>
      </c>
    </row>
    <row r="24" spans="1:6" x14ac:dyDescent="0.35">
      <c r="A24" s="9" t="s">
        <v>80</v>
      </c>
      <c r="B24" s="9">
        <v>9219</v>
      </c>
      <c r="C24" s="9" t="s">
        <v>78</v>
      </c>
      <c r="D24" s="10">
        <v>20000</v>
      </c>
      <c r="E24" s="10">
        <f t="shared" si="0"/>
        <v>230000</v>
      </c>
      <c r="F24" s="10">
        <f t="shared" si="1"/>
        <v>420000</v>
      </c>
    </row>
    <row r="25" spans="1:6" x14ac:dyDescent="0.35">
      <c r="A25" s="11" t="s">
        <v>81</v>
      </c>
      <c r="B25" s="9">
        <v>9580</v>
      </c>
      <c r="C25" s="9" t="s">
        <v>78</v>
      </c>
      <c r="D25" s="10">
        <v>10000</v>
      </c>
      <c r="E25" s="10">
        <f t="shared" si="0"/>
        <v>240000</v>
      </c>
      <c r="F25" s="10">
        <f t="shared" si="1"/>
        <v>410000</v>
      </c>
    </row>
    <row r="26" spans="1:6" x14ac:dyDescent="0.35">
      <c r="A26" s="11">
        <v>45604</v>
      </c>
      <c r="B26" s="9">
        <v>11052</v>
      </c>
      <c r="C26" s="9" t="s">
        <v>78</v>
      </c>
      <c r="D26" s="10">
        <v>10000</v>
      </c>
      <c r="E26" s="10">
        <f t="shared" si="0"/>
        <v>250000</v>
      </c>
      <c r="F26" s="10">
        <f t="shared" si="1"/>
        <v>400000</v>
      </c>
    </row>
    <row r="27" spans="1:6" x14ac:dyDescent="0.35">
      <c r="A27" s="11">
        <v>45513</v>
      </c>
      <c r="B27" s="9">
        <v>10592</v>
      </c>
      <c r="C27" s="9" t="s">
        <v>78</v>
      </c>
      <c r="D27" s="10">
        <v>10000</v>
      </c>
      <c r="E27" s="10">
        <f t="shared" si="0"/>
        <v>260000</v>
      </c>
      <c r="F27" s="10">
        <f t="shared" si="1"/>
        <v>390000</v>
      </c>
    </row>
    <row r="28" spans="1:6" x14ac:dyDescent="0.35">
      <c r="A28" s="9" t="s">
        <v>82</v>
      </c>
      <c r="B28" s="9">
        <v>11625</v>
      </c>
      <c r="C28" s="9" t="s">
        <v>78</v>
      </c>
      <c r="D28" s="10">
        <v>10000</v>
      </c>
      <c r="E28" s="10">
        <f t="shared" si="0"/>
        <v>270000</v>
      </c>
      <c r="F28" s="10">
        <f t="shared" si="1"/>
        <v>380000</v>
      </c>
    </row>
    <row r="29" spans="1:6" x14ac:dyDescent="0.35">
      <c r="A29" s="11">
        <v>45576</v>
      </c>
      <c r="B29" s="9">
        <v>11961</v>
      </c>
      <c r="C29" s="9" t="s">
        <v>78</v>
      </c>
      <c r="D29" s="10">
        <v>10000</v>
      </c>
      <c r="E29" s="10">
        <f t="shared" si="0"/>
        <v>280000</v>
      </c>
      <c r="F29" s="10">
        <f t="shared" si="1"/>
        <v>370000</v>
      </c>
    </row>
    <row r="30" spans="1:6" x14ac:dyDescent="0.35">
      <c r="A30" s="9" t="s">
        <v>83</v>
      </c>
      <c r="B30" s="9">
        <v>12601</v>
      </c>
      <c r="C30" s="9" t="s">
        <v>78</v>
      </c>
      <c r="D30" s="10">
        <v>10000</v>
      </c>
      <c r="E30" s="10">
        <f t="shared" si="0"/>
        <v>290000</v>
      </c>
      <c r="F30" s="10">
        <f t="shared" si="1"/>
        <v>360000</v>
      </c>
    </row>
    <row r="31" spans="1:6" x14ac:dyDescent="0.35">
      <c r="A31" s="11">
        <v>45992</v>
      </c>
      <c r="B31" s="9">
        <v>12018</v>
      </c>
      <c r="C31" s="9" t="s">
        <v>78</v>
      </c>
      <c r="D31" s="10">
        <v>10000</v>
      </c>
      <c r="E31" s="10">
        <f t="shared" si="0"/>
        <v>300000</v>
      </c>
      <c r="F31" s="10">
        <f t="shared" si="1"/>
        <v>350000</v>
      </c>
    </row>
    <row r="32" spans="1:6" x14ac:dyDescent="0.35">
      <c r="A32" s="9" t="s">
        <v>84</v>
      </c>
      <c r="B32" s="9">
        <v>9430</v>
      </c>
      <c r="C32" s="9" t="s">
        <v>78</v>
      </c>
      <c r="D32" s="10">
        <v>10000</v>
      </c>
      <c r="E32" s="10">
        <f t="shared" si="0"/>
        <v>310000</v>
      </c>
      <c r="F32" s="10">
        <f t="shared" si="1"/>
        <v>340000</v>
      </c>
    </row>
    <row r="33" spans="1:6" x14ac:dyDescent="0.35">
      <c r="A33" s="11" t="s">
        <v>85</v>
      </c>
      <c r="B33" s="9">
        <v>9760</v>
      </c>
      <c r="C33" s="9" t="s">
        <v>78</v>
      </c>
      <c r="D33" s="10">
        <v>10000</v>
      </c>
      <c r="E33" s="10">
        <f t="shared" si="0"/>
        <v>320000</v>
      </c>
      <c r="F33" s="10">
        <f t="shared" si="1"/>
        <v>330000</v>
      </c>
    </row>
    <row r="34" spans="1:6" x14ac:dyDescent="0.35">
      <c r="A34" s="9" t="s">
        <v>86</v>
      </c>
      <c r="B34" s="9">
        <v>10225</v>
      </c>
      <c r="C34" s="9" t="s">
        <v>78</v>
      </c>
      <c r="D34" s="10">
        <v>10000</v>
      </c>
      <c r="E34" s="10">
        <f t="shared" si="0"/>
        <v>330000</v>
      </c>
      <c r="F34" s="10">
        <f t="shared" si="1"/>
        <v>320000</v>
      </c>
    </row>
    <row r="35" spans="1:6" x14ac:dyDescent="0.35">
      <c r="A35" s="11">
        <v>45966</v>
      </c>
      <c r="B35" s="9">
        <v>10920</v>
      </c>
      <c r="C35" s="9" t="s">
        <v>78</v>
      </c>
      <c r="D35" s="10">
        <v>10000</v>
      </c>
      <c r="E35" s="10">
        <f t="shared" si="0"/>
        <v>340000</v>
      </c>
      <c r="F35" s="10">
        <f t="shared" si="1"/>
        <v>310000</v>
      </c>
    </row>
    <row r="36" spans="1:6" x14ac:dyDescent="0.35">
      <c r="A36" s="9" t="s">
        <v>87</v>
      </c>
      <c r="B36" s="9">
        <v>9950</v>
      </c>
      <c r="C36" s="9" t="s">
        <v>78</v>
      </c>
      <c r="D36" s="10">
        <v>10000</v>
      </c>
      <c r="E36" s="10">
        <f t="shared" si="0"/>
        <v>350000</v>
      </c>
      <c r="F36" s="10">
        <f t="shared" si="1"/>
        <v>300000</v>
      </c>
    </row>
    <row r="37" spans="1:6" x14ac:dyDescent="0.35">
      <c r="A37" s="11" t="s">
        <v>88</v>
      </c>
      <c r="B37" s="9">
        <v>12169</v>
      </c>
      <c r="C37" s="9" t="s">
        <v>78</v>
      </c>
      <c r="D37" s="10">
        <v>10000</v>
      </c>
      <c r="E37" s="10">
        <f t="shared" si="0"/>
        <v>360000</v>
      </c>
      <c r="F37" s="10">
        <f t="shared" si="1"/>
        <v>290000</v>
      </c>
    </row>
    <row r="38" spans="1:6" x14ac:dyDescent="0.35">
      <c r="A38" s="11">
        <v>45938</v>
      </c>
      <c r="B38" s="9">
        <v>12451</v>
      </c>
      <c r="C38" s="9" t="s">
        <v>78</v>
      </c>
      <c r="D38" s="10">
        <v>10000</v>
      </c>
      <c r="E38" s="10">
        <f t="shared" si="0"/>
        <v>370000</v>
      </c>
      <c r="F38" s="10">
        <f t="shared" si="1"/>
        <v>280000</v>
      </c>
    </row>
    <row r="39" spans="1:6" x14ac:dyDescent="0.35">
      <c r="A39" s="11" t="s">
        <v>89</v>
      </c>
      <c r="B39" s="9">
        <v>12743</v>
      </c>
      <c r="C39" s="9" t="s">
        <v>78</v>
      </c>
      <c r="D39" s="10">
        <v>10000</v>
      </c>
      <c r="E39" s="10">
        <f t="shared" si="0"/>
        <v>380000</v>
      </c>
      <c r="F39" s="10">
        <f t="shared" si="1"/>
        <v>270000</v>
      </c>
    </row>
    <row r="40" spans="1:6" x14ac:dyDescent="0.35">
      <c r="A40" s="11">
        <v>45699</v>
      </c>
      <c r="B40" s="9">
        <v>13413</v>
      </c>
      <c r="C40" s="9" t="s">
        <v>78</v>
      </c>
      <c r="D40" s="10">
        <v>20000</v>
      </c>
      <c r="E40" s="10">
        <f t="shared" si="0"/>
        <v>400000</v>
      </c>
      <c r="F40" s="10">
        <f t="shared" si="1"/>
        <v>250000</v>
      </c>
    </row>
    <row r="41" spans="1:6" x14ac:dyDescent="0.35">
      <c r="A41" s="11">
        <v>46082</v>
      </c>
      <c r="B41" s="9">
        <v>13374</v>
      </c>
      <c r="C41" s="9" t="s">
        <v>78</v>
      </c>
      <c r="D41" s="10">
        <v>10000</v>
      </c>
      <c r="E41" s="10">
        <f t="shared" si="0"/>
        <v>410000</v>
      </c>
      <c r="F41" s="10">
        <f t="shared" si="1"/>
        <v>240000</v>
      </c>
    </row>
    <row r="42" spans="1:6" x14ac:dyDescent="0.35">
      <c r="A42" s="9" t="s">
        <v>90</v>
      </c>
      <c r="B42" s="9">
        <v>12466</v>
      </c>
      <c r="C42" s="9" t="s">
        <v>78</v>
      </c>
      <c r="D42" s="10">
        <v>10000</v>
      </c>
      <c r="E42" s="10">
        <f t="shared" si="0"/>
        <v>420000</v>
      </c>
      <c r="F42" s="10">
        <f t="shared" si="1"/>
        <v>230000</v>
      </c>
    </row>
    <row r="43" spans="1:6" x14ac:dyDescent="0.35">
      <c r="A43" s="9" t="s">
        <v>91</v>
      </c>
      <c r="B43" s="9">
        <v>12848</v>
      </c>
      <c r="C43" s="9" t="s">
        <v>78</v>
      </c>
      <c r="D43" s="10">
        <v>20000</v>
      </c>
      <c r="E43" s="10">
        <f t="shared" si="0"/>
        <v>440000</v>
      </c>
      <c r="F43" s="10">
        <f t="shared" si="1"/>
        <v>210000</v>
      </c>
    </row>
    <row r="44" spans="1:6" x14ac:dyDescent="0.35">
      <c r="A44" s="11">
        <v>46360</v>
      </c>
      <c r="B44" s="9">
        <v>13240</v>
      </c>
      <c r="C44" s="9" t="s">
        <v>78</v>
      </c>
      <c r="D44" s="10">
        <v>10000</v>
      </c>
      <c r="E44" s="10">
        <f t="shared" si="0"/>
        <v>450000</v>
      </c>
      <c r="F44" s="10">
        <f t="shared" si="1"/>
        <v>200000</v>
      </c>
    </row>
    <row r="45" spans="1:6" x14ac:dyDescent="0.35">
      <c r="A45" s="11">
        <v>46300</v>
      </c>
      <c r="B45" s="9">
        <v>12984</v>
      </c>
      <c r="C45" s="9" t="s">
        <v>78</v>
      </c>
      <c r="D45" s="10">
        <v>20000</v>
      </c>
      <c r="E45" s="10">
        <f t="shared" si="0"/>
        <v>470000</v>
      </c>
      <c r="F45" s="10">
        <f t="shared" si="1"/>
        <v>180000</v>
      </c>
    </row>
    <row r="46" spans="1:6" x14ac:dyDescent="0.35">
      <c r="A46" s="11">
        <v>46273</v>
      </c>
      <c r="B46" s="9">
        <v>1684</v>
      </c>
      <c r="C46" s="9" t="s">
        <v>78</v>
      </c>
      <c r="D46" s="10">
        <v>20000</v>
      </c>
      <c r="E46" s="10">
        <f t="shared" si="0"/>
        <v>490000</v>
      </c>
      <c r="F46" s="10">
        <f t="shared" si="1"/>
        <v>160000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sqref="A1:F7"/>
    </sheetView>
  </sheetViews>
  <sheetFormatPr defaultRowHeight="14.5" x14ac:dyDescent="0.35"/>
  <cols>
    <col min="1" max="1" width="10.453125" bestFit="1" customWidth="1"/>
    <col min="3" max="3" width="14.08984375" customWidth="1"/>
    <col min="4" max="4" width="15.36328125" customWidth="1"/>
    <col min="5" max="5" width="12.54296875" customWidth="1"/>
    <col min="6" max="6" width="16.54296875" customWidth="1"/>
  </cols>
  <sheetData>
    <row r="1" spans="1:7" ht="18.5" x14ac:dyDescent="0.45">
      <c r="A1" s="12" t="s">
        <v>392</v>
      </c>
      <c r="B1" s="12"/>
      <c r="C1" s="12"/>
      <c r="D1" s="12"/>
      <c r="E1" s="12"/>
      <c r="F1" s="12"/>
      <c r="G1" s="13"/>
    </row>
    <row r="2" spans="1:7" ht="18.5" x14ac:dyDescent="0.45">
      <c r="A2" s="14" t="s">
        <v>393</v>
      </c>
      <c r="B2" s="14"/>
      <c r="C2" s="14"/>
      <c r="D2" s="14"/>
      <c r="E2" s="14"/>
      <c r="F2" s="14"/>
      <c r="G2" s="13"/>
    </row>
    <row r="3" spans="1:7" ht="18.5" x14ac:dyDescent="0.45">
      <c r="A3" s="14" t="s">
        <v>394</v>
      </c>
      <c r="B3" s="14"/>
      <c r="C3" s="14"/>
      <c r="D3" s="14"/>
      <c r="E3" s="14"/>
      <c r="F3" s="14"/>
      <c r="G3" s="13"/>
    </row>
    <row r="4" spans="1:7" ht="18.5" x14ac:dyDescent="0.45">
      <c r="A4" s="14" t="s">
        <v>397</v>
      </c>
      <c r="B4" s="14"/>
      <c r="C4" s="14"/>
      <c r="D4" s="14"/>
      <c r="E4" s="14"/>
      <c r="F4" s="14"/>
      <c r="G4" s="13"/>
    </row>
    <row r="5" spans="1:7" ht="18.5" x14ac:dyDescent="0.45">
      <c r="A5" s="14" t="s">
        <v>395</v>
      </c>
      <c r="B5" s="14"/>
      <c r="C5" s="14"/>
      <c r="D5" s="14"/>
      <c r="E5" s="14"/>
      <c r="F5" s="14"/>
      <c r="G5" s="13"/>
    </row>
    <row r="6" spans="1:7" ht="18.5" x14ac:dyDescent="0.45">
      <c r="A6" s="14" t="s">
        <v>396</v>
      </c>
      <c r="B6" s="14"/>
      <c r="C6" s="14"/>
      <c r="D6" s="14" t="s">
        <v>97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19" t="s">
        <v>246</v>
      </c>
      <c r="B8">
        <v>3777</v>
      </c>
      <c r="C8" t="s">
        <v>399</v>
      </c>
      <c r="D8" s="8">
        <v>100000</v>
      </c>
      <c r="E8" s="8">
        <v>100000</v>
      </c>
      <c r="F8" s="8">
        <v>500000</v>
      </c>
    </row>
    <row r="9" spans="1:7" x14ac:dyDescent="0.35">
      <c r="A9" s="7">
        <v>45058</v>
      </c>
      <c r="B9">
        <v>5303</v>
      </c>
      <c r="C9" t="s">
        <v>304</v>
      </c>
      <c r="D9">
        <v>14000</v>
      </c>
      <c r="E9" s="8">
        <f t="shared" ref="E9:E34" si="0">E8+D9</f>
        <v>114000</v>
      </c>
      <c r="F9" s="8">
        <f t="shared" ref="F9:F34" si="1">F8-D9</f>
        <v>486000</v>
      </c>
    </row>
    <row r="10" spans="1:7" x14ac:dyDescent="0.35">
      <c r="A10" s="7">
        <v>45211</v>
      </c>
      <c r="B10">
        <v>5440</v>
      </c>
      <c r="C10" t="s">
        <v>304</v>
      </c>
      <c r="D10">
        <v>7000</v>
      </c>
      <c r="E10" s="8">
        <f t="shared" si="0"/>
        <v>121000</v>
      </c>
      <c r="F10" s="8">
        <f t="shared" si="1"/>
        <v>479000</v>
      </c>
    </row>
    <row r="11" spans="1:7" x14ac:dyDescent="0.35">
      <c r="A11" t="s">
        <v>247</v>
      </c>
      <c r="B11">
        <v>6393</v>
      </c>
      <c r="C11" t="s">
        <v>304</v>
      </c>
      <c r="D11">
        <v>7000</v>
      </c>
      <c r="E11" s="8">
        <f t="shared" si="0"/>
        <v>128000</v>
      </c>
      <c r="F11" s="8">
        <f t="shared" si="1"/>
        <v>472000</v>
      </c>
    </row>
    <row r="12" spans="1:7" x14ac:dyDescent="0.35">
      <c r="A12" s="7">
        <v>45568</v>
      </c>
      <c r="B12">
        <v>7246</v>
      </c>
      <c r="C12" t="s">
        <v>304</v>
      </c>
      <c r="D12">
        <v>7000</v>
      </c>
      <c r="E12" s="8">
        <f t="shared" si="0"/>
        <v>135000</v>
      </c>
      <c r="F12" s="8">
        <f t="shared" si="1"/>
        <v>465000</v>
      </c>
    </row>
    <row r="13" spans="1:7" x14ac:dyDescent="0.35">
      <c r="A13" s="7">
        <v>45295</v>
      </c>
      <c r="B13">
        <v>7645</v>
      </c>
      <c r="C13" t="s">
        <v>304</v>
      </c>
      <c r="D13">
        <v>7000</v>
      </c>
      <c r="E13" s="8">
        <f t="shared" si="0"/>
        <v>142000</v>
      </c>
      <c r="F13" s="8">
        <f t="shared" si="1"/>
        <v>458000</v>
      </c>
    </row>
    <row r="14" spans="1:7" x14ac:dyDescent="0.35">
      <c r="A14" t="s">
        <v>398</v>
      </c>
      <c r="B14">
        <v>8760</v>
      </c>
      <c r="C14" t="s">
        <v>304</v>
      </c>
      <c r="D14">
        <v>7000</v>
      </c>
      <c r="E14" s="8">
        <f t="shared" si="0"/>
        <v>149000</v>
      </c>
      <c r="F14" s="8">
        <f t="shared" si="1"/>
        <v>451000</v>
      </c>
    </row>
    <row r="15" spans="1:7" x14ac:dyDescent="0.35">
      <c r="A15" s="7">
        <v>45417</v>
      </c>
      <c r="B15">
        <v>8262</v>
      </c>
      <c r="C15" t="s">
        <v>304</v>
      </c>
      <c r="D15">
        <v>7000</v>
      </c>
      <c r="E15" s="8">
        <f t="shared" si="0"/>
        <v>156000</v>
      </c>
      <c r="F15" s="8">
        <f t="shared" si="1"/>
        <v>444000</v>
      </c>
    </row>
    <row r="16" spans="1:7" x14ac:dyDescent="0.35">
      <c r="A16" s="7">
        <v>45602</v>
      </c>
      <c r="B16">
        <v>9018</v>
      </c>
      <c r="C16" t="s">
        <v>304</v>
      </c>
      <c r="D16">
        <v>7000</v>
      </c>
      <c r="E16" s="8">
        <f t="shared" si="0"/>
        <v>163000</v>
      </c>
      <c r="F16" s="8">
        <f t="shared" si="1"/>
        <v>437000</v>
      </c>
    </row>
    <row r="17" spans="1:6" x14ac:dyDescent="0.35">
      <c r="A17" s="7">
        <v>45634</v>
      </c>
      <c r="B17">
        <v>316</v>
      </c>
      <c r="C17" t="s">
        <v>304</v>
      </c>
      <c r="D17">
        <v>14000</v>
      </c>
      <c r="E17" s="8">
        <f t="shared" si="0"/>
        <v>177000</v>
      </c>
      <c r="F17" s="8">
        <f t="shared" si="1"/>
        <v>423000</v>
      </c>
    </row>
    <row r="18" spans="1:6" x14ac:dyDescent="0.35">
      <c r="A18" t="s">
        <v>82</v>
      </c>
      <c r="B18">
        <v>11634</v>
      </c>
      <c r="C18" t="s">
        <v>304</v>
      </c>
      <c r="D18">
        <v>14000</v>
      </c>
      <c r="E18" s="8">
        <f t="shared" si="0"/>
        <v>191000</v>
      </c>
      <c r="F18" s="8">
        <f t="shared" si="1"/>
        <v>409000</v>
      </c>
    </row>
    <row r="19" spans="1:6" x14ac:dyDescent="0.35">
      <c r="A19" t="s">
        <v>83</v>
      </c>
      <c r="B19">
        <v>12630</v>
      </c>
      <c r="C19" t="s">
        <v>304</v>
      </c>
      <c r="D19">
        <v>14000</v>
      </c>
      <c r="E19" s="8">
        <f t="shared" si="0"/>
        <v>205000</v>
      </c>
      <c r="F19" s="8">
        <f t="shared" si="1"/>
        <v>395000</v>
      </c>
    </row>
    <row r="20" spans="1:6" x14ac:dyDescent="0.35">
      <c r="A20" t="s">
        <v>400</v>
      </c>
      <c r="B20">
        <v>9393</v>
      </c>
      <c r="C20" t="s">
        <v>304</v>
      </c>
      <c r="D20">
        <v>14000</v>
      </c>
      <c r="E20" s="8">
        <f t="shared" si="0"/>
        <v>219000</v>
      </c>
      <c r="F20" s="8">
        <f t="shared" si="1"/>
        <v>381000</v>
      </c>
    </row>
    <row r="21" spans="1:6" x14ac:dyDescent="0.35">
      <c r="A21" s="7">
        <v>45994</v>
      </c>
      <c r="B21">
        <v>9733</v>
      </c>
      <c r="C21" t="s">
        <v>304</v>
      </c>
      <c r="D21">
        <v>7000</v>
      </c>
      <c r="E21" s="8">
        <f t="shared" si="0"/>
        <v>226000</v>
      </c>
      <c r="F21" s="8">
        <f t="shared" si="1"/>
        <v>374000</v>
      </c>
    </row>
    <row r="22" spans="1:6" x14ac:dyDescent="0.35">
      <c r="A22" s="7">
        <v>45996</v>
      </c>
      <c r="B22">
        <v>10950</v>
      </c>
      <c r="C22" t="s">
        <v>304</v>
      </c>
      <c r="D22">
        <v>14000</v>
      </c>
      <c r="E22" s="8">
        <f t="shared" si="0"/>
        <v>240000</v>
      </c>
      <c r="F22" s="8">
        <f t="shared" si="1"/>
        <v>360000</v>
      </c>
    </row>
    <row r="23" spans="1:6" x14ac:dyDescent="0.35">
      <c r="A23" t="s">
        <v>266</v>
      </c>
      <c r="B23">
        <v>12198</v>
      </c>
      <c r="C23" t="s">
        <v>304</v>
      </c>
      <c r="D23">
        <v>14000</v>
      </c>
      <c r="E23" s="8">
        <f t="shared" si="0"/>
        <v>254000</v>
      </c>
      <c r="F23" s="8">
        <f t="shared" si="1"/>
        <v>346000</v>
      </c>
    </row>
    <row r="24" spans="1:6" x14ac:dyDescent="0.35">
      <c r="A24" s="7">
        <v>45938</v>
      </c>
      <c r="B24">
        <v>12466</v>
      </c>
      <c r="C24" t="s">
        <v>304</v>
      </c>
      <c r="D24">
        <v>7000</v>
      </c>
      <c r="E24" s="8">
        <f t="shared" si="0"/>
        <v>261000</v>
      </c>
      <c r="F24" s="8">
        <f t="shared" si="1"/>
        <v>339000</v>
      </c>
    </row>
    <row r="25" spans="1:6" x14ac:dyDescent="0.35">
      <c r="A25" t="s">
        <v>89</v>
      </c>
      <c r="B25">
        <v>12758</v>
      </c>
      <c r="C25" t="s">
        <v>304</v>
      </c>
      <c r="D25">
        <v>7000</v>
      </c>
      <c r="E25" s="8">
        <f t="shared" si="0"/>
        <v>268000</v>
      </c>
      <c r="F25" s="8">
        <f t="shared" si="1"/>
        <v>332000</v>
      </c>
    </row>
    <row r="26" spans="1:6" x14ac:dyDescent="0.35">
      <c r="A26" s="7">
        <v>46001</v>
      </c>
      <c r="B26">
        <v>13783</v>
      </c>
      <c r="C26" t="s">
        <v>304</v>
      </c>
      <c r="D26">
        <v>7000</v>
      </c>
      <c r="E26" s="8">
        <f t="shared" si="0"/>
        <v>275000</v>
      </c>
      <c r="F26" s="8">
        <f t="shared" si="1"/>
        <v>325000</v>
      </c>
    </row>
    <row r="27" spans="1:6" x14ac:dyDescent="0.35">
      <c r="A27" s="7">
        <v>45995</v>
      </c>
      <c r="B27">
        <v>13350</v>
      </c>
      <c r="C27" t="s">
        <v>304</v>
      </c>
      <c r="D27">
        <v>7000</v>
      </c>
      <c r="E27" s="8">
        <f t="shared" si="0"/>
        <v>282000</v>
      </c>
      <c r="F27" s="8">
        <f t="shared" si="1"/>
        <v>318000</v>
      </c>
    </row>
    <row r="28" spans="1:6" x14ac:dyDescent="0.35">
      <c r="A28" t="s">
        <v>151</v>
      </c>
      <c r="B28">
        <v>12606</v>
      </c>
      <c r="C28" t="s">
        <v>304</v>
      </c>
      <c r="D28">
        <v>7000</v>
      </c>
      <c r="E28" s="8">
        <f t="shared" si="0"/>
        <v>289000</v>
      </c>
      <c r="F28" s="8">
        <f t="shared" si="1"/>
        <v>311000</v>
      </c>
    </row>
    <row r="29" spans="1:6" x14ac:dyDescent="0.35">
      <c r="A29" s="7">
        <v>46327</v>
      </c>
      <c r="B29">
        <v>12090</v>
      </c>
      <c r="C29" t="s">
        <v>304</v>
      </c>
      <c r="D29">
        <v>7000</v>
      </c>
      <c r="E29" s="8">
        <f t="shared" si="0"/>
        <v>296000</v>
      </c>
      <c r="F29" s="8">
        <f t="shared" si="1"/>
        <v>304000</v>
      </c>
    </row>
    <row r="30" spans="1:6" x14ac:dyDescent="0.35">
      <c r="A30" t="s">
        <v>90</v>
      </c>
      <c r="B30">
        <v>12482</v>
      </c>
      <c r="C30" t="s">
        <v>304</v>
      </c>
      <c r="D30">
        <v>7000</v>
      </c>
      <c r="E30" s="8">
        <f t="shared" si="0"/>
        <v>303000</v>
      </c>
      <c r="F30" s="8">
        <f t="shared" si="1"/>
        <v>297000</v>
      </c>
    </row>
    <row r="31" spans="1:6" x14ac:dyDescent="0.35">
      <c r="A31" s="7">
        <v>46360</v>
      </c>
      <c r="B31">
        <v>13249</v>
      </c>
      <c r="C31" t="s">
        <v>304</v>
      </c>
      <c r="D31">
        <v>14000</v>
      </c>
      <c r="E31" s="8">
        <f t="shared" si="0"/>
        <v>317000</v>
      </c>
      <c r="F31" s="8">
        <f t="shared" si="1"/>
        <v>283000</v>
      </c>
    </row>
    <row r="32" spans="1:6" x14ac:dyDescent="0.35">
      <c r="A32" s="7">
        <v>46300</v>
      </c>
      <c r="B32">
        <v>13304</v>
      </c>
      <c r="C32" t="s">
        <v>304</v>
      </c>
      <c r="D32">
        <v>7000</v>
      </c>
      <c r="E32" s="8">
        <f t="shared" si="0"/>
        <v>324000</v>
      </c>
      <c r="F32" s="8">
        <f t="shared" si="1"/>
        <v>276000</v>
      </c>
    </row>
    <row r="33" spans="1:6" x14ac:dyDescent="0.35">
      <c r="A33" s="7">
        <v>46363</v>
      </c>
      <c r="B33">
        <v>1469</v>
      </c>
      <c r="C33" t="s">
        <v>304</v>
      </c>
      <c r="D33">
        <v>14000</v>
      </c>
      <c r="E33" s="8">
        <f t="shared" si="0"/>
        <v>338000</v>
      </c>
      <c r="F33" s="8">
        <f t="shared" si="1"/>
        <v>262000</v>
      </c>
    </row>
    <row r="34" spans="1:6" x14ac:dyDescent="0.35">
      <c r="A34" s="7">
        <v>46303</v>
      </c>
      <c r="B34">
        <v>1715</v>
      </c>
      <c r="C34" t="s">
        <v>304</v>
      </c>
      <c r="D34">
        <v>7000</v>
      </c>
      <c r="E34" s="8">
        <f t="shared" si="0"/>
        <v>345000</v>
      </c>
      <c r="F34" s="8">
        <f t="shared" si="1"/>
        <v>255000</v>
      </c>
    </row>
  </sheetData>
  <pageMargins left="0.7" right="0.7" top="0.75" bottom="0.75" header="0.3" footer="0.3"/>
  <pageSetup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J7" sqref="J7"/>
    </sheetView>
  </sheetViews>
  <sheetFormatPr defaultRowHeight="14.5" x14ac:dyDescent="0.35"/>
  <cols>
    <col min="1" max="1" width="10.453125" bestFit="1" customWidth="1"/>
  </cols>
  <sheetData>
    <row r="1" spans="1:7" ht="18.5" x14ac:dyDescent="0.45">
      <c r="A1" s="12" t="s">
        <v>92</v>
      </c>
      <c r="B1" s="12"/>
      <c r="C1" s="12"/>
      <c r="D1" s="12"/>
      <c r="E1" s="12"/>
      <c r="F1" s="12"/>
      <c r="G1" s="13"/>
    </row>
    <row r="2" spans="1:7" ht="18.5" x14ac:dyDescent="0.45">
      <c r="A2" s="14" t="s">
        <v>93</v>
      </c>
      <c r="B2" s="14"/>
      <c r="C2" s="14"/>
      <c r="D2" s="14"/>
      <c r="E2" s="14"/>
      <c r="F2" s="14"/>
      <c r="G2" s="13"/>
    </row>
    <row r="3" spans="1:7" ht="18.5" x14ac:dyDescent="0.45">
      <c r="A3" s="14" t="s">
        <v>94</v>
      </c>
      <c r="B3" s="14"/>
      <c r="C3" s="14"/>
      <c r="D3" s="14"/>
      <c r="E3" s="14"/>
      <c r="F3" s="14"/>
      <c r="G3" s="13"/>
    </row>
    <row r="4" spans="1:7" ht="18.5" x14ac:dyDescent="0.45">
      <c r="A4" s="14" t="s">
        <v>98</v>
      </c>
      <c r="B4" s="14"/>
      <c r="C4" s="14"/>
      <c r="D4" s="14"/>
      <c r="E4" s="14"/>
      <c r="F4" s="14"/>
      <c r="G4" s="13"/>
    </row>
    <row r="5" spans="1:7" ht="18.5" x14ac:dyDescent="0.45">
      <c r="A5" s="14" t="s">
        <v>95</v>
      </c>
      <c r="B5" s="14"/>
      <c r="C5" s="14"/>
      <c r="D5" s="14"/>
      <c r="E5" s="14"/>
      <c r="F5" s="14"/>
      <c r="G5" s="13"/>
    </row>
    <row r="6" spans="1:7" ht="18.5" x14ac:dyDescent="0.45">
      <c r="A6" s="14" t="s">
        <v>96</v>
      </c>
      <c r="B6" s="14"/>
      <c r="C6" s="14"/>
      <c r="D6" s="14" t="s">
        <v>97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16">
        <v>44877</v>
      </c>
      <c r="B8" s="1">
        <v>13</v>
      </c>
      <c r="C8" s="1" t="s">
        <v>100</v>
      </c>
      <c r="D8" s="2">
        <v>50000</v>
      </c>
      <c r="E8" s="2">
        <v>50000</v>
      </c>
      <c r="F8" s="2">
        <v>550000</v>
      </c>
    </row>
    <row r="9" spans="1:7" x14ac:dyDescent="0.35">
      <c r="A9" s="5" t="s">
        <v>75</v>
      </c>
      <c r="B9" s="1">
        <v>1955</v>
      </c>
      <c r="C9" s="1" t="s">
        <v>78</v>
      </c>
      <c r="D9" s="2">
        <v>10000</v>
      </c>
      <c r="E9" s="2">
        <f t="shared" ref="E9:E46" si="0">E8+D9</f>
        <v>60000</v>
      </c>
      <c r="F9" s="2">
        <f t="shared" ref="F9:F46" si="1">F8-D9</f>
        <v>540000</v>
      </c>
    </row>
    <row r="10" spans="1:7" ht="18.5" x14ac:dyDescent="0.45">
      <c r="A10" s="14" t="s">
        <v>99</v>
      </c>
      <c r="B10" s="1">
        <v>2361</v>
      </c>
      <c r="C10" s="14" t="s">
        <v>78</v>
      </c>
      <c r="D10" s="2">
        <v>10000</v>
      </c>
      <c r="E10" s="2">
        <f t="shared" si="0"/>
        <v>70000</v>
      </c>
      <c r="F10" s="2">
        <f t="shared" si="1"/>
        <v>530000</v>
      </c>
    </row>
    <row r="11" spans="1:7" ht="18.5" x14ac:dyDescent="0.45">
      <c r="A11" s="16">
        <v>45142</v>
      </c>
      <c r="B11" s="1">
        <v>1893</v>
      </c>
      <c r="C11" s="15" t="s">
        <v>101</v>
      </c>
      <c r="D11" s="17">
        <v>20000</v>
      </c>
      <c r="E11" s="2">
        <f t="shared" si="0"/>
        <v>90000</v>
      </c>
      <c r="F11" s="2">
        <f t="shared" si="1"/>
        <v>510000</v>
      </c>
    </row>
    <row r="12" spans="1:7" x14ac:dyDescent="0.35">
      <c r="A12" s="16">
        <v>45204</v>
      </c>
      <c r="B12" s="1">
        <v>772</v>
      </c>
      <c r="C12" s="1" t="s">
        <v>78</v>
      </c>
      <c r="D12" s="2">
        <v>10000</v>
      </c>
      <c r="E12" s="2">
        <f t="shared" si="0"/>
        <v>100000</v>
      </c>
      <c r="F12" s="2">
        <f t="shared" si="1"/>
        <v>500000</v>
      </c>
    </row>
    <row r="13" spans="1:7" x14ac:dyDescent="0.35">
      <c r="A13" s="16">
        <v>45205</v>
      </c>
      <c r="B13" s="1">
        <v>399</v>
      </c>
      <c r="C13" s="1" t="s">
        <v>78</v>
      </c>
      <c r="D13" s="2">
        <v>10000</v>
      </c>
      <c r="E13" s="2">
        <f t="shared" si="0"/>
        <v>110000</v>
      </c>
      <c r="F13" s="2">
        <f t="shared" si="1"/>
        <v>490000</v>
      </c>
    </row>
    <row r="14" spans="1:7" x14ac:dyDescent="0.35">
      <c r="A14" s="16">
        <v>45206</v>
      </c>
      <c r="B14" s="1">
        <v>2655</v>
      </c>
      <c r="C14" s="1" t="s">
        <v>78</v>
      </c>
      <c r="D14" s="2">
        <v>10000</v>
      </c>
      <c r="E14" s="2">
        <f t="shared" si="0"/>
        <v>120000</v>
      </c>
      <c r="F14" s="2">
        <f t="shared" si="1"/>
        <v>480000</v>
      </c>
    </row>
    <row r="15" spans="1:7" x14ac:dyDescent="0.35">
      <c r="A15" s="16">
        <v>45238</v>
      </c>
      <c r="B15" s="1">
        <v>2367</v>
      </c>
      <c r="C15" s="1" t="s">
        <v>78</v>
      </c>
      <c r="D15" s="2">
        <v>10000</v>
      </c>
      <c r="E15" s="2">
        <f t="shared" si="0"/>
        <v>130000</v>
      </c>
      <c r="F15" s="2">
        <f t="shared" si="1"/>
        <v>470000</v>
      </c>
    </row>
    <row r="16" spans="1:7" x14ac:dyDescent="0.35">
      <c r="A16" s="16">
        <v>45178</v>
      </c>
      <c r="B16" s="1">
        <v>3480</v>
      </c>
      <c r="C16" s="1" t="s">
        <v>78</v>
      </c>
      <c r="D16" s="2">
        <v>10000</v>
      </c>
      <c r="E16" s="2">
        <f t="shared" si="0"/>
        <v>140000</v>
      </c>
      <c r="F16" s="2">
        <f t="shared" si="1"/>
        <v>460000</v>
      </c>
    </row>
    <row r="17" spans="1:6" x14ac:dyDescent="0.35">
      <c r="A17" s="16">
        <v>45148</v>
      </c>
      <c r="B17" s="1">
        <v>4094</v>
      </c>
      <c r="C17" s="1" t="s">
        <v>78</v>
      </c>
      <c r="D17" s="2">
        <v>10000</v>
      </c>
      <c r="E17" s="2">
        <f t="shared" si="0"/>
        <v>150000</v>
      </c>
      <c r="F17" s="2">
        <f t="shared" si="1"/>
        <v>450000</v>
      </c>
    </row>
    <row r="18" spans="1:6" x14ac:dyDescent="0.35">
      <c r="A18" s="16">
        <v>45180</v>
      </c>
      <c r="B18" s="1">
        <v>4747</v>
      </c>
      <c r="C18" s="1" t="s">
        <v>78</v>
      </c>
      <c r="D18" s="2">
        <v>10000</v>
      </c>
      <c r="E18" s="2">
        <f t="shared" si="0"/>
        <v>160000</v>
      </c>
      <c r="F18" s="2">
        <f t="shared" si="1"/>
        <v>440000</v>
      </c>
    </row>
    <row r="19" spans="1:6" x14ac:dyDescent="0.35">
      <c r="A19" s="16">
        <v>45181</v>
      </c>
      <c r="B19" s="1"/>
      <c r="C19" s="1" t="s">
        <v>78</v>
      </c>
      <c r="D19" s="2">
        <v>10000</v>
      </c>
      <c r="E19" s="2">
        <f t="shared" si="0"/>
        <v>170000</v>
      </c>
      <c r="F19" s="2">
        <f t="shared" si="1"/>
        <v>430000</v>
      </c>
    </row>
    <row r="20" spans="1:6" x14ac:dyDescent="0.35">
      <c r="A20" s="16">
        <v>45536</v>
      </c>
      <c r="B20" s="1">
        <v>5937</v>
      </c>
      <c r="C20" s="1" t="s">
        <v>78</v>
      </c>
      <c r="D20" s="2">
        <v>10000</v>
      </c>
      <c r="E20" s="2">
        <f t="shared" si="0"/>
        <v>180000</v>
      </c>
      <c r="F20" s="2">
        <f t="shared" si="1"/>
        <v>420000</v>
      </c>
    </row>
    <row r="21" spans="1:6" x14ac:dyDescent="0.35">
      <c r="A21" s="16">
        <v>45353</v>
      </c>
      <c r="B21" s="1">
        <v>6518</v>
      </c>
      <c r="C21" s="1" t="s">
        <v>78</v>
      </c>
      <c r="D21" s="2">
        <v>10000</v>
      </c>
      <c r="E21" s="2">
        <f t="shared" si="0"/>
        <v>190000</v>
      </c>
      <c r="F21" s="2">
        <f t="shared" si="1"/>
        <v>410000</v>
      </c>
    </row>
    <row r="22" spans="1:6" x14ac:dyDescent="0.35">
      <c r="A22" s="16">
        <v>46176</v>
      </c>
      <c r="B22" s="1">
        <v>6905</v>
      </c>
      <c r="C22" s="1" t="s">
        <v>78</v>
      </c>
      <c r="D22" s="2">
        <v>10000</v>
      </c>
      <c r="E22" s="2">
        <f t="shared" si="0"/>
        <v>200000</v>
      </c>
      <c r="F22" s="2">
        <f t="shared" si="1"/>
        <v>400000</v>
      </c>
    </row>
    <row r="23" spans="1:6" x14ac:dyDescent="0.35">
      <c r="A23" s="16">
        <v>45417</v>
      </c>
      <c r="B23" s="1">
        <v>8221</v>
      </c>
      <c r="C23" s="1" t="s">
        <v>78</v>
      </c>
      <c r="D23" s="2">
        <v>10000</v>
      </c>
      <c r="E23" s="2">
        <f t="shared" si="0"/>
        <v>210000</v>
      </c>
      <c r="F23" s="2">
        <f t="shared" si="1"/>
        <v>390000</v>
      </c>
    </row>
    <row r="24" spans="1:6" x14ac:dyDescent="0.35">
      <c r="A24" s="1" t="s">
        <v>80</v>
      </c>
      <c r="B24" s="1">
        <v>9218</v>
      </c>
      <c r="C24" s="1" t="s">
        <v>102</v>
      </c>
      <c r="D24" s="2">
        <v>20000</v>
      </c>
      <c r="E24" s="2">
        <f t="shared" si="0"/>
        <v>230000</v>
      </c>
      <c r="F24" s="2">
        <f t="shared" si="1"/>
        <v>370000</v>
      </c>
    </row>
    <row r="25" spans="1:6" x14ac:dyDescent="0.35">
      <c r="A25" s="1" t="s">
        <v>81</v>
      </c>
      <c r="B25" s="1">
        <v>9581</v>
      </c>
      <c r="C25" s="1" t="s">
        <v>78</v>
      </c>
      <c r="D25" s="2">
        <v>10000</v>
      </c>
      <c r="E25" s="2">
        <f t="shared" si="0"/>
        <v>240000</v>
      </c>
      <c r="F25" s="2">
        <f t="shared" si="1"/>
        <v>360000</v>
      </c>
    </row>
    <row r="26" spans="1:6" x14ac:dyDescent="0.35">
      <c r="A26" s="16">
        <v>45604</v>
      </c>
      <c r="B26" s="1">
        <v>11057</v>
      </c>
      <c r="C26" s="1" t="s">
        <v>78</v>
      </c>
      <c r="D26" s="2">
        <v>10000</v>
      </c>
      <c r="E26" s="2">
        <f t="shared" si="0"/>
        <v>250000</v>
      </c>
      <c r="F26" s="2">
        <f t="shared" si="1"/>
        <v>350000</v>
      </c>
    </row>
    <row r="27" spans="1:6" x14ac:dyDescent="0.35">
      <c r="A27" s="16">
        <v>45513</v>
      </c>
      <c r="B27" s="1">
        <v>10591</v>
      </c>
      <c r="C27" s="1" t="s">
        <v>78</v>
      </c>
      <c r="D27" s="2">
        <v>10000</v>
      </c>
      <c r="E27" s="2">
        <f t="shared" si="0"/>
        <v>260000</v>
      </c>
      <c r="F27" s="2">
        <f t="shared" si="1"/>
        <v>340000</v>
      </c>
    </row>
    <row r="28" spans="1:6" x14ac:dyDescent="0.35">
      <c r="A28" s="1" t="s">
        <v>82</v>
      </c>
      <c r="B28" s="1">
        <v>11624</v>
      </c>
      <c r="C28" s="1" t="s">
        <v>78</v>
      </c>
      <c r="D28" s="2">
        <v>10000</v>
      </c>
      <c r="E28" s="2">
        <f t="shared" si="0"/>
        <v>270000</v>
      </c>
      <c r="F28" s="2">
        <f t="shared" si="1"/>
        <v>330000</v>
      </c>
    </row>
    <row r="29" spans="1:6" x14ac:dyDescent="0.35">
      <c r="A29" s="16">
        <v>45576</v>
      </c>
      <c r="B29" s="1">
        <v>11962</v>
      </c>
      <c r="C29" s="1" t="s">
        <v>78</v>
      </c>
      <c r="D29" s="2">
        <v>10000</v>
      </c>
      <c r="E29" s="2">
        <f t="shared" si="0"/>
        <v>280000</v>
      </c>
      <c r="F29" s="2">
        <f t="shared" si="1"/>
        <v>320000</v>
      </c>
    </row>
    <row r="30" spans="1:6" x14ac:dyDescent="0.35">
      <c r="A30" s="1" t="s">
        <v>83</v>
      </c>
      <c r="B30" s="1">
        <v>12601</v>
      </c>
      <c r="C30" s="1" t="s">
        <v>78</v>
      </c>
      <c r="D30" s="2">
        <v>10000</v>
      </c>
      <c r="E30" s="2">
        <f t="shared" si="0"/>
        <v>290000</v>
      </c>
      <c r="F30" s="2">
        <f t="shared" si="1"/>
        <v>310000</v>
      </c>
    </row>
    <row r="31" spans="1:6" x14ac:dyDescent="0.35">
      <c r="A31" s="16">
        <v>45992</v>
      </c>
      <c r="B31" s="1">
        <v>12019</v>
      </c>
      <c r="C31" s="1" t="s">
        <v>78</v>
      </c>
      <c r="D31" s="2">
        <v>10000</v>
      </c>
      <c r="E31" s="2">
        <f t="shared" si="0"/>
        <v>300000</v>
      </c>
      <c r="F31" s="2">
        <f t="shared" si="1"/>
        <v>300000</v>
      </c>
    </row>
    <row r="32" spans="1:6" x14ac:dyDescent="0.35">
      <c r="A32" s="1" t="s">
        <v>84</v>
      </c>
      <c r="B32" s="1">
        <v>9431</v>
      </c>
      <c r="C32" s="1" t="s">
        <v>78</v>
      </c>
      <c r="D32" s="2">
        <v>10000</v>
      </c>
      <c r="E32" s="2">
        <f t="shared" si="0"/>
        <v>310000</v>
      </c>
      <c r="F32" s="2">
        <f t="shared" si="1"/>
        <v>290000</v>
      </c>
    </row>
    <row r="33" spans="1:6" x14ac:dyDescent="0.35">
      <c r="A33" s="16" t="s">
        <v>85</v>
      </c>
      <c r="B33" s="1">
        <v>9759</v>
      </c>
      <c r="C33" s="1" t="s">
        <v>78</v>
      </c>
      <c r="D33" s="2">
        <v>10000</v>
      </c>
      <c r="E33" s="2">
        <f t="shared" si="0"/>
        <v>320000</v>
      </c>
      <c r="F33" s="2">
        <f t="shared" si="1"/>
        <v>280000</v>
      </c>
    </row>
    <row r="34" spans="1:6" x14ac:dyDescent="0.35">
      <c r="A34" s="1" t="s">
        <v>86</v>
      </c>
      <c r="B34" s="1">
        <v>10224</v>
      </c>
      <c r="C34" s="1" t="s">
        <v>78</v>
      </c>
      <c r="D34" s="2">
        <v>10000</v>
      </c>
      <c r="E34" s="2">
        <f t="shared" si="0"/>
        <v>330000</v>
      </c>
      <c r="F34" s="2">
        <f t="shared" si="1"/>
        <v>270000</v>
      </c>
    </row>
    <row r="35" spans="1:6" x14ac:dyDescent="0.35">
      <c r="A35" s="16">
        <v>45966</v>
      </c>
      <c r="B35" s="1">
        <v>10925</v>
      </c>
      <c r="C35" s="1" t="s">
        <v>78</v>
      </c>
      <c r="D35" s="2">
        <v>10000</v>
      </c>
      <c r="E35" s="2">
        <f t="shared" si="0"/>
        <v>340000</v>
      </c>
      <c r="F35" s="2">
        <f t="shared" si="1"/>
        <v>260000</v>
      </c>
    </row>
    <row r="36" spans="1:6" x14ac:dyDescent="0.35">
      <c r="A36" s="1" t="s">
        <v>87</v>
      </c>
      <c r="B36" s="1">
        <v>9958</v>
      </c>
      <c r="C36" s="1" t="s">
        <v>78</v>
      </c>
      <c r="D36" s="2">
        <v>10000</v>
      </c>
      <c r="E36" s="2">
        <f t="shared" si="0"/>
        <v>350000</v>
      </c>
      <c r="F36" s="2">
        <f t="shared" si="1"/>
        <v>250000</v>
      </c>
    </row>
    <row r="37" spans="1:6" x14ac:dyDescent="0.35">
      <c r="A37" s="16" t="s">
        <v>88</v>
      </c>
      <c r="B37" s="1">
        <v>12170</v>
      </c>
      <c r="C37" s="1" t="s">
        <v>78</v>
      </c>
      <c r="D37" s="2">
        <v>10000</v>
      </c>
      <c r="E37" s="2">
        <f t="shared" si="0"/>
        <v>360000</v>
      </c>
      <c r="F37" s="2">
        <f t="shared" si="1"/>
        <v>240000</v>
      </c>
    </row>
    <row r="38" spans="1:6" x14ac:dyDescent="0.35">
      <c r="A38" s="16">
        <v>45938</v>
      </c>
      <c r="B38" s="1">
        <v>12452</v>
      </c>
      <c r="C38" s="1" t="s">
        <v>78</v>
      </c>
      <c r="D38" s="2">
        <v>10000</v>
      </c>
      <c r="E38" s="2">
        <f t="shared" si="0"/>
        <v>370000</v>
      </c>
      <c r="F38" s="2">
        <f t="shared" si="1"/>
        <v>230000</v>
      </c>
    </row>
    <row r="39" spans="1:6" x14ac:dyDescent="0.35">
      <c r="A39" s="16" t="s">
        <v>89</v>
      </c>
      <c r="B39" s="1">
        <v>12742</v>
      </c>
      <c r="C39" s="1" t="s">
        <v>78</v>
      </c>
      <c r="D39" s="2">
        <v>10000</v>
      </c>
      <c r="E39" s="2">
        <f t="shared" si="0"/>
        <v>380000</v>
      </c>
      <c r="F39" s="2">
        <f t="shared" si="1"/>
        <v>220000</v>
      </c>
    </row>
    <row r="40" spans="1:6" x14ac:dyDescent="0.35">
      <c r="A40" s="16">
        <v>45699</v>
      </c>
      <c r="B40" s="1">
        <v>13412</v>
      </c>
      <c r="C40" s="1" t="s">
        <v>78</v>
      </c>
      <c r="D40" s="2">
        <v>20000</v>
      </c>
      <c r="E40" s="2">
        <f t="shared" si="0"/>
        <v>400000</v>
      </c>
      <c r="F40" s="2">
        <f t="shared" si="1"/>
        <v>200000</v>
      </c>
    </row>
    <row r="41" spans="1:6" x14ac:dyDescent="0.35">
      <c r="A41" s="16">
        <v>46082</v>
      </c>
      <c r="B41" s="1">
        <v>13875</v>
      </c>
      <c r="C41" s="1" t="s">
        <v>78</v>
      </c>
      <c r="D41" s="2">
        <v>10000</v>
      </c>
      <c r="E41" s="2">
        <f t="shared" si="0"/>
        <v>410000</v>
      </c>
      <c r="F41" s="2">
        <f t="shared" si="1"/>
        <v>190000</v>
      </c>
    </row>
    <row r="42" spans="1:6" x14ac:dyDescent="0.35">
      <c r="A42" s="1" t="s">
        <v>90</v>
      </c>
      <c r="B42" s="1">
        <v>12465</v>
      </c>
      <c r="C42" s="1" t="s">
        <v>78</v>
      </c>
      <c r="D42" s="2">
        <v>10000</v>
      </c>
      <c r="E42" s="2">
        <f t="shared" si="0"/>
        <v>420000</v>
      </c>
      <c r="F42" s="2">
        <f t="shared" si="1"/>
        <v>180000</v>
      </c>
    </row>
    <row r="43" spans="1:6" x14ac:dyDescent="0.35">
      <c r="A43" s="1" t="s">
        <v>91</v>
      </c>
      <c r="B43" s="1">
        <v>12849</v>
      </c>
      <c r="C43" s="1" t="s">
        <v>78</v>
      </c>
      <c r="D43" s="2">
        <v>20000</v>
      </c>
      <c r="E43" s="2">
        <f t="shared" si="0"/>
        <v>440000</v>
      </c>
      <c r="F43" s="2">
        <f t="shared" si="1"/>
        <v>160000</v>
      </c>
    </row>
    <row r="44" spans="1:6" x14ac:dyDescent="0.35">
      <c r="A44" s="16">
        <v>46360</v>
      </c>
      <c r="B44" s="1">
        <v>13241</v>
      </c>
      <c r="C44" s="1" t="s">
        <v>78</v>
      </c>
      <c r="D44" s="2">
        <v>10000</v>
      </c>
      <c r="E44" s="2">
        <f t="shared" si="0"/>
        <v>450000</v>
      </c>
      <c r="F44" s="2">
        <f t="shared" si="1"/>
        <v>150000</v>
      </c>
    </row>
    <row r="45" spans="1:6" x14ac:dyDescent="0.35">
      <c r="A45" s="16">
        <v>46300</v>
      </c>
      <c r="B45" s="1">
        <v>12985</v>
      </c>
      <c r="C45" s="1" t="s">
        <v>78</v>
      </c>
      <c r="D45" s="2">
        <v>20000</v>
      </c>
      <c r="E45" s="2">
        <f t="shared" si="0"/>
        <v>470000</v>
      </c>
      <c r="F45" s="2">
        <f t="shared" si="1"/>
        <v>130000</v>
      </c>
    </row>
    <row r="46" spans="1:6" x14ac:dyDescent="0.35">
      <c r="A46" s="16">
        <v>46273</v>
      </c>
      <c r="B46" s="1">
        <v>1685</v>
      </c>
      <c r="C46" s="1" t="s">
        <v>78</v>
      </c>
      <c r="D46" s="2">
        <v>20000</v>
      </c>
      <c r="E46" s="2">
        <f t="shared" si="0"/>
        <v>490000</v>
      </c>
      <c r="F46" s="2">
        <f t="shared" si="1"/>
        <v>110000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L18" sqref="L18"/>
    </sheetView>
  </sheetViews>
  <sheetFormatPr defaultRowHeight="14.5" x14ac:dyDescent="0.35"/>
  <cols>
    <col min="1" max="1" width="9.453125" bestFit="1" customWidth="1"/>
    <col min="2" max="2" width="8.54296875" customWidth="1"/>
    <col min="3" max="3" width="10.81640625" customWidth="1"/>
    <col min="4" max="4" width="12" customWidth="1"/>
    <col min="5" max="5" width="9.36328125" customWidth="1"/>
    <col min="6" max="6" width="12" customWidth="1"/>
  </cols>
  <sheetData>
    <row r="1" spans="1:7" ht="15.5" x14ac:dyDescent="0.35">
      <c r="A1" s="37" t="s">
        <v>405</v>
      </c>
      <c r="B1" s="37"/>
      <c r="C1" s="37"/>
      <c r="D1" s="37"/>
      <c r="E1" s="37"/>
      <c r="F1" s="37"/>
      <c r="G1" s="42"/>
    </row>
    <row r="2" spans="1:7" ht="15.5" x14ac:dyDescent="0.35">
      <c r="A2" s="44" t="s">
        <v>406</v>
      </c>
      <c r="B2" s="44"/>
      <c r="C2" s="44"/>
      <c r="D2" s="44"/>
      <c r="E2" s="44"/>
      <c r="F2" s="44"/>
      <c r="G2" s="42"/>
    </row>
    <row r="3" spans="1:7" ht="15.5" x14ac:dyDescent="0.35">
      <c r="A3" s="44" t="s">
        <v>407</v>
      </c>
      <c r="B3" s="44"/>
      <c r="C3" s="44"/>
      <c r="D3" s="44"/>
      <c r="E3" s="44"/>
      <c r="F3" s="44"/>
      <c r="G3" s="42"/>
    </row>
    <row r="4" spans="1:7" ht="15.5" x14ac:dyDescent="0.35">
      <c r="A4" s="44" t="s">
        <v>231</v>
      </c>
      <c r="B4" s="44"/>
      <c r="C4" s="44"/>
      <c r="D4" s="44"/>
      <c r="E4" s="44"/>
      <c r="F4" s="44"/>
      <c r="G4" s="42"/>
    </row>
    <row r="5" spans="1:7" ht="15.5" x14ac:dyDescent="0.35">
      <c r="A5" s="44" t="s">
        <v>408</v>
      </c>
      <c r="B5" s="44"/>
      <c r="C5" s="44"/>
      <c r="D5" s="44"/>
      <c r="E5" s="44"/>
      <c r="F5" s="44"/>
      <c r="G5" s="42"/>
    </row>
    <row r="6" spans="1:7" ht="15.5" x14ac:dyDescent="0.35">
      <c r="A6" s="44" t="s">
        <v>409</v>
      </c>
      <c r="B6" s="44"/>
      <c r="C6" s="44"/>
      <c r="D6" s="44" t="s">
        <v>121</v>
      </c>
      <c r="E6" s="44"/>
      <c r="F6" s="44"/>
      <c r="G6" s="42"/>
    </row>
    <row r="7" spans="1:7" ht="15.5" x14ac:dyDescent="0.35">
      <c r="G7" s="42"/>
    </row>
    <row r="8" spans="1:7" ht="15.5" x14ac:dyDescent="0.35">
      <c r="A8" s="45" t="s">
        <v>1</v>
      </c>
      <c r="B8" s="45" t="s">
        <v>2</v>
      </c>
      <c r="C8" s="45" t="s">
        <v>3</v>
      </c>
      <c r="D8" s="45" t="s">
        <v>4</v>
      </c>
      <c r="E8" s="45" t="s">
        <v>5</v>
      </c>
      <c r="F8" s="45" t="s">
        <v>6</v>
      </c>
      <c r="G8" s="42"/>
    </row>
    <row r="9" spans="1:7" ht="15.5" x14ac:dyDescent="0.35">
      <c r="A9" s="22" t="s">
        <v>410</v>
      </c>
      <c r="B9" s="22">
        <v>2249</v>
      </c>
      <c r="C9" s="46" t="s">
        <v>412</v>
      </c>
      <c r="D9" s="23">
        <v>242500</v>
      </c>
      <c r="E9" s="23">
        <v>242500</v>
      </c>
      <c r="F9" s="23">
        <v>107500</v>
      </c>
    </row>
    <row r="10" spans="1:7" x14ac:dyDescent="0.35">
      <c r="A10" s="47" t="s">
        <v>76</v>
      </c>
      <c r="B10" s="47">
        <v>2326</v>
      </c>
      <c r="C10" s="47" t="s">
        <v>195</v>
      </c>
      <c r="D10" s="48">
        <v>20000</v>
      </c>
      <c r="E10" s="48">
        <f t="shared" ref="E10:E16" si="0">E9+D10</f>
        <v>262500</v>
      </c>
      <c r="F10" s="48">
        <f t="shared" ref="F10:F15" si="1">F9-D10</f>
        <v>87500</v>
      </c>
    </row>
    <row r="11" spans="1:7" x14ac:dyDescent="0.35">
      <c r="A11" s="21">
        <v>44754</v>
      </c>
      <c r="B11" s="22">
        <v>1396</v>
      </c>
      <c r="C11" s="22" t="s">
        <v>412</v>
      </c>
      <c r="D11" s="23">
        <v>12000</v>
      </c>
      <c r="E11" s="23">
        <f t="shared" si="0"/>
        <v>274500</v>
      </c>
      <c r="F11" s="23">
        <f t="shared" si="1"/>
        <v>75500</v>
      </c>
    </row>
    <row r="12" spans="1:7" x14ac:dyDescent="0.35">
      <c r="A12" s="49">
        <v>44934</v>
      </c>
      <c r="B12" s="47">
        <v>1397</v>
      </c>
      <c r="C12" s="47" t="s">
        <v>195</v>
      </c>
      <c r="D12" s="48">
        <v>10000</v>
      </c>
      <c r="E12" s="48">
        <f t="shared" si="0"/>
        <v>284500</v>
      </c>
      <c r="F12" s="48">
        <f t="shared" si="1"/>
        <v>65500</v>
      </c>
    </row>
    <row r="13" spans="1:7" x14ac:dyDescent="0.35">
      <c r="A13" s="22" t="s">
        <v>193</v>
      </c>
      <c r="B13" s="22">
        <v>1398</v>
      </c>
      <c r="C13" s="22" t="s">
        <v>412</v>
      </c>
      <c r="D13" s="23">
        <v>30000</v>
      </c>
      <c r="E13" s="23">
        <f t="shared" si="0"/>
        <v>314500</v>
      </c>
      <c r="F13" s="23">
        <f t="shared" si="1"/>
        <v>35500</v>
      </c>
    </row>
    <row r="14" spans="1:7" x14ac:dyDescent="0.35">
      <c r="A14" s="49">
        <v>45266</v>
      </c>
      <c r="B14" s="47">
        <v>504</v>
      </c>
      <c r="C14" s="47" t="s">
        <v>195</v>
      </c>
      <c r="D14" s="48">
        <v>10000</v>
      </c>
      <c r="E14" s="48">
        <f t="shared" si="0"/>
        <v>324500</v>
      </c>
      <c r="F14" s="48">
        <f t="shared" si="1"/>
        <v>25500</v>
      </c>
    </row>
    <row r="15" spans="1:7" x14ac:dyDescent="0.35">
      <c r="A15" s="22" t="s">
        <v>411</v>
      </c>
      <c r="B15" s="22">
        <v>2950</v>
      </c>
      <c r="C15" s="22" t="s">
        <v>195</v>
      </c>
      <c r="D15" s="23">
        <v>10000</v>
      </c>
      <c r="E15" s="23">
        <f t="shared" si="0"/>
        <v>334500</v>
      </c>
      <c r="F15" s="23">
        <f t="shared" si="1"/>
        <v>15500</v>
      </c>
    </row>
    <row r="16" spans="1:7" x14ac:dyDescent="0.35">
      <c r="A16" s="49">
        <v>45116</v>
      </c>
      <c r="B16" s="47">
        <v>3432</v>
      </c>
      <c r="C16" s="47" t="s">
        <v>195</v>
      </c>
      <c r="D16" s="48">
        <v>15500</v>
      </c>
      <c r="E16" s="48">
        <f t="shared" si="0"/>
        <v>350000</v>
      </c>
      <c r="F16" s="48" t="s">
        <v>45</v>
      </c>
    </row>
    <row r="18" spans="2:4" x14ac:dyDescent="0.35">
      <c r="B18" s="29" t="s">
        <v>113</v>
      </c>
      <c r="C18" s="29"/>
      <c r="D18" s="2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7" workbookViewId="0">
      <selection activeCell="B33" sqref="B33"/>
    </sheetView>
  </sheetViews>
  <sheetFormatPr defaultRowHeight="14.5" x14ac:dyDescent="0.35"/>
  <cols>
    <col min="1" max="1" width="9.453125" bestFit="1" customWidth="1"/>
    <col min="3" max="3" width="14.453125" customWidth="1"/>
    <col min="4" max="4" width="15.7265625" customWidth="1"/>
    <col min="5" max="5" width="11.81640625" customWidth="1"/>
    <col min="6" max="6" width="18.1796875" customWidth="1"/>
  </cols>
  <sheetData>
    <row r="1" spans="1:6" ht="18.5" x14ac:dyDescent="0.45">
      <c r="A1" s="12" t="s">
        <v>413</v>
      </c>
      <c r="B1" s="12"/>
      <c r="C1" s="12"/>
      <c r="D1" s="12"/>
      <c r="E1" s="12"/>
      <c r="F1" s="12"/>
    </row>
    <row r="2" spans="1:6" ht="18.5" x14ac:dyDescent="0.45">
      <c r="A2" s="14" t="s">
        <v>414</v>
      </c>
      <c r="B2" s="14"/>
      <c r="C2" s="14"/>
      <c r="D2" s="14"/>
      <c r="E2" s="14"/>
      <c r="F2" s="14"/>
    </row>
    <row r="3" spans="1:6" ht="18.5" x14ac:dyDescent="0.45">
      <c r="A3" s="14" t="s">
        <v>415</v>
      </c>
      <c r="B3" s="14"/>
      <c r="C3" s="14"/>
      <c r="D3" s="14"/>
      <c r="E3" s="14"/>
      <c r="F3" s="14"/>
    </row>
    <row r="4" spans="1:6" ht="18.5" x14ac:dyDescent="0.45">
      <c r="A4" s="14" t="s">
        <v>416</v>
      </c>
      <c r="B4" s="14"/>
      <c r="C4" s="14"/>
      <c r="D4" s="14"/>
      <c r="E4" s="14"/>
      <c r="F4" s="14"/>
    </row>
    <row r="5" spans="1:6" ht="18.5" x14ac:dyDescent="0.45">
      <c r="A5" s="14" t="s">
        <v>417</v>
      </c>
      <c r="B5" s="14"/>
      <c r="C5" s="14"/>
      <c r="D5" s="14"/>
      <c r="E5" s="14"/>
      <c r="F5" s="14"/>
    </row>
    <row r="6" spans="1:6" ht="18.5" x14ac:dyDescent="0.45">
      <c r="A6" s="14" t="s">
        <v>418</v>
      </c>
      <c r="B6" s="14"/>
      <c r="C6" s="14"/>
      <c r="D6" s="14" t="s">
        <v>67</v>
      </c>
      <c r="E6" s="14"/>
      <c r="F6" s="14"/>
    </row>
    <row r="7" spans="1:6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</row>
    <row r="8" spans="1:6" x14ac:dyDescent="0.35">
      <c r="A8" s="7">
        <v>44842</v>
      </c>
      <c r="B8">
        <v>411</v>
      </c>
      <c r="C8" t="s">
        <v>212</v>
      </c>
      <c r="D8" s="8">
        <v>10000</v>
      </c>
      <c r="E8" s="8">
        <v>10000</v>
      </c>
      <c r="F8" s="8">
        <v>230000</v>
      </c>
    </row>
    <row r="9" spans="1:6" x14ac:dyDescent="0.35">
      <c r="A9" s="7">
        <v>44630</v>
      </c>
      <c r="B9">
        <v>1505</v>
      </c>
      <c r="C9" t="s">
        <v>212</v>
      </c>
      <c r="D9" s="8">
        <v>10000</v>
      </c>
      <c r="E9" s="8">
        <f t="shared" ref="E9:E28" si="0">E8+D9</f>
        <v>20000</v>
      </c>
      <c r="F9" s="8">
        <v>210000</v>
      </c>
    </row>
    <row r="10" spans="1:6" x14ac:dyDescent="0.35">
      <c r="A10" s="43" t="s">
        <v>419</v>
      </c>
      <c r="B10">
        <v>1392</v>
      </c>
      <c r="C10" s="43" t="s">
        <v>423</v>
      </c>
      <c r="D10" s="8">
        <v>30000</v>
      </c>
      <c r="E10" s="8">
        <f t="shared" si="0"/>
        <v>50000</v>
      </c>
      <c r="F10" s="8">
        <v>180000</v>
      </c>
    </row>
    <row r="11" spans="1:6" x14ac:dyDescent="0.35">
      <c r="A11" t="s">
        <v>420</v>
      </c>
      <c r="B11">
        <v>1190</v>
      </c>
      <c r="C11" t="s">
        <v>304</v>
      </c>
      <c r="D11" s="8">
        <v>10000</v>
      </c>
      <c r="E11" s="8">
        <f t="shared" si="0"/>
        <v>60000</v>
      </c>
      <c r="F11" s="8">
        <f t="shared" ref="F11:F27" si="1">F10-D11</f>
        <v>170000</v>
      </c>
    </row>
    <row r="12" spans="1:6" x14ac:dyDescent="0.35">
      <c r="A12" t="s">
        <v>421</v>
      </c>
      <c r="B12">
        <v>199</v>
      </c>
      <c r="C12" t="s">
        <v>304</v>
      </c>
      <c r="D12" s="8">
        <v>10000</v>
      </c>
      <c r="E12" s="8">
        <f t="shared" si="0"/>
        <v>70000</v>
      </c>
      <c r="F12" s="8">
        <f t="shared" si="1"/>
        <v>160000</v>
      </c>
    </row>
    <row r="13" spans="1:6" x14ac:dyDescent="0.35">
      <c r="A13" t="s">
        <v>422</v>
      </c>
      <c r="B13">
        <v>2014</v>
      </c>
      <c r="C13" t="s">
        <v>304</v>
      </c>
      <c r="D13" s="8">
        <v>10000</v>
      </c>
      <c r="E13" s="8">
        <f t="shared" si="0"/>
        <v>80000</v>
      </c>
      <c r="F13" s="8">
        <f t="shared" si="1"/>
        <v>150000</v>
      </c>
    </row>
    <row r="14" spans="1:6" x14ac:dyDescent="0.35">
      <c r="A14" s="7">
        <v>44934</v>
      </c>
      <c r="B14">
        <v>2579</v>
      </c>
      <c r="C14" t="s">
        <v>304</v>
      </c>
      <c r="D14" s="8">
        <v>10000</v>
      </c>
      <c r="E14" s="8">
        <f t="shared" si="0"/>
        <v>90000</v>
      </c>
      <c r="F14" s="8">
        <f t="shared" si="1"/>
        <v>140000</v>
      </c>
    </row>
    <row r="15" spans="1:6" x14ac:dyDescent="0.35">
      <c r="A15" s="7">
        <v>44994</v>
      </c>
      <c r="B15">
        <v>3364</v>
      </c>
      <c r="C15" t="s">
        <v>304</v>
      </c>
      <c r="D15" s="8">
        <v>10000</v>
      </c>
      <c r="E15" s="8">
        <f t="shared" si="0"/>
        <v>100000</v>
      </c>
      <c r="F15" s="8">
        <f t="shared" si="1"/>
        <v>130000</v>
      </c>
    </row>
    <row r="16" spans="1:6" x14ac:dyDescent="0.35">
      <c r="A16" s="7">
        <v>45148</v>
      </c>
      <c r="B16">
        <v>4105</v>
      </c>
      <c r="C16" t="s">
        <v>304</v>
      </c>
      <c r="D16" s="8">
        <v>10000</v>
      </c>
      <c r="E16" s="8">
        <f t="shared" si="0"/>
        <v>110000</v>
      </c>
      <c r="F16" s="8">
        <f t="shared" si="1"/>
        <v>120000</v>
      </c>
    </row>
    <row r="17" spans="1:6" x14ac:dyDescent="0.35">
      <c r="A17" s="7">
        <v>45057</v>
      </c>
      <c r="B17">
        <v>4658</v>
      </c>
      <c r="C17" t="s">
        <v>304</v>
      </c>
      <c r="D17" s="8">
        <v>10000</v>
      </c>
      <c r="E17" s="8">
        <f t="shared" si="0"/>
        <v>120000</v>
      </c>
      <c r="F17" s="8">
        <f t="shared" si="1"/>
        <v>110000</v>
      </c>
    </row>
    <row r="18" spans="1:6" x14ac:dyDescent="0.35">
      <c r="A18" s="7">
        <v>44997</v>
      </c>
      <c r="B18">
        <v>5262</v>
      </c>
      <c r="C18" t="s">
        <v>304</v>
      </c>
      <c r="D18" s="8">
        <v>10000</v>
      </c>
      <c r="E18" s="8">
        <f t="shared" si="0"/>
        <v>130000</v>
      </c>
      <c r="F18" s="8">
        <f t="shared" si="1"/>
        <v>100000</v>
      </c>
    </row>
    <row r="19" spans="1:6" x14ac:dyDescent="0.35">
      <c r="A19" s="7">
        <v>45474</v>
      </c>
      <c r="B19">
        <v>5983</v>
      </c>
      <c r="C19" t="s">
        <v>304</v>
      </c>
      <c r="D19" s="8">
        <v>10000</v>
      </c>
      <c r="E19" s="8">
        <f t="shared" si="0"/>
        <v>140000</v>
      </c>
      <c r="F19" s="8">
        <f t="shared" si="1"/>
        <v>90000</v>
      </c>
    </row>
    <row r="20" spans="1:6" x14ac:dyDescent="0.35">
      <c r="A20" s="7">
        <v>45384</v>
      </c>
      <c r="B20">
        <v>6525</v>
      </c>
      <c r="C20" t="s">
        <v>304</v>
      </c>
      <c r="D20" s="8">
        <v>10000</v>
      </c>
      <c r="E20" s="8">
        <f t="shared" si="0"/>
        <v>150000</v>
      </c>
      <c r="F20" s="8">
        <f t="shared" si="1"/>
        <v>80000</v>
      </c>
    </row>
    <row r="21" spans="1:6" x14ac:dyDescent="0.35">
      <c r="A21" s="7">
        <v>45568</v>
      </c>
      <c r="B21">
        <v>6987</v>
      </c>
      <c r="C21" t="s">
        <v>304</v>
      </c>
      <c r="D21" s="8">
        <v>10000</v>
      </c>
      <c r="E21" s="8">
        <f t="shared" si="0"/>
        <v>160000</v>
      </c>
      <c r="F21" s="8">
        <f t="shared" si="1"/>
        <v>70000</v>
      </c>
    </row>
    <row r="22" spans="1:6" x14ac:dyDescent="0.35">
      <c r="A22" t="s">
        <v>424</v>
      </c>
      <c r="B22">
        <v>7825</v>
      </c>
      <c r="C22" t="s">
        <v>304</v>
      </c>
      <c r="D22" s="8">
        <v>10000</v>
      </c>
      <c r="E22" s="8">
        <f t="shared" si="0"/>
        <v>170000</v>
      </c>
      <c r="F22" s="8">
        <f t="shared" si="1"/>
        <v>60000</v>
      </c>
    </row>
    <row r="23" spans="1:6" x14ac:dyDescent="0.35">
      <c r="A23" s="7">
        <v>45631</v>
      </c>
      <c r="B23">
        <v>8430</v>
      </c>
      <c r="C23" t="s">
        <v>304</v>
      </c>
      <c r="D23" s="8">
        <v>10000</v>
      </c>
      <c r="E23" s="8">
        <f t="shared" si="0"/>
        <v>180000</v>
      </c>
      <c r="F23" s="8">
        <f t="shared" si="1"/>
        <v>50000</v>
      </c>
    </row>
    <row r="24" spans="1:6" x14ac:dyDescent="0.35">
      <c r="A24" s="7">
        <v>45541</v>
      </c>
      <c r="B24">
        <v>8926</v>
      </c>
      <c r="C24" t="s">
        <v>304</v>
      </c>
      <c r="D24" s="8">
        <v>10000</v>
      </c>
      <c r="E24" s="8">
        <f t="shared" si="0"/>
        <v>190000</v>
      </c>
      <c r="F24" s="8">
        <f t="shared" si="1"/>
        <v>40000</v>
      </c>
    </row>
    <row r="25" spans="1:6" x14ac:dyDescent="0.35">
      <c r="A25" t="s">
        <v>81</v>
      </c>
      <c r="B25">
        <v>9584</v>
      </c>
      <c r="C25" t="s">
        <v>304</v>
      </c>
      <c r="D25" s="8">
        <v>10000</v>
      </c>
      <c r="E25" s="8">
        <f t="shared" si="0"/>
        <v>200000</v>
      </c>
      <c r="F25" s="8">
        <f t="shared" si="1"/>
        <v>30000</v>
      </c>
    </row>
    <row r="26" spans="1:6" x14ac:dyDescent="0.35">
      <c r="A26" t="s">
        <v>425</v>
      </c>
      <c r="B26">
        <v>10412</v>
      </c>
      <c r="C26" t="s">
        <v>304</v>
      </c>
      <c r="D26" s="8">
        <v>10000</v>
      </c>
      <c r="E26" s="8">
        <f t="shared" si="0"/>
        <v>210000</v>
      </c>
      <c r="F26" s="8">
        <f t="shared" si="1"/>
        <v>20000</v>
      </c>
    </row>
    <row r="27" spans="1:6" x14ac:dyDescent="0.35">
      <c r="A27" t="s">
        <v>56</v>
      </c>
      <c r="B27">
        <v>10872</v>
      </c>
      <c r="C27" t="s">
        <v>304</v>
      </c>
      <c r="D27" s="8">
        <v>10000</v>
      </c>
      <c r="E27" s="8">
        <f t="shared" si="0"/>
        <v>220000</v>
      </c>
      <c r="F27" s="8">
        <f t="shared" si="1"/>
        <v>10000</v>
      </c>
    </row>
    <row r="28" spans="1:6" x14ac:dyDescent="0.35">
      <c r="A28" t="s">
        <v>143</v>
      </c>
      <c r="B28">
        <v>10391</v>
      </c>
      <c r="C28" t="s">
        <v>304</v>
      </c>
      <c r="D28" s="8">
        <v>10000</v>
      </c>
      <c r="E28" s="8">
        <f t="shared" si="0"/>
        <v>230000</v>
      </c>
      <c r="F28" s="8" t="s">
        <v>45</v>
      </c>
    </row>
    <row r="30" spans="1:6" ht="18.5" x14ac:dyDescent="0.45">
      <c r="A30" s="69" t="s">
        <v>113</v>
      </c>
      <c r="B30" s="69"/>
      <c r="C30" s="69"/>
    </row>
    <row r="31" spans="1:6" ht="18.5" x14ac:dyDescent="0.45">
      <c r="A31" s="70" t="s">
        <v>1</v>
      </c>
      <c r="B31" s="70" t="s">
        <v>2</v>
      </c>
      <c r="C31" s="70" t="s">
        <v>3</v>
      </c>
      <c r="D31" s="70" t="s">
        <v>4</v>
      </c>
      <c r="E31" s="70" t="s">
        <v>5</v>
      </c>
      <c r="F31" s="70" t="s">
        <v>6</v>
      </c>
    </row>
    <row r="32" spans="1:6" x14ac:dyDescent="0.35">
      <c r="A32" s="9" t="s">
        <v>313</v>
      </c>
      <c r="B32" s="9">
        <v>3009</v>
      </c>
      <c r="C32" s="9" t="s">
        <v>315</v>
      </c>
      <c r="D32" s="10">
        <v>5000</v>
      </c>
      <c r="E32" s="8">
        <v>5000</v>
      </c>
      <c r="F32" s="10">
        <v>445000</v>
      </c>
    </row>
    <row r="33" spans="1:6" x14ac:dyDescent="0.35">
      <c r="A33" s="9" t="s">
        <v>217</v>
      </c>
      <c r="B33" s="9">
        <v>3183</v>
      </c>
      <c r="C33" s="9" t="s">
        <v>315</v>
      </c>
      <c r="D33" s="10">
        <v>5000</v>
      </c>
      <c r="E33" s="8">
        <f t="shared" ref="E33:E46" si="2">E32+D33</f>
        <v>10000</v>
      </c>
      <c r="F33" s="10">
        <f t="shared" ref="F33:F45" si="3">F32-D33</f>
        <v>440000</v>
      </c>
    </row>
    <row r="34" spans="1:6" x14ac:dyDescent="0.35">
      <c r="A34" s="9" t="s">
        <v>426</v>
      </c>
      <c r="B34" s="9">
        <v>3450</v>
      </c>
      <c r="C34" s="9" t="s">
        <v>315</v>
      </c>
      <c r="D34" s="10">
        <v>5000</v>
      </c>
      <c r="E34" s="8">
        <f t="shared" si="2"/>
        <v>15000</v>
      </c>
      <c r="F34" s="10">
        <f t="shared" si="3"/>
        <v>435000</v>
      </c>
    </row>
    <row r="35" spans="1:6" x14ac:dyDescent="0.35">
      <c r="A35" s="9" t="s">
        <v>427</v>
      </c>
      <c r="B35" s="9">
        <v>3230</v>
      </c>
      <c r="C35" s="9" t="s">
        <v>315</v>
      </c>
      <c r="D35" s="10">
        <v>5000</v>
      </c>
      <c r="E35" s="8">
        <f t="shared" si="2"/>
        <v>20000</v>
      </c>
      <c r="F35" s="10">
        <f t="shared" si="3"/>
        <v>430000</v>
      </c>
    </row>
    <row r="36" spans="1:6" x14ac:dyDescent="0.35">
      <c r="A36" s="9" t="s">
        <v>428</v>
      </c>
      <c r="B36" s="9">
        <v>3612</v>
      </c>
      <c r="C36" s="9" t="s">
        <v>315</v>
      </c>
      <c r="D36" s="10">
        <v>5000</v>
      </c>
      <c r="E36" s="8">
        <f t="shared" si="2"/>
        <v>25000</v>
      </c>
      <c r="F36" s="10">
        <f t="shared" si="3"/>
        <v>425000</v>
      </c>
    </row>
    <row r="37" spans="1:6" x14ac:dyDescent="0.35">
      <c r="A37" s="9" t="s">
        <v>114</v>
      </c>
      <c r="B37" s="9">
        <v>3893</v>
      </c>
      <c r="C37" s="9" t="s">
        <v>315</v>
      </c>
      <c r="D37" s="10">
        <v>5000</v>
      </c>
      <c r="E37" s="8">
        <f t="shared" si="2"/>
        <v>30000</v>
      </c>
      <c r="F37" s="10">
        <f t="shared" si="3"/>
        <v>420000</v>
      </c>
    </row>
    <row r="38" spans="1:6" x14ac:dyDescent="0.35">
      <c r="A38" s="9" t="s">
        <v>119</v>
      </c>
      <c r="B38" s="9">
        <v>5173</v>
      </c>
      <c r="C38" s="9" t="s">
        <v>315</v>
      </c>
      <c r="D38" s="10">
        <v>5000</v>
      </c>
      <c r="E38" s="8">
        <f t="shared" si="2"/>
        <v>35000</v>
      </c>
      <c r="F38" s="10">
        <f t="shared" si="3"/>
        <v>415000</v>
      </c>
    </row>
    <row r="39" spans="1:6" x14ac:dyDescent="0.35">
      <c r="A39" s="9" t="s">
        <v>429</v>
      </c>
      <c r="B39" s="9">
        <v>5418</v>
      </c>
      <c r="C39" s="9" t="s">
        <v>315</v>
      </c>
      <c r="D39" s="10">
        <v>5000</v>
      </c>
      <c r="E39" s="8">
        <f t="shared" si="2"/>
        <v>40000</v>
      </c>
      <c r="F39" s="10">
        <f t="shared" si="3"/>
        <v>410000</v>
      </c>
    </row>
    <row r="40" spans="1:6" x14ac:dyDescent="0.35">
      <c r="A40" s="9" t="s">
        <v>319</v>
      </c>
      <c r="B40" s="9">
        <v>5802</v>
      </c>
      <c r="C40" s="9" t="s">
        <v>315</v>
      </c>
      <c r="D40" s="10">
        <v>10000</v>
      </c>
      <c r="E40" s="8">
        <f t="shared" si="2"/>
        <v>50000</v>
      </c>
      <c r="F40" s="10">
        <f t="shared" si="3"/>
        <v>400000</v>
      </c>
    </row>
    <row r="41" spans="1:6" x14ac:dyDescent="0.35">
      <c r="A41" s="11">
        <v>46086</v>
      </c>
      <c r="B41" s="9">
        <v>1360</v>
      </c>
      <c r="C41" s="9" t="s">
        <v>315</v>
      </c>
      <c r="D41" s="10">
        <v>5000</v>
      </c>
      <c r="E41" s="8">
        <f t="shared" si="2"/>
        <v>55000</v>
      </c>
      <c r="F41" s="10">
        <f t="shared" si="3"/>
        <v>395000</v>
      </c>
    </row>
    <row r="42" spans="1:6" x14ac:dyDescent="0.35">
      <c r="A42" s="9" t="s">
        <v>430</v>
      </c>
      <c r="B42" s="9">
        <v>1548</v>
      </c>
      <c r="C42" s="9" t="s">
        <v>315</v>
      </c>
      <c r="D42" s="10">
        <v>5000</v>
      </c>
      <c r="E42" s="8">
        <f t="shared" si="2"/>
        <v>60000</v>
      </c>
      <c r="F42" s="10">
        <f t="shared" si="3"/>
        <v>390000</v>
      </c>
    </row>
    <row r="43" spans="1:6" x14ac:dyDescent="0.35">
      <c r="A43" s="9" t="s">
        <v>431</v>
      </c>
      <c r="B43" s="9">
        <v>1730</v>
      </c>
      <c r="C43" s="9" t="s">
        <v>315</v>
      </c>
      <c r="D43" s="10">
        <v>5000</v>
      </c>
      <c r="E43" s="8">
        <f t="shared" si="2"/>
        <v>65000</v>
      </c>
      <c r="F43" s="10">
        <f t="shared" si="3"/>
        <v>385000</v>
      </c>
    </row>
    <row r="44" spans="1:6" x14ac:dyDescent="0.35">
      <c r="A44" s="9" t="s">
        <v>432</v>
      </c>
      <c r="B44" s="9">
        <v>1897</v>
      </c>
      <c r="C44" s="9" t="s">
        <v>315</v>
      </c>
      <c r="D44" s="10">
        <v>5000</v>
      </c>
      <c r="E44" s="8">
        <f t="shared" si="2"/>
        <v>70000</v>
      </c>
      <c r="F44" s="10">
        <f t="shared" si="3"/>
        <v>380000</v>
      </c>
    </row>
    <row r="45" spans="1:6" x14ac:dyDescent="0.35">
      <c r="A45" s="9" t="s">
        <v>402</v>
      </c>
      <c r="B45" s="9">
        <v>1990</v>
      </c>
      <c r="C45" s="9" t="s">
        <v>315</v>
      </c>
      <c r="D45" s="10">
        <v>5000</v>
      </c>
      <c r="E45" s="8">
        <f t="shared" si="2"/>
        <v>75000</v>
      </c>
      <c r="F45" s="10">
        <f t="shared" si="3"/>
        <v>375000</v>
      </c>
    </row>
    <row r="46" spans="1:6" x14ac:dyDescent="0.35">
      <c r="A46" s="58" t="s">
        <v>614</v>
      </c>
      <c r="B46" s="58">
        <v>2072</v>
      </c>
      <c r="C46" s="9" t="s">
        <v>315</v>
      </c>
      <c r="D46" s="10">
        <v>5000</v>
      </c>
      <c r="E46" s="8">
        <f t="shared" si="2"/>
        <v>80000</v>
      </c>
      <c r="F46" s="8">
        <f>F45-D46</f>
        <v>370000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L-5362</vt:lpstr>
      <vt:lpstr>L-5356</vt:lpstr>
      <vt:lpstr>L-5338</vt:lpstr>
      <vt:lpstr>L-5370</vt:lpstr>
      <vt:lpstr>L-5339</vt:lpstr>
      <vt:lpstr>L-5329</vt:lpstr>
      <vt:lpstr>L-5353</vt:lpstr>
      <vt:lpstr>L-5303 A</vt:lpstr>
      <vt:lpstr> SHEET2</vt:lpstr>
      <vt:lpstr>L-5316</vt:lpstr>
      <vt:lpstr>L5317</vt:lpstr>
      <vt:lpstr>L-5357</vt:lpstr>
      <vt:lpstr>L-5335</vt:lpstr>
      <vt:lpstr>L-5337</vt:lpstr>
      <vt:lpstr>L-5385</vt:lpstr>
      <vt:lpstr>L-5346</vt:lpstr>
      <vt:lpstr>L-5384</vt:lpstr>
      <vt:lpstr>L-5369</vt:lpstr>
      <vt:lpstr>l</vt:lpstr>
      <vt:lpstr>L-5345</vt:lpstr>
      <vt:lpstr>L-5307</vt:lpstr>
      <vt:lpstr>L-5378</vt:lpstr>
      <vt:lpstr>L-5306</vt:lpstr>
      <vt:lpstr>L-5390</vt:lpstr>
      <vt:lpstr>L-5392</vt:lpstr>
      <vt:lpstr>L-5394</vt:lpstr>
      <vt:lpstr>L-5330</vt:lpstr>
      <vt:lpstr>L-5323</vt:lpstr>
      <vt:lpstr>L-5358</vt:lpstr>
      <vt:lpstr>L-5324</vt:lpstr>
      <vt:lpstr>L-5343</vt:lpstr>
      <vt:lpstr>L-5374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younas khan</dc:creator>
  <cp:lastModifiedBy>cv</cp:lastModifiedBy>
  <dcterms:created xsi:type="dcterms:W3CDTF">2026-07-25T22:53:31Z</dcterms:created>
  <dcterms:modified xsi:type="dcterms:W3CDTF">2026-10-11T15:40:27Z</dcterms:modified>
</cp:coreProperties>
</file>