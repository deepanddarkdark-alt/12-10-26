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 4001-5000\"/>
    </mc:Choice>
  </mc:AlternateContent>
  <bookViews>
    <workbookView xWindow="0" yWindow="0" windowWidth="19200" windowHeight="10200" firstSheet="3" activeTab="7"/>
  </bookViews>
  <sheets>
    <sheet name="L-4903" sheetId="3" r:id="rId1"/>
    <sheet name="L-4919" sheetId="4" r:id="rId2"/>
    <sheet name="L-4942" sheetId="7" r:id="rId3"/>
    <sheet name="L-4943" sheetId="8" r:id="rId4"/>
    <sheet name="L-4945" sheetId="15" r:id="rId5"/>
    <sheet name="L-4949" sheetId="2" r:id="rId6"/>
    <sheet name="L-4952" sheetId="5" r:id="rId7"/>
    <sheet name="L-4954" sheetId="38" r:id="rId8"/>
    <sheet name="L-4958" sheetId="14" r:id="rId9"/>
    <sheet name="L-4961" sheetId="10" r:id="rId10"/>
    <sheet name="L-4962" sheetId="32" r:id="rId11"/>
    <sheet name="L-4965" sheetId="13" r:id="rId12"/>
    <sheet name="L-4951" sheetId="36" r:id="rId13"/>
    <sheet name="L-4966" sheetId="11" r:id="rId14"/>
    <sheet name="L-4967" sheetId="27" r:id="rId15"/>
    <sheet name="L-4968" sheetId="30" r:id="rId16"/>
    <sheet name="L-4969" sheetId="6" r:id="rId17"/>
    <sheet name="L-4972" sheetId="37" r:id="rId18"/>
    <sheet name="L-4973" sheetId="29" r:id="rId19"/>
    <sheet name="L-4974" sheetId="20" r:id="rId20"/>
    <sheet name="L-4985" sheetId="17" r:id="rId21"/>
    <sheet name="L-4982" sheetId="16" r:id="rId22"/>
    <sheet name="L-4980" sheetId="21" r:id="rId23"/>
    <sheet name="L-4983" sheetId="18" r:id="rId24"/>
    <sheet name="L-4986" sheetId="24" r:id="rId25"/>
    <sheet name="L-4987" sheetId="25" r:id="rId26"/>
    <sheet name="L-4991-C" sheetId="39" r:id="rId27"/>
    <sheet name="L-4989" sheetId="19" r:id="rId28"/>
    <sheet name="L-4990" sheetId="9" r:id="rId29"/>
    <sheet name="L-4992" sheetId="31" r:id="rId30"/>
    <sheet name="L-4993" sheetId="43" r:id="rId31"/>
    <sheet name="L-4994" sheetId="44" r:id="rId32"/>
    <sheet name="L-4996" sheetId="26" r:id="rId33"/>
    <sheet name="L-4997" sheetId="28" r:id="rId34"/>
    <sheet name="L-4998" sheetId="22" r:id="rId35"/>
    <sheet name="Sheet1" sheetId="41" r:id="rId36"/>
    <sheet name="L-4999" sheetId="1" r:id="rId37"/>
    <sheet name="L-4991" sheetId="33" r:id="rId38"/>
    <sheet name="L-4939" sheetId="35" r:id="rId39"/>
    <sheet name="L-4975" sheetId="34" r:id="rId40"/>
    <sheet name="L-4988" sheetId="40" r:id="rId41"/>
    <sheet name="L-4992-D" sheetId="42" r:id="rId4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38" l="1"/>
  <c r="E11" i="38"/>
  <c r="F21" i="13" l="1"/>
  <c r="F20" i="13"/>
  <c r="E21" i="13"/>
  <c r="E20" i="13"/>
  <c r="F52" i="3"/>
  <c r="E53" i="3"/>
  <c r="E52" i="3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F40" i="44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F49" i="43" l="1"/>
  <c r="F36" i="32"/>
  <c r="E36" i="32"/>
  <c r="F37" i="15" l="1"/>
  <c r="F38" i="15" s="1"/>
  <c r="F39" i="15" s="1"/>
  <c r="F40" i="15" s="1"/>
  <c r="F41" i="15" s="1"/>
  <c r="F42" i="15" s="1"/>
  <c r="F43" i="15" s="1"/>
  <c r="F44" i="15" s="1"/>
  <c r="F45" i="15" s="1"/>
  <c r="F46" i="15" s="1"/>
  <c r="E37" i="15"/>
  <c r="E38" i="15" s="1"/>
  <c r="E39" i="15" s="1"/>
  <c r="E40" i="15" s="1"/>
  <c r="E41" i="15" s="1"/>
  <c r="E42" i="15" s="1"/>
  <c r="E43" i="15" s="1"/>
  <c r="E44" i="15" s="1"/>
  <c r="E45" i="15" s="1"/>
  <c r="E46" i="15" s="1"/>
  <c r="F39" i="28"/>
  <c r="F40" i="28" s="1"/>
  <c r="F41" i="28" s="1"/>
  <c r="F42" i="28" s="1"/>
  <c r="E40" i="28"/>
  <c r="E41" i="28" s="1"/>
  <c r="E42" i="28" s="1"/>
  <c r="E43" i="28" s="1"/>
  <c r="E39" i="28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9" i="39"/>
  <c r="F10" i="39" s="1"/>
  <c r="F11" i="39" s="1"/>
  <c r="F12" i="39" s="1"/>
  <c r="F13" i="39" s="1"/>
  <c r="F14" i="39" s="1"/>
  <c r="F15" i="39" s="1"/>
  <c r="F16" i="39" s="1"/>
  <c r="F17" i="39" s="1"/>
  <c r="F18" i="39" s="1"/>
  <c r="F19" i="39" s="1"/>
  <c r="F20" i="39" s="1"/>
  <c r="E9" i="39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F10" i="37"/>
  <c r="E10" i="37"/>
  <c r="F10" i="38"/>
  <c r="E10" i="38"/>
  <c r="F18" i="34"/>
  <c r="E18" i="34"/>
  <c r="E19" i="34" s="1"/>
  <c r="F10" i="35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31" i="33" s="1"/>
  <c r="E10" i="33"/>
  <c r="E11" i="33" s="1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F9" i="36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F41" i="36" s="1"/>
  <c r="E9" i="36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F9" i="32" l="1"/>
  <c r="F10" i="32" s="1"/>
  <c r="F11" i="32" s="1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E9" i="32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F14" i="3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F25" i="31" s="1"/>
  <c r="F26" i="31" s="1"/>
  <c r="F27" i="31" s="1"/>
  <c r="F9" i="31"/>
  <c r="F10" i="31" s="1"/>
  <c r="F11" i="31" s="1"/>
  <c r="E9" i="31"/>
  <c r="E10" i="31" s="1"/>
  <c r="E11" i="31" s="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F9" i="10" l="1"/>
  <c r="F10" i="10" s="1"/>
  <c r="F11" i="10" s="1"/>
  <c r="F12" i="10" s="1"/>
  <c r="E9" i="10"/>
  <c r="E10" i="10" s="1"/>
  <c r="E11" i="10" s="1"/>
  <c r="E12" i="10" s="1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11" i="25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F11" i="25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F41" i="25" s="1"/>
  <c r="F42" i="25" s="1"/>
  <c r="F43" i="25" s="1"/>
  <c r="F10" i="24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E10" i="24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E9" i="22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F11" i="18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14" i="19"/>
  <c r="F15" i="19" s="1"/>
  <c r="F13" i="19"/>
  <c r="E13" i="19"/>
  <c r="E14" i="19" s="1"/>
  <c r="E15" i="19" s="1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10" i="16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E9" i="16"/>
  <c r="E10" i="15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E9" i="15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E9" i="14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F10" i="9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9" i="9"/>
  <c r="E9" i="9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9" i="8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F9" i="8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F8" i="1"/>
  <c r="F9" i="1" s="1"/>
  <c r="F10" i="1" s="1"/>
  <c r="F11" i="1" s="1"/>
  <c r="E8" i="1"/>
  <c r="E9" i="1" s="1"/>
  <c r="E10" i="1" s="1"/>
  <c r="E11" i="1" s="1"/>
  <c r="F9" i="18" l="1"/>
  <c r="E43" i="7"/>
  <c r="E44" i="7" s="1"/>
  <c r="E45" i="7" s="1"/>
  <c r="E46" i="7" s="1"/>
  <c r="E47" i="7" s="1"/>
  <c r="E48" i="7" s="1"/>
  <c r="E49" i="7" s="1"/>
  <c r="F43" i="7"/>
  <c r="F44" i="7" s="1"/>
  <c r="F45" i="7" s="1"/>
  <c r="F46" i="7" s="1"/>
  <c r="F47" i="7" s="1"/>
  <c r="F48" i="7" s="1"/>
  <c r="F49" i="7" s="1"/>
  <c r="F33" i="28"/>
</calcChain>
</file>

<file path=xl/sharedStrings.xml><?xml version="1.0" encoding="utf-8"?>
<sst xmlns="http://schemas.openxmlformats.org/spreadsheetml/2006/main" count="2209" uniqueCount="899">
  <si>
    <t>Name : Rashid Akhter</t>
  </si>
  <si>
    <t>Father Name : Akhtar ali</t>
  </si>
  <si>
    <t>CNIC # 42401-92154723</t>
  </si>
  <si>
    <t>Contact # 03462937029</t>
  </si>
  <si>
    <t>Plot No : L-4999</t>
  </si>
  <si>
    <t>Cost : 400,000</t>
  </si>
  <si>
    <t>Date</t>
  </si>
  <si>
    <t>R.NO</t>
  </si>
  <si>
    <t>Description</t>
  </si>
  <si>
    <t>Amount Rec</t>
  </si>
  <si>
    <t>Total Rec</t>
  </si>
  <si>
    <t>Amount Due</t>
  </si>
  <si>
    <t>23/1/2023</t>
  </si>
  <si>
    <t>Adj Rehman</t>
  </si>
  <si>
    <t>22/7/2023</t>
  </si>
  <si>
    <t>SUBHO pay</t>
  </si>
  <si>
    <t>Instalment</t>
  </si>
  <si>
    <t>Name : Munawar Hussain</t>
  </si>
  <si>
    <t>Father Name : Abdul Shakoor</t>
  </si>
  <si>
    <t>CNIC # 42401-8204067-7</t>
  </si>
  <si>
    <t>Contact # 03332222905</t>
  </si>
  <si>
    <t>Plot No : L-4949</t>
  </si>
  <si>
    <t>Cost : 60,0000</t>
  </si>
  <si>
    <t>24/9/2022</t>
  </si>
  <si>
    <t>Token</t>
  </si>
  <si>
    <t>30//9/2022</t>
  </si>
  <si>
    <t>Resedential</t>
  </si>
  <si>
    <t>22/9/2023</t>
  </si>
  <si>
    <t>INstalment</t>
  </si>
  <si>
    <t>25/10/2023</t>
  </si>
  <si>
    <t>23/11/2023</t>
  </si>
  <si>
    <t>17/12/2023</t>
  </si>
  <si>
    <t>Adjustment</t>
  </si>
  <si>
    <t>16/1/2024</t>
  </si>
  <si>
    <t>16/2/2024</t>
  </si>
  <si>
    <t>17/3/2024</t>
  </si>
  <si>
    <t>17/4/2024</t>
  </si>
  <si>
    <t>18/5/2024</t>
  </si>
  <si>
    <t>27/6/2024</t>
  </si>
  <si>
    <t>21/9/2024</t>
  </si>
  <si>
    <t>30/10/2024</t>
  </si>
  <si>
    <t>27/11/2024</t>
  </si>
  <si>
    <t>31/12/2024</t>
  </si>
  <si>
    <t>17/3/2025</t>
  </si>
  <si>
    <t>14/6/2025</t>
  </si>
  <si>
    <t>16/7/2025</t>
  </si>
  <si>
    <t>16/8/2025</t>
  </si>
  <si>
    <t>17/9/2025</t>
  </si>
  <si>
    <t>16/10/2025</t>
  </si>
  <si>
    <t>30/11/2025</t>
  </si>
  <si>
    <t>18/1/2026</t>
  </si>
  <si>
    <t>Name : Feroz Adam</t>
  </si>
  <si>
    <t>Father Name : Adam</t>
  </si>
  <si>
    <t>CNIC # 42401-1700335-9</t>
  </si>
  <si>
    <t>Contact # 03212790850</t>
  </si>
  <si>
    <t>Plot No : L-4903</t>
  </si>
  <si>
    <t>20/12/2022</t>
  </si>
  <si>
    <t>Adv Adj</t>
  </si>
  <si>
    <t>19/2/2023</t>
  </si>
  <si>
    <t>instalment</t>
  </si>
  <si>
    <t>23/3/2023</t>
  </si>
  <si>
    <t xml:space="preserve">Name : Fouzia </t>
  </si>
  <si>
    <t>Father Name : Khurram</t>
  </si>
  <si>
    <t>CNIC # 42401-1216987-2</t>
  </si>
  <si>
    <t>Contact # 03132017939</t>
  </si>
  <si>
    <t>Plot No : L-4919</t>
  </si>
  <si>
    <t>Cost : 650,000</t>
  </si>
  <si>
    <t>16/9/2025</t>
  </si>
  <si>
    <t>21/10/2025</t>
  </si>
  <si>
    <t>13/11/2025</t>
  </si>
  <si>
    <t>Booking</t>
  </si>
  <si>
    <t>Name : Saleem Shahzad</t>
  </si>
  <si>
    <t>Father Name : Abdul Rehman</t>
  </si>
  <si>
    <t>CNIC # 42401-9554319-1</t>
  </si>
  <si>
    <t>Contact # 03113878112</t>
  </si>
  <si>
    <t>Plot No : L-4952</t>
  </si>
  <si>
    <t>Cost : 580,000</t>
  </si>
  <si>
    <t>14/1/2023</t>
  </si>
  <si>
    <t>13/3/2023</t>
  </si>
  <si>
    <t>21/5/2023</t>
  </si>
  <si>
    <t>20/8/2023</t>
  </si>
  <si>
    <t>21/10/2023</t>
  </si>
  <si>
    <t>26/11/2023</t>
  </si>
  <si>
    <t>20/12/2023</t>
  </si>
  <si>
    <t>20/1/2024</t>
  </si>
  <si>
    <t>20/2/2024</t>
  </si>
  <si>
    <t>26/3/2024</t>
  </si>
  <si>
    <t>Adj Res</t>
  </si>
  <si>
    <t>13/7/2024</t>
  </si>
  <si>
    <t>15/9/2024</t>
  </si>
  <si>
    <t>28/11/2024</t>
  </si>
  <si>
    <t>21/4/2025</t>
  </si>
  <si>
    <t>20/7/2025</t>
  </si>
  <si>
    <t>22/9/2025</t>
  </si>
  <si>
    <t>Name : Owaise Raza</t>
  </si>
  <si>
    <t>Father Name : Muhammad Jaffar</t>
  </si>
  <si>
    <t>CNIC # 42401-3095589-3</t>
  </si>
  <si>
    <t>Contact # 03482405902</t>
  </si>
  <si>
    <t>Plot No : L-4969</t>
  </si>
  <si>
    <t>Cost : 425,000</t>
  </si>
  <si>
    <t>27/11/2023</t>
  </si>
  <si>
    <t>21/12/2023</t>
  </si>
  <si>
    <t>14/1/2024</t>
  </si>
  <si>
    <t>15/2/2024</t>
  </si>
  <si>
    <t>22/3/2024</t>
  </si>
  <si>
    <t>107/2024</t>
  </si>
  <si>
    <t>20/11/2024</t>
  </si>
  <si>
    <t>19/12/2024</t>
  </si>
  <si>
    <t>18/1/2025</t>
  </si>
  <si>
    <t>21/6/2025</t>
  </si>
  <si>
    <t>24/7/2025</t>
  </si>
  <si>
    <t>13/9/2025</t>
  </si>
  <si>
    <t>13/10/2025</t>
  </si>
  <si>
    <t>14/11/2025</t>
  </si>
  <si>
    <t>22/12/2025</t>
  </si>
  <si>
    <t>22/1/2026</t>
  </si>
  <si>
    <t>25/2/2026</t>
  </si>
  <si>
    <t>instalment SEP 24-0CT 24</t>
  </si>
  <si>
    <t>Name : Rehan Ali</t>
  </si>
  <si>
    <t>Father Name : Rahmat Ali</t>
  </si>
  <si>
    <t>CNIC # 42201-3431353-3</t>
  </si>
  <si>
    <t>Contact # 03343052026</t>
  </si>
  <si>
    <t>Plot No : L-4942</t>
  </si>
  <si>
    <t>Cost : 600,000</t>
  </si>
  <si>
    <t>Code Num;BZT5604857</t>
  </si>
  <si>
    <t>31/1/2023</t>
  </si>
  <si>
    <t>13/4/2023</t>
  </si>
  <si>
    <t>13/6/2023</t>
  </si>
  <si>
    <t>17/7/2023</t>
  </si>
  <si>
    <t>17/8/2023</t>
  </si>
  <si>
    <t>16/9/2023</t>
  </si>
  <si>
    <t>RES Booking</t>
  </si>
  <si>
    <t>23/1/2024</t>
  </si>
  <si>
    <t>14/5/2025</t>
  </si>
  <si>
    <t>18/9/2025</t>
  </si>
  <si>
    <t>19/1/2025</t>
  </si>
  <si>
    <t>Name : Faizan Alli</t>
  </si>
  <si>
    <t>CNIC # 42201-9833404-5</t>
  </si>
  <si>
    <t>Contact # 03120007852</t>
  </si>
  <si>
    <t>Plot No : L-4943</t>
  </si>
  <si>
    <t>Code Num;XZ8546424</t>
  </si>
  <si>
    <t>Adj Reh</t>
  </si>
  <si>
    <t>22/1/2024</t>
  </si>
  <si>
    <t>16/4/2024</t>
  </si>
  <si>
    <t>15/10/2025</t>
  </si>
  <si>
    <t>20/12/2025</t>
  </si>
  <si>
    <t>21/1/2026</t>
  </si>
  <si>
    <t>Name : Muhammad Usman</t>
  </si>
  <si>
    <t>Father Name : Muhammad Saleem</t>
  </si>
  <si>
    <t>CNIC # 42101-8467927-1</t>
  </si>
  <si>
    <t>Contact # 03121141654</t>
  </si>
  <si>
    <t>Plot No : L-4990</t>
  </si>
  <si>
    <t>Cost : 450,000</t>
  </si>
  <si>
    <t>27/8/2022</t>
  </si>
  <si>
    <t>19/11/2022</t>
  </si>
  <si>
    <t>17/5/2023</t>
  </si>
  <si>
    <t>21/6/2023</t>
  </si>
  <si>
    <t>16/7/2023</t>
  </si>
  <si>
    <t>Adv Instal</t>
  </si>
  <si>
    <t>instal Reh</t>
  </si>
  <si>
    <t>instament</t>
  </si>
  <si>
    <t>18/2/2024</t>
  </si>
  <si>
    <t>16/3/2024</t>
  </si>
  <si>
    <t>27/10/2024</t>
  </si>
  <si>
    <t>28/12/2024</t>
  </si>
  <si>
    <t>4/5//2025</t>
  </si>
  <si>
    <t>27/7/2025</t>
  </si>
  <si>
    <t>21/12/2025</t>
  </si>
  <si>
    <t xml:space="preserve">Name : Kabeer </t>
  </si>
  <si>
    <t>Father Name :Muhammad Shakeel</t>
  </si>
  <si>
    <t>CNIC # 424001-1412081-3</t>
  </si>
  <si>
    <t>Contact # 03162076907</t>
  </si>
  <si>
    <t>Plot No : L-4961</t>
  </si>
  <si>
    <t>Cost : 1400,000</t>
  </si>
  <si>
    <t>29/3/2026</t>
  </si>
  <si>
    <t>Name : Majid Hussain</t>
  </si>
  <si>
    <t>Father Name :Habib ULLAH</t>
  </si>
  <si>
    <t>CNIC # 36504-4673088-7</t>
  </si>
  <si>
    <t>Contact # 03172227366</t>
  </si>
  <si>
    <t>Plot No : L-4966</t>
  </si>
  <si>
    <t>Cost : 500,000</t>
  </si>
  <si>
    <t>Code Num;CLP1156448</t>
  </si>
  <si>
    <t>Nill</t>
  </si>
  <si>
    <t>Development</t>
  </si>
  <si>
    <t>15/9/2025</t>
  </si>
  <si>
    <t>14/12/2025</t>
  </si>
  <si>
    <t>19/1/2026</t>
  </si>
  <si>
    <t>Name : Sana kamal</t>
  </si>
  <si>
    <t>Father Name :Kamal Akbar</t>
  </si>
  <si>
    <t>CNIC # 42101-8462315-0</t>
  </si>
  <si>
    <t xml:space="preserve">Contact </t>
  </si>
  <si>
    <t>Code Num;</t>
  </si>
  <si>
    <t>Plot No : L-4965</t>
  </si>
  <si>
    <t>Name : M. Danish</t>
  </si>
  <si>
    <t>Father Name :M.Ramzan</t>
  </si>
  <si>
    <t>CNIC # 42301-1023053-5</t>
  </si>
  <si>
    <t>Contact ;</t>
  </si>
  <si>
    <t>Plot No : L-4958</t>
  </si>
  <si>
    <t>Cost : 360,000</t>
  </si>
  <si>
    <t>Code Num;CGZ2596017</t>
  </si>
  <si>
    <t>19/8/2022</t>
  </si>
  <si>
    <t>14/5/2023</t>
  </si>
  <si>
    <t>13/8/2023</t>
  </si>
  <si>
    <t>15/10/2023</t>
  </si>
  <si>
    <t>nill</t>
  </si>
  <si>
    <t>INSTALMENT AND DEVELOPMENT BOTH CLEAR</t>
  </si>
  <si>
    <t>Name : M. Bilal Ahmed Qadri</t>
  </si>
  <si>
    <t>Father Name :M.Noor Islam Qadri</t>
  </si>
  <si>
    <t>CNIC # 42401-6739529-1</t>
  </si>
  <si>
    <t>Contact ;03152460161</t>
  </si>
  <si>
    <t>Plot No : L-4945</t>
  </si>
  <si>
    <t>16/9/2022</t>
  </si>
  <si>
    <t>24/12/2022</t>
  </si>
  <si>
    <t>29/5/2023</t>
  </si>
  <si>
    <t>26/6/2023</t>
  </si>
  <si>
    <t>31/7/2023</t>
  </si>
  <si>
    <t>31/8/2023</t>
  </si>
  <si>
    <t>28/10/2023</t>
  </si>
  <si>
    <t>ins Sobho</t>
  </si>
  <si>
    <t>ins Rehman</t>
  </si>
  <si>
    <t>DEVELOPMENT CONTINUE</t>
  </si>
  <si>
    <t>Name : Noman Saeed</t>
  </si>
  <si>
    <t>Father Name : Muhammad Saeed</t>
  </si>
  <si>
    <t>CNIC # 44204-0704535-1</t>
  </si>
  <si>
    <t>Contact # 03332861550</t>
  </si>
  <si>
    <t>Plot No : L-4982</t>
  </si>
  <si>
    <t>Code Num;CQW8873810</t>
  </si>
  <si>
    <t>17/9/2023</t>
  </si>
  <si>
    <t>Res Booking</t>
  </si>
  <si>
    <t>17/3/2026</t>
  </si>
  <si>
    <t>Name : Waqas Hussain Khan</t>
  </si>
  <si>
    <t>Father Name : Zahid Hussain Khan</t>
  </si>
  <si>
    <t>CNIC # 42401-1124444-1</t>
  </si>
  <si>
    <t>Contact # 03161012725</t>
  </si>
  <si>
    <t>Plot No :4985</t>
  </si>
  <si>
    <t>Cost;400,000</t>
  </si>
  <si>
    <t>30/9/2020</t>
  </si>
  <si>
    <t>27/2/2023</t>
  </si>
  <si>
    <t>instal Adj</t>
  </si>
  <si>
    <t>14/4/2024</t>
  </si>
  <si>
    <t>INSTALLMENT CLEAR</t>
  </si>
  <si>
    <t xml:space="preserve">Name : Arbaz </t>
  </si>
  <si>
    <t>Father Name :M.Niaz Uddin</t>
  </si>
  <si>
    <t>CNIC # 42101-3763142-7</t>
  </si>
  <si>
    <t>Contact ;03102357391</t>
  </si>
  <si>
    <t>Plot No : L-4983</t>
  </si>
  <si>
    <t>Cost : 370,000</t>
  </si>
  <si>
    <t>Code Num;CBT2601566</t>
  </si>
  <si>
    <t>21/8/2022</t>
  </si>
  <si>
    <t>23/10/2022</t>
  </si>
  <si>
    <t>26/3/2023</t>
  </si>
  <si>
    <t>15/4/2023</t>
  </si>
  <si>
    <t>15/8/2023</t>
  </si>
  <si>
    <t>Adj Rehm</t>
  </si>
  <si>
    <t>Name : Sajida</t>
  </si>
  <si>
    <t>Father Name :Aziz Ahmed</t>
  </si>
  <si>
    <t>CNIC # 42401-1475663-2</t>
  </si>
  <si>
    <t>Plot No : L-4989</t>
  </si>
  <si>
    <t>Cost : 375,000</t>
  </si>
  <si>
    <t>THIS FILE IS TRANSFEER TO;</t>
  </si>
  <si>
    <t>DETAIL OF TRANSFERR</t>
  </si>
  <si>
    <t xml:space="preserve">Name : M. Shahzaib </t>
  </si>
  <si>
    <t>Father Name :M. Akram</t>
  </si>
  <si>
    <t>CNIC # 36502-1358516-9</t>
  </si>
  <si>
    <t>25/8/2022</t>
  </si>
  <si>
    <t>31/12/2022</t>
  </si>
  <si>
    <t>installment</t>
  </si>
  <si>
    <t>Partial pay</t>
  </si>
  <si>
    <t>DEVELOPMENT</t>
  </si>
  <si>
    <t>INSTALLMENT AND DEVELOPMENT BOTH CLEAR</t>
  </si>
  <si>
    <t>Name : Muhammad Jahanzaib</t>
  </si>
  <si>
    <t>Father Name :Muhammad Akram</t>
  </si>
  <si>
    <t>CNIC # 36502-3128812-7</t>
  </si>
  <si>
    <t xml:space="preserve">Contact # </t>
  </si>
  <si>
    <t>Plot No : L-4974</t>
  </si>
  <si>
    <t>Cost : 300,000</t>
  </si>
  <si>
    <t>Code Num;CNY3506513</t>
  </si>
  <si>
    <t>Code Num;CHH7932425</t>
  </si>
  <si>
    <t>14/4/2026</t>
  </si>
  <si>
    <t>INSTALLMENT</t>
  </si>
  <si>
    <t>Name : Saira Bibi</t>
  </si>
  <si>
    <t>Father Name ; Sajjad Hussain</t>
  </si>
  <si>
    <t>CNIC # 42401-0416525-2</t>
  </si>
  <si>
    <t>Plot No : L-4980</t>
  </si>
  <si>
    <t>COST;400,000</t>
  </si>
  <si>
    <t>All amount adj al rehman</t>
  </si>
  <si>
    <t>Code Num;BVS1433196</t>
  </si>
  <si>
    <t>Name : Madiha Asif</t>
  </si>
  <si>
    <t>Father Name ; Muhammad Asif</t>
  </si>
  <si>
    <t>CNIC # 42201-0707698-8</t>
  </si>
  <si>
    <t>Contact # 03132400390</t>
  </si>
  <si>
    <t>Plot No : L-4998</t>
  </si>
  <si>
    <t>Code Num;CMZ23059398</t>
  </si>
  <si>
    <t>26/4/2023</t>
  </si>
  <si>
    <t>23/6/2023</t>
  </si>
  <si>
    <t>23/7/2022</t>
  </si>
  <si>
    <t>30/8/2023</t>
  </si>
  <si>
    <t>26/9/2023</t>
  </si>
  <si>
    <t>14/10/2023</t>
  </si>
  <si>
    <t>15/11/2023</t>
  </si>
  <si>
    <t>Sobho</t>
  </si>
  <si>
    <t>16/5/2024</t>
  </si>
  <si>
    <t>23/6/2024</t>
  </si>
  <si>
    <t>21/7/2024</t>
  </si>
  <si>
    <t>22/8/2024</t>
  </si>
  <si>
    <t>22/10/2024</t>
  </si>
  <si>
    <t>18/12/2024</t>
  </si>
  <si>
    <t>15/1/2025</t>
  </si>
  <si>
    <t>22/3/2025</t>
  </si>
  <si>
    <t>26/8/25</t>
  </si>
  <si>
    <t>NILL</t>
  </si>
  <si>
    <t xml:space="preserve">                                                                                                                                                 </t>
  </si>
  <si>
    <t>Code Num;CEM6365932</t>
  </si>
  <si>
    <t>19/3/2026</t>
  </si>
  <si>
    <t>19/4/2026</t>
  </si>
  <si>
    <t>Father Name ; Muhammad Ashraf</t>
  </si>
  <si>
    <t>CNIC # 42401-2065228-7</t>
  </si>
  <si>
    <t>Contact # 03002837361</t>
  </si>
  <si>
    <t>Plot No : L-4987</t>
  </si>
  <si>
    <t>COST;450,000</t>
  </si>
  <si>
    <t>Code Num;CKA1990501</t>
  </si>
  <si>
    <t>27/3/2022</t>
  </si>
  <si>
    <t>17/11/2022</t>
  </si>
  <si>
    <t>18/12/2022</t>
  </si>
  <si>
    <t>17/6/2023</t>
  </si>
  <si>
    <t>25/7/2023</t>
  </si>
  <si>
    <t>27/8/2023</t>
  </si>
  <si>
    <t>24/9/2023</t>
  </si>
  <si>
    <t>29/10/2023</t>
  </si>
  <si>
    <t>INS Reh</t>
  </si>
  <si>
    <t>Name : Muhammad Arshad</t>
  </si>
  <si>
    <t>Plot No : L-4986</t>
  </si>
  <si>
    <t>ins reh</t>
  </si>
  <si>
    <t>24/12/2023</t>
  </si>
  <si>
    <t>21/1/2024</t>
  </si>
  <si>
    <t>19/4/2024</t>
  </si>
  <si>
    <t>17/8/2025</t>
  </si>
  <si>
    <t>21/9/2025</t>
  </si>
  <si>
    <t>20/10/2025</t>
  </si>
  <si>
    <t>20/1/2026</t>
  </si>
  <si>
    <t>22/2/2026</t>
  </si>
  <si>
    <t>18/3/2026</t>
  </si>
  <si>
    <t>20/4/2026</t>
  </si>
  <si>
    <t>Code Num;CMM3807619</t>
  </si>
  <si>
    <t>21/1/2023</t>
  </si>
  <si>
    <t>20/2/2023</t>
  </si>
  <si>
    <t>26/2/2024</t>
  </si>
  <si>
    <t>27/7.2025</t>
  </si>
  <si>
    <t>Name : Sajjad Hussain</t>
  </si>
  <si>
    <t>Father Name ; Faqeer Hussain</t>
  </si>
  <si>
    <t>CNIC # 42401-82467283-6</t>
  </si>
  <si>
    <t>Contact # 03152107829</t>
  </si>
  <si>
    <t>Plot No : L-4996</t>
  </si>
  <si>
    <t>18/4/2023</t>
  </si>
  <si>
    <t>22/8/2023</t>
  </si>
  <si>
    <t>ins Adj</t>
  </si>
  <si>
    <t>installmnt</t>
  </si>
  <si>
    <t>13/4/2024</t>
  </si>
  <si>
    <t>Name : Kaleem Akhter</t>
  </si>
  <si>
    <t>Father Name :Muhammad Shafi</t>
  </si>
  <si>
    <t>CNIC # 42401-5356167-5</t>
  </si>
  <si>
    <t>Contact # 03462554155</t>
  </si>
  <si>
    <t>Plot No : L-4967</t>
  </si>
  <si>
    <t>Cost : 350,000</t>
  </si>
  <si>
    <t>Code Num;CUB7958516</t>
  </si>
  <si>
    <t>ALL AMOUNT PAID TO AL REHMAN BUILDERS ADJUSTMENT PLOT</t>
  </si>
  <si>
    <t>Name : Noor Ali</t>
  </si>
  <si>
    <t>Father Name : Muhammad Hussain</t>
  </si>
  <si>
    <t>CNIC # 35201-4963873-5</t>
  </si>
  <si>
    <t>Contact # 03442011457</t>
  </si>
  <si>
    <t>Plot No : L-4997</t>
  </si>
  <si>
    <t>24/8.2022</t>
  </si>
  <si>
    <t>22/5/2023</t>
  </si>
  <si>
    <t>23/7/2023</t>
  </si>
  <si>
    <t>24/10/2023</t>
  </si>
  <si>
    <t>26/12/2023</t>
  </si>
  <si>
    <t>24/1/2024</t>
  </si>
  <si>
    <t>Installment</t>
  </si>
  <si>
    <t>Adj Rehamn</t>
  </si>
  <si>
    <t>26/4/2024</t>
  </si>
  <si>
    <t>29/6/2024</t>
  </si>
  <si>
    <t>27/8/2024</t>
  </si>
  <si>
    <t>26/9/2024</t>
  </si>
  <si>
    <t>25/12/2024</t>
  </si>
  <si>
    <t>23/8/2023</t>
  </si>
  <si>
    <t>27/2/2025</t>
  </si>
  <si>
    <t>13/6/2025</t>
  </si>
  <si>
    <t>23/7/2025</t>
  </si>
  <si>
    <t>Code Num;BKY3707675</t>
  </si>
  <si>
    <t>Name : Mazhar Khan</t>
  </si>
  <si>
    <t>Father Name : Haji Muhammad Iqbal</t>
  </si>
  <si>
    <t>CNIC # 374050580941-3</t>
  </si>
  <si>
    <t>Contact # 03142110948</t>
  </si>
  <si>
    <t>Plot No : L-4973</t>
  </si>
  <si>
    <t>Code Num;CQC3524024</t>
  </si>
  <si>
    <t>Token site</t>
  </si>
  <si>
    <t>Resditial booking</t>
  </si>
  <si>
    <t>Name :Muhammad Talha</t>
  </si>
  <si>
    <t>Father Name : Muhammad Hashim</t>
  </si>
  <si>
    <t>Plot No : L-4968</t>
  </si>
  <si>
    <t>Code Num;CLT4296779</t>
  </si>
  <si>
    <t>booking</t>
  </si>
  <si>
    <t>cash full paid</t>
  </si>
  <si>
    <t>Developmnt</t>
  </si>
  <si>
    <t>Code Num;BZW7081673</t>
  </si>
  <si>
    <t>Code num;CQE1558704</t>
  </si>
  <si>
    <t>12/4./2026</t>
  </si>
  <si>
    <t>Code Num;BMX6646221</t>
  </si>
  <si>
    <t>Name : Umme Salma</t>
  </si>
  <si>
    <t>Father Name : M.Afaq Ahmed Qadri</t>
  </si>
  <si>
    <t>CNIC # 42401-5072887-6</t>
  </si>
  <si>
    <t>Contact # 03112497232</t>
  </si>
  <si>
    <t>Plot No : L-4992</t>
  </si>
  <si>
    <t>Code Num;CHV1039487</t>
  </si>
  <si>
    <t>27/9/2022</t>
  </si>
  <si>
    <t>22/10/2022</t>
  </si>
  <si>
    <t>27/6/2023</t>
  </si>
  <si>
    <t>30/7/2023</t>
  </si>
  <si>
    <t>29/8/2023</t>
  </si>
  <si>
    <t>27/9/2023</t>
  </si>
  <si>
    <t>29/11/2023</t>
  </si>
  <si>
    <t>1 lac increase amount due 210,000</t>
  </si>
  <si>
    <t>13/1/2024</t>
  </si>
  <si>
    <t>`12/2/2024</t>
  </si>
  <si>
    <t>15/4/2024</t>
  </si>
  <si>
    <t>18/7/2024</t>
  </si>
  <si>
    <t>DEVELOPMEMT CONTINUE</t>
  </si>
  <si>
    <t>Name : Shoukat ALI</t>
  </si>
  <si>
    <t>Father Name :Murad Ali</t>
  </si>
  <si>
    <t xml:space="preserve">CNIC </t>
  </si>
  <si>
    <t>Contact # 03340373965</t>
  </si>
  <si>
    <t>Plot No : L-4962</t>
  </si>
  <si>
    <t>Cost : 630,000</t>
  </si>
  <si>
    <t>18/3/2023</t>
  </si>
  <si>
    <t>12/9//2023</t>
  </si>
  <si>
    <t xml:space="preserve">Token </t>
  </si>
  <si>
    <t>Res BOOKING</t>
  </si>
  <si>
    <t>13/7/2025</t>
  </si>
  <si>
    <t>15/1/2026</t>
  </si>
  <si>
    <t>13/3/2026</t>
  </si>
  <si>
    <t>Code Num;CAR5217383</t>
  </si>
  <si>
    <t>Code Num;CQU8597803</t>
  </si>
  <si>
    <t>Name ; Muhammad Ashraf</t>
  </si>
  <si>
    <t>Father Name :Ghulam Nabi</t>
  </si>
  <si>
    <t>CNIC # 42401-1086423-3</t>
  </si>
  <si>
    <t>Contact ;03132235508</t>
  </si>
  <si>
    <t>Plot No : L-4951</t>
  </si>
  <si>
    <t>14/3/2023</t>
  </si>
  <si>
    <t>18/10/2023</t>
  </si>
  <si>
    <t>18/11/2023</t>
  </si>
  <si>
    <t>18/12/2023</t>
  </si>
  <si>
    <t>18/1/2024</t>
  </si>
  <si>
    <t>23/3/2024</t>
  </si>
  <si>
    <t>22/4/2024</t>
  </si>
  <si>
    <t>26/5/2024</t>
  </si>
  <si>
    <t>22/6/2024</t>
  </si>
  <si>
    <t>22/7/2024</t>
  </si>
  <si>
    <t>28/8/2024</t>
  </si>
  <si>
    <t>30/11/2024</t>
  </si>
  <si>
    <t>4/1/20205</t>
  </si>
  <si>
    <t>24/5/2025</t>
  </si>
  <si>
    <t>24/6/2026</t>
  </si>
  <si>
    <t>21/7/2025</t>
  </si>
  <si>
    <t>22/10/2025</t>
  </si>
  <si>
    <t>20/11/2025</t>
  </si>
  <si>
    <t>14/3/2026</t>
  </si>
  <si>
    <t>12/5/026</t>
  </si>
  <si>
    <t>Code Num;CVR7003279</t>
  </si>
  <si>
    <t>21\5\26</t>
  </si>
  <si>
    <t>05\3\026</t>
  </si>
  <si>
    <t>CME7635643</t>
  </si>
  <si>
    <t>CEP2903206</t>
  </si>
  <si>
    <t>NAME:</t>
  </si>
  <si>
    <t>F\NAME</t>
  </si>
  <si>
    <t>CONTACT NO:</t>
  </si>
  <si>
    <t>CNIC NO</t>
  </si>
  <si>
    <t>CODE</t>
  </si>
  <si>
    <t>PLOT NO</t>
  </si>
  <si>
    <t>WAQAS AHMED</t>
  </si>
  <si>
    <t>WAHEED</t>
  </si>
  <si>
    <t>0321-3196087</t>
  </si>
  <si>
    <t>12\12\22</t>
  </si>
  <si>
    <t>12\3\23</t>
  </si>
  <si>
    <t>3\6\23</t>
  </si>
  <si>
    <t>17\7\23</t>
  </si>
  <si>
    <t>20\8\23</t>
  </si>
  <si>
    <t>25\9\23</t>
  </si>
  <si>
    <t>22\10\23</t>
  </si>
  <si>
    <t>17\12\23</t>
  </si>
  <si>
    <t>21\1\24</t>
  </si>
  <si>
    <t>31\3\24</t>
  </si>
  <si>
    <t>18\5\24</t>
  </si>
  <si>
    <t>15\9\24</t>
  </si>
  <si>
    <t>17\11\24</t>
  </si>
  <si>
    <t>15\1\25</t>
  </si>
  <si>
    <t>8\4\26</t>
  </si>
  <si>
    <t>23\6\25</t>
  </si>
  <si>
    <t>21\9\25</t>
  </si>
  <si>
    <t>10\11\25</t>
  </si>
  <si>
    <t>4\1\26</t>
  </si>
  <si>
    <t>12\4\26</t>
  </si>
  <si>
    <t>7\6\26</t>
  </si>
  <si>
    <t>REHMAN ADJUSTMENT</t>
  </si>
  <si>
    <t>INSTALMENT</t>
  </si>
  <si>
    <t>6\5\26</t>
  </si>
  <si>
    <t>3\6\26</t>
  </si>
  <si>
    <t>CDU0161466</t>
  </si>
  <si>
    <t>2\6\26</t>
  </si>
  <si>
    <t>10\6\26</t>
  </si>
  <si>
    <t>12\6\26</t>
  </si>
  <si>
    <t>NIL</t>
  </si>
  <si>
    <t>13\6\26</t>
  </si>
  <si>
    <t>GUL ZAIB KA ER INSTALMENT PAYMENT PER 50% COMMSION HAI</t>
  </si>
  <si>
    <t>CUL4768210</t>
  </si>
  <si>
    <t>31\5\26</t>
  </si>
  <si>
    <t>19\6\26</t>
  </si>
  <si>
    <t>CODE NO:</t>
  </si>
  <si>
    <t>CUV5923874</t>
  </si>
  <si>
    <t>21\6\26</t>
  </si>
  <si>
    <t>F\NAME:</t>
  </si>
  <si>
    <t>CNIC NO:</t>
  </si>
  <si>
    <t>PLOT NO:</t>
  </si>
  <si>
    <t>30\6\26</t>
  </si>
  <si>
    <t>BOOKING</t>
  </si>
  <si>
    <t>AVJ0264371</t>
  </si>
  <si>
    <t>ZAHID RASHEED</t>
  </si>
  <si>
    <t>RASHEED ALAM</t>
  </si>
  <si>
    <t>0311-9911002</t>
  </si>
  <si>
    <t>42401-3693364-3</t>
  </si>
  <si>
    <t>7\7\26</t>
  </si>
  <si>
    <t>CINC NO:</t>
  </si>
  <si>
    <t>AYS8760350</t>
  </si>
  <si>
    <t>L-4939</t>
  </si>
  <si>
    <t>12\7\20</t>
  </si>
  <si>
    <t>11\3\23</t>
  </si>
  <si>
    <t>12\4\23</t>
  </si>
  <si>
    <t>10\5\23</t>
  </si>
  <si>
    <t>11\6\23</t>
  </si>
  <si>
    <t>13\7\23</t>
  </si>
  <si>
    <t>14\8\23</t>
  </si>
  <si>
    <t>13\9\23</t>
  </si>
  <si>
    <t>11\10\23</t>
  </si>
  <si>
    <t>12\11\23</t>
  </si>
  <si>
    <t>10\12\23</t>
  </si>
  <si>
    <t>RESEDENTIAL ADJUSTMENT</t>
  </si>
  <si>
    <t>12\1\24</t>
  </si>
  <si>
    <t>11\2\24</t>
  </si>
  <si>
    <t>13\3\24</t>
  </si>
  <si>
    <t>16\4\24</t>
  </si>
  <si>
    <t>15\5\24</t>
  </si>
  <si>
    <t>20\6\24</t>
  </si>
  <si>
    <t>18\7\24</t>
  </si>
  <si>
    <t>03\8\25</t>
  </si>
  <si>
    <t>ZAKIR HUSSIAN</t>
  </si>
  <si>
    <t>SHAIKH AKHTAR</t>
  </si>
  <si>
    <t>0346-3545689</t>
  </si>
  <si>
    <t>42401-2057606-9</t>
  </si>
  <si>
    <t>10\5\25</t>
  </si>
  <si>
    <t>9\6\25</t>
  </si>
  <si>
    <t>11\7\26</t>
  </si>
  <si>
    <t>12\7\26</t>
  </si>
  <si>
    <t>13\5\26</t>
  </si>
  <si>
    <t>14\7\26</t>
  </si>
  <si>
    <t>13\7\26</t>
  </si>
  <si>
    <t>NEW RESDENTIAL BOOKING</t>
  </si>
  <si>
    <t>CEQ5907130</t>
  </si>
  <si>
    <t>ABDUL GHAFFAR</t>
  </si>
  <si>
    <t>TAJ MUHAMMAD</t>
  </si>
  <si>
    <t>42401-4588266-7</t>
  </si>
  <si>
    <t>8/726</t>
  </si>
  <si>
    <t>15,000 DISCOUNT</t>
  </si>
  <si>
    <t>DEVELOMENT NILL#</t>
  </si>
  <si>
    <t>DEVE</t>
  </si>
  <si>
    <t>CNIC # 42401-7543329-7</t>
  </si>
  <si>
    <t>Name : MUHAMMAD AZHAR ANSARI</t>
  </si>
  <si>
    <t>Father Name ; MUHAMMAD GULZAR</t>
  </si>
  <si>
    <t>Plot No : L-4975</t>
  </si>
  <si>
    <t>Code Num:CJU3885442</t>
  </si>
  <si>
    <t>DETAIL OF TRANSFERRED</t>
  </si>
  <si>
    <t>Name : SUMERA</t>
  </si>
  <si>
    <t>Father Name ; MUHAMMAD SAGHEER AHMED</t>
  </si>
  <si>
    <t>CNIC # 44108-0575849-6</t>
  </si>
  <si>
    <t>Contact # 0322-2962740</t>
  </si>
  <si>
    <t>20/2/23</t>
  </si>
  <si>
    <t xml:space="preserve">RES B </t>
  </si>
  <si>
    <t>PANTIAL PY</t>
  </si>
  <si>
    <t>GIVEN</t>
  </si>
  <si>
    <t>DISCOUNT 50,000</t>
  </si>
  <si>
    <t>ins</t>
  </si>
  <si>
    <t>14/8/26</t>
  </si>
  <si>
    <t>15/8/26</t>
  </si>
  <si>
    <t>21/7/26</t>
  </si>
  <si>
    <t>CNIC # 42401-4040754-1</t>
  </si>
  <si>
    <t>Contact # 0313-1272208</t>
  </si>
  <si>
    <t>Plot No : L-4991-C</t>
  </si>
  <si>
    <t>Code Num;CQG6526989</t>
  </si>
  <si>
    <t>25/11/24</t>
  </si>
  <si>
    <t>27/1/25</t>
  </si>
  <si>
    <t>20/7/25</t>
  </si>
  <si>
    <t>14/12/25</t>
  </si>
  <si>
    <t>28/6/26</t>
  </si>
  <si>
    <t xml:space="preserve">Name : MUHAMMAD SHOAIB </t>
  </si>
  <si>
    <t>Father Name ; ABDUL QAYYUM</t>
  </si>
  <si>
    <t>AL REH ADJ</t>
  </si>
  <si>
    <t>13/6/23</t>
  </si>
  <si>
    <t>14/10/25</t>
  </si>
  <si>
    <t xml:space="preserve">DEVELOPMENT CONTINUE </t>
  </si>
  <si>
    <t>15/6/26</t>
  </si>
  <si>
    <t>19/7/26</t>
  </si>
  <si>
    <t>16/8/26</t>
  </si>
  <si>
    <t>DEVELOPMENT NILL</t>
  </si>
  <si>
    <t>16/9/25</t>
  </si>
  <si>
    <t>13/11/25</t>
  </si>
  <si>
    <t>20/1/26</t>
  </si>
  <si>
    <t>17/3/26</t>
  </si>
  <si>
    <t>15/7/26</t>
  </si>
  <si>
    <t xml:space="preserve">DEVELOPMENT </t>
  </si>
  <si>
    <t>19/8/26</t>
  </si>
  <si>
    <t>8\6\2026</t>
  </si>
  <si>
    <t xml:space="preserve">Name </t>
  </si>
  <si>
    <t>Saeed Jan</t>
  </si>
  <si>
    <t>Moin Jan</t>
  </si>
  <si>
    <t xml:space="preserve"> Father Name </t>
  </si>
  <si>
    <t xml:space="preserve">CNIC # </t>
  </si>
  <si>
    <t>42401-6688454-1</t>
  </si>
  <si>
    <t>Code Num:</t>
  </si>
  <si>
    <t>CPF0300972</t>
  </si>
  <si>
    <t>Plot No : L-4988</t>
  </si>
  <si>
    <t>COST;</t>
  </si>
  <si>
    <t>28/08/23</t>
  </si>
  <si>
    <t xml:space="preserve">token site </t>
  </si>
  <si>
    <t>residential booking</t>
  </si>
  <si>
    <t>31/08/23</t>
  </si>
  <si>
    <t>pattern payment</t>
  </si>
  <si>
    <t>18/10/23</t>
  </si>
  <si>
    <t>28/11/23</t>
  </si>
  <si>
    <t>14/3/24</t>
  </si>
  <si>
    <t>16/4/24</t>
  </si>
  <si>
    <t>14/5/24</t>
  </si>
  <si>
    <t>20/7/24</t>
  </si>
  <si>
    <t>17/8/24</t>
  </si>
  <si>
    <t>14/9/24</t>
  </si>
  <si>
    <t>14/10/14</t>
  </si>
  <si>
    <t>27/11/24</t>
  </si>
  <si>
    <t>22/12/24</t>
  </si>
  <si>
    <t>24/1/25</t>
  </si>
  <si>
    <t>23/3/25</t>
  </si>
  <si>
    <r>
      <t>22/5/2</t>
    </r>
    <r>
      <rPr>
        <strike/>
        <sz val="11"/>
        <color theme="1"/>
        <rFont val="Calibri"/>
        <family val="2"/>
        <scheme val="minor"/>
      </rPr>
      <t>5</t>
    </r>
  </si>
  <si>
    <t>20/8/25</t>
  </si>
  <si>
    <t>27/10/25</t>
  </si>
  <si>
    <t>24/11/25</t>
  </si>
  <si>
    <t>23/12/25</t>
  </si>
  <si>
    <t>26/1/26</t>
  </si>
  <si>
    <t>28/4/26</t>
  </si>
  <si>
    <t>29/6/26</t>
  </si>
  <si>
    <t>17/8/26</t>
  </si>
  <si>
    <t>Name :</t>
  </si>
  <si>
    <t>Raheem Uddin</t>
  </si>
  <si>
    <t>Father Name :</t>
  </si>
  <si>
    <t>Moin Zada</t>
  </si>
  <si>
    <t>CNIC #</t>
  </si>
  <si>
    <t>42301-7449662-3</t>
  </si>
  <si>
    <t>Contact #</t>
  </si>
  <si>
    <t>0341-0392428</t>
  </si>
  <si>
    <t>Plot No :</t>
  </si>
  <si>
    <t>L-4992 (D)</t>
  </si>
  <si>
    <t>COST:</t>
  </si>
  <si>
    <t>R.No</t>
  </si>
  <si>
    <t>Amount Received</t>
  </si>
  <si>
    <t>Total Received</t>
  </si>
  <si>
    <t>31/08/2022</t>
  </si>
  <si>
    <t>007</t>
  </si>
  <si>
    <t>08/09/2022</t>
  </si>
  <si>
    <t>129</t>
  </si>
  <si>
    <t>Residential</t>
  </si>
  <si>
    <t>05/07/2023</t>
  </si>
  <si>
    <t>2127</t>
  </si>
  <si>
    <t>16/08/2023</t>
  </si>
  <si>
    <t>4422</t>
  </si>
  <si>
    <t>5213</t>
  </si>
  <si>
    <t>14/12/2023</t>
  </si>
  <si>
    <t>5568</t>
  </si>
  <si>
    <t>17/01/2024</t>
  </si>
  <si>
    <t>6282</t>
  </si>
  <si>
    <t>15/02/2024</t>
  </si>
  <si>
    <t>7184</t>
  </si>
  <si>
    <t>15/04/2024</t>
  </si>
  <si>
    <t>13/05/2024</t>
  </si>
  <si>
    <t>12720</t>
  </si>
  <si>
    <t>12/06/2024</t>
  </si>
  <si>
    <t>12721</t>
  </si>
  <si>
    <t>13/07/2024</t>
  </si>
  <si>
    <t>12722</t>
  </si>
  <si>
    <t>08/10/2024</t>
  </si>
  <si>
    <t>11328</t>
  </si>
  <si>
    <t>21/11/2024</t>
  </si>
  <si>
    <t>12403</t>
  </si>
  <si>
    <t>14/09/2024</t>
  </si>
  <si>
    <t>02/02/2025</t>
  </si>
  <si>
    <t>9195</t>
  </si>
  <si>
    <t>23/05/2025</t>
  </si>
  <si>
    <t>10301</t>
  </si>
  <si>
    <t>14/07/2025</t>
  </si>
  <si>
    <t>12200</t>
  </si>
  <si>
    <t>23/08/2025</t>
  </si>
  <si>
    <t>12505</t>
  </si>
  <si>
    <t>18/09/2025</t>
  </si>
  <si>
    <t>13924</t>
  </si>
  <si>
    <t>13538</t>
  </si>
  <si>
    <t>15/11/2025</t>
  </si>
  <si>
    <t>13376</t>
  </si>
  <si>
    <t>16/12/2025</t>
  </si>
  <si>
    <t>12641</t>
  </si>
  <si>
    <t>18/01/2026</t>
  </si>
  <si>
    <t>12164</t>
  </si>
  <si>
    <t>21/01/2026</t>
  </si>
  <si>
    <t>12229</t>
  </si>
  <si>
    <t>17/02/2026</t>
  </si>
  <si>
    <t>15/03/2026</t>
  </si>
  <si>
    <t>12874</t>
  </si>
  <si>
    <t>Status:</t>
  </si>
  <si>
    <t>FULL PAID</t>
  </si>
  <si>
    <t>17/10/2023</t>
  </si>
  <si>
    <t>CQP7353118</t>
  </si>
  <si>
    <t xml:space="preserve">Devolopment Continue </t>
  </si>
  <si>
    <t>15/3/26</t>
  </si>
  <si>
    <t>deve</t>
  </si>
  <si>
    <t xml:space="preserve">  </t>
  </si>
  <si>
    <t>14/9/26</t>
  </si>
  <si>
    <t>13/9/26</t>
  </si>
  <si>
    <t>14/08/2025</t>
  </si>
  <si>
    <t>15/09/2025</t>
  </si>
  <si>
    <t>15/12/2025</t>
  </si>
  <si>
    <t>17/01/2026</t>
  </si>
  <si>
    <t>13/02/2026</t>
  </si>
  <si>
    <t>16/03/2026</t>
  </si>
  <si>
    <t>16/04/2026</t>
  </si>
  <si>
    <t>Cash</t>
  </si>
  <si>
    <t>21/05/2026</t>
  </si>
  <si>
    <t>15/06/2026</t>
  </si>
  <si>
    <t>15/07/2026</t>
  </si>
  <si>
    <t>15/08/2026</t>
  </si>
  <si>
    <t>15/09/2026</t>
  </si>
  <si>
    <t>13/12/2025</t>
  </si>
  <si>
    <t>Date (تاریخ)</t>
  </si>
  <si>
    <t>Receipt No (رسید نمبر)</t>
  </si>
  <si>
    <t>Mode (طریقہ کار)</t>
  </si>
  <si>
    <t>Installment (قسط)</t>
  </si>
  <si>
    <t>Balance (بقیہ رقم)</t>
  </si>
  <si>
    <t>—</t>
  </si>
  <si>
    <t>4,40,000</t>
  </si>
  <si>
    <t>4,30,000</t>
  </si>
  <si>
    <t>4,20,000</t>
  </si>
  <si>
    <t>4,10,000</t>
  </si>
  <si>
    <t>4,00,000</t>
  </si>
  <si>
    <t>14/11/24</t>
  </si>
  <si>
    <t>3,90,000</t>
  </si>
  <si>
    <t>3,80,000</t>
  </si>
  <si>
    <t>3,70,000</t>
  </si>
  <si>
    <t>3,60,000</t>
  </si>
  <si>
    <t>13/08/25</t>
  </si>
  <si>
    <t>3,55,000</t>
  </si>
  <si>
    <t>3,45,000</t>
  </si>
  <si>
    <t>3,40,000</t>
  </si>
  <si>
    <t>15/01/26</t>
  </si>
  <si>
    <t>3,35,000</t>
  </si>
  <si>
    <t>3,30,000</t>
  </si>
  <si>
    <t>3,25,000</t>
  </si>
  <si>
    <t>3,20,000</t>
  </si>
  <si>
    <t>18/05/26</t>
  </si>
  <si>
    <t>3,15,000</t>
  </si>
  <si>
    <t>14/06/26</t>
  </si>
  <si>
    <t>3,12,000</t>
  </si>
  <si>
    <t>3,04,000</t>
  </si>
  <si>
    <t>2,96,000</t>
  </si>
  <si>
    <t>15/09/26</t>
  </si>
  <si>
    <t>2,88,000</t>
  </si>
  <si>
    <t>13/07/25</t>
  </si>
  <si>
    <t>13/08/26</t>
  </si>
  <si>
    <t>15/9/26</t>
  </si>
  <si>
    <t>19/\9/26</t>
  </si>
  <si>
    <t>20/9/2026</t>
  </si>
  <si>
    <t>20\7\26</t>
  </si>
  <si>
    <t>7\9\26</t>
  </si>
  <si>
    <t xml:space="preserve">INSTALLMENT </t>
  </si>
  <si>
    <t>Receipt No</t>
  </si>
  <si>
    <t>Installment Paid (PKR)</t>
  </si>
  <si>
    <t>Remaining Balance (PKR)</t>
  </si>
  <si>
    <t>Rno. 107</t>
  </si>
  <si>
    <t>Rno. 170</t>
  </si>
  <si>
    <t>14/04/2024</t>
  </si>
  <si>
    <t>Rno. 221</t>
  </si>
  <si>
    <t>Rno. 281</t>
  </si>
  <si>
    <t>Rno. 0645</t>
  </si>
  <si>
    <t>14/07/2024</t>
  </si>
  <si>
    <t>Rno. 110</t>
  </si>
  <si>
    <t>Rno. 0211</t>
  </si>
  <si>
    <t>Rno. 552</t>
  </si>
  <si>
    <t>26/05/2025</t>
  </si>
  <si>
    <t>Rno. 603</t>
  </si>
  <si>
    <t>26/07/2025</t>
  </si>
  <si>
    <t>Rno. 3169</t>
  </si>
  <si>
    <t>13/09/2025</t>
  </si>
  <si>
    <t>Rno. 3514</t>
  </si>
  <si>
    <t>Rno: 3281</t>
  </si>
  <si>
    <t>Rno: 3655</t>
  </si>
  <si>
    <t>Rno: 5084</t>
  </si>
  <si>
    <t>Rno: 5487</t>
  </si>
  <si>
    <t>Rno: 5670</t>
  </si>
  <si>
    <t>Rno: 5961</t>
  </si>
  <si>
    <t>Rno: 1622</t>
  </si>
  <si>
    <t>13/07/2026</t>
  </si>
  <si>
    <t>Rno: 1834</t>
  </si>
  <si>
    <t>13/08/2026</t>
  </si>
  <si>
    <t>Rno: 1908</t>
  </si>
  <si>
    <t>Rno: 2170</t>
  </si>
  <si>
    <t>1,00,000/-</t>
  </si>
  <si>
    <t>3,00,000/-</t>
  </si>
  <si>
    <t>15/3/23</t>
  </si>
  <si>
    <t>10,000/-</t>
  </si>
  <si>
    <t>1,10,000/-</t>
  </si>
  <si>
    <t>2,90,000/-</t>
  </si>
  <si>
    <t>15/4/23</t>
  </si>
  <si>
    <t>1,20,000/-</t>
  </si>
  <si>
    <t>2,80,000/-</t>
  </si>
  <si>
    <t>17/5/23</t>
  </si>
  <si>
    <t>1,30,000/-</t>
  </si>
  <si>
    <t>2,70,000/-</t>
  </si>
  <si>
    <t>Rehman Adjustment</t>
  </si>
  <si>
    <t>90,000/-</t>
  </si>
  <si>
    <t>2,20,000/-</t>
  </si>
  <si>
    <t>1,80,000/-</t>
  </si>
  <si>
    <t>17/6/23</t>
  </si>
  <si>
    <t>2,30,000/-</t>
  </si>
  <si>
    <t>1,70,000/-</t>
  </si>
  <si>
    <t>13/7/23</t>
  </si>
  <si>
    <t>2,40,000/-</t>
  </si>
  <si>
    <t>1,60,000/-</t>
  </si>
  <si>
    <t>15/8/23</t>
  </si>
  <si>
    <t>2,50,000/-</t>
  </si>
  <si>
    <t>1,50,000/-</t>
  </si>
  <si>
    <t>2,60,000/-</t>
  </si>
  <si>
    <t>1,40,000/-</t>
  </si>
  <si>
    <t>13/11/23</t>
  </si>
  <si>
    <t>3,10,000/-</t>
  </si>
  <si>
    <t>3,20,000/-</t>
  </si>
  <si>
    <t>80,000/-</t>
  </si>
  <si>
    <t>3,30,000/-</t>
  </si>
  <si>
    <t>70,000/-</t>
  </si>
  <si>
    <t>13/5/24</t>
  </si>
  <si>
    <t>3,40,000/-</t>
  </si>
  <si>
    <t>60,000/-</t>
  </si>
  <si>
    <t>13/6/24</t>
  </si>
  <si>
    <t>3,50,000/-</t>
  </si>
  <si>
    <t>50,000/-</t>
  </si>
  <si>
    <t>3,60,000/-</t>
  </si>
  <si>
    <t>40,000/-</t>
  </si>
  <si>
    <t>3,70,000/-</t>
  </si>
  <si>
    <t>30,000/-</t>
  </si>
  <si>
    <t>3,80,000/-</t>
  </si>
  <si>
    <t>20,000/-</t>
  </si>
  <si>
    <t>16/10/24</t>
  </si>
  <si>
    <t>3,90,000/-</t>
  </si>
  <si>
    <t>13/11/24</t>
  </si>
  <si>
    <t>4,00,000/-</t>
  </si>
  <si>
    <t>Nil</t>
  </si>
  <si>
    <t>Code Num;CHX2954684</t>
  </si>
  <si>
    <t>Name : ABDUL JALAL</t>
  </si>
  <si>
    <t>Father Name : ABDUL HAKEEM</t>
  </si>
  <si>
    <t>CNIC # 42401-1995781-5</t>
  </si>
  <si>
    <t>Contact # 0321-2047191</t>
  </si>
  <si>
    <t>Plot No : L-4993</t>
  </si>
  <si>
    <t>Plot No : L-4994</t>
  </si>
  <si>
    <t>1,65,000/-</t>
  </si>
  <si>
    <t>1,35,000/-</t>
  </si>
  <si>
    <t>1,15,000/-</t>
  </si>
  <si>
    <t>1,05,000/-</t>
  </si>
  <si>
    <t>15/5/23</t>
  </si>
  <si>
    <t>95,000/-</t>
  </si>
  <si>
    <t>18/6/23</t>
  </si>
  <si>
    <t>85,000/-</t>
  </si>
  <si>
    <t>16/7/23</t>
  </si>
  <si>
    <t>75,000/-</t>
  </si>
  <si>
    <t>18/8/23</t>
  </si>
  <si>
    <t>65,000/-</t>
  </si>
  <si>
    <t>17/09/23</t>
  </si>
  <si>
    <t>55,000/-</t>
  </si>
  <si>
    <t>15/10/23</t>
  </si>
  <si>
    <t>45,000/-</t>
  </si>
  <si>
    <t>35,000/-</t>
  </si>
  <si>
    <t>25,000/-</t>
  </si>
  <si>
    <t>15,000/-</t>
  </si>
  <si>
    <t>5,000/-</t>
  </si>
  <si>
    <t>1,75,000/-</t>
  </si>
  <si>
    <t xml:space="preserve">development </t>
  </si>
  <si>
    <t>Name : ANZAR GUL</t>
  </si>
  <si>
    <t>Father Name : ABDUL RAZAK</t>
  </si>
  <si>
    <t>CNIC # 42401-1594620-9</t>
  </si>
  <si>
    <t>Code Num:CVJ2941579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</si>
</sst>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\(#,##0\);&quot;Nil&quot;"/>
  </numFmts>
  <fonts count="2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008000"/>
      <name val="Arial"/>
      <charset val="1"/>
    </font>
    <font>
      <b/>
      <sz val="20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404040"/>
        <bgColor rgb="FF3333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">
    <xf numFmtId="0" fontId="0" fillId="0" borderId="0"/>
    <xf numFmtId="0" fontId="13" fillId="0" borderId="0"/>
  </cellStyleXfs>
  <cellXfs count="8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0" xfId="0" applyNumberFormat="1"/>
    <xf numFmtId="14" fontId="0" fillId="0" borderId="0" xfId="0" applyNumberFormat="1"/>
    <xf numFmtId="0" fontId="4" fillId="0" borderId="1" xfId="0" applyFont="1" applyBorder="1" applyAlignment="1">
      <alignment horizontal="center"/>
    </xf>
    <xf numFmtId="3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3" fontId="1" fillId="0" borderId="0" xfId="0" applyNumberFormat="1" applyFont="1"/>
    <xf numFmtId="0" fontId="5" fillId="0" borderId="2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3" fontId="0" fillId="0" borderId="4" xfId="0" applyNumberForma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0" fontId="11" fillId="0" borderId="0" xfId="0" applyFon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1"/>
    <xf numFmtId="0" fontId="14" fillId="0" borderId="0" xfId="1" applyFont="1"/>
    <xf numFmtId="0" fontId="15" fillId="0" borderId="0" xfId="1" applyFont="1"/>
    <xf numFmtId="3" fontId="15" fillId="0" borderId="0" xfId="1" applyNumberFormat="1" applyFont="1"/>
    <xf numFmtId="0" fontId="16" fillId="3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3" fontId="15" fillId="0" borderId="1" xfId="1" applyNumberFormat="1" applyFont="1" applyBorder="1" applyAlignment="1">
      <alignment horizontal="center" vertical="center"/>
    </xf>
    <xf numFmtId="164" fontId="15" fillId="0" borderId="1" xfId="1" applyNumberFormat="1" applyFont="1" applyBorder="1" applyAlignment="1">
      <alignment horizontal="center" vertical="center"/>
    </xf>
    <xf numFmtId="0" fontId="17" fillId="0" borderId="0" xfId="1" applyFont="1"/>
    <xf numFmtId="0" fontId="18" fillId="0" borderId="0" xfId="0" applyFont="1"/>
    <xf numFmtId="3" fontId="19" fillId="0" borderId="1" xfId="1" applyNumberFormat="1" applyFont="1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18" fillId="0" borderId="0" xfId="0" applyFont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3" fontId="20" fillId="0" borderId="5" xfId="0" applyNumberFormat="1" applyFont="1" applyBorder="1" applyAlignment="1">
      <alignment horizontal="center" vertical="center" wrapText="1"/>
    </xf>
    <xf numFmtId="3" fontId="2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4" fontId="20" fillId="0" borderId="5" xfId="0" applyNumberFormat="1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left" vertical="center" wrapText="1" indent="1"/>
    </xf>
    <xf numFmtId="0" fontId="22" fillId="0" borderId="1" xfId="0" applyFont="1" applyBorder="1" applyAlignment="1">
      <alignment horizontal="left" vertical="center" wrapText="1" indent="1"/>
    </xf>
    <xf numFmtId="14" fontId="21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/>
    <xf numFmtId="0" fontId="0" fillId="0" borderId="7" xfId="0" applyBorder="1" applyAlignment="1">
      <alignment vertical="top" wrapText="1" indent="1"/>
    </xf>
    <xf numFmtId="0" fontId="22" fillId="0" borderId="7" xfId="0" applyFont="1" applyBorder="1" applyAlignment="1">
      <alignment horizontal="left" vertical="center" wrapText="1" indent="1"/>
    </xf>
    <xf numFmtId="0" fontId="0" fillId="0" borderId="4" xfId="0" applyBorder="1" applyAlignment="1">
      <alignment horizontal="center"/>
    </xf>
    <xf numFmtId="3" fontId="6" fillId="0" borderId="1" xfId="0" applyNumberFormat="1" applyFont="1" applyBorder="1"/>
    <xf numFmtId="0" fontId="0" fillId="0" borderId="2" xfId="0" applyFill="1" applyBorder="1" applyAlignment="1">
      <alignment horizontal="left"/>
    </xf>
  </cellXfs>
  <cellStyles count="2">
    <cellStyle name="Normal" xfId="0" builtinId="0"/>
    <cellStyle name="Normal 2" xfId="1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7:F24" totalsRowShown="0" headerRowDxfId="2" headerRowBorderDxfId="1" tableBorderDxfId="0">
  <autoFilter ref="A7:F24"/>
  <tableColumns count="6">
    <tableColumn id="1" name="Date"/>
    <tableColumn id="2" name="R.NO"/>
    <tableColumn id="3" name="Description"/>
    <tableColumn id="4" name="Amount Rec"/>
    <tableColumn id="5" name="Total Rec"/>
    <tableColumn id="6" name="Amou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53"/>
  <sheetViews>
    <sheetView workbookViewId="0">
      <selection activeCell="D56" sqref="D56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51</v>
      </c>
      <c r="B1" s="1"/>
      <c r="C1" s="1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191</v>
      </c>
      <c r="B4" s="1"/>
      <c r="C4" s="1" t="s">
        <v>471</v>
      </c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55</v>
      </c>
      <c r="B6" s="1"/>
      <c r="C6" s="1"/>
      <c r="D6" s="1" t="s">
        <v>22</v>
      </c>
      <c r="F6" s="1"/>
    </row>
    <row r="7" spans="1:6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9" t="s">
        <v>56</v>
      </c>
      <c r="B8" s="2">
        <v>2470</v>
      </c>
      <c r="C8" s="2" t="s">
        <v>57</v>
      </c>
      <c r="D8" s="4">
        <v>150000</v>
      </c>
      <c r="E8" s="4">
        <v>150000</v>
      </c>
      <c r="F8" s="4">
        <v>450000</v>
      </c>
    </row>
    <row r="9" spans="1:6" x14ac:dyDescent="0.35">
      <c r="A9" s="9" t="s">
        <v>58</v>
      </c>
      <c r="B9" s="2">
        <v>2049</v>
      </c>
      <c r="C9" s="2" t="s">
        <v>59</v>
      </c>
      <c r="D9" s="4">
        <v>10000</v>
      </c>
      <c r="E9" s="4">
        <f t="shared" ref="E9:E14" si="0">SUM(E8+D9)</f>
        <v>160000</v>
      </c>
      <c r="F9" s="4">
        <f t="shared" ref="F9:F14" si="1">F8-D9</f>
        <v>440000</v>
      </c>
    </row>
    <row r="10" spans="1:6" x14ac:dyDescent="0.35">
      <c r="A10" s="2" t="s">
        <v>60</v>
      </c>
      <c r="B10" s="2">
        <v>55</v>
      </c>
      <c r="C10" s="2" t="s">
        <v>59</v>
      </c>
      <c r="D10" s="4">
        <v>10000</v>
      </c>
      <c r="E10" s="4">
        <f t="shared" si="0"/>
        <v>170000</v>
      </c>
      <c r="F10" s="4">
        <f t="shared" si="1"/>
        <v>430000</v>
      </c>
    </row>
    <row r="11" spans="1:6" x14ac:dyDescent="0.35">
      <c r="A11" s="5">
        <v>45203</v>
      </c>
      <c r="B11" s="2">
        <v>1906</v>
      </c>
      <c r="C11" s="2" t="s">
        <v>59</v>
      </c>
      <c r="D11" s="4">
        <v>10000</v>
      </c>
      <c r="E11" s="4">
        <f t="shared" si="0"/>
        <v>180000</v>
      </c>
      <c r="F11" s="4">
        <f t="shared" si="1"/>
        <v>420000</v>
      </c>
    </row>
    <row r="12" spans="1:6" x14ac:dyDescent="0.35">
      <c r="A12" s="5">
        <v>44990</v>
      </c>
      <c r="B12" s="2">
        <v>1421</v>
      </c>
      <c r="C12" s="2" t="s">
        <v>59</v>
      </c>
      <c r="D12" s="4">
        <v>10000</v>
      </c>
      <c r="E12" s="4">
        <f t="shared" si="0"/>
        <v>190000</v>
      </c>
      <c r="F12" s="4">
        <f t="shared" si="1"/>
        <v>410000</v>
      </c>
    </row>
    <row r="13" spans="1:6" x14ac:dyDescent="0.35">
      <c r="A13" s="5">
        <v>44991</v>
      </c>
      <c r="B13" s="2">
        <v>247</v>
      </c>
      <c r="C13" s="2" t="s">
        <v>59</v>
      </c>
      <c r="D13" s="4">
        <v>10000</v>
      </c>
      <c r="E13" s="4">
        <f t="shared" si="0"/>
        <v>200000</v>
      </c>
      <c r="F13" s="4">
        <f t="shared" si="1"/>
        <v>400000</v>
      </c>
    </row>
    <row r="14" spans="1:6" x14ac:dyDescent="0.35">
      <c r="A14" s="5">
        <v>45237</v>
      </c>
      <c r="B14" s="2">
        <v>2675</v>
      </c>
      <c r="C14" s="2" t="s">
        <v>59</v>
      </c>
      <c r="D14" s="4">
        <v>10000</v>
      </c>
      <c r="E14" s="4">
        <f t="shared" si="0"/>
        <v>210000</v>
      </c>
      <c r="F14" s="4">
        <f t="shared" si="1"/>
        <v>390000</v>
      </c>
    </row>
    <row r="15" spans="1:6" x14ac:dyDescent="0.35">
      <c r="A15" s="5">
        <v>45268</v>
      </c>
      <c r="B15" s="2">
        <v>2381</v>
      </c>
      <c r="C15" s="2" t="s">
        <v>59</v>
      </c>
      <c r="D15" s="4">
        <v>10000</v>
      </c>
      <c r="E15" s="4">
        <f t="shared" ref="E15:E48" si="2">SUM(E14+D15)</f>
        <v>220000</v>
      </c>
      <c r="F15" s="4">
        <f t="shared" ref="F15:F48" si="3">F14-D15</f>
        <v>380000</v>
      </c>
    </row>
    <row r="16" spans="1:6" x14ac:dyDescent="0.35">
      <c r="A16" s="5">
        <v>45239</v>
      </c>
      <c r="B16" s="2">
        <v>3529</v>
      </c>
      <c r="C16" s="2" t="s">
        <v>59</v>
      </c>
      <c r="D16" s="4">
        <v>10000</v>
      </c>
      <c r="E16" s="4">
        <f t="shared" si="2"/>
        <v>230000</v>
      </c>
      <c r="F16" s="4">
        <f t="shared" si="3"/>
        <v>370000</v>
      </c>
    </row>
    <row r="17" spans="1:6" x14ac:dyDescent="0.35">
      <c r="A17" s="5">
        <v>45026</v>
      </c>
      <c r="B17" s="2">
        <v>283</v>
      </c>
      <c r="C17" s="2" t="s">
        <v>59</v>
      </c>
      <c r="D17" s="4">
        <v>10000</v>
      </c>
      <c r="E17" s="4">
        <f t="shared" si="2"/>
        <v>240000</v>
      </c>
      <c r="F17" s="4">
        <f t="shared" si="3"/>
        <v>360000</v>
      </c>
    </row>
    <row r="18" spans="1:6" x14ac:dyDescent="0.35">
      <c r="A18" s="5">
        <v>45241</v>
      </c>
      <c r="B18" s="2">
        <v>4806</v>
      </c>
      <c r="C18" s="2" t="s">
        <v>59</v>
      </c>
      <c r="D18" s="4">
        <v>10000</v>
      </c>
      <c r="E18" s="4">
        <f t="shared" si="2"/>
        <v>250000</v>
      </c>
      <c r="F18" s="4">
        <f t="shared" si="3"/>
        <v>350000</v>
      </c>
    </row>
    <row r="19" spans="1:6" x14ac:dyDescent="0.35">
      <c r="A19" s="5">
        <v>45181</v>
      </c>
      <c r="B19" s="2">
        <v>5386</v>
      </c>
      <c r="C19" s="2" t="s">
        <v>59</v>
      </c>
      <c r="D19" s="4">
        <v>10000</v>
      </c>
      <c r="E19" s="4">
        <f t="shared" si="2"/>
        <v>260000</v>
      </c>
      <c r="F19" s="4">
        <f t="shared" si="3"/>
        <v>340000</v>
      </c>
    </row>
    <row r="20" spans="1:6" x14ac:dyDescent="0.35">
      <c r="A20" s="5">
        <v>45444</v>
      </c>
      <c r="B20" s="2">
        <v>5920</v>
      </c>
      <c r="C20" s="2" t="s">
        <v>59</v>
      </c>
      <c r="D20" s="4">
        <v>10000</v>
      </c>
      <c r="E20" s="4">
        <f t="shared" si="2"/>
        <v>270000</v>
      </c>
      <c r="F20" s="4">
        <f t="shared" si="3"/>
        <v>330000</v>
      </c>
    </row>
    <row r="21" spans="1:6" x14ac:dyDescent="0.35">
      <c r="A21" s="5">
        <v>45414</v>
      </c>
      <c r="B21" s="2">
        <v>6536</v>
      </c>
      <c r="C21" s="2" t="s">
        <v>59</v>
      </c>
      <c r="D21" s="4">
        <v>10000</v>
      </c>
      <c r="E21" s="4">
        <f t="shared" si="2"/>
        <v>280000</v>
      </c>
      <c r="F21" s="4">
        <f t="shared" si="3"/>
        <v>320000</v>
      </c>
    </row>
    <row r="22" spans="1:6" x14ac:dyDescent="0.35">
      <c r="A22" s="5">
        <v>45476</v>
      </c>
      <c r="B22" s="2">
        <v>6933</v>
      </c>
      <c r="C22" s="2" t="s">
        <v>59</v>
      </c>
      <c r="D22" s="4">
        <v>10000</v>
      </c>
      <c r="E22" s="4">
        <f t="shared" si="2"/>
        <v>290000</v>
      </c>
      <c r="F22" s="4">
        <f t="shared" si="3"/>
        <v>310000</v>
      </c>
    </row>
    <row r="23" spans="1:6" x14ac:dyDescent="0.35">
      <c r="A23" s="5">
        <v>45416</v>
      </c>
      <c r="B23" s="2">
        <v>7683</v>
      </c>
      <c r="C23" s="2" t="s">
        <v>59</v>
      </c>
      <c r="D23" s="4">
        <v>10000</v>
      </c>
      <c r="E23" s="4">
        <f t="shared" si="2"/>
        <v>300000</v>
      </c>
      <c r="F23" s="4">
        <f t="shared" si="3"/>
        <v>300000</v>
      </c>
    </row>
    <row r="24" spans="1:6" x14ac:dyDescent="0.35">
      <c r="A24" s="5">
        <v>45478</v>
      </c>
      <c r="B24" s="2">
        <v>8288</v>
      </c>
      <c r="C24" s="2" t="s">
        <v>59</v>
      </c>
      <c r="D24" s="4">
        <v>10000</v>
      </c>
      <c r="E24" s="4">
        <f t="shared" si="2"/>
        <v>310000</v>
      </c>
      <c r="F24" s="4">
        <f t="shared" si="3"/>
        <v>290000</v>
      </c>
    </row>
    <row r="25" spans="1:6" x14ac:dyDescent="0.35">
      <c r="A25" s="5">
        <v>45418</v>
      </c>
      <c r="B25" s="2">
        <v>8859</v>
      </c>
      <c r="C25" s="2" t="s">
        <v>59</v>
      </c>
      <c r="D25" s="4">
        <v>10000</v>
      </c>
      <c r="E25" s="4">
        <f t="shared" si="2"/>
        <v>320000</v>
      </c>
      <c r="F25" s="4">
        <f t="shared" si="3"/>
        <v>280000</v>
      </c>
    </row>
    <row r="26" spans="1:6" x14ac:dyDescent="0.35">
      <c r="A26" s="5">
        <v>45450</v>
      </c>
      <c r="B26" s="2">
        <v>9402</v>
      </c>
      <c r="C26" s="2" t="s">
        <v>59</v>
      </c>
      <c r="D26" s="4">
        <v>10000</v>
      </c>
      <c r="E26" s="4">
        <f t="shared" si="2"/>
        <v>330000</v>
      </c>
      <c r="F26" s="4">
        <f t="shared" si="3"/>
        <v>270000</v>
      </c>
    </row>
    <row r="27" spans="1:6" x14ac:dyDescent="0.35">
      <c r="A27" s="5">
        <v>45451</v>
      </c>
      <c r="B27" s="2">
        <v>10069</v>
      </c>
      <c r="C27" s="2" t="s">
        <v>59</v>
      </c>
      <c r="D27" s="4">
        <v>10000</v>
      </c>
      <c r="E27" s="4">
        <f t="shared" si="2"/>
        <v>340000</v>
      </c>
      <c r="F27" s="4">
        <f t="shared" si="3"/>
        <v>260000</v>
      </c>
    </row>
    <row r="28" spans="1:6" x14ac:dyDescent="0.35">
      <c r="A28" s="5">
        <v>45360</v>
      </c>
      <c r="B28" s="2">
        <v>10487</v>
      </c>
      <c r="C28" s="2" t="s">
        <v>59</v>
      </c>
      <c r="D28" s="4">
        <v>10000</v>
      </c>
      <c r="E28" s="4">
        <f t="shared" si="2"/>
        <v>350000</v>
      </c>
      <c r="F28" s="4">
        <f t="shared" si="3"/>
        <v>250000</v>
      </c>
    </row>
    <row r="29" spans="1:6" x14ac:dyDescent="0.35">
      <c r="A29" s="5">
        <v>45483</v>
      </c>
      <c r="B29" s="2">
        <v>11470</v>
      </c>
      <c r="C29" s="2" t="s">
        <v>59</v>
      </c>
      <c r="D29" s="4">
        <v>10000</v>
      </c>
      <c r="E29" s="4">
        <f t="shared" si="2"/>
        <v>360000</v>
      </c>
      <c r="F29" s="4">
        <f t="shared" si="3"/>
        <v>240000</v>
      </c>
    </row>
    <row r="30" spans="1:6" x14ac:dyDescent="0.35">
      <c r="A30" s="5">
        <v>45576</v>
      </c>
      <c r="B30" s="2">
        <v>11976</v>
      </c>
      <c r="C30" s="2" t="s">
        <v>59</v>
      </c>
      <c r="D30" s="4">
        <v>10000</v>
      </c>
      <c r="E30" s="4">
        <f t="shared" si="2"/>
        <v>370000</v>
      </c>
      <c r="F30" s="4">
        <f t="shared" si="3"/>
        <v>230000</v>
      </c>
    </row>
    <row r="31" spans="1:6" x14ac:dyDescent="0.35">
      <c r="A31" s="5">
        <v>45547</v>
      </c>
      <c r="B31" s="2">
        <v>12268</v>
      </c>
      <c r="C31" s="2" t="s">
        <v>59</v>
      </c>
      <c r="D31" s="4">
        <v>10000</v>
      </c>
      <c r="E31" s="4">
        <f t="shared" si="2"/>
        <v>380000</v>
      </c>
      <c r="F31" s="4">
        <f t="shared" si="3"/>
        <v>220000</v>
      </c>
    </row>
    <row r="32" spans="1:6" x14ac:dyDescent="0.35">
      <c r="A32" s="5">
        <v>45870</v>
      </c>
      <c r="B32" s="2">
        <v>12970</v>
      </c>
      <c r="C32" s="2" t="s">
        <v>59</v>
      </c>
      <c r="D32" s="4">
        <v>10000</v>
      </c>
      <c r="E32" s="4">
        <f t="shared" si="2"/>
        <v>390000</v>
      </c>
      <c r="F32" s="4">
        <f t="shared" si="3"/>
        <v>210000</v>
      </c>
    </row>
    <row r="33" spans="1:6" x14ac:dyDescent="0.35">
      <c r="A33" s="5">
        <v>45932</v>
      </c>
      <c r="B33" s="2">
        <v>9312</v>
      </c>
      <c r="C33" s="2" t="s">
        <v>59</v>
      </c>
      <c r="D33" s="4">
        <v>10000</v>
      </c>
      <c r="E33" s="4">
        <f t="shared" si="2"/>
        <v>400000</v>
      </c>
      <c r="F33" s="4">
        <f t="shared" si="3"/>
        <v>200000</v>
      </c>
    </row>
    <row r="34" spans="1:6" x14ac:dyDescent="0.35">
      <c r="A34" s="5">
        <v>45841</v>
      </c>
      <c r="B34" s="2">
        <v>9634</v>
      </c>
      <c r="C34" s="2" t="s">
        <v>59</v>
      </c>
      <c r="D34" s="4">
        <v>10000</v>
      </c>
      <c r="E34" s="4">
        <f t="shared" si="2"/>
        <v>410000</v>
      </c>
      <c r="F34" s="4">
        <f t="shared" si="3"/>
        <v>190000</v>
      </c>
    </row>
    <row r="35" spans="1:6" x14ac:dyDescent="0.35">
      <c r="A35" s="5">
        <v>45934</v>
      </c>
      <c r="B35" s="2">
        <v>9994</v>
      </c>
      <c r="C35" s="2" t="s">
        <v>59</v>
      </c>
      <c r="D35" s="4">
        <v>10000</v>
      </c>
      <c r="E35" s="4">
        <f t="shared" si="2"/>
        <v>420000</v>
      </c>
      <c r="F35" s="4">
        <f t="shared" si="3"/>
        <v>180000</v>
      </c>
    </row>
    <row r="36" spans="1:6" x14ac:dyDescent="0.35">
      <c r="A36" s="5">
        <v>45874</v>
      </c>
      <c r="B36" s="2">
        <v>10381</v>
      </c>
      <c r="C36" s="2" t="s">
        <v>59</v>
      </c>
      <c r="D36" s="4">
        <v>10000</v>
      </c>
      <c r="E36" s="4">
        <f t="shared" si="2"/>
        <v>430000</v>
      </c>
      <c r="F36" s="4">
        <f t="shared" si="3"/>
        <v>170000</v>
      </c>
    </row>
    <row r="37" spans="1:6" x14ac:dyDescent="0.35">
      <c r="A37" s="5">
        <v>45936</v>
      </c>
      <c r="B37" s="2">
        <v>10253</v>
      </c>
      <c r="C37" s="2" t="s">
        <v>59</v>
      </c>
      <c r="D37" s="4">
        <v>10000</v>
      </c>
      <c r="E37" s="4">
        <f t="shared" si="2"/>
        <v>440000</v>
      </c>
      <c r="F37" s="4">
        <f t="shared" si="3"/>
        <v>160000</v>
      </c>
    </row>
    <row r="38" spans="1:6" x14ac:dyDescent="0.35">
      <c r="A38" s="5">
        <v>45754</v>
      </c>
      <c r="B38" s="2">
        <v>12058</v>
      </c>
      <c r="C38" s="2" t="s">
        <v>59</v>
      </c>
      <c r="D38" s="4">
        <v>10000</v>
      </c>
      <c r="E38" s="4">
        <f t="shared" si="2"/>
        <v>450000</v>
      </c>
      <c r="F38" s="4">
        <f t="shared" si="3"/>
        <v>150000</v>
      </c>
    </row>
    <row r="39" spans="1:6" x14ac:dyDescent="0.35">
      <c r="A39" s="5">
        <v>45816</v>
      </c>
      <c r="B39" s="2">
        <v>12409</v>
      </c>
      <c r="C39" s="2" t="s">
        <v>59</v>
      </c>
      <c r="D39" s="4">
        <v>10000</v>
      </c>
      <c r="E39" s="4">
        <f t="shared" si="2"/>
        <v>460000</v>
      </c>
      <c r="F39" s="4">
        <f t="shared" si="3"/>
        <v>140000</v>
      </c>
    </row>
    <row r="40" spans="1:6" x14ac:dyDescent="0.35">
      <c r="A40" s="5">
        <v>45847</v>
      </c>
      <c r="B40" s="2">
        <v>12643</v>
      </c>
      <c r="C40" s="2" t="s">
        <v>59</v>
      </c>
      <c r="D40" s="4">
        <v>10000</v>
      </c>
      <c r="E40" s="4">
        <f t="shared" si="2"/>
        <v>470000</v>
      </c>
      <c r="F40" s="4">
        <f t="shared" si="3"/>
        <v>130000</v>
      </c>
    </row>
    <row r="41" spans="1:6" x14ac:dyDescent="0.35">
      <c r="A41" s="5">
        <v>45848</v>
      </c>
      <c r="B41" s="2">
        <v>13712</v>
      </c>
      <c r="C41" s="2" t="s">
        <v>59</v>
      </c>
      <c r="D41" s="4">
        <v>10000</v>
      </c>
      <c r="E41" s="4">
        <f t="shared" si="2"/>
        <v>480000</v>
      </c>
      <c r="F41" s="4">
        <f t="shared" si="3"/>
        <v>120000</v>
      </c>
    </row>
    <row r="42" spans="1:6" x14ac:dyDescent="0.35">
      <c r="A42" s="5">
        <v>45911</v>
      </c>
      <c r="B42" s="2">
        <v>13473</v>
      </c>
      <c r="C42" s="2" t="s">
        <v>59</v>
      </c>
      <c r="D42" s="4">
        <v>10000</v>
      </c>
      <c r="E42" s="4">
        <f t="shared" si="2"/>
        <v>490000</v>
      </c>
      <c r="F42" s="4">
        <f t="shared" si="3"/>
        <v>110000</v>
      </c>
    </row>
    <row r="43" spans="1:6" x14ac:dyDescent="0.35">
      <c r="A43" s="5">
        <v>45881</v>
      </c>
      <c r="B43" s="2">
        <v>13108</v>
      </c>
      <c r="C43" s="2" t="s">
        <v>59</v>
      </c>
      <c r="D43" s="4">
        <v>10000</v>
      </c>
      <c r="E43" s="4">
        <f t="shared" si="2"/>
        <v>500000</v>
      </c>
      <c r="F43" s="4">
        <f t="shared" si="3"/>
        <v>100000</v>
      </c>
    </row>
    <row r="44" spans="1:6" x14ac:dyDescent="0.35">
      <c r="A44" s="5">
        <v>46204</v>
      </c>
      <c r="B44" s="2">
        <v>12018</v>
      </c>
      <c r="C44" s="2" t="s">
        <v>59</v>
      </c>
      <c r="D44" s="4">
        <v>10000</v>
      </c>
      <c r="E44" s="4">
        <f t="shared" si="2"/>
        <v>510000</v>
      </c>
      <c r="F44" s="4">
        <f t="shared" si="3"/>
        <v>90000</v>
      </c>
    </row>
    <row r="45" spans="1:6" x14ac:dyDescent="0.35">
      <c r="A45" s="5">
        <v>46175</v>
      </c>
      <c r="B45" s="2">
        <v>12352</v>
      </c>
      <c r="C45" s="2" t="s">
        <v>59</v>
      </c>
      <c r="D45" s="4">
        <v>10000</v>
      </c>
      <c r="E45" s="4">
        <f t="shared" si="2"/>
        <v>520000</v>
      </c>
      <c r="F45" s="4">
        <f t="shared" si="3"/>
        <v>80000</v>
      </c>
    </row>
    <row r="46" spans="1:6" x14ac:dyDescent="0.35">
      <c r="A46" s="8">
        <v>46237</v>
      </c>
      <c r="B46" s="16">
        <v>12777</v>
      </c>
      <c r="C46" s="2" t="s">
        <v>59</v>
      </c>
      <c r="D46" s="4">
        <v>10000</v>
      </c>
      <c r="E46" s="4">
        <f t="shared" si="2"/>
        <v>530000</v>
      </c>
      <c r="F46" s="4">
        <f t="shared" si="3"/>
        <v>70000</v>
      </c>
    </row>
    <row r="47" spans="1:6" x14ac:dyDescent="0.35">
      <c r="A47" s="8">
        <v>46238</v>
      </c>
      <c r="B47" s="16">
        <v>13182</v>
      </c>
      <c r="C47" s="2" t="s">
        <v>59</v>
      </c>
      <c r="D47" s="4">
        <v>10000</v>
      </c>
      <c r="E47" s="4">
        <f t="shared" si="2"/>
        <v>540000</v>
      </c>
      <c r="F47" s="4">
        <f t="shared" si="3"/>
        <v>60000</v>
      </c>
    </row>
    <row r="48" spans="1:6" x14ac:dyDescent="0.35">
      <c r="A48" s="8">
        <v>46270</v>
      </c>
      <c r="B48" s="16">
        <v>12969</v>
      </c>
      <c r="C48" s="84" t="s">
        <v>59</v>
      </c>
      <c r="D48" s="33">
        <v>10000</v>
      </c>
      <c r="E48" s="33">
        <f t="shared" si="2"/>
        <v>550000</v>
      </c>
      <c r="F48" s="33">
        <f t="shared" si="3"/>
        <v>50000</v>
      </c>
    </row>
    <row r="49" spans="1:6" x14ac:dyDescent="0.35">
      <c r="A49" s="6" t="s">
        <v>618</v>
      </c>
      <c r="B49" s="2">
        <v>13558</v>
      </c>
      <c r="C49" s="2" t="s">
        <v>59</v>
      </c>
      <c r="D49" s="10">
        <v>10000</v>
      </c>
      <c r="E49" s="10">
        <f>E48+D49</f>
        <v>560000</v>
      </c>
      <c r="F49" s="10">
        <f>F48-D49</f>
        <v>40000</v>
      </c>
    </row>
    <row r="50" spans="1:6" x14ac:dyDescent="0.35">
      <c r="A50" s="11">
        <v>46272</v>
      </c>
      <c r="B50" s="2">
        <v>1438</v>
      </c>
      <c r="C50" s="2" t="s">
        <v>59</v>
      </c>
      <c r="D50" s="10">
        <v>10000</v>
      </c>
      <c r="E50" s="10">
        <f>E49+D50</f>
        <v>570000</v>
      </c>
      <c r="F50" s="10">
        <f>F49-D50</f>
        <v>30000</v>
      </c>
    </row>
    <row r="51" spans="1:6" x14ac:dyDescent="0.35">
      <c r="A51" s="11">
        <v>46211</v>
      </c>
      <c r="B51" s="2">
        <v>1660</v>
      </c>
      <c r="C51" s="2" t="s">
        <v>59</v>
      </c>
      <c r="D51" s="10">
        <v>10000</v>
      </c>
      <c r="E51" s="10">
        <f>E50+D51</f>
        <v>580000</v>
      </c>
      <c r="F51" s="10">
        <f>F50-D51</f>
        <v>20000</v>
      </c>
    </row>
    <row r="52" spans="1:6" x14ac:dyDescent="0.35">
      <c r="A52" s="11">
        <v>46274</v>
      </c>
      <c r="B52" s="2">
        <v>1954</v>
      </c>
      <c r="C52" s="2" t="s">
        <v>59</v>
      </c>
      <c r="D52" s="10">
        <v>10000</v>
      </c>
      <c r="E52" s="10">
        <f>E51+D52</f>
        <v>590000</v>
      </c>
      <c r="F52" s="10">
        <f>F51-D52</f>
        <v>10000</v>
      </c>
    </row>
    <row r="53" spans="1:6" x14ac:dyDescent="0.35">
      <c r="A53" s="11">
        <v>46244</v>
      </c>
      <c r="B53" s="2">
        <v>2192</v>
      </c>
      <c r="C53" s="2" t="s">
        <v>59</v>
      </c>
      <c r="D53" s="10">
        <v>10000</v>
      </c>
      <c r="E53" s="10">
        <f>E52+D53</f>
        <v>600000</v>
      </c>
      <c r="F53" s="85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0"/>
  <sheetViews>
    <sheetView workbookViewId="0">
      <selection activeCell="B20" sqref="B20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5.81640625" bestFit="1" customWidth="1"/>
    <col min="6" max="6" width="11.36328125" bestFit="1" customWidth="1"/>
  </cols>
  <sheetData>
    <row r="1" spans="1:6" ht="18.5" x14ac:dyDescent="0.45">
      <c r="A1" s="1" t="s">
        <v>61</v>
      </c>
      <c r="B1" s="1"/>
      <c r="C1" s="1"/>
      <c r="D1" s="1"/>
      <c r="E1" s="1"/>
      <c r="F1" s="1"/>
    </row>
    <row r="2" spans="1:6" ht="18.5" x14ac:dyDescent="0.45">
      <c r="A2" s="1" t="s">
        <v>62</v>
      </c>
      <c r="C2" s="1"/>
      <c r="D2" s="1"/>
      <c r="E2" s="1"/>
      <c r="F2" s="1"/>
    </row>
    <row r="3" spans="1:6" ht="18.5" x14ac:dyDescent="0.45">
      <c r="A3" s="1" t="s">
        <v>63</v>
      </c>
      <c r="B3" s="1"/>
      <c r="C3" s="1"/>
      <c r="D3" s="1"/>
      <c r="E3" s="1"/>
      <c r="F3" s="1"/>
    </row>
    <row r="4" spans="1:6" ht="18.5" x14ac:dyDescent="0.45">
      <c r="A4" s="1" t="s">
        <v>405</v>
      </c>
      <c r="B4" s="1"/>
      <c r="C4" s="1"/>
      <c r="D4" s="1"/>
      <c r="E4" s="1"/>
      <c r="F4" s="1"/>
    </row>
    <row r="5" spans="1:6" ht="18.5" x14ac:dyDescent="0.45">
      <c r="A5" s="1" t="s">
        <v>64</v>
      </c>
      <c r="B5" s="1"/>
      <c r="C5" s="1"/>
      <c r="D5" s="1"/>
      <c r="E5" s="1"/>
      <c r="F5" s="1"/>
    </row>
    <row r="6" spans="1:6" ht="18.5" x14ac:dyDescent="0.45">
      <c r="A6" s="1" t="s">
        <v>65</v>
      </c>
      <c r="B6" s="1"/>
      <c r="C6" s="1"/>
      <c r="D6" s="1" t="s">
        <v>66</v>
      </c>
      <c r="F6" s="1"/>
    </row>
    <row r="7" spans="1:6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9" t="s">
        <v>67</v>
      </c>
      <c r="B8" s="2">
        <v>13915</v>
      </c>
      <c r="C8" s="2" t="s">
        <v>70</v>
      </c>
      <c r="D8" s="4">
        <v>50000</v>
      </c>
      <c r="E8" s="4">
        <v>50000</v>
      </c>
      <c r="F8" s="4">
        <v>600000</v>
      </c>
    </row>
    <row r="9" spans="1:6" x14ac:dyDescent="0.35">
      <c r="A9" s="9" t="s">
        <v>68</v>
      </c>
      <c r="B9" s="2">
        <v>13530</v>
      </c>
      <c r="C9" s="2" t="s">
        <v>59</v>
      </c>
      <c r="D9" s="4">
        <v>10000</v>
      </c>
      <c r="E9" s="4">
        <f>SUM(E8+D9)</f>
        <v>60000</v>
      </c>
      <c r="F9" s="4">
        <f>F8-D9</f>
        <v>590000</v>
      </c>
    </row>
    <row r="10" spans="1:6" x14ac:dyDescent="0.35">
      <c r="A10" s="2" t="s">
        <v>69</v>
      </c>
      <c r="B10" s="2">
        <v>13358</v>
      </c>
      <c r="C10" s="2" t="s">
        <v>59</v>
      </c>
      <c r="D10" s="4">
        <v>10000</v>
      </c>
      <c r="E10" s="4">
        <f t="shared" ref="E10:E16" si="0">SUM(E9+D10)</f>
        <v>70000</v>
      </c>
      <c r="F10" s="4">
        <f t="shared" ref="F10:F16" si="1">F9-D10</f>
        <v>580000</v>
      </c>
    </row>
    <row r="11" spans="1:6" x14ac:dyDescent="0.35">
      <c r="A11" s="5">
        <v>45942</v>
      </c>
      <c r="B11" s="2">
        <v>13154</v>
      </c>
      <c r="C11" s="2" t="s">
        <v>59</v>
      </c>
      <c r="D11" s="4">
        <v>10000</v>
      </c>
      <c r="E11" s="4">
        <f t="shared" si="0"/>
        <v>80000</v>
      </c>
      <c r="F11" s="4">
        <f t="shared" si="1"/>
        <v>570000</v>
      </c>
    </row>
    <row r="12" spans="1:6" x14ac:dyDescent="0.35">
      <c r="A12" s="5">
        <v>46327</v>
      </c>
      <c r="B12" s="2">
        <v>12083</v>
      </c>
      <c r="C12" s="2" t="s">
        <v>59</v>
      </c>
      <c r="D12" s="4">
        <v>10000</v>
      </c>
      <c r="E12" s="4">
        <f t="shared" si="0"/>
        <v>90000</v>
      </c>
      <c r="F12" s="4">
        <f t="shared" si="1"/>
        <v>560000</v>
      </c>
    </row>
    <row r="13" spans="1:6" x14ac:dyDescent="0.35">
      <c r="A13" s="5">
        <v>46236</v>
      </c>
      <c r="B13" s="2">
        <v>12394</v>
      </c>
      <c r="C13" s="2" t="s">
        <v>59</v>
      </c>
      <c r="D13" s="4">
        <v>10000</v>
      </c>
      <c r="E13" s="4">
        <f t="shared" si="0"/>
        <v>100000</v>
      </c>
      <c r="F13" s="4">
        <f t="shared" si="1"/>
        <v>550000</v>
      </c>
    </row>
    <row r="14" spans="1:6" x14ac:dyDescent="0.35">
      <c r="A14" s="8">
        <v>46237</v>
      </c>
      <c r="B14" s="16">
        <v>12779</v>
      </c>
      <c r="C14" s="16" t="s">
        <v>59</v>
      </c>
      <c r="D14" s="4">
        <v>10000</v>
      </c>
      <c r="E14" s="4">
        <f t="shared" si="0"/>
        <v>110000</v>
      </c>
      <c r="F14" s="4">
        <f t="shared" si="1"/>
        <v>540000</v>
      </c>
    </row>
    <row r="15" spans="1:6" x14ac:dyDescent="0.35">
      <c r="A15" t="s">
        <v>406</v>
      </c>
      <c r="B15" s="16">
        <v>13250</v>
      </c>
      <c r="C15" s="16" t="s">
        <v>59</v>
      </c>
      <c r="D15" s="4">
        <v>10000</v>
      </c>
      <c r="E15" s="4">
        <f t="shared" si="0"/>
        <v>120000</v>
      </c>
      <c r="F15" s="4">
        <f t="shared" si="1"/>
        <v>530000</v>
      </c>
    </row>
    <row r="16" spans="1:6" x14ac:dyDescent="0.35">
      <c r="A16" s="8">
        <v>46270</v>
      </c>
      <c r="B16" s="16">
        <v>12965</v>
      </c>
      <c r="C16" s="16" t="s">
        <v>59</v>
      </c>
      <c r="D16" s="33">
        <v>10000</v>
      </c>
      <c r="E16" s="33">
        <f t="shared" si="0"/>
        <v>130000</v>
      </c>
      <c r="F16" s="33">
        <f t="shared" si="1"/>
        <v>520000</v>
      </c>
    </row>
    <row r="17" spans="1:6" x14ac:dyDescent="0.35">
      <c r="A17" s="13" t="s">
        <v>507</v>
      </c>
      <c r="B17" s="13">
        <v>13502</v>
      </c>
      <c r="C17" s="13" t="s">
        <v>59</v>
      </c>
      <c r="D17" s="15">
        <v>10000</v>
      </c>
      <c r="E17" s="15">
        <f>E16+D17</f>
        <v>140000</v>
      </c>
      <c r="F17" s="15">
        <f>F16-D17</f>
        <v>510000</v>
      </c>
    </row>
    <row r="18" spans="1:6" x14ac:dyDescent="0.35">
      <c r="A18" s="13" t="s">
        <v>560</v>
      </c>
      <c r="B18" s="13">
        <v>1470</v>
      </c>
      <c r="C18" s="13" t="s">
        <v>59</v>
      </c>
      <c r="D18" s="15">
        <v>10000</v>
      </c>
      <c r="E18" s="15">
        <f>E17+D18</f>
        <v>150000</v>
      </c>
      <c r="F18" s="15">
        <f>F17-D18</f>
        <v>500000</v>
      </c>
    </row>
    <row r="19" spans="1:6" x14ac:dyDescent="0.35">
      <c r="A19" s="14">
        <v>46364</v>
      </c>
      <c r="B19" s="13">
        <v>1748</v>
      </c>
      <c r="C19" s="13" t="s">
        <v>59</v>
      </c>
      <c r="D19" s="15">
        <v>10000</v>
      </c>
      <c r="E19" s="15">
        <f>E18+D19</f>
        <v>160000</v>
      </c>
      <c r="F19" s="15">
        <f>F18-D19</f>
        <v>490000</v>
      </c>
    </row>
    <row r="20" spans="1:6" x14ac:dyDescent="0.35">
      <c r="A20" s="14" t="s">
        <v>781</v>
      </c>
      <c r="B20" s="13">
        <v>2119</v>
      </c>
      <c r="C20" s="13" t="s">
        <v>59</v>
      </c>
      <c r="D20" s="15">
        <v>10000</v>
      </c>
      <c r="E20" s="15">
        <f>E19+D20</f>
        <v>170000</v>
      </c>
      <c r="F20" s="15">
        <f>F19-D20</f>
        <v>480000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9"/>
  <sheetViews>
    <sheetView topLeftCell="A41" workbookViewId="0">
      <selection activeCell="E55" sqref="E55"/>
    </sheetView>
  </sheetViews>
  <sheetFormatPr defaultRowHeight="14.5" x14ac:dyDescent="0.35"/>
  <cols>
    <col min="1" max="1" width="10.453125" bestFit="1" customWidth="1"/>
    <col min="3" max="3" width="13.453125" customWidth="1"/>
    <col min="4" max="4" width="9.6328125" customWidth="1"/>
    <col min="5" max="5" width="9.54296875" customWidth="1"/>
    <col min="6" max="6" width="12.7265625" customWidth="1"/>
  </cols>
  <sheetData>
    <row r="1" spans="1:6" ht="18.5" x14ac:dyDescent="0.45">
      <c r="A1" s="1" t="s">
        <v>118</v>
      </c>
      <c r="B1" s="1"/>
      <c r="C1" s="1"/>
      <c r="D1" s="1"/>
      <c r="E1" s="1"/>
      <c r="F1" s="1"/>
    </row>
    <row r="2" spans="1:6" ht="18.5" x14ac:dyDescent="0.45">
      <c r="A2" s="1" t="s">
        <v>119</v>
      </c>
      <c r="C2" s="1"/>
      <c r="D2" s="1"/>
      <c r="E2" s="1"/>
      <c r="F2" s="1"/>
    </row>
    <row r="3" spans="1:6" ht="18.5" x14ac:dyDescent="0.45">
      <c r="A3" s="1" t="s">
        <v>120</v>
      </c>
      <c r="B3" s="1"/>
      <c r="C3" s="1"/>
      <c r="D3" s="1"/>
      <c r="E3" s="1"/>
      <c r="F3" s="1"/>
    </row>
    <row r="4" spans="1:6" ht="18.5" x14ac:dyDescent="0.45">
      <c r="A4" s="1" t="s">
        <v>124</v>
      </c>
      <c r="B4" s="1" t="s">
        <v>470</v>
      </c>
      <c r="C4" s="1"/>
      <c r="D4" s="1"/>
      <c r="E4" s="1"/>
      <c r="F4" s="1"/>
    </row>
    <row r="5" spans="1:6" ht="18.5" x14ac:dyDescent="0.45">
      <c r="A5" s="1" t="s">
        <v>121</v>
      </c>
      <c r="B5" s="1"/>
      <c r="C5" s="1"/>
      <c r="D5" s="1"/>
      <c r="E5" s="1"/>
      <c r="F5" s="1"/>
    </row>
    <row r="6" spans="1:6" ht="18.5" x14ac:dyDescent="0.45">
      <c r="A6" s="1" t="s">
        <v>122</v>
      </c>
      <c r="B6" s="1"/>
      <c r="C6" s="1"/>
      <c r="D6" s="1" t="s">
        <v>123</v>
      </c>
      <c r="F6" s="1"/>
    </row>
    <row r="7" spans="1:6" x14ac:dyDescent="0.35">
      <c r="A7" s="13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14">
        <v>45262</v>
      </c>
      <c r="B8" s="13">
        <v>1825</v>
      </c>
      <c r="C8" s="13" t="s">
        <v>131</v>
      </c>
      <c r="D8" s="15">
        <v>120000</v>
      </c>
      <c r="E8" s="15">
        <v>120000</v>
      </c>
      <c r="F8" s="15">
        <v>480000</v>
      </c>
    </row>
    <row r="9" spans="1:6" x14ac:dyDescent="0.35">
      <c r="A9" s="13" t="s">
        <v>125</v>
      </c>
      <c r="B9" s="13">
        <v>27</v>
      </c>
      <c r="C9" s="13" t="s">
        <v>24</v>
      </c>
      <c r="D9" s="15">
        <v>10000</v>
      </c>
      <c r="E9" s="15">
        <f>SUM(E8+D9)</f>
        <v>130000</v>
      </c>
      <c r="F9" s="15">
        <f>F8-D9</f>
        <v>470000</v>
      </c>
    </row>
    <row r="10" spans="1:6" x14ac:dyDescent="0.35">
      <c r="A10" s="13" t="s">
        <v>126</v>
      </c>
      <c r="B10" s="13">
        <v>1992</v>
      </c>
      <c r="C10" s="13" t="s">
        <v>59</v>
      </c>
      <c r="D10" s="15">
        <v>10000</v>
      </c>
      <c r="E10" s="15">
        <f t="shared" ref="E10:E41" si="0">SUM(E9+D10)</f>
        <v>140000</v>
      </c>
      <c r="F10" s="15">
        <f t="shared" ref="F10:F41" si="1">F9-D10</f>
        <v>460000</v>
      </c>
    </row>
    <row r="11" spans="1:6" x14ac:dyDescent="0.35">
      <c r="A11" s="14">
        <v>45112</v>
      </c>
      <c r="B11" s="13">
        <v>714</v>
      </c>
      <c r="C11" s="13" t="s">
        <v>59</v>
      </c>
      <c r="D11" s="15">
        <v>10000</v>
      </c>
      <c r="E11" s="15">
        <f t="shared" si="0"/>
        <v>150000</v>
      </c>
      <c r="F11" s="15">
        <f t="shared" si="1"/>
        <v>450000</v>
      </c>
    </row>
    <row r="12" spans="1:6" x14ac:dyDescent="0.35">
      <c r="A12" s="13" t="s">
        <v>127</v>
      </c>
      <c r="B12" s="13">
        <v>512</v>
      </c>
      <c r="C12" s="13" t="s">
        <v>59</v>
      </c>
      <c r="D12" s="15">
        <v>10000</v>
      </c>
      <c r="E12" s="15">
        <f t="shared" si="0"/>
        <v>160000</v>
      </c>
      <c r="F12" s="15">
        <f t="shared" si="1"/>
        <v>440000</v>
      </c>
    </row>
    <row r="13" spans="1:6" x14ac:dyDescent="0.35">
      <c r="A13" s="13" t="s">
        <v>128</v>
      </c>
      <c r="B13" s="13">
        <v>2830</v>
      </c>
      <c r="C13" s="13" t="s">
        <v>59</v>
      </c>
      <c r="D13" s="15">
        <v>10000</v>
      </c>
      <c r="E13" s="15">
        <f t="shared" si="0"/>
        <v>170000</v>
      </c>
      <c r="F13" s="15">
        <f t="shared" si="1"/>
        <v>430000</v>
      </c>
    </row>
    <row r="14" spans="1:6" x14ac:dyDescent="0.35">
      <c r="A14" s="13" t="s">
        <v>129</v>
      </c>
      <c r="B14" s="13">
        <v>3020</v>
      </c>
      <c r="C14" s="13" t="s">
        <v>59</v>
      </c>
      <c r="D14" s="15">
        <v>10000</v>
      </c>
      <c r="E14" s="15">
        <f t="shared" si="0"/>
        <v>180000</v>
      </c>
      <c r="F14" s="15">
        <f t="shared" si="1"/>
        <v>420000</v>
      </c>
    </row>
    <row r="15" spans="1:6" x14ac:dyDescent="0.35">
      <c r="A15" s="13" t="s">
        <v>130</v>
      </c>
      <c r="B15" s="13">
        <v>3650</v>
      </c>
      <c r="C15" s="13" t="s">
        <v>59</v>
      </c>
      <c r="D15" s="15">
        <v>10000</v>
      </c>
      <c r="E15" s="15">
        <f t="shared" si="0"/>
        <v>190000</v>
      </c>
      <c r="F15" s="15">
        <f t="shared" si="1"/>
        <v>410000</v>
      </c>
    </row>
    <row r="16" spans="1:6" x14ac:dyDescent="0.35">
      <c r="A16" s="14">
        <v>45270</v>
      </c>
      <c r="B16" s="13">
        <v>4242</v>
      </c>
      <c r="C16" s="13" t="s">
        <v>59</v>
      </c>
      <c r="D16" s="15">
        <v>10000</v>
      </c>
      <c r="E16" s="15">
        <f t="shared" si="0"/>
        <v>200000</v>
      </c>
      <c r="F16" s="15">
        <f t="shared" si="1"/>
        <v>400000</v>
      </c>
    </row>
    <row r="17" spans="1:6" x14ac:dyDescent="0.35">
      <c r="A17" s="14">
        <v>44969</v>
      </c>
      <c r="B17" s="13">
        <v>5231</v>
      </c>
      <c r="C17" s="13" t="s">
        <v>59</v>
      </c>
      <c r="D17" s="15">
        <v>10000</v>
      </c>
      <c r="E17" s="15">
        <f t="shared" si="0"/>
        <v>210000</v>
      </c>
      <c r="F17" s="15">
        <f t="shared" si="1"/>
        <v>390000</v>
      </c>
    </row>
    <row r="18" spans="1:6" x14ac:dyDescent="0.35">
      <c r="A18" s="14">
        <v>45181</v>
      </c>
      <c r="B18" s="13">
        <v>5384</v>
      </c>
      <c r="C18" s="13" t="s">
        <v>59</v>
      </c>
      <c r="D18" s="15">
        <v>10000</v>
      </c>
      <c r="E18" s="15">
        <f t="shared" si="0"/>
        <v>220000</v>
      </c>
      <c r="F18" s="15">
        <f t="shared" si="1"/>
        <v>380000</v>
      </c>
    </row>
    <row r="19" spans="1:6" x14ac:dyDescent="0.35">
      <c r="A19" s="13" t="s">
        <v>132</v>
      </c>
      <c r="B19" s="13">
        <v>6399</v>
      </c>
      <c r="C19" s="13" t="s">
        <v>59</v>
      </c>
      <c r="D19" s="15">
        <v>10000</v>
      </c>
      <c r="E19" s="15">
        <f t="shared" si="0"/>
        <v>230000</v>
      </c>
      <c r="F19" s="15">
        <f t="shared" si="1"/>
        <v>370000</v>
      </c>
    </row>
    <row r="20" spans="1:6" x14ac:dyDescent="0.35">
      <c r="A20" s="14">
        <v>45475</v>
      </c>
      <c r="B20" s="13">
        <v>6561</v>
      </c>
      <c r="C20" s="13" t="s">
        <v>59</v>
      </c>
      <c r="D20" s="15">
        <v>10000</v>
      </c>
      <c r="E20" s="15">
        <f t="shared" si="0"/>
        <v>240000</v>
      </c>
      <c r="F20" s="15">
        <f t="shared" si="1"/>
        <v>360000</v>
      </c>
    </row>
    <row r="21" spans="1:6" x14ac:dyDescent="0.35">
      <c r="A21" s="14">
        <v>45629</v>
      </c>
      <c r="B21" s="13">
        <v>7324</v>
      </c>
      <c r="C21" s="13" t="s">
        <v>59</v>
      </c>
      <c r="D21" s="15">
        <v>10000</v>
      </c>
      <c r="E21" s="15">
        <f t="shared" si="0"/>
        <v>250000</v>
      </c>
      <c r="F21" s="15">
        <f t="shared" si="1"/>
        <v>350000</v>
      </c>
    </row>
    <row r="22" spans="1:6" x14ac:dyDescent="0.35">
      <c r="A22" s="14">
        <v>45355</v>
      </c>
      <c r="B22" s="13">
        <v>7672</v>
      </c>
      <c r="C22" s="13" t="s">
        <v>59</v>
      </c>
      <c r="D22" s="15">
        <v>10000</v>
      </c>
      <c r="E22" s="15">
        <f t="shared" si="0"/>
        <v>260000</v>
      </c>
      <c r="F22" s="15">
        <f t="shared" si="1"/>
        <v>340000</v>
      </c>
    </row>
    <row r="23" spans="1:6" x14ac:dyDescent="0.35">
      <c r="A23" s="14">
        <v>45540</v>
      </c>
      <c r="B23" s="13">
        <v>8364</v>
      </c>
      <c r="C23" s="13" t="s">
        <v>59</v>
      </c>
      <c r="D23" s="15">
        <v>10000</v>
      </c>
      <c r="E23" s="15">
        <f t="shared" si="0"/>
        <v>270000</v>
      </c>
      <c r="F23" s="15">
        <f t="shared" si="1"/>
        <v>330000</v>
      </c>
    </row>
    <row r="24" spans="1:6" x14ac:dyDescent="0.35">
      <c r="A24" s="14">
        <v>45418</v>
      </c>
      <c r="B24" s="13">
        <v>8858</v>
      </c>
      <c r="C24" s="13" t="s">
        <v>59</v>
      </c>
      <c r="D24" s="15">
        <v>10000</v>
      </c>
      <c r="E24" s="15">
        <f t="shared" si="0"/>
        <v>280000</v>
      </c>
      <c r="F24" s="15">
        <f t="shared" si="1"/>
        <v>320000</v>
      </c>
    </row>
    <row r="25" spans="1:6" x14ac:dyDescent="0.35">
      <c r="A25" s="14">
        <v>45480</v>
      </c>
      <c r="B25" s="13">
        <v>9425</v>
      </c>
      <c r="C25" s="13" t="s">
        <v>59</v>
      </c>
      <c r="D25" s="15">
        <v>10000</v>
      </c>
      <c r="E25" s="15">
        <f t="shared" si="0"/>
        <v>290000</v>
      </c>
      <c r="F25" s="15">
        <f t="shared" si="1"/>
        <v>310000</v>
      </c>
    </row>
    <row r="26" spans="1:6" x14ac:dyDescent="0.35">
      <c r="A26" s="14">
        <v>45573</v>
      </c>
      <c r="B26" s="13">
        <v>11020</v>
      </c>
      <c r="C26" s="13" t="s">
        <v>59</v>
      </c>
      <c r="D26" s="15">
        <v>10000</v>
      </c>
      <c r="E26" s="15">
        <f t="shared" si="0"/>
        <v>300000</v>
      </c>
      <c r="F26" s="15">
        <f t="shared" si="1"/>
        <v>300000</v>
      </c>
    </row>
    <row r="27" spans="1:6" x14ac:dyDescent="0.35">
      <c r="A27" s="14">
        <v>45513</v>
      </c>
      <c r="B27" s="13">
        <v>10602</v>
      </c>
      <c r="C27" s="13" t="s">
        <v>59</v>
      </c>
      <c r="D27" s="15">
        <v>10000</v>
      </c>
      <c r="E27" s="15">
        <f t="shared" si="0"/>
        <v>310000</v>
      </c>
      <c r="F27" s="15">
        <f t="shared" si="1"/>
        <v>290000</v>
      </c>
    </row>
    <row r="28" spans="1:6" x14ac:dyDescent="0.35">
      <c r="A28" s="14">
        <v>45545</v>
      </c>
      <c r="B28" s="13">
        <v>11325</v>
      </c>
      <c r="C28" s="13" t="s">
        <v>59</v>
      </c>
      <c r="D28" s="15">
        <v>10000</v>
      </c>
      <c r="E28" s="15">
        <f t="shared" si="0"/>
        <v>320000</v>
      </c>
      <c r="F28" s="15">
        <f t="shared" si="1"/>
        <v>280000</v>
      </c>
    </row>
    <row r="29" spans="1:6" x14ac:dyDescent="0.35">
      <c r="A29" s="14">
        <v>45394</v>
      </c>
      <c r="B29" s="13">
        <v>12574</v>
      </c>
      <c r="C29" s="13" t="s">
        <v>59</v>
      </c>
      <c r="D29" s="15">
        <v>20000</v>
      </c>
      <c r="E29" s="15">
        <f t="shared" si="0"/>
        <v>340000</v>
      </c>
      <c r="F29" s="15">
        <f t="shared" si="1"/>
        <v>260000</v>
      </c>
    </row>
    <row r="30" spans="1:6" x14ac:dyDescent="0.35">
      <c r="A30" s="14">
        <v>45839</v>
      </c>
      <c r="B30" s="13">
        <v>12963</v>
      </c>
      <c r="C30" s="13" t="s">
        <v>59</v>
      </c>
      <c r="D30" s="15">
        <v>10000</v>
      </c>
      <c r="E30" s="15">
        <f t="shared" si="0"/>
        <v>350000</v>
      </c>
      <c r="F30" s="15">
        <f t="shared" si="1"/>
        <v>250000</v>
      </c>
    </row>
    <row r="31" spans="1:6" x14ac:dyDescent="0.35">
      <c r="A31" s="14">
        <v>45871</v>
      </c>
      <c r="B31" s="13">
        <v>9266</v>
      </c>
      <c r="C31" s="13" t="s">
        <v>59</v>
      </c>
      <c r="D31" s="15">
        <v>10000</v>
      </c>
      <c r="E31" s="15">
        <f t="shared" si="0"/>
        <v>360000</v>
      </c>
      <c r="F31" s="15">
        <f t="shared" si="1"/>
        <v>240000</v>
      </c>
    </row>
    <row r="32" spans="1:6" x14ac:dyDescent="0.35">
      <c r="A32" s="14">
        <v>45964</v>
      </c>
      <c r="B32" s="13">
        <v>9717</v>
      </c>
      <c r="C32" s="13" t="s">
        <v>59</v>
      </c>
      <c r="D32" s="15">
        <v>10000</v>
      </c>
      <c r="E32" s="15">
        <f t="shared" si="0"/>
        <v>370000</v>
      </c>
      <c r="F32" s="15">
        <f t="shared" si="1"/>
        <v>230000</v>
      </c>
    </row>
    <row r="33" spans="1:6" x14ac:dyDescent="0.35">
      <c r="A33" s="14">
        <v>45842</v>
      </c>
      <c r="B33" s="13">
        <v>9964</v>
      </c>
      <c r="C33" s="13" t="s">
        <v>59</v>
      </c>
      <c r="D33" s="15">
        <v>10000</v>
      </c>
      <c r="E33" s="15">
        <f t="shared" si="0"/>
        <v>380000</v>
      </c>
      <c r="F33" s="15">
        <f t="shared" si="1"/>
        <v>220000</v>
      </c>
    </row>
    <row r="34" spans="1:6" x14ac:dyDescent="0.35">
      <c r="A34" s="13" t="s">
        <v>133</v>
      </c>
      <c r="B34" s="13">
        <v>10997</v>
      </c>
      <c r="C34" s="13" t="s">
        <v>59</v>
      </c>
      <c r="D34" s="15">
        <v>10000</v>
      </c>
      <c r="E34" s="15">
        <f t="shared" si="0"/>
        <v>390000</v>
      </c>
      <c r="F34" s="15">
        <f t="shared" si="1"/>
        <v>210000</v>
      </c>
    </row>
    <row r="35" spans="1:6" x14ac:dyDescent="0.35">
      <c r="A35" s="14">
        <v>45876</v>
      </c>
      <c r="B35" s="13">
        <v>12809</v>
      </c>
      <c r="C35" s="13" t="s">
        <v>59</v>
      </c>
      <c r="D35" s="15">
        <v>10000</v>
      </c>
      <c r="E35" s="15">
        <f t="shared" si="0"/>
        <v>400000</v>
      </c>
      <c r="F35" s="15">
        <f t="shared" si="1"/>
        <v>200000</v>
      </c>
    </row>
    <row r="36" spans="1:6" x14ac:dyDescent="0.35">
      <c r="A36" s="14">
        <v>45877</v>
      </c>
      <c r="B36" s="13">
        <v>12431</v>
      </c>
      <c r="C36" s="13" t="s">
        <v>59</v>
      </c>
      <c r="D36" s="15">
        <v>10000</v>
      </c>
      <c r="E36" s="15">
        <f t="shared" si="0"/>
        <v>410000</v>
      </c>
      <c r="F36" s="15">
        <f t="shared" si="1"/>
        <v>190000</v>
      </c>
    </row>
    <row r="37" spans="1:6" x14ac:dyDescent="0.35">
      <c r="A37" s="13" t="s">
        <v>134</v>
      </c>
      <c r="B37" s="13">
        <v>13918</v>
      </c>
      <c r="C37" s="13" t="s">
        <v>59</v>
      </c>
      <c r="D37" s="15">
        <v>10000</v>
      </c>
      <c r="E37" s="15">
        <f t="shared" si="0"/>
        <v>420000</v>
      </c>
      <c r="F37" s="15">
        <f t="shared" si="1"/>
        <v>180000</v>
      </c>
    </row>
    <row r="38" spans="1:6" x14ac:dyDescent="0.35">
      <c r="A38" s="14">
        <v>45787</v>
      </c>
      <c r="B38" s="13">
        <v>13880</v>
      </c>
      <c r="C38" s="13" t="s">
        <v>59</v>
      </c>
      <c r="D38" s="15">
        <v>10000</v>
      </c>
      <c r="E38" s="15">
        <f t="shared" si="0"/>
        <v>430000</v>
      </c>
      <c r="F38" s="15">
        <f t="shared" si="1"/>
        <v>170000</v>
      </c>
    </row>
    <row r="39" spans="1:6" x14ac:dyDescent="0.35">
      <c r="A39" s="13" t="s">
        <v>135</v>
      </c>
      <c r="B39" s="13">
        <v>13323</v>
      </c>
      <c r="C39" s="13" t="s">
        <v>59</v>
      </c>
      <c r="D39" s="15">
        <v>10000</v>
      </c>
      <c r="E39" s="15">
        <f t="shared" si="0"/>
        <v>440000</v>
      </c>
      <c r="F39" s="15">
        <f t="shared" si="1"/>
        <v>160000</v>
      </c>
    </row>
    <row r="40" spans="1:6" x14ac:dyDescent="0.35">
      <c r="A40" s="14">
        <v>45820</v>
      </c>
      <c r="B40" s="13">
        <v>13289</v>
      </c>
      <c r="C40" s="13" t="s">
        <v>59</v>
      </c>
      <c r="D40" s="15">
        <v>10000</v>
      </c>
      <c r="E40" s="15">
        <f t="shared" si="0"/>
        <v>450000</v>
      </c>
      <c r="F40" s="15">
        <f t="shared" si="1"/>
        <v>150000</v>
      </c>
    </row>
    <row r="41" spans="1:6" x14ac:dyDescent="0.35">
      <c r="A41" s="14">
        <v>46113</v>
      </c>
      <c r="B41" s="13">
        <v>13882</v>
      </c>
      <c r="C41" s="13" t="s">
        <v>59</v>
      </c>
      <c r="D41" s="15">
        <v>10000</v>
      </c>
      <c r="E41" s="15">
        <f t="shared" si="0"/>
        <v>460000</v>
      </c>
      <c r="F41" s="15">
        <f t="shared" si="1"/>
        <v>140000</v>
      </c>
    </row>
    <row r="42" spans="1:6" x14ac:dyDescent="0.35">
      <c r="A42" s="14">
        <v>46205</v>
      </c>
      <c r="B42" s="13">
        <v>12385</v>
      </c>
      <c r="C42" s="13" t="s">
        <v>59</v>
      </c>
      <c r="D42" s="15">
        <v>10000</v>
      </c>
      <c r="E42" s="15">
        <f>SUM(E41+D42)</f>
        <v>470000</v>
      </c>
      <c r="F42" s="15">
        <f t="shared" ref="F42:F48" si="2">F41-D42</f>
        <v>130000</v>
      </c>
    </row>
    <row r="43" spans="1:6" x14ac:dyDescent="0.35">
      <c r="A43" s="14" t="s">
        <v>469</v>
      </c>
      <c r="B43" s="13">
        <v>12746</v>
      </c>
      <c r="C43" s="13" t="s">
        <v>59</v>
      </c>
      <c r="D43" s="15">
        <v>10000</v>
      </c>
      <c r="E43" s="15">
        <f t="shared" ref="E43:E48" si="3">E42+D43</f>
        <v>480000</v>
      </c>
      <c r="F43" s="15">
        <f t="shared" si="2"/>
        <v>120000</v>
      </c>
    </row>
    <row r="44" spans="1:6" x14ac:dyDescent="0.35">
      <c r="A44" s="14">
        <v>46146</v>
      </c>
      <c r="B44" s="13">
        <v>13121</v>
      </c>
      <c r="C44" s="13" t="s">
        <v>59</v>
      </c>
      <c r="D44" s="15">
        <v>10000</v>
      </c>
      <c r="E44" s="15">
        <f t="shared" si="3"/>
        <v>490000</v>
      </c>
      <c r="F44" s="15">
        <f t="shared" si="2"/>
        <v>110000</v>
      </c>
    </row>
    <row r="45" spans="1:6" x14ac:dyDescent="0.35">
      <c r="A45" s="13" t="s">
        <v>468</v>
      </c>
      <c r="B45" s="13">
        <v>13446</v>
      </c>
      <c r="C45" s="13" t="s">
        <v>59</v>
      </c>
      <c r="D45" s="15">
        <v>10000</v>
      </c>
      <c r="E45" s="15">
        <f t="shared" si="3"/>
        <v>500000</v>
      </c>
      <c r="F45" s="15">
        <f t="shared" si="2"/>
        <v>100000</v>
      </c>
    </row>
    <row r="46" spans="1:6" x14ac:dyDescent="0.35">
      <c r="A46" s="13" t="s">
        <v>505</v>
      </c>
      <c r="B46" s="13">
        <v>13507</v>
      </c>
      <c r="C46" s="13" t="s">
        <v>59</v>
      </c>
      <c r="D46" s="15">
        <v>10000</v>
      </c>
      <c r="E46" s="15">
        <f t="shared" si="3"/>
        <v>510000</v>
      </c>
      <c r="F46" s="15">
        <f t="shared" si="2"/>
        <v>90000</v>
      </c>
    </row>
    <row r="47" spans="1:6" x14ac:dyDescent="0.35">
      <c r="A47" s="13" t="s">
        <v>569</v>
      </c>
      <c r="B47" s="13">
        <v>1420</v>
      </c>
      <c r="C47" s="13" t="s">
        <v>59</v>
      </c>
      <c r="D47" s="15">
        <v>10000</v>
      </c>
      <c r="E47" s="15">
        <f t="shared" si="3"/>
        <v>520000</v>
      </c>
      <c r="F47" s="15">
        <f t="shared" si="2"/>
        <v>80000</v>
      </c>
    </row>
    <row r="48" spans="1:6" x14ac:dyDescent="0.35">
      <c r="A48" s="14">
        <v>46120</v>
      </c>
      <c r="B48" s="13">
        <v>1635</v>
      </c>
      <c r="C48" s="13" t="s">
        <v>59</v>
      </c>
      <c r="D48" s="15">
        <v>10000</v>
      </c>
      <c r="E48" s="15">
        <f t="shared" si="3"/>
        <v>530000</v>
      </c>
      <c r="F48" s="15">
        <f t="shared" si="2"/>
        <v>70000</v>
      </c>
    </row>
    <row r="49" spans="1:6" x14ac:dyDescent="0.35">
      <c r="A49" s="14">
        <v>46062</v>
      </c>
      <c r="B49" s="13">
        <v>1888</v>
      </c>
      <c r="C49" s="13" t="s">
        <v>59</v>
      </c>
      <c r="D49" s="15">
        <v>10000</v>
      </c>
      <c r="E49" s="15">
        <f>E48+D49</f>
        <v>540000</v>
      </c>
      <c r="F49" s="15">
        <f>F48-D49</f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51"/>
  <sheetViews>
    <sheetView topLeftCell="A41" workbookViewId="0">
      <selection activeCell="E53" sqref="E53"/>
    </sheetView>
  </sheetViews>
  <sheetFormatPr defaultRowHeight="14.5" x14ac:dyDescent="0.35"/>
  <cols>
    <col min="1" max="1" width="10.453125" bestFit="1" customWidth="1"/>
    <col min="6" max="6" width="11" customWidth="1"/>
  </cols>
  <sheetData>
    <row r="1" spans="1:6" ht="18.5" x14ac:dyDescent="0.45">
      <c r="A1" s="1" t="s">
        <v>136</v>
      </c>
      <c r="B1" s="1"/>
      <c r="C1" s="1"/>
      <c r="D1" s="1"/>
      <c r="E1" s="1"/>
      <c r="F1" s="1"/>
    </row>
    <row r="2" spans="1:6" ht="18.5" x14ac:dyDescent="0.45">
      <c r="A2" s="1" t="s">
        <v>119</v>
      </c>
      <c r="C2" s="1"/>
      <c r="D2" s="1"/>
      <c r="E2" s="1"/>
      <c r="F2" s="1"/>
    </row>
    <row r="3" spans="1:6" ht="18.5" x14ac:dyDescent="0.45">
      <c r="A3" s="1" t="s">
        <v>137</v>
      </c>
      <c r="B3" s="1"/>
      <c r="C3" s="1"/>
      <c r="D3" s="1"/>
      <c r="E3" s="1"/>
      <c r="F3" s="1"/>
    </row>
    <row r="4" spans="1:6" ht="18.5" x14ac:dyDescent="0.45">
      <c r="A4" s="1" t="s">
        <v>140</v>
      </c>
      <c r="B4" s="1" t="s">
        <v>506</v>
      </c>
      <c r="C4" s="1"/>
      <c r="D4" s="1"/>
      <c r="E4" s="1"/>
      <c r="F4" s="1"/>
    </row>
    <row r="5" spans="1:6" ht="18.5" x14ac:dyDescent="0.45">
      <c r="A5" s="1" t="s">
        <v>138</v>
      </c>
      <c r="B5" s="1"/>
      <c r="C5" s="1"/>
      <c r="D5" s="1"/>
      <c r="E5" s="1"/>
      <c r="F5" s="1"/>
    </row>
    <row r="6" spans="1:6" ht="18.5" x14ac:dyDescent="0.45">
      <c r="A6" s="1" t="s">
        <v>139</v>
      </c>
      <c r="B6" s="1"/>
      <c r="C6" s="1"/>
      <c r="D6" s="1" t="s">
        <v>123</v>
      </c>
      <c r="F6" s="1"/>
    </row>
    <row r="7" spans="1:6" x14ac:dyDescent="0.35">
      <c r="A7" s="13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14">
        <v>44958</v>
      </c>
      <c r="B8" s="13">
        <v>1826</v>
      </c>
      <c r="C8" s="13" t="s">
        <v>141</v>
      </c>
      <c r="D8" s="15">
        <v>100000</v>
      </c>
      <c r="E8" s="15">
        <v>100000</v>
      </c>
      <c r="F8" s="15">
        <v>500000</v>
      </c>
    </row>
    <row r="9" spans="1:6" x14ac:dyDescent="0.35">
      <c r="A9" s="13" t="s">
        <v>125</v>
      </c>
      <c r="B9" s="13">
        <v>28</v>
      </c>
      <c r="C9" s="13" t="s">
        <v>24</v>
      </c>
      <c r="D9" s="15">
        <v>10000</v>
      </c>
      <c r="E9" s="15">
        <f>SUM(E8+D9)</f>
        <v>110000</v>
      </c>
      <c r="F9" s="15">
        <f>F8-D9</f>
        <v>490000</v>
      </c>
    </row>
    <row r="10" spans="1:6" x14ac:dyDescent="0.35">
      <c r="A10" s="14">
        <v>45263</v>
      </c>
      <c r="B10" s="13">
        <v>1530</v>
      </c>
      <c r="C10" s="13" t="s">
        <v>59</v>
      </c>
      <c r="D10" s="15">
        <v>20000</v>
      </c>
      <c r="E10" s="15">
        <f t="shared" ref="E10:E46" si="0">SUM(E9+D10)</f>
        <v>130000</v>
      </c>
      <c r="F10" s="15">
        <f t="shared" ref="F10:F46" si="1">F9-D10</f>
        <v>470000</v>
      </c>
    </row>
    <row r="11" spans="1:6" x14ac:dyDescent="0.35">
      <c r="A11" s="13" t="s">
        <v>126</v>
      </c>
      <c r="B11" s="13">
        <v>1991</v>
      </c>
      <c r="C11" s="13" t="s">
        <v>59</v>
      </c>
      <c r="D11" s="15">
        <v>10000</v>
      </c>
      <c r="E11" s="15">
        <f t="shared" si="0"/>
        <v>140000</v>
      </c>
      <c r="F11" s="15">
        <f t="shared" si="1"/>
        <v>460000</v>
      </c>
    </row>
    <row r="12" spans="1:6" x14ac:dyDescent="0.35">
      <c r="A12" s="14">
        <v>45112</v>
      </c>
      <c r="B12" s="13">
        <v>713</v>
      </c>
      <c r="C12" s="13" t="s">
        <v>59</v>
      </c>
      <c r="D12" s="15">
        <v>10000</v>
      </c>
      <c r="E12" s="15">
        <f t="shared" si="0"/>
        <v>150000</v>
      </c>
      <c r="F12" s="15">
        <f t="shared" si="1"/>
        <v>450000</v>
      </c>
    </row>
    <row r="13" spans="1:6" x14ac:dyDescent="0.35">
      <c r="A13" s="13" t="s">
        <v>127</v>
      </c>
      <c r="B13" s="13">
        <v>511</v>
      </c>
      <c r="C13" s="13" t="s">
        <v>59</v>
      </c>
      <c r="D13" s="15">
        <v>10000</v>
      </c>
      <c r="E13" s="15">
        <f t="shared" si="0"/>
        <v>160000</v>
      </c>
      <c r="F13" s="15">
        <f t="shared" si="1"/>
        <v>440000</v>
      </c>
    </row>
    <row r="14" spans="1:6" x14ac:dyDescent="0.35">
      <c r="A14" s="14" t="s">
        <v>128</v>
      </c>
      <c r="B14" s="13">
        <v>2831</v>
      </c>
      <c r="C14" s="13" t="s">
        <v>59</v>
      </c>
      <c r="D14" s="15">
        <v>10000</v>
      </c>
      <c r="E14" s="15">
        <f t="shared" si="0"/>
        <v>170000</v>
      </c>
      <c r="F14" s="15">
        <f t="shared" si="1"/>
        <v>430000</v>
      </c>
    </row>
    <row r="15" spans="1:6" x14ac:dyDescent="0.35">
      <c r="A15" s="14">
        <v>45115</v>
      </c>
      <c r="B15" s="13">
        <v>3021</v>
      </c>
      <c r="C15" s="13" t="s">
        <v>59</v>
      </c>
      <c r="D15" s="15">
        <v>10000</v>
      </c>
      <c r="E15" s="15">
        <f t="shared" si="0"/>
        <v>180000</v>
      </c>
      <c r="F15" s="15">
        <f t="shared" si="1"/>
        <v>420000</v>
      </c>
    </row>
    <row r="16" spans="1:6" x14ac:dyDescent="0.35">
      <c r="A16" s="14">
        <v>45086</v>
      </c>
      <c r="B16" s="13">
        <v>3651</v>
      </c>
      <c r="C16" s="13" t="s">
        <v>59</v>
      </c>
      <c r="D16" s="15">
        <v>10000</v>
      </c>
      <c r="E16" s="15">
        <f t="shared" si="0"/>
        <v>190000</v>
      </c>
      <c r="F16" s="15">
        <f t="shared" si="1"/>
        <v>410000</v>
      </c>
    </row>
    <row r="17" spans="1:6" x14ac:dyDescent="0.35">
      <c r="A17" s="14">
        <v>44936</v>
      </c>
      <c r="B17" s="13">
        <v>4241</v>
      </c>
      <c r="C17" s="13" t="s">
        <v>59</v>
      </c>
      <c r="D17" s="15">
        <v>10000</v>
      </c>
      <c r="E17" s="15">
        <f t="shared" si="0"/>
        <v>200000</v>
      </c>
      <c r="F17" s="15">
        <f t="shared" si="1"/>
        <v>400000</v>
      </c>
    </row>
    <row r="18" spans="1:6" x14ac:dyDescent="0.35">
      <c r="A18" s="14">
        <v>44937</v>
      </c>
      <c r="B18" s="13">
        <v>4967</v>
      </c>
      <c r="C18" s="13" t="s">
        <v>59</v>
      </c>
      <c r="D18" s="15">
        <v>10000</v>
      </c>
      <c r="E18" s="15">
        <f t="shared" si="0"/>
        <v>210000</v>
      </c>
      <c r="F18" s="15">
        <f t="shared" si="1"/>
        <v>390000</v>
      </c>
    </row>
    <row r="19" spans="1:6" x14ac:dyDescent="0.35">
      <c r="A19" s="14">
        <v>45211</v>
      </c>
      <c r="B19" s="13">
        <v>5308</v>
      </c>
      <c r="C19" s="13" t="s">
        <v>59</v>
      </c>
      <c r="D19" s="15">
        <v>10000</v>
      </c>
      <c r="E19" s="15">
        <f t="shared" si="0"/>
        <v>220000</v>
      </c>
      <c r="F19" s="15">
        <f t="shared" si="1"/>
        <v>380000</v>
      </c>
    </row>
    <row r="20" spans="1:6" x14ac:dyDescent="0.35">
      <c r="A20" s="13" t="s">
        <v>142</v>
      </c>
      <c r="B20" s="13">
        <v>6376</v>
      </c>
      <c r="C20" s="13" t="s">
        <v>59</v>
      </c>
      <c r="D20" s="15">
        <v>10000</v>
      </c>
      <c r="E20" s="15">
        <f t="shared" si="0"/>
        <v>230000</v>
      </c>
      <c r="F20" s="15">
        <f t="shared" si="1"/>
        <v>370000</v>
      </c>
    </row>
    <row r="21" spans="1:6" x14ac:dyDescent="0.35">
      <c r="A21" s="14">
        <v>45445</v>
      </c>
      <c r="B21" s="13">
        <v>6545</v>
      </c>
      <c r="C21" s="13" t="s">
        <v>59</v>
      </c>
      <c r="D21" s="15">
        <v>10000</v>
      </c>
      <c r="E21" s="15">
        <f t="shared" si="0"/>
        <v>240000</v>
      </c>
      <c r="F21" s="15">
        <f t="shared" si="1"/>
        <v>360000</v>
      </c>
    </row>
    <row r="22" spans="1:6" x14ac:dyDescent="0.35">
      <c r="A22" s="14">
        <v>45446</v>
      </c>
      <c r="B22" s="13">
        <v>6901</v>
      </c>
      <c r="C22" s="13" t="s">
        <v>59</v>
      </c>
      <c r="D22" s="15">
        <v>10000</v>
      </c>
      <c r="E22" s="15">
        <f t="shared" si="0"/>
        <v>250000</v>
      </c>
      <c r="F22" s="15">
        <f t="shared" si="1"/>
        <v>350000</v>
      </c>
    </row>
    <row r="23" spans="1:6" x14ac:dyDescent="0.35">
      <c r="A23" s="13" t="s">
        <v>143</v>
      </c>
      <c r="B23" s="13">
        <v>10604</v>
      </c>
      <c r="C23" s="13" t="s">
        <v>59</v>
      </c>
      <c r="D23" s="15">
        <v>10000</v>
      </c>
      <c r="E23" s="15">
        <f t="shared" si="0"/>
        <v>260000</v>
      </c>
      <c r="F23" s="15">
        <f t="shared" si="1"/>
        <v>340000</v>
      </c>
    </row>
    <row r="24" spans="1:6" x14ac:dyDescent="0.35">
      <c r="A24" s="14">
        <v>45448</v>
      </c>
      <c r="B24" s="13">
        <v>8270</v>
      </c>
      <c r="C24" s="13" t="s">
        <v>59</v>
      </c>
      <c r="D24" s="15">
        <v>10000</v>
      </c>
      <c r="E24" s="15">
        <f t="shared" si="0"/>
        <v>270000</v>
      </c>
      <c r="F24" s="15">
        <f t="shared" si="1"/>
        <v>330000</v>
      </c>
    </row>
    <row r="25" spans="1:6" x14ac:dyDescent="0.35">
      <c r="A25" s="14">
        <v>45479</v>
      </c>
      <c r="B25" s="13">
        <v>8819</v>
      </c>
      <c r="C25" s="13" t="s">
        <v>59</v>
      </c>
      <c r="D25" s="15">
        <v>10000</v>
      </c>
      <c r="E25" s="15">
        <f t="shared" si="0"/>
        <v>280000</v>
      </c>
      <c r="F25" s="15">
        <f t="shared" si="1"/>
        <v>320000</v>
      </c>
    </row>
    <row r="26" spans="1:6" x14ac:dyDescent="0.35">
      <c r="A26" s="14">
        <v>45511</v>
      </c>
      <c r="B26" s="13">
        <v>9439</v>
      </c>
      <c r="C26" s="13" t="s">
        <v>59</v>
      </c>
      <c r="D26" s="15">
        <v>10000</v>
      </c>
      <c r="E26" s="15">
        <f t="shared" si="0"/>
        <v>290000</v>
      </c>
      <c r="F26" s="15">
        <f t="shared" si="1"/>
        <v>310000</v>
      </c>
    </row>
    <row r="27" spans="1:6" x14ac:dyDescent="0.35">
      <c r="A27" s="14">
        <v>45573</v>
      </c>
      <c r="B27" s="13">
        <v>11019</v>
      </c>
      <c r="C27" s="13" t="s">
        <v>59</v>
      </c>
      <c r="D27" s="15">
        <v>10000</v>
      </c>
      <c r="E27" s="15">
        <f t="shared" si="0"/>
        <v>300000</v>
      </c>
      <c r="F27" s="15">
        <f t="shared" si="1"/>
        <v>300000</v>
      </c>
    </row>
    <row r="28" spans="1:6" x14ac:dyDescent="0.35">
      <c r="A28" s="14">
        <v>45513</v>
      </c>
      <c r="B28" s="13">
        <v>10603</v>
      </c>
      <c r="C28" s="13" t="s">
        <v>59</v>
      </c>
      <c r="D28" s="15">
        <v>10000</v>
      </c>
      <c r="E28" s="15">
        <f t="shared" si="0"/>
        <v>310000</v>
      </c>
      <c r="F28" s="15">
        <f t="shared" si="1"/>
        <v>290000</v>
      </c>
    </row>
    <row r="29" spans="1:6" x14ac:dyDescent="0.35">
      <c r="A29" s="14">
        <v>45483</v>
      </c>
      <c r="B29" s="13">
        <v>11465</v>
      </c>
      <c r="C29" s="13" t="s">
        <v>59</v>
      </c>
      <c r="D29" s="15">
        <v>10000</v>
      </c>
      <c r="E29" s="15">
        <f t="shared" si="0"/>
        <v>320000</v>
      </c>
      <c r="F29" s="15">
        <f t="shared" si="1"/>
        <v>280000</v>
      </c>
    </row>
    <row r="30" spans="1:6" x14ac:dyDescent="0.35">
      <c r="A30" s="14">
        <v>45607</v>
      </c>
      <c r="B30" s="13">
        <v>10917</v>
      </c>
      <c r="C30" s="13" t="s">
        <v>59</v>
      </c>
      <c r="D30" s="15">
        <v>10000</v>
      </c>
      <c r="E30" s="15">
        <f t="shared" si="0"/>
        <v>330000</v>
      </c>
      <c r="F30" s="15">
        <f t="shared" si="1"/>
        <v>270000</v>
      </c>
    </row>
    <row r="31" spans="1:6" x14ac:dyDescent="0.35">
      <c r="A31" s="14">
        <v>45547</v>
      </c>
      <c r="B31" s="13">
        <v>12271</v>
      </c>
      <c r="C31" s="13" t="s">
        <v>59</v>
      </c>
      <c r="D31" s="15">
        <v>10000</v>
      </c>
      <c r="E31" s="15">
        <f t="shared" si="0"/>
        <v>340000</v>
      </c>
      <c r="F31" s="15">
        <f t="shared" si="1"/>
        <v>260000</v>
      </c>
    </row>
    <row r="32" spans="1:6" x14ac:dyDescent="0.35">
      <c r="A32" s="14">
        <v>45689</v>
      </c>
      <c r="B32" s="13">
        <v>12864</v>
      </c>
      <c r="C32" s="13" t="s">
        <v>59</v>
      </c>
      <c r="D32" s="15">
        <v>10000</v>
      </c>
      <c r="E32" s="15">
        <f t="shared" si="0"/>
        <v>350000</v>
      </c>
      <c r="F32" s="15">
        <f t="shared" si="1"/>
        <v>250000</v>
      </c>
    </row>
    <row r="33" spans="1:6" x14ac:dyDescent="0.35">
      <c r="A33" s="14">
        <v>45840</v>
      </c>
      <c r="B33" s="13">
        <v>9247</v>
      </c>
      <c r="C33" s="13" t="s">
        <v>59</v>
      </c>
      <c r="D33" s="15">
        <v>10000</v>
      </c>
      <c r="E33" s="15">
        <f t="shared" si="0"/>
        <v>360000</v>
      </c>
      <c r="F33" s="15">
        <f t="shared" si="1"/>
        <v>240000</v>
      </c>
    </row>
    <row r="34" spans="1:6" x14ac:dyDescent="0.35">
      <c r="A34" s="14">
        <v>45903</v>
      </c>
      <c r="B34" s="13">
        <v>9664</v>
      </c>
      <c r="C34" s="13" t="s">
        <v>59</v>
      </c>
      <c r="D34" s="15">
        <v>10000</v>
      </c>
      <c r="E34" s="15">
        <f t="shared" si="0"/>
        <v>370000</v>
      </c>
      <c r="F34" s="15">
        <f t="shared" si="1"/>
        <v>230000</v>
      </c>
    </row>
    <row r="35" spans="1:6" x14ac:dyDescent="0.35">
      <c r="A35" s="14">
        <v>45842</v>
      </c>
      <c r="B35" s="13">
        <v>9963</v>
      </c>
      <c r="C35" s="13" t="s">
        <v>59</v>
      </c>
      <c r="D35" s="15">
        <v>10000</v>
      </c>
      <c r="E35" s="15">
        <f t="shared" si="0"/>
        <v>380000</v>
      </c>
      <c r="F35" s="15">
        <f t="shared" si="1"/>
        <v>220000</v>
      </c>
    </row>
    <row r="36" spans="1:6" x14ac:dyDescent="0.35">
      <c r="A36" s="14">
        <v>45874</v>
      </c>
      <c r="B36" s="13">
        <v>10373</v>
      </c>
      <c r="C36" s="13" t="s">
        <v>59</v>
      </c>
      <c r="D36" s="15">
        <v>10000</v>
      </c>
      <c r="E36" s="15">
        <f t="shared" si="0"/>
        <v>390000</v>
      </c>
      <c r="F36" s="15">
        <f t="shared" si="1"/>
        <v>210000</v>
      </c>
    </row>
    <row r="37" spans="1:6" x14ac:dyDescent="0.35">
      <c r="A37" s="13" t="s">
        <v>109</v>
      </c>
      <c r="B37" s="13">
        <v>12885</v>
      </c>
      <c r="C37" s="13" t="s">
        <v>59</v>
      </c>
      <c r="D37" s="15">
        <v>10000</v>
      </c>
      <c r="E37" s="15">
        <f t="shared" si="0"/>
        <v>400000</v>
      </c>
      <c r="F37" s="15">
        <f t="shared" si="1"/>
        <v>200000</v>
      </c>
    </row>
    <row r="38" spans="1:6" x14ac:dyDescent="0.35">
      <c r="A38" s="14">
        <v>45845</v>
      </c>
      <c r="B38" s="13">
        <v>12099</v>
      </c>
      <c r="C38" s="13" t="s">
        <v>59</v>
      </c>
      <c r="D38" s="15">
        <v>10000</v>
      </c>
      <c r="E38" s="15">
        <f t="shared" si="0"/>
        <v>410000</v>
      </c>
      <c r="F38" s="15">
        <f t="shared" si="1"/>
        <v>190000</v>
      </c>
    </row>
    <row r="39" spans="1:6" x14ac:dyDescent="0.35">
      <c r="A39" s="14">
        <v>45877</v>
      </c>
      <c r="B39" s="13">
        <v>12432</v>
      </c>
      <c r="C39" s="13" t="s">
        <v>59</v>
      </c>
      <c r="D39" s="15">
        <v>10000</v>
      </c>
      <c r="E39" s="15">
        <f t="shared" si="0"/>
        <v>420000</v>
      </c>
      <c r="F39" s="15">
        <f t="shared" si="1"/>
        <v>180000</v>
      </c>
    </row>
    <row r="40" spans="1:6" x14ac:dyDescent="0.35">
      <c r="A40" s="14">
        <v>45939</v>
      </c>
      <c r="B40" s="13">
        <v>12701</v>
      </c>
      <c r="C40" s="13" t="s">
        <v>59</v>
      </c>
      <c r="D40" s="15">
        <v>10000</v>
      </c>
      <c r="E40" s="15">
        <f t="shared" si="0"/>
        <v>430000</v>
      </c>
      <c r="F40" s="15">
        <f t="shared" si="1"/>
        <v>170000</v>
      </c>
    </row>
    <row r="41" spans="1:6" x14ac:dyDescent="0.35">
      <c r="A41" s="13" t="s">
        <v>144</v>
      </c>
      <c r="B41" s="13">
        <v>13635</v>
      </c>
      <c r="C41" s="13" t="s">
        <v>59</v>
      </c>
      <c r="D41" s="15">
        <v>10000</v>
      </c>
      <c r="E41" s="15">
        <f t="shared" si="0"/>
        <v>440000</v>
      </c>
      <c r="F41" s="15">
        <f t="shared" si="1"/>
        <v>160000</v>
      </c>
    </row>
    <row r="42" spans="1:6" x14ac:dyDescent="0.35">
      <c r="A42" s="13" t="s">
        <v>145</v>
      </c>
      <c r="B42" s="13">
        <v>12678</v>
      </c>
      <c r="C42" s="13" t="s">
        <v>59</v>
      </c>
      <c r="D42" s="15">
        <v>20000</v>
      </c>
      <c r="E42" s="15">
        <f t="shared" si="0"/>
        <v>460000</v>
      </c>
      <c r="F42" s="15">
        <f t="shared" si="1"/>
        <v>140000</v>
      </c>
    </row>
    <row r="43" spans="1:6" x14ac:dyDescent="0.35">
      <c r="A43" s="13" t="s">
        <v>146</v>
      </c>
      <c r="B43" s="13">
        <v>12227</v>
      </c>
      <c r="C43" s="13" t="s">
        <v>59</v>
      </c>
      <c r="D43" s="15">
        <v>10000</v>
      </c>
      <c r="E43" s="15">
        <f t="shared" si="0"/>
        <v>470000</v>
      </c>
      <c r="F43" s="15">
        <f t="shared" si="1"/>
        <v>130000</v>
      </c>
    </row>
    <row r="44" spans="1:6" x14ac:dyDescent="0.35">
      <c r="A44" s="14">
        <v>46205</v>
      </c>
      <c r="B44" s="13">
        <v>13386</v>
      </c>
      <c r="C44" s="13" t="s">
        <v>59</v>
      </c>
      <c r="D44" s="15">
        <v>10000</v>
      </c>
      <c r="E44" s="15">
        <f t="shared" si="0"/>
        <v>480000</v>
      </c>
      <c r="F44" s="15">
        <f t="shared" si="1"/>
        <v>120000</v>
      </c>
    </row>
    <row r="45" spans="1:6" x14ac:dyDescent="0.35">
      <c r="A45" s="14">
        <v>46145</v>
      </c>
      <c r="B45" s="13">
        <v>13747</v>
      </c>
      <c r="C45" s="13" t="s">
        <v>59</v>
      </c>
      <c r="D45" s="15">
        <v>10000</v>
      </c>
      <c r="E45" s="15">
        <f t="shared" si="0"/>
        <v>490000</v>
      </c>
      <c r="F45" s="15">
        <f t="shared" si="1"/>
        <v>110000</v>
      </c>
    </row>
    <row r="46" spans="1:6" x14ac:dyDescent="0.35">
      <c r="A46" s="14">
        <v>46146</v>
      </c>
      <c r="B46" s="13">
        <v>13122</v>
      </c>
      <c r="C46" s="13" t="s">
        <v>59</v>
      </c>
      <c r="D46" s="15">
        <v>10000</v>
      </c>
      <c r="E46" s="15">
        <f t="shared" si="0"/>
        <v>500000</v>
      </c>
      <c r="F46" s="15">
        <f t="shared" si="1"/>
        <v>100000</v>
      </c>
    </row>
    <row r="47" spans="1:6" x14ac:dyDescent="0.35">
      <c r="A47" s="13" t="s">
        <v>504</v>
      </c>
      <c r="B47" s="13">
        <v>12945</v>
      </c>
      <c r="C47" s="13" t="s">
        <v>59</v>
      </c>
      <c r="D47" s="15">
        <v>10000</v>
      </c>
      <c r="E47" s="15">
        <f>E46+D47</f>
        <v>510000</v>
      </c>
      <c r="F47" s="15">
        <f>F46-D47</f>
        <v>90000</v>
      </c>
    </row>
    <row r="48" spans="1:6" x14ac:dyDescent="0.35">
      <c r="A48" s="13" t="s">
        <v>505</v>
      </c>
      <c r="B48" s="13">
        <v>13508</v>
      </c>
      <c r="C48" s="13" t="s">
        <v>59</v>
      </c>
      <c r="D48" s="15">
        <v>10000</v>
      </c>
      <c r="E48" s="15">
        <f>E47+D48</f>
        <v>520000</v>
      </c>
      <c r="F48" s="15">
        <f>F47-D48</f>
        <v>80000</v>
      </c>
    </row>
    <row r="49" spans="1:6" x14ac:dyDescent="0.35">
      <c r="A49" s="14">
        <v>46241</v>
      </c>
      <c r="B49" s="13">
        <v>1421</v>
      </c>
      <c r="C49" s="13" t="s">
        <v>59</v>
      </c>
      <c r="D49" s="15">
        <v>10000</v>
      </c>
      <c r="E49" s="15">
        <f>E48+D49</f>
        <v>530000</v>
      </c>
      <c r="F49" s="15">
        <f>F48-D49</f>
        <v>70000</v>
      </c>
    </row>
    <row r="50" spans="1:6" x14ac:dyDescent="0.35">
      <c r="A50" s="14">
        <v>46120</v>
      </c>
      <c r="B50" s="13">
        <v>1636</v>
      </c>
      <c r="C50" s="13" t="s">
        <v>59</v>
      </c>
      <c r="D50" s="15">
        <v>10000</v>
      </c>
      <c r="E50" s="15">
        <f>E49+D50</f>
        <v>540000</v>
      </c>
      <c r="F50" s="15">
        <f>F49-D50</f>
        <v>60000</v>
      </c>
    </row>
    <row r="51" spans="1:6" x14ac:dyDescent="0.35">
      <c r="A51" s="14">
        <v>46062</v>
      </c>
      <c r="B51" s="13">
        <v>1887</v>
      </c>
      <c r="C51" s="13" t="s">
        <v>59</v>
      </c>
      <c r="D51" s="15">
        <v>10000</v>
      </c>
      <c r="E51" s="15">
        <f>E50+D51</f>
        <v>550000</v>
      </c>
      <c r="F51" s="15">
        <f>F50-D51</f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46"/>
  <sheetViews>
    <sheetView topLeftCell="A33" workbookViewId="0">
      <selection activeCell="J42" sqref="J42"/>
    </sheetView>
  </sheetViews>
  <sheetFormatPr defaultRowHeight="14.5" x14ac:dyDescent="0.35"/>
  <cols>
    <col min="1" max="1" width="10.6328125" customWidth="1"/>
    <col min="3" max="3" width="14" customWidth="1"/>
    <col min="4" max="4" width="11.90625" customWidth="1"/>
    <col min="5" max="5" width="12.08984375" customWidth="1"/>
    <col min="6" max="6" width="13.26953125" customWidth="1"/>
  </cols>
  <sheetData>
    <row r="1" spans="1:7" ht="18.5" x14ac:dyDescent="0.45">
      <c r="A1" s="1" t="s">
        <v>206</v>
      </c>
      <c r="B1" s="1"/>
      <c r="C1" s="1"/>
      <c r="D1" s="1"/>
      <c r="E1" s="1"/>
      <c r="F1" s="1"/>
    </row>
    <row r="2" spans="1:7" ht="18.5" x14ac:dyDescent="0.45">
      <c r="A2" s="1" t="s">
        <v>207</v>
      </c>
      <c r="C2" s="1"/>
      <c r="D2" s="1"/>
      <c r="E2" s="1"/>
      <c r="F2" s="1"/>
    </row>
    <row r="3" spans="1:7" ht="18.5" x14ac:dyDescent="0.45">
      <c r="A3" s="1" t="s">
        <v>208</v>
      </c>
      <c r="B3" s="1"/>
      <c r="C3" s="1"/>
      <c r="D3" s="1"/>
      <c r="E3" s="1"/>
      <c r="F3" s="1"/>
    </row>
    <row r="4" spans="1:7" ht="18.5" x14ac:dyDescent="0.45">
      <c r="A4" s="1" t="s">
        <v>440</v>
      </c>
      <c r="B4" s="1"/>
      <c r="C4" s="1"/>
      <c r="D4" s="1"/>
      <c r="E4" s="1"/>
      <c r="F4" s="1"/>
    </row>
    <row r="5" spans="1:7" ht="18.5" x14ac:dyDescent="0.45">
      <c r="A5" s="1" t="s">
        <v>209</v>
      </c>
      <c r="B5" s="1"/>
      <c r="C5" s="1"/>
      <c r="D5" s="1"/>
      <c r="E5" s="1"/>
      <c r="F5" s="1"/>
    </row>
    <row r="6" spans="1:7" ht="18.5" x14ac:dyDescent="0.45">
      <c r="A6" s="1" t="s">
        <v>210</v>
      </c>
      <c r="B6" s="1"/>
      <c r="C6" s="1"/>
      <c r="D6" s="1" t="s">
        <v>5</v>
      </c>
      <c r="E6" s="1"/>
      <c r="F6" s="1"/>
    </row>
    <row r="7" spans="1:7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17"/>
    </row>
    <row r="8" spans="1:7" x14ac:dyDescent="0.35">
      <c r="A8" s="17" t="s">
        <v>211</v>
      </c>
      <c r="B8" s="17">
        <v>1629</v>
      </c>
      <c r="C8" s="17" t="s">
        <v>16</v>
      </c>
      <c r="D8" s="19">
        <v>10000</v>
      </c>
      <c r="E8" s="19">
        <v>10000</v>
      </c>
      <c r="F8" s="19">
        <v>240000</v>
      </c>
    </row>
    <row r="9" spans="1:7" x14ac:dyDescent="0.35">
      <c r="A9" s="18">
        <v>45018</v>
      </c>
      <c r="B9" s="17">
        <v>1430</v>
      </c>
      <c r="C9" s="17" t="s">
        <v>218</v>
      </c>
      <c r="D9" s="19">
        <v>10000</v>
      </c>
      <c r="E9" s="19">
        <f>SUM(E8+D9)</f>
        <v>20000</v>
      </c>
      <c r="F9" s="19">
        <f>F8-D9</f>
        <v>230000</v>
      </c>
    </row>
    <row r="10" spans="1:7" x14ac:dyDescent="0.35">
      <c r="A10" s="17" t="s">
        <v>212</v>
      </c>
      <c r="B10" s="17">
        <v>1431</v>
      </c>
      <c r="C10" s="17" t="s">
        <v>219</v>
      </c>
      <c r="D10" s="19">
        <v>10000</v>
      </c>
      <c r="E10" s="19">
        <f t="shared" ref="E10:E31" si="0">SUM(E9+D10)</f>
        <v>30000</v>
      </c>
      <c r="F10" s="19">
        <f t="shared" ref="F10:F31" si="1">F9-D10</f>
        <v>220000</v>
      </c>
    </row>
    <row r="11" spans="1:7" x14ac:dyDescent="0.35">
      <c r="A11" s="18">
        <v>44960</v>
      </c>
      <c r="B11" s="17">
        <v>1471</v>
      </c>
      <c r="C11" s="17" t="s">
        <v>59</v>
      </c>
      <c r="D11" s="19">
        <v>10000</v>
      </c>
      <c r="E11" s="19">
        <f t="shared" si="0"/>
        <v>40000</v>
      </c>
      <c r="F11" s="19">
        <f t="shared" si="1"/>
        <v>210000</v>
      </c>
    </row>
    <row r="12" spans="1:7" x14ac:dyDescent="0.35">
      <c r="A12" s="18">
        <v>45111</v>
      </c>
      <c r="B12" s="17">
        <v>1880</v>
      </c>
      <c r="C12" s="17" t="s">
        <v>59</v>
      </c>
      <c r="D12" s="19">
        <v>10000</v>
      </c>
      <c r="E12" s="19">
        <f t="shared" si="0"/>
        <v>50000</v>
      </c>
      <c r="F12" s="19">
        <f t="shared" si="1"/>
        <v>200000</v>
      </c>
    </row>
    <row r="13" spans="1:7" x14ac:dyDescent="0.35">
      <c r="A13" s="17" t="s">
        <v>213</v>
      </c>
      <c r="B13" s="17">
        <v>203</v>
      </c>
      <c r="C13" s="17" t="s">
        <v>59</v>
      </c>
      <c r="D13" s="19">
        <v>10000</v>
      </c>
      <c r="E13" s="19">
        <f t="shared" si="0"/>
        <v>60000</v>
      </c>
      <c r="F13" s="19">
        <f t="shared" si="1"/>
        <v>190000</v>
      </c>
    </row>
    <row r="14" spans="1:7" x14ac:dyDescent="0.35">
      <c r="A14" s="17" t="s">
        <v>214</v>
      </c>
      <c r="B14" s="17">
        <v>2054</v>
      </c>
      <c r="C14" s="17" t="s">
        <v>59</v>
      </c>
      <c r="D14" s="19">
        <v>10000</v>
      </c>
      <c r="E14" s="19">
        <f t="shared" si="0"/>
        <v>70000</v>
      </c>
      <c r="F14" s="19">
        <f t="shared" si="1"/>
        <v>180000</v>
      </c>
    </row>
    <row r="15" spans="1:7" x14ac:dyDescent="0.35">
      <c r="A15" s="17" t="s">
        <v>215</v>
      </c>
      <c r="B15" s="17">
        <v>2578</v>
      </c>
      <c r="C15" s="17" t="s">
        <v>59</v>
      </c>
      <c r="D15" s="19">
        <v>10000</v>
      </c>
      <c r="E15" s="19">
        <f t="shared" si="0"/>
        <v>80000</v>
      </c>
      <c r="F15" s="19">
        <f t="shared" si="1"/>
        <v>170000</v>
      </c>
    </row>
    <row r="16" spans="1:7" x14ac:dyDescent="0.35">
      <c r="A16" s="17" t="s">
        <v>216</v>
      </c>
      <c r="B16" s="17">
        <v>3331</v>
      </c>
      <c r="C16" s="17" t="s">
        <v>59</v>
      </c>
      <c r="D16" s="19">
        <v>10000</v>
      </c>
      <c r="E16" s="19">
        <f t="shared" si="0"/>
        <v>90000</v>
      </c>
      <c r="F16" s="19">
        <f t="shared" si="1"/>
        <v>160000</v>
      </c>
    </row>
    <row r="17" spans="1:6" x14ac:dyDescent="0.35">
      <c r="A17" s="18">
        <v>44967</v>
      </c>
      <c r="B17" s="17">
        <v>244</v>
      </c>
      <c r="C17" s="17" t="s">
        <v>59</v>
      </c>
      <c r="D17" s="19">
        <v>10000</v>
      </c>
      <c r="E17" s="19">
        <f t="shared" si="0"/>
        <v>100000</v>
      </c>
      <c r="F17" s="19">
        <f t="shared" si="1"/>
        <v>150000</v>
      </c>
    </row>
    <row r="18" spans="1:6" x14ac:dyDescent="0.35">
      <c r="A18" s="17" t="s">
        <v>217</v>
      </c>
      <c r="B18" s="17">
        <v>4548</v>
      </c>
      <c r="C18" s="17" t="s">
        <v>59</v>
      </c>
      <c r="D18" s="19">
        <v>10000</v>
      </c>
      <c r="E18" s="19">
        <f t="shared" si="0"/>
        <v>110000</v>
      </c>
      <c r="F18" s="19">
        <f t="shared" si="1"/>
        <v>140000</v>
      </c>
    </row>
    <row r="19" spans="1:6" x14ac:dyDescent="0.35">
      <c r="A19" s="18">
        <v>45241</v>
      </c>
      <c r="B19" s="17">
        <v>4812</v>
      </c>
      <c r="C19" s="17" t="s">
        <v>59</v>
      </c>
      <c r="D19" s="19">
        <v>10000</v>
      </c>
      <c r="E19" s="19">
        <f t="shared" si="0"/>
        <v>120000</v>
      </c>
      <c r="F19" s="19">
        <f t="shared" si="1"/>
        <v>130000</v>
      </c>
    </row>
    <row r="20" spans="1:6" x14ac:dyDescent="0.35">
      <c r="A20" s="18">
        <v>45211</v>
      </c>
      <c r="B20" s="17">
        <v>5421</v>
      </c>
      <c r="C20" s="17" t="s">
        <v>59</v>
      </c>
      <c r="D20" s="19">
        <v>10000</v>
      </c>
      <c r="E20" s="19">
        <f t="shared" si="0"/>
        <v>130000</v>
      </c>
      <c r="F20" s="19">
        <f t="shared" si="1"/>
        <v>120000</v>
      </c>
    </row>
    <row r="21" spans="1:6" x14ac:dyDescent="0.35">
      <c r="A21" s="18">
        <v>45293</v>
      </c>
      <c r="B21" s="17">
        <v>6496</v>
      </c>
      <c r="C21" s="17" t="s">
        <v>59</v>
      </c>
      <c r="D21" s="19">
        <v>20000</v>
      </c>
      <c r="E21" s="19">
        <f t="shared" si="0"/>
        <v>150000</v>
      </c>
      <c r="F21" s="19">
        <f t="shared" si="1"/>
        <v>100000</v>
      </c>
    </row>
    <row r="22" spans="1:6" x14ac:dyDescent="0.35">
      <c r="A22" s="18">
        <v>45476</v>
      </c>
      <c r="B22" s="17">
        <v>6911</v>
      </c>
      <c r="C22" s="17" t="s">
        <v>59</v>
      </c>
      <c r="D22" s="19">
        <v>10000</v>
      </c>
      <c r="E22" s="19">
        <f t="shared" si="0"/>
        <v>160000</v>
      </c>
      <c r="F22" s="19">
        <f t="shared" si="1"/>
        <v>90000</v>
      </c>
    </row>
    <row r="23" spans="1:6" x14ac:dyDescent="0.35">
      <c r="A23" s="18">
        <v>45386</v>
      </c>
      <c r="B23" s="17">
        <v>7675</v>
      </c>
      <c r="C23" s="17" t="s">
        <v>59</v>
      </c>
      <c r="D23" s="19">
        <v>10000</v>
      </c>
      <c r="E23" s="19">
        <f t="shared" si="0"/>
        <v>170000</v>
      </c>
      <c r="F23" s="19">
        <f t="shared" si="1"/>
        <v>80000</v>
      </c>
    </row>
    <row r="24" spans="1:6" x14ac:dyDescent="0.35">
      <c r="A24" s="18">
        <v>45387</v>
      </c>
      <c r="B24" s="17">
        <v>8205</v>
      </c>
      <c r="C24" s="17" t="s">
        <v>59</v>
      </c>
      <c r="D24" s="19">
        <v>10000</v>
      </c>
      <c r="E24" s="19">
        <f t="shared" si="0"/>
        <v>180000</v>
      </c>
      <c r="F24" s="19">
        <f t="shared" si="1"/>
        <v>70000</v>
      </c>
    </row>
    <row r="25" spans="1:6" x14ac:dyDescent="0.35">
      <c r="A25" s="18">
        <v>45357</v>
      </c>
      <c r="B25" s="17">
        <v>8831</v>
      </c>
      <c r="C25" s="17" t="s">
        <v>59</v>
      </c>
      <c r="D25" s="19">
        <v>10000</v>
      </c>
      <c r="E25" s="19">
        <f t="shared" si="0"/>
        <v>190000</v>
      </c>
      <c r="F25" s="19">
        <f t="shared" si="1"/>
        <v>60000</v>
      </c>
    </row>
    <row r="26" spans="1:6" x14ac:dyDescent="0.35">
      <c r="A26" s="18">
        <v>45511</v>
      </c>
      <c r="B26" s="17">
        <v>11557</v>
      </c>
      <c r="C26" s="17" t="s">
        <v>59</v>
      </c>
      <c r="D26" s="19">
        <v>10000</v>
      </c>
      <c r="E26" s="19">
        <f t="shared" si="0"/>
        <v>200000</v>
      </c>
      <c r="F26" s="19">
        <f t="shared" si="1"/>
        <v>50000</v>
      </c>
    </row>
    <row r="27" spans="1:6" x14ac:dyDescent="0.35">
      <c r="A27" s="18">
        <v>45512</v>
      </c>
      <c r="B27" s="17">
        <v>1008</v>
      </c>
      <c r="C27" s="17" t="s">
        <v>59</v>
      </c>
      <c r="D27" s="19">
        <v>10000</v>
      </c>
      <c r="E27" s="19">
        <f t="shared" si="0"/>
        <v>210000</v>
      </c>
      <c r="F27" s="19">
        <f t="shared" si="1"/>
        <v>40000</v>
      </c>
    </row>
    <row r="28" spans="1:6" x14ac:dyDescent="0.35">
      <c r="A28" s="18">
        <v>45302</v>
      </c>
      <c r="B28" s="17">
        <v>11559</v>
      </c>
      <c r="C28" s="17" t="s">
        <v>59</v>
      </c>
      <c r="D28" s="19">
        <v>10000</v>
      </c>
      <c r="E28" s="19">
        <f t="shared" si="0"/>
        <v>220000</v>
      </c>
      <c r="F28" s="19">
        <f t="shared" si="1"/>
        <v>30000</v>
      </c>
    </row>
    <row r="29" spans="1:6" x14ac:dyDescent="0.35">
      <c r="A29" s="18">
        <v>45605</v>
      </c>
      <c r="B29" s="17">
        <v>11558</v>
      </c>
      <c r="C29" s="17" t="s">
        <v>59</v>
      </c>
      <c r="D29" s="19">
        <v>10000</v>
      </c>
      <c r="E29" s="19">
        <f t="shared" si="0"/>
        <v>230000</v>
      </c>
      <c r="F29" s="19">
        <f t="shared" si="1"/>
        <v>20000</v>
      </c>
    </row>
    <row r="30" spans="1:6" x14ac:dyDescent="0.35">
      <c r="A30" s="18">
        <v>45608</v>
      </c>
      <c r="B30" s="17">
        <v>12916</v>
      </c>
      <c r="C30" s="17" t="s">
        <v>59</v>
      </c>
      <c r="D30" s="19">
        <v>10000</v>
      </c>
      <c r="E30" s="19">
        <f t="shared" si="0"/>
        <v>240000</v>
      </c>
      <c r="F30" s="19">
        <f t="shared" si="1"/>
        <v>10000</v>
      </c>
    </row>
    <row r="31" spans="1:6" x14ac:dyDescent="0.35">
      <c r="A31" s="18">
        <v>45778</v>
      </c>
      <c r="B31" s="17">
        <v>12917</v>
      </c>
      <c r="C31" s="17" t="s">
        <v>59</v>
      </c>
      <c r="D31" s="19">
        <v>10000</v>
      </c>
      <c r="E31" s="19">
        <f t="shared" si="0"/>
        <v>250000</v>
      </c>
      <c r="F31" s="19">
        <f t="shared" si="1"/>
        <v>0</v>
      </c>
    </row>
    <row r="34" spans="1:6" ht="18.5" x14ac:dyDescent="0.45">
      <c r="A34" s="1" t="s">
        <v>220</v>
      </c>
    </row>
    <row r="35" spans="1:6" x14ac:dyDescent="0.35">
      <c r="A35" s="39" t="s">
        <v>6</v>
      </c>
      <c r="B35" s="34" t="s">
        <v>7</v>
      </c>
      <c r="C35" s="34" t="s">
        <v>8</v>
      </c>
      <c r="D35" s="34" t="s">
        <v>9</v>
      </c>
      <c r="E35" s="34" t="s">
        <v>10</v>
      </c>
      <c r="F35" s="34" t="s">
        <v>11</v>
      </c>
    </row>
    <row r="36" spans="1:6" x14ac:dyDescent="0.35">
      <c r="A36" s="8">
        <v>45724</v>
      </c>
      <c r="B36">
        <v>12373</v>
      </c>
      <c r="C36" t="s">
        <v>616</v>
      </c>
      <c r="D36" s="7">
        <v>10000</v>
      </c>
      <c r="E36" s="7">
        <v>10000</v>
      </c>
      <c r="F36" s="7">
        <v>440000</v>
      </c>
    </row>
    <row r="37" spans="1:6" x14ac:dyDescent="0.35">
      <c r="A37" t="s">
        <v>611</v>
      </c>
      <c r="B37">
        <v>3558</v>
      </c>
      <c r="C37" t="s">
        <v>616</v>
      </c>
      <c r="D37" s="7">
        <v>5000</v>
      </c>
      <c r="E37" s="7">
        <f t="shared" ref="E37:E46" si="2">E36+D37</f>
        <v>15000</v>
      </c>
      <c r="F37" s="7">
        <f t="shared" ref="F37:F46" si="3">F36-D37</f>
        <v>435000</v>
      </c>
    </row>
    <row r="38" spans="1:6" x14ac:dyDescent="0.35">
      <c r="A38" t="s">
        <v>612</v>
      </c>
      <c r="B38">
        <v>3697</v>
      </c>
      <c r="C38" t="s">
        <v>616</v>
      </c>
      <c r="D38" s="7">
        <v>10000</v>
      </c>
      <c r="E38" s="7">
        <f t="shared" si="2"/>
        <v>25000</v>
      </c>
      <c r="F38" s="7">
        <f t="shared" si="3"/>
        <v>425000</v>
      </c>
    </row>
    <row r="39" spans="1:6" x14ac:dyDescent="0.35">
      <c r="A39" s="8">
        <v>45942</v>
      </c>
      <c r="B39">
        <v>5048</v>
      </c>
      <c r="C39" t="s">
        <v>616</v>
      </c>
      <c r="D39" s="7">
        <v>5000</v>
      </c>
      <c r="E39" s="7">
        <f t="shared" si="2"/>
        <v>30000</v>
      </c>
      <c r="F39" s="7">
        <f t="shared" si="3"/>
        <v>420000</v>
      </c>
    </row>
    <row r="40" spans="1:6" x14ac:dyDescent="0.35">
      <c r="A40" t="s">
        <v>613</v>
      </c>
      <c r="B40">
        <v>5353</v>
      </c>
      <c r="C40" t="s">
        <v>616</v>
      </c>
      <c r="D40" s="7">
        <v>5000</v>
      </c>
      <c r="E40" s="7">
        <f t="shared" si="2"/>
        <v>35000</v>
      </c>
      <c r="F40" s="7">
        <f t="shared" si="3"/>
        <v>415000</v>
      </c>
    </row>
    <row r="41" spans="1:6" x14ac:dyDescent="0.35">
      <c r="A41" t="s">
        <v>614</v>
      </c>
      <c r="B41">
        <v>5752</v>
      </c>
      <c r="C41" t="s">
        <v>616</v>
      </c>
      <c r="D41" s="7">
        <v>5000</v>
      </c>
      <c r="E41" s="7">
        <f t="shared" si="2"/>
        <v>40000</v>
      </c>
      <c r="F41" s="7">
        <f t="shared" si="3"/>
        <v>410000</v>
      </c>
    </row>
    <row r="42" spans="1:6" x14ac:dyDescent="0.35">
      <c r="A42" s="8">
        <v>46177</v>
      </c>
      <c r="B42">
        <v>5873</v>
      </c>
      <c r="C42" t="s">
        <v>616</v>
      </c>
      <c r="D42" s="7">
        <v>5000</v>
      </c>
      <c r="E42" s="7">
        <f t="shared" si="2"/>
        <v>45000</v>
      </c>
      <c r="F42" s="7">
        <f t="shared" si="3"/>
        <v>405000</v>
      </c>
    </row>
    <row r="43" spans="1:6" x14ac:dyDescent="0.35">
      <c r="A43" s="8">
        <v>46361</v>
      </c>
      <c r="B43">
        <v>1454</v>
      </c>
      <c r="C43" t="s">
        <v>616</v>
      </c>
      <c r="D43" s="7">
        <v>5000</v>
      </c>
      <c r="E43" s="7">
        <f t="shared" si="2"/>
        <v>50000</v>
      </c>
      <c r="F43" s="7">
        <f t="shared" si="3"/>
        <v>400000</v>
      </c>
    </row>
    <row r="44" spans="1:6" x14ac:dyDescent="0.35">
      <c r="A44" t="s">
        <v>615</v>
      </c>
      <c r="B44">
        <v>1858</v>
      </c>
      <c r="C44" t="s">
        <v>616</v>
      </c>
      <c r="D44" s="7">
        <v>5000</v>
      </c>
      <c r="E44" s="7">
        <f t="shared" si="2"/>
        <v>55000</v>
      </c>
      <c r="F44" s="7">
        <f t="shared" si="3"/>
        <v>395000</v>
      </c>
    </row>
    <row r="45" spans="1:6" x14ac:dyDescent="0.35">
      <c r="A45" t="s">
        <v>590</v>
      </c>
      <c r="B45">
        <v>1937</v>
      </c>
      <c r="C45" t="s">
        <v>616</v>
      </c>
      <c r="D45" s="7">
        <v>5000</v>
      </c>
      <c r="E45" s="7">
        <f t="shared" si="2"/>
        <v>60000</v>
      </c>
      <c r="F45" s="7">
        <f t="shared" si="3"/>
        <v>390000</v>
      </c>
    </row>
    <row r="46" spans="1:6" x14ac:dyDescent="0.35">
      <c r="A46" t="s">
        <v>617</v>
      </c>
      <c r="B46">
        <v>1967</v>
      </c>
      <c r="C46" t="s">
        <v>616</v>
      </c>
      <c r="D46" s="7">
        <v>50000</v>
      </c>
      <c r="E46" s="7">
        <f t="shared" si="2"/>
        <v>110000</v>
      </c>
      <c r="F46" s="7">
        <f t="shared" si="3"/>
        <v>340000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43"/>
  <sheetViews>
    <sheetView topLeftCell="A31" workbookViewId="0">
      <selection activeCell="F43" sqref="F43"/>
    </sheetView>
  </sheetViews>
  <sheetFormatPr defaultRowHeight="14.5" x14ac:dyDescent="0.35"/>
  <cols>
    <col min="3" max="3" width="10.36328125" customWidth="1"/>
    <col min="4" max="4" width="11" customWidth="1"/>
    <col min="5" max="5" width="11.81640625" customWidth="1"/>
    <col min="6" max="6" width="12.54296875" customWidth="1"/>
  </cols>
  <sheetData>
    <row r="1" spans="1:6" ht="18.5" x14ac:dyDescent="0.45">
      <c r="A1" s="1" t="s">
        <v>17</v>
      </c>
      <c r="B1" s="1"/>
      <c r="C1" s="1"/>
      <c r="D1" s="1"/>
      <c r="E1" s="1"/>
      <c r="F1" s="1"/>
    </row>
    <row r="2" spans="1:6" ht="18.5" x14ac:dyDescent="0.45">
      <c r="A2" s="1" t="s">
        <v>18</v>
      </c>
      <c r="C2" s="1"/>
      <c r="D2" s="1"/>
      <c r="E2" s="1"/>
      <c r="F2" s="1"/>
    </row>
    <row r="3" spans="1:6" ht="18.5" x14ac:dyDescent="0.45">
      <c r="A3" s="1" t="s">
        <v>19</v>
      </c>
      <c r="B3" s="1"/>
      <c r="C3" s="1"/>
      <c r="D3" s="1"/>
      <c r="E3" s="1"/>
      <c r="F3" s="1"/>
    </row>
    <row r="4" spans="1:6" ht="18.5" x14ac:dyDescent="0.45">
      <c r="A4" s="1" t="s">
        <v>312</v>
      </c>
      <c r="B4" s="1"/>
      <c r="C4" s="1"/>
      <c r="D4" s="1"/>
      <c r="E4" s="1"/>
      <c r="F4" s="1"/>
    </row>
    <row r="5" spans="1:6" ht="18.5" x14ac:dyDescent="0.45">
      <c r="A5" s="1" t="s">
        <v>20</v>
      </c>
      <c r="B5" s="1"/>
      <c r="C5" s="1"/>
      <c r="D5" s="1"/>
      <c r="E5" s="1"/>
      <c r="F5" s="1"/>
    </row>
    <row r="6" spans="1:6" ht="18.5" x14ac:dyDescent="0.45">
      <c r="A6" s="1" t="s">
        <v>21</v>
      </c>
      <c r="B6" s="1"/>
      <c r="C6" s="1"/>
      <c r="D6" s="1" t="s">
        <v>22</v>
      </c>
      <c r="E6" s="1"/>
      <c r="F6" s="1"/>
    </row>
    <row r="7" spans="1:6" x14ac:dyDescent="0.3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spans="1:6" x14ac:dyDescent="0.35">
      <c r="A8" s="35" t="s">
        <v>23</v>
      </c>
      <c r="B8" s="6">
        <v>40</v>
      </c>
      <c r="C8" s="6" t="s">
        <v>24</v>
      </c>
      <c r="D8" s="6">
        <v>10000</v>
      </c>
      <c r="E8" s="6">
        <v>10000</v>
      </c>
      <c r="F8" s="10">
        <v>590000</v>
      </c>
    </row>
    <row r="9" spans="1:6" x14ac:dyDescent="0.35">
      <c r="A9" s="36" t="s">
        <v>25</v>
      </c>
      <c r="B9" s="6">
        <v>1753</v>
      </c>
      <c r="C9" s="6" t="s">
        <v>26</v>
      </c>
      <c r="D9" s="10">
        <v>140000</v>
      </c>
      <c r="E9" s="10">
        <f>SUM(D9+E8)</f>
        <v>150000</v>
      </c>
      <c r="F9" s="10">
        <v>450000</v>
      </c>
    </row>
    <row r="10" spans="1:6" x14ac:dyDescent="0.35">
      <c r="A10" s="11">
        <v>45200</v>
      </c>
      <c r="B10" s="6">
        <v>1929</v>
      </c>
      <c r="C10" s="6" t="s">
        <v>13</v>
      </c>
      <c r="D10" s="6">
        <v>50000</v>
      </c>
      <c r="E10" s="10">
        <f>SUM(E9+D11)</f>
        <v>160000</v>
      </c>
      <c r="F10" s="10">
        <f>F9-D11</f>
        <v>440000</v>
      </c>
    </row>
    <row r="11" spans="1:6" x14ac:dyDescent="0.35">
      <c r="A11" s="11">
        <v>45234</v>
      </c>
      <c r="B11" s="6">
        <v>1930</v>
      </c>
      <c r="C11" s="6" t="s">
        <v>16</v>
      </c>
      <c r="D11" s="6">
        <v>10000</v>
      </c>
      <c r="E11" s="10">
        <f t="shared" ref="E11:E37" si="0">SUM(E10+D11)</f>
        <v>170000</v>
      </c>
      <c r="F11" s="10">
        <f t="shared" ref="F11:F37" si="1">F10-D11</f>
        <v>430000</v>
      </c>
    </row>
    <row r="12" spans="1:6" x14ac:dyDescent="0.35">
      <c r="A12" s="6" t="s">
        <v>27</v>
      </c>
      <c r="B12" s="6">
        <v>3774</v>
      </c>
      <c r="C12" s="6" t="s">
        <v>28</v>
      </c>
      <c r="D12" s="6">
        <v>30000</v>
      </c>
      <c r="E12" s="10">
        <f t="shared" si="0"/>
        <v>200000</v>
      </c>
      <c r="F12" s="10">
        <f t="shared" si="1"/>
        <v>400000</v>
      </c>
    </row>
    <row r="13" spans="1:6" x14ac:dyDescent="0.35">
      <c r="A13" s="6" t="s">
        <v>29</v>
      </c>
      <c r="B13" s="6">
        <v>4514</v>
      </c>
      <c r="C13" s="6" t="s">
        <v>16</v>
      </c>
      <c r="D13" s="6">
        <v>10000</v>
      </c>
      <c r="E13" s="10">
        <f t="shared" si="0"/>
        <v>210000</v>
      </c>
      <c r="F13" s="10">
        <f t="shared" si="1"/>
        <v>390000</v>
      </c>
    </row>
    <row r="14" spans="1:6" x14ac:dyDescent="0.35">
      <c r="A14" s="6" t="s">
        <v>30</v>
      </c>
      <c r="B14" s="6">
        <v>5101</v>
      </c>
      <c r="C14" s="6" t="s">
        <v>16</v>
      </c>
      <c r="D14" s="6">
        <v>10000</v>
      </c>
      <c r="E14" s="10">
        <f t="shared" si="0"/>
        <v>220000</v>
      </c>
      <c r="F14" s="10">
        <f t="shared" si="1"/>
        <v>380000</v>
      </c>
    </row>
    <row r="15" spans="1:6" x14ac:dyDescent="0.35">
      <c r="A15" s="6" t="s">
        <v>31</v>
      </c>
      <c r="B15" s="6">
        <v>5632</v>
      </c>
      <c r="C15" s="6" t="s">
        <v>32</v>
      </c>
      <c r="D15" s="6">
        <v>78000</v>
      </c>
      <c r="E15" s="10">
        <f t="shared" si="0"/>
        <v>298000</v>
      </c>
      <c r="F15" s="10">
        <f t="shared" si="1"/>
        <v>302000</v>
      </c>
    </row>
    <row r="16" spans="1:6" x14ac:dyDescent="0.35">
      <c r="A16" s="6" t="s">
        <v>31</v>
      </c>
      <c r="B16" s="6">
        <v>5635</v>
      </c>
      <c r="C16" s="6" t="s">
        <v>16</v>
      </c>
      <c r="D16" s="6">
        <v>10000</v>
      </c>
      <c r="E16" s="10">
        <f t="shared" si="0"/>
        <v>308000</v>
      </c>
      <c r="F16" s="10">
        <f t="shared" si="1"/>
        <v>292000</v>
      </c>
    </row>
    <row r="17" spans="1:6" x14ac:dyDescent="0.35">
      <c r="A17" s="6" t="s">
        <v>33</v>
      </c>
      <c r="B17" s="6">
        <v>6250</v>
      </c>
      <c r="C17" s="6" t="s">
        <v>16</v>
      </c>
      <c r="D17" s="6">
        <v>10000</v>
      </c>
      <c r="E17" s="10">
        <f t="shared" si="0"/>
        <v>318000</v>
      </c>
      <c r="F17" s="10">
        <f t="shared" si="1"/>
        <v>282000</v>
      </c>
    </row>
    <row r="18" spans="1:6" x14ac:dyDescent="0.35">
      <c r="A18" s="6" t="s">
        <v>34</v>
      </c>
      <c r="B18" s="6">
        <v>6609</v>
      </c>
      <c r="C18" s="6" t="s">
        <v>16</v>
      </c>
      <c r="D18" s="6">
        <v>10000</v>
      </c>
      <c r="E18" s="10">
        <f t="shared" si="0"/>
        <v>328000</v>
      </c>
      <c r="F18" s="10">
        <f t="shared" si="1"/>
        <v>272000</v>
      </c>
    </row>
    <row r="19" spans="1:6" x14ac:dyDescent="0.35">
      <c r="A19" s="6" t="s">
        <v>35</v>
      </c>
      <c r="B19" s="6">
        <v>7420</v>
      </c>
      <c r="C19" s="6" t="s">
        <v>16</v>
      </c>
      <c r="D19" s="6">
        <v>10000</v>
      </c>
      <c r="E19" s="10">
        <f t="shared" si="0"/>
        <v>338000</v>
      </c>
      <c r="F19" s="10">
        <f t="shared" si="1"/>
        <v>262000</v>
      </c>
    </row>
    <row r="20" spans="1:6" x14ac:dyDescent="0.35">
      <c r="A20" s="6" t="s">
        <v>36</v>
      </c>
      <c r="B20" s="6">
        <v>7922</v>
      </c>
      <c r="C20" s="6" t="s">
        <v>16</v>
      </c>
      <c r="D20" s="6">
        <v>10000</v>
      </c>
      <c r="E20" s="10">
        <f t="shared" si="0"/>
        <v>348000</v>
      </c>
      <c r="F20" s="10">
        <f t="shared" si="1"/>
        <v>252000</v>
      </c>
    </row>
    <row r="21" spans="1:6" x14ac:dyDescent="0.35">
      <c r="A21" s="6" t="s">
        <v>37</v>
      </c>
      <c r="B21" s="6">
        <v>8584</v>
      </c>
      <c r="C21" s="6" t="s">
        <v>16</v>
      </c>
      <c r="D21" s="6">
        <v>10000</v>
      </c>
      <c r="E21" s="10">
        <f t="shared" si="0"/>
        <v>358000</v>
      </c>
      <c r="F21" s="10">
        <f t="shared" si="1"/>
        <v>242000</v>
      </c>
    </row>
    <row r="22" spans="1:6" x14ac:dyDescent="0.35">
      <c r="A22" s="6" t="s">
        <v>38</v>
      </c>
      <c r="B22" s="6">
        <v>9301</v>
      </c>
      <c r="C22" s="6" t="s">
        <v>16</v>
      </c>
      <c r="D22" s="6">
        <v>10000</v>
      </c>
      <c r="E22" s="10">
        <f t="shared" si="0"/>
        <v>368000</v>
      </c>
      <c r="F22" s="10">
        <f t="shared" si="1"/>
        <v>232000</v>
      </c>
    </row>
    <row r="23" spans="1:6" x14ac:dyDescent="0.35">
      <c r="A23" s="6" t="s">
        <v>39</v>
      </c>
      <c r="B23" s="6">
        <v>10858</v>
      </c>
      <c r="C23" s="6" t="s">
        <v>16</v>
      </c>
      <c r="D23" s="6">
        <v>20000</v>
      </c>
      <c r="E23" s="10">
        <f t="shared" si="0"/>
        <v>388000</v>
      </c>
      <c r="F23" s="10">
        <f t="shared" si="1"/>
        <v>212000</v>
      </c>
    </row>
    <row r="24" spans="1:6" x14ac:dyDescent="0.35">
      <c r="A24" s="6" t="s">
        <v>40</v>
      </c>
      <c r="B24" s="6">
        <v>11533</v>
      </c>
      <c r="C24" s="6" t="s">
        <v>16</v>
      </c>
      <c r="D24" s="6">
        <v>10000</v>
      </c>
      <c r="E24" s="10">
        <f t="shared" si="0"/>
        <v>398000</v>
      </c>
      <c r="F24" s="10">
        <f t="shared" si="1"/>
        <v>202000</v>
      </c>
    </row>
    <row r="25" spans="1:6" x14ac:dyDescent="0.35">
      <c r="A25" s="6" t="s">
        <v>41</v>
      </c>
      <c r="B25" s="6">
        <v>12495</v>
      </c>
      <c r="C25" s="6" t="s">
        <v>16</v>
      </c>
      <c r="D25" s="6">
        <v>10000</v>
      </c>
      <c r="E25" s="10">
        <f t="shared" si="0"/>
        <v>408000</v>
      </c>
      <c r="F25" s="10">
        <f t="shared" si="1"/>
        <v>192000</v>
      </c>
    </row>
    <row r="26" spans="1:6" x14ac:dyDescent="0.35">
      <c r="A26" s="6" t="s">
        <v>42</v>
      </c>
      <c r="B26" s="6">
        <v>12847</v>
      </c>
      <c r="C26" s="6" t="s">
        <v>16</v>
      </c>
      <c r="D26" s="6">
        <v>10000</v>
      </c>
      <c r="E26" s="10">
        <f t="shared" si="0"/>
        <v>418000</v>
      </c>
      <c r="F26" s="10">
        <f t="shared" si="1"/>
        <v>182000</v>
      </c>
    </row>
    <row r="27" spans="1:6" x14ac:dyDescent="0.35">
      <c r="A27" s="11">
        <v>45718</v>
      </c>
      <c r="B27" s="6">
        <v>9210</v>
      </c>
      <c r="C27" s="6" t="s">
        <v>16</v>
      </c>
      <c r="D27" s="6">
        <v>10000</v>
      </c>
      <c r="E27" s="10">
        <f t="shared" si="0"/>
        <v>428000</v>
      </c>
      <c r="F27" s="10">
        <f t="shared" si="1"/>
        <v>172000</v>
      </c>
    </row>
    <row r="28" spans="1:6" x14ac:dyDescent="0.35">
      <c r="A28" s="6" t="s">
        <v>43</v>
      </c>
      <c r="B28" s="6">
        <v>9818</v>
      </c>
      <c r="C28" s="6" t="s">
        <v>16</v>
      </c>
      <c r="D28" s="6">
        <v>10000</v>
      </c>
      <c r="E28" s="10">
        <f t="shared" si="0"/>
        <v>438000</v>
      </c>
      <c r="F28" s="10">
        <f t="shared" si="1"/>
        <v>162000</v>
      </c>
    </row>
    <row r="29" spans="1:6" x14ac:dyDescent="0.35">
      <c r="A29" s="6" t="s">
        <v>44</v>
      </c>
      <c r="B29" s="6">
        <v>9925</v>
      </c>
      <c r="C29" s="6" t="s">
        <v>16</v>
      </c>
      <c r="D29" s="6">
        <v>10000</v>
      </c>
      <c r="E29" s="10">
        <f t="shared" si="0"/>
        <v>448000</v>
      </c>
      <c r="F29" s="10">
        <f t="shared" si="1"/>
        <v>152000</v>
      </c>
    </row>
    <row r="30" spans="1:6" x14ac:dyDescent="0.35">
      <c r="A30" s="6" t="s">
        <v>45</v>
      </c>
      <c r="B30" s="6">
        <v>12882</v>
      </c>
      <c r="C30" s="6" t="s">
        <v>16</v>
      </c>
      <c r="D30" s="6">
        <v>10000</v>
      </c>
      <c r="E30" s="10">
        <f t="shared" si="0"/>
        <v>458000</v>
      </c>
      <c r="F30" s="10">
        <f t="shared" si="1"/>
        <v>142000</v>
      </c>
    </row>
    <row r="31" spans="1:6" x14ac:dyDescent="0.35">
      <c r="A31" s="6" t="s">
        <v>46</v>
      </c>
      <c r="B31" s="6">
        <v>12934</v>
      </c>
      <c r="C31" s="6" t="s">
        <v>16</v>
      </c>
      <c r="D31" s="6">
        <v>10000</v>
      </c>
      <c r="E31" s="10">
        <f t="shared" si="0"/>
        <v>468000</v>
      </c>
      <c r="F31" s="10">
        <f t="shared" si="1"/>
        <v>132000</v>
      </c>
    </row>
    <row r="32" spans="1:6" x14ac:dyDescent="0.35">
      <c r="A32" s="6" t="s">
        <v>47</v>
      </c>
      <c r="B32" s="6">
        <v>12798</v>
      </c>
      <c r="C32" s="6" t="s">
        <v>16</v>
      </c>
      <c r="D32" s="6">
        <v>10000</v>
      </c>
      <c r="E32" s="10">
        <f t="shared" si="0"/>
        <v>478000</v>
      </c>
      <c r="F32" s="10">
        <f t="shared" si="1"/>
        <v>122000</v>
      </c>
    </row>
    <row r="33" spans="1:6" x14ac:dyDescent="0.35">
      <c r="A33" s="6" t="s">
        <v>48</v>
      </c>
      <c r="B33" s="6">
        <v>13646</v>
      </c>
      <c r="C33" s="6" t="s">
        <v>16</v>
      </c>
      <c r="D33" s="6">
        <v>10000</v>
      </c>
      <c r="E33" s="10">
        <f t="shared" si="0"/>
        <v>488000</v>
      </c>
      <c r="F33" s="10">
        <f t="shared" si="1"/>
        <v>112000</v>
      </c>
    </row>
    <row r="34" spans="1:6" x14ac:dyDescent="0.35">
      <c r="A34" s="6" t="s">
        <v>49</v>
      </c>
      <c r="B34" s="6">
        <v>13236</v>
      </c>
      <c r="C34" s="6" t="s">
        <v>16</v>
      </c>
      <c r="D34" s="6">
        <v>10000</v>
      </c>
      <c r="E34" s="10">
        <f t="shared" si="0"/>
        <v>498000</v>
      </c>
      <c r="F34" s="10">
        <f t="shared" si="1"/>
        <v>102000</v>
      </c>
    </row>
    <row r="35" spans="1:6" x14ac:dyDescent="0.35">
      <c r="A35" s="6" t="s">
        <v>50</v>
      </c>
      <c r="B35" s="6">
        <v>12182</v>
      </c>
      <c r="C35" s="6" t="s">
        <v>16</v>
      </c>
      <c r="D35" s="6">
        <v>10000</v>
      </c>
      <c r="E35" s="10">
        <f t="shared" si="0"/>
        <v>508000</v>
      </c>
      <c r="F35" s="10">
        <f t="shared" si="1"/>
        <v>92000</v>
      </c>
    </row>
    <row r="36" spans="1:6" x14ac:dyDescent="0.35">
      <c r="A36" s="11">
        <v>46083</v>
      </c>
      <c r="B36" s="6">
        <v>12317</v>
      </c>
      <c r="C36" s="6" t="s">
        <v>16</v>
      </c>
      <c r="D36" s="6">
        <v>10000</v>
      </c>
      <c r="E36" s="10">
        <f t="shared" si="0"/>
        <v>518000</v>
      </c>
      <c r="F36" s="10">
        <f t="shared" si="1"/>
        <v>82000</v>
      </c>
    </row>
    <row r="37" spans="1:6" x14ac:dyDescent="0.35">
      <c r="A37" s="6" t="s">
        <v>313</v>
      </c>
      <c r="B37" s="6">
        <v>13926</v>
      </c>
      <c r="C37" s="6" t="s">
        <v>16</v>
      </c>
      <c r="D37" s="6">
        <v>10000</v>
      </c>
      <c r="E37" s="10">
        <f t="shared" si="0"/>
        <v>528000</v>
      </c>
      <c r="F37" s="10">
        <f t="shared" si="1"/>
        <v>72000</v>
      </c>
    </row>
    <row r="38" spans="1:6" x14ac:dyDescent="0.35">
      <c r="A38" s="6" t="s">
        <v>314</v>
      </c>
      <c r="B38" s="6">
        <v>13017</v>
      </c>
      <c r="C38" s="6" t="s">
        <v>16</v>
      </c>
      <c r="D38" s="6">
        <v>10000</v>
      </c>
      <c r="E38" s="10">
        <f>SUM(E37+D39)</f>
        <v>538000</v>
      </c>
      <c r="F38" s="10">
        <f t="shared" ref="F38:F43" si="2">F37-D38</f>
        <v>62000</v>
      </c>
    </row>
    <row r="39" spans="1:6" x14ac:dyDescent="0.35">
      <c r="A39" s="6" t="s">
        <v>561</v>
      </c>
      <c r="B39" s="6">
        <v>13348</v>
      </c>
      <c r="C39" s="6" t="s">
        <v>16</v>
      </c>
      <c r="D39" s="6">
        <v>10000</v>
      </c>
      <c r="E39" s="10">
        <f>E38+D39</f>
        <v>548000</v>
      </c>
      <c r="F39" s="10">
        <f t="shared" si="2"/>
        <v>52000</v>
      </c>
    </row>
    <row r="40" spans="1:6" x14ac:dyDescent="0.35">
      <c r="A40" s="6" t="s">
        <v>511</v>
      </c>
      <c r="B40" s="6">
        <v>13681</v>
      </c>
      <c r="C40" s="6" t="s">
        <v>16</v>
      </c>
      <c r="D40" s="6">
        <v>10000</v>
      </c>
      <c r="E40" s="10">
        <f>E39+D40</f>
        <v>558000</v>
      </c>
      <c r="F40" s="10">
        <f t="shared" si="2"/>
        <v>42000</v>
      </c>
    </row>
    <row r="41" spans="1:6" x14ac:dyDescent="0.35">
      <c r="A41" s="6" t="s">
        <v>562</v>
      </c>
      <c r="B41" s="6">
        <v>1481</v>
      </c>
      <c r="C41" s="6" t="s">
        <v>16</v>
      </c>
      <c r="D41" s="6">
        <v>10000</v>
      </c>
      <c r="E41" s="10">
        <f>E40+D41</f>
        <v>568000</v>
      </c>
      <c r="F41" s="10">
        <f t="shared" si="2"/>
        <v>32000</v>
      </c>
    </row>
    <row r="42" spans="1:6" x14ac:dyDescent="0.35">
      <c r="A42" s="6" t="s">
        <v>590</v>
      </c>
      <c r="B42" s="6">
        <v>1792</v>
      </c>
      <c r="C42" s="6" t="s">
        <v>16</v>
      </c>
      <c r="D42" s="6">
        <v>10000</v>
      </c>
      <c r="E42" s="10">
        <f>E41+D42</f>
        <v>578000</v>
      </c>
      <c r="F42" s="10">
        <f t="shared" si="2"/>
        <v>22000</v>
      </c>
    </row>
    <row r="43" spans="1:6" x14ac:dyDescent="0.35">
      <c r="A43" s="6" t="s">
        <v>780</v>
      </c>
      <c r="B43" s="6">
        <v>2092</v>
      </c>
      <c r="C43" s="6" t="s">
        <v>16</v>
      </c>
      <c r="D43" s="10">
        <v>8000</v>
      </c>
      <c r="E43" s="10">
        <f>E42+D43</f>
        <v>586000</v>
      </c>
      <c r="F43" s="10">
        <f t="shared" si="2"/>
        <v>14000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6"/>
  <sheetViews>
    <sheetView workbookViewId="0">
      <selection activeCell="E4" sqref="E4"/>
    </sheetView>
  </sheetViews>
  <sheetFormatPr defaultRowHeight="14.5" x14ac:dyDescent="0.35"/>
  <cols>
    <col min="1" max="1" width="11.90625" customWidth="1"/>
    <col min="3" max="3" width="10.26953125" bestFit="1" customWidth="1"/>
    <col min="4" max="4" width="15.81640625" bestFit="1" customWidth="1"/>
    <col min="5" max="5" width="8.36328125" bestFit="1" customWidth="1"/>
    <col min="6" max="6" width="11.36328125" bestFit="1" customWidth="1"/>
  </cols>
  <sheetData>
    <row r="1" spans="1:6" ht="18.5" x14ac:dyDescent="0.45">
      <c r="A1" s="1" t="s">
        <v>71</v>
      </c>
      <c r="B1" s="1"/>
      <c r="C1" s="1"/>
      <c r="D1" s="1"/>
      <c r="E1" s="1"/>
      <c r="F1" s="1"/>
    </row>
    <row r="2" spans="1:6" ht="18.5" x14ac:dyDescent="0.45">
      <c r="A2" s="1" t="s">
        <v>72</v>
      </c>
      <c r="C2" s="1"/>
      <c r="D2" s="1"/>
      <c r="E2" s="1"/>
      <c r="F2" s="1"/>
    </row>
    <row r="3" spans="1:6" ht="18.5" x14ac:dyDescent="0.45">
      <c r="A3" s="1" t="s">
        <v>73</v>
      </c>
      <c r="B3" s="1"/>
      <c r="C3" s="1"/>
      <c r="D3" s="1"/>
      <c r="E3" s="1"/>
      <c r="F3" s="1"/>
    </row>
    <row r="4" spans="1:6" ht="18.5" x14ac:dyDescent="0.45">
      <c r="A4" s="1" t="s">
        <v>516</v>
      </c>
      <c r="B4" s="1" t="s">
        <v>517</v>
      </c>
      <c r="C4" s="1"/>
      <c r="D4" s="1"/>
      <c r="E4" s="1"/>
      <c r="F4" s="1"/>
    </row>
    <row r="5" spans="1:6" ht="18.5" x14ac:dyDescent="0.45">
      <c r="A5" s="1" t="s">
        <v>74</v>
      </c>
      <c r="B5" s="1"/>
      <c r="C5" s="1"/>
      <c r="D5" s="1"/>
      <c r="E5" s="1"/>
      <c r="F5" s="1"/>
    </row>
    <row r="6" spans="1:6" ht="18.5" x14ac:dyDescent="0.45">
      <c r="A6" s="1" t="s">
        <v>75</v>
      </c>
      <c r="B6" s="1"/>
      <c r="C6" s="1"/>
      <c r="D6" s="1" t="s">
        <v>76</v>
      </c>
      <c r="F6" s="1"/>
    </row>
    <row r="7" spans="1:6" x14ac:dyDescent="0.3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spans="1:6" x14ac:dyDescent="0.35">
      <c r="A8" s="9" t="s">
        <v>77</v>
      </c>
      <c r="B8" s="2">
        <v>1576</v>
      </c>
      <c r="C8" s="2" t="s">
        <v>87</v>
      </c>
      <c r="D8" s="4">
        <v>120000</v>
      </c>
      <c r="E8" s="4">
        <v>120000</v>
      </c>
      <c r="F8" s="4">
        <v>460000</v>
      </c>
    </row>
    <row r="9" spans="1:6" x14ac:dyDescent="0.35">
      <c r="A9" s="9" t="s">
        <v>78</v>
      </c>
      <c r="B9" s="2">
        <v>1577</v>
      </c>
      <c r="C9" s="2" t="s">
        <v>59</v>
      </c>
      <c r="D9" s="4">
        <v>10000</v>
      </c>
      <c r="E9" s="4">
        <f>SUM(E8+D9)</f>
        <v>130000</v>
      </c>
      <c r="F9" s="4">
        <f>F8-D9</f>
        <v>450000</v>
      </c>
    </row>
    <row r="10" spans="1:6" x14ac:dyDescent="0.35">
      <c r="A10" s="5">
        <v>45234</v>
      </c>
      <c r="B10" s="2">
        <v>1946</v>
      </c>
      <c r="C10" s="2" t="s">
        <v>59</v>
      </c>
      <c r="D10" s="4">
        <v>10000</v>
      </c>
      <c r="E10" s="4">
        <f t="shared" ref="E10:E30" si="0">SUM(E9+D10)</f>
        <v>140000</v>
      </c>
      <c r="F10" s="4">
        <f t="shared" ref="F10:F30" si="1">F9-D10</f>
        <v>440000</v>
      </c>
    </row>
    <row r="11" spans="1:6" x14ac:dyDescent="0.35">
      <c r="A11" s="2" t="s">
        <v>79</v>
      </c>
      <c r="B11" s="2">
        <v>627</v>
      </c>
      <c r="C11" s="2" t="s">
        <v>59</v>
      </c>
      <c r="D11" s="4">
        <v>10000</v>
      </c>
      <c r="E11" s="4">
        <f t="shared" si="0"/>
        <v>150000</v>
      </c>
      <c r="F11" s="4">
        <f t="shared" si="1"/>
        <v>430000</v>
      </c>
    </row>
    <row r="12" spans="1:6" x14ac:dyDescent="0.35">
      <c r="A12" s="2" t="s">
        <v>80</v>
      </c>
      <c r="B12" s="2">
        <v>3089</v>
      </c>
      <c r="C12" s="2" t="s">
        <v>59</v>
      </c>
      <c r="D12" s="4">
        <v>20000</v>
      </c>
      <c r="E12" s="4">
        <f t="shared" si="0"/>
        <v>170000</v>
      </c>
      <c r="F12" s="4">
        <f t="shared" si="1"/>
        <v>410000</v>
      </c>
    </row>
    <row r="13" spans="1:6" x14ac:dyDescent="0.35">
      <c r="A13" s="2" t="s">
        <v>81</v>
      </c>
      <c r="B13" s="2">
        <v>4440</v>
      </c>
      <c r="C13" s="2" t="s">
        <v>59</v>
      </c>
      <c r="D13" s="4">
        <v>20000</v>
      </c>
      <c r="E13" s="4">
        <f t="shared" si="0"/>
        <v>190000</v>
      </c>
      <c r="F13" s="4">
        <f t="shared" si="1"/>
        <v>390000</v>
      </c>
    </row>
    <row r="14" spans="1:6" x14ac:dyDescent="0.35">
      <c r="A14" s="2" t="s">
        <v>82</v>
      </c>
      <c r="B14" s="2">
        <v>5159</v>
      </c>
      <c r="C14" s="2" t="s">
        <v>59</v>
      </c>
      <c r="D14" s="4">
        <v>10000</v>
      </c>
      <c r="E14" s="4">
        <f t="shared" si="0"/>
        <v>200000</v>
      </c>
      <c r="F14" s="4">
        <f t="shared" si="1"/>
        <v>380000</v>
      </c>
    </row>
    <row r="15" spans="1:6" x14ac:dyDescent="0.35">
      <c r="A15" s="2" t="s">
        <v>83</v>
      </c>
      <c r="B15" s="2">
        <v>5724</v>
      </c>
      <c r="C15" s="2" t="s">
        <v>59</v>
      </c>
      <c r="D15" s="4">
        <v>10000</v>
      </c>
      <c r="E15" s="4">
        <f t="shared" si="0"/>
        <v>210000</v>
      </c>
      <c r="F15" s="4">
        <f t="shared" si="1"/>
        <v>370000</v>
      </c>
    </row>
    <row r="16" spans="1:6" x14ac:dyDescent="0.35">
      <c r="A16" s="2" t="s">
        <v>84</v>
      </c>
      <c r="B16" s="2">
        <v>6318</v>
      </c>
      <c r="C16" s="2" t="s">
        <v>59</v>
      </c>
      <c r="D16" s="4">
        <v>10000</v>
      </c>
      <c r="E16" s="4">
        <f t="shared" si="0"/>
        <v>220000</v>
      </c>
      <c r="F16" s="4">
        <f t="shared" si="1"/>
        <v>360000</v>
      </c>
    </row>
    <row r="17" spans="1:6" x14ac:dyDescent="0.35">
      <c r="A17" s="2" t="s">
        <v>85</v>
      </c>
      <c r="B17" s="2">
        <v>6701</v>
      </c>
      <c r="C17" s="2" t="s">
        <v>59</v>
      </c>
      <c r="D17" s="4">
        <v>20000</v>
      </c>
      <c r="E17" s="4">
        <f t="shared" si="0"/>
        <v>240000</v>
      </c>
      <c r="F17" s="4">
        <f t="shared" si="1"/>
        <v>340000</v>
      </c>
    </row>
    <row r="18" spans="1:6" x14ac:dyDescent="0.35">
      <c r="A18" s="2" t="s">
        <v>86</v>
      </c>
      <c r="B18" s="2">
        <v>7577</v>
      </c>
      <c r="C18" s="2" t="s">
        <v>59</v>
      </c>
      <c r="D18" s="4">
        <v>10000</v>
      </c>
      <c r="E18" s="4">
        <f t="shared" si="0"/>
        <v>250000</v>
      </c>
      <c r="F18" s="4">
        <f t="shared" si="1"/>
        <v>330000</v>
      </c>
    </row>
    <row r="19" spans="1:6" x14ac:dyDescent="0.35">
      <c r="A19" s="5">
        <v>45478</v>
      </c>
      <c r="B19" s="2">
        <v>829</v>
      </c>
      <c r="C19" s="2" t="s">
        <v>59</v>
      </c>
      <c r="D19" s="4">
        <v>10000</v>
      </c>
      <c r="E19" s="4">
        <f t="shared" si="0"/>
        <v>260000</v>
      </c>
      <c r="F19" s="4">
        <f t="shared" si="1"/>
        <v>320000</v>
      </c>
    </row>
    <row r="20" spans="1:6" x14ac:dyDescent="0.35">
      <c r="A20" s="5">
        <v>45328</v>
      </c>
      <c r="B20" s="2">
        <v>8823</v>
      </c>
      <c r="C20" s="2" t="s">
        <v>59</v>
      </c>
      <c r="D20" s="4">
        <v>10000</v>
      </c>
      <c r="E20" s="4">
        <f t="shared" si="0"/>
        <v>270000</v>
      </c>
      <c r="F20" s="4">
        <f t="shared" si="1"/>
        <v>310000</v>
      </c>
    </row>
    <row r="21" spans="1:6" x14ac:dyDescent="0.35">
      <c r="A21" s="2" t="s">
        <v>88</v>
      </c>
      <c r="B21" s="2">
        <v>9565</v>
      </c>
      <c r="C21" s="2" t="s">
        <v>59</v>
      </c>
      <c r="D21" s="4">
        <v>20000</v>
      </c>
      <c r="E21" s="4">
        <f t="shared" si="0"/>
        <v>290000</v>
      </c>
      <c r="F21" s="4">
        <f t="shared" si="1"/>
        <v>290000</v>
      </c>
    </row>
    <row r="22" spans="1:6" x14ac:dyDescent="0.35">
      <c r="A22" s="2" t="s">
        <v>89</v>
      </c>
      <c r="B22" s="2">
        <v>10785</v>
      </c>
      <c r="C22" s="2" t="s">
        <v>59</v>
      </c>
      <c r="D22" s="4">
        <v>20000</v>
      </c>
      <c r="E22" s="4">
        <f t="shared" si="0"/>
        <v>310000</v>
      </c>
      <c r="F22" s="4">
        <f t="shared" si="1"/>
        <v>270000</v>
      </c>
    </row>
    <row r="23" spans="1:6" x14ac:dyDescent="0.35">
      <c r="A23" s="2" t="s">
        <v>90</v>
      </c>
      <c r="B23" s="2">
        <v>12510</v>
      </c>
      <c r="C23" s="2" t="s">
        <v>59</v>
      </c>
      <c r="D23" s="4">
        <v>20000</v>
      </c>
      <c r="E23" s="4">
        <f t="shared" si="0"/>
        <v>330000</v>
      </c>
      <c r="F23" s="4">
        <f t="shared" si="1"/>
        <v>250000</v>
      </c>
    </row>
    <row r="24" spans="1:6" x14ac:dyDescent="0.35">
      <c r="A24" s="5">
        <v>45963</v>
      </c>
      <c r="B24" s="2">
        <v>9342</v>
      </c>
      <c r="C24" s="2" t="s">
        <v>59</v>
      </c>
      <c r="D24" s="4">
        <v>20000</v>
      </c>
      <c r="E24" s="4">
        <f t="shared" si="0"/>
        <v>350000</v>
      </c>
      <c r="F24" s="4">
        <f t="shared" si="1"/>
        <v>230000</v>
      </c>
    </row>
    <row r="25" spans="1:6" x14ac:dyDescent="0.35">
      <c r="A25" s="2" t="s">
        <v>91</v>
      </c>
      <c r="B25" s="2">
        <v>10007</v>
      </c>
      <c r="C25" s="2" t="s">
        <v>59</v>
      </c>
      <c r="D25" s="4">
        <v>20000</v>
      </c>
      <c r="E25" s="4">
        <f t="shared" si="0"/>
        <v>370000</v>
      </c>
      <c r="F25" s="4">
        <f t="shared" si="1"/>
        <v>210000</v>
      </c>
    </row>
    <row r="26" spans="1:6" x14ac:dyDescent="0.35">
      <c r="A26" s="2" t="s">
        <v>92</v>
      </c>
      <c r="B26" s="2">
        <v>12215</v>
      </c>
      <c r="C26" s="2" t="s">
        <v>59</v>
      </c>
      <c r="D26" s="4">
        <v>20000</v>
      </c>
      <c r="E26" s="4">
        <f t="shared" si="0"/>
        <v>390000</v>
      </c>
      <c r="F26" s="4">
        <f t="shared" si="1"/>
        <v>190000</v>
      </c>
    </row>
    <row r="27" spans="1:6" x14ac:dyDescent="0.35">
      <c r="A27" s="2" t="s">
        <v>93</v>
      </c>
      <c r="B27" s="2">
        <v>13967</v>
      </c>
      <c r="C27" s="2" t="s">
        <v>59</v>
      </c>
      <c r="D27" s="4">
        <v>20000</v>
      </c>
      <c r="E27" s="4">
        <f t="shared" si="0"/>
        <v>410000</v>
      </c>
      <c r="F27" s="4">
        <f t="shared" si="1"/>
        <v>170000</v>
      </c>
    </row>
    <row r="28" spans="1:6" x14ac:dyDescent="0.35">
      <c r="A28" s="2" t="s">
        <v>49</v>
      </c>
      <c r="B28" s="2">
        <v>13239</v>
      </c>
      <c r="C28" s="2" t="s">
        <v>59</v>
      </c>
      <c r="D28" s="4">
        <v>20000</v>
      </c>
      <c r="E28" s="4">
        <f t="shared" si="0"/>
        <v>430000</v>
      </c>
      <c r="F28" s="4">
        <f t="shared" si="1"/>
        <v>150000</v>
      </c>
    </row>
    <row r="29" spans="1:6" x14ac:dyDescent="0.35">
      <c r="A29" s="5">
        <v>46113</v>
      </c>
      <c r="B29" s="2">
        <v>13892</v>
      </c>
      <c r="C29" s="2" t="s">
        <v>59</v>
      </c>
      <c r="D29" s="4">
        <v>10000</v>
      </c>
      <c r="E29" s="4">
        <f t="shared" si="0"/>
        <v>440000</v>
      </c>
      <c r="F29" s="4">
        <f t="shared" si="1"/>
        <v>140000</v>
      </c>
    </row>
    <row r="30" spans="1:6" x14ac:dyDescent="0.35">
      <c r="A30" s="5">
        <v>46236</v>
      </c>
      <c r="B30" s="2">
        <v>12399</v>
      </c>
      <c r="C30" s="2" t="s">
        <v>59</v>
      </c>
      <c r="D30" s="4">
        <v>10000</v>
      </c>
      <c r="E30" s="4">
        <f t="shared" si="0"/>
        <v>450000</v>
      </c>
      <c r="F30" s="4">
        <f t="shared" si="1"/>
        <v>130000</v>
      </c>
    </row>
    <row r="31" spans="1:6" x14ac:dyDescent="0.35">
      <c r="A31" s="16" t="s">
        <v>500</v>
      </c>
      <c r="B31" s="16">
        <v>13244</v>
      </c>
      <c r="C31" s="16" t="s">
        <v>59</v>
      </c>
      <c r="D31" s="46">
        <v>20000</v>
      </c>
      <c r="E31" s="46">
        <f>E30+D31</f>
        <v>470000</v>
      </c>
      <c r="F31" s="46">
        <f>F30-D31</f>
        <v>110000</v>
      </c>
    </row>
    <row r="32" spans="1:6" x14ac:dyDescent="0.35">
      <c r="A32" s="16" t="s">
        <v>514</v>
      </c>
      <c r="B32" s="16">
        <v>13484</v>
      </c>
      <c r="C32" s="16" t="s">
        <v>59</v>
      </c>
      <c r="D32" s="46">
        <v>10000</v>
      </c>
      <c r="E32" s="46">
        <f>E31+D32</f>
        <v>480000</v>
      </c>
      <c r="F32" s="46">
        <f>F31-D32</f>
        <v>100000</v>
      </c>
    </row>
    <row r="33" spans="1:6" x14ac:dyDescent="0.35">
      <c r="A33" s="16" t="s">
        <v>515</v>
      </c>
      <c r="B33" s="16">
        <v>13689</v>
      </c>
      <c r="C33" s="16" t="s">
        <v>59</v>
      </c>
      <c r="D33" s="46">
        <v>20000</v>
      </c>
      <c r="E33" s="46">
        <f>E32+D33</f>
        <v>500000</v>
      </c>
      <c r="F33" s="46">
        <f>F32-D33</f>
        <v>80000</v>
      </c>
    </row>
    <row r="34" spans="1:6" x14ac:dyDescent="0.35">
      <c r="A34" s="44">
        <v>46303</v>
      </c>
      <c r="B34" s="16">
        <v>1725</v>
      </c>
      <c r="C34" s="16" t="s">
        <v>59</v>
      </c>
      <c r="D34" s="46">
        <v>20000</v>
      </c>
      <c r="E34" s="46">
        <f>E33+D34</f>
        <v>520000</v>
      </c>
      <c r="F34" s="46">
        <f>F33-D34</f>
        <v>60000</v>
      </c>
    </row>
    <row r="35" spans="1:6" x14ac:dyDescent="0.35">
      <c r="A35" s="69" t="s">
        <v>779</v>
      </c>
      <c r="B35" s="16">
        <v>2050</v>
      </c>
      <c r="C35" s="16" t="s">
        <v>59</v>
      </c>
      <c r="D35" s="46">
        <v>10000</v>
      </c>
      <c r="E35" s="46">
        <v>530000</v>
      </c>
      <c r="F35" s="46">
        <v>50000</v>
      </c>
    </row>
    <row r="36" spans="1:6" x14ac:dyDescent="0.35">
      <c r="A36" s="30"/>
      <c r="B36" s="30"/>
      <c r="C36" s="30"/>
      <c r="D36" s="30"/>
      <c r="E36" s="30"/>
      <c r="F36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1" sqref="B11"/>
    </sheetView>
  </sheetViews>
  <sheetFormatPr defaultRowHeight="14.5" x14ac:dyDescent="0.35"/>
  <cols>
    <col min="1" max="1" width="10.453125" bestFit="1" customWidth="1"/>
  </cols>
  <sheetData>
    <row r="1" spans="1:7" x14ac:dyDescent="0.35">
      <c r="A1" s="27" t="s">
        <v>472</v>
      </c>
      <c r="B1" s="27" t="s">
        <v>566</v>
      </c>
      <c r="C1" s="27"/>
      <c r="D1" s="27"/>
      <c r="E1" s="27"/>
      <c r="F1" s="27"/>
      <c r="G1" s="27"/>
    </row>
    <row r="2" spans="1:7" x14ac:dyDescent="0.35">
      <c r="A2" s="27" t="s">
        <v>519</v>
      </c>
      <c r="B2" s="27" t="s">
        <v>567</v>
      </c>
      <c r="C2" s="27"/>
      <c r="D2" s="27"/>
      <c r="E2" s="27"/>
      <c r="F2" s="27"/>
      <c r="G2" s="27"/>
    </row>
    <row r="3" spans="1:7" x14ac:dyDescent="0.35">
      <c r="A3" s="27" t="s">
        <v>474</v>
      </c>
      <c r="B3" s="27"/>
      <c r="C3" s="27"/>
      <c r="D3" s="27"/>
      <c r="E3" s="27"/>
      <c r="F3" s="27"/>
      <c r="G3" s="27"/>
    </row>
    <row r="4" spans="1:7" x14ac:dyDescent="0.35">
      <c r="A4" s="27" t="s">
        <v>516</v>
      </c>
      <c r="B4" s="27" t="s">
        <v>565</v>
      </c>
      <c r="C4" s="27"/>
      <c r="D4" s="27"/>
      <c r="E4" s="27"/>
      <c r="F4" s="27"/>
      <c r="G4" s="27"/>
    </row>
    <row r="5" spans="1:7" x14ac:dyDescent="0.35">
      <c r="A5" s="27" t="s">
        <v>520</v>
      </c>
      <c r="B5" s="27" t="s">
        <v>568</v>
      </c>
      <c r="C5" s="27"/>
      <c r="D5" s="27"/>
      <c r="E5" s="27"/>
      <c r="F5" s="27"/>
      <c r="G5" s="27"/>
    </row>
    <row r="6" spans="1:7" x14ac:dyDescent="0.35">
      <c r="A6" s="27" t="s">
        <v>521</v>
      </c>
      <c r="B6" s="27">
        <v>4954</v>
      </c>
      <c r="C6" s="27"/>
      <c r="D6" s="27"/>
      <c r="E6" s="27"/>
      <c r="F6" s="27"/>
      <c r="G6" s="27"/>
    </row>
    <row r="7" spans="1:7" x14ac:dyDescent="0.35">
      <c r="A7" s="27"/>
      <c r="B7" s="27"/>
      <c r="C7" s="27"/>
      <c r="D7" s="27"/>
      <c r="E7" s="27"/>
      <c r="F7" s="27"/>
      <c r="G7" s="27"/>
    </row>
    <row r="8" spans="1:7" x14ac:dyDescent="0.35">
      <c r="A8" s="32" t="s">
        <v>6</v>
      </c>
      <c r="B8" s="32" t="s">
        <v>7</v>
      </c>
      <c r="C8" s="32" t="s">
        <v>8</v>
      </c>
      <c r="D8" s="32" t="s">
        <v>9</v>
      </c>
      <c r="E8" s="32" t="s">
        <v>10</v>
      </c>
      <c r="F8" s="32" t="s">
        <v>11</v>
      </c>
      <c r="G8" s="27"/>
    </row>
    <row r="9" spans="1:7" x14ac:dyDescent="0.35">
      <c r="A9" s="6" t="s">
        <v>563</v>
      </c>
      <c r="B9" s="6">
        <v>1476</v>
      </c>
      <c r="C9" s="6" t="s">
        <v>564</v>
      </c>
      <c r="D9" s="10">
        <v>150000</v>
      </c>
      <c r="E9" s="10">
        <v>150000</v>
      </c>
      <c r="F9" s="10">
        <v>650000</v>
      </c>
    </row>
    <row r="10" spans="1:7" x14ac:dyDescent="0.35">
      <c r="A10" s="11">
        <v>46273</v>
      </c>
      <c r="B10" s="6">
        <v>1708</v>
      </c>
      <c r="C10" s="6" t="s">
        <v>588</v>
      </c>
      <c r="D10" s="10">
        <v>10000</v>
      </c>
      <c r="E10" s="10">
        <f>E9+D10</f>
        <v>160000</v>
      </c>
      <c r="F10" s="10">
        <f>F9-D10</f>
        <v>640000</v>
      </c>
    </row>
    <row r="11" spans="1:7" x14ac:dyDescent="0.35">
      <c r="A11" s="11">
        <v>46305</v>
      </c>
      <c r="B11" s="6">
        <v>5033</v>
      </c>
      <c r="C11" s="6" t="s">
        <v>588</v>
      </c>
      <c r="D11" s="10">
        <v>10000</v>
      </c>
      <c r="E11" s="10">
        <f>E10+D11</f>
        <v>170000</v>
      </c>
      <c r="F11" s="10">
        <f>F10-D11</f>
        <v>630000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24"/>
  <sheetViews>
    <sheetView workbookViewId="0">
      <selection activeCell="H13" sqref="H13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7" ht="18.5" x14ac:dyDescent="0.45">
      <c r="A1" s="1" t="s">
        <v>193</v>
      </c>
      <c r="B1" s="1"/>
      <c r="C1" s="1"/>
      <c r="D1" s="1"/>
      <c r="E1" s="1"/>
      <c r="F1" s="1"/>
    </row>
    <row r="2" spans="1:7" ht="18.5" x14ac:dyDescent="0.45">
      <c r="A2" s="1" t="s">
        <v>194</v>
      </c>
      <c r="C2" s="1"/>
      <c r="D2" s="1"/>
      <c r="E2" s="1"/>
      <c r="F2" s="1"/>
    </row>
    <row r="3" spans="1:7" ht="18.5" x14ac:dyDescent="0.45">
      <c r="A3" s="1" t="s">
        <v>195</v>
      </c>
      <c r="B3" s="1"/>
      <c r="C3" s="1"/>
      <c r="D3" s="1"/>
      <c r="E3" s="1"/>
      <c r="F3" s="1"/>
    </row>
    <row r="4" spans="1:7" ht="18.5" x14ac:dyDescent="0.45">
      <c r="A4" s="1" t="s">
        <v>199</v>
      </c>
      <c r="B4" s="1"/>
      <c r="C4" s="1"/>
      <c r="D4" s="1"/>
      <c r="E4" s="1"/>
      <c r="F4" s="1"/>
    </row>
    <row r="5" spans="1:7" ht="18.5" x14ac:dyDescent="0.45">
      <c r="A5" s="1" t="s">
        <v>196</v>
      </c>
      <c r="B5" s="1"/>
      <c r="C5" s="1"/>
      <c r="D5" s="1"/>
      <c r="E5" s="1"/>
      <c r="F5" s="1"/>
    </row>
    <row r="6" spans="1:7" ht="18.5" x14ac:dyDescent="0.45">
      <c r="A6" s="1" t="s">
        <v>197</v>
      </c>
      <c r="B6" s="1"/>
      <c r="C6" s="1"/>
      <c r="D6" s="1" t="s">
        <v>198</v>
      </c>
      <c r="E6" s="1"/>
      <c r="F6" s="1"/>
    </row>
    <row r="7" spans="1:7" x14ac:dyDescent="0.35">
      <c r="A7" s="21" t="s">
        <v>6</v>
      </c>
      <c r="B7" s="22" t="s">
        <v>7</v>
      </c>
      <c r="C7" s="22" t="s">
        <v>8</v>
      </c>
      <c r="D7" s="20" t="s">
        <v>9</v>
      </c>
      <c r="E7" s="20" t="s">
        <v>10</v>
      </c>
      <c r="F7" s="20" t="s">
        <v>11</v>
      </c>
      <c r="G7" s="17"/>
    </row>
    <row r="8" spans="1:7" x14ac:dyDescent="0.35">
      <c r="A8" t="s">
        <v>200</v>
      </c>
      <c r="B8">
        <v>1133</v>
      </c>
      <c r="C8" t="s">
        <v>16</v>
      </c>
      <c r="D8" s="7">
        <v>10000</v>
      </c>
      <c r="E8" s="7">
        <v>10000</v>
      </c>
      <c r="F8" s="7">
        <v>130000</v>
      </c>
    </row>
    <row r="9" spans="1:7" x14ac:dyDescent="0.35">
      <c r="A9" s="8">
        <v>44877</v>
      </c>
      <c r="B9">
        <v>2193</v>
      </c>
      <c r="C9" t="s">
        <v>13</v>
      </c>
      <c r="D9" s="7">
        <v>20000</v>
      </c>
      <c r="E9" s="7">
        <f>SUM(E8+D9)</f>
        <v>30000</v>
      </c>
      <c r="F9" s="7">
        <f>F8-D9</f>
        <v>110000</v>
      </c>
    </row>
    <row r="10" spans="1:7" x14ac:dyDescent="0.35">
      <c r="A10" s="8">
        <v>45263</v>
      </c>
      <c r="B10">
        <v>2192</v>
      </c>
      <c r="C10" t="s">
        <v>59</v>
      </c>
      <c r="D10" s="7">
        <v>10000</v>
      </c>
      <c r="E10" s="7">
        <f t="shared" ref="E10:E20" si="0">SUM(E9+D10)</f>
        <v>40000</v>
      </c>
      <c r="F10" s="7">
        <f t="shared" ref="F10:F20" si="1">F9-D10</f>
        <v>100000</v>
      </c>
    </row>
    <row r="11" spans="1:7" x14ac:dyDescent="0.35">
      <c r="A11" s="8">
        <v>45173</v>
      </c>
      <c r="B11">
        <v>1061</v>
      </c>
      <c r="C11" t="s">
        <v>59</v>
      </c>
      <c r="D11" s="7">
        <v>10000</v>
      </c>
      <c r="E11" s="7">
        <f t="shared" si="0"/>
        <v>50000</v>
      </c>
      <c r="F11" s="7">
        <f t="shared" si="1"/>
        <v>90000</v>
      </c>
    </row>
    <row r="12" spans="1:7" x14ac:dyDescent="0.35">
      <c r="A12" t="s">
        <v>201</v>
      </c>
      <c r="B12">
        <v>1567</v>
      </c>
      <c r="C12" t="s">
        <v>59</v>
      </c>
      <c r="D12" s="7">
        <v>10000</v>
      </c>
      <c r="E12" s="7">
        <f t="shared" si="0"/>
        <v>60000</v>
      </c>
      <c r="F12" s="7">
        <f t="shared" si="1"/>
        <v>80000</v>
      </c>
    </row>
    <row r="13" spans="1:7" x14ac:dyDescent="0.35">
      <c r="A13" s="8">
        <v>45236</v>
      </c>
      <c r="B13">
        <v>461</v>
      </c>
      <c r="C13" t="s">
        <v>59</v>
      </c>
      <c r="D13" s="7">
        <v>10000</v>
      </c>
      <c r="E13" s="7">
        <f t="shared" si="0"/>
        <v>70000</v>
      </c>
      <c r="F13" s="7">
        <f t="shared" si="1"/>
        <v>70000</v>
      </c>
    </row>
    <row r="14" spans="1:7" x14ac:dyDescent="0.35">
      <c r="A14" s="8">
        <v>45176</v>
      </c>
      <c r="B14">
        <v>2617</v>
      </c>
      <c r="C14" t="s">
        <v>59</v>
      </c>
      <c r="D14" s="7">
        <v>10000</v>
      </c>
      <c r="E14" s="7">
        <f t="shared" si="0"/>
        <v>80000</v>
      </c>
      <c r="F14" s="7">
        <f t="shared" si="1"/>
        <v>60000</v>
      </c>
    </row>
    <row r="15" spans="1:7" x14ac:dyDescent="0.35">
      <c r="A15" t="s">
        <v>202</v>
      </c>
      <c r="B15">
        <v>2410</v>
      </c>
      <c r="C15" t="s">
        <v>59</v>
      </c>
      <c r="D15" s="7">
        <v>10000</v>
      </c>
      <c r="E15" s="7">
        <f t="shared" si="0"/>
        <v>90000</v>
      </c>
      <c r="F15" s="7">
        <f t="shared" si="1"/>
        <v>50000</v>
      </c>
    </row>
    <row r="16" spans="1:7" x14ac:dyDescent="0.35">
      <c r="A16" s="8">
        <v>45208</v>
      </c>
      <c r="B16">
        <v>3507</v>
      </c>
      <c r="C16" t="s">
        <v>59</v>
      </c>
      <c r="D16" s="7">
        <v>10000</v>
      </c>
      <c r="E16" s="7">
        <f t="shared" si="0"/>
        <v>100000</v>
      </c>
      <c r="F16" s="7">
        <f t="shared" si="1"/>
        <v>40000</v>
      </c>
    </row>
    <row r="17" spans="1:6" x14ac:dyDescent="0.35">
      <c r="A17" t="s">
        <v>203</v>
      </c>
      <c r="B17">
        <v>4297</v>
      </c>
      <c r="C17" t="s">
        <v>59</v>
      </c>
      <c r="D17" s="7">
        <v>10000</v>
      </c>
      <c r="E17" s="7">
        <f t="shared" si="0"/>
        <v>110000</v>
      </c>
      <c r="F17" s="7">
        <f t="shared" si="1"/>
        <v>30000</v>
      </c>
    </row>
    <row r="18" spans="1:6" x14ac:dyDescent="0.35">
      <c r="A18" s="8">
        <v>45271</v>
      </c>
      <c r="B18">
        <v>4839</v>
      </c>
      <c r="C18" t="s">
        <v>59</v>
      </c>
      <c r="D18" s="7">
        <v>10000</v>
      </c>
      <c r="E18" s="7">
        <f t="shared" si="0"/>
        <v>120000</v>
      </c>
      <c r="F18" s="7">
        <f t="shared" si="1"/>
        <v>20000</v>
      </c>
    </row>
    <row r="19" spans="1:6" x14ac:dyDescent="0.35">
      <c r="A19" t="s">
        <v>31</v>
      </c>
      <c r="B19">
        <v>5630</v>
      </c>
      <c r="C19" t="s">
        <v>59</v>
      </c>
      <c r="D19" s="7">
        <v>10000</v>
      </c>
      <c r="E19" s="7">
        <f t="shared" si="0"/>
        <v>130000</v>
      </c>
      <c r="F19" s="7">
        <f t="shared" si="1"/>
        <v>10000</v>
      </c>
    </row>
    <row r="20" spans="1:6" x14ac:dyDescent="0.35">
      <c r="A20" s="8">
        <v>45384</v>
      </c>
      <c r="B20">
        <v>6522</v>
      </c>
      <c r="C20" t="s">
        <v>59</v>
      </c>
      <c r="D20" s="7">
        <v>10000</v>
      </c>
      <c r="E20" s="7">
        <f t="shared" si="0"/>
        <v>140000</v>
      </c>
      <c r="F20" s="7">
        <f t="shared" si="1"/>
        <v>0</v>
      </c>
    </row>
    <row r="22" spans="1:6" x14ac:dyDescent="0.35">
      <c r="A22" s="8">
        <v>45847</v>
      </c>
      <c r="B22">
        <v>3489</v>
      </c>
      <c r="C22" t="s">
        <v>183</v>
      </c>
      <c r="D22" s="7">
        <v>80000</v>
      </c>
      <c r="E22" t="s">
        <v>204</v>
      </c>
      <c r="F22" t="s">
        <v>182</v>
      </c>
    </row>
    <row r="24" spans="1:6" x14ac:dyDescent="0.35">
      <c r="B24" t="s">
        <v>205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13"/>
  <sheetViews>
    <sheetView workbookViewId="0">
      <selection activeCell="F13" sqref="F13"/>
    </sheetView>
  </sheetViews>
  <sheetFormatPr defaultRowHeight="14.5" x14ac:dyDescent="0.35"/>
  <cols>
    <col min="3" max="3" width="11.36328125" customWidth="1"/>
    <col min="4" max="4" width="11.453125" customWidth="1"/>
    <col min="5" max="5" width="9.36328125" customWidth="1"/>
    <col min="6" max="6" width="11.08984375" customWidth="1"/>
  </cols>
  <sheetData>
    <row r="1" spans="1:6" ht="18.5" x14ac:dyDescent="0.45">
      <c r="A1" s="1" t="s">
        <v>168</v>
      </c>
      <c r="B1" s="1"/>
      <c r="C1" s="1"/>
      <c r="D1" s="1"/>
      <c r="E1" s="1"/>
      <c r="F1" s="1"/>
    </row>
    <row r="2" spans="1:6" ht="18.5" x14ac:dyDescent="0.45">
      <c r="A2" s="1" t="s">
        <v>169</v>
      </c>
      <c r="C2" s="1"/>
      <c r="D2" s="1"/>
      <c r="E2" s="1"/>
      <c r="F2" s="1"/>
    </row>
    <row r="3" spans="1:6" ht="18.5" x14ac:dyDescent="0.45">
      <c r="A3" s="1" t="s">
        <v>170</v>
      </c>
      <c r="B3" s="1"/>
      <c r="C3" s="1"/>
      <c r="D3" s="1"/>
      <c r="E3" s="1"/>
      <c r="F3" s="1"/>
    </row>
    <row r="4" spans="1:6" ht="18.5" x14ac:dyDescent="0.45">
      <c r="A4" s="1" t="s">
        <v>404</v>
      </c>
      <c r="B4" s="1"/>
      <c r="C4" s="1"/>
      <c r="D4" s="1"/>
      <c r="E4" s="1"/>
      <c r="F4" s="1"/>
    </row>
    <row r="5" spans="1:6" ht="18.5" x14ac:dyDescent="0.45">
      <c r="A5" s="1" t="s">
        <v>171</v>
      </c>
      <c r="B5" s="1"/>
      <c r="C5" s="1"/>
      <c r="D5" s="1"/>
      <c r="E5" s="1"/>
      <c r="F5" s="1"/>
    </row>
    <row r="6" spans="1:6" ht="18.5" x14ac:dyDescent="0.45">
      <c r="A6" s="1" t="s">
        <v>172</v>
      </c>
      <c r="B6" s="1"/>
      <c r="C6" s="1"/>
      <c r="D6" s="1" t="s">
        <v>173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 t="s">
        <v>174</v>
      </c>
      <c r="B8" s="6">
        <v>1379</v>
      </c>
      <c r="C8" s="6" t="s">
        <v>59</v>
      </c>
      <c r="D8" s="10">
        <v>150000</v>
      </c>
      <c r="E8" s="10">
        <v>150000</v>
      </c>
      <c r="F8" s="10">
        <v>1250000</v>
      </c>
    </row>
    <row r="9" spans="1:6" x14ac:dyDescent="0.35">
      <c r="A9" s="11">
        <v>46239</v>
      </c>
      <c r="B9" s="6">
        <v>12957</v>
      </c>
      <c r="C9" s="6" t="s">
        <v>59</v>
      </c>
      <c r="D9" s="10">
        <v>20000</v>
      </c>
      <c r="E9" s="10">
        <f>E8+D9</f>
        <v>170000</v>
      </c>
      <c r="F9" s="10">
        <f>F8-D9</f>
        <v>1230000</v>
      </c>
    </row>
    <row r="10" spans="1:6" x14ac:dyDescent="0.35">
      <c r="A10" s="6" t="s">
        <v>508</v>
      </c>
      <c r="B10" s="6">
        <v>13577</v>
      </c>
      <c r="C10" s="6" t="s">
        <v>59</v>
      </c>
      <c r="D10" s="10">
        <v>250000</v>
      </c>
      <c r="E10" s="10">
        <f>E9+D10</f>
        <v>420000</v>
      </c>
      <c r="F10" s="10">
        <f>F9-D10</f>
        <v>980000</v>
      </c>
    </row>
    <row r="11" spans="1:6" x14ac:dyDescent="0.35">
      <c r="A11" s="11">
        <v>46210</v>
      </c>
      <c r="B11" s="6">
        <v>1417</v>
      </c>
      <c r="C11" s="6" t="s">
        <v>59</v>
      </c>
      <c r="D11" s="10">
        <v>20000</v>
      </c>
      <c r="E11" s="10">
        <f>E10+D11</f>
        <v>440000</v>
      </c>
      <c r="F11" s="10">
        <f>F10-D11</f>
        <v>960000</v>
      </c>
    </row>
    <row r="12" spans="1:6" x14ac:dyDescent="0.35">
      <c r="A12" s="6" t="s">
        <v>590</v>
      </c>
      <c r="B12" s="6">
        <v>1802</v>
      </c>
      <c r="C12" s="6" t="s">
        <v>59</v>
      </c>
      <c r="D12" s="10">
        <v>20000</v>
      </c>
      <c r="E12" s="10">
        <f>E11+D12</f>
        <v>460000</v>
      </c>
      <c r="F12" s="10">
        <f>F11-D12</f>
        <v>940000</v>
      </c>
    </row>
    <row r="13" spans="1:6" x14ac:dyDescent="0.35">
      <c r="A13" s="59" t="s">
        <v>728</v>
      </c>
      <c r="B13" s="60">
        <v>2031</v>
      </c>
      <c r="C13" s="60" t="s">
        <v>59</v>
      </c>
      <c r="D13" s="7">
        <v>20000</v>
      </c>
      <c r="E13" s="7">
        <v>470000</v>
      </c>
      <c r="F13" s="7">
        <v>920000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28" workbookViewId="0">
      <selection activeCell="D41" sqref="D41"/>
    </sheetView>
  </sheetViews>
  <sheetFormatPr defaultRowHeight="14.5" x14ac:dyDescent="0.35"/>
  <cols>
    <col min="1" max="1" width="12.7265625" customWidth="1"/>
    <col min="3" max="3" width="12.54296875" customWidth="1"/>
  </cols>
  <sheetData>
    <row r="1" spans="1:6" ht="18.5" x14ac:dyDescent="0.45">
      <c r="A1" s="1" t="s">
        <v>427</v>
      </c>
      <c r="B1" s="1"/>
      <c r="C1" s="1"/>
      <c r="D1" s="1"/>
      <c r="E1" s="1"/>
      <c r="F1" s="1"/>
    </row>
    <row r="2" spans="1:6" ht="18.5" x14ac:dyDescent="0.45">
      <c r="A2" s="1" t="s">
        <v>428</v>
      </c>
      <c r="C2" s="1"/>
      <c r="D2" s="1"/>
      <c r="E2" s="1"/>
      <c r="F2" s="1"/>
    </row>
    <row r="3" spans="1:6" ht="18.5" x14ac:dyDescent="0.45">
      <c r="A3" s="1" t="s">
        <v>429</v>
      </c>
      <c r="B3" s="1"/>
      <c r="C3" s="1"/>
      <c r="D3" s="1"/>
      <c r="E3" s="1"/>
      <c r="F3" s="1"/>
    </row>
    <row r="4" spans="1:6" ht="18.5" x14ac:dyDescent="0.45">
      <c r="A4" s="1" t="s">
        <v>191</v>
      </c>
      <c r="B4" s="1"/>
      <c r="C4" s="1"/>
      <c r="D4" s="1"/>
      <c r="E4" s="1"/>
      <c r="F4" s="1"/>
    </row>
    <row r="5" spans="1:6" ht="18.5" x14ac:dyDescent="0.45">
      <c r="A5" s="1" t="s">
        <v>430</v>
      </c>
      <c r="B5" s="1"/>
      <c r="C5" s="1"/>
      <c r="D5" s="1"/>
      <c r="E5" s="1"/>
      <c r="F5" s="1"/>
    </row>
    <row r="6" spans="1:6" ht="18.5" x14ac:dyDescent="0.45">
      <c r="A6" s="1" t="s">
        <v>431</v>
      </c>
      <c r="B6" s="1"/>
      <c r="C6" s="1"/>
      <c r="D6" s="1" t="s">
        <v>432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34" t="s">
        <v>433</v>
      </c>
      <c r="B8" s="13">
        <v>14</v>
      </c>
      <c r="C8" s="13" t="s">
        <v>435</v>
      </c>
      <c r="D8" s="15">
        <v>10000</v>
      </c>
      <c r="E8" s="15">
        <v>10000</v>
      </c>
      <c r="F8" s="15">
        <v>620000</v>
      </c>
    </row>
    <row r="9" spans="1:6" x14ac:dyDescent="0.35">
      <c r="A9" s="13" t="s">
        <v>214</v>
      </c>
      <c r="B9" s="13">
        <v>2060</v>
      </c>
      <c r="C9" s="13" t="s">
        <v>436</v>
      </c>
      <c r="D9" s="15">
        <v>140000</v>
      </c>
      <c r="E9" s="15">
        <f>E8+D9</f>
        <v>150000</v>
      </c>
      <c r="F9" s="15">
        <f>F8-D9</f>
        <v>480000</v>
      </c>
    </row>
    <row r="10" spans="1:6" x14ac:dyDescent="0.35">
      <c r="A10" s="13" t="s">
        <v>417</v>
      </c>
      <c r="B10" s="13">
        <v>2569</v>
      </c>
      <c r="C10" s="13" t="s">
        <v>16</v>
      </c>
      <c r="D10" s="15">
        <v>10000</v>
      </c>
      <c r="E10" s="15">
        <f t="shared" ref="E10:E31" si="0">E9+D10</f>
        <v>160000</v>
      </c>
      <c r="F10" s="15">
        <f t="shared" ref="F10:F31" si="1">F9-D10</f>
        <v>470000</v>
      </c>
    </row>
    <row r="11" spans="1:6" x14ac:dyDescent="0.35">
      <c r="A11" s="13" t="s">
        <v>434</v>
      </c>
      <c r="B11" s="13">
        <v>3589</v>
      </c>
      <c r="C11" s="13" t="s">
        <v>16</v>
      </c>
      <c r="D11" s="15">
        <v>10000</v>
      </c>
      <c r="E11" s="15">
        <f t="shared" si="0"/>
        <v>170000</v>
      </c>
      <c r="F11" s="15">
        <f t="shared" si="1"/>
        <v>460000</v>
      </c>
    </row>
    <row r="12" spans="1:6" x14ac:dyDescent="0.35">
      <c r="A12" s="13" t="s">
        <v>30</v>
      </c>
      <c r="B12" s="13">
        <v>5091</v>
      </c>
      <c r="C12" s="13" t="s">
        <v>16</v>
      </c>
      <c r="D12" s="15">
        <v>10000</v>
      </c>
      <c r="E12" s="15">
        <f t="shared" si="0"/>
        <v>180000</v>
      </c>
      <c r="F12" s="15">
        <f t="shared" si="1"/>
        <v>450000</v>
      </c>
    </row>
    <row r="13" spans="1:6" x14ac:dyDescent="0.35">
      <c r="A13" s="14">
        <v>45479</v>
      </c>
      <c r="B13" s="13">
        <v>8885</v>
      </c>
      <c r="C13" s="13" t="s">
        <v>16</v>
      </c>
      <c r="D13" s="15">
        <v>20000</v>
      </c>
      <c r="E13" s="15">
        <f t="shared" si="0"/>
        <v>200000</v>
      </c>
      <c r="F13" s="15">
        <f t="shared" si="1"/>
        <v>430000</v>
      </c>
    </row>
    <row r="14" spans="1:6" x14ac:dyDescent="0.35">
      <c r="A14" s="14">
        <v>45419</v>
      </c>
      <c r="B14" s="13">
        <v>9392</v>
      </c>
      <c r="C14" s="13" t="s">
        <v>16</v>
      </c>
      <c r="D14" s="15">
        <v>50000</v>
      </c>
      <c r="E14" s="15">
        <f t="shared" si="0"/>
        <v>250000</v>
      </c>
      <c r="F14" s="15">
        <f t="shared" si="1"/>
        <v>380000</v>
      </c>
    </row>
    <row r="15" spans="1:6" x14ac:dyDescent="0.35">
      <c r="A15" s="14">
        <v>45634</v>
      </c>
      <c r="B15" s="13">
        <v>327</v>
      </c>
      <c r="C15" s="13" t="s">
        <v>16</v>
      </c>
      <c r="D15" s="15">
        <v>20000</v>
      </c>
      <c r="E15" s="15">
        <f t="shared" si="0"/>
        <v>270000</v>
      </c>
      <c r="F15" s="15">
        <f t="shared" si="1"/>
        <v>360000</v>
      </c>
    </row>
    <row r="16" spans="1:6" x14ac:dyDescent="0.35">
      <c r="A16" s="14">
        <v>45574</v>
      </c>
      <c r="B16" s="13">
        <v>10679</v>
      </c>
      <c r="C16" s="13" t="s">
        <v>16</v>
      </c>
      <c r="D16" s="15">
        <v>20000</v>
      </c>
      <c r="E16" s="15">
        <f t="shared" si="0"/>
        <v>290000</v>
      </c>
      <c r="F16" s="15">
        <f t="shared" si="1"/>
        <v>340000</v>
      </c>
    </row>
    <row r="17" spans="1:6" x14ac:dyDescent="0.35">
      <c r="A17" s="14">
        <v>45575</v>
      </c>
      <c r="B17" s="13">
        <v>11372</v>
      </c>
      <c r="C17" s="13" t="s">
        <v>16</v>
      </c>
      <c r="D17" s="15">
        <v>10000</v>
      </c>
      <c r="E17" s="15">
        <f t="shared" si="0"/>
        <v>300000</v>
      </c>
      <c r="F17" s="15">
        <f t="shared" si="1"/>
        <v>330000</v>
      </c>
    </row>
    <row r="18" spans="1:6" x14ac:dyDescent="0.35">
      <c r="A18" s="14">
        <v>45607</v>
      </c>
      <c r="B18" s="13">
        <v>10925</v>
      </c>
      <c r="C18" s="13" t="s">
        <v>16</v>
      </c>
      <c r="D18" s="15">
        <v>10000</v>
      </c>
      <c r="E18" s="15">
        <f t="shared" si="0"/>
        <v>310000</v>
      </c>
      <c r="F18" s="15">
        <f t="shared" si="1"/>
        <v>320000</v>
      </c>
    </row>
    <row r="19" spans="1:6" x14ac:dyDescent="0.35">
      <c r="A19" s="14">
        <v>45577</v>
      </c>
      <c r="B19" s="13">
        <v>12319</v>
      </c>
      <c r="C19" s="13" t="s">
        <v>16</v>
      </c>
      <c r="D19" s="15">
        <v>10000</v>
      </c>
      <c r="E19" s="15">
        <f t="shared" si="0"/>
        <v>320000</v>
      </c>
      <c r="F19" s="15">
        <f t="shared" si="1"/>
        <v>310000</v>
      </c>
    </row>
    <row r="20" spans="1:6" x14ac:dyDescent="0.35">
      <c r="A20" s="13" t="s">
        <v>184</v>
      </c>
      <c r="B20" s="13">
        <v>12773</v>
      </c>
      <c r="C20" s="13" t="s">
        <v>16</v>
      </c>
      <c r="D20" s="15">
        <v>10000</v>
      </c>
      <c r="E20" s="15">
        <f t="shared" si="0"/>
        <v>330000</v>
      </c>
      <c r="F20" s="15">
        <f t="shared" si="1"/>
        <v>300000</v>
      </c>
    </row>
    <row r="21" spans="1:6" x14ac:dyDescent="0.35">
      <c r="A21" s="14">
        <v>45844</v>
      </c>
      <c r="B21" s="13">
        <v>10280</v>
      </c>
      <c r="C21" s="13" t="s">
        <v>16</v>
      </c>
      <c r="D21" s="15">
        <v>50000</v>
      </c>
      <c r="E21" s="15">
        <f t="shared" si="0"/>
        <v>380000</v>
      </c>
      <c r="F21" s="15">
        <f t="shared" si="1"/>
        <v>250000</v>
      </c>
    </row>
    <row r="22" spans="1:6" x14ac:dyDescent="0.35">
      <c r="A22" s="13" t="s">
        <v>437</v>
      </c>
      <c r="B22" s="13">
        <v>12188</v>
      </c>
      <c r="C22" s="13" t="s">
        <v>16</v>
      </c>
      <c r="D22" s="15">
        <v>10000</v>
      </c>
      <c r="E22" s="15">
        <f t="shared" si="0"/>
        <v>390000</v>
      </c>
      <c r="F22" s="15">
        <f t="shared" si="1"/>
        <v>240000</v>
      </c>
    </row>
    <row r="23" spans="1:6" x14ac:dyDescent="0.35">
      <c r="A23" s="14">
        <v>45938</v>
      </c>
      <c r="B23" s="13">
        <v>12461</v>
      </c>
      <c r="C23" s="13" t="s">
        <v>16</v>
      </c>
      <c r="D23" s="15">
        <v>10000</v>
      </c>
      <c r="E23" s="15">
        <f t="shared" si="0"/>
        <v>400000</v>
      </c>
      <c r="F23" s="15">
        <f t="shared" si="1"/>
        <v>230000</v>
      </c>
    </row>
    <row r="24" spans="1:6" x14ac:dyDescent="0.35">
      <c r="A24" s="14">
        <v>45909</v>
      </c>
      <c r="B24" s="13">
        <v>12689</v>
      </c>
      <c r="C24" s="13" t="s">
        <v>16</v>
      </c>
      <c r="D24" s="15">
        <v>10000</v>
      </c>
      <c r="E24" s="15">
        <f t="shared" si="0"/>
        <v>410000</v>
      </c>
      <c r="F24" s="15">
        <f t="shared" si="1"/>
        <v>220000</v>
      </c>
    </row>
    <row r="25" spans="1:6" x14ac:dyDescent="0.35">
      <c r="A25" s="14">
        <v>45940</v>
      </c>
      <c r="B25" s="13">
        <v>13742</v>
      </c>
      <c r="C25" s="13" t="s">
        <v>16</v>
      </c>
      <c r="D25" s="15">
        <v>10000</v>
      </c>
      <c r="E25" s="15">
        <f t="shared" si="0"/>
        <v>420000</v>
      </c>
      <c r="F25" s="15">
        <f t="shared" si="1"/>
        <v>210000</v>
      </c>
    </row>
    <row r="26" spans="1:6" x14ac:dyDescent="0.35">
      <c r="A26" s="14">
        <v>45972</v>
      </c>
      <c r="B26" s="13">
        <v>13326</v>
      </c>
      <c r="C26" s="13" t="s">
        <v>16</v>
      </c>
      <c r="D26" s="15">
        <v>10000</v>
      </c>
      <c r="E26" s="15">
        <f t="shared" si="0"/>
        <v>430000</v>
      </c>
      <c r="F26" s="15">
        <f t="shared" si="1"/>
        <v>200000</v>
      </c>
    </row>
    <row r="27" spans="1:6" x14ac:dyDescent="0.35">
      <c r="A27" s="14">
        <v>45912</v>
      </c>
      <c r="B27" s="13">
        <v>13135</v>
      </c>
      <c r="C27" s="13" t="s">
        <v>16</v>
      </c>
      <c r="D27" s="15">
        <v>10000</v>
      </c>
      <c r="E27" s="15">
        <f t="shared" si="0"/>
        <v>440000</v>
      </c>
      <c r="F27" s="15">
        <f t="shared" si="1"/>
        <v>190000</v>
      </c>
    </row>
    <row r="28" spans="1:6" x14ac:dyDescent="0.35">
      <c r="A28" s="13" t="s">
        <v>438</v>
      </c>
      <c r="B28" s="13">
        <v>12145</v>
      </c>
      <c r="C28" s="13" t="s">
        <v>16</v>
      </c>
      <c r="D28" s="15">
        <v>20000</v>
      </c>
      <c r="E28" s="15">
        <f t="shared" si="0"/>
        <v>460000</v>
      </c>
      <c r="F28" s="15">
        <f t="shared" si="1"/>
        <v>170000</v>
      </c>
    </row>
    <row r="29" spans="1:6" x14ac:dyDescent="0.35">
      <c r="A29" s="13" t="s">
        <v>439</v>
      </c>
      <c r="B29" s="13">
        <v>12850</v>
      </c>
      <c r="C29" s="13" t="s">
        <v>16</v>
      </c>
      <c r="D29" s="15">
        <v>10000</v>
      </c>
      <c r="E29" s="15">
        <f t="shared" si="0"/>
        <v>470000</v>
      </c>
      <c r="F29" s="15">
        <f t="shared" si="1"/>
        <v>160000</v>
      </c>
    </row>
    <row r="30" spans="1:6" x14ac:dyDescent="0.35">
      <c r="A30" s="13" t="s">
        <v>278</v>
      </c>
      <c r="B30" s="13">
        <v>13281</v>
      </c>
      <c r="C30" s="13" t="s">
        <v>16</v>
      </c>
      <c r="D30" s="15">
        <v>10000</v>
      </c>
      <c r="E30" s="15">
        <f t="shared" si="0"/>
        <v>480000</v>
      </c>
      <c r="F30" s="15">
        <f t="shared" si="1"/>
        <v>150000</v>
      </c>
    </row>
    <row r="31" spans="1:6" x14ac:dyDescent="0.35">
      <c r="A31" s="14">
        <v>46300</v>
      </c>
      <c r="B31" s="13">
        <v>13319</v>
      </c>
      <c r="C31" s="13" t="s">
        <v>16</v>
      </c>
      <c r="D31" s="15">
        <v>10000</v>
      </c>
      <c r="E31" s="15">
        <f t="shared" si="0"/>
        <v>490000</v>
      </c>
      <c r="F31" s="15">
        <f t="shared" si="1"/>
        <v>140000</v>
      </c>
    </row>
    <row r="32" spans="1:6" x14ac:dyDescent="0.35">
      <c r="A32" s="14">
        <v>46362</v>
      </c>
      <c r="B32" s="13">
        <v>13605</v>
      </c>
      <c r="C32" s="13" t="s">
        <v>16</v>
      </c>
      <c r="D32" s="15">
        <v>10000</v>
      </c>
      <c r="E32" s="15">
        <f>E31+D32</f>
        <v>500000</v>
      </c>
      <c r="F32" s="15">
        <f>F31-D32</f>
        <v>130000</v>
      </c>
    </row>
    <row r="33" spans="1:6" x14ac:dyDescent="0.35">
      <c r="A33" s="14">
        <v>46029</v>
      </c>
      <c r="B33" s="13">
        <v>1356</v>
      </c>
      <c r="C33" s="13" t="s">
        <v>16</v>
      </c>
      <c r="D33" s="15">
        <v>10000</v>
      </c>
      <c r="E33" s="15">
        <f>E32+D33</f>
        <v>510000</v>
      </c>
      <c r="F33" s="15">
        <f>F32-D33</f>
        <v>120000</v>
      </c>
    </row>
    <row r="34" spans="1:6" x14ac:dyDescent="0.35">
      <c r="A34" s="13" t="s">
        <v>589</v>
      </c>
      <c r="B34" s="13">
        <v>1767</v>
      </c>
      <c r="C34" s="13" t="s">
        <v>16</v>
      </c>
      <c r="D34" s="15">
        <v>10000</v>
      </c>
      <c r="E34" s="15">
        <f>E33+D34</f>
        <v>520000</v>
      </c>
      <c r="F34" s="15">
        <f>F33-D34</f>
        <v>110000</v>
      </c>
    </row>
    <row r="35" spans="1:6" x14ac:dyDescent="0.35">
      <c r="A35" t="s">
        <v>729</v>
      </c>
      <c r="B35" s="61">
        <v>2021</v>
      </c>
      <c r="C35" s="61" t="s">
        <v>16</v>
      </c>
      <c r="D35" s="7">
        <v>10000</v>
      </c>
      <c r="E35" s="7">
        <v>530000</v>
      </c>
      <c r="F35" s="7">
        <v>100000</v>
      </c>
    </row>
    <row r="36" spans="1:6" x14ac:dyDescent="0.35">
      <c r="A36" s="8">
        <v>46032</v>
      </c>
      <c r="B36" s="61">
        <v>2145</v>
      </c>
      <c r="C36" s="61" t="s">
        <v>784</v>
      </c>
      <c r="D36" s="7">
        <v>10000</v>
      </c>
      <c r="E36" s="7">
        <f>E35+D36</f>
        <v>540000</v>
      </c>
      <c r="F36" s="7">
        <f>F35-D36</f>
        <v>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21"/>
  <sheetViews>
    <sheetView topLeftCell="A9" workbookViewId="0">
      <selection activeCell="F22" sqref="F22"/>
    </sheetView>
  </sheetViews>
  <sheetFormatPr defaultRowHeight="14.5" x14ac:dyDescent="0.35"/>
  <cols>
    <col min="1" max="1" width="10.453125" bestFit="1" customWidth="1"/>
    <col min="3" max="3" width="10.7265625" customWidth="1"/>
    <col min="6" max="6" width="11.90625" customWidth="1"/>
  </cols>
  <sheetData>
    <row r="1" spans="1:7" ht="18.5" x14ac:dyDescent="0.45">
      <c r="A1" s="1" t="s">
        <v>187</v>
      </c>
      <c r="B1" s="1"/>
      <c r="C1" s="1"/>
      <c r="D1" s="1"/>
      <c r="E1" s="1"/>
      <c r="F1" s="1"/>
    </row>
    <row r="2" spans="1:7" ht="18.5" x14ac:dyDescent="0.45">
      <c r="A2" s="1" t="s">
        <v>188</v>
      </c>
      <c r="C2" s="1"/>
      <c r="D2" s="1"/>
      <c r="E2" s="1"/>
      <c r="F2" s="1"/>
    </row>
    <row r="3" spans="1:7" ht="18.5" x14ac:dyDescent="0.45">
      <c r="A3" s="1" t="s">
        <v>189</v>
      </c>
      <c r="B3" s="1"/>
      <c r="C3" s="1"/>
      <c r="D3" s="1"/>
      <c r="E3" s="1"/>
      <c r="F3" s="28" t="s">
        <v>512</v>
      </c>
    </row>
    <row r="4" spans="1:7" ht="18.5" x14ac:dyDescent="0.45">
      <c r="A4" s="1" t="s">
        <v>191</v>
      </c>
      <c r="B4" s="1" t="s">
        <v>513</v>
      </c>
      <c r="C4" s="1"/>
      <c r="D4" s="1"/>
      <c r="E4" s="1"/>
    </row>
    <row r="5" spans="1:7" ht="18.5" x14ac:dyDescent="0.45">
      <c r="A5" s="1" t="s">
        <v>190</v>
      </c>
      <c r="B5" s="1"/>
      <c r="C5" s="1"/>
      <c r="D5" s="1"/>
      <c r="E5" s="1"/>
      <c r="F5" s="1"/>
    </row>
    <row r="6" spans="1:7" ht="18.5" x14ac:dyDescent="0.45">
      <c r="A6" s="1" t="s">
        <v>192</v>
      </c>
      <c r="B6" s="1"/>
      <c r="C6" s="1"/>
      <c r="D6" s="1" t="s">
        <v>66</v>
      </c>
      <c r="E6" s="1"/>
      <c r="F6" s="1"/>
    </row>
    <row r="7" spans="1:7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17"/>
    </row>
    <row r="8" spans="1:7" x14ac:dyDescent="0.35">
      <c r="A8" s="14">
        <v>45907</v>
      </c>
      <c r="B8" s="13">
        <v>12839</v>
      </c>
      <c r="C8" s="13" t="s">
        <v>16</v>
      </c>
      <c r="D8" s="15">
        <v>30000</v>
      </c>
      <c r="E8" s="15">
        <v>30000</v>
      </c>
      <c r="F8" s="15">
        <v>620000</v>
      </c>
      <c r="G8" s="17"/>
    </row>
    <row r="9" spans="1:7" x14ac:dyDescent="0.35">
      <c r="A9" s="13" t="s">
        <v>184</v>
      </c>
      <c r="B9" s="13">
        <v>12780</v>
      </c>
      <c r="C9" s="13" t="s">
        <v>16</v>
      </c>
      <c r="D9" s="15">
        <v>10000</v>
      </c>
      <c r="E9" s="15">
        <f>SUM(E8+D9)</f>
        <v>40000</v>
      </c>
      <c r="F9" s="15">
        <f>F8-D9</f>
        <v>610000</v>
      </c>
      <c r="G9" s="17"/>
    </row>
    <row r="10" spans="1:7" x14ac:dyDescent="0.35">
      <c r="A10" s="13" t="s">
        <v>68</v>
      </c>
      <c r="B10" s="13">
        <v>13526</v>
      </c>
      <c r="C10" s="13" t="s">
        <v>16</v>
      </c>
      <c r="D10" s="15">
        <v>10000</v>
      </c>
      <c r="E10" s="15">
        <f t="shared" ref="E10:E16" si="0">SUM(E9+D10)</f>
        <v>50000</v>
      </c>
      <c r="F10" s="15">
        <f t="shared" ref="F10:F16" si="1">F9-D10</f>
        <v>600000</v>
      </c>
      <c r="G10" s="17"/>
    </row>
    <row r="11" spans="1:7" x14ac:dyDescent="0.35">
      <c r="A11" s="14" t="s">
        <v>69</v>
      </c>
      <c r="B11" s="13">
        <v>13356</v>
      </c>
      <c r="C11" s="13" t="s">
        <v>16</v>
      </c>
      <c r="D11" s="15">
        <v>10000</v>
      </c>
      <c r="E11" s="15">
        <f t="shared" si="0"/>
        <v>60000</v>
      </c>
      <c r="F11" s="15">
        <f t="shared" si="1"/>
        <v>590000</v>
      </c>
      <c r="G11" s="17"/>
    </row>
    <row r="12" spans="1:7" x14ac:dyDescent="0.35">
      <c r="A12" s="13" t="s">
        <v>185</v>
      </c>
      <c r="B12" s="13">
        <v>13198</v>
      </c>
      <c r="C12" s="13" t="s">
        <v>16</v>
      </c>
      <c r="D12" s="15">
        <v>10000</v>
      </c>
      <c r="E12" s="15">
        <f t="shared" si="0"/>
        <v>70000</v>
      </c>
      <c r="F12" s="15">
        <f t="shared" si="1"/>
        <v>580000</v>
      </c>
      <c r="G12" s="17"/>
    </row>
    <row r="13" spans="1:7" x14ac:dyDescent="0.35">
      <c r="A13" s="13" t="s">
        <v>186</v>
      </c>
      <c r="B13" s="13">
        <v>12196</v>
      </c>
      <c r="C13" s="13" t="s">
        <v>16</v>
      </c>
      <c r="D13" s="15">
        <v>10000</v>
      </c>
      <c r="E13" s="15">
        <f t="shared" si="0"/>
        <v>80000</v>
      </c>
      <c r="F13" s="15">
        <f t="shared" si="1"/>
        <v>570000</v>
      </c>
      <c r="G13" s="17"/>
    </row>
    <row r="14" spans="1:7" x14ac:dyDescent="0.35">
      <c r="A14" s="14">
        <v>46026</v>
      </c>
      <c r="B14" s="13">
        <v>13991</v>
      </c>
      <c r="C14" s="13" t="s">
        <v>16</v>
      </c>
      <c r="D14" s="15">
        <v>10000</v>
      </c>
      <c r="E14" s="15">
        <f t="shared" si="0"/>
        <v>90000</v>
      </c>
      <c r="F14" s="15">
        <f t="shared" si="1"/>
        <v>560000</v>
      </c>
      <c r="G14" s="17"/>
    </row>
    <row r="15" spans="1:7" x14ac:dyDescent="0.35">
      <c r="A15" s="14">
        <v>46299</v>
      </c>
      <c r="B15" s="13">
        <v>13205</v>
      </c>
      <c r="C15" s="13" t="s">
        <v>16</v>
      </c>
      <c r="D15" s="15">
        <v>10000</v>
      </c>
      <c r="E15" s="15">
        <f t="shared" si="0"/>
        <v>100000</v>
      </c>
      <c r="F15" s="15">
        <f t="shared" si="1"/>
        <v>550000</v>
      </c>
      <c r="G15" s="17"/>
    </row>
    <row r="16" spans="1:7" x14ac:dyDescent="0.35">
      <c r="A16" s="11">
        <v>46331</v>
      </c>
      <c r="B16" s="13">
        <v>13326</v>
      </c>
      <c r="C16" s="13" t="s">
        <v>16</v>
      </c>
      <c r="D16" s="15">
        <v>10000</v>
      </c>
      <c r="E16" s="15">
        <f t="shared" si="0"/>
        <v>110000</v>
      </c>
      <c r="F16" s="15">
        <f t="shared" si="1"/>
        <v>540000</v>
      </c>
    </row>
    <row r="17" spans="1:6" x14ac:dyDescent="0.35">
      <c r="A17" s="6" t="s">
        <v>511</v>
      </c>
      <c r="B17" s="13">
        <v>13609</v>
      </c>
      <c r="C17" s="13" t="s">
        <v>16</v>
      </c>
      <c r="D17" s="15">
        <v>20000</v>
      </c>
      <c r="E17" s="15">
        <f>E16+D17</f>
        <v>130000</v>
      </c>
      <c r="F17" s="15">
        <f>F16-D17</f>
        <v>520000</v>
      </c>
    </row>
    <row r="18" spans="1:6" x14ac:dyDescent="0.35">
      <c r="A18" s="13" t="s">
        <v>529</v>
      </c>
      <c r="B18" s="13">
        <v>1414</v>
      </c>
      <c r="C18" s="13" t="s">
        <v>16</v>
      </c>
      <c r="D18" s="15">
        <v>10000</v>
      </c>
      <c r="E18" s="15">
        <f>E17+D18</f>
        <v>140000</v>
      </c>
      <c r="F18" s="15">
        <f>F17-D18</f>
        <v>510000</v>
      </c>
    </row>
    <row r="19" spans="1:6" x14ac:dyDescent="0.35">
      <c r="A19" s="14">
        <v>46242</v>
      </c>
      <c r="B19" s="13">
        <v>1676</v>
      </c>
      <c r="C19" s="13" t="s">
        <v>16</v>
      </c>
      <c r="D19" s="15">
        <v>10000</v>
      </c>
      <c r="E19" s="15">
        <f>E18+D19</f>
        <v>150000</v>
      </c>
      <c r="F19" s="15">
        <f>F18-D19</f>
        <v>500000</v>
      </c>
    </row>
    <row r="20" spans="1:6" x14ac:dyDescent="0.35">
      <c r="A20" s="8">
        <v>46304</v>
      </c>
      <c r="B20" s="86">
        <v>1972</v>
      </c>
      <c r="C20" s="13" t="s">
        <v>16</v>
      </c>
      <c r="D20" s="7">
        <v>10000</v>
      </c>
      <c r="E20" s="7">
        <f>E19+D20</f>
        <v>160000</v>
      </c>
      <c r="F20" s="7">
        <f>F19-D20</f>
        <v>490000</v>
      </c>
    </row>
    <row r="21" spans="1:6" x14ac:dyDescent="0.35">
      <c r="A21" s="8">
        <v>46275</v>
      </c>
      <c r="B21" s="86">
        <v>2199</v>
      </c>
      <c r="C21" s="13" t="s">
        <v>16</v>
      </c>
      <c r="D21" s="7">
        <v>10000</v>
      </c>
      <c r="E21" s="7">
        <f>E20+D21</f>
        <v>170000</v>
      </c>
      <c r="F21" s="7">
        <f>F20-D21</f>
        <v>480000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D41" sqref="D41"/>
    </sheetView>
  </sheetViews>
  <sheetFormatPr defaultRowHeight="14.5" x14ac:dyDescent="0.35"/>
  <cols>
    <col min="1" max="1" width="12" customWidth="1"/>
    <col min="3" max="3" width="10.81640625" customWidth="1"/>
    <col min="4" max="4" width="12" customWidth="1"/>
    <col min="6" max="6" width="10.7265625" customWidth="1"/>
  </cols>
  <sheetData>
    <row r="1" spans="1:6" ht="18.5" x14ac:dyDescent="0.45">
      <c r="A1" s="1" t="s">
        <v>442</v>
      </c>
      <c r="B1" s="1"/>
      <c r="C1" s="1"/>
      <c r="D1" s="1"/>
      <c r="E1" s="1"/>
      <c r="F1" s="1"/>
    </row>
    <row r="2" spans="1:6" ht="18.5" x14ac:dyDescent="0.45">
      <c r="A2" s="1" t="s">
        <v>443</v>
      </c>
      <c r="C2" s="1"/>
      <c r="D2" s="1"/>
      <c r="E2" s="1"/>
      <c r="F2" s="1"/>
    </row>
    <row r="3" spans="1:6" ht="18.5" x14ac:dyDescent="0.45">
      <c r="A3" s="1" t="s">
        <v>444</v>
      </c>
      <c r="B3" s="1"/>
      <c r="C3" s="1"/>
      <c r="D3" s="1"/>
      <c r="E3" s="1"/>
      <c r="F3" s="1"/>
    </row>
    <row r="4" spans="1:6" ht="18.5" x14ac:dyDescent="0.45">
      <c r="A4" s="1" t="s">
        <v>467</v>
      </c>
      <c r="B4" s="1"/>
      <c r="C4" s="1"/>
      <c r="D4" s="1"/>
      <c r="E4" s="1"/>
      <c r="F4" s="1"/>
    </row>
    <row r="5" spans="1:6" ht="18.5" x14ac:dyDescent="0.45">
      <c r="A5" s="1" t="s">
        <v>445</v>
      </c>
      <c r="B5" s="1"/>
      <c r="C5" s="1"/>
      <c r="D5" s="1"/>
      <c r="E5" s="1"/>
      <c r="F5" s="1"/>
    </row>
    <row r="6" spans="1:6" ht="18.5" x14ac:dyDescent="0.45">
      <c r="A6" s="1" t="s">
        <v>446</v>
      </c>
      <c r="B6" s="1"/>
      <c r="C6" s="1"/>
      <c r="D6" s="1" t="s">
        <v>123</v>
      </c>
      <c r="E6" s="1"/>
      <c r="F6" s="1"/>
    </row>
    <row r="7" spans="1:6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8">
        <v>45017</v>
      </c>
      <c r="B8">
        <v>2387</v>
      </c>
      <c r="C8" t="s">
        <v>32</v>
      </c>
      <c r="D8" s="7">
        <v>120000</v>
      </c>
      <c r="E8" s="7">
        <v>120000</v>
      </c>
      <c r="F8" s="7">
        <v>480000</v>
      </c>
    </row>
    <row r="9" spans="1:6" x14ac:dyDescent="0.35">
      <c r="A9" t="s">
        <v>447</v>
      </c>
      <c r="B9">
        <v>2328</v>
      </c>
      <c r="C9" t="s">
        <v>377</v>
      </c>
      <c r="D9" s="7">
        <v>10000</v>
      </c>
      <c r="E9" s="7">
        <f>E8+D9</f>
        <v>130000</v>
      </c>
      <c r="F9" s="7">
        <f>F8-D9</f>
        <v>470000</v>
      </c>
    </row>
    <row r="10" spans="1:6" x14ac:dyDescent="0.35">
      <c r="A10" s="8">
        <v>45235</v>
      </c>
      <c r="B10">
        <v>1502</v>
      </c>
      <c r="C10" t="s">
        <v>377</v>
      </c>
      <c r="D10" s="7">
        <v>20000</v>
      </c>
      <c r="E10" s="7">
        <f t="shared" ref="E10:E38" si="0">E9+D10</f>
        <v>150000</v>
      </c>
      <c r="F10" s="7">
        <f t="shared" ref="F10:F38" si="1">F9-D10</f>
        <v>450000</v>
      </c>
    </row>
    <row r="11" spans="1:6" x14ac:dyDescent="0.35">
      <c r="A11" t="s">
        <v>416</v>
      </c>
      <c r="B11">
        <v>2108</v>
      </c>
      <c r="C11" t="s">
        <v>377</v>
      </c>
      <c r="D11" s="7">
        <v>10000</v>
      </c>
      <c r="E11" s="7">
        <f t="shared" si="0"/>
        <v>160000</v>
      </c>
      <c r="F11" s="7">
        <f t="shared" si="1"/>
        <v>440000</v>
      </c>
    </row>
    <row r="12" spans="1:6" x14ac:dyDescent="0.35">
      <c r="A12" t="s">
        <v>14</v>
      </c>
      <c r="B12">
        <v>2915</v>
      </c>
      <c r="C12" t="s">
        <v>377</v>
      </c>
      <c r="D12" s="7">
        <v>10000</v>
      </c>
      <c r="E12" s="7">
        <f t="shared" si="0"/>
        <v>170000</v>
      </c>
      <c r="F12" s="7">
        <f t="shared" si="1"/>
        <v>430000</v>
      </c>
    </row>
    <row r="13" spans="1:6" x14ac:dyDescent="0.35">
      <c r="A13" t="s">
        <v>448</v>
      </c>
      <c r="B13">
        <v>4394</v>
      </c>
      <c r="C13" t="s">
        <v>377</v>
      </c>
      <c r="D13" s="7">
        <v>20000</v>
      </c>
      <c r="E13" s="7">
        <f t="shared" si="0"/>
        <v>190000</v>
      </c>
      <c r="F13" s="7">
        <f t="shared" si="1"/>
        <v>410000</v>
      </c>
    </row>
    <row r="14" spans="1:6" x14ac:dyDescent="0.35">
      <c r="A14" t="s">
        <v>449</v>
      </c>
      <c r="B14">
        <v>5007</v>
      </c>
      <c r="C14" t="s">
        <v>377</v>
      </c>
      <c r="D14" s="7">
        <v>10000</v>
      </c>
      <c r="E14" s="7">
        <f t="shared" si="0"/>
        <v>200000</v>
      </c>
      <c r="F14" s="7">
        <f t="shared" si="1"/>
        <v>400000</v>
      </c>
    </row>
    <row r="15" spans="1:6" x14ac:dyDescent="0.35">
      <c r="A15" t="s">
        <v>450</v>
      </c>
      <c r="B15">
        <v>5685</v>
      </c>
      <c r="C15" t="s">
        <v>377</v>
      </c>
      <c r="D15" s="7">
        <v>10000</v>
      </c>
      <c r="E15" s="7">
        <f t="shared" si="0"/>
        <v>210000</v>
      </c>
      <c r="F15" s="7">
        <f t="shared" si="1"/>
        <v>390000</v>
      </c>
    </row>
    <row r="16" spans="1:6" x14ac:dyDescent="0.35">
      <c r="A16" t="s">
        <v>451</v>
      </c>
      <c r="B16">
        <v>6294</v>
      </c>
      <c r="C16" t="s">
        <v>377</v>
      </c>
      <c r="D16" s="7">
        <v>10000</v>
      </c>
      <c r="E16" s="7">
        <f t="shared" si="0"/>
        <v>220000</v>
      </c>
      <c r="F16" s="7">
        <f t="shared" si="1"/>
        <v>380000</v>
      </c>
    </row>
    <row r="17" spans="1:6" x14ac:dyDescent="0.35">
      <c r="A17" t="s">
        <v>161</v>
      </c>
      <c r="B17">
        <v>6641</v>
      </c>
      <c r="C17" t="s">
        <v>377</v>
      </c>
      <c r="D17" s="7">
        <v>10000</v>
      </c>
      <c r="E17" s="7">
        <f t="shared" si="0"/>
        <v>230000</v>
      </c>
      <c r="F17" s="7">
        <f t="shared" si="1"/>
        <v>370000</v>
      </c>
    </row>
    <row r="18" spans="1:6" x14ac:dyDescent="0.35">
      <c r="A18" t="s">
        <v>452</v>
      </c>
      <c r="B18">
        <v>7510</v>
      </c>
      <c r="C18" t="s">
        <v>377</v>
      </c>
      <c r="D18" s="7">
        <v>10000</v>
      </c>
      <c r="E18" s="7">
        <f t="shared" si="0"/>
        <v>240000</v>
      </c>
      <c r="F18" s="7">
        <f t="shared" si="1"/>
        <v>360000</v>
      </c>
    </row>
    <row r="19" spans="1:6" x14ac:dyDescent="0.35">
      <c r="A19" t="s">
        <v>453</v>
      </c>
      <c r="B19">
        <v>9215</v>
      </c>
      <c r="C19" t="s">
        <v>377</v>
      </c>
      <c r="D19" s="7">
        <v>10000</v>
      </c>
      <c r="E19" s="7">
        <f t="shared" si="0"/>
        <v>250000</v>
      </c>
      <c r="F19" s="7">
        <f t="shared" si="1"/>
        <v>350000</v>
      </c>
    </row>
    <row r="20" spans="1:6" x14ac:dyDescent="0.35">
      <c r="A20" t="s">
        <v>454</v>
      </c>
      <c r="B20">
        <v>9216</v>
      </c>
      <c r="C20" t="s">
        <v>377</v>
      </c>
      <c r="D20" s="7">
        <v>10000</v>
      </c>
      <c r="E20" s="7">
        <f t="shared" si="0"/>
        <v>260000</v>
      </c>
      <c r="F20" s="7">
        <f t="shared" si="1"/>
        <v>340000</v>
      </c>
    </row>
    <row r="21" spans="1:6" x14ac:dyDescent="0.35">
      <c r="A21" t="s">
        <v>455</v>
      </c>
      <c r="B21">
        <v>9217</v>
      </c>
      <c r="C21" t="s">
        <v>377</v>
      </c>
      <c r="D21" s="7">
        <v>10000</v>
      </c>
      <c r="E21" s="7">
        <f t="shared" si="0"/>
        <v>270000</v>
      </c>
      <c r="F21" s="7">
        <f t="shared" si="1"/>
        <v>330000</v>
      </c>
    </row>
    <row r="22" spans="1:6" x14ac:dyDescent="0.35">
      <c r="A22" t="s">
        <v>456</v>
      </c>
      <c r="B22">
        <v>12535</v>
      </c>
      <c r="C22" t="s">
        <v>377</v>
      </c>
      <c r="D22" s="7">
        <v>10000</v>
      </c>
      <c r="E22" s="7">
        <f t="shared" si="0"/>
        <v>280000</v>
      </c>
      <c r="F22" s="7">
        <f t="shared" si="1"/>
        <v>320000</v>
      </c>
    </row>
    <row r="23" spans="1:6" x14ac:dyDescent="0.35">
      <c r="A23" t="s">
        <v>457</v>
      </c>
      <c r="B23">
        <v>12536</v>
      </c>
      <c r="C23" t="s">
        <v>377</v>
      </c>
      <c r="D23" s="7">
        <v>10000</v>
      </c>
      <c r="E23" s="7">
        <f t="shared" si="0"/>
        <v>290000</v>
      </c>
      <c r="F23" s="7">
        <f t="shared" si="1"/>
        <v>310000</v>
      </c>
    </row>
    <row r="24" spans="1:6" x14ac:dyDescent="0.35">
      <c r="A24" s="8">
        <v>45333</v>
      </c>
      <c r="B24">
        <v>11564</v>
      </c>
      <c r="C24" t="s">
        <v>377</v>
      </c>
      <c r="D24" s="7">
        <v>20000</v>
      </c>
      <c r="E24" s="7">
        <f t="shared" si="0"/>
        <v>310000</v>
      </c>
      <c r="F24" s="7">
        <f t="shared" si="1"/>
        <v>290000</v>
      </c>
    </row>
    <row r="25" spans="1:6" x14ac:dyDescent="0.35">
      <c r="A25" t="s">
        <v>458</v>
      </c>
      <c r="B25">
        <v>2573</v>
      </c>
      <c r="C25" t="s">
        <v>377</v>
      </c>
      <c r="D25" s="7">
        <v>10000</v>
      </c>
      <c r="E25" s="7">
        <f t="shared" si="0"/>
        <v>320000</v>
      </c>
      <c r="F25" s="7">
        <f t="shared" si="1"/>
        <v>280000</v>
      </c>
    </row>
    <row r="26" spans="1:6" x14ac:dyDescent="0.35">
      <c r="A26" t="s">
        <v>459</v>
      </c>
      <c r="B26">
        <v>9584</v>
      </c>
      <c r="C26" t="s">
        <v>377</v>
      </c>
      <c r="D26" s="7">
        <v>10000</v>
      </c>
      <c r="E26" s="7">
        <f t="shared" si="0"/>
        <v>330000</v>
      </c>
      <c r="F26" s="7">
        <f t="shared" si="1"/>
        <v>270000</v>
      </c>
    </row>
    <row r="27" spans="1:6" x14ac:dyDescent="0.35">
      <c r="A27" s="8">
        <v>45660</v>
      </c>
      <c r="B27">
        <v>9586</v>
      </c>
      <c r="C27" t="s">
        <v>377</v>
      </c>
      <c r="D27" s="7">
        <v>10000</v>
      </c>
      <c r="E27" s="7">
        <f t="shared" si="0"/>
        <v>340000</v>
      </c>
      <c r="F27" s="7">
        <f t="shared" si="1"/>
        <v>260000</v>
      </c>
    </row>
    <row r="28" spans="1:6" x14ac:dyDescent="0.35">
      <c r="A28" t="s">
        <v>308</v>
      </c>
      <c r="B28">
        <v>10856</v>
      </c>
      <c r="C28" t="s">
        <v>377</v>
      </c>
      <c r="D28" s="7">
        <v>10000</v>
      </c>
      <c r="E28" s="7">
        <f t="shared" si="0"/>
        <v>350000</v>
      </c>
      <c r="F28" s="7">
        <f t="shared" si="1"/>
        <v>250000</v>
      </c>
    </row>
    <row r="29" spans="1:6" x14ac:dyDescent="0.35">
      <c r="A29" t="s">
        <v>460</v>
      </c>
      <c r="B29">
        <v>10855</v>
      </c>
      <c r="C29" t="s">
        <v>377</v>
      </c>
      <c r="D29" s="7">
        <v>20000</v>
      </c>
      <c r="E29" s="7">
        <f t="shared" si="0"/>
        <v>370000</v>
      </c>
      <c r="F29" s="7">
        <f t="shared" si="1"/>
        <v>230000</v>
      </c>
    </row>
    <row r="30" spans="1:6" x14ac:dyDescent="0.35">
      <c r="A30" t="s">
        <v>461</v>
      </c>
      <c r="B30">
        <v>13548</v>
      </c>
      <c r="C30" t="s">
        <v>377</v>
      </c>
      <c r="D30" s="7">
        <v>10000</v>
      </c>
      <c r="E30" s="7">
        <f t="shared" si="0"/>
        <v>380000</v>
      </c>
      <c r="F30" s="7">
        <f t="shared" si="1"/>
        <v>220000</v>
      </c>
    </row>
    <row r="31" spans="1:6" x14ac:dyDescent="0.35">
      <c r="A31" t="s">
        <v>462</v>
      </c>
      <c r="B31">
        <v>13549</v>
      </c>
      <c r="C31" t="s">
        <v>377</v>
      </c>
      <c r="D31" s="7">
        <v>10000</v>
      </c>
      <c r="E31" s="7">
        <f t="shared" si="0"/>
        <v>390000</v>
      </c>
      <c r="F31" s="7">
        <f t="shared" si="1"/>
        <v>210000</v>
      </c>
    </row>
    <row r="32" spans="1:6" x14ac:dyDescent="0.35">
      <c r="A32" t="s">
        <v>93</v>
      </c>
      <c r="B32">
        <v>13973</v>
      </c>
      <c r="C32" t="s">
        <v>377</v>
      </c>
      <c r="D32" s="7">
        <v>20000</v>
      </c>
      <c r="E32" s="7">
        <f t="shared" si="0"/>
        <v>410000</v>
      </c>
      <c r="F32" s="7">
        <f t="shared" si="1"/>
        <v>190000</v>
      </c>
    </row>
    <row r="33" spans="1:6" x14ac:dyDescent="0.35">
      <c r="A33" t="s">
        <v>463</v>
      </c>
      <c r="B33">
        <v>13545</v>
      </c>
      <c r="C33" t="s">
        <v>377</v>
      </c>
      <c r="D33" s="7">
        <v>10000</v>
      </c>
      <c r="E33" s="7">
        <f t="shared" si="0"/>
        <v>420000</v>
      </c>
      <c r="F33" s="7">
        <f t="shared" si="1"/>
        <v>180000</v>
      </c>
    </row>
    <row r="34" spans="1:6" x14ac:dyDescent="0.35">
      <c r="A34" t="s">
        <v>464</v>
      </c>
      <c r="B34">
        <v>13056</v>
      </c>
      <c r="C34" t="s">
        <v>377</v>
      </c>
      <c r="D34" s="7">
        <v>10000</v>
      </c>
      <c r="E34" s="7">
        <f t="shared" si="0"/>
        <v>430000</v>
      </c>
      <c r="F34" s="7">
        <f t="shared" si="1"/>
        <v>170000</v>
      </c>
    </row>
    <row r="35" spans="1:6" x14ac:dyDescent="0.35">
      <c r="A35" t="s">
        <v>114</v>
      </c>
      <c r="B35">
        <v>12699</v>
      </c>
      <c r="C35" t="s">
        <v>377</v>
      </c>
      <c r="D35" s="7">
        <v>10000</v>
      </c>
      <c r="E35" s="7">
        <f t="shared" si="0"/>
        <v>440000</v>
      </c>
      <c r="F35" s="7">
        <f t="shared" si="1"/>
        <v>160000</v>
      </c>
    </row>
    <row r="36" spans="1:6" x14ac:dyDescent="0.35">
      <c r="A36" s="8">
        <v>46327</v>
      </c>
      <c r="B36">
        <v>12071</v>
      </c>
      <c r="C36" t="s">
        <v>377</v>
      </c>
      <c r="D36" s="7">
        <v>10000</v>
      </c>
      <c r="E36" s="7">
        <f t="shared" si="0"/>
        <v>450000</v>
      </c>
      <c r="F36" s="7">
        <f t="shared" si="1"/>
        <v>150000</v>
      </c>
    </row>
    <row r="37" spans="1:6" x14ac:dyDescent="0.35">
      <c r="A37" t="s">
        <v>465</v>
      </c>
      <c r="B37">
        <v>12855</v>
      </c>
      <c r="C37" t="s">
        <v>377</v>
      </c>
      <c r="D37" s="7">
        <v>20000</v>
      </c>
      <c r="E37" s="7">
        <f t="shared" si="0"/>
        <v>470000</v>
      </c>
      <c r="F37" s="7">
        <f t="shared" si="1"/>
        <v>130000</v>
      </c>
    </row>
    <row r="38" spans="1:6" x14ac:dyDescent="0.35">
      <c r="A38" t="s">
        <v>466</v>
      </c>
      <c r="B38">
        <v>13342</v>
      </c>
      <c r="C38" t="s">
        <v>377</v>
      </c>
      <c r="D38" s="7">
        <v>20000</v>
      </c>
      <c r="E38" s="7">
        <f t="shared" si="0"/>
        <v>490000</v>
      </c>
      <c r="F38" s="7">
        <f t="shared" si="1"/>
        <v>110000</v>
      </c>
    </row>
    <row r="39" spans="1:6" x14ac:dyDescent="0.35">
      <c r="A39" t="s">
        <v>518</v>
      </c>
      <c r="B39">
        <v>13697</v>
      </c>
      <c r="C39" t="s">
        <v>377</v>
      </c>
      <c r="D39" s="7">
        <v>20000</v>
      </c>
      <c r="E39" s="7">
        <f>E38+D39</f>
        <v>510000</v>
      </c>
      <c r="F39" s="7">
        <f>F38-D39</f>
        <v>90000</v>
      </c>
    </row>
    <row r="40" spans="1:6" x14ac:dyDescent="0.35">
      <c r="A40" t="s">
        <v>782</v>
      </c>
      <c r="B40">
        <v>1547</v>
      </c>
      <c r="C40" t="s">
        <v>377</v>
      </c>
      <c r="D40" s="7">
        <v>10000</v>
      </c>
      <c r="E40" s="7">
        <f>E39+D40</f>
        <v>520000</v>
      </c>
      <c r="F40" s="7">
        <f>F39-D40</f>
        <v>80000</v>
      </c>
    </row>
    <row r="41" spans="1:6" x14ac:dyDescent="0.35">
      <c r="A41" t="s">
        <v>783</v>
      </c>
      <c r="B41">
        <v>1931</v>
      </c>
      <c r="C41" t="s">
        <v>377</v>
      </c>
      <c r="D41" s="7">
        <v>20000</v>
      </c>
      <c r="E41" s="7">
        <f>E40+D41</f>
        <v>540000</v>
      </c>
      <c r="F41" s="7">
        <f>F40-D41</f>
        <v>60000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10"/>
  <sheetViews>
    <sheetView workbookViewId="0">
      <selection activeCell="K15" sqref="K15"/>
    </sheetView>
  </sheetViews>
  <sheetFormatPr defaultRowHeight="14.5" x14ac:dyDescent="0.35"/>
  <cols>
    <col min="1" max="1" width="9.453125" bestFit="1" customWidth="1"/>
    <col min="3" max="3" width="11.81640625" customWidth="1"/>
  </cols>
  <sheetData>
    <row r="1" spans="1:7" ht="18.5" x14ac:dyDescent="0.45">
      <c r="A1" s="1" t="s">
        <v>175</v>
      </c>
      <c r="B1" s="1"/>
      <c r="C1" s="1"/>
      <c r="D1" s="1"/>
      <c r="E1" s="1"/>
      <c r="F1" s="1"/>
    </row>
    <row r="2" spans="1:7" ht="18.5" x14ac:dyDescent="0.45">
      <c r="A2" s="1" t="s">
        <v>176</v>
      </c>
      <c r="C2" s="1"/>
      <c r="D2" s="1"/>
      <c r="E2" s="1"/>
      <c r="F2" s="1"/>
    </row>
    <row r="3" spans="1:7" ht="18.5" x14ac:dyDescent="0.45">
      <c r="A3" s="1" t="s">
        <v>177</v>
      </c>
      <c r="B3" s="1"/>
      <c r="C3" s="1"/>
      <c r="D3" s="1"/>
      <c r="E3" s="1"/>
      <c r="F3" s="1"/>
    </row>
    <row r="4" spans="1:7" ht="18.5" x14ac:dyDescent="0.45">
      <c r="A4" s="1" t="s">
        <v>181</v>
      </c>
      <c r="B4" s="1"/>
      <c r="C4" s="1"/>
      <c r="D4" s="1"/>
      <c r="E4" s="1"/>
      <c r="F4" s="1"/>
    </row>
    <row r="5" spans="1:7" ht="18.5" x14ac:dyDescent="0.45">
      <c r="A5" s="1" t="s">
        <v>178</v>
      </c>
      <c r="B5" s="1"/>
      <c r="C5" s="1"/>
      <c r="D5" s="1"/>
      <c r="E5" s="1"/>
      <c r="F5" s="1"/>
    </row>
    <row r="6" spans="1:7" ht="18.5" x14ac:dyDescent="0.45">
      <c r="A6" s="1" t="s">
        <v>179</v>
      </c>
      <c r="B6" s="1"/>
      <c r="C6" s="1"/>
      <c r="D6" s="1" t="s">
        <v>180</v>
      </c>
      <c r="E6" s="1"/>
      <c r="F6" s="1"/>
    </row>
    <row r="7" spans="1:7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7" x14ac:dyDescent="0.35">
      <c r="A8" s="8">
        <v>45200</v>
      </c>
      <c r="B8">
        <v>2784</v>
      </c>
      <c r="C8" t="s">
        <v>13</v>
      </c>
      <c r="D8" s="7">
        <v>500000</v>
      </c>
      <c r="E8" s="7">
        <v>500000</v>
      </c>
      <c r="F8" t="s">
        <v>182</v>
      </c>
    </row>
    <row r="9" spans="1:7" x14ac:dyDescent="0.35">
      <c r="A9" t="s">
        <v>174</v>
      </c>
      <c r="B9">
        <v>5203</v>
      </c>
      <c r="C9" t="s">
        <v>183</v>
      </c>
      <c r="D9" s="7">
        <v>150000</v>
      </c>
      <c r="E9" s="7">
        <v>15000</v>
      </c>
      <c r="F9" t="s">
        <v>182</v>
      </c>
    </row>
    <row r="10" spans="1:7" ht="18.5" x14ac:dyDescent="0.45">
      <c r="A10" s="24" t="s">
        <v>269</v>
      </c>
      <c r="B10" s="24"/>
      <c r="C10" s="24"/>
      <c r="D10" s="24"/>
      <c r="E10" s="24"/>
      <c r="F10" s="24"/>
      <c r="G10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I9" sqref="I9"/>
    </sheetView>
  </sheetViews>
  <sheetFormatPr defaultRowHeight="14.5" x14ac:dyDescent="0.35"/>
  <cols>
    <col min="1" max="1" width="11.36328125" customWidth="1"/>
    <col min="3" max="3" width="17" customWidth="1"/>
    <col min="4" max="4" width="10.36328125" customWidth="1"/>
    <col min="6" max="6" width="10.36328125" customWidth="1"/>
  </cols>
  <sheetData>
    <row r="1" spans="1:6" ht="18.5" x14ac:dyDescent="0.45">
      <c r="A1" s="1" t="s">
        <v>358</v>
      </c>
      <c r="B1" s="1"/>
      <c r="C1" s="1"/>
      <c r="D1" s="1"/>
      <c r="E1" s="1"/>
      <c r="F1" s="1"/>
    </row>
    <row r="2" spans="1:6" ht="18.5" x14ac:dyDescent="0.45">
      <c r="A2" s="1" t="s">
        <v>359</v>
      </c>
      <c r="C2" s="1"/>
      <c r="D2" s="1"/>
      <c r="E2" s="1"/>
      <c r="F2" s="1"/>
    </row>
    <row r="3" spans="1:6" ht="18.5" x14ac:dyDescent="0.45">
      <c r="A3" s="1" t="s">
        <v>360</v>
      </c>
      <c r="B3" s="1"/>
      <c r="C3" s="1"/>
      <c r="D3" s="1"/>
      <c r="E3" s="1"/>
      <c r="F3" s="1"/>
    </row>
    <row r="4" spans="1:6" ht="18.5" x14ac:dyDescent="0.45">
      <c r="A4" s="1" t="s">
        <v>364</v>
      </c>
      <c r="B4" s="1"/>
      <c r="C4" s="1"/>
      <c r="D4" s="1"/>
      <c r="E4" s="1"/>
      <c r="F4" s="1"/>
    </row>
    <row r="5" spans="1:6" ht="18.5" x14ac:dyDescent="0.45">
      <c r="A5" s="1" t="s">
        <v>361</v>
      </c>
      <c r="B5" s="1"/>
      <c r="C5" s="1"/>
      <c r="D5" s="1"/>
      <c r="E5" s="1"/>
      <c r="F5" s="1"/>
    </row>
    <row r="6" spans="1:6" ht="18.5" x14ac:dyDescent="0.45">
      <c r="A6" s="1" t="s">
        <v>362</v>
      </c>
      <c r="B6" s="1"/>
      <c r="C6" s="1"/>
      <c r="D6" s="1" t="s">
        <v>363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ht="18.5" x14ac:dyDescent="0.45">
      <c r="A8" s="1" t="s">
        <v>365</v>
      </c>
    </row>
    <row r="10" spans="1:6" x14ac:dyDescent="0.35">
      <c r="A10" s="8">
        <v>46327</v>
      </c>
      <c r="B10">
        <v>5282</v>
      </c>
      <c r="C10" t="s">
        <v>268</v>
      </c>
      <c r="D10" s="7">
        <v>150000</v>
      </c>
      <c r="E10" s="7">
        <v>150000</v>
      </c>
      <c r="F10" t="s">
        <v>182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J18" sqref="J18"/>
    </sheetView>
  </sheetViews>
  <sheetFormatPr defaultRowHeight="14.5" x14ac:dyDescent="0.35"/>
  <cols>
    <col min="1" max="1" width="10.54296875" customWidth="1"/>
    <col min="3" max="3" width="12.26953125" customWidth="1"/>
  </cols>
  <sheetData>
    <row r="1" spans="1:7" ht="18.5" x14ac:dyDescent="0.45">
      <c r="A1" s="1" t="s">
        <v>397</v>
      </c>
      <c r="B1" s="1"/>
      <c r="C1" s="1"/>
      <c r="D1" s="1"/>
      <c r="E1" s="1"/>
      <c r="F1" s="1"/>
    </row>
    <row r="2" spans="1:7" ht="18.5" x14ac:dyDescent="0.45">
      <c r="A2" s="1" t="s">
        <v>398</v>
      </c>
      <c r="C2" s="1"/>
      <c r="D2" s="1"/>
      <c r="E2" s="1"/>
      <c r="F2" s="1"/>
    </row>
    <row r="3" spans="1:7" ht="18.5" x14ac:dyDescent="0.45">
      <c r="A3" s="1" t="s">
        <v>391</v>
      </c>
      <c r="B3" s="1"/>
      <c r="C3" s="1"/>
      <c r="D3" s="1"/>
      <c r="E3" s="1"/>
      <c r="F3" s="1"/>
    </row>
    <row r="4" spans="1:7" ht="18.5" x14ac:dyDescent="0.45">
      <c r="A4" s="1" t="s">
        <v>400</v>
      </c>
      <c r="B4" s="1"/>
      <c r="C4" s="1"/>
      <c r="D4" s="1"/>
      <c r="E4" s="1"/>
      <c r="F4" s="1"/>
    </row>
    <row r="5" spans="1:7" ht="18.5" x14ac:dyDescent="0.45">
      <c r="A5" s="1" t="s">
        <v>392</v>
      </c>
      <c r="B5" s="1"/>
      <c r="C5" s="1"/>
      <c r="D5" s="1"/>
      <c r="E5" s="1"/>
      <c r="F5" s="1"/>
    </row>
    <row r="6" spans="1:7" ht="18.5" x14ac:dyDescent="0.45">
      <c r="A6" s="1" t="s">
        <v>399</v>
      </c>
      <c r="B6" s="1"/>
      <c r="C6" s="1"/>
      <c r="D6" s="1" t="s">
        <v>99</v>
      </c>
      <c r="E6" s="1"/>
      <c r="F6" s="1"/>
    </row>
    <row r="7" spans="1:7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13"/>
    </row>
    <row r="8" spans="1:7" x14ac:dyDescent="0.35">
      <c r="A8" s="8">
        <v>45055</v>
      </c>
      <c r="B8">
        <v>3409</v>
      </c>
      <c r="C8" t="s">
        <v>401</v>
      </c>
      <c r="D8" s="7">
        <v>425000</v>
      </c>
      <c r="E8" s="7">
        <v>425000</v>
      </c>
      <c r="F8" t="s">
        <v>182</v>
      </c>
    </row>
    <row r="9" spans="1:7" x14ac:dyDescent="0.35">
      <c r="C9" t="s">
        <v>402</v>
      </c>
    </row>
    <row r="10" spans="1:7" x14ac:dyDescent="0.35">
      <c r="A10" s="8">
        <v>46178</v>
      </c>
      <c r="B10">
        <v>1396</v>
      </c>
      <c r="C10" t="s">
        <v>403</v>
      </c>
      <c r="D10" s="7">
        <v>120000</v>
      </c>
      <c r="E10" s="7">
        <v>120000</v>
      </c>
      <c r="F10" t="s">
        <v>182</v>
      </c>
    </row>
    <row r="11" spans="1:7" ht="18.5" x14ac:dyDescent="0.45">
      <c r="A11" s="24" t="s">
        <v>269</v>
      </c>
      <c r="B11" s="24"/>
      <c r="C11" s="24"/>
      <c r="D11" s="24"/>
      <c r="E11" s="24"/>
      <c r="F11" s="24"/>
      <c r="G11" s="2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workbookViewId="0">
      <selection activeCell="A7" sqref="A7:F7"/>
    </sheetView>
  </sheetViews>
  <sheetFormatPr defaultRowHeight="14.5" x14ac:dyDescent="0.35"/>
  <cols>
    <col min="1" max="1" width="10.453125" bestFit="1" customWidth="1"/>
    <col min="3" max="3" width="20" customWidth="1"/>
    <col min="4" max="4" width="10.90625" bestFit="1" customWidth="1"/>
    <col min="5" max="5" width="9.7265625" customWidth="1"/>
    <col min="6" max="6" width="11.36328125" bestFit="1" customWidth="1"/>
  </cols>
  <sheetData>
    <row r="1" spans="1:6" ht="18.5" x14ac:dyDescent="0.45">
      <c r="A1" s="1" t="s">
        <v>94</v>
      </c>
      <c r="B1" s="1"/>
      <c r="C1" s="1"/>
      <c r="D1" s="1"/>
      <c r="E1" s="1"/>
      <c r="F1" s="1"/>
    </row>
    <row r="2" spans="1:6" ht="18.5" x14ac:dyDescent="0.45">
      <c r="A2" s="1" t="s">
        <v>95</v>
      </c>
      <c r="C2" s="1"/>
      <c r="D2" s="1"/>
      <c r="E2" s="1"/>
      <c r="F2" s="1"/>
    </row>
    <row r="3" spans="1:6" ht="18.5" x14ac:dyDescent="0.45">
      <c r="A3" s="1" t="s">
        <v>96</v>
      </c>
      <c r="B3" s="1"/>
      <c r="C3" s="1"/>
      <c r="D3" s="1"/>
      <c r="E3" s="1"/>
      <c r="F3" s="1"/>
    </row>
    <row r="4" spans="1:6" ht="18.5" x14ac:dyDescent="0.45">
      <c r="A4" s="1" t="s">
        <v>277</v>
      </c>
      <c r="B4" s="1"/>
      <c r="C4" s="1"/>
      <c r="D4" s="1"/>
      <c r="E4" s="1"/>
      <c r="F4" s="1"/>
    </row>
    <row r="5" spans="1:6" ht="18.5" x14ac:dyDescent="0.45">
      <c r="A5" s="1" t="s">
        <v>97</v>
      </c>
      <c r="B5" s="1"/>
      <c r="C5" s="1"/>
      <c r="D5" s="1"/>
      <c r="E5" s="1"/>
      <c r="F5" s="1"/>
    </row>
    <row r="6" spans="1:6" ht="18.5" x14ac:dyDescent="0.45">
      <c r="A6" s="1" t="s">
        <v>98</v>
      </c>
      <c r="B6" s="1"/>
      <c r="C6" s="1"/>
      <c r="D6" s="1"/>
      <c r="E6" s="1" t="s">
        <v>99</v>
      </c>
      <c r="F6" s="1"/>
    </row>
    <row r="7" spans="1:6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14">
        <v>45055</v>
      </c>
      <c r="B8" s="13">
        <v>3410</v>
      </c>
      <c r="C8" s="13" t="s">
        <v>70</v>
      </c>
      <c r="D8" s="15">
        <v>150000</v>
      </c>
      <c r="E8" s="15">
        <v>150000</v>
      </c>
      <c r="F8" s="15">
        <v>275000</v>
      </c>
    </row>
    <row r="9" spans="1:6" x14ac:dyDescent="0.35">
      <c r="A9" s="14">
        <v>45209</v>
      </c>
      <c r="B9" s="13">
        <v>4415</v>
      </c>
      <c r="C9" s="13" t="s">
        <v>59</v>
      </c>
      <c r="D9" s="15">
        <v>10000</v>
      </c>
      <c r="E9" s="15">
        <f>SUM(E8+D9)</f>
        <v>160000</v>
      </c>
      <c r="F9" s="15">
        <f>F8-D9</f>
        <v>265000</v>
      </c>
    </row>
    <row r="10" spans="1:6" x14ac:dyDescent="0.35">
      <c r="A10" s="13" t="s">
        <v>100</v>
      </c>
      <c r="B10" s="13">
        <v>5169</v>
      </c>
      <c r="C10" s="13" t="s">
        <v>59</v>
      </c>
      <c r="D10" s="15">
        <v>10000</v>
      </c>
      <c r="E10" s="15">
        <f t="shared" ref="E10:E34" si="0">SUM(E9+D10)</f>
        <v>170000</v>
      </c>
      <c r="F10" s="15">
        <f t="shared" ref="F10:F34" si="1">F9-D10</f>
        <v>255000</v>
      </c>
    </row>
    <row r="11" spans="1:6" x14ac:dyDescent="0.35">
      <c r="A11" s="13" t="s">
        <v>101</v>
      </c>
      <c r="B11" s="13">
        <v>5744</v>
      </c>
      <c r="C11" s="13" t="s">
        <v>59</v>
      </c>
      <c r="D11" s="15">
        <v>10000</v>
      </c>
      <c r="E11" s="15">
        <f t="shared" si="0"/>
        <v>180000</v>
      </c>
      <c r="F11" s="15">
        <f t="shared" si="1"/>
        <v>245000</v>
      </c>
    </row>
    <row r="12" spans="1:6" x14ac:dyDescent="0.35">
      <c r="A12" s="13" t="s">
        <v>102</v>
      </c>
      <c r="B12" s="13">
        <v>10032</v>
      </c>
      <c r="C12" s="13" t="s">
        <v>59</v>
      </c>
      <c r="D12" s="15">
        <v>10000</v>
      </c>
      <c r="E12" s="15">
        <f t="shared" si="0"/>
        <v>190000</v>
      </c>
      <c r="F12" s="15">
        <f t="shared" si="1"/>
        <v>235000</v>
      </c>
    </row>
    <row r="13" spans="1:6" x14ac:dyDescent="0.35">
      <c r="A13" s="13" t="s">
        <v>103</v>
      </c>
      <c r="B13" s="13">
        <v>10033</v>
      </c>
      <c r="C13" s="13" t="s">
        <v>59</v>
      </c>
      <c r="D13" s="15">
        <v>10000</v>
      </c>
      <c r="E13" s="15">
        <f t="shared" si="0"/>
        <v>200000</v>
      </c>
      <c r="F13" s="15">
        <f t="shared" si="1"/>
        <v>225000</v>
      </c>
    </row>
    <row r="14" spans="1:6" x14ac:dyDescent="0.35">
      <c r="A14" s="13" t="s">
        <v>104</v>
      </c>
      <c r="B14" s="13">
        <v>10034</v>
      </c>
      <c r="C14" s="13" t="s">
        <v>59</v>
      </c>
      <c r="D14" s="15">
        <v>10000</v>
      </c>
      <c r="E14" s="15">
        <f t="shared" si="0"/>
        <v>210000</v>
      </c>
      <c r="F14" s="15">
        <f t="shared" si="1"/>
        <v>215000</v>
      </c>
    </row>
    <row r="15" spans="1:6" x14ac:dyDescent="0.35">
      <c r="A15" s="14">
        <v>45539</v>
      </c>
      <c r="B15" s="13">
        <v>10035</v>
      </c>
      <c r="C15" s="13" t="s">
        <v>59</v>
      </c>
      <c r="D15" s="15">
        <v>10000</v>
      </c>
      <c r="E15" s="15">
        <f t="shared" si="0"/>
        <v>220000</v>
      </c>
      <c r="F15" s="15">
        <f t="shared" si="1"/>
        <v>205000</v>
      </c>
    </row>
    <row r="16" spans="1:6" x14ac:dyDescent="0.35">
      <c r="A16" s="14">
        <v>45601</v>
      </c>
      <c r="B16" s="13">
        <v>10036</v>
      </c>
      <c r="C16" s="13" t="s">
        <v>59</v>
      </c>
      <c r="D16" s="15">
        <v>10000</v>
      </c>
      <c r="E16" s="15">
        <f t="shared" si="0"/>
        <v>230000</v>
      </c>
      <c r="F16" s="15">
        <f t="shared" si="1"/>
        <v>195000</v>
      </c>
    </row>
    <row r="17" spans="1:6" x14ac:dyDescent="0.35">
      <c r="A17" s="13" t="s">
        <v>105</v>
      </c>
      <c r="B17" s="13">
        <v>10037</v>
      </c>
      <c r="C17" s="13" t="s">
        <v>59</v>
      </c>
      <c r="D17" s="15">
        <v>10000</v>
      </c>
      <c r="E17" s="15">
        <f t="shared" si="0"/>
        <v>240000</v>
      </c>
      <c r="F17" s="15">
        <f t="shared" si="1"/>
        <v>185000</v>
      </c>
    </row>
    <row r="18" spans="1:6" x14ac:dyDescent="0.35">
      <c r="A18" s="14">
        <v>45420</v>
      </c>
      <c r="B18" s="13">
        <v>10038</v>
      </c>
      <c r="C18" s="13" t="s">
        <v>59</v>
      </c>
      <c r="D18" s="15">
        <v>10000</v>
      </c>
      <c r="E18" s="15">
        <f t="shared" si="0"/>
        <v>250000</v>
      </c>
      <c r="F18" s="15">
        <f t="shared" si="1"/>
        <v>175000</v>
      </c>
    </row>
    <row r="19" spans="1:6" x14ac:dyDescent="0.35">
      <c r="A19" s="13" t="s">
        <v>106</v>
      </c>
      <c r="B19" s="13">
        <v>12729</v>
      </c>
      <c r="C19" s="13" t="s">
        <v>59</v>
      </c>
      <c r="D19" s="15">
        <v>10000</v>
      </c>
      <c r="E19" s="15">
        <f t="shared" si="0"/>
        <v>260000</v>
      </c>
      <c r="F19" s="15">
        <f t="shared" si="1"/>
        <v>165000</v>
      </c>
    </row>
    <row r="20" spans="1:6" x14ac:dyDescent="0.35">
      <c r="A20" s="13" t="s">
        <v>107</v>
      </c>
      <c r="B20" s="13">
        <v>12730</v>
      </c>
      <c r="C20" s="13" t="s">
        <v>59</v>
      </c>
      <c r="D20" s="15">
        <v>10000</v>
      </c>
      <c r="E20" s="15">
        <f t="shared" si="0"/>
        <v>270000</v>
      </c>
      <c r="F20" s="15">
        <f t="shared" si="1"/>
        <v>155000</v>
      </c>
    </row>
    <row r="21" spans="1:6" x14ac:dyDescent="0.35">
      <c r="A21" s="13" t="s">
        <v>108</v>
      </c>
      <c r="B21" s="13">
        <v>12731</v>
      </c>
      <c r="C21" s="13" t="s">
        <v>59</v>
      </c>
      <c r="D21" s="15">
        <v>10000</v>
      </c>
      <c r="E21" s="15">
        <f t="shared" si="0"/>
        <v>280000</v>
      </c>
      <c r="F21" s="15">
        <f t="shared" si="1"/>
        <v>145000</v>
      </c>
    </row>
    <row r="22" spans="1:6" x14ac:dyDescent="0.35">
      <c r="A22" s="14">
        <v>45963</v>
      </c>
      <c r="B22" s="13">
        <v>12732</v>
      </c>
      <c r="C22" s="13" t="s">
        <v>59</v>
      </c>
      <c r="D22" s="15">
        <v>10000</v>
      </c>
      <c r="E22" s="15">
        <f t="shared" si="0"/>
        <v>290000</v>
      </c>
      <c r="F22" s="15">
        <f t="shared" si="1"/>
        <v>135000</v>
      </c>
    </row>
    <row r="23" spans="1:6" x14ac:dyDescent="0.35">
      <c r="A23" s="14">
        <v>45935</v>
      </c>
      <c r="B23" s="13">
        <v>12733</v>
      </c>
      <c r="C23" s="13" t="s">
        <v>59</v>
      </c>
      <c r="D23" s="15">
        <v>15000</v>
      </c>
      <c r="E23" s="15">
        <f t="shared" si="0"/>
        <v>305000</v>
      </c>
      <c r="F23" s="15">
        <f t="shared" si="1"/>
        <v>120000</v>
      </c>
    </row>
    <row r="24" spans="1:6" x14ac:dyDescent="0.35">
      <c r="A24" s="13" t="s">
        <v>109</v>
      </c>
      <c r="B24" s="13">
        <v>11639</v>
      </c>
      <c r="C24" s="13" t="s">
        <v>59</v>
      </c>
      <c r="D24" s="15">
        <v>10000</v>
      </c>
      <c r="E24" s="15">
        <f t="shared" si="0"/>
        <v>315000</v>
      </c>
      <c r="F24" s="15">
        <f t="shared" si="1"/>
        <v>110000</v>
      </c>
    </row>
    <row r="25" spans="1:6" x14ac:dyDescent="0.35">
      <c r="A25" s="13" t="s">
        <v>110</v>
      </c>
      <c r="B25" s="13">
        <v>12282</v>
      </c>
      <c r="C25" s="13" t="s">
        <v>59</v>
      </c>
      <c r="D25" s="15">
        <v>10000</v>
      </c>
      <c r="E25" s="15">
        <f t="shared" si="0"/>
        <v>325000</v>
      </c>
      <c r="F25" s="15">
        <f t="shared" si="1"/>
        <v>100000</v>
      </c>
    </row>
    <row r="26" spans="1:6" x14ac:dyDescent="0.35">
      <c r="A26" s="13" t="s">
        <v>46</v>
      </c>
      <c r="B26" s="13">
        <v>12950</v>
      </c>
      <c r="C26" s="13" t="s">
        <v>59</v>
      </c>
      <c r="D26" s="15">
        <v>10000</v>
      </c>
      <c r="E26" s="15">
        <f t="shared" si="0"/>
        <v>335000</v>
      </c>
      <c r="F26" s="15">
        <f t="shared" si="1"/>
        <v>90000</v>
      </c>
    </row>
    <row r="27" spans="1:6" x14ac:dyDescent="0.35">
      <c r="A27" s="13" t="s">
        <v>111</v>
      </c>
      <c r="B27" s="13">
        <v>12734</v>
      </c>
      <c r="C27" s="13" t="s">
        <v>59</v>
      </c>
      <c r="D27" s="15">
        <v>10000</v>
      </c>
      <c r="E27" s="15">
        <f t="shared" si="0"/>
        <v>345000</v>
      </c>
      <c r="F27" s="15">
        <f t="shared" si="1"/>
        <v>80000</v>
      </c>
    </row>
    <row r="28" spans="1:6" x14ac:dyDescent="0.35">
      <c r="A28" s="13" t="s">
        <v>112</v>
      </c>
      <c r="B28" s="13">
        <v>13796</v>
      </c>
      <c r="C28" s="13" t="s">
        <v>59</v>
      </c>
      <c r="D28" s="15">
        <v>10000</v>
      </c>
      <c r="E28" s="15">
        <f t="shared" si="0"/>
        <v>355000</v>
      </c>
      <c r="F28" s="15">
        <f t="shared" si="1"/>
        <v>70000</v>
      </c>
    </row>
    <row r="29" spans="1:6" x14ac:dyDescent="0.35">
      <c r="A29" s="13" t="s">
        <v>113</v>
      </c>
      <c r="B29" s="13">
        <v>13367</v>
      </c>
      <c r="C29" s="13" t="s">
        <v>59</v>
      </c>
      <c r="D29" s="15">
        <v>10000</v>
      </c>
      <c r="E29" s="15">
        <f t="shared" si="0"/>
        <v>365000</v>
      </c>
      <c r="F29" s="15">
        <f t="shared" si="1"/>
        <v>60000</v>
      </c>
    </row>
    <row r="30" spans="1:6" x14ac:dyDescent="0.35">
      <c r="A30" s="13" t="s">
        <v>114</v>
      </c>
      <c r="B30" s="13">
        <v>12700</v>
      </c>
      <c r="C30" s="13" t="s">
        <v>59</v>
      </c>
      <c r="D30" s="15">
        <v>10000</v>
      </c>
      <c r="E30" s="15">
        <f t="shared" si="0"/>
        <v>375000</v>
      </c>
      <c r="F30" s="15">
        <f t="shared" si="1"/>
        <v>50000</v>
      </c>
    </row>
    <row r="31" spans="1:6" x14ac:dyDescent="0.35">
      <c r="A31" s="13" t="s">
        <v>115</v>
      </c>
      <c r="B31" s="13">
        <v>12236</v>
      </c>
      <c r="C31" s="13" t="s">
        <v>59</v>
      </c>
      <c r="D31" s="15">
        <v>10000</v>
      </c>
      <c r="E31" s="15">
        <f t="shared" si="0"/>
        <v>385000</v>
      </c>
      <c r="F31" s="15">
        <f t="shared" si="1"/>
        <v>40000</v>
      </c>
    </row>
    <row r="32" spans="1:6" x14ac:dyDescent="0.35">
      <c r="A32" s="13" t="s">
        <v>116</v>
      </c>
      <c r="B32" s="13">
        <v>12581</v>
      </c>
      <c r="C32" s="13" t="s">
        <v>59</v>
      </c>
      <c r="D32" s="15">
        <v>10000</v>
      </c>
      <c r="E32" s="15">
        <f t="shared" si="0"/>
        <v>395000</v>
      </c>
      <c r="F32" s="15">
        <f t="shared" si="1"/>
        <v>30000</v>
      </c>
    </row>
    <row r="33" spans="1:6" x14ac:dyDescent="0.35">
      <c r="A33" s="13" t="s">
        <v>116</v>
      </c>
      <c r="B33" s="13">
        <v>12582</v>
      </c>
      <c r="C33" s="13" t="s">
        <v>117</v>
      </c>
      <c r="D33" s="15">
        <v>20000</v>
      </c>
      <c r="E33" s="15">
        <f t="shared" si="0"/>
        <v>415000</v>
      </c>
      <c r="F33" s="15">
        <f t="shared" si="1"/>
        <v>10000</v>
      </c>
    </row>
    <row r="34" spans="1:6" x14ac:dyDescent="0.35">
      <c r="A34" s="13" t="s">
        <v>278</v>
      </c>
      <c r="B34" s="13">
        <v>13285</v>
      </c>
      <c r="C34" s="13" t="s">
        <v>279</v>
      </c>
      <c r="D34" s="10">
        <v>10000</v>
      </c>
      <c r="E34" s="15">
        <f t="shared" si="0"/>
        <v>425000</v>
      </c>
      <c r="F34" s="15">
        <f t="shared" si="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E6" sqref="E6"/>
    </sheetView>
  </sheetViews>
  <sheetFormatPr defaultRowHeight="14.5" x14ac:dyDescent="0.35"/>
  <cols>
    <col min="1" max="1" width="11.81640625" customWidth="1"/>
    <col min="2" max="2" width="10.1796875" customWidth="1"/>
    <col min="3" max="3" width="10.7265625" customWidth="1"/>
    <col min="4" max="4" width="11.36328125" customWidth="1"/>
    <col min="5" max="5" width="10.08984375" customWidth="1"/>
    <col min="6" max="6" width="10.26953125" customWidth="1"/>
  </cols>
  <sheetData>
    <row r="1" spans="1:7" x14ac:dyDescent="0.35">
      <c r="A1" t="s">
        <v>472</v>
      </c>
      <c r="B1" t="s">
        <v>525</v>
      </c>
    </row>
    <row r="2" spans="1:7" x14ac:dyDescent="0.35">
      <c r="A2" t="s">
        <v>519</v>
      </c>
      <c r="B2" t="s">
        <v>526</v>
      </c>
    </row>
    <row r="3" spans="1:7" x14ac:dyDescent="0.35">
      <c r="A3" t="s">
        <v>474</v>
      </c>
      <c r="B3" t="s">
        <v>527</v>
      </c>
    </row>
    <row r="4" spans="1:7" x14ac:dyDescent="0.35">
      <c r="A4" t="s">
        <v>520</v>
      </c>
      <c r="B4" t="s">
        <v>528</v>
      </c>
    </row>
    <row r="5" spans="1:7" x14ac:dyDescent="0.35">
      <c r="A5" t="s">
        <v>516</v>
      </c>
      <c r="B5" t="s">
        <v>524</v>
      </c>
    </row>
    <row r="6" spans="1:7" x14ac:dyDescent="0.35">
      <c r="A6" t="s">
        <v>521</v>
      </c>
      <c r="B6">
        <v>4972</v>
      </c>
      <c r="E6" s="7">
        <v>800000</v>
      </c>
    </row>
    <row r="8" spans="1:7" x14ac:dyDescent="0.35">
      <c r="A8" s="12" t="s">
        <v>6</v>
      </c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6"/>
    </row>
    <row r="9" spans="1:7" x14ac:dyDescent="0.35">
      <c r="A9" s="2" t="s">
        <v>522</v>
      </c>
      <c r="B9" s="2">
        <v>1354</v>
      </c>
      <c r="C9" s="2" t="s">
        <v>523</v>
      </c>
      <c r="D9" s="4">
        <v>200000</v>
      </c>
      <c r="E9" s="4">
        <v>200000</v>
      </c>
      <c r="F9" s="4">
        <v>600000</v>
      </c>
      <c r="G9" s="2"/>
    </row>
    <row r="10" spans="1:7" x14ac:dyDescent="0.35">
      <c r="A10" s="5">
        <v>46364</v>
      </c>
      <c r="B10" s="2">
        <v>1745</v>
      </c>
      <c r="C10" s="2" t="s">
        <v>59</v>
      </c>
      <c r="D10" s="4">
        <v>20000</v>
      </c>
      <c r="E10" s="4">
        <f>E9+D10</f>
        <v>220000</v>
      </c>
      <c r="F10" s="4">
        <f>F9-D10</f>
        <v>580000</v>
      </c>
      <c r="G10" s="2"/>
    </row>
    <row r="11" spans="1:7" x14ac:dyDescent="0.35">
      <c r="A11" s="30" t="s">
        <v>779</v>
      </c>
      <c r="B11" s="30">
        <v>2051</v>
      </c>
      <c r="C11" s="30" t="s">
        <v>59</v>
      </c>
      <c r="D11" s="46">
        <v>10000</v>
      </c>
      <c r="E11" s="46">
        <v>230000</v>
      </c>
      <c r="F11" s="46">
        <v>570000</v>
      </c>
      <c r="G11" s="30"/>
    </row>
    <row r="12" spans="1:7" x14ac:dyDescent="0.35">
      <c r="A12" s="30"/>
      <c r="B12" s="30"/>
      <c r="C12" s="30"/>
      <c r="D12" s="30"/>
      <c r="E12" s="30"/>
      <c r="F12" s="30"/>
      <c r="G12" s="3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J15" sqref="J15"/>
    </sheetView>
  </sheetViews>
  <sheetFormatPr defaultRowHeight="14.5" x14ac:dyDescent="0.35"/>
  <cols>
    <col min="1" max="1" width="9.90625" customWidth="1"/>
    <col min="3" max="3" width="15.36328125" customWidth="1"/>
  </cols>
  <sheetData>
    <row r="1" spans="1:7" ht="18.5" x14ac:dyDescent="0.45">
      <c r="A1" s="1" t="s">
        <v>389</v>
      </c>
      <c r="B1" s="1"/>
      <c r="C1" s="1"/>
      <c r="D1" s="1"/>
      <c r="E1" s="1"/>
      <c r="F1" s="1"/>
    </row>
    <row r="2" spans="1:7" ht="18.5" x14ac:dyDescent="0.45">
      <c r="A2" s="1" t="s">
        <v>390</v>
      </c>
      <c r="C2" s="1"/>
      <c r="D2" s="1"/>
      <c r="E2" s="1"/>
      <c r="F2" s="1"/>
    </row>
    <row r="3" spans="1:7" ht="18.5" x14ac:dyDescent="0.45">
      <c r="A3" s="1" t="s">
        <v>391</v>
      </c>
      <c r="B3" s="1"/>
      <c r="C3" s="1"/>
      <c r="D3" s="1"/>
      <c r="E3" s="1"/>
      <c r="F3" s="1"/>
    </row>
    <row r="4" spans="1:7" ht="18.5" x14ac:dyDescent="0.45">
      <c r="A4" s="1" t="s">
        <v>394</v>
      </c>
      <c r="B4" s="1"/>
      <c r="C4" s="1"/>
      <c r="D4" s="1"/>
      <c r="E4" s="1"/>
      <c r="F4" s="1"/>
    </row>
    <row r="5" spans="1:7" ht="18.5" x14ac:dyDescent="0.45">
      <c r="A5" s="1" t="s">
        <v>392</v>
      </c>
      <c r="B5" s="1"/>
      <c r="C5" s="1"/>
      <c r="D5" s="1"/>
      <c r="E5" s="1"/>
      <c r="F5" s="1"/>
    </row>
    <row r="6" spans="1:7" ht="18.5" x14ac:dyDescent="0.45">
      <c r="A6" s="1" t="s">
        <v>393</v>
      </c>
      <c r="B6" s="1"/>
      <c r="C6" s="1"/>
      <c r="D6" s="1" t="s">
        <v>5</v>
      </c>
      <c r="E6" s="1"/>
      <c r="F6" s="1"/>
    </row>
    <row r="7" spans="1:7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13"/>
    </row>
    <row r="8" spans="1:7" x14ac:dyDescent="0.35">
      <c r="A8" s="8">
        <v>45269</v>
      </c>
      <c r="B8">
        <v>161</v>
      </c>
      <c r="C8" t="s">
        <v>395</v>
      </c>
      <c r="D8">
        <v>5000</v>
      </c>
      <c r="E8">
        <v>5000</v>
      </c>
      <c r="F8" s="7">
        <v>395000</v>
      </c>
    </row>
    <row r="9" spans="1:7" x14ac:dyDescent="0.35">
      <c r="A9" s="8">
        <v>45269</v>
      </c>
      <c r="B9">
        <v>3538</v>
      </c>
      <c r="C9" t="s">
        <v>396</v>
      </c>
      <c r="D9" s="7">
        <v>395000</v>
      </c>
      <c r="E9" s="7">
        <v>400000</v>
      </c>
      <c r="F9" t="s">
        <v>182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8"/>
  <sheetViews>
    <sheetView workbookViewId="0">
      <selection activeCell="K18" sqref="K18"/>
    </sheetView>
  </sheetViews>
  <sheetFormatPr defaultRowHeight="14.5" x14ac:dyDescent="0.35"/>
  <cols>
    <col min="3" max="3" width="10.08984375" customWidth="1"/>
  </cols>
  <sheetData>
    <row r="1" spans="1:6" ht="18.5" x14ac:dyDescent="0.45">
      <c r="A1" s="1" t="s">
        <v>270</v>
      </c>
      <c r="B1" s="1"/>
      <c r="C1" s="1"/>
      <c r="D1" s="1"/>
      <c r="E1" s="1"/>
      <c r="F1" s="1"/>
    </row>
    <row r="2" spans="1:6" ht="18.5" x14ac:dyDescent="0.45">
      <c r="A2" s="1" t="s">
        <v>271</v>
      </c>
      <c r="C2" s="1"/>
      <c r="D2" s="1"/>
      <c r="E2" s="1"/>
      <c r="F2" s="1"/>
    </row>
    <row r="3" spans="1:6" ht="18.5" x14ac:dyDescent="0.45">
      <c r="A3" s="1" t="s">
        <v>272</v>
      </c>
      <c r="B3" s="1"/>
      <c r="C3" s="1"/>
      <c r="D3" s="1"/>
      <c r="E3" s="1"/>
      <c r="F3" s="1"/>
    </row>
    <row r="4" spans="1:6" ht="18.5" x14ac:dyDescent="0.45">
      <c r="A4" s="1" t="s">
        <v>276</v>
      </c>
      <c r="B4" s="1"/>
      <c r="C4" s="1"/>
      <c r="D4" s="1"/>
      <c r="E4" s="1"/>
      <c r="F4" s="1"/>
    </row>
    <row r="5" spans="1:6" ht="18.5" x14ac:dyDescent="0.45">
      <c r="A5" s="1" t="s">
        <v>273</v>
      </c>
      <c r="B5" s="1"/>
      <c r="C5" s="1"/>
      <c r="D5" s="1"/>
      <c r="E5" s="1"/>
      <c r="F5" s="1"/>
    </row>
    <row r="6" spans="1:6" ht="18.5" x14ac:dyDescent="0.45">
      <c r="A6" s="1" t="s">
        <v>274</v>
      </c>
      <c r="B6" s="1"/>
      <c r="C6" s="1"/>
      <c r="D6" s="1" t="s">
        <v>275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8">
        <v>44018</v>
      </c>
      <c r="B8">
        <v>2351</v>
      </c>
      <c r="C8" t="s">
        <v>32</v>
      </c>
      <c r="D8" s="7">
        <v>300000</v>
      </c>
      <c r="E8" s="7">
        <v>300000</v>
      </c>
      <c r="F8" t="s">
        <v>182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8"/>
  <sheetViews>
    <sheetView workbookViewId="0">
      <selection activeCell="J1" sqref="J1"/>
    </sheetView>
  </sheetViews>
  <sheetFormatPr defaultRowHeight="14.5" x14ac:dyDescent="0.35"/>
  <cols>
    <col min="1" max="1" width="10.453125" bestFit="1" customWidth="1"/>
    <col min="6" max="6" width="12" customWidth="1"/>
  </cols>
  <sheetData>
    <row r="1" spans="1:6" ht="18.5" x14ac:dyDescent="0.45">
      <c r="A1" s="1" t="s">
        <v>230</v>
      </c>
      <c r="B1" s="1"/>
      <c r="C1" s="1"/>
      <c r="D1" s="1"/>
      <c r="E1" s="1"/>
      <c r="F1" s="1"/>
    </row>
    <row r="2" spans="1:6" ht="18.5" x14ac:dyDescent="0.45">
      <c r="A2" s="1" t="s">
        <v>231</v>
      </c>
      <c r="C2" s="1"/>
      <c r="D2" s="1"/>
      <c r="E2" s="1"/>
      <c r="F2" s="1"/>
    </row>
    <row r="3" spans="1:6" ht="18.5" x14ac:dyDescent="0.45">
      <c r="A3" s="1" t="s">
        <v>232</v>
      </c>
      <c r="B3" s="1"/>
      <c r="C3" s="1"/>
      <c r="D3" s="1"/>
      <c r="E3" s="1"/>
      <c r="F3" s="1"/>
    </row>
    <row r="4" spans="1:6" ht="18.5" x14ac:dyDescent="0.45">
      <c r="A4" s="1" t="s">
        <v>441</v>
      </c>
      <c r="B4" s="1"/>
      <c r="C4" s="1"/>
      <c r="D4" s="1"/>
      <c r="E4" s="1"/>
      <c r="F4" s="1"/>
    </row>
    <row r="5" spans="1:6" ht="18.5" x14ac:dyDescent="0.45">
      <c r="A5" s="1" t="s">
        <v>233</v>
      </c>
      <c r="B5" s="1"/>
      <c r="C5" s="1"/>
      <c r="D5" s="1"/>
      <c r="E5" s="1"/>
      <c r="F5" s="1"/>
    </row>
    <row r="6" spans="1:6" ht="18.5" x14ac:dyDescent="0.45">
      <c r="A6" s="1" t="s">
        <v>234</v>
      </c>
      <c r="B6" s="1"/>
      <c r="C6" s="1"/>
      <c r="D6" s="1" t="s">
        <v>235</v>
      </c>
      <c r="F6" s="1"/>
    </row>
    <row r="7" spans="1:6" x14ac:dyDescent="0.35">
      <c r="A7" s="13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13" t="s">
        <v>236</v>
      </c>
      <c r="B8" s="13">
        <v>2496</v>
      </c>
      <c r="C8" s="13" t="s">
        <v>57</v>
      </c>
      <c r="D8" s="15">
        <v>100000</v>
      </c>
      <c r="E8" s="15">
        <v>100000</v>
      </c>
      <c r="F8" s="15">
        <v>300000</v>
      </c>
    </row>
    <row r="9" spans="1:6" x14ac:dyDescent="0.35">
      <c r="A9" s="14">
        <v>44144</v>
      </c>
      <c r="B9" s="13">
        <v>2497</v>
      </c>
      <c r="C9" s="13" t="s">
        <v>238</v>
      </c>
      <c r="D9" s="15">
        <v>112000</v>
      </c>
      <c r="E9" s="15">
        <f>SUM(E8+D9)</f>
        <v>212000</v>
      </c>
      <c r="F9" s="15">
        <f>F8-D9</f>
        <v>188000</v>
      </c>
    </row>
    <row r="10" spans="1:6" x14ac:dyDescent="0.35">
      <c r="A10" s="13" t="s">
        <v>237</v>
      </c>
      <c r="B10" s="13">
        <v>2498</v>
      </c>
      <c r="C10" s="13" t="s">
        <v>59</v>
      </c>
      <c r="D10" s="15">
        <v>10000</v>
      </c>
      <c r="E10" s="15">
        <f t="shared" ref="E10:E26" si="0">SUM(E9+D10)</f>
        <v>222000</v>
      </c>
      <c r="F10" s="15">
        <f t="shared" ref="F10:F26" si="1">F9-D10</f>
        <v>178000</v>
      </c>
    </row>
    <row r="11" spans="1:6" x14ac:dyDescent="0.35">
      <c r="A11" s="14">
        <v>45112</v>
      </c>
      <c r="B11" s="13">
        <v>1499</v>
      </c>
      <c r="C11" s="13" t="s">
        <v>59</v>
      </c>
      <c r="D11" s="15">
        <v>10000</v>
      </c>
      <c r="E11" s="15">
        <f t="shared" si="0"/>
        <v>232000</v>
      </c>
      <c r="F11" s="15">
        <f t="shared" si="1"/>
        <v>168000</v>
      </c>
    </row>
    <row r="12" spans="1:6" x14ac:dyDescent="0.35">
      <c r="A12" s="13" t="s">
        <v>127</v>
      </c>
      <c r="B12" s="13">
        <v>519</v>
      </c>
      <c r="C12" s="13" t="s">
        <v>59</v>
      </c>
      <c r="D12" s="15">
        <v>10000</v>
      </c>
      <c r="E12" s="15">
        <f t="shared" si="0"/>
        <v>242000</v>
      </c>
      <c r="F12" s="15">
        <f t="shared" si="1"/>
        <v>158000</v>
      </c>
    </row>
    <row r="13" spans="1:6" x14ac:dyDescent="0.35">
      <c r="A13" s="14">
        <v>45206</v>
      </c>
      <c r="B13" s="13">
        <v>2671</v>
      </c>
      <c r="C13" s="13" t="s">
        <v>59</v>
      </c>
      <c r="D13" s="15">
        <v>10000</v>
      </c>
      <c r="E13" s="15">
        <f t="shared" si="0"/>
        <v>252000</v>
      </c>
      <c r="F13" s="15">
        <f t="shared" si="1"/>
        <v>148000</v>
      </c>
    </row>
    <row r="14" spans="1:6" x14ac:dyDescent="0.35">
      <c r="A14" s="14">
        <v>45268</v>
      </c>
      <c r="B14" s="13">
        <v>2391</v>
      </c>
      <c r="C14" s="13" t="s">
        <v>59</v>
      </c>
      <c r="D14" s="15">
        <v>10000</v>
      </c>
      <c r="E14" s="15">
        <f t="shared" si="0"/>
        <v>262000</v>
      </c>
      <c r="F14" s="15">
        <f t="shared" si="1"/>
        <v>138000</v>
      </c>
    </row>
    <row r="15" spans="1:6" x14ac:dyDescent="0.35">
      <c r="A15" s="14">
        <v>45239</v>
      </c>
      <c r="B15" s="13">
        <v>3549</v>
      </c>
      <c r="C15" s="13" t="s">
        <v>59</v>
      </c>
      <c r="D15" s="15">
        <v>10000</v>
      </c>
      <c r="E15" s="15">
        <f t="shared" si="0"/>
        <v>272000</v>
      </c>
      <c r="F15" s="15">
        <f t="shared" si="1"/>
        <v>128000</v>
      </c>
    </row>
    <row r="16" spans="1:6" x14ac:dyDescent="0.35">
      <c r="A16" s="14">
        <v>45270</v>
      </c>
      <c r="B16" s="13">
        <v>4240</v>
      </c>
      <c r="C16" s="13" t="s">
        <v>59</v>
      </c>
      <c r="D16" s="15">
        <v>10000</v>
      </c>
      <c r="E16" s="15">
        <f t="shared" si="0"/>
        <v>282000</v>
      </c>
      <c r="F16" s="15">
        <f t="shared" si="1"/>
        <v>118000</v>
      </c>
    </row>
    <row r="17" spans="1:6" x14ac:dyDescent="0.35">
      <c r="A17" s="14">
        <v>45210</v>
      </c>
      <c r="B17" s="13">
        <v>4794</v>
      </c>
      <c r="C17" s="13" t="s">
        <v>59</v>
      </c>
      <c r="D17" s="15">
        <v>10000</v>
      </c>
      <c r="E17" s="15">
        <f t="shared" si="0"/>
        <v>292000</v>
      </c>
      <c r="F17" s="15">
        <f t="shared" si="1"/>
        <v>108000</v>
      </c>
    </row>
    <row r="18" spans="1:6" x14ac:dyDescent="0.35">
      <c r="A18" s="14">
        <v>45242</v>
      </c>
      <c r="B18" s="13">
        <v>5478</v>
      </c>
      <c r="C18" s="13" t="s">
        <v>59</v>
      </c>
      <c r="D18" s="15">
        <v>10000</v>
      </c>
      <c r="E18" s="15">
        <f t="shared" si="0"/>
        <v>302000</v>
      </c>
      <c r="F18" s="15">
        <f t="shared" si="1"/>
        <v>98000</v>
      </c>
    </row>
    <row r="19" spans="1:6" x14ac:dyDescent="0.35">
      <c r="A19" s="14">
        <v>45536</v>
      </c>
      <c r="B19" s="13">
        <v>6046</v>
      </c>
      <c r="C19" s="13" t="s">
        <v>59</v>
      </c>
      <c r="D19" s="15">
        <v>10000</v>
      </c>
      <c r="E19" s="15">
        <f t="shared" si="0"/>
        <v>312000</v>
      </c>
      <c r="F19" s="15">
        <f t="shared" si="1"/>
        <v>88000</v>
      </c>
    </row>
    <row r="20" spans="1:6" x14ac:dyDescent="0.35">
      <c r="A20" s="14">
        <v>45628</v>
      </c>
      <c r="B20" s="13">
        <v>7122</v>
      </c>
      <c r="C20" s="13" t="s">
        <v>59</v>
      </c>
      <c r="D20" s="15">
        <v>10000</v>
      </c>
      <c r="E20" s="15">
        <f t="shared" si="0"/>
        <v>322000</v>
      </c>
      <c r="F20" s="15">
        <f t="shared" si="1"/>
        <v>78000</v>
      </c>
    </row>
    <row r="21" spans="1:6" x14ac:dyDescent="0.35">
      <c r="A21" s="14">
        <v>45629</v>
      </c>
      <c r="B21" s="13">
        <v>11381</v>
      </c>
      <c r="C21" s="13" t="s">
        <v>59</v>
      </c>
      <c r="D21" s="15">
        <v>10000</v>
      </c>
      <c r="E21" s="15">
        <f t="shared" si="0"/>
        <v>332000</v>
      </c>
      <c r="F21" s="15">
        <f t="shared" si="1"/>
        <v>68000</v>
      </c>
    </row>
    <row r="22" spans="1:6" x14ac:dyDescent="0.35">
      <c r="A22" s="13" t="s">
        <v>239</v>
      </c>
      <c r="B22" s="13">
        <v>11382</v>
      </c>
      <c r="C22" s="13" t="s">
        <v>59</v>
      </c>
      <c r="D22" s="15">
        <v>10000</v>
      </c>
      <c r="E22" s="15">
        <f t="shared" si="0"/>
        <v>342000</v>
      </c>
      <c r="F22" s="15">
        <f t="shared" si="1"/>
        <v>58000</v>
      </c>
    </row>
    <row r="23" spans="1:6" x14ac:dyDescent="0.35">
      <c r="A23" s="14">
        <v>45510</v>
      </c>
      <c r="B23" s="13">
        <v>11383</v>
      </c>
      <c r="C23" s="13" t="s">
        <v>59</v>
      </c>
      <c r="D23" s="15">
        <v>20000</v>
      </c>
      <c r="E23" s="15">
        <f t="shared" si="0"/>
        <v>362000</v>
      </c>
      <c r="F23" s="15">
        <f t="shared" si="1"/>
        <v>38000</v>
      </c>
    </row>
    <row r="24" spans="1:6" x14ac:dyDescent="0.35">
      <c r="A24" s="14">
        <v>45603</v>
      </c>
      <c r="B24" s="13">
        <v>11384</v>
      </c>
      <c r="C24" s="13" t="s">
        <v>59</v>
      </c>
      <c r="D24" s="15">
        <v>10000</v>
      </c>
      <c r="E24" s="15">
        <f t="shared" si="0"/>
        <v>372000</v>
      </c>
      <c r="F24" s="15">
        <f t="shared" si="1"/>
        <v>28000</v>
      </c>
    </row>
    <row r="25" spans="1:6" x14ac:dyDescent="0.35">
      <c r="A25" s="14">
        <v>45513</v>
      </c>
      <c r="B25" s="13">
        <v>11385</v>
      </c>
      <c r="C25" s="13" t="s">
        <v>59</v>
      </c>
      <c r="D25" s="15">
        <v>20000</v>
      </c>
      <c r="E25" s="15">
        <f t="shared" si="0"/>
        <v>392000</v>
      </c>
      <c r="F25" s="15">
        <f t="shared" si="1"/>
        <v>8000</v>
      </c>
    </row>
    <row r="26" spans="1:6" x14ac:dyDescent="0.35">
      <c r="A26" s="14">
        <v>45604</v>
      </c>
      <c r="B26" s="13">
        <v>11386</v>
      </c>
      <c r="C26" s="13" t="s">
        <v>59</v>
      </c>
      <c r="D26" s="15">
        <v>8000</v>
      </c>
      <c r="E26" s="15">
        <f t="shared" si="0"/>
        <v>400000</v>
      </c>
      <c r="F26" s="15">
        <f t="shared" si="1"/>
        <v>0</v>
      </c>
    </row>
    <row r="27" spans="1:6" x14ac:dyDescent="0.35">
      <c r="A27" t="s">
        <v>240</v>
      </c>
    </row>
    <row r="28" spans="1:6" x14ac:dyDescent="0.35">
      <c r="A28" t="s">
        <v>220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39"/>
  <sheetViews>
    <sheetView topLeftCell="A29" workbookViewId="0">
      <selection activeCell="F40" sqref="F40"/>
    </sheetView>
  </sheetViews>
  <sheetFormatPr defaultRowHeight="14.5" x14ac:dyDescent="0.35"/>
  <cols>
    <col min="1" max="1" width="10.453125" bestFit="1" customWidth="1"/>
    <col min="3" max="3" width="11.08984375" customWidth="1"/>
    <col min="6" max="6" width="10.54296875" customWidth="1"/>
  </cols>
  <sheetData>
    <row r="1" spans="1:6" ht="18.5" x14ac:dyDescent="0.45">
      <c r="A1" s="1" t="s">
        <v>221</v>
      </c>
      <c r="B1" s="1"/>
      <c r="C1" s="1"/>
      <c r="D1" s="1"/>
      <c r="E1" s="1"/>
      <c r="F1" s="1"/>
    </row>
    <row r="2" spans="1:6" ht="18.5" x14ac:dyDescent="0.45">
      <c r="A2" s="1" t="s">
        <v>222</v>
      </c>
      <c r="C2" s="1"/>
      <c r="D2" s="1"/>
      <c r="E2" s="1"/>
      <c r="F2" s="1"/>
    </row>
    <row r="3" spans="1:6" ht="18.5" x14ac:dyDescent="0.45">
      <c r="A3" s="1" t="s">
        <v>223</v>
      </c>
      <c r="B3" s="1"/>
      <c r="C3" s="1"/>
      <c r="D3" s="1"/>
      <c r="E3" s="1"/>
      <c r="F3" s="1"/>
    </row>
    <row r="4" spans="1:6" ht="18.5" x14ac:dyDescent="0.45">
      <c r="A4" s="1" t="s">
        <v>226</v>
      </c>
      <c r="B4" s="1"/>
      <c r="C4" s="1"/>
      <c r="D4" s="1"/>
      <c r="E4" s="1"/>
      <c r="F4" s="1"/>
    </row>
    <row r="5" spans="1:6" ht="18.5" x14ac:dyDescent="0.45">
      <c r="A5" s="1" t="s">
        <v>224</v>
      </c>
      <c r="B5" s="1"/>
      <c r="C5" s="1"/>
      <c r="D5" s="1"/>
      <c r="E5" s="1"/>
      <c r="F5" s="1"/>
    </row>
    <row r="6" spans="1:6" ht="18.5" x14ac:dyDescent="0.45">
      <c r="A6" s="1" t="s">
        <v>225</v>
      </c>
      <c r="B6" s="1"/>
      <c r="C6" s="1"/>
      <c r="D6" s="1"/>
      <c r="E6" s="1" t="s">
        <v>123</v>
      </c>
      <c r="F6" s="1"/>
    </row>
    <row r="7" spans="1:6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18">
        <v>44934</v>
      </c>
      <c r="B8" s="17">
        <v>141</v>
      </c>
      <c r="C8" s="17" t="s">
        <v>24</v>
      </c>
      <c r="D8" s="19">
        <v>5000</v>
      </c>
      <c r="E8" s="19">
        <v>5000</v>
      </c>
      <c r="F8" s="19">
        <v>595000</v>
      </c>
    </row>
    <row r="9" spans="1:6" x14ac:dyDescent="0.35">
      <c r="A9" s="18">
        <v>45146</v>
      </c>
      <c r="B9" s="17">
        <v>2273</v>
      </c>
      <c r="C9" s="17" t="s">
        <v>228</v>
      </c>
      <c r="D9" s="19">
        <v>145000</v>
      </c>
      <c r="E9" s="19">
        <f>SUM(E8+D9)</f>
        <v>150000</v>
      </c>
      <c r="F9" s="19">
        <f>F8-D9</f>
        <v>450000</v>
      </c>
    </row>
    <row r="10" spans="1:6" x14ac:dyDescent="0.35">
      <c r="A10" s="17" t="s">
        <v>227</v>
      </c>
      <c r="B10" s="17">
        <v>3690</v>
      </c>
      <c r="C10" s="17" t="s">
        <v>59</v>
      </c>
      <c r="D10" s="19">
        <v>10000</v>
      </c>
      <c r="E10" s="19">
        <f t="shared" ref="E10:E35" si="0">SUM(E9+D10)</f>
        <v>160000</v>
      </c>
      <c r="F10" s="19">
        <f t="shared" ref="F10:F35" si="1">F9-D10</f>
        <v>440000</v>
      </c>
    </row>
    <row r="11" spans="1:6" x14ac:dyDescent="0.35">
      <c r="A11" s="18">
        <v>45241</v>
      </c>
      <c r="B11" s="17">
        <v>4804</v>
      </c>
      <c r="C11" s="17" t="s">
        <v>59</v>
      </c>
      <c r="D11" s="19">
        <v>20000</v>
      </c>
      <c r="E11" s="19">
        <f t="shared" si="0"/>
        <v>180000</v>
      </c>
      <c r="F11" s="19">
        <f t="shared" si="1"/>
        <v>420000</v>
      </c>
    </row>
    <row r="12" spans="1:6" x14ac:dyDescent="0.35">
      <c r="A12" s="18">
        <v>45567</v>
      </c>
      <c r="B12" s="17">
        <v>7010</v>
      </c>
      <c r="C12" s="17" t="s">
        <v>59</v>
      </c>
      <c r="D12" s="19">
        <v>30000</v>
      </c>
      <c r="E12" s="19">
        <f t="shared" si="0"/>
        <v>210000</v>
      </c>
      <c r="F12" s="19">
        <f t="shared" si="1"/>
        <v>390000</v>
      </c>
    </row>
    <row r="13" spans="1:6" x14ac:dyDescent="0.35">
      <c r="A13" s="18">
        <v>45599</v>
      </c>
      <c r="B13" s="17">
        <v>11481</v>
      </c>
      <c r="C13" s="17" t="s">
        <v>59</v>
      </c>
      <c r="D13" s="19">
        <v>10000</v>
      </c>
      <c r="E13" s="19">
        <f t="shared" si="0"/>
        <v>220000</v>
      </c>
      <c r="F13" s="19">
        <f t="shared" si="1"/>
        <v>380000</v>
      </c>
    </row>
    <row r="14" spans="1:6" x14ac:dyDescent="0.35">
      <c r="A14" s="18">
        <v>45477</v>
      </c>
      <c r="B14" s="17">
        <v>11482</v>
      </c>
      <c r="C14" s="17" t="s">
        <v>59</v>
      </c>
      <c r="D14" s="19">
        <v>10000</v>
      </c>
      <c r="E14" s="19">
        <f t="shared" si="0"/>
        <v>230000</v>
      </c>
      <c r="F14" s="19">
        <f t="shared" si="1"/>
        <v>370000</v>
      </c>
    </row>
    <row r="15" spans="1:6" x14ac:dyDescent="0.35">
      <c r="A15" s="18">
        <v>45417</v>
      </c>
      <c r="B15" s="17">
        <v>11483</v>
      </c>
      <c r="C15" s="17" t="s">
        <v>59</v>
      </c>
      <c r="D15" s="19">
        <v>10000</v>
      </c>
      <c r="E15" s="19">
        <f t="shared" si="0"/>
        <v>240000</v>
      </c>
      <c r="F15" s="19">
        <f t="shared" si="1"/>
        <v>360000</v>
      </c>
    </row>
    <row r="16" spans="1:6" x14ac:dyDescent="0.35">
      <c r="A16" s="18">
        <v>45357</v>
      </c>
      <c r="B16" s="17">
        <v>11484</v>
      </c>
      <c r="C16" s="17" t="s">
        <v>59</v>
      </c>
      <c r="D16" s="19">
        <v>10000</v>
      </c>
      <c r="E16" s="19">
        <f t="shared" si="0"/>
        <v>250000</v>
      </c>
      <c r="F16" s="19">
        <f t="shared" si="1"/>
        <v>350000</v>
      </c>
    </row>
    <row r="17" spans="1:6" x14ac:dyDescent="0.35">
      <c r="A17" s="18">
        <v>45450</v>
      </c>
      <c r="B17" s="17">
        <v>11485</v>
      </c>
      <c r="C17" s="17" t="s">
        <v>59</v>
      </c>
      <c r="D17" s="19">
        <v>10000</v>
      </c>
      <c r="E17" s="19">
        <f t="shared" si="0"/>
        <v>260000</v>
      </c>
      <c r="F17" s="19">
        <f t="shared" si="1"/>
        <v>340000</v>
      </c>
    </row>
    <row r="18" spans="1:6" x14ac:dyDescent="0.35">
      <c r="A18" s="18">
        <v>45391</v>
      </c>
      <c r="B18" s="17">
        <v>11486</v>
      </c>
      <c r="C18" s="17" t="s">
        <v>59</v>
      </c>
      <c r="D18" s="19">
        <v>10000</v>
      </c>
      <c r="E18" s="19">
        <f t="shared" si="0"/>
        <v>270000</v>
      </c>
      <c r="F18" s="19">
        <f t="shared" si="1"/>
        <v>330000</v>
      </c>
    </row>
    <row r="19" spans="1:6" x14ac:dyDescent="0.35">
      <c r="A19" s="18">
        <v>45514</v>
      </c>
      <c r="B19" s="17">
        <v>11487</v>
      </c>
      <c r="C19" s="17" t="s">
        <v>59</v>
      </c>
      <c r="D19" s="19">
        <v>10000</v>
      </c>
      <c r="E19" s="19">
        <f t="shared" si="0"/>
        <v>280000</v>
      </c>
      <c r="F19" s="19">
        <f t="shared" si="1"/>
        <v>320000</v>
      </c>
    </row>
    <row r="20" spans="1:6" x14ac:dyDescent="0.35">
      <c r="A20" s="18">
        <v>45607</v>
      </c>
      <c r="B20" s="17">
        <v>10916</v>
      </c>
      <c r="C20" s="17" t="s">
        <v>59</v>
      </c>
      <c r="D20" s="19">
        <v>10000</v>
      </c>
      <c r="E20" s="19">
        <f t="shared" si="0"/>
        <v>290000</v>
      </c>
      <c r="F20" s="19">
        <f t="shared" si="1"/>
        <v>310000</v>
      </c>
    </row>
    <row r="21" spans="1:6" x14ac:dyDescent="0.35">
      <c r="A21" s="18">
        <v>45424</v>
      </c>
      <c r="B21" s="17">
        <v>12592</v>
      </c>
      <c r="C21" s="17" t="s">
        <v>59</v>
      </c>
      <c r="D21" s="19">
        <v>10000</v>
      </c>
      <c r="E21" s="19">
        <f t="shared" si="0"/>
        <v>300000</v>
      </c>
      <c r="F21" s="19">
        <f t="shared" si="1"/>
        <v>300000</v>
      </c>
    </row>
    <row r="22" spans="1:6" x14ac:dyDescent="0.35">
      <c r="A22" s="18">
        <v>45778</v>
      </c>
      <c r="B22" s="17">
        <v>12900</v>
      </c>
      <c r="C22" s="17" t="s">
        <v>59</v>
      </c>
      <c r="D22" s="19">
        <v>10000</v>
      </c>
      <c r="E22" s="19">
        <f t="shared" si="0"/>
        <v>310000</v>
      </c>
      <c r="F22" s="19">
        <f t="shared" si="1"/>
        <v>290000</v>
      </c>
    </row>
    <row r="23" spans="1:6" x14ac:dyDescent="0.35">
      <c r="A23" s="18">
        <v>45902</v>
      </c>
      <c r="B23" s="17">
        <v>9287</v>
      </c>
      <c r="C23" s="17" t="s">
        <v>59</v>
      </c>
      <c r="D23" s="19">
        <v>10000</v>
      </c>
      <c r="E23" s="19">
        <f t="shared" si="0"/>
        <v>320000</v>
      </c>
      <c r="F23" s="19">
        <f t="shared" si="1"/>
        <v>280000</v>
      </c>
    </row>
    <row r="24" spans="1:6" x14ac:dyDescent="0.35">
      <c r="A24" s="18">
        <v>45994</v>
      </c>
      <c r="B24" s="17">
        <v>9734</v>
      </c>
      <c r="C24" s="17" t="s">
        <v>59</v>
      </c>
      <c r="D24" s="19">
        <v>10000</v>
      </c>
      <c r="E24" s="19">
        <f t="shared" si="0"/>
        <v>330000</v>
      </c>
      <c r="F24" s="19">
        <f t="shared" si="1"/>
        <v>270000</v>
      </c>
    </row>
    <row r="25" spans="1:6" x14ac:dyDescent="0.35">
      <c r="A25" s="18">
        <v>45752</v>
      </c>
      <c r="B25" s="17">
        <v>10318</v>
      </c>
      <c r="C25" s="17" t="s">
        <v>59</v>
      </c>
      <c r="D25" s="19">
        <v>20000</v>
      </c>
      <c r="E25" s="19">
        <f t="shared" si="0"/>
        <v>350000</v>
      </c>
      <c r="F25" s="19">
        <f t="shared" si="1"/>
        <v>250000</v>
      </c>
    </row>
    <row r="26" spans="1:6" x14ac:dyDescent="0.35">
      <c r="A26" s="18">
        <v>45695</v>
      </c>
      <c r="B26" s="17">
        <v>12036</v>
      </c>
      <c r="C26" s="17" t="s">
        <v>59</v>
      </c>
      <c r="D26" s="19">
        <v>20000</v>
      </c>
      <c r="E26" s="19">
        <f t="shared" si="0"/>
        <v>370000</v>
      </c>
      <c r="F26" s="19">
        <f t="shared" si="1"/>
        <v>230000</v>
      </c>
    </row>
    <row r="27" spans="1:6" x14ac:dyDescent="0.35">
      <c r="A27" s="18">
        <v>45696</v>
      </c>
      <c r="B27" s="17">
        <v>12362</v>
      </c>
      <c r="C27" s="17" t="s">
        <v>59</v>
      </c>
      <c r="D27" s="19">
        <v>10000</v>
      </c>
      <c r="E27" s="19">
        <f t="shared" si="0"/>
        <v>380000</v>
      </c>
      <c r="F27" s="19">
        <f t="shared" si="1"/>
        <v>220000</v>
      </c>
    </row>
    <row r="28" spans="1:6" x14ac:dyDescent="0.35">
      <c r="A28" s="18">
        <v>45666</v>
      </c>
      <c r="B28" s="17">
        <v>12589</v>
      </c>
      <c r="C28" s="17" t="s">
        <v>59</v>
      </c>
      <c r="D28" s="19">
        <v>10000</v>
      </c>
      <c r="E28" s="19">
        <f t="shared" si="0"/>
        <v>390000</v>
      </c>
      <c r="F28" s="19">
        <f t="shared" si="1"/>
        <v>210000</v>
      </c>
    </row>
    <row r="29" spans="1:6" x14ac:dyDescent="0.35">
      <c r="A29" s="18">
        <v>45787</v>
      </c>
      <c r="B29" s="17">
        <v>13881</v>
      </c>
      <c r="C29" s="17" t="s">
        <v>59</v>
      </c>
      <c r="D29" s="19">
        <v>10000</v>
      </c>
      <c r="E29" s="19">
        <f t="shared" si="0"/>
        <v>400000</v>
      </c>
      <c r="F29" s="19">
        <f t="shared" si="1"/>
        <v>200000</v>
      </c>
    </row>
    <row r="30" spans="1:6" x14ac:dyDescent="0.35">
      <c r="A30" s="18">
        <v>45819</v>
      </c>
      <c r="B30" s="17">
        <v>13442</v>
      </c>
      <c r="C30" s="17" t="s">
        <v>59</v>
      </c>
      <c r="D30" s="19">
        <v>10000</v>
      </c>
      <c r="E30" s="19">
        <f t="shared" si="0"/>
        <v>410000</v>
      </c>
      <c r="F30" s="19">
        <f t="shared" si="1"/>
        <v>190000</v>
      </c>
    </row>
    <row r="31" spans="1:6" x14ac:dyDescent="0.35">
      <c r="A31" s="18">
        <v>45669</v>
      </c>
      <c r="B31" s="17">
        <v>13251</v>
      </c>
      <c r="C31" s="17" t="s">
        <v>59</v>
      </c>
      <c r="D31" s="19">
        <v>10000</v>
      </c>
      <c r="E31" s="19">
        <f t="shared" si="0"/>
        <v>420000</v>
      </c>
      <c r="F31" s="19">
        <f t="shared" si="1"/>
        <v>180000</v>
      </c>
    </row>
    <row r="32" spans="1:6" x14ac:dyDescent="0.35">
      <c r="A32" s="18">
        <v>46082</v>
      </c>
      <c r="B32" s="17">
        <v>13878</v>
      </c>
      <c r="C32" s="17" t="s">
        <v>59</v>
      </c>
      <c r="D32" s="19">
        <v>10000</v>
      </c>
      <c r="E32" s="19">
        <f t="shared" si="0"/>
        <v>430000</v>
      </c>
      <c r="F32" s="19">
        <f t="shared" si="1"/>
        <v>170000</v>
      </c>
    </row>
    <row r="33" spans="1:6" x14ac:dyDescent="0.35">
      <c r="A33" s="18">
        <v>46024</v>
      </c>
      <c r="B33" s="17">
        <v>12300</v>
      </c>
      <c r="C33" s="17" t="s">
        <v>59</v>
      </c>
      <c r="D33" s="19">
        <v>10000</v>
      </c>
      <c r="E33" s="19">
        <f t="shared" si="0"/>
        <v>440000</v>
      </c>
      <c r="F33" s="19">
        <f t="shared" si="1"/>
        <v>160000</v>
      </c>
    </row>
    <row r="34" spans="1:6" x14ac:dyDescent="0.35">
      <c r="A34" s="17" t="s">
        <v>229</v>
      </c>
      <c r="B34" s="17">
        <v>13907</v>
      </c>
      <c r="C34" s="17" t="s">
        <v>59</v>
      </c>
      <c r="D34" s="19">
        <v>10000</v>
      </c>
      <c r="E34" s="19">
        <f t="shared" si="0"/>
        <v>450000</v>
      </c>
      <c r="F34" s="19">
        <f t="shared" si="1"/>
        <v>150000</v>
      </c>
    </row>
    <row r="35" spans="1:6" x14ac:dyDescent="0.35">
      <c r="A35" s="18">
        <v>46238</v>
      </c>
      <c r="B35" s="17">
        <v>13183</v>
      </c>
      <c r="C35" s="17" t="s">
        <v>59</v>
      </c>
      <c r="D35" s="19">
        <v>10000</v>
      </c>
      <c r="E35" s="19">
        <f t="shared" si="0"/>
        <v>460000</v>
      </c>
      <c r="F35" s="19">
        <f t="shared" si="1"/>
        <v>140000</v>
      </c>
    </row>
    <row r="36" spans="1:6" x14ac:dyDescent="0.35">
      <c r="A36" t="s">
        <v>557</v>
      </c>
      <c r="B36" s="17">
        <v>12989</v>
      </c>
      <c r="C36" s="17" t="s">
        <v>59</v>
      </c>
      <c r="D36" s="19">
        <v>10000</v>
      </c>
      <c r="E36" s="19">
        <f>E35+D36</f>
        <v>470000</v>
      </c>
      <c r="F36" s="19">
        <f>F35-D36</f>
        <v>130000</v>
      </c>
    </row>
    <row r="37" spans="1:6" x14ac:dyDescent="0.35">
      <c r="A37" t="s">
        <v>558</v>
      </c>
      <c r="B37" s="17">
        <v>13561</v>
      </c>
      <c r="C37" s="17" t="s">
        <v>59</v>
      </c>
      <c r="D37" s="19">
        <v>10000</v>
      </c>
      <c r="E37" s="19">
        <f>E36+D37</f>
        <v>480000</v>
      </c>
      <c r="F37" s="19">
        <f>F36-D37</f>
        <v>120000</v>
      </c>
    </row>
    <row r="38" spans="1:6" x14ac:dyDescent="0.35">
      <c r="A38" t="s">
        <v>559</v>
      </c>
      <c r="B38" s="17">
        <v>1451</v>
      </c>
      <c r="C38" s="17" t="s">
        <v>59</v>
      </c>
      <c r="D38" s="19">
        <v>10000</v>
      </c>
      <c r="E38" s="19">
        <f>E37+D38</f>
        <v>490000</v>
      </c>
      <c r="F38" s="19">
        <f>F37-D38</f>
        <v>110000</v>
      </c>
    </row>
    <row r="39" spans="1:6" x14ac:dyDescent="0.35">
      <c r="A39" s="8">
        <v>46303</v>
      </c>
      <c r="B39" s="17">
        <v>1717</v>
      </c>
      <c r="C39" s="17" t="s">
        <v>59</v>
      </c>
      <c r="D39" s="19">
        <v>10000</v>
      </c>
      <c r="E39" s="7">
        <f>E38+D39</f>
        <v>500000</v>
      </c>
      <c r="F39" s="7">
        <f>F38-D39</f>
        <v>100000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32"/>
  <sheetViews>
    <sheetView workbookViewId="0">
      <selection activeCell="D32" sqref="D32"/>
    </sheetView>
  </sheetViews>
  <sheetFormatPr defaultRowHeight="14.5" x14ac:dyDescent="0.35"/>
  <cols>
    <col min="1" max="1" width="13.26953125" customWidth="1"/>
    <col min="2" max="2" width="12.6328125" customWidth="1"/>
    <col min="3" max="3" width="21.6328125" customWidth="1"/>
    <col min="4" max="4" width="15.6328125" bestFit="1" customWidth="1"/>
  </cols>
  <sheetData>
    <row r="1" spans="1:6" ht="18.5" x14ac:dyDescent="0.45">
      <c r="A1" s="1" t="s">
        <v>280</v>
      </c>
      <c r="B1" s="1"/>
      <c r="C1" s="1"/>
      <c r="D1" s="1"/>
      <c r="E1" s="1"/>
      <c r="F1" s="1"/>
    </row>
    <row r="2" spans="1:6" ht="18.5" x14ac:dyDescent="0.45">
      <c r="A2" s="1" t="s">
        <v>281</v>
      </c>
      <c r="C2" s="1"/>
      <c r="D2" s="1"/>
      <c r="E2" s="1"/>
      <c r="F2" s="1"/>
    </row>
    <row r="3" spans="1:6" ht="18.5" x14ac:dyDescent="0.45">
      <c r="A3" s="1" t="s">
        <v>282</v>
      </c>
      <c r="B3" s="1"/>
      <c r="C3" s="1"/>
      <c r="D3" s="1"/>
      <c r="E3" s="1"/>
      <c r="F3" s="1"/>
    </row>
    <row r="4" spans="1:6" ht="18.5" x14ac:dyDescent="0.45">
      <c r="A4" s="1" t="s">
        <v>286</v>
      </c>
      <c r="B4" s="1"/>
      <c r="C4" s="1"/>
      <c r="D4" s="1"/>
      <c r="E4" s="1"/>
      <c r="F4" s="1"/>
    </row>
    <row r="5" spans="1:6" ht="18.5" x14ac:dyDescent="0.45">
      <c r="A5" s="1" t="s">
        <v>273</v>
      </c>
      <c r="B5" s="1"/>
      <c r="C5" s="1"/>
      <c r="D5" s="1"/>
      <c r="E5" s="1"/>
      <c r="F5" s="1"/>
    </row>
    <row r="6" spans="1:6" ht="18.5" x14ac:dyDescent="0.45">
      <c r="A6" s="1" t="s">
        <v>283</v>
      </c>
      <c r="B6" s="1"/>
      <c r="C6" s="1"/>
      <c r="D6" s="25" t="s">
        <v>284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8">
        <v>44054</v>
      </c>
      <c r="B8">
        <v>4118</v>
      </c>
      <c r="C8" t="s">
        <v>285</v>
      </c>
      <c r="D8" s="7">
        <v>400000</v>
      </c>
      <c r="E8" s="7">
        <v>400000</v>
      </c>
      <c r="F8" t="s">
        <v>204</v>
      </c>
    </row>
    <row r="9" spans="1:6" ht="18.5" x14ac:dyDescent="0.45">
      <c r="A9" s="1" t="s">
        <v>220</v>
      </c>
    </row>
    <row r="10" spans="1:6" ht="15" thickBot="1" x14ac:dyDescent="0.4"/>
    <row r="11" spans="1:6" ht="56.5" thickBot="1" x14ac:dyDescent="0.4">
      <c r="A11" s="63" t="s">
        <v>6</v>
      </c>
      <c r="B11" s="63" t="s">
        <v>785</v>
      </c>
      <c r="C11" s="63" t="s">
        <v>786</v>
      </c>
      <c r="D11" s="63" t="s">
        <v>787</v>
      </c>
    </row>
    <row r="12" spans="1:6" ht="15" thickBot="1" x14ac:dyDescent="0.4">
      <c r="A12" s="70">
        <v>45384</v>
      </c>
      <c r="B12" s="65" t="s">
        <v>788</v>
      </c>
      <c r="C12" s="66">
        <v>10000</v>
      </c>
      <c r="D12" s="67">
        <v>440000</v>
      </c>
    </row>
    <row r="13" spans="1:6" ht="15" thickBot="1" x14ac:dyDescent="0.4">
      <c r="A13" s="70">
        <v>45568</v>
      </c>
      <c r="B13" s="65" t="s">
        <v>789</v>
      </c>
      <c r="C13" s="66">
        <v>10000</v>
      </c>
      <c r="D13" s="67">
        <v>430000</v>
      </c>
    </row>
    <row r="14" spans="1:6" ht="15" thickBot="1" x14ac:dyDescent="0.4">
      <c r="A14" s="65" t="s">
        <v>790</v>
      </c>
      <c r="B14" s="65" t="s">
        <v>791</v>
      </c>
      <c r="C14" s="66">
        <v>10000</v>
      </c>
      <c r="D14" s="67">
        <v>420000</v>
      </c>
    </row>
    <row r="15" spans="1:6" ht="15" thickBot="1" x14ac:dyDescent="0.4">
      <c r="A15" s="70">
        <v>45631</v>
      </c>
      <c r="B15" s="65" t="s">
        <v>792</v>
      </c>
      <c r="C15" s="66">
        <v>10000</v>
      </c>
      <c r="D15" s="67">
        <v>410000</v>
      </c>
    </row>
    <row r="16" spans="1:6" ht="15" thickBot="1" x14ac:dyDescent="0.4">
      <c r="A16" s="70">
        <v>45541</v>
      </c>
      <c r="B16" s="65" t="s">
        <v>793</v>
      </c>
      <c r="C16" s="66">
        <v>10000</v>
      </c>
      <c r="D16" s="67">
        <v>400000</v>
      </c>
    </row>
    <row r="17" spans="1:4" ht="15" thickBot="1" x14ac:dyDescent="0.4">
      <c r="A17" s="65" t="s">
        <v>794</v>
      </c>
      <c r="B17" s="65" t="s">
        <v>795</v>
      </c>
      <c r="C17" s="66">
        <v>10000</v>
      </c>
      <c r="D17" s="67">
        <v>390000</v>
      </c>
    </row>
    <row r="18" spans="1:4" ht="15" thickBot="1" x14ac:dyDescent="0.4">
      <c r="A18" s="70">
        <v>45393</v>
      </c>
      <c r="B18" s="65" t="s">
        <v>796</v>
      </c>
      <c r="C18" s="66">
        <v>10000</v>
      </c>
      <c r="D18" s="67">
        <v>380000</v>
      </c>
    </row>
    <row r="19" spans="1:4" ht="15" thickBot="1" x14ac:dyDescent="0.4">
      <c r="A19" s="70">
        <v>45778</v>
      </c>
      <c r="B19" s="65" t="s">
        <v>797</v>
      </c>
      <c r="C19" s="66">
        <v>10000</v>
      </c>
      <c r="D19" s="67">
        <v>370000</v>
      </c>
    </row>
    <row r="20" spans="1:4" ht="15" thickBot="1" x14ac:dyDescent="0.4">
      <c r="A20" s="65" t="s">
        <v>798</v>
      </c>
      <c r="B20" s="65" t="s">
        <v>799</v>
      </c>
      <c r="C20" s="66">
        <v>5000</v>
      </c>
      <c r="D20" s="67">
        <v>365000</v>
      </c>
    </row>
    <row r="21" spans="1:4" ht="15" thickBot="1" x14ac:dyDescent="0.4">
      <c r="A21" s="65" t="s">
        <v>800</v>
      </c>
      <c r="B21" s="65" t="s">
        <v>801</v>
      </c>
      <c r="C21" s="66">
        <v>5000</v>
      </c>
      <c r="D21" s="67">
        <v>360000</v>
      </c>
    </row>
    <row r="22" spans="1:4" ht="15" thickBot="1" x14ac:dyDescent="0.4">
      <c r="A22" s="65" t="s">
        <v>802</v>
      </c>
      <c r="B22" s="65" t="s">
        <v>803</v>
      </c>
      <c r="C22" s="66">
        <v>5000</v>
      </c>
      <c r="D22" s="67">
        <v>355000</v>
      </c>
    </row>
    <row r="23" spans="1:4" ht="15" thickBot="1" x14ac:dyDescent="0.4">
      <c r="A23" s="70">
        <v>45910</v>
      </c>
      <c r="B23" s="65" t="s">
        <v>804</v>
      </c>
      <c r="C23" s="66">
        <v>5000</v>
      </c>
      <c r="D23" s="67">
        <v>350000</v>
      </c>
    </row>
    <row r="24" spans="1:4" ht="15" thickBot="1" x14ac:dyDescent="0.4">
      <c r="A24" s="70">
        <v>45911</v>
      </c>
      <c r="B24" s="65" t="s">
        <v>805</v>
      </c>
      <c r="C24" s="66">
        <v>5000</v>
      </c>
      <c r="D24" s="67">
        <v>345000</v>
      </c>
    </row>
    <row r="25" spans="1:4" ht="15" thickBot="1" x14ac:dyDescent="0.4">
      <c r="A25" s="65" t="s">
        <v>743</v>
      </c>
      <c r="B25" s="65" t="s">
        <v>806</v>
      </c>
      <c r="C25" s="66">
        <v>5000</v>
      </c>
      <c r="D25" s="67">
        <v>340000</v>
      </c>
    </row>
    <row r="26" spans="1:4" ht="15" thickBot="1" x14ac:dyDescent="0.4">
      <c r="A26" s="70">
        <v>46297</v>
      </c>
      <c r="B26" s="65" t="s">
        <v>807</v>
      </c>
      <c r="C26" s="66">
        <v>5000</v>
      </c>
      <c r="D26" s="67">
        <v>335000</v>
      </c>
    </row>
    <row r="27" spans="1:4" ht="15" thickBot="1" x14ac:dyDescent="0.4">
      <c r="A27" s="70">
        <v>46237</v>
      </c>
      <c r="B27" s="65" t="s">
        <v>808</v>
      </c>
      <c r="C27" s="66">
        <v>5000</v>
      </c>
      <c r="D27" s="67">
        <v>330000</v>
      </c>
    </row>
    <row r="28" spans="1:4" ht="15" thickBot="1" x14ac:dyDescent="0.4">
      <c r="A28" s="65" t="s">
        <v>736</v>
      </c>
      <c r="B28" s="65" t="s">
        <v>809</v>
      </c>
      <c r="C28" s="66">
        <v>10000</v>
      </c>
      <c r="D28" s="67">
        <v>320000</v>
      </c>
    </row>
    <row r="29" spans="1:4" ht="15" thickBot="1" x14ac:dyDescent="0.4">
      <c r="A29" s="70">
        <v>46362</v>
      </c>
      <c r="B29" s="65" t="s">
        <v>810</v>
      </c>
      <c r="C29" s="66">
        <v>10000</v>
      </c>
      <c r="D29" s="67">
        <v>310000</v>
      </c>
    </row>
    <row r="30" spans="1:4" ht="15" thickBot="1" x14ac:dyDescent="0.4">
      <c r="A30" s="65" t="s">
        <v>811</v>
      </c>
      <c r="B30" s="65" t="s">
        <v>812</v>
      </c>
      <c r="C30" s="66">
        <v>5000</v>
      </c>
      <c r="D30" s="67">
        <v>305000</v>
      </c>
    </row>
    <row r="31" spans="1:4" ht="15" thickBot="1" x14ac:dyDescent="0.4">
      <c r="A31" s="65" t="s">
        <v>813</v>
      </c>
      <c r="B31" s="65" t="s">
        <v>814</v>
      </c>
      <c r="C31" s="66">
        <v>5000</v>
      </c>
      <c r="D31" s="67">
        <v>300000</v>
      </c>
    </row>
    <row r="32" spans="1:4" ht="15" thickBot="1" x14ac:dyDescent="0.4">
      <c r="A32" s="70">
        <v>46244</v>
      </c>
      <c r="B32" s="65" t="s">
        <v>815</v>
      </c>
      <c r="C32" s="66">
        <v>5000</v>
      </c>
      <c r="D32" s="67">
        <v>395000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48"/>
  <sheetViews>
    <sheetView workbookViewId="0">
      <selection activeCell="B2" sqref="B2"/>
    </sheetView>
  </sheetViews>
  <sheetFormatPr defaultRowHeight="14.5" x14ac:dyDescent="0.35"/>
  <cols>
    <col min="1" max="1" width="19.81640625" style="30" customWidth="1"/>
    <col min="2" max="2" width="19.26953125" style="30" customWidth="1"/>
    <col min="3" max="3" width="21.453125" style="30" customWidth="1"/>
    <col min="4" max="4" width="17.36328125" style="30" customWidth="1"/>
    <col min="5" max="5" width="18.453125" style="30" customWidth="1"/>
    <col min="6" max="6" width="11.90625" style="30" customWidth="1"/>
    <col min="7" max="16384" width="8.7265625" style="30"/>
  </cols>
  <sheetData>
    <row r="1" spans="1:6" ht="18.5" x14ac:dyDescent="0.45">
      <c r="A1" s="68" t="s">
        <v>241</v>
      </c>
      <c r="B1" s="68"/>
      <c r="C1" s="68"/>
      <c r="D1" s="68"/>
      <c r="E1" s="68"/>
      <c r="F1" s="68"/>
    </row>
    <row r="2" spans="1:6" ht="18.5" x14ac:dyDescent="0.45">
      <c r="A2" s="68" t="s">
        <v>242</v>
      </c>
      <c r="B2"/>
      <c r="C2" s="68"/>
      <c r="D2" s="68"/>
      <c r="E2" s="68"/>
      <c r="F2" s="68"/>
    </row>
    <row r="3" spans="1:6" ht="18.5" x14ac:dyDescent="0.45">
      <c r="A3" s="68" t="s">
        <v>243</v>
      </c>
      <c r="B3" s="68"/>
      <c r="C3" s="68"/>
      <c r="D3" s="68"/>
      <c r="E3" s="68"/>
      <c r="F3" s="68"/>
    </row>
    <row r="4" spans="1:6" ht="18.5" x14ac:dyDescent="0.45">
      <c r="A4" s="68" t="s">
        <v>247</v>
      </c>
      <c r="B4" s="68"/>
      <c r="C4" s="68"/>
      <c r="D4" s="68"/>
      <c r="E4" s="68"/>
      <c r="F4" s="68"/>
    </row>
    <row r="5" spans="1:6" ht="18.5" x14ac:dyDescent="0.45">
      <c r="A5" s="68" t="s">
        <v>244</v>
      </c>
      <c r="B5" s="68"/>
      <c r="C5" s="68"/>
      <c r="D5" s="68"/>
      <c r="E5" s="68"/>
      <c r="F5" s="68"/>
    </row>
    <row r="6" spans="1:6" ht="18.5" x14ac:dyDescent="0.45">
      <c r="A6" s="68" t="s">
        <v>245</v>
      </c>
      <c r="B6" s="68"/>
      <c r="C6" s="68"/>
      <c r="D6" s="68" t="s">
        <v>246</v>
      </c>
      <c r="E6" s="68"/>
      <c r="F6" s="68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30" t="s">
        <v>248</v>
      </c>
      <c r="B8" s="30">
        <v>1158</v>
      </c>
      <c r="C8" s="30" t="s">
        <v>16</v>
      </c>
      <c r="D8" s="46">
        <v>10000</v>
      </c>
      <c r="E8" s="46">
        <v>10000</v>
      </c>
      <c r="F8" s="46">
        <v>200000</v>
      </c>
    </row>
    <row r="9" spans="1:6" x14ac:dyDescent="0.35">
      <c r="A9" s="44">
        <v>44660</v>
      </c>
      <c r="B9" s="30">
        <v>237</v>
      </c>
      <c r="C9" s="30" t="s">
        <v>16</v>
      </c>
      <c r="D9" s="46">
        <v>10000</v>
      </c>
      <c r="E9" s="46">
        <f>SUM(E8+D9)</f>
        <v>20000</v>
      </c>
      <c r="F9" s="46">
        <f>F8-E9</f>
        <v>180000</v>
      </c>
    </row>
    <row r="10" spans="1:6" x14ac:dyDescent="0.35">
      <c r="A10" s="30" t="s">
        <v>249</v>
      </c>
      <c r="B10" s="30">
        <v>91</v>
      </c>
      <c r="C10" s="30" t="s">
        <v>253</v>
      </c>
      <c r="D10" s="46">
        <v>60000</v>
      </c>
      <c r="E10" s="46">
        <f>SUM(E9+D10)</f>
        <v>80000</v>
      </c>
      <c r="F10" s="46">
        <v>130000</v>
      </c>
    </row>
    <row r="11" spans="1:6" x14ac:dyDescent="0.35">
      <c r="A11" s="30" t="s">
        <v>250</v>
      </c>
      <c r="B11" s="30">
        <v>92</v>
      </c>
      <c r="C11" s="30" t="s">
        <v>16</v>
      </c>
      <c r="D11" s="46">
        <v>10000</v>
      </c>
      <c r="E11" s="46">
        <f>SUM(E10+D11)</f>
        <v>90000</v>
      </c>
      <c r="F11" s="46">
        <f>F10-D11</f>
        <v>120000</v>
      </c>
    </row>
    <row r="12" spans="1:6" x14ac:dyDescent="0.35">
      <c r="A12" s="30" t="s">
        <v>251</v>
      </c>
      <c r="B12" s="30">
        <v>1160</v>
      </c>
      <c r="C12" s="30" t="s">
        <v>16</v>
      </c>
      <c r="D12" s="46">
        <v>10000</v>
      </c>
      <c r="E12" s="46">
        <f t="shared" ref="E12:E23" si="0">SUM(E11+D12)</f>
        <v>100000</v>
      </c>
      <c r="F12" s="46">
        <f t="shared" ref="F12:F23" si="1">F11-D12</f>
        <v>110000</v>
      </c>
    </row>
    <row r="13" spans="1:6" x14ac:dyDescent="0.35">
      <c r="A13" s="44">
        <v>45204</v>
      </c>
      <c r="B13" s="30">
        <v>790</v>
      </c>
      <c r="C13" s="30" t="s">
        <v>16</v>
      </c>
      <c r="D13" s="46">
        <v>10000</v>
      </c>
      <c r="E13" s="46">
        <f t="shared" si="0"/>
        <v>110000</v>
      </c>
      <c r="F13" s="46">
        <f t="shared" si="1"/>
        <v>100000</v>
      </c>
    </row>
    <row r="14" spans="1:6" x14ac:dyDescent="0.35">
      <c r="A14" s="30" t="s">
        <v>127</v>
      </c>
      <c r="B14" s="30">
        <v>516</v>
      </c>
      <c r="C14" s="30" t="s">
        <v>16</v>
      </c>
      <c r="D14" s="46">
        <v>10000</v>
      </c>
      <c r="E14" s="46">
        <f t="shared" si="0"/>
        <v>120000</v>
      </c>
      <c r="F14" s="46">
        <f t="shared" si="1"/>
        <v>90000</v>
      </c>
    </row>
    <row r="15" spans="1:6" x14ac:dyDescent="0.35">
      <c r="A15" s="44">
        <v>45176</v>
      </c>
      <c r="B15" s="30">
        <v>2614</v>
      </c>
      <c r="C15" s="30" t="s">
        <v>16</v>
      </c>
      <c r="D15" s="46">
        <v>10000</v>
      </c>
      <c r="E15" s="46">
        <f t="shared" si="0"/>
        <v>130000</v>
      </c>
      <c r="F15" s="46">
        <f t="shared" si="1"/>
        <v>80000</v>
      </c>
    </row>
    <row r="16" spans="1:6" x14ac:dyDescent="0.35">
      <c r="A16" s="30" t="s">
        <v>252</v>
      </c>
      <c r="B16" s="30">
        <v>2473</v>
      </c>
      <c r="C16" s="30" t="s">
        <v>16</v>
      </c>
      <c r="D16" s="46">
        <v>10000</v>
      </c>
      <c r="E16" s="46">
        <f t="shared" si="0"/>
        <v>140000</v>
      </c>
      <c r="F16" s="46">
        <f t="shared" si="1"/>
        <v>70000</v>
      </c>
    </row>
    <row r="17" spans="1:6" x14ac:dyDescent="0.35">
      <c r="A17" s="44">
        <v>45208</v>
      </c>
      <c r="B17" s="30">
        <v>3498</v>
      </c>
      <c r="C17" s="30" t="s">
        <v>16</v>
      </c>
      <c r="D17" s="46">
        <v>10000</v>
      </c>
      <c r="E17" s="46">
        <f t="shared" si="0"/>
        <v>150000</v>
      </c>
      <c r="F17" s="46">
        <f t="shared" si="1"/>
        <v>60000</v>
      </c>
    </row>
    <row r="18" spans="1:6" x14ac:dyDescent="0.35">
      <c r="A18" s="44">
        <v>45117</v>
      </c>
      <c r="B18" s="30">
        <v>4053</v>
      </c>
      <c r="C18" s="30" t="s">
        <v>16</v>
      </c>
      <c r="D18" s="46">
        <v>10000</v>
      </c>
      <c r="E18" s="46">
        <f t="shared" si="0"/>
        <v>160000</v>
      </c>
      <c r="F18" s="46">
        <f t="shared" si="1"/>
        <v>50000</v>
      </c>
    </row>
    <row r="19" spans="1:6" x14ac:dyDescent="0.35">
      <c r="A19" s="44">
        <v>45057</v>
      </c>
      <c r="B19" s="30">
        <v>4627</v>
      </c>
      <c r="C19" s="30" t="s">
        <v>16</v>
      </c>
      <c r="D19" s="46">
        <v>10000</v>
      </c>
      <c r="E19" s="46">
        <f t="shared" si="0"/>
        <v>170000</v>
      </c>
      <c r="F19" s="46">
        <f t="shared" si="1"/>
        <v>40000</v>
      </c>
    </row>
    <row r="20" spans="1:6" x14ac:dyDescent="0.35">
      <c r="A20" s="44">
        <v>45181</v>
      </c>
      <c r="B20" s="30">
        <v>5380</v>
      </c>
      <c r="C20" s="30" t="s">
        <v>16</v>
      </c>
      <c r="D20" s="46">
        <v>10000</v>
      </c>
      <c r="E20" s="46">
        <f t="shared" si="0"/>
        <v>180000</v>
      </c>
      <c r="F20" s="46">
        <f t="shared" si="1"/>
        <v>30000</v>
      </c>
    </row>
    <row r="21" spans="1:6" x14ac:dyDescent="0.35">
      <c r="A21" s="44">
        <v>45474</v>
      </c>
      <c r="B21" s="30">
        <v>5971</v>
      </c>
      <c r="C21" s="30" t="s">
        <v>16</v>
      </c>
      <c r="D21" s="46">
        <v>10000</v>
      </c>
      <c r="E21" s="46">
        <f t="shared" si="0"/>
        <v>190000</v>
      </c>
      <c r="F21" s="46">
        <f t="shared" si="1"/>
        <v>20000</v>
      </c>
    </row>
    <row r="22" spans="1:6" x14ac:dyDescent="0.35">
      <c r="A22" s="44">
        <v>45537</v>
      </c>
      <c r="B22" s="30">
        <v>6590</v>
      </c>
      <c r="C22" s="30" t="s">
        <v>16</v>
      </c>
      <c r="D22" s="46">
        <v>10000</v>
      </c>
      <c r="E22" s="46">
        <f t="shared" si="0"/>
        <v>200000</v>
      </c>
      <c r="F22" s="46">
        <f t="shared" si="1"/>
        <v>10000</v>
      </c>
    </row>
    <row r="23" spans="1:6" x14ac:dyDescent="0.35">
      <c r="A23" s="44">
        <v>45568</v>
      </c>
      <c r="B23" s="30">
        <v>74240</v>
      </c>
      <c r="C23" s="30" t="s">
        <v>16</v>
      </c>
      <c r="D23" s="46">
        <v>10000</v>
      </c>
      <c r="E23" s="46">
        <f t="shared" si="0"/>
        <v>210000</v>
      </c>
      <c r="F23" s="46">
        <f t="shared" si="1"/>
        <v>0</v>
      </c>
    </row>
    <row r="26" spans="1:6" ht="15" thickBot="1" x14ac:dyDescent="0.4"/>
    <row r="27" spans="1:6" ht="28.5" thickBot="1" x14ac:dyDescent="0.4">
      <c r="A27" s="63" t="s">
        <v>744</v>
      </c>
      <c r="B27" s="63" t="s">
        <v>745</v>
      </c>
      <c r="C27" s="63" t="s">
        <v>746</v>
      </c>
      <c r="D27" s="63" t="s">
        <v>747</v>
      </c>
      <c r="E27" s="63" t="s">
        <v>748</v>
      </c>
    </row>
    <row r="28" spans="1:6" ht="15" thickBot="1" x14ac:dyDescent="0.4">
      <c r="A28" s="64">
        <v>45631</v>
      </c>
      <c r="B28" s="65">
        <v>284</v>
      </c>
      <c r="C28" s="65" t="s">
        <v>749</v>
      </c>
      <c r="D28" s="66">
        <v>10000</v>
      </c>
      <c r="E28" s="65" t="s">
        <v>750</v>
      </c>
    </row>
    <row r="29" spans="1:6" ht="15" thickBot="1" x14ac:dyDescent="0.4">
      <c r="A29" s="64">
        <v>45541</v>
      </c>
      <c r="B29" s="65">
        <v>46</v>
      </c>
      <c r="C29" s="65" t="s">
        <v>749</v>
      </c>
      <c r="D29" s="66">
        <v>10000</v>
      </c>
      <c r="E29" s="65" t="s">
        <v>751</v>
      </c>
    </row>
    <row r="30" spans="1:6" ht="15" thickBot="1" x14ac:dyDescent="0.4">
      <c r="A30" s="64">
        <v>45633</v>
      </c>
      <c r="B30" s="65">
        <v>101</v>
      </c>
      <c r="C30" s="65" t="s">
        <v>749</v>
      </c>
      <c r="D30" s="66">
        <v>10000</v>
      </c>
      <c r="E30" s="65" t="s">
        <v>752</v>
      </c>
    </row>
    <row r="31" spans="1:6" ht="15" thickBot="1" x14ac:dyDescent="0.4">
      <c r="A31" s="64">
        <v>45634</v>
      </c>
      <c r="B31" s="65">
        <v>157</v>
      </c>
      <c r="C31" s="65" t="s">
        <v>749</v>
      </c>
      <c r="D31" s="66">
        <v>10000</v>
      </c>
      <c r="E31" s="65" t="s">
        <v>753</v>
      </c>
    </row>
    <row r="32" spans="1:6" ht="15" thickBot="1" x14ac:dyDescent="0.4">
      <c r="A32" s="64">
        <v>45545</v>
      </c>
      <c r="B32" s="65">
        <v>362</v>
      </c>
      <c r="C32" s="65" t="s">
        <v>749</v>
      </c>
      <c r="D32" s="66">
        <v>10000</v>
      </c>
      <c r="E32" s="65" t="s">
        <v>754</v>
      </c>
    </row>
    <row r="33" spans="1:5" ht="15" thickBot="1" x14ac:dyDescent="0.4">
      <c r="A33" s="63" t="s">
        <v>755</v>
      </c>
      <c r="B33" s="65">
        <v>231</v>
      </c>
      <c r="C33" s="65" t="s">
        <v>749</v>
      </c>
      <c r="D33" s="66">
        <v>10000</v>
      </c>
      <c r="E33" s="65" t="s">
        <v>756</v>
      </c>
    </row>
    <row r="34" spans="1:5" ht="15" thickBot="1" x14ac:dyDescent="0.4">
      <c r="A34" s="64">
        <v>45608</v>
      </c>
      <c r="B34" s="65">
        <v>299</v>
      </c>
      <c r="C34" s="65" t="s">
        <v>749</v>
      </c>
      <c r="D34" s="66">
        <v>10000</v>
      </c>
      <c r="E34" s="65" t="s">
        <v>757</v>
      </c>
    </row>
    <row r="35" spans="1:5" ht="15" thickBot="1" x14ac:dyDescent="0.4">
      <c r="A35" s="64">
        <v>45783</v>
      </c>
      <c r="B35" s="65">
        <v>640</v>
      </c>
      <c r="C35" s="65" t="s">
        <v>749</v>
      </c>
      <c r="D35" s="66">
        <v>10000</v>
      </c>
      <c r="E35" s="65" t="s">
        <v>758</v>
      </c>
    </row>
    <row r="36" spans="1:5" ht="15" thickBot="1" x14ac:dyDescent="0.4">
      <c r="A36" s="63" t="s">
        <v>777</v>
      </c>
      <c r="B36" s="65">
        <v>3071</v>
      </c>
      <c r="C36" s="65" t="s">
        <v>737</v>
      </c>
      <c r="D36" s="66">
        <v>10000</v>
      </c>
      <c r="E36" s="65" t="s">
        <v>759</v>
      </c>
    </row>
    <row r="37" spans="1:5" ht="15" thickBot="1" x14ac:dyDescent="0.4">
      <c r="A37" s="63" t="s">
        <v>760</v>
      </c>
      <c r="B37" s="65">
        <v>3952</v>
      </c>
      <c r="C37" s="65" t="s">
        <v>737</v>
      </c>
      <c r="D37" s="66">
        <v>5000</v>
      </c>
      <c r="E37" s="65" t="s">
        <v>761</v>
      </c>
    </row>
    <row r="38" spans="1:5" ht="15" thickBot="1" x14ac:dyDescent="0.4">
      <c r="A38" s="64">
        <v>45972</v>
      </c>
      <c r="B38" s="65">
        <v>3686</v>
      </c>
      <c r="C38" s="65" t="s">
        <v>737</v>
      </c>
      <c r="D38" s="66">
        <v>10000</v>
      </c>
      <c r="E38" s="65" t="s">
        <v>762</v>
      </c>
    </row>
    <row r="39" spans="1:5" ht="15" thickBot="1" x14ac:dyDescent="0.4">
      <c r="A39" s="64">
        <v>45942</v>
      </c>
      <c r="B39" s="65">
        <v>5047</v>
      </c>
      <c r="C39" s="65" t="s">
        <v>749</v>
      </c>
      <c r="D39" s="66">
        <v>5000</v>
      </c>
      <c r="E39" s="65" t="s">
        <v>763</v>
      </c>
    </row>
    <row r="40" spans="1:5" ht="15" thickBot="1" x14ac:dyDescent="0.4">
      <c r="A40" s="63" t="s">
        <v>764</v>
      </c>
      <c r="B40" s="65">
        <v>5304</v>
      </c>
      <c r="C40" s="65" t="s">
        <v>737</v>
      </c>
      <c r="D40" s="66">
        <v>5000</v>
      </c>
      <c r="E40" s="65" t="s">
        <v>765</v>
      </c>
    </row>
    <row r="41" spans="1:5" ht="15" thickBot="1" x14ac:dyDescent="0.4">
      <c r="A41" s="64">
        <v>46328</v>
      </c>
      <c r="B41" s="65">
        <v>5497</v>
      </c>
      <c r="C41" s="65" t="s">
        <v>737</v>
      </c>
      <c r="D41" s="66">
        <v>5000</v>
      </c>
      <c r="E41" s="65" t="s">
        <v>766</v>
      </c>
    </row>
    <row r="42" spans="1:5" ht="15" thickBot="1" x14ac:dyDescent="0.4">
      <c r="A42" s="64">
        <v>46298</v>
      </c>
      <c r="B42" s="65">
        <v>5687</v>
      </c>
      <c r="C42" s="65" t="s">
        <v>737</v>
      </c>
      <c r="D42" s="66">
        <v>5000</v>
      </c>
      <c r="E42" s="65" t="s">
        <v>767</v>
      </c>
    </row>
    <row r="43" spans="1:5" ht="15" thickBot="1" x14ac:dyDescent="0.4">
      <c r="A43" s="64">
        <v>46330</v>
      </c>
      <c r="B43" s="65">
        <v>5899</v>
      </c>
      <c r="C43" s="65" t="s">
        <v>737</v>
      </c>
      <c r="D43" s="66">
        <v>5000</v>
      </c>
      <c r="E43" s="65" t="s">
        <v>768</v>
      </c>
    </row>
    <row r="44" spans="1:5" ht="15" thickBot="1" x14ac:dyDescent="0.4">
      <c r="A44" s="63" t="s">
        <v>769</v>
      </c>
      <c r="B44" s="65">
        <v>1506</v>
      </c>
      <c r="C44" s="65" t="s">
        <v>737</v>
      </c>
      <c r="D44" s="66">
        <v>5000</v>
      </c>
      <c r="E44" s="65" t="s">
        <v>770</v>
      </c>
    </row>
    <row r="45" spans="1:5" ht="15" thickBot="1" x14ac:dyDescent="0.4">
      <c r="A45" s="63" t="s">
        <v>771</v>
      </c>
      <c r="B45" s="65">
        <v>1638</v>
      </c>
      <c r="C45" s="65" t="s">
        <v>749</v>
      </c>
      <c r="D45" s="66">
        <v>8000</v>
      </c>
      <c r="E45" s="65" t="s">
        <v>772</v>
      </c>
    </row>
    <row r="46" spans="1:5" ht="15" thickBot="1" x14ac:dyDescent="0.4">
      <c r="A46" s="64">
        <v>46272</v>
      </c>
      <c r="B46" s="65">
        <v>1795</v>
      </c>
      <c r="C46" s="65" t="s">
        <v>737</v>
      </c>
      <c r="D46" s="66">
        <v>8000</v>
      </c>
      <c r="E46" s="65" t="s">
        <v>773</v>
      </c>
    </row>
    <row r="47" spans="1:5" ht="15" thickBot="1" x14ac:dyDescent="0.4">
      <c r="A47" s="63" t="s">
        <v>778</v>
      </c>
      <c r="B47" s="65">
        <v>1910</v>
      </c>
      <c r="C47" s="65" t="s">
        <v>737</v>
      </c>
      <c r="D47" s="66">
        <v>8000</v>
      </c>
      <c r="E47" s="65" t="s">
        <v>774</v>
      </c>
    </row>
    <row r="48" spans="1:5" ht="15" thickBot="1" x14ac:dyDescent="0.4">
      <c r="A48" s="63" t="s">
        <v>775</v>
      </c>
      <c r="B48" s="65">
        <v>2096</v>
      </c>
      <c r="C48" s="65" t="s">
        <v>737</v>
      </c>
      <c r="D48" s="66">
        <v>8000</v>
      </c>
      <c r="E48" s="65" t="s">
        <v>776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41" workbookViewId="0">
      <selection activeCell="B46" sqref="B46"/>
    </sheetView>
  </sheetViews>
  <sheetFormatPr defaultRowHeight="14.5" x14ac:dyDescent="0.35"/>
  <cols>
    <col min="1" max="1" width="10.81640625" customWidth="1"/>
    <col min="3" max="3" width="10.54296875" customWidth="1"/>
  </cols>
  <sheetData>
    <row r="1" spans="1:6" ht="18.5" x14ac:dyDescent="0.45">
      <c r="A1" s="1" t="s">
        <v>330</v>
      </c>
      <c r="B1" s="1"/>
      <c r="C1" s="1"/>
      <c r="D1" s="1"/>
      <c r="E1" s="1"/>
      <c r="F1" s="1"/>
    </row>
    <row r="2" spans="1:6" ht="18.5" x14ac:dyDescent="0.45">
      <c r="A2" s="1" t="s">
        <v>315</v>
      </c>
      <c r="C2" s="1"/>
      <c r="D2" s="1"/>
      <c r="E2" s="1"/>
      <c r="F2" s="1"/>
    </row>
    <row r="3" spans="1:6" ht="18.5" x14ac:dyDescent="0.45">
      <c r="A3" s="1" t="s">
        <v>316</v>
      </c>
      <c r="B3" s="1"/>
      <c r="C3" s="1"/>
      <c r="D3" s="1"/>
      <c r="E3" s="1"/>
      <c r="F3" s="1"/>
    </row>
    <row r="4" spans="1:6" ht="18.5" x14ac:dyDescent="0.45">
      <c r="A4" s="1" t="s">
        <v>343</v>
      </c>
      <c r="B4" s="1"/>
      <c r="C4" s="1"/>
      <c r="D4" s="1"/>
      <c r="E4" s="1"/>
      <c r="F4" s="1"/>
    </row>
    <row r="5" spans="1:6" ht="18.5" x14ac:dyDescent="0.45">
      <c r="A5" s="1" t="s">
        <v>317</v>
      </c>
      <c r="B5" s="1"/>
      <c r="C5" s="1"/>
      <c r="D5" s="1"/>
      <c r="E5" s="1"/>
      <c r="F5" s="1"/>
    </row>
    <row r="6" spans="1:6" ht="18.5" x14ac:dyDescent="0.45">
      <c r="A6" s="1" t="s">
        <v>331</v>
      </c>
      <c r="B6" s="1"/>
      <c r="C6" s="1"/>
      <c r="D6" s="25" t="s">
        <v>319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/>
      <c r="B8" s="6"/>
      <c r="C8" s="6" t="s">
        <v>141</v>
      </c>
      <c r="D8" s="6"/>
      <c r="E8" s="6"/>
      <c r="F8" s="10">
        <v>340000</v>
      </c>
    </row>
    <row r="9" spans="1:6" x14ac:dyDescent="0.35">
      <c r="A9" s="6" t="s">
        <v>322</v>
      </c>
      <c r="B9" s="6">
        <v>2024</v>
      </c>
      <c r="C9" s="6" t="s">
        <v>332</v>
      </c>
      <c r="D9" s="10">
        <v>10000</v>
      </c>
      <c r="E9" s="10">
        <v>120000</v>
      </c>
      <c r="F9" s="10">
        <v>330000</v>
      </c>
    </row>
    <row r="10" spans="1:6" x14ac:dyDescent="0.35">
      <c r="A10" s="6" t="s">
        <v>323</v>
      </c>
      <c r="B10" s="6">
        <v>2025</v>
      </c>
      <c r="C10" s="6" t="s">
        <v>332</v>
      </c>
      <c r="D10" s="10">
        <v>10000</v>
      </c>
      <c r="E10" s="10">
        <f>SUM(E9+D10)</f>
        <v>130000</v>
      </c>
      <c r="F10" s="10">
        <f>F9-D10</f>
        <v>320000</v>
      </c>
    </row>
    <row r="11" spans="1:6" x14ac:dyDescent="0.35">
      <c r="A11" s="11">
        <v>45171</v>
      </c>
      <c r="B11" s="6">
        <v>2026</v>
      </c>
      <c r="C11" s="6" t="s">
        <v>332</v>
      </c>
      <c r="D11" s="10">
        <v>20000</v>
      </c>
      <c r="E11" s="10">
        <f t="shared" ref="E11:E38" si="0">SUM(E10+D11)</f>
        <v>150000</v>
      </c>
      <c r="F11" s="10">
        <f t="shared" ref="F11:F38" si="1">F10-D11</f>
        <v>300000</v>
      </c>
    </row>
    <row r="12" spans="1:6" x14ac:dyDescent="0.35">
      <c r="A12" s="6" t="s">
        <v>155</v>
      </c>
      <c r="B12" s="6">
        <v>850</v>
      </c>
      <c r="C12" s="6" t="s">
        <v>59</v>
      </c>
      <c r="D12" s="10">
        <v>20000</v>
      </c>
      <c r="E12" s="10">
        <f t="shared" si="0"/>
        <v>170000</v>
      </c>
      <c r="F12" s="10">
        <f t="shared" si="1"/>
        <v>280000</v>
      </c>
    </row>
    <row r="13" spans="1:6" x14ac:dyDescent="0.35">
      <c r="A13" s="6" t="s">
        <v>324</v>
      </c>
      <c r="B13" s="6">
        <v>595</v>
      </c>
      <c r="C13" s="6" t="s">
        <v>59</v>
      </c>
      <c r="D13" s="10">
        <v>20000</v>
      </c>
      <c r="E13" s="10">
        <f t="shared" si="0"/>
        <v>190000</v>
      </c>
      <c r="F13" s="10">
        <f t="shared" si="1"/>
        <v>260000</v>
      </c>
    </row>
    <row r="14" spans="1:6" x14ac:dyDescent="0.35">
      <c r="A14" s="6" t="s">
        <v>325</v>
      </c>
      <c r="B14" s="6">
        <v>2965</v>
      </c>
      <c r="C14" s="6" t="s">
        <v>59</v>
      </c>
      <c r="D14" s="10">
        <v>10000</v>
      </c>
      <c r="E14" s="10">
        <f t="shared" si="0"/>
        <v>200000</v>
      </c>
      <c r="F14" s="10">
        <f t="shared" si="1"/>
        <v>250000</v>
      </c>
    </row>
    <row r="15" spans="1:6" x14ac:dyDescent="0.35">
      <c r="A15" s="6" t="s">
        <v>326</v>
      </c>
      <c r="B15" s="6">
        <v>2965</v>
      </c>
      <c r="C15" s="6" t="s">
        <v>59</v>
      </c>
      <c r="D15" s="10">
        <v>10000</v>
      </c>
      <c r="E15" s="10">
        <f t="shared" si="0"/>
        <v>210000</v>
      </c>
      <c r="F15" s="10">
        <f t="shared" si="1"/>
        <v>240000</v>
      </c>
    </row>
    <row r="16" spans="1:6" x14ac:dyDescent="0.35">
      <c r="A16" s="6" t="s">
        <v>327</v>
      </c>
      <c r="B16" s="6">
        <v>3249</v>
      </c>
      <c r="C16" s="6" t="s">
        <v>59</v>
      </c>
      <c r="D16" s="10">
        <v>10000</v>
      </c>
      <c r="E16" s="10">
        <f t="shared" si="0"/>
        <v>220000</v>
      </c>
      <c r="F16" s="10">
        <f t="shared" si="1"/>
        <v>230000</v>
      </c>
    </row>
    <row r="17" spans="1:6" x14ac:dyDescent="0.35">
      <c r="A17" s="6" t="s">
        <v>328</v>
      </c>
      <c r="B17" s="6">
        <v>4558</v>
      </c>
      <c r="C17" s="6" t="s">
        <v>59</v>
      </c>
      <c r="D17" s="10">
        <v>10000</v>
      </c>
      <c r="E17" s="10">
        <f t="shared" si="0"/>
        <v>230000</v>
      </c>
      <c r="F17" s="10">
        <f t="shared" si="1"/>
        <v>220000</v>
      </c>
    </row>
    <row r="18" spans="1:6" x14ac:dyDescent="0.35">
      <c r="A18" s="6" t="s">
        <v>82</v>
      </c>
      <c r="B18" s="6">
        <v>5142</v>
      </c>
      <c r="C18" s="6" t="s">
        <v>59</v>
      </c>
      <c r="D18" s="10">
        <v>10000</v>
      </c>
      <c r="E18" s="10">
        <f t="shared" si="0"/>
        <v>240000</v>
      </c>
      <c r="F18" s="10">
        <f t="shared" si="1"/>
        <v>210000</v>
      </c>
    </row>
    <row r="19" spans="1:6" x14ac:dyDescent="0.35">
      <c r="A19" s="6" t="s">
        <v>333</v>
      </c>
      <c r="B19" s="6">
        <v>5768</v>
      </c>
      <c r="C19" s="6" t="s">
        <v>59</v>
      </c>
      <c r="D19" s="10">
        <v>10000</v>
      </c>
      <c r="E19" s="10">
        <f t="shared" si="0"/>
        <v>250000</v>
      </c>
      <c r="F19" s="10">
        <f t="shared" si="1"/>
        <v>200000</v>
      </c>
    </row>
    <row r="20" spans="1:6" x14ac:dyDescent="0.35">
      <c r="A20" s="6" t="s">
        <v>334</v>
      </c>
      <c r="B20" s="6">
        <v>6358</v>
      </c>
      <c r="C20" s="6" t="s">
        <v>59</v>
      </c>
      <c r="D20" s="10">
        <v>10000</v>
      </c>
      <c r="E20" s="10">
        <f t="shared" si="0"/>
        <v>260000</v>
      </c>
      <c r="F20" s="10">
        <f t="shared" si="1"/>
        <v>190000</v>
      </c>
    </row>
    <row r="21" spans="1:6" x14ac:dyDescent="0.35">
      <c r="A21" s="6" t="s">
        <v>85</v>
      </c>
      <c r="B21" s="6">
        <v>6703</v>
      </c>
      <c r="C21" s="6" t="s">
        <v>59</v>
      </c>
      <c r="D21" s="10">
        <v>10000</v>
      </c>
      <c r="E21" s="10">
        <f t="shared" si="0"/>
        <v>270000</v>
      </c>
      <c r="F21" s="10">
        <f t="shared" si="1"/>
        <v>180000</v>
      </c>
    </row>
    <row r="22" spans="1:6" x14ac:dyDescent="0.35">
      <c r="A22" s="11">
        <v>45568</v>
      </c>
      <c r="B22" s="6">
        <v>7213</v>
      </c>
      <c r="C22" s="6" t="s">
        <v>59</v>
      </c>
      <c r="D22" s="10">
        <v>10000</v>
      </c>
      <c r="E22" s="10">
        <f t="shared" si="0"/>
        <v>280000</v>
      </c>
      <c r="F22" s="10">
        <f t="shared" si="1"/>
        <v>170000</v>
      </c>
    </row>
    <row r="23" spans="1:6" x14ac:dyDescent="0.35">
      <c r="A23" s="6" t="s">
        <v>335</v>
      </c>
      <c r="B23" s="6">
        <v>7963</v>
      </c>
      <c r="C23" s="6" t="s">
        <v>59</v>
      </c>
      <c r="D23" s="10">
        <v>10000</v>
      </c>
      <c r="E23" s="10">
        <f t="shared" si="0"/>
        <v>290000</v>
      </c>
      <c r="F23" s="10">
        <f t="shared" si="1"/>
        <v>160000</v>
      </c>
    </row>
    <row r="24" spans="1:6" x14ac:dyDescent="0.35">
      <c r="A24" s="11">
        <v>45417</v>
      </c>
      <c r="B24" s="6">
        <v>8253</v>
      </c>
      <c r="C24" s="6" t="s">
        <v>59</v>
      </c>
      <c r="D24" s="10">
        <v>10000</v>
      </c>
      <c r="E24" s="10">
        <f t="shared" si="0"/>
        <v>300000</v>
      </c>
      <c r="F24" s="10">
        <f t="shared" si="1"/>
        <v>150000</v>
      </c>
    </row>
    <row r="25" spans="1:6" x14ac:dyDescent="0.35">
      <c r="A25" s="11">
        <v>45418</v>
      </c>
      <c r="B25" s="6">
        <v>8847</v>
      </c>
      <c r="C25" s="6" t="s">
        <v>59</v>
      </c>
      <c r="D25" s="10">
        <v>10000</v>
      </c>
      <c r="E25" s="10">
        <f t="shared" si="0"/>
        <v>310000</v>
      </c>
      <c r="F25" s="10">
        <f t="shared" si="1"/>
        <v>140000</v>
      </c>
    </row>
    <row r="26" spans="1:6" x14ac:dyDescent="0.35">
      <c r="A26" s="11">
        <v>45480</v>
      </c>
      <c r="B26" s="6">
        <v>9120</v>
      </c>
      <c r="C26" s="6" t="s">
        <v>59</v>
      </c>
      <c r="D26" s="10">
        <v>10000</v>
      </c>
      <c r="E26" s="10">
        <f t="shared" si="0"/>
        <v>320000</v>
      </c>
      <c r="F26" s="10">
        <f t="shared" si="1"/>
        <v>130000</v>
      </c>
    </row>
    <row r="27" spans="1:6" x14ac:dyDescent="0.35">
      <c r="A27" s="11">
        <v>45547</v>
      </c>
      <c r="B27" s="6">
        <v>12260</v>
      </c>
      <c r="C27" s="6" t="s">
        <v>59</v>
      </c>
      <c r="D27" s="10">
        <v>10000</v>
      </c>
      <c r="E27" s="10">
        <f t="shared" si="0"/>
        <v>330000</v>
      </c>
      <c r="F27" s="10">
        <f t="shared" si="1"/>
        <v>120000</v>
      </c>
    </row>
    <row r="28" spans="1:6" x14ac:dyDescent="0.35">
      <c r="A28" s="11">
        <v>45387</v>
      </c>
      <c r="B28" s="6">
        <v>10315</v>
      </c>
      <c r="C28" s="6" t="s">
        <v>59</v>
      </c>
      <c r="D28" s="10">
        <v>10000</v>
      </c>
      <c r="E28" s="10">
        <f t="shared" si="0"/>
        <v>340000</v>
      </c>
      <c r="F28" s="10">
        <f t="shared" si="1"/>
        <v>110000</v>
      </c>
    </row>
    <row r="29" spans="1:6" x14ac:dyDescent="0.35">
      <c r="A29" s="6" t="s">
        <v>166</v>
      </c>
      <c r="B29" s="6">
        <v>12301</v>
      </c>
      <c r="C29" s="6" t="s">
        <v>59</v>
      </c>
      <c r="D29" s="10">
        <v>10000</v>
      </c>
      <c r="E29" s="10">
        <f t="shared" si="0"/>
        <v>350000</v>
      </c>
      <c r="F29" s="10">
        <f t="shared" si="1"/>
        <v>100000</v>
      </c>
    </row>
    <row r="30" spans="1:6" x14ac:dyDescent="0.35">
      <c r="A30" s="6" t="s">
        <v>336</v>
      </c>
      <c r="B30" s="6">
        <v>12955</v>
      </c>
      <c r="C30" s="6" t="s">
        <v>59</v>
      </c>
      <c r="D30" s="10">
        <v>5000</v>
      </c>
      <c r="E30" s="10">
        <f t="shared" si="0"/>
        <v>355000</v>
      </c>
      <c r="F30" s="10">
        <f t="shared" si="1"/>
        <v>95000</v>
      </c>
    </row>
    <row r="31" spans="1:6" x14ac:dyDescent="0.35">
      <c r="A31" s="6" t="s">
        <v>337</v>
      </c>
      <c r="B31" s="6">
        <v>13950</v>
      </c>
      <c r="C31" s="6" t="s">
        <v>59</v>
      </c>
      <c r="D31" s="10">
        <v>5000</v>
      </c>
      <c r="E31" s="10">
        <f t="shared" si="0"/>
        <v>360000</v>
      </c>
      <c r="F31" s="10">
        <f t="shared" si="1"/>
        <v>90000</v>
      </c>
    </row>
    <row r="32" spans="1:6" x14ac:dyDescent="0.35">
      <c r="A32" s="6" t="s">
        <v>338</v>
      </c>
      <c r="B32" s="6">
        <v>13687</v>
      </c>
      <c r="C32" s="6" t="s">
        <v>59</v>
      </c>
      <c r="D32" s="10">
        <v>5000</v>
      </c>
      <c r="E32" s="10">
        <f t="shared" si="0"/>
        <v>365000</v>
      </c>
      <c r="F32" s="10">
        <f t="shared" si="1"/>
        <v>85000</v>
      </c>
    </row>
    <row r="33" spans="1:6" x14ac:dyDescent="0.35">
      <c r="A33" s="11">
        <v>45819</v>
      </c>
      <c r="B33" s="6">
        <v>13440</v>
      </c>
      <c r="C33" s="6" t="s">
        <v>59</v>
      </c>
      <c r="D33" s="10">
        <v>5000</v>
      </c>
      <c r="E33" s="10">
        <f t="shared" si="0"/>
        <v>370000</v>
      </c>
      <c r="F33" s="10">
        <f t="shared" si="1"/>
        <v>80000</v>
      </c>
    </row>
    <row r="34" spans="1:6" x14ac:dyDescent="0.35">
      <c r="A34" s="6" t="s">
        <v>167</v>
      </c>
      <c r="B34" s="6">
        <v>12683</v>
      </c>
      <c r="C34" s="6" t="s">
        <v>59</v>
      </c>
      <c r="D34" s="10">
        <v>5000</v>
      </c>
      <c r="E34" s="10">
        <f t="shared" si="0"/>
        <v>375000</v>
      </c>
      <c r="F34" s="10">
        <f t="shared" si="1"/>
        <v>75000</v>
      </c>
    </row>
    <row r="35" spans="1:6" x14ac:dyDescent="0.35">
      <c r="A35" s="6" t="s">
        <v>339</v>
      </c>
      <c r="B35" s="6">
        <v>12213</v>
      </c>
      <c r="C35" s="6" t="s">
        <v>59</v>
      </c>
      <c r="D35" s="10">
        <v>5000</v>
      </c>
      <c r="E35" s="10">
        <f t="shared" si="0"/>
        <v>380000</v>
      </c>
      <c r="F35" s="10">
        <f t="shared" si="1"/>
        <v>70000</v>
      </c>
    </row>
    <row r="36" spans="1:6" x14ac:dyDescent="0.35">
      <c r="A36" s="6" t="s">
        <v>340</v>
      </c>
      <c r="B36" s="6">
        <v>12568</v>
      </c>
      <c r="C36" s="6" t="s">
        <v>59</v>
      </c>
      <c r="D36" s="10">
        <v>5000</v>
      </c>
      <c r="E36" s="10">
        <f t="shared" si="0"/>
        <v>385000</v>
      </c>
      <c r="F36" s="10">
        <f t="shared" si="1"/>
        <v>65000</v>
      </c>
    </row>
    <row r="37" spans="1:6" x14ac:dyDescent="0.35">
      <c r="A37" s="6" t="s">
        <v>341</v>
      </c>
      <c r="B37" s="6">
        <v>13910</v>
      </c>
      <c r="C37" s="6" t="s">
        <v>59</v>
      </c>
      <c r="D37" s="10">
        <v>5000</v>
      </c>
      <c r="E37" s="10">
        <f t="shared" si="0"/>
        <v>390000</v>
      </c>
      <c r="F37" s="10">
        <f t="shared" si="1"/>
        <v>60000</v>
      </c>
    </row>
    <row r="38" spans="1:6" x14ac:dyDescent="0.35">
      <c r="A38" s="6" t="s">
        <v>342</v>
      </c>
      <c r="B38" s="6">
        <v>13038</v>
      </c>
      <c r="C38" s="6" t="s">
        <v>59</v>
      </c>
      <c r="D38" s="10">
        <v>5000</v>
      </c>
      <c r="E38" s="10">
        <f t="shared" si="0"/>
        <v>395000</v>
      </c>
      <c r="F38" s="10">
        <f t="shared" si="1"/>
        <v>55000</v>
      </c>
    </row>
    <row r="39" spans="1:6" x14ac:dyDescent="0.35">
      <c r="A39" s="11">
        <v>46147</v>
      </c>
      <c r="B39" s="6">
        <v>12938</v>
      </c>
      <c r="C39" s="6" t="s">
        <v>59</v>
      </c>
      <c r="D39" s="10">
        <v>5000</v>
      </c>
      <c r="E39" s="10">
        <f>E38+D39</f>
        <v>400000</v>
      </c>
      <c r="F39" s="10">
        <f>F38-D39</f>
        <v>50000</v>
      </c>
    </row>
    <row r="40" spans="1:6" x14ac:dyDescent="0.35">
      <c r="A40" s="11">
        <v>46210</v>
      </c>
      <c r="B40" s="6">
        <v>1418</v>
      </c>
      <c r="C40" s="6" t="s">
        <v>59</v>
      </c>
      <c r="D40" s="10">
        <v>10000</v>
      </c>
      <c r="E40" s="10">
        <f>E39+D40</f>
        <v>410000</v>
      </c>
      <c r="F40" s="10">
        <f>F39-D40</f>
        <v>40000</v>
      </c>
    </row>
    <row r="41" spans="1:6" x14ac:dyDescent="0.35">
      <c r="A41" s="11">
        <v>46150</v>
      </c>
      <c r="B41" s="6">
        <v>1657</v>
      </c>
      <c r="C41" s="6" t="s">
        <v>59</v>
      </c>
      <c r="D41" s="10">
        <v>25000</v>
      </c>
      <c r="E41" s="10">
        <f>E40+D41</f>
        <v>435000</v>
      </c>
      <c r="F41" s="10" t="s">
        <v>310</v>
      </c>
    </row>
    <row r="43" spans="1:6" x14ac:dyDescent="0.35">
      <c r="C43" t="s">
        <v>570</v>
      </c>
    </row>
    <row r="44" spans="1:6" x14ac:dyDescent="0.35">
      <c r="A44" s="27" t="s">
        <v>571</v>
      </c>
      <c r="B44" s="27"/>
    </row>
    <row r="45" spans="1:6" x14ac:dyDescent="0.35">
      <c r="A45" s="11">
        <v>46150</v>
      </c>
      <c r="B45" s="6">
        <v>3734</v>
      </c>
      <c r="C45" s="6" t="s">
        <v>572</v>
      </c>
      <c r="D45" s="10">
        <v>150000</v>
      </c>
      <c r="E45" s="10">
        <v>150000</v>
      </c>
      <c r="F45" s="6" t="s">
        <v>310</v>
      </c>
    </row>
  </sheetData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sqref="A1:G7"/>
    </sheetView>
  </sheetViews>
  <sheetFormatPr defaultRowHeight="14.5" x14ac:dyDescent="0.35"/>
  <cols>
    <col min="1" max="1" width="10.453125" customWidth="1"/>
    <col min="3" max="3" width="9.90625" customWidth="1"/>
  </cols>
  <sheetData>
    <row r="1" spans="1:6" ht="18.5" x14ac:dyDescent="0.45">
      <c r="A1" s="1" t="s">
        <v>330</v>
      </c>
      <c r="B1" s="1"/>
      <c r="C1" s="1"/>
      <c r="D1" s="1"/>
      <c r="E1" s="1"/>
      <c r="F1" s="1"/>
    </row>
    <row r="2" spans="1:6" ht="18.5" x14ac:dyDescent="0.45">
      <c r="A2" s="1" t="s">
        <v>315</v>
      </c>
      <c r="C2" s="1"/>
      <c r="D2" s="1"/>
      <c r="E2" s="1"/>
      <c r="F2" s="1"/>
    </row>
    <row r="3" spans="1:6" ht="18.5" x14ac:dyDescent="0.45">
      <c r="A3" s="1" t="s">
        <v>316</v>
      </c>
      <c r="B3" s="1"/>
      <c r="C3" s="1"/>
      <c r="D3" s="1"/>
      <c r="E3" s="1"/>
      <c r="F3" s="1"/>
    </row>
    <row r="4" spans="1:6" ht="18.5" x14ac:dyDescent="0.45">
      <c r="A4" s="1" t="s">
        <v>320</v>
      </c>
      <c r="B4" s="1"/>
      <c r="C4" s="1"/>
      <c r="D4" s="1"/>
      <c r="E4" s="1"/>
      <c r="F4" s="1"/>
    </row>
    <row r="5" spans="1:6" ht="18.5" x14ac:dyDescent="0.45">
      <c r="A5" s="1" t="s">
        <v>317</v>
      </c>
      <c r="B5" s="1"/>
      <c r="C5" s="1"/>
      <c r="D5" s="1"/>
      <c r="E5" s="1"/>
      <c r="F5" s="1"/>
    </row>
    <row r="6" spans="1:6" ht="18.5" x14ac:dyDescent="0.45">
      <c r="A6" s="1" t="s">
        <v>318</v>
      </c>
      <c r="B6" s="1"/>
      <c r="C6" s="1"/>
      <c r="D6" s="25" t="s">
        <v>319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 t="s">
        <v>321</v>
      </c>
      <c r="B8" s="6"/>
      <c r="C8" s="6" t="s">
        <v>141</v>
      </c>
      <c r="D8" s="6"/>
      <c r="E8" s="6"/>
      <c r="F8" s="10">
        <v>340000</v>
      </c>
    </row>
    <row r="9" spans="1:6" x14ac:dyDescent="0.35">
      <c r="A9" s="6"/>
      <c r="B9" s="6"/>
      <c r="C9" s="6"/>
      <c r="D9" s="10"/>
      <c r="E9" s="10"/>
      <c r="F9" s="10"/>
    </row>
    <row r="10" spans="1:6" x14ac:dyDescent="0.35">
      <c r="A10" s="6" t="s">
        <v>322</v>
      </c>
      <c r="B10" s="6">
        <v>2032</v>
      </c>
      <c r="C10" s="6" t="s">
        <v>329</v>
      </c>
      <c r="D10" s="10">
        <v>10000</v>
      </c>
      <c r="E10" s="10">
        <v>120000</v>
      </c>
      <c r="F10" s="10">
        <v>330000</v>
      </c>
    </row>
    <row r="11" spans="1:6" x14ac:dyDescent="0.35">
      <c r="A11" s="6" t="s">
        <v>323</v>
      </c>
      <c r="B11" s="6">
        <v>2033</v>
      </c>
      <c r="C11" s="6" t="s">
        <v>329</v>
      </c>
      <c r="D11" s="10">
        <v>10000</v>
      </c>
      <c r="E11" s="10">
        <f>SUM(E10+D11)</f>
        <v>130000</v>
      </c>
      <c r="F11" s="10">
        <f t="shared" ref="F11:F40" si="0">F10-D11</f>
        <v>320000</v>
      </c>
    </row>
    <row r="12" spans="1:6" x14ac:dyDescent="0.35">
      <c r="A12" s="11">
        <v>45109</v>
      </c>
      <c r="B12" s="6">
        <v>2034</v>
      </c>
      <c r="C12" s="6" t="s">
        <v>59</v>
      </c>
      <c r="D12" s="10">
        <v>20000</v>
      </c>
      <c r="E12" s="10">
        <f t="shared" ref="E12:E40" si="1">SUM(E11+D12)</f>
        <v>150000</v>
      </c>
      <c r="F12" s="10">
        <f t="shared" si="0"/>
        <v>300000</v>
      </c>
    </row>
    <row r="13" spans="1:6" x14ac:dyDescent="0.35">
      <c r="A13" s="6" t="s">
        <v>155</v>
      </c>
      <c r="B13" s="6">
        <v>851</v>
      </c>
      <c r="C13" s="6" t="s">
        <v>59</v>
      </c>
      <c r="D13" s="10">
        <v>20000</v>
      </c>
      <c r="E13" s="10">
        <f t="shared" si="1"/>
        <v>170000</v>
      </c>
      <c r="F13" s="10">
        <f t="shared" si="0"/>
        <v>280000</v>
      </c>
    </row>
    <row r="14" spans="1:6" x14ac:dyDescent="0.35">
      <c r="A14" s="6" t="s">
        <v>324</v>
      </c>
      <c r="B14" s="6">
        <v>594</v>
      </c>
      <c r="C14" s="6" t="s">
        <v>59</v>
      </c>
      <c r="D14" s="10">
        <v>20000</v>
      </c>
      <c r="E14" s="10">
        <f t="shared" si="1"/>
        <v>190000</v>
      </c>
      <c r="F14" s="10">
        <f t="shared" si="0"/>
        <v>260000</v>
      </c>
    </row>
    <row r="15" spans="1:6" x14ac:dyDescent="0.35">
      <c r="A15" s="6" t="s">
        <v>325</v>
      </c>
      <c r="B15" s="6">
        <v>2966</v>
      </c>
      <c r="C15" s="6" t="s">
        <v>59</v>
      </c>
      <c r="D15" s="10">
        <v>10000</v>
      </c>
      <c r="E15" s="10">
        <f t="shared" si="1"/>
        <v>200000</v>
      </c>
      <c r="F15" s="10">
        <f t="shared" si="0"/>
        <v>250000</v>
      </c>
    </row>
    <row r="16" spans="1:6" x14ac:dyDescent="0.35">
      <c r="A16" s="6" t="s">
        <v>326</v>
      </c>
      <c r="B16" s="6">
        <v>3250</v>
      </c>
      <c r="C16" s="6" t="s">
        <v>59</v>
      </c>
      <c r="D16" s="10">
        <v>10000</v>
      </c>
      <c r="E16" s="10">
        <f t="shared" si="1"/>
        <v>210000</v>
      </c>
      <c r="F16" s="10">
        <f t="shared" si="0"/>
        <v>240000</v>
      </c>
    </row>
    <row r="17" spans="1:6" x14ac:dyDescent="0.35">
      <c r="A17" s="6" t="s">
        <v>327</v>
      </c>
      <c r="B17" s="6">
        <v>3880</v>
      </c>
      <c r="C17" s="6" t="s">
        <v>59</v>
      </c>
      <c r="D17" s="10">
        <v>10000</v>
      </c>
      <c r="E17" s="10">
        <f t="shared" si="1"/>
        <v>220000</v>
      </c>
      <c r="F17" s="10">
        <f t="shared" si="0"/>
        <v>230000</v>
      </c>
    </row>
    <row r="18" spans="1:6" x14ac:dyDescent="0.35">
      <c r="A18" s="6" t="s">
        <v>328</v>
      </c>
      <c r="B18" s="6">
        <v>4559</v>
      </c>
      <c r="C18" s="6" t="s">
        <v>59</v>
      </c>
      <c r="D18" s="10">
        <v>10000</v>
      </c>
      <c r="E18" s="10">
        <f t="shared" si="1"/>
        <v>230000</v>
      </c>
      <c r="F18" s="10">
        <f t="shared" si="0"/>
        <v>220000</v>
      </c>
    </row>
    <row r="19" spans="1:6" x14ac:dyDescent="0.35">
      <c r="A19" s="6" t="s">
        <v>82</v>
      </c>
      <c r="B19" s="6">
        <v>5143</v>
      </c>
      <c r="C19" s="6" t="s">
        <v>59</v>
      </c>
      <c r="D19" s="10">
        <v>10000</v>
      </c>
      <c r="E19" s="10">
        <f t="shared" si="1"/>
        <v>240000</v>
      </c>
      <c r="F19" s="10">
        <f t="shared" si="0"/>
        <v>210000</v>
      </c>
    </row>
    <row r="20" spans="1:6" x14ac:dyDescent="0.35">
      <c r="A20" s="6" t="s">
        <v>333</v>
      </c>
      <c r="B20" s="6">
        <v>5767</v>
      </c>
      <c r="C20" s="6" t="s">
        <v>59</v>
      </c>
      <c r="D20" s="10">
        <v>10000</v>
      </c>
      <c r="E20" s="10">
        <f t="shared" si="1"/>
        <v>250000</v>
      </c>
      <c r="F20" s="10">
        <f t="shared" si="0"/>
        <v>200000</v>
      </c>
    </row>
    <row r="21" spans="1:6" x14ac:dyDescent="0.35">
      <c r="A21" s="6" t="s">
        <v>344</v>
      </c>
      <c r="B21" s="6">
        <v>6359</v>
      </c>
      <c r="C21" s="6" t="s">
        <v>59</v>
      </c>
      <c r="D21" s="10">
        <v>10000</v>
      </c>
      <c r="E21" s="10">
        <f t="shared" si="1"/>
        <v>260000</v>
      </c>
      <c r="F21" s="10">
        <f t="shared" si="0"/>
        <v>190000</v>
      </c>
    </row>
    <row r="22" spans="1:6" x14ac:dyDescent="0.35">
      <c r="A22" s="6" t="s">
        <v>345</v>
      </c>
      <c r="B22" s="6">
        <v>6704</v>
      </c>
      <c r="C22" s="6" t="s">
        <v>59</v>
      </c>
      <c r="D22" s="10">
        <v>10000</v>
      </c>
      <c r="E22" s="10">
        <f t="shared" si="1"/>
        <v>270000</v>
      </c>
      <c r="F22" s="10">
        <f t="shared" si="0"/>
        <v>180000</v>
      </c>
    </row>
    <row r="23" spans="1:6" x14ac:dyDescent="0.35">
      <c r="A23" s="6" t="s">
        <v>346</v>
      </c>
      <c r="B23" s="6">
        <v>6807</v>
      </c>
      <c r="C23" s="6" t="s">
        <v>59</v>
      </c>
      <c r="D23" s="10">
        <v>6000</v>
      </c>
      <c r="E23" s="10">
        <f t="shared" si="1"/>
        <v>276000</v>
      </c>
      <c r="F23" s="10">
        <f t="shared" si="0"/>
        <v>174000</v>
      </c>
    </row>
    <row r="24" spans="1:6" x14ac:dyDescent="0.35">
      <c r="A24" s="11">
        <v>45568</v>
      </c>
      <c r="B24" s="6">
        <v>7212</v>
      </c>
      <c r="C24" s="6" t="s">
        <v>59</v>
      </c>
      <c r="D24" s="10">
        <v>4000</v>
      </c>
      <c r="E24" s="10">
        <f t="shared" si="1"/>
        <v>280000</v>
      </c>
      <c r="F24" s="10">
        <f t="shared" si="0"/>
        <v>170000</v>
      </c>
    </row>
    <row r="25" spans="1:6" x14ac:dyDescent="0.35">
      <c r="A25" s="6" t="s">
        <v>335</v>
      </c>
      <c r="B25" s="6">
        <v>7962</v>
      </c>
      <c r="C25" s="6" t="s">
        <v>59</v>
      </c>
      <c r="D25" s="10">
        <v>10000</v>
      </c>
      <c r="E25" s="10">
        <f t="shared" si="1"/>
        <v>290000</v>
      </c>
      <c r="F25" s="10">
        <f t="shared" si="0"/>
        <v>160000</v>
      </c>
    </row>
    <row r="26" spans="1:6" x14ac:dyDescent="0.35">
      <c r="A26" s="11">
        <v>45417</v>
      </c>
      <c r="B26" s="6">
        <v>8254</v>
      </c>
      <c r="C26" s="6" t="s">
        <v>59</v>
      </c>
      <c r="D26" s="10">
        <v>10000</v>
      </c>
      <c r="E26" s="10">
        <f t="shared" si="1"/>
        <v>300000</v>
      </c>
      <c r="F26" s="10">
        <f t="shared" si="0"/>
        <v>150000</v>
      </c>
    </row>
    <row r="27" spans="1:6" x14ac:dyDescent="0.35">
      <c r="A27" s="11">
        <v>45418</v>
      </c>
      <c r="B27" s="6">
        <v>8848</v>
      </c>
      <c r="C27" s="6" t="s">
        <v>59</v>
      </c>
      <c r="D27" s="10">
        <v>10000</v>
      </c>
      <c r="E27" s="10">
        <f t="shared" si="1"/>
        <v>310000</v>
      </c>
      <c r="F27" s="10">
        <f t="shared" si="0"/>
        <v>140000</v>
      </c>
    </row>
    <row r="28" spans="1:6" x14ac:dyDescent="0.35">
      <c r="A28" s="11">
        <v>45480</v>
      </c>
      <c r="B28" s="6">
        <v>9419</v>
      </c>
      <c r="C28" s="6" t="s">
        <v>59</v>
      </c>
      <c r="D28" s="10">
        <v>10000</v>
      </c>
      <c r="E28" s="10">
        <f t="shared" si="1"/>
        <v>320000</v>
      </c>
      <c r="F28" s="10">
        <f t="shared" si="0"/>
        <v>130000</v>
      </c>
    </row>
    <row r="29" spans="1:6" x14ac:dyDescent="0.35">
      <c r="A29" s="11">
        <v>45547</v>
      </c>
      <c r="B29" s="6">
        <v>12261</v>
      </c>
      <c r="C29" s="6" t="s">
        <v>59</v>
      </c>
      <c r="D29" s="10">
        <v>10000</v>
      </c>
      <c r="E29" s="10">
        <f t="shared" si="1"/>
        <v>330000</v>
      </c>
      <c r="F29" s="10">
        <f t="shared" si="0"/>
        <v>120000</v>
      </c>
    </row>
    <row r="30" spans="1:6" x14ac:dyDescent="0.35">
      <c r="A30" s="11">
        <v>45752</v>
      </c>
      <c r="B30" s="6">
        <v>10314</v>
      </c>
      <c r="C30" s="6" t="s">
        <v>59</v>
      </c>
      <c r="D30" s="10">
        <v>10000</v>
      </c>
      <c r="E30" s="10">
        <f t="shared" si="1"/>
        <v>340000</v>
      </c>
      <c r="F30" s="10">
        <f t="shared" si="0"/>
        <v>110000</v>
      </c>
    </row>
    <row r="31" spans="1:6" x14ac:dyDescent="0.35">
      <c r="A31" s="6" t="s">
        <v>347</v>
      </c>
      <c r="B31" s="6">
        <v>12300</v>
      </c>
      <c r="C31" s="6" t="s">
        <v>59</v>
      </c>
      <c r="D31" s="10">
        <v>10000</v>
      </c>
      <c r="E31" s="10">
        <f t="shared" si="1"/>
        <v>350000</v>
      </c>
      <c r="F31" s="10">
        <f t="shared" si="0"/>
        <v>100000</v>
      </c>
    </row>
    <row r="32" spans="1:6" x14ac:dyDescent="0.35">
      <c r="A32" s="6" t="s">
        <v>336</v>
      </c>
      <c r="B32" s="6">
        <v>12954</v>
      </c>
      <c r="C32" s="6" t="s">
        <v>59</v>
      </c>
      <c r="D32" s="10">
        <v>5000</v>
      </c>
      <c r="E32" s="10">
        <f t="shared" si="1"/>
        <v>355000</v>
      </c>
      <c r="F32" s="10">
        <f t="shared" si="0"/>
        <v>95000</v>
      </c>
    </row>
    <row r="33" spans="1:6" x14ac:dyDescent="0.35">
      <c r="A33" s="6" t="s">
        <v>337</v>
      </c>
      <c r="B33" s="6">
        <v>13951</v>
      </c>
      <c r="C33" s="6" t="s">
        <v>59</v>
      </c>
      <c r="D33" s="10">
        <v>5000</v>
      </c>
      <c r="E33" s="10">
        <f t="shared" si="1"/>
        <v>360000</v>
      </c>
      <c r="F33" s="10">
        <f t="shared" si="0"/>
        <v>90000</v>
      </c>
    </row>
    <row r="34" spans="1:6" x14ac:dyDescent="0.35">
      <c r="A34" s="6" t="s">
        <v>338</v>
      </c>
      <c r="B34" s="6">
        <v>13688</v>
      </c>
      <c r="C34" s="6" t="s">
        <v>59</v>
      </c>
      <c r="D34" s="10">
        <v>5000</v>
      </c>
      <c r="E34" s="10">
        <f t="shared" si="1"/>
        <v>365000</v>
      </c>
      <c r="F34" s="10">
        <f t="shared" si="0"/>
        <v>85000</v>
      </c>
    </row>
    <row r="35" spans="1:6" x14ac:dyDescent="0.35">
      <c r="A35" s="11">
        <v>45819</v>
      </c>
      <c r="B35" s="6">
        <v>13439</v>
      </c>
      <c r="C35" s="6" t="s">
        <v>59</v>
      </c>
      <c r="D35" s="10">
        <v>5000</v>
      </c>
      <c r="E35" s="10">
        <f t="shared" si="1"/>
        <v>370000</v>
      </c>
      <c r="F35" s="10">
        <f t="shared" si="0"/>
        <v>80000</v>
      </c>
    </row>
    <row r="36" spans="1:6" x14ac:dyDescent="0.35">
      <c r="A36" s="6" t="s">
        <v>167</v>
      </c>
      <c r="B36" s="6">
        <v>12682</v>
      </c>
      <c r="C36" s="6" t="s">
        <v>59</v>
      </c>
      <c r="D36" s="10">
        <v>5000</v>
      </c>
      <c r="E36" s="10">
        <f t="shared" si="1"/>
        <v>375000</v>
      </c>
      <c r="F36" s="10">
        <f t="shared" si="0"/>
        <v>75000</v>
      </c>
    </row>
    <row r="37" spans="1:6" x14ac:dyDescent="0.35">
      <c r="A37" s="6" t="s">
        <v>339</v>
      </c>
      <c r="B37" s="6">
        <v>12212</v>
      </c>
      <c r="C37" s="6" t="s">
        <v>59</v>
      </c>
      <c r="D37" s="10">
        <v>5000</v>
      </c>
      <c r="E37" s="10">
        <f t="shared" si="1"/>
        <v>380000</v>
      </c>
      <c r="F37" s="10">
        <f t="shared" si="0"/>
        <v>70000</v>
      </c>
    </row>
    <row r="38" spans="1:6" x14ac:dyDescent="0.35">
      <c r="A38" s="6" t="s">
        <v>340</v>
      </c>
      <c r="B38" s="6">
        <v>12567</v>
      </c>
      <c r="C38" s="6" t="s">
        <v>59</v>
      </c>
      <c r="D38" s="10">
        <v>5000</v>
      </c>
      <c r="E38" s="10">
        <f t="shared" si="1"/>
        <v>385000</v>
      </c>
      <c r="F38" s="10">
        <f t="shared" si="0"/>
        <v>65000</v>
      </c>
    </row>
    <row r="39" spans="1:6" x14ac:dyDescent="0.35">
      <c r="A39" s="6" t="s">
        <v>341</v>
      </c>
      <c r="B39" s="6">
        <v>13909</v>
      </c>
      <c r="C39" s="6" t="s">
        <v>59</v>
      </c>
      <c r="D39" s="10">
        <v>5000</v>
      </c>
      <c r="E39" s="10">
        <f t="shared" si="1"/>
        <v>390000</v>
      </c>
      <c r="F39" s="10">
        <f t="shared" si="0"/>
        <v>60000</v>
      </c>
    </row>
    <row r="40" spans="1:6" x14ac:dyDescent="0.35">
      <c r="A40" s="6" t="s">
        <v>342</v>
      </c>
      <c r="B40" s="6">
        <v>13039</v>
      </c>
      <c r="C40" s="6" t="s">
        <v>59</v>
      </c>
      <c r="D40" s="10">
        <v>5000</v>
      </c>
      <c r="E40" s="10">
        <f t="shared" si="1"/>
        <v>395000</v>
      </c>
      <c r="F40" s="10">
        <f t="shared" si="0"/>
        <v>55000</v>
      </c>
    </row>
    <row r="41" spans="1:6" x14ac:dyDescent="0.35">
      <c r="A41" s="11">
        <v>46147</v>
      </c>
      <c r="B41" s="6">
        <v>12939</v>
      </c>
      <c r="C41" s="6" t="s">
        <v>59</v>
      </c>
      <c r="D41" s="10">
        <v>5000</v>
      </c>
      <c r="E41" s="10">
        <f>E40+D41</f>
        <v>400000</v>
      </c>
      <c r="F41" s="10">
        <f>F40-D41</f>
        <v>50000</v>
      </c>
    </row>
    <row r="42" spans="1:6" x14ac:dyDescent="0.35">
      <c r="A42" s="11">
        <v>46148</v>
      </c>
      <c r="B42" s="6">
        <v>13515</v>
      </c>
      <c r="C42" s="6" t="s">
        <v>59</v>
      </c>
      <c r="D42" s="10">
        <v>10000</v>
      </c>
      <c r="E42" s="10">
        <f>E41+D42</f>
        <v>410000</v>
      </c>
      <c r="F42" s="10">
        <f>F41-D42</f>
        <v>40000</v>
      </c>
    </row>
    <row r="43" spans="1:6" x14ac:dyDescent="0.35">
      <c r="A43" s="11">
        <v>46150</v>
      </c>
      <c r="B43" s="6">
        <v>1656</v>
      </c>
      <c r="C43" s="6" t="s">
        <v>59</v>
      </c>
      <c r="D43" s="10">
        <v>25000</v>
      </c>
      <c r="E43" s="10">
        <f>E42+D43</f>
        <v>435000</v>
      </c>
      <c r="F43" s="10">
        <f>F42-D43</f>
        <v>15000</v>
      </c>
    </row>
    <row r="44" spans="1:6" x14ac:dyDescent="0.35">
      <c r="A44" s="8"/>
    </row>
    <row r="45" spans="1:6" x14ac:dyDescent="0.35">
      <c r="B45" t="s">
        <v>570</v>
      </c>
    </row>
    <row r="47" spans="1:6" x14ac:dyDescent="0.35">
      <c r="A47" s="27" t="s">
        <v>571</v>
      </c>
    </row>
    <row r="48" spans="1:6" x14ac:dyDescent="0.35">
      <c r="A48" s="11">
        <v>46150</v>
      </c>
      <c r="B48" s="6">
        <v>3733</v>
      </c>
      <c r="C48" s="6" t="s">
        <v>572</v>
      </c>
      <c r="D48" s="10">
        <v>150000</v>
      </c>
      <c r="E48" s="10">
        <v>150000</v>
      </c>
      <c r="F48" s="6" t="s">
        <v>310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3" workbookViewId="0">
      <selection activeCell="A8" sqref="A8:F20"/>
    </sheetView>
  </sheetViews>
  <sheetFormatPr defaultRowHeight="14.5" x14ac:dyDescent="0.35"/>
  <cols>
    <col min="1" max="1" width="10.453125" bestFit="1" customWidth="1"/>
    <col min="2" max="2" width="10" customWidth="1"/>
    <col min="3" max="3" width="12.36328125" customWidth="1"/>
    <col min="4" max="4" width="12.08984375" customWidth="1"/>
    <col min="5" max="5" width="12.54296875" customWidth="1"/>
    <col min="6" max="6" width="10.36328125" customWidth="1"/>
  </cols>
  <sheetData>
    <row r="1" spans="1:6" ht="18.5" x14ac:dyDescent="0.45">
      <c r="A1" s="1" t="s">
        <v>601</v>
      </c>
      <c r="B1" s="1"/>
      <c r="C1" s="1"/>
      <c r="D1" s="1"/>
      <c r="E1" s="1"/>
      <c r="F1" s="1"/>
    </row>
    <row r="2" spans="1:6" ht="18.5" x14ac:dyDescent="0.45">
      <c r="A2" s="1" t="s">
        <v>602</v>
      </c>
      <c r="C2" s="1"/>
      <c r="D2" s="1"/>
      <c r="E2" s="1"/>
      <c r="F2" s="1"/>
    </row>
    <row r="3" spans="1:6" ht="18.5" x14ac:dyDescent="0.45">
      <c r="A3" s="1" t="s">
        <v>592</v>
      </c>
      <c r="B3" s="1"/>
      <c r="C3" s="1"/>
      <c r="D3" s="1"/>
      <c r="E3" s="1"/>
      <c r="F3" s="1"/>
    </row>
    <row r="4" spans="1:6" ht="18.5" x14ac:dyDescent="0.45">
      <c r="A4" s="1" t="s">
        <v>595</v>
      </c>
      <c r="B4" s="1"/>
      <c r="C4" s="1"/>
      <c r="D4" s="1"/>
      <c r="E4" s="1"/>
      <c r="F4" s="1"/>
    </row>
    <row r="5" spans="1:6" ht="18.5" x14ac:dyDescent="0.45">
      <c r="A5" s="1" t="s">
        <v>593</v>
      </c>
      <c r="B5" s="1"/>
      <c r="C5" s="1"/>
      <c r="D5" s="1"/>
      <c r="E5" s="1"/>
      <c r="F5" s="1"/>
    </row>
    <row r="6" spans="1:6" ht="18.5" x14ac:dyDescent="0.45">
      <c r="A6" s="1" t="s">
        <v>594</v>
      </c>
      <c r="B6" s="1"/>
      <c r="C6" s="1"/>
      <c r="D6" s="25" t="s">
        <v>319</v>
      </c>
      <c r="E6" s="1"/>
      <c r="F6" s="1"/>
    </row>
    <row r="7" spans="1:6" x14ac:dyDescent="0.35">
      <c r="A7" s="37" t="s">
        <v>6</v>
      </c>
      <c r="B7" s="38" t="s">
        <v>7</v>
      </c>
      <c r="C7" s="38" t="s">
        <v>8</v>
      </c>
      <c r="D7" s="38" t="s">
        <v>9</v>
      </c>
      <c r="E7" s="38" t="s">
        <v>10</v>
      </c>
      <c r="F7" s="38" t="s">
        <v>11</v>
      </c>
    </row>
    <row r="8" spans="1:6" x14ac:dyDescent="0.35">
      <c r="A8" s="6" t="s">
        <v>596</v>
      </c>
      <c r="B8" s="6">
        <v>12461</v>
      </c>
      <c r="C8" s="6" t="s">
        <v>603</v>
      </c>
      <c r="D8" s="10">
        <v>150000</v>
      </c>
      <c r="E8" s="10">
        <v>150000</v>
      </c>
      <c r="F8" s="10">
        <v>300000</v>
      </c>
    </row>
    <row r="9" spans="1:6" x14ac:dyDescent="0.35">
      <c r="A9" s="6" t="s">
        <v>596</v>
      </c>
      <c r="B9" s="6">
        <v>12462</v>
      </c>
      <c r="C9" s="6" t="s">
        <v>279</v>
      </c>
      <c r="D9" s="6">
        <v>25000</v>
      </c>
      <c r="E9" s="10">
        <f t="shared" ref="E9:E20" si="0">E8+D9</f>
        <v>175000</v>
      </c>
      <c r="F9" s="10">
        <f t="shared" ref="F9:F20" si="1">F8-D9</f>
        <v>275000</v>
      </c>
    </row>
    <row r="10" spans="1:6" x14ac:dyDescent="0.35">
      <c r="A10" s="11">
        <v>45689</v>
      </c>
      <c r="B10" s="6">
        <v>12756</v>
      </c>
      <c r="C10" s="6" t="s">
        <v>279</v>
      </c>
      <c r="D10" s="10">
        <v>10000</v>
      </c>
      <c r="E10" s="10">
        <f t="shared" si="0"/>
        <v>185000</v>
      </c>
      <c r="F10" s="10">
        <f t="shared" si="1"/>
        <v>265000</v>
      </c>
    </row>
    <row r="11" spans="1:6" x14ac:dyDescent="0.35">
      <c r="A11" s="6" t="s">
        <v>597</v>
      </c>
      <c r="B11" s="6">
        <v>9135</v>
      </c>
      <c r="C11" s="6" t="s">
        <v>279</v>
      </c>
      <c r="D11" s="6">
        <v>25000</v>
      </c>
      <c r="E11" s="10">
        <f t="shared" si="0"/>
        <v>210000</v>
      </c>
      <c r="F11" s="10">
        <f t="shared" si="1"/>
        <v>240000</v>
      </c>
    </row>
    <row r="12" spans="1:6" x14ac:dyDescent="0.35">
      <c r="A12" s="11">
        <v>45812</v>
      </c>
      <c r="B12" s="6">
        <v>9926</v>
      </c>
      <c r="C12" s="6" t="s">
        <v>279</v>
      </c>
      <c r="D12" s="6">
        <v>20000</v>
      </c>
      <c r="E12" s="10">
        <f t="shared" si="0"/>
        <v>230000</v>
      </c>
      <c r="F12" s="10">
        <f t="shared" si="1"/>
        <v>220000</v>
      </c>
    </row>
    <row r="13" spans="1:6" x14ac:dyDescent="0.35">
      <c r="A13" s="6" t="s">
        <v>598</v>
      </c>
      <c r="B13" s="6">
        <v>271</v>
      </c>
      <c r="C13" s="6" t="s">
        <v>279</v>
      </c>
      <c r="D13" s="6">
        <v>20000</v>
      </c>
      <c r="E13" s="10">
        <f t="shared" si="0"/>
        <v>250000</v>
      </c>
      <c r="F13" s="10">
        <f t="shared" si="1"/>
        <v>200000</v>
      </c>
    </row>
    <row r="14" spans="1:6" x14ac:dyDescent="0.35">
      <c r="A14" s="11">
        <v>45818</v>
      </c>
      <c r="B14" s="6">
        <v>13702</v>
      </c>
      <c r="C14" s="6" t="s">
        <v>279</v>
      </c>
      <c r="D14" s="6">
        <v>20000</v>
      </c>
      <c r="E14" s="10">
        <f t="shared" si="0"/>
        <v>270000</v>
      </c>
      <c r="F14" s="10">
        <f t="shared" si="1"/>
        <v>180000</v>
      </c>
    </row>
    <row r="15" spans="1:6" x14ac:dyDescent="0.35">
      <c r="A15" s="11">
        <v>45941</v>
      </c>
      <c r="B15" s="6">
        <v>13303</v>
      </c>
      <c r="C15" s="6" t="s">
        <v>279</v>
      </c>
      <c r="D15" s="6">
        <v>20000</v>
      </c>
      <c r="E15" s="10">
        <f t="shared" si="0"/>
        <v>290000</v>
      </c>
      <c r="F15" s="10">
        <f t="shared" si="1"/>
        <v>160000</v>
      </c>
    </row>
    <row r="16" spans="1:6" x14ac:dyDescent="0.35">
      <c r="A16" s="6" t="s">
        <v>599</v>
      </c>
      <c r="B16" s="6">
        <v>13189</v>
      </c>
      <c r="C16" s="6" t="s">
        <v>279</v>
      </c>
      <c r="D16" s="6">
        <v>10000</v>
      </c>
      <c r="E16" s="10">
        <f t="shared" si="0"/>
        <v>300000</v>
      </c>
      <c r="F16" s="10">
        <f t="shared" si="1"/>
        <v>150000</v>
      </c>
    </row>
    <row r="17" spans="1:6" x14ac:dyDescent="0.35">
      <c r="A17" s="11">
        <v>46357</v>
      </c>
      <c r="B17" s="6">
        <v>12098</v>
      </c>
      <c r="C17" s="6" t="s">
        <v>279</v>
      </c>
      <c r="D17" s="6">
        <v>10000</v>
      </c>
      <c r="E17" s="10">
        <f t="shared" si="0"/>
        <v>310000</v>
      </c>
      <c r="F17" s="10">
        <f t="shared" si="1"/>
        <v>140000</v>
      </c>
    </row>
    <row r="18" spans="1:6" x14ac:dyDescent="0.35">
      <c r="A18" s="6" t="s">
        <v>600</v>
      </c>
      <c r="B18" s="6">
        <v>1331</v>
      </c>
      <c r="C18" s="6" t="s">
        <v>279</v>
      </c>
      <c r="D18" s="6">
        <v>30000</v>
      </c>
      <c r="E18" s="10">
        <f t="shared" si="0"/>
        <v>340000</v>
      </c>
      <c r="F18" s="10">
        <f t="shared" si="1"/>
        <v>110000</v>
      </c>
    </row>
    <row r="19" spans="1:6" x14ac:dyDescent="0.35">
      <c r="A19" s="6" t="s">
        <v>591</v>
      </c>
      <c r="B19" s="6">
        <v>1553</v>
      </c>
      <c r="C19" s="6" t="s">
        <v>279</v>
      </c>
      <c r="D19" s="6">
        <v>10000</v>
      </c>
      <c r="E19" s="10">
        <f t="shared" si="0"/>
        <v>350000</v>
      </c>
      <c r="F19" s="10">
        <f t="shared" si="1"/>
        <v>100000</v>
      </c>
    </row>
    <row r="20" spans="1:6" x14ac:dyDescent="0.35">
      <c r="A20" s="6" t="s">
        <v>590</v>
      </c>
      <c r="B20" s="6">
        <v>1775</v>
      </c>
      <c r="C20" s="6" t="s">
        <v>279</v>
      </c>
      <c r="D20" s="6">
        <v>10000</v>
      </c>
      <c r="E20" s="10">
        <f t="shared" si="0"/>
        <v>360000</v>
      </c>
      <c r="F20" s="10">
        <f t="shared" si="1"/>
        <v>90000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8"/>
  <sheetViews>
    <sheetView workbookViewId="0">
      <selection activeCell="H13" sqref="H13"/>
    </sheetView>
  </sheetViews>
  <sheetFormatPr defaultRowHeight="14.5" x14ac:dyDescent="0.35"/>
  <cols>
    <col min="1" max="1" width="9.453125" bestFit="1" customWidth="1"/>
    <col min="3" max="3" width="13" customWidth="1"/>
    <col min="6" max="6" width="10.81640625" customWidth="1"/>
  </cols>
  <sheetData>
    <row r="1" spans="1:6" ht="18.5" x14ac:dyDescent="0.45">
      <c r="A1" s="1" t="s">
        <v>254</v>
      </c>
      <c r="B1" s="1"/>
      <c r="C1" s="1"/>
      <c r="D1" s="1"/>
      <c r="E1" s="1"/>
      <c r="F1" s="1"/>
    </row>
    <row r="2" spans="1:6" ht="18.5" x14ac:dyDescent="0.45">
      <c r="A2" s="1" t="s">
        <v>255</v>
      </c>
      <c r="C2" s="1"/>
      <c r="D2" s="1"/>
      <c r="E2" s="1"/>
      <c r="F2" s="1"/>
    </row>
    <row r="3" spans="1:6" ht="18.5" x14ac:dyDescent="0.45">
      <c r="A3" s="1" t="s">
        <v>256</v>
      </c>
      <c r="B3" s="1"/>
      <c r="C3" s="1"/>
      <c r="D3" s="1"/>
      <c r="E3" s="1"/>
      <c r="F3" s="1"/>
    </row>
    <row r="4" spans="1:6" ht="18.5" x14ac:dyDescent="0.45">
      <c r="A4" s="1" t="s">
        <v>247</v>
      </c>
      <c r="B4" s="1"/>
      <c r="C4" s="1"/>
      <c r="D4" s="1"/>
      <c r="E4" s="1"/>
      <c r="F4" s="1"/>
    </row>
    <row r="5" spans="1:6" ht="18.5" x14ac:dyDescent="0.45">
      <c r="A5" s="1" t="s">
        <v>257</v>
      </c>
      <c r="B5" s="1"/>
      <c r="C5" s="1"/>
      <c r="D5" s="1" t="s">
        <v>258</v>
      </c>
      <c r="E5" s="1"/>
      <c r="F5" s="1"/>
    </row>
    <row r="6" spans="1:6" ht="18.5" x14ac:dyDescent="0.45">
      <c r="A6" s="1" t="s">
        <v>259</v>
      </c>
      <c r="B6" s="1"/>
      <c r="C6" s="1"/>
      <c r="D6" s="1"/>
      <c r="E6" s="1"/>
      <c r="F6" s="1"/>
    </row>
    <row r="7" spans="1:6" ht="18.5" x14ac:dyDescent="0.45">
      <c r="A7" s="23" t="s">
        <v>260</v>
      </c>
      <c r="B7" s="23"/>
      <c r="C7" s="23"/>
      <c r="D7" s="23"/>
      <c r="E7" s="23"/>
      <c r="F7" s="17"/>
    </row>
    <row r="8" spans="1:6" ht="18.5" x14ac:dyDescent="0.45">
      <c r="A8" s="1" t="s">
        <v>261</v>
      </c>
      <c r="B8" s="1"/>
      <c r="C8" s="1"/>
      <c r="D8" s="1"/>
    </row>
    <row r="9" spans="1:6" ht="18.5" x14ac:dyDescent="0.45">
      <c r="A9" s="1" t="s">
        <v>262</v>
      </c>
      <c r="C9" s="1"/>
      <c r="D9" s="1"/>
    </row>
    <row r="10" spans="1:6" ht="18.5" x14ac:dyDescent="0.45">
      <c r="A10" s="1" t="s">
        <v>263</v>
      </c>
      <c r="B10" s="1"/>
      <c r="C10" s="1"/>
      <c r="D10" s="1"/>
    </row>
    <row r="11" spans="1:6" x14ac:dyDescent="0.35">
      <c r="A11" s="12" t="s">
        <v>6</v>
      </c>
      <c r="B11" s="13" t="s">
        <v>7</v>
      </c>
      <c r="C11" s="13" t="s">
        <v>8</v>
      </c>
      <c r="D11" s="13" t="s">
        <v>9</v>
      </c>
      <c r="E11" s="13" t="s">
        <v>10</v>
      </c>
      <c r="F11" s="13" t="s">
        <v>11</v>
      </c>
    </row>
    <row r="12" spans="1:6" x14ac:dyDescent="0.35">
      <c r="A12" t="s">
        <v>264</v>
      </c>
      <c r="B12">
        <v>850</v>
      </c>
      <c r="C12" t="s">
        <v>266</v>
      </c>
      <c r="D12" s="7">
        <v>10000</v>
      </c>
      <c r="E12" s="7">
        <v>10000</v>
      </c>
      <c r="F12" s="7">
        <v>225000</v>
      </c>
    </row>
    <row r="13" spans="1:6" x14ac:dyDescent="0.35">
      <c r="A13" s="8">
        <v>44874</v>
      </c>
      <c r="B13">
        <v>1164</v>
      </c>
      <c r="C13" t="s">
        <v>266</v>
      </c>
      <c r="D13" s="7">
        <v>10000</v>
      </c>
      <c r="E13" s="7">
        <f>SUM(E12+D13)</f>
        <v>20000</v>
      </c>
      <c r="F13" s="7">
        <f>F12-D13</f>
        <v>215000</v>
      </c>
    </row>
    <row r="14" spans="1:6" x14ac:dyDescent="0.35">
      <c r="A14" t="s">
        <v>265</v>
      </c>
      <c r="B14">
        <v>2658</v>
      </c>
      <c r="C14" t="s">
        <v>266</v>
      </c>
      <c r="D14" s="7">
        <v>30000</v>
      </c>
      <c r="E14" s="7">
        <f t="shared" ref="E14:E15" si="0">SUM(E13+D14)</f>
        <v>50000</v>
      </c>
      <c r="F14" s="7">
        <f t="shared" ref="F14:F15" si="1">F13-D14</f>
        <v>185000</v>
      </c>
    </row>
    <row r="15" spans="1:6" x14ac:dyDescent="0.35">
      <c r="A15" s="8">
        <v>45049</v>
      </c>
      <c r="B15">
        <v>2659</v>
      </c>
      <c r="C15" t="s">
        <v>267</v>
      </c>
      <c r="D15" s="7">
        <v>185000</v>
      </c>
      <c r="E15" s="7">
        <f t="shared" si="0"/>
        <v>235000</v>
      </c>
      <c r="F15" s="7">
        <f t="shared" si="1"/>
        <v>0</v>
      </c>
    </row>
    <row r="17" spans="1:7" x14ac:dyDescent="0.35">
      <c r="A17" s="8">
        <v>46330</v>
      </c>
      <c r="B17">
        <v>5909</v>
      </c>
      <c r="C17" t="s">
        <v>268</v>
      </c>
      <c r="D17" s="7">
        <v>100000</v>
      </c>
      <c r="E17" t="s">
        <v>182</v>
      </c>
      <c r="F17" t="s">
        <v>182</v>
      </c>
    </row>
    <row r="18" spans="1:7" ht="18.5" x14ac:dyDescent="0.45">
      <c r="A18" s="24" t="s">
        <v>269</v>
      </c>
      <c r="B18" s="24"/>
      <c r="C18" s="24"/>
      <c r="D18" s="24"/>
      <c r="E18" s="24"/>
      <c r="F18" s="24"/>
      <c r="G18" s="2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35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6" max="6" width="11.1796875" customWidth="1"/>
  </cols>
  <sheetData>
    <row r="1" spans="1:6" ht="18.5" x14ac:dyDescent="0.45">
      <c r="A1" s="1" t="s">
        <v>147</v>
      </c>
      <c r="B1" s="1"/>
      <c r="C1" s="1"/>
      <c r="D1" s="1"/>
      <c r="E1" s="1"/>
      <c r="F1" s="1"/>
    </row>
    <row r="2" spans="1:6" ht="18.5" x14ac:dyDescent="0.45">
      <c r="A2" s="1" t="s">
        <v>148</v>
      </c>
      <c r="C2" s="1"/>
      <c r="D2" s="1"/>
      <c r="E2" s="1"/>
      <c r="F2" s="1"/>
    </row>
    <row r="3" spans="1:6" ht="18.5" x14ac:dyDescent="0.45">
      <c r="A3" s="1" t="s">
        <v>149</v>
      </c>
      <c r="B3" s="1"/>
      <c r="C3" s="1"/>
      <c r="D3" s="1"/>
      <c r="E3" s="1"/>
      <c r="F3" s="1"/>
    </row>
    <row r="4" spans="1:6" ht="18.5" x14ac:dyDescent="0.45">
      <c r="A4" s="1" t="s">
        <v>407</v>
      </c>
      <c r="B4" s="1"/>
      <c r="C4" s="1"/>
      <c r="D4" s="1"/>
      <c r="E4" s="1"/>
      <c r="F4" s="1"/>
    </row>
    <row r="5" spans="1:6" ht="18.5" x14ac:dyDescent="0.45">
      <c r="A5" s="1" t="s">
        <v>150</v>
      </c>
      <c r="B5" s="1"/>
      <c r="C5" s="1"/>
      <c r="D5" s="1"/>
      <c r="E5" s="1"/>
      <c r="F5" s="1"/>
    </row>
    <row r="6" spans="1:6" ht="18.5" x14ac:dyDescent="0.45">
      <c r="A6" s="1" t="s">
        <v>151</v>
      </c>
      <c r="B6" s="1"/>
      <c r="C6" s="1"/>
      <c r="D6" s="1" t="s">
        <v>152</v>
      </c>
      <c r="F6" s="1"/>
    </row>
    <row r="7" spans="1:6" x14ac:dyDescent="0.35">
      <c r="A7" s="13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</row>
    <row r="8" spans="1:6" x14ac:dyDescent="0.35">
      <c r="A8" s="13" t="s">
        <v>153</v>
      </c>
      <c r="B8" s="13">
        <v>1447</v>
      </c>
      <c r="C8" s="13" t="s">
        <v>158</v>
      </c>
      <c r="D8" s="15">
        <v>110000</v>
      </c>
      <c r="E8" s="15">
        <v>110000</v>
      </c>
      <c r="F8" s="15">
        <v>340000</v>
      </c>
    </row>
    <row r="9" spans="1:6" x14ac:dyDescent="0.35">
      <c r="A9" s="13" t="s">
        <v>154</v>
      </c>
      <c r="B9" s="13">
        <v>2035</v>
      </c>
      <c r="C9" s="13" t="s">
        <v>159</v>
      </c>
      <c r="D9" s="15">
        <v>10000</v>
      </c>
      <c r="E9" s="15">
        <f>SUM(E8+D9)</f>
        <v>120000</v>
      </c>
      <c r="F9" s="15">
        <f>F8-D9</f>
        <v>330000</v>
      </c>
    </row>
    <row r="10" spans="1:6" x14ac:dyDescent="0.35">
      <c r="A10" s="14">
        <v>45017</v>
      </c>
      <c r="B10" s="13">
        <v>2036</v>
      </c>
      <c r="C10" s="13" t="s">
        <v>159</v>
      </c>
      <c r="D10" s="15">
        <v>10000</v>
      </c>
      <c r="E10" s="15">
        <f t="shared" ref="E10:E34" si="0">SUM(E9+D10)</f>
        <v>130000</v>
      </c>
      <c r="F10" s="15">
        <f t="shared" ref="F10:F34" si="1">F9-D10</f>
        <v>320000</v>
      </c>
    </row>
    <row r="11" spans="1:6" x14ac:dyDescent="0.35">
      <c r="A11" s="14">
        <v>45171</v>
      </c>
      <c r="B11" s="13">
        <v>2037</v>
      </c>
      <c r="C11" s="13" t="s">
        <v>159</v>
      </c>
      <c r="D11" s="15">
        <v>20000</v>
      </c>
      <c r="E11" s="15">
        <f t="shared" si="0"/>
        <v>150000</v>
      </c>
      <c r="F11" s="15">
        <f t="shared" si="1"/>
        <v>300000</v>
      </c>
    </row>
    <row r="12" spans="1:6" x14ac:dyDescent="0.35">
      <c r="A12" s="13" t="s">
        <v>155</v>
      </c>
      <c r="B12" s="13">
        <v>843</v>
      </c>
      <c r="C12" s="13" t="s">
        <v>160</v>
      </c>
      <c r="D12" s="15">
        <v>20000</v>
      </c>
      <c r="E12" s="15">
        <f t="shared" si="0"/>
        <v>170000</v>
      </c>
      <c r="F12" s="15">
        <f t="shared" si="1"/>
        <v>280000</v>
      </c>
    </row>
    <row r="13" spans="1:6" x14ac:dyDescent="0.35">
      <c r="A13" s="13" t="s">
        <v>156</v>
      </c>
      <c r="B13" s="13">
        <v>971</v>
      </c>
      <c r="C13" s="13" t="s">
        <v>160</v>
      </c>
      <c r="D13" s="15">
        <v>20000</v>
      </c>
      <c r="E13" s="15">
        <f t="shared" si="0"/>
        <v>190000</v>
      </c>
      <c r="F13" s="15">
        <f t="shared" si="1"/>
        <v>260000</v>
      </c>
    </row>
    <row r="14" spans="1:6" x14ac:dyDescent="0.35">
      <c r="A14" s="13" t="s">
        <v>157</v>
      </c>
      <c r="B14" s="13">
        <v>2812</v>
      </c>
      <c r="C14" s="13" t="s">
        <v>160</v>
      </c>
      <c r="D14" s="15">
        <v>10000</v>
      </c>
      <c r="E14" s="15">
        <f t="shared" si="0"/>
        <v>200000</v>
      </c>
      <c r="F14" s="15">
        <f t="shared" si="1"/>
        <v>250000</v>
      </c>
    </row>
    <row r="15" spans="1:6" x14ac:dyDescent="0.35">
      <c r="A15" s="13" t="s">
        <v>80</v>
      </c>
      <c r="B15" s="13">
        <v>3093</v>
      </c>
      <c r="C15" s="13" t="s">
        <v>160</v>
      </c>
      <c r="D15" s="15">
        <v>10000</v>
      </c>
      <c r="E15" s="15">
        <f t="shared" si="0"/>
        <v>210000</v>
      </c>
      <c r="F15" s="15">
        <f t="shared" si="1"/>
        <v>240000</v>
      </c>
    </row>
    <row r="16" spans="1:6" x14ac:dyDescent="0.35">
      <c r="A16" s="14">
        <v>45240</v>
      </c>
      <c r="B16" s="13">
        <v>4215</v>
      </c>
      <c r="C16" s="13" t="s">
        <v>160</v>
      </c>
      <c r="D16" s="15">
        <v>20000</v>
      </c>
      <c r="E16" s="15">
        <f t="shared" si="0"/>
        <v>230000</v>
      </c>
      <c r="F16" s="15">
        <f t="shared" si="1"/>
        <v>220000</v>
      </c>
    </row>
    <row r="17" spans="1:6" x14ac:dyDescent="0.35">
      <c r="A17" s="14">
        <v>44997</v>
      </c>
      <c r="B17" s="13">
        <v>5281</v>
      </c>
      <c r="C17" s="13" t="s">
        <v>160</v>
      </c>
      <c r="D17" s="15">
        <v>10000</v>
      </c>
      <c r="E17" s="15">
        <f t="shared" si="0"/>
        <v>240000</v>
      </c>
      <c r="F17" s="15">
        <f t="shared" si="1"/>
        <v>210000</v>
      </c>
    </row>
    <row r="18" spans="1:6" x14ac:dyDescent="0.35">
      <c r="A18" s="14">
        <v>44997</v>
      </c>
      <c r="B18" s="13">
        <v>5280</v>
      </c>
      <c r="C18" s="13" t="s">
        <v>160</v>
      </c>
      <c r="D18" s="15">
        <v>10000</v>
      </c>
      <c r="E18" s="15">
        <f t="shared" si="0"/>
        <v>250000</v>
      </c>
      <c r="F18" s="15">
        <f t="shared" si="1"/>
        <v>200000</v>
      </c>
    </row>
    <row r="19" spans="1:6" x14ac:dyDescent="0.35">
      <c r="A19" s="13" t="s">
        <v>102</v>
      </c>
      <c r="B19" s="13">
        <v>6189</v>
      </c>
      <c r="C19" s="13" t="s">
        <v>160</v>
      </c>
      <c r="D19" s="15">
        <v>10000</v>
      </c>
      <c r="E19" s="15">
        <f t="shared" si="0"/>
        <v>260000</v>
      </c>
      <c r="F19" s="15">
        <f t="shared" si="1"/>
        <v>190000</v>
      </c>
    </row>
    <row r="20" spans="1:6" x14ac:dyDescent="0.35">
      <c r="A20" s="13" t="s">
        <v>161</v>
      </c>
      <c r="B20" s="13">
        <v>6656</v>
      </c>
      <c r="C20" s="13" t="s">
        <v>160</v>
      </c>
      <c r="D20" s="15">
        <v>10000</v>
      </c>
      <c r="E20" s="15">
        <f t="shared" si="0"/>
        <v>270000</v>
      </c>
      <c r="F20" s="15">
        <f t="shared" si="1"/>
        <v>180000</v>
      </c>
    </row>
    <row r="21" spans="1:6" x14ac:dyDescent="0.35">
      <c r="A21" s="13" t="s">
        <v>162</v>
      </c>
      <c r="B21" s="13">
        <v>7398</v>
      </c>
      <c r="C21" s="13" t="s">
        <v>160</v>
      </c>
      <c r="D21" s="15">
        <v>10000</v>
      </c>
      <c r="E21" s="15">
        <f t="shared" si="0"/>
        <v>280000</v>
      </c>
      <c r="F21" s="15">
        <f t="shared" si="1"/>
        <v>170000</v>
      </c>
    </row>
    <row r="22" spans="1:6" x14ac:dyDescent="0.35">
      <c r="A22" s="13" t="s">
        <v>36</v>
      </c>
      <c r="B22" s="13">
        <v>7940</v>
      </c>
      <c r="C22" s="13" t="s">
        <v>160</v>
      </c>
      <c r="D22" s="15">
        <v>10000</v>
      </c>
      <c r="E22" s="15">
        <f t="shared" si="0"/>
        <v>290000</v>
      </c>
      <c r="F22" s="15">
        <f t="shared" si="1"/>
        <v>160000</v>
      </c>
    </row>
    <row r="23" spans="1:6" x14ac:dyDescent="0.35">
      <c r="A23" s="14">
        <v>45418</v>
      </c>
      <c r="B23" s="13">
        <v>8649</v>
      </c>
      <c r="C23" s="13" t="s">
        <v>160</v>
      </c>
      <c r="D23" s="15">
        <v>20000</v>
      </c>
      <c r="E23" s="15">
        <f t="shared" si="0"/>
        <v>310000</v>
      </c>
      <c r="F23" s="15">
        <f t="shared" si="1"/>
        <v>140000</v>
      </c>
    </row>
    <row r="24" spans="1:6" x14ac:dyDescent="0.35">
      <c r="A24" s="14">
        <v>45480</v>
      </c>
      <c r="B24" s="13">
        <v>9423</v>
      </c>
      <c r="C24" s="13" t="s">
        <v>160</v>
      </c>
      <c r="D24" s="15">
        <v>10000</v>
      </c>
      <c r="E24" s="15">
        <f t="shared" si="0"/>
        <v>320000</v>
      </c>
      <c r="F24" s="15">
        <f t="shared" si="1"/>
        <v>130000</v>
      </c>
    </row>
    <row r="25" spans="1:6" x14ac:dyDescent="0.35">
      <c r="A25" s="14">
        <v>45513</v>
      </c>
      <c r="B25" s="13">
        <v>10598</v>
      </c>
      <c r="C25" s="13" t="s">
        <v>160</v>
      </c>
      <c r="D25" s="15">
        <v>20000</v>
      </c>
      <c r="E25" s="15">
        <f t="shared" si="0"/>
        <v>340000</v>
      </c>
      <c r="F25" s="15">
        <f t="shared" si="1"/>
        <v>110000</v>
      </c>
    </row>
    <row r="26" spans="1:6" x14ac:dyDescent="0.35">
      <c r="A26" s="13" t="s">
        <v>163</v>
      </c>
      <c r="B26" s="13">
        <v>10396</v>
      </c>
      <c r="C26" s="13" t="s">
        <v>160</v>
      </c>
      <c r="D26" s="15">
        <v>10000</v>
      </c>
      <c r="E26" s="15">
        <f t="shared" si="0"/>
        <v>350000</v>
      </c>
      <c r="F26" s="15">
        <f t="shared" si="1"/>
        <v>100000</v>
      </c>
    </row>
    <row r="27" spans="1:6" x14ac:dyDescent="0.35">
      <c r="A27" s="13" t="s">
        <v>164</v>
      </c>
      <c r="B27" s="13">
        <v>12800</v>
      </c>
      <c r="C27" s="13" t="s">
        <v>160</v>
      </c>
      <c r="D27" s="15">
        <v>20000</v>
      </c>
      <c r="E27" s="15">
        <f t="shared" si="0"/>
        <v>370000</v>
      </c>
      <c r="F27" s="15">
        <f t="shared" si="1"/>
        <v>80000</v>
      </c>
    </row>
    <row r="28" spans="1:6" x14ac:dyDescent="0.35">
      <c r="A28" s="14">
        <v>45872</v>
      </c>
      <c r="B28" s="13">
        <v>9646</v>
      </c>
      <c r="C28" s="13" t="s">
        <v>160</v>
      </c>
      <c r="D28" s="15">
        <v>20000</v>
      </c>
      <c r="E28" s="15">
        <f t="shared" si="0"/>
        <v>390000</v>
      </c>
      <c r="F28" s="15">
        <f t="shared" si="1"/>
        <v>60000</v>
      </c>
    </row>
    <row r="29" spans="1:6" x14ac:dyDescent="0.35">
      <c r="A29" s="13" t="s">
        <v>165</v>
      </c>
      <c r="B29" s="13">
        <v>10317</v>
      </c>
      <c r="C29" s="13" t="s">
        <v>160</v>
      </c>
      <c r="D29" s="15">
        <v>10000</v>
      </c>
      <c r="E29" s="15">
        <f t="shared" si="0"/>
        <v>400000</v>
      </c>
      <c r="F29" s="15">
        <f t="shared" si="1"/>
        <v>50000</v>
      </c>
    </row>
    <row r="30" spans="1:6" x14ac:dyDescent="0.35">
      <c r="A30" s="13" t="s">
        <v>166</v>
      </c>
      <c r="B30" s="13">
        <v>12306</v>
      </c>
      <c r="C30" s="13" t="s">
        <v>160</v>
      </c>
      <c r="D30" s="15">
        <v>10000</v>
      </c>
      <c r="E30" s="15">
        <f t="shared" si="0"/>
        <v>410000</v>
      </c>
      <c r="F30" s="15">
        <f t="shared" si="1"/>
        <v>40000</v>
      </c>
    </row>
    <row r="31" spans="1:6" x14ac:dyDescent="0.35">
      <c r="A31" s="13" t="s">
        <v>134</v>
      </c>
      <c r="B31" s="13">
        <v>13919</v>
      </c>
      <c r="C31" s="13" t="s">
        <v>160</v>
      </c>
      <c r="D31" s="15">
        <v>10000</v>
      </c>
      <c r="E31" s="15">
        <f t="shared" si="0"/>
        <v>420000</v>
      </c>
      <c r="F31" s="15">
        <f t="shared" si="1"/>
        <v>30000</v>
      </c>
    </row>
    <row r="32" spans="1:6" x14ac:dyDescent="0.35">
      <c r="A32" s="14">
        <v>45819</v>
      </c>
      <c r="B32" s="13">
        <v>13441</v>
      </c>
      <c r="C32" s="13" t="s">
        <v>160</v>
      </c>
      <c r="D32" s="15">
        <v>10000</v>
      </c>
      <c r="E32" s="15">
        <f t="shared" si="0"/>
        <v>430000</v>
      </c>
      <c r="F32" s="15">
        <f t="shared" si="1"/>
        <v>20000</v>
      </c>
    </row>
    <row r="33" spans="1:6" x14ac:dyDescent="0.35">
      <c r="A33" s="13" t="s">
        <v>167</v>
      </c>
      <c r="B33" s="13">
        <v>12689</v>
      </c>
      <c r="C33" s="13" t="s">
        <v>160</v>
      </c>
      <c r="D33" s="15">
        <v>10000</v>
      </c>
      <c r="E33" s="15">
        <f t="shared" si="0"/>
        <v>440000</v>
      </c>
      <c r="F33" s="15">
        <f t="shared" si="1"/>
        <v>10000</v>
      </c>
    </row>
    <row r="34" spans="1:6" x14ac:dyDescent="0.35">
      <c r="A34" s="14">
        <v>46237</v>
      </c>
      <c r="B34" s="13">
        <v>12776</v>
      </c>
      <c r="C34" s="13" t="s">
        <v>160</v>
      </c>
      <c r="D34" s="15">
        <v>10000</v>
      </c>
      <c r="E34" s="15">
        <f t="shared" si="0"/>
        <v>450000</v>
      </c>
      <c r="F34" s="15">
        <f t="shared" si="1"/>
        <v>0</v>
      </c>
    </row>
    <row r="35" spans="1:6" ht="18.5" x14ac:dyDescent="0.45">
      <c r="A35" s="26" t="s">
        <v>220</v>
      </c>
      <c r="B35" s="24"/>
      <c r="C35" s="24"/>
      <c r="D35" s="24"/>
      <c r="E35" s="24"/>
      <c r="F35" s="2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sqref="A1:F7"/>
    </sheetView>
  </sheetViews>
  <sheetFormatPr defaultRowHeight="14.5" x14ac:dyDescent="0.35"/>
  <cols>
    <col min="1" max="1" width="11.6328125" customWidth="1"/>
    <col min="3" max="3" width="16" customWidth="1"/>
    <col min="4" max="4" width="13.54296875" customWidth="1"/>
  </cols>
  <sheetData>
    <row r="1" spans="1:7" ht="18.5" x14ac:dyDescent="0.45">
      <c r="A1" s="1" t="s">
        <v>408</v>
      </c>
      <c r="B1" s="1"/>
      <c r="C1" s="1"/>
      <c r="D1" s="1"/>
      <c r="E1" s="1"/>
      <c r="F1" s="1"/>
    </row>
    <row r="2" spans="1:7" ht="18.5" x14ac:dyDescent="0.45">
      <c r="A2" s="1" t="s">
        <v>409</v>
      </c>
      <c r="C2" s="1"/>
      <c r="D2" s="1"/>
      <c r="E2" s="1"/>
      <c r="F2" s="1"/>
    </row>
    <row r="3" spans="1:7" ht="18.5" x14ac:dyDescent="0.45">
      <c r="A3" s="1" t="s">
        <v>410</v>
      </c>
      <c r="B3" s="1"/>
      <c r="C3" s="1"/>
      <c r="D3" s="1"/>
      <c r="E3" s="1"/>
      <c r="F3" s="1"/>
    </row>
    <row r="4" spans="1:7" ht="18.5" x14ac:dyDescent="0.45">
      <c r="A4" s="1" t="s">
        <v>413</v>
      </c>
      <c r="B4" s="1"/>
      <c r="C4" s="1"/>
      <c r="D4" s="1"/>
      <c r="E4" s="1"/>
      <c r="F4" s="1"/>
    </row>
    <row r="5" spans="1:7" ht="18.5" x14ac:dyDescent="0.45">
      <c r="A5" s="1" t="s">
        <v>411</v>
      </c>
      <c r="B5" s="1"/>
      <c r="C5" s="1"/>
      <c r="D5" s="1"/>
      <c r="E5" s="1"/>
      <c r="F5" s="1"/>
    </row>
    <row r="6" spans="1:7" ht="18.5" x14ac:dyDescent="0.45">
      <c r="A6" s="1" t="s">
        <v>412</v>
      </c>
      <c r="B6" s="1"/>
      <c r="C6" s="1"/>
      <c r="D6" s="1" t="s">
        <v>180</v>
      </c>
      <c r="F6" s="1"/>
    </row>
    <row r="7" spans="1:7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30"/>
    </row>
    <row r="8" spans="1:7" x14ac:dyDescent="0.35">
      <c r="A8" s="30" t="s">
        <v>200</v>
      </c>
      <c r="B8" s="30">
        <v>1380</v>
      </c>
      <c r="C8" s="30" t="s">
        <v>16</v>
      </c>
      <c r="D8" s="46">
        <v>20000</v>
      </c>
      <c r="E8" s="46">
        <v>20000</v>
      </c>
      <c r="F8" s="46">
        <v>140000</v>
      </c>
      <c r="G8" s="30"/>
    </row>
    <row r="9" spans="1:7" x14ac:dyDescent="0.35">
      <c r="A9" s="30" t="s">
        <v>248</v>
      </c>
      <c r="B9" s="30">
        <v>1210</v>
      </c>
      <c r="C9" s="30" t="s">
        <v>16</v>
      </c>
      <c r="D9" s="46">
        <v>10000</v>
      </c>
      <c r="E9" s="46">
        <f>E8+D9</f>
        <v>30000</v>
      </c>
      <c r="F9" s="46">
        <f>F8-D9</f>
        <v>130000</v>
      </c>
      <c r="G9" s="30"/>
    </row>
    <row r="10" spans="1:7" x14ac:dyDescent="0.35">
      <c r="A10" s="30" t="s">
        <v>414</v>
      </c>
      <c r="B10" s="30">
        <v>1399</v>
      </c>
      <c r="C10" s="30" t="s">
        <v>16</v>
      </c>
      <c r="D10" s="46">
        <v>10000</v>
      </c>
      <c r="E10" s="46">
        <f t="shared" ref="E10:E27" si="0">E9+D10</f>
        <v>40000</v>
      </c>
      <c r="F10" s="46">
        <f t="shared" ref="F10:F27" si="1">F9-D10</f>
        <v>120000</v>
      </c>
      <c r="G10" s="30"/>
    </row>
    <row r="11" spans="1:7" x14ac:dyDescent="0.35">
      <c r="A11" s="30" t="s">
        <v>415</v>
      </c>
      <c r="B11" s="30">
        <v>2083</v>
      </c>
      <c r="C11" s="30" t="s">
        <v>13</v>
      </c>
      <c r="D11" s="46">
        <v>10000</v>
      </c>
      <c r="E11" s="46">
        <f t="shared" si="0"/>
        <v>50000</v>
      </c>
      <c r="F11" s="46">
        <f t="shared" si="1"/>
        <v>110000</v>
      </c>
      <c r="G11" s="30"/>
    </row>
    <row r="12" spans="1:7" x14ac:dyDescent="0.35">
      <c r="A12" s="30" t="s">
        <v>421</v>
      </c>
      <c r="B12" s="30"/>
      <c r="C12" s="30"/>
      <c r="D12" s="46"/>
      <c r="E12" s="46"/>
      <c r="F12" s="46"/>
      <c r="G12" s="30"/>
    </row>
    <row r="13" spans="1:7" x14ac:dyDescent="0.35">
      <c r="A13" s="30" t="s">
        <v>416</v>
      </c>
      <c r="B13" s="30">
        <v>2084</v>
      </c>
      <c r="C13" s="30" t="s">
        <v>16</v>
      </c>
      <c r="D13" s="46">
        <v>30000</v>
      </c>
      <c r="E13" s="46">
        <f>E11+D13</f>
        <v>80000</v>
      </c>
      <c r="F13" s="46">
        <v>180000</v>
      </c>
      <c r="G13" s="30"/>
    </row>
    <row r="14" spans="1:7" x14ac:dyDescent="0.35">
      <c r="A14" s="30" t="s">
        <v>417</v>
      </c>
      <c r="B14" s="30">
        <v>2533</v>
      </c>
      <c r="C14" s="30" t="s">
        <v>16</v>
      </c>
      <c r="D14" s="46">
        <v>20000</v>
      </c>
      <c r="E14" s="46">
        <f t="shared" si="0"/>
        <v>100000</v>
      </c>
      <c r="F14" s="46">
        <f t="shared" si="1"/>
        <v>160000</v>
      </c>
      <c r="G14" s="30"/>
    </row>
    <row r="15" spans="1:7" x14ac:dyDescent="0.35">
      <c r="A15" s="30" t="s">
        <v>418</v>
      </c>
      <c r="B15" s="30">
        <v>3301</v>
      </c>
      <c r="C15" s="30" t="s">
        <v>16</v>
      </c>
      <c r="D15" s="46">
        <v>10000</v>
      </c>
      <c r="E15" s="46">
        <f t="shared" si="0"/>
        <v>110000</v>
      </c>
      <c r="F15" s="46">
        <f t="shared" si="1"/>
        <v>150000</v>
      </c>
      <c r="G15" s="30"/>
    </row>
    <row r="16" spans="1:7" x14ac:dyDescent="0.35">
      <c r="A16" s="30" t="s">
        <v>419</v>
      </c>
      <c r="B16" s="30">
        <v>3823</v>
      </c>
      <c r="C16" s="30" t="s">
        <v>16</v>
      </c>
      <c r="D16" s="46">
        <v>10000</v>
      </c>
      <c r="E16" s="46">
        <f t="shared" si="0"/>
        <v>120000</v>
      </c>
      <c r="F16" s="46">
        <f t="shared" si="1"/>
        <v>140000</v>
      </c>
      <c r="G16" s="30"/>
    </row>
    <row r="17" spans="1:7" x14ac:dyDescent="0.35">
      <c r="A17" s="30" t="s">
        <v>328</v>
      </c>
      <c r="B17" s="30">
        <v>4577</v>
      </c>
      <c r="C17" s="30" t="s">
        <v>16</v>
      </c>
      <c r="D17" s="46">
        <v>10000</v>
      </c>
      <c r="E17" s="46">
        <f t="shared" si="0"/>
        <v>130000</v>
      </c>
      <c r="F17" s="46">
        <f t="shared" si="1"/>
        <v>130000</v>
      </c>
      <c r="G17" s="30"/>
    </row>
    <row r="18" spans="1:7" x14ac:dyDescent="0.35">
      <c r="A18" s="30" t="s">
        <v>420</v>
      </c>
      <c r="B18" s="30">
        <v>5210</v>
      </c>
      <c r="C18" s="30" t="s">
        <v>16</v>
      </c>
      <c r="D18" s="46">
        <v>20000</v>
      </c>
      <c r="E18" s="46">
        <f t="shared" si="0"/>
        <v>150000</v>
      </c>
      <c r="F18" s="46">
        <f t="shared" si="1"/>
        <v>110000</v>
      </c>
      <c r="G18" s="30"/>
    </row>
    <row r="19" spans="1:7" x14ac:dyDescent="0.35">
      <c r="A19" s="30" t="s">
        <v>422</v>
      </c>
      <c r="B19" s="30">
        <v>6144</v>
      </c>
      <c r="C19" s="30" t="s">
        <v>16</v>
      </c>
      <c r="D19" s="46">
        <v>10000</v>
      </c>
      <c r="E19" s="46">
        <f t="shared" si="0"/>
        <v>160000</v>
      </c>
      <c r="F19" s="46">
        <f t="shared" si="1"/>
        <v>100000</v>
      </c>
      <c r="G19" s="30"/>
    </row>
    <row r="20" spans="1:7" x14ac:dyDescent="0.35">
      <c r="A20" s="30" t="s">
        <v>423</v>
      </c>
      <c r="B20" s="30">
        <v>7188</v>
      </c>
      <c r="C20" s="30" t="s">
        <v>16</v>
      </c>
      <c r="D20" s="46">
        <v>10000</v>
      </c>
      <c r="E20" s="46">
        <f t="shared" si="0"/>
        <v>170000</v>
      </c>
      <c r="F20" s="46">
        <f t="shared" si="1"/>
        <v>90000</v>
      </c>
      <c r="G20" s="30"/>
    </row>
    <row r="21" spans="1:7" x14ac:dyDescent="0.35">
      <c r="A21" s="44">
        <v>45599</v>
      </c>
      <c r="B21" s="30">
        <v>7289</v>
      </c>
      <c r="C21" s="30" t="s">
        <v>16</v>
      </c>
      <c r="D21" s="46">
        <v>10000</v>
      </c>
      <c r="E21" s="46">
        <f t="shared" si="0"/>
        <v>180000</v>
      </c>
      <c r="F21" s="46">
        <f t="shared" si="1"/>
        <v>80000</v>
      </c>
      <c r="G21" s="30"/>
    </row>
    <row r="22" spans="1:7" x14ac:dyDescent="0.35">
      <c r="A22" s="30" t="s">
        <v>424</v>
      </c>
      <c r="B22" s="30">
        <v>7845</v>
      </c>
      <c r="C22" s="30" t="s">
        <v>16</v>
      </c>
      <c r="D22" s="46">
        <v>10000</v>
      </c>
      <c r="E22" s="46">
        <f t="shared" si="0"/>
        <v>190000</v>
      </c>
      <c r="F22" s="46">
        <f t="shared" si="1"/>
        <v>70000</v>
      </c>
      <c r="G22" s="30"/>
    </row>
    <row r="23" spans="1:7" x14ac:dyDescent="0.35">
      <c r="A23" s="44">
        <v>45328</v>
      </c>
      <c r="B23" s="30">
        <v>8815</v>
      </c>
      <c r="C23" s="30" t="s">
        <v>16</v>
      </c>
      <c r="D23" s="46">
        <v>10000</v>
      </c>
      <c r="E23" s="46">
        <f t="shared" si="0"/>
        <v>200000</v>
      </c>
      <c r="F23" s="46">
        <f t="shared" si="1"/>
        <v>60000</v>
      </c>
      <c r="G23" s="30"/>
    </row>
    <row r="24" spans="1:7" x14ac:dyDescent="0.35">
      <c r="A24" s="30" t="s">
        <v>425</v>
      </c>
      <c r="B24" s="30">
        <v>9670</v>
      </c>
      <c r="C24" s="30" t="s">
        <v>16</v>
      </c>
      <c r="D24" s="46">
        <v>10000</v>
      </c>
      <c r="E24" s="46">
        <f t="shared" si="0"/>
        <v>210000</v>
      </c>
      <c r="F24" s="46">
        <f t="shared" si="1"/>
        <v>50000</v>
      </c>
      <c r="G24" s="30"/>
    </row>
    <row r="25" spans="1:7" x14ac:dyDescent="0.35">
      <c r="A25" s="44">
        <v>45451</v>
      </c>
      <c r="B25" s="30">
        <v>10048</v>
      </c>
      <c r="C25" s="30" t="s">
        <v>16</v>
      </c>
      <c r="D25" s="46">
        <v>10000</v>
      </c>
      <c r="E25" s="46">
        <f t="shared" si="0"/>
        <v>220000</v>
      </c>
      <c r="F25" s="46">
        <f t="shared" si="1"/>
        <v>40000</v>
      </c>
      <c r="G25" s="30"/>
    </row>
    <row r="26" spans="1:7" x14ac:dyDescent="0.35">
      <c r="A26" s="44">
        <v>45635</v>
      </c>
      <c r="B26" s="30">
        <v>10698</v>
      </c>
      <c r="C26" s="30" t="s">
        <v>16</v>
      </c>
      <c r="D26" s="46">
        <v>20000</v>
      </c>
      <c r="E26" s="46">
        <f t="shared" si="0"/>
        <v>240000</v>
      </c>
      <c r="F26" s="46">
        <f t="shared" si="1"/>
        <v>20000</v>
      </c>
      <c r="G26" s="30"/>
    </row>
    <row r="27" spans="1:7" x14ac:dyDescent="0.35">
      <c r="A27" s="44">
        <v>45393</v>
      </c>
      <c r="B27" s="30">
        <v>11583</v>
      </c>
      <c r="C27" s="30" t="s">
        <v>16</v>
      </c>
      <c r="D27" s="46">
        <v>20000</v>
      </c>
      <c r="E27" s="46">
        <f t="shared" si="0"/>
        <v>260000</v>
      </c>
      <c r="F27" s="46">
        <f t="shared" si="1"/>
        <v>0</v>
      </c>
      <c r="G27" s="30"/>
    </row>
    <row r="28" spans="1:7" x14ac:dyDescent="0.35">
      <c r="A28" s="30"/>
      <c r="B28" s="30"/>
      <c r="C28" s="30"/>
      <c r="D28" s="30"/>
      <c r="E28" s="30"/>
      <c r="F28" s="30"/>
      <c r="G28" s="30"/>
    </row>
    <row r="29" spans="1:7" ht="18.5" x14ac:dyDescent="0.45">
      <c r="A29" s="47" t="s">
        <v>426</v>
      </c>
      <c r="B29" s="47"/>
      <c r="C29" s="47"/>
      <c r="D29" s="47"/>
      <c r="E29" s="47"/>
      <c r="F29" s="30"/>
      <c r="G29" s="30"/>
    </row>
    <row r="30" spans="1:7" x14ac:dyDescent="0.35">
      <c r="A30" s="30" t="s">
        <v>509</v>
      </c>
      <c r="B30" s="30">
        <v>1621</v>
      </c>
      <c r="C30" s="30" t="s">
        <v>268</v>
      </c>
      <c r="D30" s="46">
        <v>15000</v>
      </c>
      <c r="E30" s="46">
        <v>195000</v>
      </c>
      <c r="F30" s="30" t="s">
        <v>510</v>
      </c>
      <c r="G30" s="30"/>
    </row>
    <row r="31" spans="1:7" x14ac:dyDescent="0.35">
      <c r="A31" s="30"/>
      <c r="B31" s="30"/>
      <c r="C31" s="30"/>
      <c r="D31" s="30"/>
      <c r="E31" s="30"/>
      <c r="F31" s="30"/>
      <c r="G31" s="30"/>
    </row>
    <row r="32" spans="1:7" x14ac:dyDescent="0.35">
      <c r="A32" s="30"/>
      <c r="B32" s="30"/>
      <c r="C32" s="30"/>
      <c r="D32" s="30"/>
      <c r="E32" s="30"/>
      <c r="F32" s="30"/>
      <c r="G32" s="30"/>
    </row>
    <row r="33" spans="1:7" x14ac:dyDescent="0.35">
      <c r="A33" s="30"/>
      <c r="B33" s="30"/>
      <c r="C33" s="30"/>
      <c r="D33" s="30"/>
      <c r="E33" s="30"/>
      <c r="F33" s="30"/>
      <c r="G33" s="30"/>
    </row>
    <row r="34" spans="1:7" x14ac:dyDescent="0.35">
      <c r="A34" s="30"/>
      <c r="B34" s="30"/>
      <c r="C34" s="30"/>
      <c r="D34" s="30"/>
      <c r="E34" s="30"/>
      <c r="F34" s="30"/>
      <c r="G34" s="3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3" sqref="C3"/>
    </sheetView>
  </sheetViews>
  <sheetFormatPr defaultRowHeight="14.5" x14ac:dyDescent="0.35"/>
  <cols>
    <col min="1" max="1" width="12.54296875" style="30" customWidth="1"/>
    <col min="2" max="2" width="16.08984375" style="30" customWidth="1"/>
    <col min="3" max="3" width="17.1796875" style="30" customWidth="1"/>
    <col min="4" max="4" width="14" style="30" customWidth="1"/>
    <col min="5" max="5" width="13.08984375" style="30" customWidth="1"/>
    <col min="6" max="6" width="10.7265625" style="30" customWidth="1"/>
    <col min="7" max="16384" width="8.7265625" style="30"/>
  </cols>
  <sheetData>
    <row r="1" spans="1:7" ht="18.5" x14ac:dyDescent="0.45">
      <c r="A1" s="1" t="s">
        <v>867</v>
      </c>
      <c r="B1" s="1"/>
      <c r="C1" s="1"/>
      <c r="D1" s="1"/>
      <c r="E1" s="1"/>
      <c r="F1" s="1"/>
    </row>
    <row r="2" spans="1:7" ht="18.5" x14ac:dyDescent="0.45">
      <c r="A2" s="1" t="s">
        <v>868</v>
      </c>
      <c r="B2"/>
      <c r="C2" s="1"/>
      <c r="D2" s="1"/>
      <c r="E2" s="1"/>
      <c r="F2" s="1"/>
    </row>
    <row r="3" spans="1:7" ht="18.5" x14ac:dyDescent="0.45">
      <c r="A3" s="1" t="s">
        <v>869</v>
      </c>
      <c r="B3" s="1"/>
      <c r="C3" s="1"/>
      <c r="D3" s="1"/>
      <c r="E3" s="1"/>
      <c r="F3" s="1"/>
    </row>
    <row r="4" spans="1:7" ht="18.5" x14ac:dyDescent="0.45">
      <c r="A4" s="1" t="s">
        <v>866</v>
      </c>
      <c r="B4" s="1"/>
      <c r="C4" s="1"/>
      <c r="D4" s="1"/>
      <c r="E4" s="1"/>
      <c r="F4" s="1"/>
    </row>
    <row r="5" spans="1:7" ht="18.5" x14ac:dyDescent="0.45">
      <c r="A5" s="1" t="s">
        <v>870</v>
      </c>
      <c r="B5" s="1"/>
      <c r="C5" s="1"/>
      <c r="D5" s="1"/>
      <c r="E5" s="1"/>
      <c r="F5" s="1"/>
    </row>
    <row r="6" spans="1:7" ht="18.5" x14ac:dyDescent="0.45">
      <c r="A6" s="1" t="s">
        <v>871</v>
      </c>
      <c r="B6" s="1"/>
      <c r="C6" s="1"/>
      <c r="D6" s="1" t="s">
        <v>5</v>
      </c>
      <c r="E6"/>
      <c r="F6" s="1"/>
    </row>
    <row r="7" spans="1:7" x14ac:dyDescent="0.35">
      <c r="A7" s="78" t="s">
        <v>6</v>
      </c>
      <c r="B7" s="78" t="s">
        <v>7</v>
      </c>
      <c r="C7" s="78" t="s">
        <v>8</v>
      </c>
      <c r="D7" s="78" t="s">
        <v>9</v>
      </c>
      <c r="E7" s="78" t="s">
        <v>10</v>
      </c>
      <c r="F7" s="78" t="s">
        <v>11</v>
      </c>
    </row>
    <row r="8" spans="1:7" ht="28" x14ac:dyDescent="0.35">
      <c r="A8" s="71">
        <v>43993</v>
      </c>
      <c r="B8" s="72">
        <v>2213</v>
      </c>
      <c r="C8" s="72" t="s">
        <v>32</v>
      </c>
      <c r="D8" s="72" t="s">
        <v>816</v>
      </c>
      <c r="E8" s="72" t="s">
        <v>816</v>
      </c>
      <c r="F8" s="72" t="s">
        <v>817</v>
      </c>
    </row>
    <row r="9" spans="1:7" ht="28" x14ac:dyDescent="0.35">
      <c r="A9" s="72" t="s">
        <v>818</v>
      </c>
      <c r="B9" s="72">
        <v>2229</v>
      </c>
      <c r="C9" s="72" t="s">
        <v>377</v>
      </c>
      <c r="D9" s="72" t="s">
        <v>819</v>
      </c>
      <c r="E9" s="72" t="s">
        <v>820</v>
      </c>
      <c r="F9" s="72" t="s">
        <v>821</v>
      </c>
    </row>
    <row r="10" spans="1:7" ht="28" x14ac:dyDescent="0.35">
      <c r="A10" s="72" t="s">
        <v>822</v>
      </c>
      <c r="B10" s="72">
        <v>1153</v>
      </c>
      <c r="C10" s="72" t="s">
        <v>377</v>
      </c>
      <c r="D10" s="72" t="s">
        <v>819</v>
      </c>
      <c r="E10" s="72" t="s">
        <v>823</v>
      </c>
      <c r="F10" s="72" t="s">
        <v>824</v>
      </c>
    </row>
    <row r="11" spans="1:7" ht="28" x14ac:dyDescent="0.35">
      <c r="A11" s="72" t="s">
        <v>825</v>
      </c>
      <c r="B11" s="72">
        <v>865</v>
      </c>
      <c r="C11" s="72" t="s">
        <v>377</v>
      </c>
      <c r="D11" s="72" t="s">
        <v>819</v>
      </c>
      <c r="E11" s="72" t="s">
        <v>826</v>
      </c>
      <c r="F11" s="72" t="s">
        <v>827</v>
      </c>
    </row>
    <row r="12" spans="1:7" ht="28" x14ac:dyDescent="0.35">
      <c r="A12" s="71">
        <v>43986</v>
      </c>
      <c r="B12" s="72">
        <v>867</v>
      </c>
      <c r="C12" s="72" t="s">
        <v>828</v>
      </c>
      <c r="D12" s="72" t="s">
        <v>829</v>
      </c>
      <c r="E12" s="72" t="s">
        <v>830</v>
      </c>
      <c r="F12" s="72" t="s">
        <v>831</v>
      </c>
    </row>
    <row r="13" spans="1:7" ht="28" x14ac:dyDescent="0.35">
      <c r="A13" s="72" t="s">
        <v>832</v>
      </c>
      <c r="B13" s="72">
        <v>574</v>
      </c>
      <c r="C13" s="72" t="s">
        <v>377</v>
      </c>
      <c r="D13" s="72" t="s">
        <v>819</v>
      </c>
      <c r="E13" s="72" t="s">
        <v>833</v>
      </c>
      <c r="F13" s="72" t="s">
        <v>834</v>
      </c>
    </row>
    <row r="14" spans="1:7" ht="28" x14ac:dyDescent="0.6">
      <c r="A14" s="72" t="s">
        <v>835</v>
      </c>
      <c r="B14" s="72">
        <v>2744</v>
      </c>
      <c r="C14" s="72" t="s">
        <v>377</v>
      </c>
      <c r="D14" s="72" t="s">
        <v>819</v>
      </c>
      <c r="E14" s="72" t="s">
        <v>836</v>
      </c>
      <c r="F14" s="72" t="s">
        <v>837</v>
      </c>
      <c r="G14" s="62"/>
    </row>
    <row r="15" spans="1:7" ht="28" x14ac:dyDescent="0.35">
      <c r="A15" s="72" t="s">
        <v>838</v>
      </c>
      <c r="B15" s="72">
        <v>2453</v>
      </c>
      <c r="C15" s="72" t="s">
        <v>377</v>
      </c>
      <c r="D15" s="72" t="s">
        <v>819</v>
      </c>
      <c r="E15" s="72" t="s">
        <v>839</v>
      </c>
      <c r="F15" s="72" t="s">
        <v>840</v>
      </c>
    </row>
    <row r="16" spans="1:7" ht="28" x14ac:dyDescent="0.35">
      <c r="A16" s="71">
        <v>45178</v>
      </c>
      <c r="B16" s="72">
        <v>3555</v>
      </c>
      <c r="C16" s="72" t="s">
        <v>377</v>
      </c>
      <c r="D16" s="72" t="s">
        <v>819</v>
      </c>
      <c r="E16" s="72" t="s">
        <v>841</v>
      </c>
      <c r="F16" s="72" t="s">
        <v>842</v>
      </c>
    </row>
    <row r="17" spans="1:6" ht="28" x14ac:dyDescent="0.35">
      <c r="A17" s="71">
        <v>45270</v>
      </c>
      <c r="B17" s="72">
        <v>4229</v>
      </c>
      <c r="C17" s="72" t="s">
        <v>377</v>
      </c>
      <c r="D17" s="72" t="s">
        <v>819</v>
      </c>
      <c r="E17" s="72" t="s">
        <v>827</v>
      </c>
      <c r="F17" s="72" t="s">
        <v>826</v>
      </c>
    </row>
    <row r="18" spans="1:6" ht="28" x14ac:dyDescent="0.35">
      <c r="A18" s="72" t="s">
        <v>843</v>
      </c>
      <c r="B18" s="72">
        <v>4858</v>
      </c>
      <c r="C18" s="72" t="s">
        <v>377</v>
      </c>
      <c r="D18" s="72" t="s">
        <v>819</v>
      </c>
      <c r="E18" s="72" t="s">
        <v>824</v>
      </c>
      <c r="F18" s="72" t="s">
        <v>823</v>
      </c>
    </row>
    <row r="19" spans="1:6" ht="28" x14ac:dyDescent="0.35">
      <c r="A19" s="71">
        <v>45272</v>
      </c>
      <c r="B19" s="72">
        <v>5496</v>
      </c>
      <c r="C19" s="72" t="s">
        <v>377</v>
      </c>
      <c r="D19" s="72" t="s">
        <v>819</v>
      </c>
      <c r="E19" s="72" t="s">
        <v>821</v>
      </c>
      <c r="F19" s="72" t="s">
        <v>820</v>
      </c>
    </row>
    <row r="20" spans="1:6" ht="28" x14ac:dyDescent="0.35">
      <c r="A20" s="71">
        <v>45597</v>
      </c>
      <c r="B20" s="72">
        <v>6094</v>
      </c>
      <c r="C20" s="72" t="s">
        <v>377</v>
      </c>
      <c r="D20" s="72" t="s">
        <v>819</v>
      </c>
      <c r="E20" s="72" t="s">
        <v>817</v>
      </c>
      <c r="F20" s="72" t="s">
        <v>816</v>
      </c>
    </row>
    <row r="21" spans="1:6" x14ac:dyDescent="0.35">
      <c r="A21" s="71">
        <v>45567</v>
      </c>
      <c r="B21" s="72">
        <v>6600</v>
      </c>
      <c r="C21" s="72" t="s">
        <v>377</v>
      </c>
      <c r="D21" s="72" t="s">
        <v>819</v>
      </c>
      <c r="E21" s="72" t="s">
        <v>844</v>
      </c>
      <c r="F21" s="72" t="s">
        <v>829</v>
      </c>
    </row>
    <row r="22" spans="1:6" x14ac:dyDescent="0.35">
      <c r="A22" s="71">
        <v>45629</v>
      </c>
      <c r="B22" s="72">
        <v>7328</v>
      </c>
      <c r="C22" s="72" t="s">
        <v>377</v>
      </c>
      <c r="D22" s="72" t="s">
        <v>819</v>
      </c>
      <c r="E22" s="72" t="s">
        <v>845</v>
      </c>
      <c r="F22" s="72" t="s">
        <v>846</v>
      </c>
    </row>
    <row r="23" spans="1:6" x14ac:dyDescent="0.35">
      <c r="A23" s="72" t="s">
        <v>637</v>
      </c>
      <c r="B23" s="72">
        <v>7877</v>
      </c>
      <c r="C23" s="72" t="s">
        <v>377</v>
      </c>
      <c r="D23" s="72" t="s">
        <v>819</v>
      </c>
      <c r="E23" s="72" t="s">
        <v>847</v>
      </c>
      <c r="F23" s="72" t="s">
        <v>848</v>
      </c>
    </row>
    <row r="24" spans="1:6" x14ac:dyDescent="0.35">
      <c r="A24" s="72" t="s">
        <v>849</v>
      </c>
      <c r="B24" s="72">
        <v>8471</v>
      </c>
      <c r="C24" s="72" t="s">
        <v>377</v>
      </c>
      <c r="D24" s="72" t="s">
        <v>819</v>
      </c>
      <c r="E24" s="72" t="s">
        <v>850</v>
      </c>
      <c r="F24" s="72" t="s">
        <v>851</v>
      </c>
    </row>
    <row r="25" spans="1:6" x14ac:dyDescent="0.35">
      <c r="A25" s="72" t="s">
        <v>852</v>
      </c>
      <c r="B25" s="72">
        <v>11091</v>
      </c>
      <c r="C25" s="72" t="s">
        <v>377</v>
      </c>
      <c r="D25" s="72" t="s">
        <v>819</v>
      </c>
      <c r="E25" s="72" t="s">
        <v>853</v>
      </c>
      <c r="F25" s="72" t="s">
        <v>854</v>
      </c>
    </row>
    <row r="26" spans="1:6" x14ac:dyDescent="0.35">
      <c r="A26" s="71">
        <v>45298</v>
      </c>
      <c r="B26" s="72">
        <v>11092</v>
      </c>
      <c r="C26" s="72" t="s">
        <v>377</v>
      </c>
      <c r="D26" s="72" t="s">
        <v>819</v>
      </c>
      <c r="E26" s="72" t="s">
        <v>855</v>
      </c>
      <c r="F26" s="72" t="s">
        <v>856</v>
      </c>
    </row>
    <row r="27" spans="1:6" x14ac:dyDescent="0.35">
      <c r="A27" s="71">
        <v>45634</v>
      </c>
      <c r="B27" s="72">
        <v>11093</v>
      </c>
      <c r="C27" s="72" t="s">
        <v>377</v>
      </c>
      <c r="D27" s="72" t="s">
        <v>819</v>
      </c>
      <c r="E27" s="72" t="s">
        <v>857</v>
      </c>
      <c r="F27" s="72" t="s">
        <v>858</v>
      </c>
    </row>
    <row r="28" spans="1:6" x14ac:dyDescent="0.35">
      <c r="A28" s="71">
        <v>45635</v>
      </c>
      <c r="B28" s="72">
        <v>10710</v>
      </c>
      <c r="C28" s="72" t="s">
        <v>377</v>
      </c>
      <c r="D28" s="72" t="s">
        <v>819</v>
      </c>
      <c r="E28" s="72" t="s">
        <v>859</v>
      </c>
      <c r="F28" s="72" t="s">
        <v>860</v>
      </c>
    </row>
    <row r="29" spans="1:6" x14ac:dyDescent="0.35">
      <c r="A29" s="72" t="s">
        <v>861</v>
      </c>
      <c r="B29" s="72">
        <v>10212</v>
      </c>
      <c r="C29" s="72" t="s">
        <v>377</v>
      </c>
      <c r="D29" s="72" t="s">
        <v>819</v>
      </c>
      <c r="E29" s="72" t="s">
        <v>862</v>
      </c>
      <c r="F29" s="72" t="s">
        <v>819</v>
      </c>
    </row>
    <row r="30" spans="1:6" x14ac:dyDescent="0.35">
      <c r="A30" s="72" t="s">
        <v>863</v>
      </c>
      <c r="B30" s="72">
        <v>10959</v>
      </c>
      <c r="C30" s="72" t="s">
        <v>377</v>
      </c>
      <c r="D30" s="72" t="s">
        <v>819</v>
      </c>
      <c r="E30" s="72" t="s">
        <v>864</v>
      </c>
      <c r="F30" s="72" t="s">
        <v>865</v>
      </c>
    </row>
    <row r="32" spans="1:6" ht="18.5" x14ac:dyDescent="0.45">
      <c r="A32" s="79" t="s">
        <v>220</v>
      </c>
      <c r="B32" s="80"/>
    </row>
    <row r="33" spans="1:6" x14ac:dyDescent="0.35">
      <c r="A33" s="78" t="s">
        <v>6</v>
      </c>
      <c r="B33" s="78" t="s">
        <v>7</v>
      </c>
      <c r="C33" s="78" t="s">
        <v>8</v>
      </c>
      <c r="D33" s="78" t="s">
        <v>9</v>
      </c>
      <c r="E33" s="78" t="s">
        <v>10</v>
      </c>
      <c r="F33" s="78" t="s">
        <v>11</v>
      </c>
    </row>
    <row r="34" spans="1:6" x14ac:dyDescent="0.35">
      <c r="A34" s="73">
        <v>45967</v>
      </c>
      <c r="B34" s="74">
        <v>6564</v>
      </c>
      <c r="C34" s="74" t="s">
        <v>616</v>
      </c>
      <c r="D34" s="75">
        <v>5000</v>
      </c>
      <c r="E34" s="4">
        <v>5000</v>
      </c>
      <c r="F34" s="76">
        <v>445000</v>
      </c>
    </row>
    <row r="35" spans="1:6" x14ac:dyDescent="0.35">
      <c r="A35" s="77" t="s">
        <v>730</v>
      </c>
      <c r="B35" s="74">
        <v>3960</v>
      </c>
      <c r="C35" s="74" t="s">
        <v>616</v>
      </c>
      <c r="D35" s="75">
        <v>5000</v>
      </c>
      <c r="E35" s="4">
        <f t="shared" ref="E35:E49" si="0">E34+D35</f>
        <v>10000</v>
      </c>
      <c r="F35" s="76">
        <v>440000</v>
      </c>
    </row>
    <row r="36" spans="1:6" x14ac:dyDescent="0.35">
      <c r="A36" s="77" t="s">
        <v>731</v>
      </c>
      <c r="B36" s="74">
        <v>3539</v>
      </c>
      <c r="C36" s="74" t="s">
        <v>616</v>
      </c>
      <c r="D36" s="75">
        <v>5000</v>
      </c>
      <c r="E36" s="4">
        <f t="shared" si="0"/>
        <v>15000</v>
      </c>
      <c r="F36" s="76">
        <v>435000</v>
      </c>
    </row>
    <row r="37" spans="1:6" x14ac:dyDescent="0.35">
      <c r="A37" s="77" t="s">
        <v>144</v>
      </c>
      <c r="B37" s="74">
        <v>3324</v>
      </c>
      <c r="C37" s="74" t="s">
        <v>616</v>
      </c>
      <c r="D37" s="75">
        <v>5000</v>
      </c>
      <c r="E37" s="4">
        <f t="shared" si="0"/>
        <v>20000</v>
      </c>
      <c r="F37" s="76">
        <v>430000</v>
      </c>
    </row>
    <row r="38" spans="1:6" x14ac:dyDescent="0.35">
      <c r="A38" s="77" t="s">
        <v>113</v>
      </c>
      <c r="B38" s="74">
        <v>3804</v>
      </c>
      <c r="C38" s="74" t="s">
        <v>616</v>
      </c>
      <c r="D38" s="75">
        <v>5000</v>
      </c>
      <c r="E38" s="4">
        <f t="shared" si="0"/>
        <v>25000</v>
      </c>
      <c r="F38" s="76">
        <v>425000</v>
      </c>
    </row>
    <row r="39" spans="1:6" x14ac:dyDescent="0.35">
      <c r="A39" s="77" t="s">
        <v>732</v>
      </c>
      <c r="B39" s="74">
        <v>5067</v>
      </c>
      <c r="C39" s="74" t="s">
        <v>616</v>
      </c>
      <c r="D39" s="75">
        <v>5000</v>
      </c>
      <c r="E39" s="4">
        <f t="shared" si="0"/>
        <v>30000</v>
      </c>
      <c r="F39" s="76">
        <v>420000</v>
      </c>
    </row>
    <row r="40" spans="1:6" x14ac:dyDescent="0.35">
      <c r="A40" s="77" t="s">
        <v>733</v>
      </c>
      <c r="B40" s="74">
        <v>5327</v>
      </c>
      <c r="C40" s="74" t="s">
        <v>616</v>
      </c>
      <c r="D40" s="75">
        <v>5000</v>
      </c>
      <c r="E40" s="4">
        <f t="shared" si="0"/>
        <v>35000</v>
      </c>
      <c r="F40" s="76">
        <v>415000</v>
      </c>
    </row>
    <row r="41" spans="1:6" x14ac:dyDescent="0.35">
      <c r="A41" s="77" t="s">
        <v>734</v>
      </c>
      <c r="B41" s="74">
        <v>5506</v>
      </c>
      <c r="C41" s="74" t="s">
        <v>616</v>
      </c>
      <c r="D41" s="75">
        <v>5000</v>
      </c>
      <c r="E41" s="4">
        <f t="shared" si="0"/>
        <v>40000</v>
      </c>
      <c r="F41" s="76">
        <v>410000</v>
      </c>
    </row>
    <row r="42" spans="1:6" x14ac:dyDescent="0.35">
      <c r="A42" s="77" t="s">
        <v>735</v>
      </c>
      <c r="B42" s="74">
        <v>5740</v>
      </c>
      <c r="C42" s="74" t="s">
        <v>616</v>
      </c>
      <c r="D42" s="75">
        <v>5000</v>
      </c>
      <c r="E42" s="4">
        <f t="shared" si="0"/>
        <v>45000</v>
      </c>
      <c r="F42" s="76">
        <v>405000</v>
      </c>
    </row>
    <row r="43" spans="1:6" x14ac:dyDescent="0.35">
      <c r="A43" s="77" t="s">
        <v>736</v>
      </c>
      <c r="B43" s="74">
        <v>5965</v>
      </c>
      <c r="C43" s="74" t="s">
        <v>616</v>
      </c>
      <c r="D43" s="75">
        <v>5000</v>
      </c>
      <c r="E43" s="4">
        <f t="shared" si="0"/>
        <v>50000</v>
      </c>
      <c r="F43" s="76">
        <v>400000</v>
      </c>
    </row>
    <row r="44" spans="1:6" x14ac:dyDescent="0.35">
      <c r="A44" s="77" t="s">
        <v>738</v>
      </c>
      <c r="B44" s="74">
        <v>1519</v>
      </c>
      <c r="C44" s="74" t="s">
        <v>616</v>
      </c>
      <c r="D44" s="75">
        <v>5000</v>
      </c>
      <c r="E44" s="4">
        <f t="shared" si="0"/>
        <v>55000</v>
      </c>
      <c r="F44" s="76">
        <v>395000</v>
      </c>
    </row>
    <row r="45" spans="1:6" x14ac:dyDescent="0.35">
      <c r="A45" s="77" t="s">
        <v>739</v>
      </c>
      <c r="B45" s="74">
        <v>1661</v>
      </c>
      <c r="C45" s="74" t="s">
        <v>616</v>
      </c>
      <c r="D45" s="75">
        <v>5000</v>
      </c>
      <c r="E45" s="4">
        <f t="shared" si="0"/>
        <v>60000</v>
      </c>
      <c r="F45" s="76">
        <v>390000</v>
      </c>
    </row>
    <row r="46" spans="1:6" x14ac:dyDescent="0.35">
      <c r="A46" s="77" t="s">
        <v>740</v>
      </c>
      <c r="B46" s="74">
        <v>1846</v>
      </c>
      <c r="C46" s="74" t="s">
        <v>616</v>
      </c>
      <c r="D46" s="75">
        <v>5000</v>
      </c>
      <c r="E46" s="4">
        <f t="shared" si="0"/>
        <v>65000</v>
      </c>
      <c r="F46" s="76">
        <v>385000</v>
      </c>
    </row>
    <row r="47" spans="1:6" x14ac:dyDescent="0.35">
      <c r="A47" s="77" t="s">
        <v>741</v>
      </c>
      <c r="B47" s="74">
        <v>1928</v>
      </c>
      <c r="C47" s="74" t="s">
        <v>616</v>
      </c>
      <c r="D47" s="75">
        <v>5000</v>
      </c>
      <c r="E47" s="4">
        <f t="shared" si="0"/>
        <v>70000</v>
      </c>
      <c r="F47" s="76">
        <v>380000</v>
      </c>
    </row>
    <row r="48" spans="1:6" x14ac:dyDescent="0.35">
      <c r="A48" s="77" t="s">
        <v>742</v>
      </c>
      <c r="B48" s="74">
        <v>2090</v>
      </c>
      <c r="C48" s="74" t="s">
        <v>616</v>
      </c>
      <c r="D48" s="75">
        <v>5000</v>
      </c>
      <c r="E48" s="4">
        <f t="shared" si="0"/>
        <v>75000</v>
      </c>
      <c r="F48" s="76">
        <v>375000</v>
      </c>
    </row>
    <row r="49" spans="1:6" x14ac:dyDescent="0.35">
      <c r="A49" s="5">
        <v>46244</v>
      </c>
      <c r="B49" s="2">
        <v>2161</v>
      </c>
      <c r="C49" s="74" t="s">
        <v>616</v>
      </c>
      <c r="D49" s="4">
        <v>5000</v>
      </c>
      <c r="E49" s="4">
        <f t="shared" si="0"/>
        <v>80000</v>
      </c>
      <c r="F49" s="4">
        <f>F48-D49</f>
        <v>370000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5" workbookViewId="0">
      <selection activeCell="C35" sqref="C35"/>
    </sheetView>
  </sheetViews>
  <sheetFormatPr defaultRowHeight="14.5" x14ac:dyDescent="0.35"/>
  <cols>
    <col min="1" max="1" width="15.36328125" customWidth="1"/>
    <col min="2" max="2" width="14.453125" customWidth="1"/>
    <col min="3" max="3" width="15.90625" customWidth="1"/>
    <col min="4" max="4" width="15.7265625" customWidth="1"/>
    <col min="5" max="5" width="15.54296875" customWidth="1"/>
    <col min="6" max="6" width="13.7265625" customWidth="1"/>
  </cols>
  <sheetData>
    <row r="1" spans="1:7" ht="18.5" x14ac:dyDescent="0.45">
      <c r="A1" s="1" t="s">
        <v>895</v>
      </c>
      <c r="B1" s="1"/>
      <c r="C1" s="1"/>
      <c r="D1" s="1"/>
      <c r="E1" s="1"/>
      <c r="F1" s="1"/>
    </row>
    <row r="2" spans="1:7" ht="18.5" x14ac:dyDescent="0.45">
      <c r="A2" s="1" t="s">
        <v>896</v>
      </c>
      <c r="C2" s="1"/>
      <c r="D2" s="1"/>
      <c r="E2" s="1"/>
      <c r="F2" s="1"/>
    </row>
    <row r="3" spans="1:7" ht="18.5" x14ac:dyDescent="0.45">
      <c r="A3" s="1" t="s">
        <v>897</v>
      </c>
      <c r="B3" s="1"/>
      <c r="C3" s="1"/>
      <c r="D3" s="1"/>
      <c r="E3" s="1"/>
      <c r="F3" s="1"/>
    </row>
    <row r="4" spans="1:7" ht="18.5" x14ac:dyDescent="0.45">
      <c r="A4" s="1" t="s">
        <v>898</v>
      </c>
      <c r="B4" s="1"/>
      <c r="C4" s="1"/>
      <c r="D4" s="1"/>
      <c r="E4" s="1"/>
      <c r="F4" s="1"/>
    </row>
    <row r="5" spans="1:7" ht="18.5" x14ac:dyDescent="0.45">
      <c r="A5" s="1" t="s">
        <v>273</v>
      </c>
      <c r="B5" s="1"/>
      <c r="C5" s="1"/>
      <c r="D5" s="1"/>
      <c r="E5" s="1"/>
      <c r="F5" s="1"/>
    </row>
    <row r="6" spans="1:7" ht="18.5" x14ac:dyDescent="0.45">
      <c r="A6" s="1" t="s">
        <v>872</v>
      </c>
      <c r="B6" s="1"/>
      <c r="C6" s="1"/>
      <c r="D6" s="1" t="s">
        <v>5</v>
      </c>
      <c r="F6" s="1"/>
    </row>
    <row r="7" spans="1:7" x14ac:dyDescent="0.35">
      <c r="A7" s="78" t="s">
        <v>6</v>
      </c>
      <c r="B7" s="78" t="s">
        <v>7</v>
      </c>
      <c r="C7" s="78" t="s">
        <v>8</v>
      </c>
      <c r="D7" s="78" t="s">
        <v>9</v>
      </c>
      <c r="E7" s="78" t="s">
        <v>10</v>
      </c>
      <c r="F7" s="78" t="s">
        <v>11</v>
      </c>
    </row>
    <row r="8" spans="1:7" x14ac:dyDescent="0.35">
      <c r="A8" s="71">
        <v>44873</v>
      </c>
      <c r="B8" s="72">
        <v>960</v>
      </c>
      <c r="C8" s="72" t="s">
        <v>377</v>
      </c>
      <c r="D8" s="72" t="s">
        <v>819</v>
      </c>
      <c r="E8" s="72" t="s">
        <v>819</v>
      </c>
      <c r="F8" s="72" t="s">
        <v>873</v>
      </c>
      <c r="G8" s="82"/>
    </row>
    <row r="9" spans="1:7" x14ac:dyDescent="0.35">
      <c r="A9" s="71">
        <v>44052</v>
      </c>
      <c r="B9" s="72">
        <v>2238</v>
      </c>
      <c r="C9" s="72" t="s">
        <v>32</v>
      </c>
      <c r="D9" s="72" t="s">
        <v>858</v>
      </c>
      <c r="E9" s="72" t="s">
        <v>856</v>
      </c>
      <c r="F9" s="72" t="s">
        <v>874</v>
      </c>
      <c r="G9" s="82"/>
    </row>
    <row r="10" spans="1:7" x14ac:dyDescent="0.35">
      <c r="A10" s="72" t="s">
        <v>818</v>
      </c>
      <c r="B10" s="72">
        <v>2339</v>
      </c>
      <c r="C10" s="72" t="s">
        <v>377</v>
      </c>
      <c r="D10" s="72" t="s">
        <v>860</v>
      </c>
      <c r="E10" s="72" t="s">
        <v>851</v>
      </c>
      <c r="F10" s="72" t="s">
        <v>875</v>
      </c>
      <c r="G10" s="82"/>
    </row>
    <row r="11" spans="1:7" x14ac:dyDescent="0.35">
      <c r="A11" s="72" t="s">
        <v>822</v>
      </c>
      <c r="B11" s="72">
        <v>1145</v>
      </c>
      <c r="C11" s="72" t="s">
        <v>377</v>
      </c>
      <c r="D11" s="72" t="s">
        <v>819</v>
      </c>
      <c r="E11" s="72" t="s">
        <v>848</v>
      </c>
      <c r="F11" s="72" t="s">
        <v>876</v>
      </c>
      <c r="G11" s="82"/>
    </row>
    <row r="12" spans="1:7" x14ac:dyDescent="0.35">
      <c r="A12" s="72" t="s">
        <v>877</v>
      </c>
      <c r="B12" s="72">
        <v>1581</v>
      </c>
      <c r="C12" s="72" t="s">
        <v>377</v>
      </c>
      <c r="D12" s="72" t="s">
        <v>819</v>
      </c>
      <c r="E12" s="72" t="s">
        <v>846</v>
      </c>
      <c r="F12" s="72" t="s">
        <v>878</v>
      </c>
      <c r="G12" s="82"/>
    </row>
    <row r="13" spans="1:7" x14ac:dyDescent="0.35">
      <c r="A13" s="72" t="s">
        <v>879</v>
      </c>
      <c r="B13" s="72">
        <v>909</v>
      </c>
      <c r="C13" s="72" t="s">
        <v>377</v>
      </c>
      <c r="D13" s="72" t="s">
        <v>819</v>
      </c>
      <c r="E13" s="72" t="s">
        <v>829</v>
      </c>
      <c r="F13" s="72" t="s">
        <v>880</v>
      </c>
      <c r="G13" s="82"/>
    </row>
    <row r="14" spans="1:7" x14ac:dyDescent="0.35">
      <c r="A14" s="72" t="s">
        <v>881</v>
      </c>
      <c r="B14" s="72">
        <v>2800</v>
      </c>
      <c r="C14" s="72" t="s">
        <v>377</v>
      </c>
      <c r="D14" s="72" t="s">
        <v>819</v>
      </c>
      <c r="E14" s="72" t="s">
        <v>816</v>
      </c>
      <c r="F14" s="72" t="s">
        <v>882</v>
      </c>
      <c r="G14" s="82"/>
    </row>
    <row r="15" spans="1:7" x14ac:dyDescent="0.35">
      <c r="A15" s="72" t="s">
        <v>883</v>
      </c>
      <c r="B15" s="72">
        <v>3041</v>
      </c>
      <c r="C15" s="72" t="s">
        <v>377</v>
      </c>
      <c r="D15" s="72" t="s">
        <v>819</v>
      </c>
      <c r="E15" s="72" t="s">
        <v>820</v>
      </c>
      <c r="F15" s="72" t="s">
        <v>884</v>
      </c>
      <c r="G15" s="82"/>
    </row>
    <row r="16" spans="1:7" x14ac:dyDescent="0.35">
      <c r="A16" s="72" t="s">
        <v>885</v>
      </c>
      <c r="B16" s="72">
        <v>3700</v>
      </c>
      <c r="C16" s="72" t="s">
        <v>377</v>
      </c>
      <c r="D16" s="72" t="s">
        <v>819</v>
      </c>
      <c r="E16" s="72" t="s">
        <v>823</v>
      </c>
      <c r="F16" s="72" t="s">
        <v>886</v>
      </c>
      <c r="G16" s="82"/>
    </row>
    <row r="17" spans="1:7" x14ac:dyDescent="0.35">
      <c r="A17" s="72" t="s">
        <v>887</v>
      </c>
      <c r="B17" s="72">
        <v>4311</v>
      </c>
      <c r="C17" s="72" t="s">
        <v>377</v>
      </c>
      <c r="D17" s="72" t="s">
        <v>819</v>
      </c>
      <c r="E17" s="72" t="s">
        <v>826</v>
      </c>
      <c r="F17" s="72" t="s">
        <v>888</v>
      </c>
      <c r="G17" s="82"/>
    </row>
    <row r="18" spans="1:7" x14ac:dyDescent="0.35">
      <c r="A18" s="72" t="s">
        <v>843</v>
      </c>
      <c r="B18" s="72">
        <v>4899</v>
      </c>
      <c r="C18" s="72" t="s">
        <v>377</v>
      </c>
      <c r="D18" s="72" t="s">
        <v>819</v>
      </c>
      <c r="E18" s="72" t="s">
        <v>842</v>
      </c>
      <c r="F18" s="72" t="s">
        <v>889</v>
      </c>
      <c r="G18" s="82"/>
    </row>
    <row r="19" spans="1:7" x14ac:dyDescent="0.35">
      <c r="A19" s="71">
        <v>45272</v>
      </c>
      <c r="B19" s="72">
        <v>5493</v>
      </c>
      <c r="C19" s="72" t="s">
        <v>377</v>
      </c>
      <c r="D19" s="72" t="s">
        <v>819</v>
      </c>
      <c r="E19" s="72" t="s">
        <v>840</v>
      </c>
      <c r="F19" s="72" t="s">
        <v>890</v>
      </c>
      <c r="G19" s="82"/>
    </row>
    <row r="20" spans="1:7" x14ac:dyDescent="0.35">
      <c r="A20" s="71">
        <v>45597</v>
      </c>
      <c r="B20" s="72">
        <v>6097</v>
      </c>
      <c r="C20" s="72" t="s">
        <v>377</v>
      </c>
      <c r="D20" s="72" t="s">
        <v>819</v>
      </c>
      <c r="E20" s="72" t="s">
        <v>837</v>
      </c>
      <c r="F20" s="72" t="s">
        <v>891</v>
      </c>
      <c r="G20" s="82"/>
    </row>
    <row r="21" spans="1:7" x14ac:dyDescent="0.35">
      <c r="A21" s="71">
        <v>45567</v>
      </c>
      <c r="B21" s="72">
        <v>6597</v>
      </c>
      <c r="C21" s="72" t="s">
        <v>377</v>
      </c>
      <c r="D21" s="72" t="s">
        <v>819</v>
      </c>
      <c r="E21" s="72" t="s">
        <v>834</v>
      </c>
      <c r="F21" s="72" t="s">
        <v>892</v>
      </c>
      <c r="G21" s="82"/>
    </row>
    <row r="22" spans="1:7" x14ac:dyDescent="0.35">
      <c r="A22" s="71">
        <v>45635</v>
      </c>
      <c r="B22" s="72">
        <v>1372</v>
      </c>
      <c r="C22" s="72" t="s">
        <v>377</v>
      </c>
      <c r="D22" s="72" t="s">
        <v>892</v>
      </c>
      <c r="E22" s="72" t="s">
        <v>893</v>
      </c>
      <c r="F22" s="72" t="s">
        <v>310</v>
      </c>
      <c r="G22" s="83"/>
    </row>
    <row r="23" spans="1:7" ht="18.5" x14ac:dyDescent="0.45">
      <c r="A23" s="81" t="s">
        <v>606</v>
      </c>
      <c r="B23" s="81"/>
    </row>
    <row r="24" spans="1:7" x14ac:dyDescent="0.35">
      <c r="A24" s="78" t="s">
        <v>6</v>
      </c>
      <c r="B24" s="78" t="s">
        <v>7</v>
      </c>
      <c r="C24" s="78" t="s">
        <v>8</v>
      </c>
      <c r="D24" s="78" t="s">
        <v>9</v>
      </c>
      <c r="E24" s="78" t="s">
        <v>10</v>
      </c>
      <c r="F24" s="78" t="s">
        <v>11</v>
      </c>
    </row>
    <row r="25" spans="1:7" x14ac:dyDescent="0.35">
      <c r="A25" s="73">
        <v>45967</v>
      </c>
      <c r="B25" s="74">
        <v>657</v>
      </c>
      <c r="C25" s="74" t="s">
        <v>894</v>
      </c>
      <c r="D25" s="75">
        <v>5000</v>
      </c>
      <c r="E25" s="10">
        <v>5000</v>
      </c>
      <c r="F25" s="76">
        <v>445000</v>
      </c>
    </row>
    <row r="26" spans="1:7" ht="18" customHeight="1" x14ac:dyDescent="0.35">
      <c r="A26" s="77" t="s">
        <v>730</v>
      </c>
      <c r="B26" s="74">
        <v>3968</v>
      </c>
      <c r="C26" s="74" t="s">
        <v>894</v>
      </c>
      <c r="D26" s="75">
        <v>5000</v>
      </c>
      <c r="E26" s="10">
        <f t="shared" ref="E26:E40" si="0">E25+D26</f>
        <v>10000</v>
      </c>
      <c r="F26" s="76">
        <v>440000</v>
      </c>
    </row>
    <row r="27" spans="1:7" x14ac:dyDescent="0.35">
      <c r="A27" s="77" t="s">
        <v>731</v>
      </c>
      <c r="B27" s="74">
        <v>3540</v>
      </c>
      <c r="C27" s="74" t="s">
        <v>894</v>
      </c>
      <c r="D27" s="75">
        <v>5000</v>
      </c>
      <c r="E27" s="10">
        <f t="shared" si="0"/>
        <v>15000</v>
      </c>
      <c r="F27" s="76">
        <v>435000</v>
      </c>
    </row>
    <row r="28" spans="1:7" x14ac:dyDescent="0.35">
      <c r="A28" s="77" t="s">
        <v>144</v>
      </c>
      <c r="B28" s="74">
        <v>3323</v>
      </c>
      <c r="C28" s="74" t="s">
        <v>894</v>
      </c>
      <c r="D28" s="75">
        <v>5000</v>
      </c>
      <c r="E28" s="10">
        <f t="shared" si="0"/>
        <v>20000</v>
      </c>
      <c r="F28" s="76">
        <v>430000</v>
      </c>
    </row>
    <row r="29" spans="1:7" x14ac:dyDescent="0.35">
      <c r="A29" s="77" t="s">
        <v>113</v>
      </c>
      <c r="B29" s="74">
        <v>3803</v>
      </c>
      <c r="C29" s="74" t="s">
        <v>894</v>
      </c>
      <c r="D29" s="75">
        <v>5000</v>
      </c>
      <c r="E29" s="10">
        <f t="shared" si="0"/>
        <v>25000</v>
      </c>
      <c r="F29" s="76">
        <v>425000</v>
      </c>
    </row>
    <row r="30" spans="1:7" x14ac:dyDescent="0.35">
      <c r="A30" s="77" t="s">
        <v>743</v>
      </c>
      <c r="B30" s="74">
        <v>5066</v>
      </c>
      <c r="C30" s="74" t="s">
        <v>894</v>
      </c>
      <c r="D30" s="75">
        <v>5000</v>
      </c>
      <c r="E30" s="10">
        <f t="shared" si="0"/>
        <v>30000</v>
      </c>
      <c r="F30" s="76">
        <v>420000</v>
      </c>
    </row>
    <row r="31" spans="1:7" x14ac:dyDescent="0.35">
      <c r="A31" s="77" t="s">
        <v>733</v>
      </c>
      <c r="B31" s="74">
        <v>5328</v>
      </c>
      <c r="C31" s="74" t="s">
        <v>894</v>
      </c>
      <c r="D31" s="75">
        <v>5000</v>
      </c>
      <c r="E31" s="10">
        <f t="shared" si="0"/>
        <v>35000</v>
      </c>
      <c r="F31" s="76">
        <v>415000</v>
      </c>
    </row>
    <row r="32" spans="1:7" x14ac:dyDescent="0.35">
      <c r="A32" s="77" t="s">
        <v>734</v>
      </c>
      <c r="B32" s="74">
        <v>5507</v>
      </c>
      <c r="C32" s="74" t="s">
        <v>894</v>
      </c>
      <c r="D32" s="75">
        <v>5000</v>
      </c>
      <c r="E32" s="10">
        <f t="shared" si="0"/>
        <v>40000</v>
      </c>
      <c r="F32" s="76">
        <v>410000</v>
      </c>
    </row>
    <row r="33" spans="1:6" x14ac:dyDescent="0.35">
      <c r="A33" s="77" t="s">
        <v>735</v>
      </c>
      <c r="B33" s="74">
        <v>5741</v>
      </c>
      <c r="C33" s="74" t="s">
        <v>894</v>
      </c>
      <c r="D33" s="75">
        <v>5000</v>
      </c>
      <c r="E33" s="10">
        <f t="shared" si="0"/>
        <v>45000</v>
      </c>
      <c r="F33" s="76">
        <v>405000</v>
      </c>
    </row>
    <row r="34" spans="1:6" x14ac:dyDescent="0.35">
      <c r="A34" s="77" t="s">
        <v>736</v>
      </c>
      <c r="B34" s="74">
        <v>5967</v>
      </c>
      <c r="C34" s="74" t="s">
        <v>894</v>
      </c>
      <c r="D34" s="75">
        <v>5000</v>
      </c>
      <c r="E34" s="10">
        <f t="shared" si="0"/>
        <v>50000</v>
      </c>
      <c r="F34" s="76">
        <v>400000</v>
      </c>
    </row>
    <row r="35" spans="1:6" x14ac:dyDescent="0.35">
      <c r="A35" s="77" t="s">
        <v>738</v>
      </c>
      <c r="B35" s="74">
        <v>1522</v>
      </c>
      <c r="C35" s="74" t="s">
        <v>894</v>
      </c>
      <c r="D35" s="75">
        <v>5000</v>
      </c>
      <c r="E35" s="10">
        <f t="shared" si="0"/>
        <v>55000</v>
      </c>
      <c r="F35" s="76">
        <v>395000</v>
      </c>
    </row>
    <row r="36" spans="1:6" x14ac:dyDescent="0.35">
      <c r="A36" s="77" t="s">
        <v>739</v>
      </c>
      <c r="B36" s="74">
        <v>1664</v>
      </c>
      <c r="C36" s="74" t="s">
        <v>894</v>
      </c>
      <c r="D36" s="75">
        <v>5000</v>
      </c>
      <c r="E36" s="10">
        <f t="shared" si="0"/>
        <v>60000</v>
      </c>
      <c r="F36" s="76">
        <v>390000</v>
      </c>
    </row>
    <row r="37" spans="1:6" x14ac:dyDescent="0.35">
      <c r="A37" s="77" t="s">
        <v>740</v>
      </c>
      <c r="B37" s="74">
        <v>1849</v>
      </c>
      <c r="C37" s="74" t="s">
        <v>894</v>
      </c>
      <c r="D37" s="75">
        <v>5000</v>
      </c>
      <c r="E37" s="10">
        <f t="shared" si="0"/>
        <v>65000</v>
      </c>
      <c r="F37" s="76">
        <v>385000</v>
      </c>
    </row>
    <row r="38" spans="1:6" x14ac:dyDescent="0.35">
      <c r="A38" s="77" t="s">
        <v>741</v>
      </c>
      <c r="B38" s="74">
        <v>1932</v>
      </c>
      <c r="C38" s="74" t="s">
        <v>894</v>
      </c>
      <c r="D38" s="75">
        <v>5000</v>
      </c>
      <c r="E38" s="10">
        <f t="shared" si="0"/>
        <v>70000</v>
      </c>
      <c r="F38" s="76">
        <v>380000</v>
      </c>
    </row>
    <row r="39" spans="1:6" x14ac:dyDescent="0.35">
      <c r="A39" s="77" t="s">
        <v>742</v>
      </c>
      <c r="B39" s="74">
        <v>2093</v>
      </c>
      <c r="C39" s="74" t="s">
        <v>894</v>
      </c>
      <c r="D39" s="75">
        <v>5000</v>
      </c>
      <c r="E39" s="10">
        <f t="shared" si="0"/>
        <v>75000</v>
      </c>
      <c r="F39" s="76">
        <v>375000</v>
      </c>
    </row>
    <row r="40" spans="1:6" x14ac:dyDescent="0.35">
      <c r="A40" s="11">
        <v>46244</v>
      </c>
      <c r="B40" s="74">
        <v>2166</v>
      </c>
      <c r="C40" s="74" t="s">
        <v>894</v>
      </c>
      <c r="D40" s="10">
        <v>5000</v>
      </c>
      <c r="E40" s="10">
        <f t="shared" si="0"/>
        <v>80000</v>
      </c>
      <c r="F40" s="10">
        <f>F39-D40</f>
        <v>370000</v>
      </c>
    </row>
    <row r="41" spans="1:6" x14ac:dyDescent="0.35">
      <c r="E41" s="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K12" sqref="K12"/>
    </sheetView>
  </sheetViews>
  <sheetFormatPr defaultRowHeight="14.5" x14ac:dyDescent="0.35"/>
  <cols>
    <col min="1" max="1" width="10.453125" bestFit="1" customWidth="1"/>
    <col min="3" max="3" width="10.90625" customWidth="1"/>
  </cols>
  <sheetData>
    <row r="1" spans="1:6" ht="18.5" x14ac:dyDescent="0.45">
      <c r="A1" s="1" t="s">
        <v>348</v>
      </c>
      <c r="B1" s="1"/>
      <c r="C1" s="1"/>
      <c r="D1" s="1"/>
      <c r="E1" s="1"/>
      <c r="F1" s="1"/>
    </row>
    <row r="2" spans="1:6" ht="18.5" x14ac:dyDescent="0.45">
      <c r="A2" s="1" t="s">
        <v>349</v>
      </c>
      <c r="C2" s="1"/>
      <c r="D2" s="1"/>
      <c r="E2" s="1"/>
      <c r="F2" s="1"/>
    </row>
    <row r="3" spans="1:6" ht="18.5" x14ac:dyDescent="0.45">
      <c r="A3" s="1" t="s">
        <v>350</v>
      </c>
      <c r="B3" s="1"/>
      <c r="C3" s="1"/>
      <c r="D3" s="1"/>
      <c r="E3" s="1"/>
      <c r="F3" s="1"/>
    </row>
    <row r="4" spans="1:6" ht="18.5" x14ac:dyDescent="0.45">
      <c r="A4" s="1" t="s">
        <v>320</v>
      </c>
      <c r="B4" s="1"/>
      <c r="C4" s="1"/>
      <c r="D4" s="1"/>
      <c r="E4" s="1"/>
      <c r="F4" s="1"/>
    </row>
    <row r="5" spans="1:6" ht="18.5" x14ac:dyDescent="0.45">
      <c r="A5" s="1" t="s">
        <v>351</v>
      </c>
      <c r="B5" s="1"/>
      <c r="C5" s="1"/>
      <c r="D5" s="1"/>
      <c r="E5" s="1"/>
      <c r="F5" s="1"/>
    </row>
    <row r="6" spans="1:6" ht="18.5" x14ac:dyDescent="0.45">
      <c r="A6" s="1" t="s">
        <v>352</v>
      </c>
      <c r="B6" s="1"/>
      <c r="C6" s="1"/>
      <c r="D6" s="25" t="s">
        <v>284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t="s">
        <v>236</v>
      </c>
      <c r="B8">
        <v>2493</v>
      </c>
      <c r="C8" t="s">
        <v>57</v>
      </c>
      <c r="D8" s="7">
        <v>100000</v>
      </c>
      <c r="E8" s="7">
        <v>100000</v>
      </c>
      <c r="F8" s="7">
        <v>300000</v>
      </c>
    </row>
    <row r="9" spans="1:6" x14ac:dyDescent="0.35">
      <c r="A9" s="8">
        <v>44144</v>
      </c>
      <c r="B9">
        <v>2994</v>
      </c>
      <c r="C9" t="s">
        <v>355</v>
      </c>
      <c r="D9" s="7">
        <v>112000</v>
      </c>
      <c r="E9" s="7">
        <f>SUM(E8+D9)</f>
        <v>212000</v>
      </c>
      <c r="F9" s="7">
        <f>F8-D9</f>
        <v>188000</v>
      </c>
    </row>
    <row r="10" spans="1:6" x14ac:dyDescent="0.35">
      <c r="A10" t="s">
        <v>237</v>
      </c>
      <c r="B10">
        <v>2495</v>
      </c>
      <c r="C10" t="s">
        <v>356</v>
      </c>
      <c r="D10" s="7">
        <v>10000</v>
      </c>
      <c r="E10" s="7">
        <f t="shared" ref="E10:E27" si="0">SUM(E9+D10)</f>
        <v>222000</v>
      </c>
      <c r="F10" s="7">
        <f t="shared" ref="F10:F27" si="1">F9-D10</f>
        <v>178000</v>
      </c>
    </row>
    <row r="11" spans="1:6" x14ac:dyDescent="0.35">
      <c r="A11" t="s">
        <v>353</v>
      </c>
      <c r="B11">
        <v>1219</v>
      </c>
      <c r="C11" t="s">
        <v>356</v>
      </c>
      <c r="D11" s="7">
        <v>10000</v>
      </c>
      <c r="E11" s="7">
        <f t="shared" si="0"/>
        <v>232000</v>
      </c>
      <c r="F11" s="7">
        <f t="shared" si="1"/>
        <v>168000</v>
      </c>
    </row>
    <row r="12" spans="1:6" x14ac:dyDescent="0.35">
      <c r="A12" s="8">
        <v>45112</v>
      </c>
      <c r="B12">
        <v>1500</v>
      </c>
      <c r="C12" t="s">
        <v>356</v>
      </c>
      <c r="D12" s="7">
        <v>10000</v>
      </c>
      <c r="E12" s="7">
        <f t="shared" si="0"/>
        <v>242000</v>
      </c>
      <c r="F12" s="7">
        <f t="shared" si="1"/>
        <v>158000</v>
      </c>
    </row>
    <row r="13" spans="1:6" x14ac:dyDescent="0.35">
      <c r="A13" t="s">
        <v>127</v>
      </c>
      <c r="B13">
        <v>510</v>
      </c>
      <c r="C13" t="s">
        <v>356</v>
      </c>
      <c r="D13" s="7">
        <v>10000</v>
      </c>
      <c r="E13" s="7">
        <f t="shared" si="0"/>
        <v>252000</v>
      </c>
      <c r="F13" s="7">
        <f t="shared" si="1"/>
        <v>148000</v>
      </c>
    </row>
    <row r="14" spans="1:6" x14ac:dyDescent="0.35">
      <c r="A14" s="8">
        <v>45206</v>
      </c>
      <c r="B14">
        <v>2672</v>
      </c>
      <c r="C14" t="s">
        <v>356</v>
      </c>
      <c r="D14" s="7">
        <v>10000</v>
      </c>
      <c r="E14" s="7">
        <f t="shared" si="0"/>
        <v>262000</v>
      </c>
      <c r="F14" s="7">
        <f t="shared" si="1"/>
        <v>138000</v>
      </c>
    </row>
    <row r="15" spans="1:6" x14ac:dyDescent="0.35">
      <c r="A15" t="s">
        <v>354</v>
      </c>
      <c r="B15">
        <v>2392</v>
      </c>
      <c r="C15" t="s">
        <v>356</v>
      </c>
      <c r="D15" s="7">
        <v>10000</v>
      </c>
      <c r="E15" s="7">
        <f t="shared" si="0"/>
        <v>272000</v>
      </c>
      <c r="F15" s="7">
        <f t="shared" si="1"/>
        <v>128000</v>
      </c>
    </row>
    <row r="16" spans="1:6" x14ac:dyDescent="0.35">
      <c r="A16" s="8">
        <v>45270</v>
      </c>
      <c r="B16">
        <v>4239</v>
      </c>
      <c r="C16" t="s">
        <v>356</v>
      </c>
      <c r="D16" s="7">
        <v>10000</v>
      </c>
      <c r="E16" s="7">
        <f t="shared" si="0"/>
        <v>282000</v>
      </c>
      <c r="F16" s="7">
        <f t="shared" si="1"/>
        <v>118000</v>
      </c>
    </row>
    <row r="17" spans="1:6" x14ac:dyDescent="0.35">
      <c r="A17" s="8">
        <v>45210</v>
      </c>
      <c r="B17">
        <v>4793</v>
      </c>
      <c r="C17" t="s">
        <v>356</v>
      </c>
      <c r="D17" s="7">
        <v>10000</v>
      </c>
      <c r="E17" s="7">
        <f t="shared" si="0"/>
        <v>292000</v>
      </c>
      <c r="F17" s="7">
        <f t="shared" si="1"/>
        <v>108000</v>
      </c>
    </row>
    <row r="18" spans="1:6" x14ac:dyDescent="0.35">
      <c r="A18" s="8">
        <v>45089</v>
      </c>
      <c r="B18">
        <v>5314</v>
      </c>
      <c r="C18" t="s">
        <v>356</v>
      </c>
      <c r="D18" s="7">
        <v>19000</v>
      </c>
      <c r="E18" s="7">
        <f t="shared" si="0"/>
        <v>311000</v>
      </c>
      <c r="F18" s="7">
        <f t="shared" si="1"/>
        <v>89000</v>
      </c>
    </row>
    <row r="19" spans="1:6" x14ac:dyDescent="0.35">
      <c r="A19" s="8">
        <v>45536</v>
      </c>
      <c r="B19">
        <v>6036</v>
      </c>
      <c r="C19" t="s">
        <v>356</v>
      </c>
      <c r="D19" s="7">
        <v>11000</v>
      </c>
      <c r="E19" s="7">
        <f t="shared" si="0"/>
        <v>322000</v>
      </c>
      <c r="F19" s="7">
        <f t="shared" si="1"/>
        <v>78000</v>
      </c>
    </row>
    <row r="20" spans="1:6" x14ac:dyDescent="0.35">
      <c r="A20" s="8">
        <v>45567</v>
      </c>
      <c r="B20">
        <v>7008</v>
      </c>
      <c r="C20" t="s">
        <v>356</v>
      </c>
      <c r="D20" s="7">
        <v>10000</v>
      </c>
      <c r="E20" s="7">
        <f t="shared" si="0"/>
        <v>332000</v>
      </c>
      <c r="F20" s="7">
        <f t="shared" si="1"/>
        <v>68000</v>
      </c>
    </row>
    <row r="21" spans="1:6" x14ac:dyDescent="0.35">
      <c r="A21" s="8">
        <v>45538</v>
      </c>
      <c r="B21">
        <v>6977</v>
      </c>
      <c r="C21" t="s">
        <v>356</v>
      </c>
      <c r="D21" s="7">
        <v>10000</v>
      </c>
      <c r="E21" s="7">
        <f t="shared" si="0"/>
        <v>342000</v>
      </c>
      <c r="F21" s="7">
        <f t="shared" si="1"/>
        <v>58000</v>
      </c>
    </row>
    <row r="22" spans="1:6" x14ac:dyDescent="0.35">
      <c r="A22" t="s">
        <v>357</v>
      </c>
      <c r="B22">
        <v>7820</v>
      </c>
      <c r="C22" t="s">
        <v>356</v>
      </c>
      <c r="D22" s="7">
        <v>10000</v>
      </c>
      <c r="E22" s="7">
        <f t="shared" si="0"/>
        <v>352000</v>
      </c>
      <c r="F22" s="7">
        <f t="shared" si="1"/>
        <v>48000</v>
      </c>
    </row>
    <row r="23" spans="1:6" x14ac:dyDescent="0.35">
      <c r="A23" s="8">
        <v>45327</v>
      </c>
      <c r="B23">
        <v>8317</v>
      </c>
      <c r="C23" t="s">
        <v>356</v>
      </c>
      <c r="D23" s="7">
        <v>10000</v>
      </c>
      <c r="E23" s="7">
        <f t="shared" si="0"/>
        <v>362000</v>
      </c>
      <c r="F23" s="7">
        <f t="shared" si="1"/>
        <v>38000</v>
      </c>
    </row>
    <row r="24" spans="1:6" x14ac:dyDescent="0.35">
      <c r="A24" s="8">
        <v>45510</v>
      </c>
      <c r="B24">
        <v>8895</v>
      </c>
      <c r="C24" t="s">
        <v>356</v>
      </c>
      <c r="D24" s="7">
        <v>10000</v>
      </c>
      <c r="E24" s="7">
        <f t="shared" si="0"/>
        <v>372000</v>
      </c>
      <c r="F24" s="7">
        <f t="shared" si="1"/>
        <v>28000</v>
      </c>
    </row>
    <row r="25" spans="1:6" x14ac:dyDescent="0.35">
      <c r="A25" s="8">
        <v>45542</v>
      </c>
      <c r="B25">
        <v>9455</v>
      </c>
      <c r="C25" t="s">
        <v>356</v>
      </c>
      <c r="D25" s="7">
        <v>10000</v>
      </c>
      <c r="E25" s="7">
        <f t="shared" si="0"/>
        <v>382000</v>
      </c>
      <c r="F25" s="7">
        <f t="shared" si="1"/>
        <v>18000</v>
      </c>
    </row>
    <row r="26" spans="1:6" x14ac:dyDescent="0.35">
      <c r="A26" s="8">
        <v>45634</v>
      </c>
      <c r="C26" t="s">
        <v>356</v>
      </c>
      <c r="D26" s="7">
        <v>10000</v>
      </c>
      <c r="E26" s="7">
        <f t="shared" si="0"/>
        <v>392000</v>
      </c>
      <c r="F26" s="7">
        <f t="shared" si="1"/>
        <v>8000</v>
      </c>
    </row>
    <row r="27" spans="1:6" x14ac:dyDescent="0.35">
      <c r="A27" s="8">
        <v>45605</v>
      </c>
      <c r="B27">
        <v>10694</v>
      </c>
      <c r="C27" t="s">
        <v>356</v>
      </c>
      <c r="D27" s="7">
        <v>8000</v>
      </c>
      <c r="E27" s="7">
        <f t="shared" si="0"/>
        <v>400000</v>
      </c>
      <c r="F27" s="7">
        <f t="shared" si="1"/>
        <v>0</v>
      </c>
    </row>
    <row r="28" spans="1:6" ht="18.5" x14ac:dyDescent="0.45">
      <c r="A28" s="24" t="s">
        <v>220</v>
      </c>
      <c r="B28" s="24"/>
      <c r="C28" s="24"/>
      <c r="D28" s="2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30" workbookViewId="0">
      <selection activeCell="C46" sqref="C46"/>
    </sheetView>
  </sheetViews>
  <sheetFormatPr defaultRowHeight="14.5" x14ac:dyDescent="0.35"/>
  <cols>
    <col min="1" max="1" width="13.26953125" customWidth="1"/>
    <col min="3" max="3" width="11.08984375" customWidth="1"/>
    <col min="4" max="4" width="10.08984375" customWidth="1"/>
    <col min="6" max="6" width="10.7265625" customWidth="1"/>
  </cols>
  <sheetData>
    <row r="1" spans="1:7" ht="18.5" x14ac:dyDescent="0.45">
      <c r="A1" s="1" t="s">
        <v>366</v>
      </c>
      <c r="B1" s="1"/>
      <c r="C1" s="1"/>
      <c r="D1" s="1"/>
      <c r="E1" s="1"/>
      <c r="F1" s="1"/>
    </row>
    <row r="2" spans="1:7" ht="18.5" x14ac:dyDescent="0.45">
      <c r="A2" s="1" t="s">
        <v>367</v>
      </c>
      <c r="C2" s="1"/>
      <c r="D2" s="1"/>
      <c r="E2" s="1"/>
      <c r="F2" s="1"/>
    </row>
    <row r="3" spans="1:7" ht="18.5" x14ac:dyDescent="0.45">
      <c r="A3" s="1" t="s">
        <v>368</v>
      </c>
      <c r="B3" s="1"/>
      <c r="C3" s="1"/>
      <c r="D3" s="1"/>
      <c r="E3" s="1"/>
      <c r="F3" s="1"/>
    </row>
    <row r="4" spans="1:7" ht="18.5" x14ac:dyDescent="0.45">
      <c r="A4" s="1" t="s">
        <v>388</v>
      </c>
      <c r="B4" s="1"/>
      <c r="C4" s="1"/>
      <c r="D4" s="1"/>
      <c r="E4" s="1"/>
      <c r="F4" s="1"/>
    </row>
    <row r="5" spans="1:7" ht="18.5" x14ac:dyDescent="0.45">
      <c r="A5" s="1" t="s">
        <v>369</v>
      </c>
      <c r="B5" s="1"/>
      <c r="C5" s="1"/>
      <c r="D5" s="1"/>
      <c r="E5" s="1"/>
      <c r="F5" s="1"/>
    </row>
    <row r="6" spans="1:7" ht="18.5" x14ac:dyDescent="0.45">
      <c r="A6" s="1" t="s">
        <v>370</v>
      </c>
      <c r="B6" s="1"/>
      <c r="C6" s="1"/>
      <c r="D6" s="1" t="s">
        <v>152</v>
      </c>
      <c r="E6" s="1"/>
      <c r="F6" s="1"/>
    </row>
    <row r="7" spans="1:7" x14ac:dyDescent="0.35">
      <c r="A7" s="12" t="s">
        <v>6</v>
      </c>
      <c r="B7" s="13" t="s">
        <v>7</v>
      </c>
      <c r="C7" s="13" t="s">
        <v>8</v>
      </c>
      <c r="D7" s="13" t="s">
        <v>9</v>
      </c>
      <c r="E7" s="13" t="s">
        <v>10</v>
      </c>
      <c r="F7" s="13" t="s">
        <v>11</v>
      </c>
      <c r="G7" s="13"/>
    </row>
    <row r="8" spans="1:7" x14ac:dyDescent="0.35">
      <c r="A8" s="13" t="s">
        <v>371</v>
      </c>
      <c r="B8" s="13">
        <v>1257</v>
      </c>
      <c r="C8" s="13" t="s">
        <v>377</v>
      </c>
      <c r="D8" s="15">
        <v>10000</v>
      </c>
      <c r="E8" s="15">
        <v>10000</v>
      </c>
      <c r="F8" s="15">
        <v>300000</v>
      </c>
      <c r="G8" s="13"/>
    </row>
    <row r="9" spans="1:7" x14ac:dyDescent="0.35">
      <c r="A9" s="13" t="s">
        <v>23</v>
      </c>
      <c r="B9" s="13">
        <v>1305</v>
      </c>
      <c r="C9" s="13" t="s">
        <v>377</v>
      </c>
      <c r="D9" s="15">
        <v>10000</v>
      </c>
      <c r="E9" s="15">
        <f t="shared" ref="E9:E33" si="0">E8+D9</f>
        <v>20000</v>
      </c>
      <c r="F9" s="15">
        <f t="shared" ref="F9:F32" si="1">F8-D9</f>
        <v>290000</v>
      </c>
      <c r="G9" s="13"/>
    </row>
    <row r="10" spans="1:7" x14ac:dyDescent="0.35">
      <c r="A10" s="13" t="s">
        <v>30</v>
      </c>
      <c r="B10" s="13">
        <v>93</v>
      </c>
      <c r="C10" s="13" t="s">
        <v>378</v>
      </c>
      <c r="D10" s="15">
        <v>30000</v>
      </c>
      <c r="E10" s="15">
        <f t="shared" si="0"/>
        <v>50000</v>
      </c>
      <c r="F10" s="15">
        <f t="shared" si="1"/>
        <v>260000</v>
      </c>
      <c r="G10" s="13"/>
    </row>
    <row r="11" spans="1:7" x14ac:dyDescent="0.35">
      <c r="A11" s="13" t="s">
        <v>250</v>
      </c>
      <c r="B11" s="13">
        <v>94</v>
      </c>
      <c r="C11" s="13" t="s">
        <v>377</v>
      </c>
      <c r="D11" s="15">
        <v>20000</v>
      </c>
      <c r="E11" s="15">
        <f t="shared" si="0"/>
        <v>70000</v>
      </c>
      <c r="F11" s="15">
        <f t="shared" si="1"/>
        <v>240000</v>
      </c>
      <c r="G11" s="13"/>
    </row>
    <row r="12" spans="1:7" x14ac:dyDescent="0.35">
      <c r="A12" s="13" t="s">
        <v>604</v>
      </c>
      <c r="B12" s="13">
        <v>518</v>
      </c>
      <c r="C12" s="13" t="s">
        <v>377</v>
      </c>
      <c r="D12" s="15">
        <v>10000</v>
      </c>
      <c r="E12" s="15">
        <f t="shared" si="0"/>
        <v>80000</v>
      </c>
      <c r="F12" s="15">
        <f t="shared" si="1"/>
        <v>230000</v>
      </c>
      <c r="G12" s="13"/>
    </row>
    <row r="13" spans="1:7" x14ac:dyDescent="0.35">
      <c r="A13" s="14" t="s">
        <v>372</v>
      </c>
      <c r="B13" s="13">
        <v>617</v>
      </c>
      <c r="C13" s="13" t="s">
        <v>377</v>
      </c>
      <c r="D13" s="15">
        <v>10000</v>
      </c>
      <c r="E13" s="15">
        <f t="shared" si="0"/>
        <v>90000</v>
      </c>
      <c r="F13" s="15">
        <f t="shared" si="1"/>
        <v>220000</v>
      </c>
      <c r="G13" s="13"/>
    </row>
    <row r="14" spans="1:7" x14ac:dyDescent="0.35">
      <c r="A14" s="13" t="s">
        <v>373</v>
      </c>
      <c r="B14" s="13">
        <v>2939</v>
      </c>
      <c r="C14" s="13" t="s">
        <v>377</v>
      </c>
      <c r="D14" s="15">
        <v>15000</v>
      </c>
      <c r="E14" s="15">
        <f t="shared" si="0"/>
        <v>105000</v>
      </c>
      <c r="F14" s="15">
        <f t="shared" si="1"/>
        <v>205000</v>
      </c>
      <c r="G14" s="13"/>
    </row>
    <row r="15" spans="1:7" x14ac:dyDescent="0.35">
      <c r="A15" s="13" t="s">
        <v>327</v>
      </c>
      <c r="B15" s="13">
        <v>3893</v>
      </c>
      <c r="C15" s="13" t="s">
        <v>377</v>
      </c>
      <c r="D15" s="15">
        <v>10000</v>
      </c>
      <c r="E15" s="15">
        <f t="shared" si="0"/>
        <v>115000</v>
      </c>
      <c r="F15" s="15">
        <f t="shared" si="1"/>
        <v>195000</v>
      </c>
      <c r="G15" s="13"/>
    </row>
    <row r="16" spans="1:7" x14ac:dyDescent="0.35">
      <c r="A16" s="13" t="s">
        <v>374</v>
      </c>
      <c r="B16" s="13">
        <v>4501</v>
      </c>
      <c r="C16" s="13" t="s">
        <v>377</v>
      </c>
      <c r="D16" s="15">
        <v>10000</v>
      </c>
      <c r="E16" s="15">
        <f t="shared" si="0"/>
        <v>125000</v>
      </c>
      <c r="F16" s="15">
        <f t="shared" si="1"/>
        <v>185000</v>
      </c>
      <c r="G16" s="13"/>
    </row>
    <row r="17" spans="1:7" x14ac:dyDescent="0.35">
      <c r="A17" s="13" t="s">
        <v>100</v>
      </c>
      <c r="B17" s="13">
        <v>5182</v>
      </c>
      <c r="C17" s="13" t="s">
        <v>377</v>
      </c>
      <c r="D17" s="15">
        <v>10000</v>
      </c>
      <c r="E17" s="15">
        <f t="shared" si="0"/>
        <v>135000</v>
      </c>
      <c r="F17" s="15">
        <f t="shared" si="1"/>
        <v>175000</v>
      </c>
      <c r="G17" s="13"/>
    </row>
    <row r="18" spans="1:7" x14ac:dyDescent="0.35">
      <c r="A18" s="13" t="s">
        <v>375</v>
      </c>
      <c r="B18" s="13">
        <v>5120</v>
      </c>
      <c r="C18" s="13" t="s">
        <v>377</v>
      </c>
      <c r="D18" s="15">
        <v>10000</v>
      </c>
      <c r="E18" s="15">
        <f t="shared" si="0"/>
        <v>145000</v>
      </c>
      <c r="F18" s="15">
        <f t="shared" si="1"/>
        <v>165000</v>
      </c>
      <c r="G18" s="13"/>
    </row>
    <row r="19" spans="1:7" x14ac:dyDescent="0.35">
      <c r="A19" s="13" t="s">
        <v>376</v>
      </c>
      <c r="B19" s="13">
        <v>6422</v>
      </c>
      <c r="C19" s="13" t="s">
        <v>377</v>
      </c>
      <c r="D19" s="15">
        <v>10000</v>
      </c>
      <c r="E19" s="15">
        <f t="shared" si="0"/>
        <v>155000</v>
      </c>
      <c r="F19" s="15">
        <f t="shared" si="1"/>
        <v>155000</v>
      </c>
      <c r="G19" s="13"/>
    </row>
    <row r="20" spans="1:7" x14ac:dyDescent="0.35">
      <c r="A20" s="13" t="s">
        <v>346</v>
      </c>
      <c r="B20" s="13">
        <v>6810</v>
      </c>
      <c r="C20" s="13" t="s">
        <v>377</v>
      </c>
      <c r="D20" s="15">
        <v>10000</v>
      </c>
      <c r="E20" s="15">
        <f t="shared" si="0"/>
        <v>165000</v>
      </c>
      <c r="F20" s="15">
        <f t="shared" si="1"/>
        <v>145000</v>
      </c>
      <c r="G20" s="13"/>
    </row>
    <row r="21" spans="1:7" x14ac:dyDescent="0.35">
      <c r="A21" s="13" t="s">
        <v>86</v>
      </c>
      <c r="B21" s="13">
        <v>7575</v>
      </c>
      <c r="C21" s="13" t="s">
        <v>377</v>
      </c>
      <c r="D21" s="15">
        <v>10000</v>
      </c>
      <c r="E21" s="15">
        <f t="shared" si="0"/>
        <v>175000</v>
      </c>
      <c r="F21" s="15">
        <f t="shared" si="1"/>
        <v>135000</v>
      </c>
      <c r="G21" s="13"/>
    </row>
    <row r="22" spans="1:7" x14ac:dyDescent="0.35">
      <c r="A22" s="13" t="s">
        <v>379</v>
      </c>
      <c r="B22" s="13">
        <v>8117</v>
      </c>
      <c r="C22" s="13" t="s">
        <v>377</v>
      </c>
      <c r="D22" s="15">
        <v>10000</v>
      </c>
      <c r="E22" s="15">
        <f t="shared" si="0"/>
        <v>185000</v>
      </c>
      <c r="F22" s="15">
        <f t="shared" si="1"/>
        <v>125000</v>
      </c>
      <c r="G22" s="13"/>
    </row>
    <row r="23" spans="1:7" x14ac:dyDescent="0.35">
      <c r="A23" s="13" t="s">
        <v>380</v>
      </c>
      <c r="B23" s="13">
        <v>9335</v>
      </c>
      <c r="C23" s="13" t="s">
        <v>377</v>
      </c>
      <c r="D23" s="15">
        <v>10000</v>
      </c>
      <c r="E23" s="15">
        <f t="shared" si="0"/>
        <v>195000</v>
      </c>
      <c r="F23" s="15">
        <f t="shared" si="1"/>
        <v>115000</v>
      </c>
      <c r="G23" s="13"/>
    </row>
    <row r="24" spans="1:7" x14ac:dyDescent="0.35">
      <c r="A24" s="13" t="s">
        <v>381</v>
      </c>
      <c r="B24" s="13">
        <v>10418</v>
      </c>
      <c r="C24" s="13" t="s">
        <v>377</v>
      </c>
      <c r="D24" s="15">
        <v>10000</v>
      </c>
      <c r="E24" s="15">
        <f t="shared" si="0"/>
        <v>205000</v>
      </c>
      <c r="F24" s="15">
        <f t="shared" si="1"/>
        <v>105000</v>
      </c>
      <c r="G24" s="13"/>
    </row>
    <row r="25" spans="1:7" x14ac:dyDescent="0.35">
      <c r="A25" s="13" t="s">
        <v>382</v>
      </c>
      <c r="B25" s="13">
        <v>10137</v>
      </c>
      <c r="C25" s="13" t="s">
        <v>377</v>
      </c>
      <c r="D25" s="15">
        <v>10000</v>
      </c>
      <c r="E25" s="15">
        <f t="shared" si="0"/>
        <v>215000</v>
      </c>
      <c r="F25" s="15">
        <f t="shared" si="1"/>
        <v>95000</v>
      </c>
      <c r="G25" s="13"/>
    </row>
    <row r="26" spans="1:7" x14ac:dyDescent="0.35">
      <c r="A26" s="13" t="s">
        <v>163</v>
      </c>
      <c r="B26" s="13">
        <v>11502</v>
      </c>
      <c r="C26" s="13" t="s">
        <v>377</v>
      </c>
      <c r="D26" s="15">
        <v>10000</v>
      </c>
      <c r="E26" s="15">
        <f t="shared" si="0"/>
        <v>225000</v>
      </c>
      <c r="F26" s="15">
        <f t="shared" si="1"/>
        <v>85000</v>
      </c>
      <c r="G26" s="13"/>
    </row>
    <row r="27" spans="1:7" x14ac:dyDescent="0.35">
      <c r="A27" s="13" t="s">
        <v>383</v>
      </c>
      <c r="B27" s="13">
        <v>12780</v>
      </c>
      <c r="C27" s="13" t="s">
        <v>377</v>
      </c>
      <c r="D27" s="15">
        <v>10000</v>
      </c>
      <c r="E27" s="15">
        <f t="shared" si="0"/>
        <v>235000</v>
      </c>
      <c r="F27" s="15">
        <f t="shared" si="1"/>
        <v>75000</v>
      </c>
      <c r="G27" s="13"/>
    </row>
    <row r="28" spans="1:7" x14ac:dyDescent="0.35">
      <c r="A28" s="13" t="s">
        <v>384</v>
      </c>
      <c r="B28" s="13">
        <v>3167</v>
      </c>
      <c r="C28" s="13" t="s">
        <v>377</v>
      </c>
      <c r="D28" s="15">
        <v>10000</v>
      </c>
      <c r="E28" s="15">
        <f t="shared" si="0"/>
        <v>245000</v>
      </c>
      <c r="F28" s="15">
        <f t="shared" si="1"/>
        <v>65000</v>
      </c>
      <c r="G28" s="13"/>
    </row>
    <row r="29" spans="1:7" x14ac:dyDescent="0.35">
      <c r="A29" s="13" t="s">
        <v>385</v>
      </c>
      <c r="B29" s="13">
        <v>9566</v>
      </c>
      <c r="C29" s="13" t="s">
        <v>377</v>
      </c>
      <c r="D29" s="15">
        <v>17000</v>
      </c>
      <c r="E29" s="15">
        <f t="shared" si="0"/>
        <v>262000</v>
      </c>
      <c r="F29" s="15">
        <f t="shared" si="1"/>
        <v>48000</v>
      </c>
      <c r="G29" s="13"/>
    </row>
    <row r="30" spans="1:7" x14ac:dyDescent="0.35">
      <c r="A30" s="13" t="s">
        <v>386</v>
      </c>
      <c r="B30" s="13">
        <v>9910</v>
      </c>
      <c r="C30" s="13" t="s">
        <v>377</v>
      </c>
      <c r="D30" s="15">
        <v>10000</v>
      </c>
      <c r="E30" s="15">
        <f t="shared" si="0"/>
        <v>272000</v>
      </c>
      <c r="F30" s="15">
        <f t="shared" si="1"/>
        <v>38000</v>
      </c>
      <c r="G30" s="13"/>
    </row>
    <row r="31" spans="1:7" x14ac:dyDescent="0.35">
      <c r="A31" s="13" t="s">
        <v>605</v>
      </c>
      <c r="B31" s="13">
        <v>13610</v>
      </c>
      <c r="C31" s="13" t="s">
        <v>377</v>
      </c>
      <c r="D31" s="15">
        <v>20000</v>
      </c>
      <c r="E31" s="15">
        <f t="shared" si="0"/>
        <v>292000</v>
      </c>
      <c r="F31" s="15">
        <f t="shared" si="1"/>
        <v>18000</v>
      </c>
      <c r="G31" s="13"/>
    </row>
    <row r="32" spans="1:7" x14ac:dyDescent="0.35">
      <c r="A32" s="13" t="s">
        <v>387</v>
      </c>
      <c r="B32" s="13">
        <v>12274</v>
      </c>
      <c r="C32" s="13" t="s">
        <v>377</v>
      </c>
      <c r="D32" s="15">
        <v>10000</v>
      </c>
      <c r="E32" s="15">
        <f t="shared" si="0"/>
        <v>302000</v>
      </c>
      <c r="F32" s="15">
        <f t="shared" si="1"/>
        <v>8000</v>
      </c>
      <c r="G32" s="13"/>
    </row>
    <row r="33" spans="1:7" x14ac:dyDescent="0.35">
      <c r="A33" s="14">
        <v>45669</v>
      </c>
      <c r="B33" s="13">
        <v>13255</v>
      </c>
      <c r="C33" s="13" t="s">
        <v>377</v>
      </c>
      <c r="D33" s="15">
        <v>10000</v>
      </c>
      <c r="E33" s="15">
        <f t="shared" si="0"/>
        <v>312000</v>
      </c>
      <c r="F33" s="15">
        <f t="shared" ref="F33" si="2">F32-D33</f>
        <v>-2000</v>
      </c>
      <c r="G33" s="13"/>
    </row>
    <row r="34" spans="1:7" x14ac:dyDescent="0.35">
      <c r="E34" s="7"/>
    </row>
    <row r="36" spans="1:7" ht="18.5" x14ac:dyDescent="0.45">
      <c r="A36" s="1" t="s">
        <v>606</v>
      </c>
    </row>
    <row r="37" spans="1:7" x14ac:dyDescent="0.35">
      <c r="A37" s="12" t="s">
        <v>6</v>
      </c>
      <c r="B37" s="13" t="s">
        <v>7</v>
      </c>
      <c r="C37" s="13" t="s">
        <v>8</v>
      </c>
      <c r="D37" s="13" t="s">
        <v>9</v>
      </c>
      <c r="E37" s="13" t="s">
        <v>10</v>
      </c>
      <c r="F37" s="13" t="s">
        <v>11</v>
      </c>
      <c r="G37" s="13"/>
    </row>
    <row r="38" spans="1:7" x14ac:dyDescent="0.35">
      <c r="A38" s="8">
        <v>45669</v>
      </c>
      <c r="B38">
        <v>5007</v>
      </c>
      <c r="D38" s="7">
        <v>10000</v>
      </c>
      <c r="E38" s="7">
        <v>10000</v>
      </c>
      <c r="F38" s="7">
        <v>440000</v>
      </c>
    </row>
    <row r="39" spans="1:7" x14ac:dyDescent="0.35">
      <c r="A39" s="8">
        <v>46114</v>
      </c>
      <c r="B39">
        <v>5431</v>
      </c>
      <c r="D39">
        <v>5000</v>
      </c>
      <c r="E39" s="7">
        <f>E38+D39</f>
        <v>15000</v>
      </c>
      <c r="F39" s="7">
        <f>F38-D39</f>
        <v>435000</v>
      </c>
    </row>
    <row r="40" spans="1:7" x14ac:dyDescent="0.35">
      <c r="A40" s="8">
        <v>46086</v>
      </c>
      <c r="B40">
        <v>1369</v>
      </c>
      <c r="D40">
        <v>15000</v>
      </c>
      <c r="E40" s="7">
        <f>E39+D40</f>
        <v>30000</v>
      </c>
      <c r="F40" s="7">
        <f>F39-D40</f>
        <v>420000</v>
      </c>
    </row>
    <row r="41" spans="1:7" x14ac:dyDescent="0.35">
      <c r="A41" t="s">
        <v>607</v>
      </c>
      <c r="B41">
        <v>1669</v>
      </c>
      <c r="D41" s="7">
        <v>10000</v>
      </c>
      <c r="E41" s="7">
        <f>E40+D41</f>
        <v>40000</v>
      </c>
      <c r="F41" s="7">
        <f>F40-D41</f>
        <v>410000</v>
      </c>
    </row>
    <row r="42" spans="1:7" x14ac:dyDescent="0.35">
      <c r="A42" t="s">
        <v>608</v>
      </c>
      <c r="B42">
        <v>1876</v>
      </c>
      <c r="D42" s="7">
        <v>10000</v>
      </c>
      <c r="E42" s="7">
        <f>E41+D42</f>
        <v>50000</v>
      </c>
      <c r="F42" s="7">
        <f>F41-D42</f>
        <v>400000</v>
      </c>
    </row>
    <row r="43" spans="1:7" x14ac:dyDescent="0.35">
      <c r="A43" t="s">
        <v>609</v>
      </c>
      <c r="B43">
        <v>1953</v>
      </c>
      <c r="D43" s="7">
        <v>125000</v>
      </c>
      <c r="E43" s="7">
        <f>E42+D43</f>
        <v>175000</v>
      </c>
      <c r="F43" s="7" t="s">
        <v>310</v>
      </c>
    </row>
    <row r="45" spans="1:7" x14ac:dyDescent="0.35">
      <c r="C45" t="s">
        <v>610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32"/>
  <sheetViews>
    <sheetView workbookViewId="0">
      <selection activeCell="K6" sqref="K6"/>
    </sheetView>
  </sheetViews>
  <sheetFormatPr defaultRowHeight="14.5" x14ac:dyDescent="0.35"/>
  <cols>
    <col min="1" max="1" width="10.453125" bestFit="1" customWidth="1"/>
    <col min="3" max="3" width="12.26953125" customWidth="1"/>
    <col min="6" max="6" width="9.90625" customWidth="1"/>
  </cols>
  <sheetData>
    <row r="1" spans="1:12" ht="18.5" x14ac:dyDescent="0.45">
      <c r="A1" s="1" t="s">
        <v>287</v>
      </c>
      <c r="B1" s="1"/>
      <c r="C1" s="1"/>
      <c r="D1" s="1"/>
      <c r="E1" s="1"/>
      <c r="F1" s="1"/>
    </row>
    <row r="2" spans="1:12" ht="18.5" x14ac:dyDescent="0.45">
      <c r="A2" s="1" t="s">
        <v>288</v>
      </c>
      <c r="C2" s="1"/>
      <c r="D2" s="1"/>
      <c r="E2" s="1"/>
      <c r="F2" s="1"/>
    </row>
    <row r="3" spans="1:12" ht="18.5" x14ac:dyDescent="0.45">
      <c r="A3" s="1" t="s">
        <v>289</v>
      </c>
      <c r="B3" s="1"/>
      <c r="C3" s="1"/>
      <c r="D3" s="1"/>
      <c r="E3" s="1"/>
      <c r="F3" s="1"/>
    </row>
    <row r="4" spans="1:12" ht="18.5" x14ac:dyDescent="0.45">
      <c r="A4" s="1" t="s">
        <v>292</v>
      </c>
      <c r="B4" s="1"/>
      <c r="C4" s="1"/>
      <c r="D4" s="1"/>
      <c r="E4" s="1"/>
      <c r="F4" s="1"/>
    </row>
    <row r="5" spans="1:12" ht="18.5" x14ac:dyDescent="0.45">
      <c r="A5" s="1" t="s">
        <v>290</v>
      </c>
      <c r="B5" s="1"/>
      <c r="C5" s="1"/>
      <c r="D5" s="1"/>
      <c r="E5" s="1"/>
      <c r="F5" s="1"/>
    </row>
    <row r="6" spans="1:12" ht="18.5" x14ac:dyDescent="0.45">
      <c r="A6" s="1" t="s">
        <v>291</v>
      </c>
      <c r="B6" s="1"/>
      <c r="C6" s="1"/>
      <c r="D6" s="25" t="s">
        <v>284</v>
      </c>
      <c r="E6" s="1"/>
      <c r="F6" s="1"/>
    </row>
    <row r="7" spans="1:12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12" x14ac:dyDescent="0.35">
      <c r="A8" s="8">
        <v>44047</v>
      </c>
      <c r="B8">
        <v>2643</v>
      </c>
      <c r="C8" t="s">
        <v>32</v>
      </c>
      <c r="D8" s="7">
        <v>197500</v>
      </c>
      <c r="E8" s="7">
        <v>197500</v>
      </c>
      <c r="F8" s="7">
        <v>202500</v>
      </c>
    </row>
    <row r="9" spans="1:12" x14ac:dyDescent="0.35">
      <c r="A9" s="8">
        <v>45019</v>
      </c>
      <c r="B9">
        <v>2619</v>
      </c>
      <c r="C9" t="s">
        <v>300</v>
      </c>
      <c r="D9" s="7">
        <v>10000</v>
      </c>
      <c r="E9" s="7">
        <f>SUM(E8+D9)</f>
        <v>207500</v>
      </c>
      <c r="F9" s="7">
        <f>F8-D9</f>
        <v>192500</v>
      </c>
    </row>
    <row r="10" spans="1:12" x14ac:dyDescent="0.35">
      <c r="A10" t="s">
        <v>293</v>
      </c>
      <c r="B10">
        <v>1293</v>
      </c>
      <c r="C10" t="s">
        <v>59</v>
      </c>
      <c r="D10" s="7">
        <v>5000</v>
      </c>
      <c r="E10" s="7">
        <f t="shared" ref="E10:E30" si="0">SUM(E9+D10)</f>
        <v>212500</v>
      </c>
      <c r="F10" s="7">
        <f t="shared" ref="F10:F30" si="1">F9-D10</f>
        <v>187500</v>
      </c>
    </row>
    <row r="11" spans="1:12" x14ac:dyDescent="0.35">
      <c r="A11" t="s">
        <v>201</v>
      </c>
      <c r="B11">
        <v>1563</v>
      </c>
      <c r="C11" t="s">
        <v>59</v>
      </c>
      <c r="D11" s="7">
        <v>15000</v>
      </c>
      <c r="E11" s="7">
        <f t="shared" si="0"/>
        <v>227500</v>
      </c>
      <c r="F11" s="7">
        <f t="shared" si="1"/>
        <v>172500</v>
      </c>
    </row>
    <row r="12" spans="1:12" x14ac:dyDescent="0.35">
      <c r="A12" t="s">
        <v>294</v>
      </c>
      <c r="B12">
        <v>991</v>
      </c>
      <c r="C12" t="s">
        <v>59</v>
      </c>
      <c r="D12" s="7">
        <v>10000</v>
      </c>
      <c r="E12" s="7">
        <f t="shared" si="0"/>
        <v>237500</v>
      </c>
      <c r="F12" s="7">
        <f t="shared" si="1"/>
        <v>162500</v>
      </c>
    </row>
    <row r="13" spans="1:12" x14ac:dyDescent="0.35">
      <c r="A13" t="s">
        <v>295</v>
      </c>
      <c r="B13">
        <v>2927</v>
      </c>
      <c r="C13" t="s">
        <v>59</v>
      </c>
      <c r="D13" s="7">
        <v>10000</v>
      </c>
      <c r="E13" s="7">
        <f t="shared" si="0"/>
        <v>247500</v>
      </c>
      <c r="F13" s="7">
        <f t="shared" si="1"/>
        <v>152500</v>
      </c>
    </row>
    <row r="14" spans="1:12" x14ac:dyDescent="0.35">
      <c r="A14" t="s">
        <v>296</v>
      </c>
      <c r="B14">
        <v>3319</v>
      </c>
      <c r="C14" t="s">
        <v>59</v>
      </c>
      <c r="D14" s="7">
        <v>10000</v>
      </c>
      <c r="E14" s="7">
        <f t="shared" si="0"/>
        <v>257500</v>
      </c>
      <c r="F14" s="7">
        <f t="shared" si="1"/>
        <v>142500</v>
      </c>
      <c r="L14" t="s">
        <v>311</v>
      </c>
    </row>
    <row r="15" spans="1:12" x14ac:dyDescent="0.35">
      <c r="A15" t="s">
        <v>297</v>
      </c>
      <c r="B15">
        <v>3943</v>
      </c>
      <c r="C15" t="s">
        <v>59</v>
      </c>
      <c r="D15" s="7">
        <v>10000</v>
      </c>
      <c r="E15" s="7">
        <f t="shared" si="0"/>
        <v>267500</v>
      </c>
      <c r="F15" s="7">
        <f t="shared" si="1"/>
        <v>132500</v>
      </c>
    </row>
    <row r="16" spans="1:12" x14ac:dyDescent="0.35">
      <c r="A16" t="s">
        <v>298</v>
      </c>
      <c r="B16">
        <v>4261</v>
      </c>
      <c r="C16" t="s">
        <v>59</v>
      </c>
      <c r="D16" s="7">
        <v>10000</v>
      </c>
      <c r="E16" s="7">
        <f t="shared" si="0"/>
        <v>277500</v>
      </c>
      <c r="F16" s="7">
        <f t="shared" si="1"/>
        <v>122500</v>
      </c>
    </row>
    <row r="17" spans="1:7" x14ac:dyDescent="0.35">
      <c r="A17" t="s">
        <v>299</v>
      </c>
      <c r="B17">
        <v>4924</v>
      </c>
      <c r="C17" t="s">
        <v>59</v>
      </c>
      <c r="D17" s="7">
        <v>10000</v>
      </c>
      <c r="E17" s="7">
        <f t="shared" si="0"/>
        <v>287500</v>
      </c>
      <c r="F17" s="7">
        <f t="shared" si="1"/>
        <v>112500</v>
      </c>
    </row>
    <row r="18" spans="1:7" x14ac:dyDescent="0.35">
      <c r="A18" s="8">
        <v>45242</v>
      </c>
      <c r="B18">
        <v>5483</v>
      </c>
      <c r="C18" t="s">
        <v>59</v>
      </c>
      <c r="D18" s="7">
        <v>10000</v>
      </c>
      <c r="E18" s="7">
        <f t="shared" si="0"/>
        <v>297500</v>
      </c>
      <c r="F18" s="7">
        <f t="shared" si="1"/>
        <v>102500</v>
      </c>
    </row>
    <row r="19" spans="1:7" x14ac:dyDescent="0.35">
      <c r="A19" t="s">
        <v>102</v>
      </c>
      <c r="B19">
        <v>6162</v>
      </c>
      <c r="C19" t="s">
        <v>59</v>
      </c>
      <c r="D19" s="7">
        <v>10000</v>
      </c>
      <c r="E19" s="7">
        <f t="shared" si="0"/>
        <v>307500</v>
      </c>
      <c r="F19" s="7">
        <f t="shared" si="1"/>
        <v>92500</v>
      </c>
    </row>
    <row r="20" spans="1:7" x14ac:dyDescent="0.35">
      <c r="A20" t="s">
        <v>161</v>
      </c>
      <c r="B20">
        <v>6645</v>
      </c>
      <c r="C20" t="s">
        <v>59</v>
      </c>
      <c r="D20" s="7">
        <v>10000</v>
      </c>
      <c r="E20" s="7">
        <f t="shared" si="0"/>
        <v>317500</v>
      </c>
      <c r="F20" s="7">
        <f t="shared" si="1"/>
        <v>82500</v>
      </c>
    </row>
    <row r="21" spans="1:7" x14ac:dyDescent="0.35">
      <c r="A21" t="s">
        <v>35</v>
      </c>
      <c r="B21">
        <v>7403</v>
      </c>
      <c r="C21" t="s">
        <v>59</v>
      </c>
      <c r="D21" s="7">
        <v>10500</v>
      </c>
      <c r="E21" s="7">
        <f t="shared" si="0"/>
        <v>328000</v>
      </c>
      <c r="F21" s="7">
        <f t="shared" si="1"/>
        <v>72000</v>
      </c>
    </row>
    <row r="22" spans="1:7" x14ac:dyDescent="0.35">
      <c r="A22" t="s">
        <v>36</v>
      </c>
      <c r="B22">
        <v>7902</v>
      </c>
      <c r="C22" t="s">
        <v>59</v>
      </c>
      <c r="D22" s="7">
        <v>10000</v>
      </c>
      <c r="E22" s="7">
        <f t="shared" si="0"/>
        <v>338000</v>
      </c>
      <c r="F22" s="7">
        <f t="shared" si="1"/>
        <v>62000</v>
      </c>
    </row>
    <row r="23" spans="1:7" x14ac:dyDescent="0.35">
      <c r="A23" t="s">
        <v>301</v>
      </c>
      <c r="B23">
        <v>8548</v>
      </c>
      <c r="C23" t="s">
        <v>59</v>
      </c>
      <c r="D23" s="7">
        <v>10000</v>
      </c>
      <c r="E23" s="7">
        <f t="shared" si="0"/>
        <v>348000</v>
      </c>
      <c r="F23" s="7">
        <f t="shared" si="1"/>
        <v>52000</v>
      </c>
    </row>
    <row r="24" spans="1:7" x14ac:dyDescent="0.35">
      <c r="A24" t="s">
        <v>302</v>
      </c>
      <c r="B24">
        <v>9240</v>
      </c>
      <c r="C24" t="s">
        <v>59</v>
      </c>
      <c r="D24" s="7">
        <v>10000</v>
      </c>
      <c r="E24" s="7">
        <f t="shared" si="0"/>
        <v>358000</v>
      </c>
      <c r="F24" s="7">
        <f t="shared" si="1"/>
        <v>42000</v>
      </c>
    </row>
    <row r="25" spans="1:7" x14ac:dyDescent="0.35">
      <c r="A25" t="s">
        <v>303</v>
      </c>
      <c r="B25">
        <v>9720</v>
      </c>
      <c r="C25" t="s">
        <v>59</v>
      </c>
      <c r="D25" s="7">
        <v>10000</v>
      </c>
      <c r="E25" s="7">
        <f t="shared" si="0"/>
        <v>368000</v>
      </c>
      <c r="F25" s="7">
        <f t="shared" si="1"/>
        <v>32000</v>
      </c>
    </row>
    <row r="26" spans="1:7" x14ac:dyDescent="0.35">
      <c r="A26" t="s">
        <v>304</v>
      </c>
      <c r="B26">
        <v>11300</v>
      </c>
      <c r="C26" t="s">
        <v>59</v>
      </c>
      <c r="D26" s="7">
        <v>10000</v>
      </c>
      <c r="E26" s="7">
        <f t="shared" si="0"/>
        <v>378000</v>
      </c>
      <c r="F26" s="7">
        <f t="shared" si="1"/>
        <v>22000</v>
      </c>
    </row>
    <row r="27" spans="1:7" x14ac:dyDescent="0.35">
      <c r="A27" t="s">
        <v>305</v>
      </c>
      <c r="B27">
        <v>10321</v>
      </c>
      <c r="C27" t="s">
        <v>59</v>
      </c>
      <c r="D27" s="7">
        <v>5000</v>
      </c>
      <c r="E27" s="7">
        <f t="shared" si="0"/>
        <v>383000</v>
      </c>
      <c r="F27" s="7">
        <f t="shared" si="1"/>
        <v>17000</v>
      </c>
    </row>
    <row r="28" spans="1:7" x14ac:dyDescent="0.35">
      <c r="A28" t="s">
        <v>306</v>
      </c>
      <c r="B28">
        <v>10321</v>
      </c>
      <c r="C28" t="s">
        <v>59</v>
      </c>
      <c r="D28" s="7">
        <v>5000</v>
      </c>
      <c r="E28" s="7">
        <f t="shared" si="0"/>
        <v>388000</v>
      </c>
      <c r="F28" s="7">
        <f t="shared" si="1"/>
        <v>12000</v>
      </c>
    </row>
    <row r="29" spans="1:7" x14ac:dyDescent="0.35">
      <c r="A29" t="s">
        <v>307</v>
      </c>
      <c r="B29">
        <v>9014</v>
      </c>
      <c r="C29" t="s">
        <v>59</v>
      </c>
      <c r="D29" s="7">
        <v>6000</v>
      </c>
      <c r="E29" s="7">
        <f t="shared" si="0"/>
        <v>394000</v>
      </c>
      <c r="F29" s="7">
        <f t="shared" si="1"/>
        <v>6000</v>
      </c>
    </row>
    <row r="30" spans="1:7" x14ac:dyDescent="0.35">
      <c r="A30" t="s">
        <v>308</v>
      </c>
      <c r="B30">
        <v>9858</v>
      </c>
      <c r="C30" t="s">
        <v>59</v>
      </c>
      <c r="D30" s="7">
        <v>6000</v>
      </c>
      <c r="E30" s="7">
        <f t="shared" si="0"/>
        <v>400000</v>
      </c>
      <c r="F30" s="7">
        <f t="shared" si="1"/>
        <v>0</v>
      </c>
    </row>
    <row r="31" spans="1:7" x14ac:dyDescent="0.35">
      <c r="A31" t="s">
        <v>309</v>
      </c>
      <c r="B31">
        <v>3433</v>
      </c>
      <c r="C31" t="s">
        <v>268</v>
      </c>
      <c r="D31" s="7">
        <v>140000</v>
      </c>
      <c r="E31" s="7">
        <v>140000</v>
      </c>
      <c r="F31" t="s">
        <v>310</v>
      </c>
    </row>
    <row r="32" spans="1:7" ht="18.5" x14ac:dyDescent="0.45">
      <c r="A32" s="24" t="s">
        <v>269</v>
      </c>
      <c r="B32" s="24"/>
      <c r="C32" s="24"/>
      <c r="D32" s="24"/>
      <c r="E32" s="24"/>
      <c r="F32" s="24"/>
      <c r="G32" s="2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11"/>
  <sheetViews>
    <sheetView workbookViewId="0">
      <selection activeCell="A6" sqref="A6:F6"/>
    </sheetView>
  </sheetViews>
  <sheetFormatPr defaultRowHeight="14.5" x14ac:dyDescent="0.35"/>
  <cols>
    <col min="1" max="1" width="10.26953125" customWidth="1"/>
    <col min="3" max="4" width="10.90625" bestFit="1" customWidth="1"/>
    <col min="6" max="6" width="11.363281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3</v>
      </c>
      <c r="B4" s="1"/>
      <c r="C4" s="1"/>
      <c r="D4" s="1"/>
      <c r="E4" s="1"/>
      <c r="F4" s="1"/>
    </row>
    <row r="5" spans="1:6" ht="18.5" x14ac:dyDescent="0.45">
      <c r="A5" s="1" t="s">
        <v>4</v>
      </c>
      <c r="B5" s="1"/>
      <c r="C5" s="1"/>
      <c r="D5" s="1" t="s">
        <v>5</v>
      </c>
      <c r="E5" s="1"/>
      <c r="F5" s="1"/>
    </row>
    <row r="6" spans="1:6" x14ac:dyDescent="0.35">
      <c r="A6" s="3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2" t="s">
        <v>12</v>
      </c>
      <c r="B7" s="2">
        <v>12260</v>
      </c>
      <c r="C7" s="2" t="s">
        <v>13</v>
      </c>
      <c r="D7" s="4">
        <v>230000</v>
      </c>
      <c r="E7" s="4">
        <v>230000</v>
      </c>
      <c r="F7" s="4">
        <v>170000</v>
      </c>
    </row>
    <row r="8" spans="1:6" x14ac:dyDescent="0.35">
      <c r="A8" s="2" t="s">
        <v>14</v>
      </c>
      <c r="B8" s="2">
        <v>12261</v>
      </c>
      <c r="C8" s="2" t="s">
        <v>15</v>
      </c>
      <c r="D8" s="4">
        <v>100000</v>
      </c>
      <c r="E8" s="4">
        <f>SUM(E7+D8)</f>
        <v>330000</v>
      </c>
      <c r="F8" s="4">
        <f>F7-D8</f>
        <v>70000</v>
      </c>
    </row>
    <row r="9" spans="1:6" x14ac:dyDescent="0.35">
      <c r="A9" s="5">
        <v>45758</v>
      </c>
      <c r="B9" s="2">
        <v>13431</v>
      </c>
      <c r="C9" s="2" t="s">
        <v>16</v>
      </c>
      <c r="D9" s="4">
        <v>30000</v>
      </c>
      <c r="E9" s="4">
        <f>SUM(E8+D9)</f>
        <v>360000</v>
      </c>
      <c r="F9" s="4">
        <f>F8-D9</f>
        <v>40000</v>
      </c>
    </row>
    <row r="10" spans="1:6" x14ac:dyDescent="0.35">
      <c r="A10" s="5">
        <v>46143</v>
      </c>
      <c r="B10" s="2">
        <v>13897</v>
      </c>
      <c r="C10" s="2" t="s">
        <v>16</v>
      </c>
      <c r="D10" s="4">
        <v>20000</v>
      </c>
      <c r="E10" s="4">
        <f>SUM(E9+D10)</f>
        <v>380000</v>
      </c>
      <c r="F10" s="4">
        <f>F9-D10</f>
        <v>20000</v>
      </c>
    </row>
    <row r="11" spans="1:6" x14ac:dyDescent="0.35">
      <c r="A11" s="5">
        <v>46144</v>
      </c>
      <c r="B11" s="2">
        <v>12336</v>
      </c>
      <c r="C11" s="2" t="s">
        <v>16</v>
      </c>
      <c r="D11" s="4">
        <v>20000</v>
      </c>
      <c r="E11" s="4">
        <f>SUM(E10+D11)</f>
        <v>400000</v>
      </c>
      <c r="F11" s="4">
        <f>F10-D11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1" workbookViewId="0">
      <selection activeCell="F32" sqref="F32"/>
    </sheetView>
  </sheetViews>
  <sheetFormatPr defaultRowHeight="14.5" x14ac:dyDescent="0.35"/>
  <cols>
    <col min="1" max="1" width="9.453125" bestFit="1" customWidth="1"/>
    <col min="3" max="3" width="12.7265625" customWidth="1"/>
    <col min="4" max="4" width="11.1796875" customWidth="1"/>
    <col min="5" max="5" width="10.54296875" customWidth="1"/>
    <col min="6" max="6" width="10.36328125" customWidth="1"/>
  </cols>
  <sheetData>
    <row r="1" spans="1:6" ht="18.5" x14ac:dyDescent="0.45">
      <c r="A1" s="1" t="s">
        <v>472</v>
      </c>
      <c r="B1" s="1" t="s">
        <v>478</v>
      </c>
      <c r="C1" s="1"/>
      <c r="D1" s="1"/>
    </row>
    <row r="2" spans="1:6" ht="18.5" x14ac:dyDescent="0.45">
      <c r="A2" s="1" t="s">
        <v>473</v>
      </c>
      <c r="B2" s="1" t="s">
        <v>479</v>
      </c>
      <c r="C2" s="1"/>
      <c r="D2" s="1"/>
    </row>
    <row r="3" spans="1:6" ht="18.5" x14ac:dyDescent="0.45">
      <c r="A3" s="1" t="s">
        <v>474</v>
      </c>
      <c r="B3" s="1" t="s">
        <v>480</v>
      </c>
      <c r="C3" s="1"/>
      <c r="D3" s="1"/>
    </row>
    <row r="4" spans="1:6" ht="18.5" x14ac:dyDescent="0.45">
      <c r="A4" s="1" t="s">
        <v>475</v>
      </c>
      <c r="B4" s="1"/>
      <c r="C4" s="1"/>
      <c r="D4" s="1"/>
    </row>
    <row r="5" spans="1:6" ht="18.5" x14ac:dyDescent="0.45">
      <c r="A5" s="1" t="s">
        <v>476</v>
      </c>
      <c r="B5" s="1"/>
      <c r="C5" s="1"/>
      <c r="D5" s="1"/>
    </row>
    <row r="6" spans="1:6" ht="18.5" x14ac:dyDescent="0.45">
      <c r="A6" s="1" t="s">
        <v>477</v>
      </c>
      <c r="B6" s="1">
        <v>4991</v>
      </c>
      <c r="C6" s="1"/>
      <c r="D6" s="1"/>
    </row>
    <row r="8" spans="1:6" x14ac:dyDescent="0.35">
      <c r="A8" s="3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t="s">
        <v>481</v>
      </c>
      <c r="B9">
        <v>2188</v>
      </c>
      <c r="C9" t="s">
        <v>502</v>
      </c>
      <c r="D9" s="7">
        <v>70000</v>
      </c>
      <c r="E9" s="7">
        <v>70000</v>
      </c>
      <c r="F9" s="7">
        <v>580000</v>
      </c>
    </row>
    <row r="10" spans="1:6" x14ac:dyDescent="0.35">
      <c r="A10" t="s">
        <v>482</v>
      </c>
      <c r="B10">
        <v>2189</v>
      </c>
      <c r="C10" t="s">
        <v>503</v>
      </c>
      <c r="D10" s="7">
        <v>10000</v>
      </c>
      <c r="E10" s="7">
        <f t="shared" ref="E10:E29" si="0">E9+D10</f>
        <v>80000</v>
      </c>
      <c r="F10" s="7">
        <f t="shared" ref="F10:F29" si="1">F9-D10</f>
        <v>570000</v>
      </c>
    </row>
    <row r="11" spans="1:6" x14ac:dyDescent="0.35">
      <c r="A11" t="s">
        <v>483</v>
      </c>
      <c r="B11">
        <v>250</v>
      </c>
      <c r="C11" t="s">
        <v>503</v>
      </c>
      <c r="D11" s="7">
        <v>30000</v>
      </c>
      <c r="E11" s="7">
        <f t="shared" si="0"/>
        <v>110000</v>
      </c>
      <c r="F11" s="7">
        <f t="shared" si="1"/>
        <v>540000</v>
      </c>
    </row>
    <row r="12" spans="1:6" x14ac:dyDescent="0.35">
      <c r="A12" t="s">
        <v>484</v>
      </c>
      <c r="B12">
        <v>2822</v>
      </c>
      <c r="C12" t="s">
        <v>503</v>
      </c>
      <c r="D12" s="7">
        <v>10000</v>
      </c>
      <c r="E12" s="7">
        <f t="shared" si="0"/>
        <v>120000</v>
      </c>
      <c r="F12" s="7">
        <f t="shared" si="1"/>
        <v>530000</v>
      </c>
    </row>
    <row r="13" spans="1:6" x14ac:dyDescent="0.35">
      <c r="A13" t="s">
        <v>485</v>
      </c>
      <c r="B13">
        <v>3080</v>
      </c>
      <c r="C13" t="s">
        <v>503</v>
      </c>
      <c r="D13" s="7">
        <v>10000</v>
      </c>
      <c r="E13" s="7">
        <f t="shared" si="0"/>
        <v>130000</v>
      </c>
      <c r="F13" s="7">
        <f t="shared" si="1"/>
        <v>520000</v>
      </c>
    </row>
    <row r="14" spans="1:6" x14ac:dyDescent="0.35">
      <c r="A14" t="s">
        <v>486</v>
      </c>
      <c r="B14">
        <v>3917</v>
      </c>
      <c r="C14" t="s">
        <v>503</v>
      </c>
      <c r="D14" s="7">
        <v>10000</v>
      </c>
      <c r="E14" s="7">
        <f t="shared" si="0"/>
        <v>140000</v>
      </c>
      <c r="F14" s="7">
        <f t="shared" si="1"/>
        <v>510000</v>
      </c>
    </row>
    <row r="15" spans="1:6" x14ac:dyDescent="0.35">
      <c r="A15" t="s">
        <v>487</v>
      </c>
      <c r="B15">
        <v>4452</v>
      </c>
      <c r="C15" t="s">
        <v>503</v>
      </c>
      <c r="D15" s="7">
        <v>10000</v>
      </c>
      <c r="E15" s="7">
        <f t="shared" si="0"/>
        <v>150000</v>
      </c>
      <c r="F15" s="7">
        <f t="shared" si="1"/>
        <v>500000</v>
      </c>
    </row>
    <row r="16" spans="1:6" x14ac:dyDescent="0.35">
      <c r="A16" t="s">
        <v>488</v>
      </c>
      <c r="B16">
        <v>5690</v>
      </c>
      <c r="C16" t="s">
        <v>503</v>
      </c>
      <c r="D16" s="7">
        <v>20000</v>
      </c>
      <c r="E16" s="7">
        <f t="shared" si="0"/>
        <v>170000</v>
      </c>
      <c r="F16" s="7">
        <f t="shared" si="1"/>
        <v>480000</v>
      </c>
    </row>
    <row r="17" spans="1:6" x14ac:dyDescent="0.35">
      <c r="A17" t="s">
        <v>489</v>
      </c>
      <c r="B17">
        <v>6355</v>
      </c>
      <c r="C17" t="s">
        <v>503</v>
      </c>
      <c r="D17" s="7">
        <v>10000</v>
      </c>
      <c r="E17" s="7">
        <f t="shared" si="0"/>
        <v>180000</v>
      </c>
      <c r="F17" s="7">
        <f t="shared" si="1"/>
        <v>470000</v>
      </c>
    </row>
    <row r="18" spans="1:6" x14ac:dyDescent="0.35">
      <c r="A18" t="s">
        <v>490</v>
      </c>
      <c r="B18">
        <v>7631</v>
      </c>
      <c r="C18" t="s">
        <v>503</v>
      </c>
      <c r="D18" s="7">
        <v>20000</v>
      </c>
      <c r="E18" s="7">
        <f t="shared" si="0"/>
        <v>200000</v>
      </c>
      <c r="F18" s="7">
        <f t="shared" si="1"/>
        <v>450000</v>
      </c>
    </row>
    <row r="19" spans="1:6" x14ac:dyDescent="0.35">
      <c r="A19" t="s">
        <v>491</v>
      </c>
      <c r="B19">
        <v>8587</v>
      </c>
      <c r="C19" t="s">
        <v>503</v>
      </c>
      <c r="D19" s="7">
        <v>18000</v>
      </c>
      <c r="E19" s="7">
        <f t="shared" si="0"/>
        <v>218000</v>
      </c>
      <c r="F19" s="7">
        <f t="shared" si="1"/>
        <v>432000</v>
      </c>
    </row>
    <row r="20" spans="1:6" x14ac:dyDescent="0.35">
      <c r="A20" t="s">
        <v>492</v>
      </c>
      <c r="B20">
        <v>10784</v>
      </c>
      <c r="C20" t="s">
        <v>503</v>
      </c>
      <c r="D20" s="7">
        <v>40000</v>
      </c>
      <c r="E20" s="7">
        <f t="shared" si="0"/>
        <v>258000</v>
      </c>
      <c r="F20" s="7">
        <f t="shared" si="1"/>
        <v>392000</v>
      </c>
    </row>
    <row r="21" spans="1:6" x14ac:dyDescent="0.35">
      <c r="A21" t="s">
        <v>493</v>
      </c>
      <c r="B21">
        <v>12129</v>
      </c>
      <c r="C21" t="s">
        <v>503</v>
      </c>
      <c r="D21" s="7">
        <v>20000</v>
      </c>
      <c r="E21" s="7">
        <f t="shared" si="0"/>
        <v>278000</v>
      </c>
      <c r="F21" s="7">
        <f t="shared" si="1"/>
        <v>372000</v>
      </c>
    </row>
    <row r="22" spans="1:6" x14ac:dyDescent="0.35">
      <c r="A22" t="s">
        <v>494</v>
      </c>
      <c r="B22">
        <v>9016</v>
      </c>
      <c r="C22" t="s">
        <v>503</v>
      </c>
      <c r="D22" s="7">
        <v>20000</v>
      </c>
      <c r="E22" s="7">
        <f t="shared" si="0"/>
        <v>298000</v>
      </c>
      <c r="F22" s="7">
        <f t="shared" si="1"/>
        <v>352000</v>
      </c>
    </row>
    <row r="23" spans="1:6" x14ac:dyDescent="0.35">
      <c r="A23" t="s">
        <v>495</v>
      </c>
      <c r="B23">
        <v>9966</v>
      </c>
      <c r="C23" t="s">
        <v>503</v>
      </c>
      <c r="D23" s="7">
        <v>20000</v>
      </c>
      <c r="E23" s="7">
        <f t="shared" si="0"/>
        <v>318000</v>
      </c>
      <c r="F23" s="7">
        <f t="shared" si="1"/>
        <v>332000</v>
      </c>
    </row>
    <row r="24" spans="1:6" x14ac:dyDescent="0.35">
      <c r="A24" t="s">
        <v>496</v>
      </c>
      <c r="B24">
        <v>10285</v>
      </c>
      <c r="C24" t="s">
        <v>503</v>
      </c>
      <c r="D24" s="7">
        <v>20000</v>
      </c>
      <c r="E24" s="7">
        <f t="shared" si="0"/>
        <v>338000</v>
      </c>
      <c r="F24" s="7">
        <f t="shared" si="1"/>
        <v>312000</v>
      </c>
    </row>
    <row r="25" spans="1:6" x14ac:dyDescent="0.35">
      <c r="A25" t="s">
        <v>497</v>
      </c>
      <c r="B25">
        <v>13937</v>
      </c>
      <c r="C25" t="s">
        <v>503</v>
      </c>
      <c r="D25" s="7">
        <v>25000</v>
      </c>
      <c r="E25" s="7">
        <f t="shared" si="0"/>
        <v>363000</v>
      </c>
      <c r="F25" s="7">
        <f t="shared" si="1"/>
        <v>287000</v>
      </c>
    </row>
    <row r="26" spans="1:6" x14ac:dyDescent="0.35">
      <c r="A26" t="s">
        <v>498</v>
      </c>
      <c r="B26">
        <v>13307</v>
      </c>
      <c r="C26" t="s">
        <v>503</v>
      </c>
      <c r="D26" s="7">
        <v>25000</v>
      </c>
      <c r="E26" s="7">
        <f t="shared" si="0"/>
        <v>388000</v>
      </c>
      <c r="F26" s="7">
        <f t="shared" si="1"/>
        <v>262000</v>
      </c>
    </row>
    <row r="27" spans="1:6" x14ac:dyDescent="0.35">
      <c r="A27" t="s">
        <v>499</v>
      </c>
      <c r="B27">
        <v>13881</v>
      </c>
      <c r="C27" t="s">
        <v>503</v>
      </c>
      <c r="D27" s="7">
        <v>20000</v>
      </c>
      <c r="E27" s="7">
        <f t="shared" si="0"/>
        <v>408000</v>
      </c>
      <c r="F27" s="7">
        <f t="shared" si="1"/>
        <v>242000</v>
      </c>
    </row>
    <row r="28" spans="1:6" x14ac:dyDescent="0.35">
      <c r="A28" t="s">
        <v>500</v>
      </c>
      <c r="B28">
        <v>13246</v>
      </c>
      <c r="C28" t="s">
        <v>503</v>
      </c>
      <c r="D28" s="7">
        <v>20000</v>
      </c>
      <c r="E28" s="7">
        <f t="shared" si="0"/>
        <v>428000</v>
      </c>
      <c r="F28" s="7">
        <f t="shared" si="1"/>
        <v>222000</v>
      </c>
    </row>
    <row r="29" spans="1:6" x14ac:dyDescent="0.35">
      <c r="A29" t="s">
        <v>501</v>
      </c>
      <c r="B29">
        <v>13527</v>
      </c>
      <c r="C29" t="s">
        <v>503</v>
      </c>
      <c r="D29" s="7">
        <v>20000</v>
      </c>
      <c r="E29" s="7">
        <f t="shared" si="0"/>
        <v>448000</v>
      </c>
      <c r="F29" s="7">
        <f t="shared" si="1"/>
        <v>202000</v>
      </c>
    </row>
    <row r="30" spans="1:6" x14ac:dyDescent="0.35">
      <c r="A30" s="8">
        <v>46211</v>
      </c>
      <c r="B30">
        <v>1665</v>
      </c>
      <c r="C30" t="s">
        <v>503</v>
      </c>
      <c r="D30" s="7">
        <v>20000</v>
      </c>
      <c r="E30" s="7">
        <f>E29+D30</f>
        <v>468000</v>
      </c>
      <c r="F30" s="7">
        <f>F29-D30</f>
        <v>182000</v>
      </c>
    </row>
    <row r="31" spans="1:6" x14ac:dyDescent="0.35">
      <c r="A31" s="8">
        <v>46122</v>
      </c>
      <c r="B31">
        <v>2153</v>
      </c>
      <c r="C31" t="s">
        <v>503</v>
      </c>
      <c r="D31" s="7">
        <v>20000</v>
      </c>
      <c r="E31" s="7">
        <f>E30+D31</f>
        <v>488000</v>
      </c>
      <c r="F31" s="7">
        <f>F30-D31</f>
        <v>162000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1" workbookViewId="0">
      <selection activeCell="D33" sqref="D33"/>
    </sheetView>
  </sheetViews>
  <sheetFormatPr defaultRowHeight="14.5" x14ac:dyDescent="0.35"/>
  <sheetData>
    <row r="1" spans="1:6" x14ac:dyDescent="0.35">
      <c r="A1" t="s">
        <v>472</v>
      </c>
      <c r="B1" s="27" t="s">
        <v>553</v>
      </c>
    </row>
    <row r="2" spans="1:6" x14ac:dyDescent="0.35">
      <c r="A2" t="s">
        <v>519</v>
      </c>
      <c r="B2" s="27" t="s">
        <v>554</v>
      </c>
    </row>
    <row r="3" spans="1:6" x14ac:dyDescent="0.35">
      <c r="A3" t="s">
        <v>474</v>
      </c>
      <c r="B3" s="27" t="s">
        <v>555</v>
      </c>
    </row>
    <row r="4" spans="1:6" x14ac:dyDescent="0.35">
      <c r="A4" t="s">
        <v>530</v>
      </c>
      <c r="B4" s="27" t="s">
        <v>556</v>
      </c>
    </row>
    <row r="5" spans="1:6" x14ac:dyDescent="0.35">
      <c r="A5" t="s">
        <v>516</v>
      </c>
      <c r="B5" s="27" t="s">
        <v>531</v>
      </c>
    </row>
    <row r="6" spans="1:6" x14ac:dyDescent="0.35">
      <c r="A6" t="s">
        <v>521</v>
      </c>
      <c r="B6" s="27" t="s">
        <v>532</v>
      </c>
      <c r="E6" s="29">
        <v>400000</v>
      </c>
    </row>
    <row r="8" spans="1:6" x14ac:dyDescent="0.35">
      <c r="A8" s="3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t="s">
        <v>533</v>
      </c>
      <c r="B9">
        <v>2158</v>
      </c>
      <c r="C9" t="s">
        <v>544</v>
      </c>
      <c r="D9" s="7">
        <v>228000</v>
      </c>
      <c r="E9" s="7">
        <v>228000</v>
      </c>
      <c r="F9" s="7">
        <v>172000</v>
      </c>
    </row>
    <row r="10" spans="1:6" x14ac:dyDescent="0.35">
      <c r="A10" t="s">
        <v>534</v>
      </c>
      <c r="B10">
        <v>2159</v>
      </c>
      <c r="C10" t="s">
        <v>279</v>
      </c>
      <c r="D10" s="7">
        <v>15000</v>
      </c>
      <c r="E10" s="7">
        <f t="shared" ref="E10:E26" si="0">E9+D10</f>
        <v>243000</v>
      </c>
      <c r="F10" s="7">
        <f t="shared" ref="F10:F26" si="1">F9-D10</f>
        <v>157000</v>
      </c>
    </row>
    <row r="11" spans="1:6" x14ac:dyDescent="0.35">
      <c r="A11" t="s">
        <v>535</v>
      </c>
      <c r="B11">
        <v>1981</v>
      </c>
      <c r="C11" t="s">
        <v>279</v>
      </c>
      <c r="D11" s="7">
        <v>10000</v>
      </c>
      <c r="E11" s="7">
        <f t="shared" si="0"/>
        <v>253000</v>
      </c>
      <c r="F11" s="7">
        <f t="shared" si="1"/>
        <v>147000</v>
      </c>
    </row>
    <row r="12" spans="1:6" x14ac:dyDescent="0.35">
      <c r="A12" t="s">
        <v>536</v>
      </c>
      <c r="B12">
        <v>767</v>
      </c>
      <c r="C12" t="s">
        <v>279</v>
      </c>
      <c r="D12" s="7">
        <v>10000</v>
      </c>
      <c r="E12" s="7">
        <f t="shared" si="0"/>
        <v>263000</v>
      </c>
      <c r="F12" s="7">
        <f t="shared" si="1"/>
        <v>137000</v>
      </c>
    </row>
    <row r="13" spans="1:6" x14ac:dyDescent="0.35">
      <c r="A13" t="s">
        <v>537</v>
      </c>
      <c r="B13">
        <v>455</v>
      </c>
      <c r="C13" t="s">
        <v>279</v>
      </c>
      <c r="D13" s="7">
        <v>10000</v>
      </c>
      <c r="E13" s="7">
        <f t="shared" si="0"/>
        <v>273000</v>
      </c>
      <c r="F13" s="7">
        <f t="shared" si="1"/>
        <v>127000</v>
      </c>
    </row>
    <row r="14" spans="1:6" x14ac:dyDescent="0.35">
      <c r="A14" t="s">
        <v>538</v>
      </c>
      <c r="B14">
        <v>2753</v>
      </c>
      <c r="C14" t="s">
        <v>279</v>
      </c>
      <c r="D14" s="7">
        <v>10000</v>
      </c>
      <c r="E14" s="7">
        <f t="shared" si="0"/>
        <v>283000</v>
      </c>
      <c r="F14" s="7">
        <f t="shared" si="1"/>
        <v>117000</v>
      </c>
    </row>
    <row r="15" spans="1:6" x14ac:dyDescent="0.35">
      <c r="A15" t="s">
        <v>539</v>
      </c>
      <c r="B15">
        <v>2435</v>
      </c>
      <c r="C15" t="s">
        <v>279</v>
      </c>
      <c r="D15" s="7">
        <v>10000</v>
      </c>
      <c r="E15" s="7">
        <f t="shared" si="0"/>
        <v>293000</v>
      </c>
      <c r="F15" s="7">
        <f t="shared" si="1"/>
        <v>107000</v>
      </c>
    </row>
    <row r="16" spans="1:6" x14ac:dyDescent="0.35">
      <c r="A16" t="s">
        <v>540</v>
      </c>
      <c r="B16">
        <v>3602</v>
      </c>
      <c r="C16" t="s">
        <v>279</v>
      </c>
      <c r="D16" s="7">
        <v>10000</v>
      </c>
      <c r="E16" s="7">
        <f t="shared" si="0"/>
        <v>303000</v>
      </c>
      <c r="F16" s="7">
        <f t="shared" si="1"/>
        <v>97000</v>
      </c>
    </row>
    <row r="17" spans="1:6" x14ac:dyDescent="0.35">
      <c r="A17" t="s">
        <v>541</v>
      </c>
      <c r="B17">
        <v>4211</v>
      </c>
      <c r="C17" t="s">
        <v>279</v>
      </c>
      <c r="D17" s="7">
        <v>10000</v>
      </c>
      <c r="E17" s="7">
        <f t="shared" si="0"/>
        <v>313000</v>
      </c>
      <c r="F17" s="7">
        <f t="shared" si="1"/>
        <v>87000</v>
      </c>
    </row>
    <row r="18" spans="1:6" x14ac:dyDescent="0.35">
      <c r="A18" t="s">
        <v>542</v>
      </c>
      <c r="B18">
        <v>4844</v>
      </c>
      <c r="C18" t="s">
        <v>279</v>
      </c>
      <c r="D18" s="7">
        <v>10000</v>
      </c>
      <c r="E18" s="7">
        <f t="shared" si="0"/>
        <v>323000</v>
      </c>
      <c r="F18" s="7">
        <f t="shared" si="1"/>
        <v>77000</v>
      </c>
    </row>
    <row r="19" spans="1:6" x14ac:dyDescent="0.35">
      <c r="A19" t="s">
        <v>543</v>
      </c>
      <c r="B19">
        <v>5426</v>
      </c>
      <c r="C19" t="s">
        <v>279</v>
      </c>
      <c r="D19" s="7">
        <v>10000</v>
      </c>
      <c r="E19" s="7">
        <f t="shared" si="0"/>
        <v>333000</v>
      </c>
      <c r="F19" s="7">
        <f t="shared" si="1"/>
        <v>67000</v>
      </c>
    </row>
    <row r="20" spans="1:6" x14ac:dyDescent="0.35">
      <c r="A20" t="s">
        <v>545</v>
      </c>
      <c r="B20">
        <v>6127</v>
      </c>
      <c r="C20" t="s">
        <v>279</v>
      </c>
      <c r="D20" s="7">
        <v>10000</v>
      </c>
      <c r="E20" s="7">
        <f t="shared" si="0"/>
        <v>343000</v>
      </c>
      <c r="F20" s="7">
        <f t="shared" si="1"/>
        <v>57000</v>
      </c>
    </row>
    <row r="21" spans="1:6" x14ac:dyDescent="0.35">
      <c r="A21" t="s">
        <v>546</v>
      </c>
      <c r="B21">
        <v>7060</v>
      </c>
      <c r="C21" t="s">
        <v>279</v>
      </c>
      <c r="D21" s="7">
        <v>10000</v>
      </c>
      <c r="E21" s="7">
        <f t="shared" si="0"/>
        <v>353000</v>
      </c>
      <c r="F21" s="7">
        <f t="shared" si="1"/>
        <v>47000</v>
      </c>
    </row>
    <row r="22" spans="1:6" x14ac:dyDescent="0.35">
      <c r="A22" t="s">
        <v>547</v>
      </c>
      <c r="B22">
        <v>7424</v>
      </c>
      <c r="C22" t="s">
        <v>279</v>
      </c>
      <c r="D22" s="7">
        <v>10000</v>
      </c>
      <c r="E22" s="7">
        <f t="shared" si="0"/>
        <v>363000</v>
      </c>
      <c r="F22" s="7">
        <f t="shared" si="1"/>
        <v>37000</v>
      </c>
    </row>
    <row r="23" spans="1:6" x14ac:dyDescent="0.35">
      <c r="A23" t="s">
        <v>548</v>
      </c>
      <c r="B23">
        <v>7891</v>
      </c>
      <c r="C23" t="s">
        <v>279</v>
      </c>
      <c r="D23" s="7">
        <v>10000</v>
      </c>
      <c r="E23" s="7">
        <f t="shared" si="0"/>
        <v>373000</v>
      </c>
      <c r="F23" s="7">
        <f t="shared" si="1"/>
        <v>27000</v>
      </c>
    </row>
    <row r="24" spans="1:6" x14ac:dyDescent="0.35">
      <c r="A24" t="s">
        <v>549</v>
      </c>
      <c r="B24">
        <v>8540</v>
      </c>
      <c r="C24" t="s">
        <v>279</v>
      </c>
      <c r="D24" s="7">
        <v>10000</v>
      </c>
      <c r="E24" s="7">
        <f t="shared" si="0"/>
        <v>383000</v>
      </c>
      <c r="F24" s="7">
        <f t="shared" si="1"/>
        <v>17000</v>
      </c>
    </row>
    <row r="25" spans="1:6" x14ac:dyDescent="0.35">
      <c r="A25" t="s">
        <v>550</v>
      </c>
      <c r="B25">
        <v>9176</v>
      </c>
      <c r="C25" t="s">
        <v>279</v>
      </c>
      <c r="D25" s="7">
        <v>10000</v>
      </c>
      <c r="E25" s="7">
        <f t="shared" si="0"/>
        <v>393000</v>
      </c>
      <c r="F25" s="7">
        <f t="shared" si="1"/>
        <v>7000</v>
      </c>
    </row>
    <row r="26" spans="1:6" x14ac:dyDescent="0.35">
      <c r="A26" t="s">
        <v>551</v>
      </c>
      <c r="B26">
        <v>9671</v>
      </c>
      <c r="C26" t="s">
        <v>279</v>
      </c>
      <c r="D26" s="7">
        <v>7000</v>
      </c>
      <c r="E26" s="7">
        <f t="shared" si="0"/>
        <v>400000</v>
      </c>
      <c r="F26" s="7">
        <f t="shared" si="1"/>
        <v>0</v>
      </c>
    </row>
    <row r="29" spans="1:6" x14ac:dyDescent="0.35">
      <c r="A29" t="s">
        <v>552</v>
      </c>
      <c r="B29">
        <v>4347</v>
      </c>
      <c r="C29" t="s">
        <v>268</v>
      </c>
      <c r="E29" s="7">
        <v>258000</v>
      </c>
      <c r="F29" t="s">
        <v>310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5" workbookViewId="0">
      <selection activeCell="F21" sqref="A1:XFD1048576"/>
    </sheetView>
  </sheetViews>
  <sheetFormatPr defaultRowHeight="14.5" x14ac:dyDescent="0.35"/>
  <cols>
    <col min="1" max="1" width="10.453125" bestFit="1" customWidth="1"/>
  </cols>
  <sheetData>
    <row r="1" spans="1:6" ht="18.5" x14ac:dyDescent="0.45">
      <c r="A1" s="1" t="s">
        <v>574</v>
      </c>
      <c r="B1" s="1"/>
      <c r="C1" s="1"/>
      <c r="D1" s="1"/>
      <c r="E1" s="1"/>
      <c r="F1" s="1"/>
    </row>
    <row r="2" spans="1:6" ht="18.5" x14ac:dyDescent="0.45">
      <c r="A2" s="1" t="s">
        <v>575</v>
      </c>
      <c r="C2" s="1"/>
      <c r="D2" s="1"/>
      <c r="E2" s="1"/>
      <c r="F2" s="1"/>
    </row>
    <row r="3" spans="1:6" ht="18.5" x14ac:dyDescent="0.45">
      <c r="A3" s="1" t="s">
        <v>581</v>
      </c>
      <c r="B3" s="1"/>
      <c r="C3" s="1"/>
      <c r="D3" s="1"/>
      <c r="E3" s="1"/>
      <c r="F3" s="1"/>
    </row>
    <row r="4" spans="1:6" ht="18.5" x14ac:dyDescent="0.45">
      <c r="A4" s="1" t="s">
        <v>577</v>
      </c>
      <c r="B4" s="1"/>
      <c r="C4" s="1"/>
      <c r="D4" s="1"/>
      <c r="E4" s="1"/>
      <c r="F4" s="1"/>
    </row>
    <row r="5" spans="1:6" ht="18.5" x14ac:dyDescent="0.45">
      <c r="A5" s="1" t="s">
        <v>273</v>
      </c>
      <c r="B5" s="1"/>
      <c r="C5" s="1"/>
      <c r="D5" s="1"/>
      <c r="E5" s="1"/>
      <c r="F5" s="1"/>
    </row>
    <row r="6" spans="1:6" ht="18.5" x14ac:dyDescent="0.45">
      <c r="A6" s="1" t="s">
        <v>576</v>
      </c>
      <c r="B6" s="1"/>
      <c r="C6" s="1"/>
      <c r="D6" s="25" t="s">
        <v>284</v>
      </c>
      <c r="E6" s="1"/>
      <c r="F6" s="1"/>
    </row>
    <row r="8" spans="1:6" x14ac:dyDescent="0.35">
      <c r="B8" s="27" t="s">
        <v>578</v>
      </c>
      <c r="C8" s="27"/>
      <c r="D8" s="27"/>
    </row>
    <row r="10" spans="1:6" ht="18.5" x14ac:dyDescent="0.45">
      <c r="A10" s="1" t="s">
        <v>579</v>
      </c>
      <c r="B10" s="1"/>
      <c r="C10" s="1"/>
      <c r="D10" s="1"/>
      <c r="E10" s="1"/>
    </row>
    <row r="11" spans="1:6" ht="18.5" x14ac:dyDescent="0.45">
      <c r="A11" s="1" t="s">
        <v>580</v>
      </c>
      <c r="C11" s="1"/>
      <c r="D11" s="1"/>
      <c r="E11" s="1"/>
    </row>
    <row r="12" spans="1:6" ht="18.5" x14ac:dyDescent="0.45">
      <c r="A12" s="1" t="s">
        <v>573</v>
      </c>
      <c r="B12" s="1"/>
      <c r="C12" s="1"/>
      <c r="D12" s="1"/>
      <c r="E12" s="1"/>
      <c r="F12" s="30"/>
    </row>
    <row r="13" spans="1:6" ht="18.5" x14ac:dyDescent="0.45">
      <c r="A13" s="1" t="s">
        <v>577</v>
      </c>
      <c r="B13" s="1"/>
      <c r="C13" s="1"/>
      <c r="D13" s="1"/>
      <c r="E13" s="1"/>
    </row>
    <row r="14" spans="1:6" ht="18.5" x14ac:dyDescent="0.45">
      <c r="A14" s="1" t="s">
        <v>582</v>
      </c>
      <c r="B14" s="1"/>
      <c r="C14" s="1"/>
      <c r="D14" s="1"/>
      <c r="E14" s="1"/>
    </row>
    <row r="15" spans="1:6" ht="18.5" x14ac:dyDescent="0.45">
      <c r="A15" s="1" t="s">
        <v>576</v>
      </c>
      <c r="B15" s="1"/>
      <c r="C15" s="1"/>
      <c r="D15" s="25" t="s">
        <v>284</v>
      </c>
      <c r="E15" s="1"/>
    </row>
    <row r="16" spans="1:6" x14ac:dyDescent="0.35">
      <c r="A16" s="3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ht="18.5" x14ac:dyDescent="0.45">
      <c r="A17" s="31" t="s">
        <v>583</v>
      </c>
      <c r="B17" s="6">
        <v>2501</v>
      </c>
      <c r="C17" s="6" t="s">
        <v>584</v>
      </c>
      <c r="D17" s="10">
        <v>200000</v>
      </c>
      <c r="E17" s="10">
        <v>200000</v>
      </c>
      <c r="F17" s="10">
        <v>200000</v>
      </c>
    </row>
    <row r="18" spans="1:6" x14ac:dyDescent="0.35">
      <c r="A18" s="11">
        <v>45049</v>
      </c>
      <c r="B18" s="6">
        <v>2662</v>
      </c>
      <c r="C18" s="6" t="s">
        <v>585</v>
      </c>
      <c r="D18" s="10">
        <v>100000</v>
      </c>
      <c r="E18" s="10">
        <f>E17+D18</f>
        <v>300000</v>
      </c>
      <c r="F18" s="10">
        <f>F17-D18</f>
        <v>100000</v>
      </c>
    </row>
    <row r="19" spans="1:6" x14ac:dyDescent="0.35">
      <c r="A19" s="11">
        <v>45049</v>
      </c>
      <c r="B19" s="6">
        <v>2663</v>
      </c>
      <c r="C19" s="6" t="s">
        <v>585</v>
      </c>
      <c r="D19" s="10">
        <v>50000</v>
      </c>
      <c r="E19" s="10">
        <f>E18+D19</f>
        <v>350000</v>
      </c>
      <c r="F19" s="10" t="s">
        <v>310</v>
      </c>
    </row>
    <row r="21" spans="1:6" x14ac:dyDescent="0.35">
      <c r="B21" s="7" t="s">
        <v>586</v>
      </c>
      <c r="C21" t="s">
        <v>587</v>
      </c>
    </row>
    <row r="22" spans="1:6" x14ac:dyDescent="0.35">
      <c r="A22" s="11">
        <v>46150</v>
      </c>
      <c r="B22" s="6">
        <v>3729</v>
      </c>
      <c r="C22" s="6" t="s">
        <v>572</v>
      </c>
      <c r="D22" s="10">
        <v>200000</v>
      </c>
      <c r="E22" s="10">
        <v>265000</v>
      </c>
      <c r="F22" s="6" t="s">
        <v>310</v>
      </c>
    </row>
    <row r="23" spans="1:6" x14ac:dyDescent="0.35">
      <c r="A23" s="8"/>
    </row>
    <row r="24" spans="1:6" x14ac:dyDescent="0.35">
      <c r="A24" s="8"/>
    </row>
    <row r="25" spans="1:6" x14ac:dyDescent="0.35">
      <c r="A25" s="8"/>
    </row>
    <row r="26" spans="1:6" x14ac:dyDescent="0.35">
      <c r="A26" s="8"/>
    </row>
    <row r="28" spans="1:6" x14ac:dyDescent="0.35">
      <c r="A28" s="8"/>
    </row>
    <row r="30" spans="1:6" x14ac:dyDescent="0.35">
      <c r="A30" s="8"/>
    </row>
    <row r="31" spans="1:6" x14ac:dyDescent="0.35">
      <c r="A31" s="8"/>
    </row>
    <row r="32" spans="1:6" x14ac:dyDescent="0.35">
      <c r="A32" s="8"/>
    </row>
    <row r="33" spans="1:1" x14ac:dyDescent="0.35">
      <c r="A33" s="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15" zoomScaleNormal="115" workbookViewId="0">
      <selection activeCell="A4" sqref="A4"/>
    </sheetView>
  </sheetViews>
  <sheetFormatPr defaultRowHeight="14.5" x14ac:dyDescent="0.35"/>
  <cols>
    <col min="1" max="1" width="24.36328125" customWidth="1"/>
    <col min="2" max="2" width="16.7265625" customWidth="1"/>
    <col min="3" max="3" width="22.26953125" customWidth="1"/>
    <col min="4" max="4" width="12.36328125" customWidth="1"/>
    <col min="5" max="5" width="16.90625" customWidth="1"/>
    <col min="6" max="6" width="12.453125" customWidth="1"/>
  </cols>
  <sheetData>
    <row r="1" spans="1:7" ht="21" x14ac:dyDescent="0.5">
      <c r="A1" s="42" t="s">
        <v>619</v>
      </c>
      <c r="B1" s="40" t="s">
        <v>620</v>
      </c>
      <c r="C1" s="40"/>
      <c r="D1" s="40"/>
      <c r="E1" s="40"/>
      <c r="F1" s="43"/>
    </row>
    <row r="2" spans="1:7" ht="21" x14ac:dyDescent="0.5">
      <c r="A2" s="42" t="s">
        <v>622</v>
      </c>
      <c r="B2" s="40" t="s">
        <v>621</v>
      </c>
      <c r="C2" s="40"/>
      <c r="D2" s="40"/>
      <c r="E2" s="40"/>
      <c r="F2" s="43"/>
    </row>
    <row r="3" spans="1:7" ht="21" x14ac:dyDescent="0.5">
      <c r="A3" s="42" t="s">
        <v>623</v>
      </c>
      <c r="B3" s="40" t="s">
        <v>624</v>
      </c>
      <c r="C3" s="40"/>
      <c r="D3" s="40"/>
      <c r="E3" s="40"/>
      <c r="F3" s="43"/>
    </row>
    <row r="4" spans="1:7" ht="21" x14ac:dyDescent="0.5">
      <c r="A4" s="42" t="s">
        <v>625</v>
      </c>
      <c r="B4" s="40" t="s">
        <v>626</v>
      </c>
      <c r="C4" s="40"/>
      <c r="D4" s="40"/>
      <c r="E4" s="40"/>
      <c r="F4" s="43"/>
    </row>
    <row r="5" spans="1:7" ht="21" x14ac:dyDescent="0.5">
      <c r="A5" s="42" t="s">
        <v>273</v>
      </c>
      <c r="B5" s="40">
        <v>3213437760</v>
      </c>
      <c r="C5" s="40"/>
      <c r="D5" s="40"/>
      <c r="E5" s="40"/>
      <c r="F5" s="43"/>
    </row>
    <row r="6" spans="1:7" ht="21" x14ac:dyDescent="0.5">
      <c r="A6" s="42" t="s">
        <v>627</v>
      </c>
      <c r="B6" s="40"/>
      <c r="C6" s="40"/>
      <c r="D6" s="40" t="s">
        <v>628</v>
      </c>
      <c r="E6" s="41">
        <v>600000</v>
      </c>
      <c r="F6" s="43"/>
    </row>
    <row r="7" spans="1:7" ht="21" x14ac:dyDescent="0.5">
      <c r="A7" s="42"/>
      <c r="B7" s="42"/>
      <c r="C7" s="42"/>
      <c r="D7" s="42"/>
      <c r="E7" s="42"/>
    </row>
    <row r="8" spans="1:7" x14ac:dyDescent="0.35">
      <c r="A8" s="3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7" x14ac:dyDescent="0.35">
      <c r="A9" s="44" t="s">
        <v>629</v>
      </c>
      <c r="B9" s="30">
        <v>138</v>
      </c>
      <c r="C9" s="30" t="s">
        <v>630</v>
      </c>
      <c r="D9" s="30">
        <v>10000</v>
      </c>
      <c r="E9" s="46">
        <v>10000</v>
      </c>
      <c r="F9" s="46">
        <v>590000</v>
      </c>
      <c r="G9" s="30"/>
    </row>
    <row r="10" spans="1:7" x14ac:dyDescent="0.35">
      <c r="A10" s="45" t="s">
        <v>632</v>
      </c>
      <c r="B10" s="30">
        <v>3123</v>
      </c>
      <c r="C10" s="30" t="s">
        <v>631</v>
      </c>
      <c r="D10" s="30">
        <v>40000</v>
      </c>
      <c r="E10" s="46">
        <v>50000</v>
      </c>
      <c r="F10" s="46">
        <v>550000</v>
      </c>
      <c r="G10" s="30"/>
    </row>
    <row r="11" spans="1:7" x14ac:dyDescent="0.35">
      <c r="A11" s="30" t="s">
        <v>632</v>
      </c>
      <c r="B11" s="30">
        <v>3122</v>
      </c>
      <c r="C11" s="30" t="s">
        <v>633</v>
      </c>
      <c r="D11" s="30">
        <v>100000</v>
      </c>
      <c r="E11" s="46">
        <v>150000</v>
      </c>
      <c r="F11" s="46">
        <v>450000</v>
      </c>
      <c r="G11" s="30"/>
    </row>
    <row r="12" spans="1:7" x14ac:dyDescent="0.35">
      <c r="A12" s="44">
        <v>45239</v>
      </c>
      <c r="B12" s="30">
        <v>3550</v>
      </c>
      <c r="C12" s="30" t="s">
        <v>377</v>
      </c>
      <c r="D12" s="30">
        <v>10000</v>
      </c>
      <c r="E12" s="46">
        <v>160000</v>
      </c>
      <c r="F12" s="46">
        <v>440000</v>
      </c>
      <c r="G12" s="30"/>
    </row>
    <row r="13" spans="1:7" x14ac:dyDescent="0.35">
      <c r="A13" s="30" t="s">
        <v>634</v>
      </c>
      <c r="B13" s="30">
        <v>4395</v>
      </c>
      <c r="C13" s="30" t="s">
        <v>377</v>
      </c>
      <c r="D13" s="46">
        <v>10000</v>
      </c>
      <c r="E13" s="46">
        <v>170000</v>
      </c>
      <c r="F13" s="46">
        <v>430000</v>
      </c>
      <c r="G13" s="30"/>
    </row>
    <row r="14" spans="1:7" x14ac:dyDescent="0.35">
      <c r="A14" s="30" t="s">
        <v>635</v>
      </c>
      <c r="B14" s="30">
        <v>5183</v>
      </c>
      <c r="C14" s="30" t="s">
        <v>377</v>
      </c>
      <c r="D14" s="46">
        <v>10000</v>
      </c>
      <c r="E14" s="46">
        <v>180000</v>
      </c>
      <c r="F14" s="46">
        <v>420000</v>
      </c>
      <c r="G14" s="30"/>
    </row>
    <row r="15" spans="1:7" x14ac:dyDescent="0.35">
      <c r="A15" s="44">
        <v>45150</v>
      </c>
      <c r="B15" s="30">
        <v>5357</v>
      </c>
      <c r="C15" s="30" t="s">
        <v>377</v>
      </c>
      <c r="D15" s="46">
        <v>10000</v>
      </c>
      <c r="E15" s="46">
        <v>190000</v>
      </c>
      <c r="F15" s="46">
        <v>410000</v>
      </c>
      <c r="G15" s="30"/>
    </row>
    <row r="16" spans="1:7" x14ac:dyDescent="0.35">
      <c r="A16" s="44">
        <v>45536</v>
      </c>
      <c r="B16" s="30">
        <v>6031</v>
      </c>
      <c r="C16" s="30" t="s">
        <v>377</v>
      </c>
      <c r="D16" s="46">
        <v>10000</v>
      </c>
      <c r="E16" s="46">
        <v>20000</v>
      </c>
      <c r="F16" s="46">
        <v>400000</v>
      </c>
      <c r="G16" s="30"/>
    </row>
    <row r="17" spans="1:7" x14ac:dyDescent="0.35">
      <c r="A17" s="44">
        <v>45628</v>
      </c>
      <c r="B17" s="30">
        <v>7111</v>
      </c>
      <c r="C17" s="30" t="s">
        <v>377</v>
      </c>
      <c r="D17" s="46">
        <v>10000</v>
      </c>
      <c r="E17" s="46">
        <v>210000</v>
      </c>
      <c r="F17" s="46">
        <v>390000</v>
      </c>
      <c r="G17" s="30"/>
    </row>
    <row r="18" spans="1:7" x14ac:dyDescent="0.35">
      <c r="A18" s="30" t="s">
        <v>636</v>
      </c>
      <c r="B18" s="30">
        <v>7361</v>
      </c>
      <c r="C18" s="30" t="s">
        <v>377</v>
      </c>
      <c r="D18" s="46">
        <v>10000</v>
      </c>
      <c r="E18" s="46">
        <v>220000</v>
      </c>
      <c r="F18" s="46">
        <v>380000</v>
      </c>
      <c r="G18" s="30"/>
    </row>
    <row r="19" spans="1:7" x14ac:dyDescent="0.35">
      <c r="A19" s="30" t="s">
        <v>637</v>
      </c>
      <c r="B19" s="30">
        <v>7879</v>
      </c>
      <c r="C19" s="30" t="s">
        <v>377</v>
      </c>
      <c r="D19" s="46">
        <v>10000</v>
      </c>
      <c r="E19" s="46">
        <v>230000</v>
      </c>
      <c r="F19" s="46">
        <v>370000</v>
      </c>
      <c r="G19" s="30"/>
    </row>
    <row r="20" spans="1:7" ht="16" customHeight="1" x14ac:dyDescent="0.35">
      <c r="A20" s="30" t="s">
        <v>638</v>
      </c>
      <c r="B20" s="30">
        <v>8513</v>
      </c>
      <c r="C20" s="30" t="s">
        <v>377</v>
      </c>
      <c r="D20" s="46">
        <v>10000</v>
      </c>
      <c r="E20" s="46">
        <v>240000</v>
      </c>
      <c r="F20" s="46">
        <v>360000</v>
      </c>
      <c r="G20" s="30"/>
    </row>
    <row r="21" spans="1:7" ht="16" customHeight="1" x14ac:dyDescent="0.35">
      <c r="A21" s="44">
        <v>45602</v>
      </c>
      <c r="B21" s="30">
        <v>8981</v>
      </c>
      <c r="C21" s="30" t="s">
        <v>377</v>
      </c>
      <c r="D21" s="46">
        <v>10000</v>
      </c>
      <c r="E21" s="46">
        <v>250000</v>
      </c>
      <c r="F21" s="46">
        <v>350000</v>
      </c>
      <c r="G21" s="30"/>
    </row>
    <row r="22" spans="1:7" ht="14" customHeight="1" x14ac:dyDescent="0.35">
      <c r="A22" s="30" t="s">
        <v>639</v>
      </c>
      <c r="B22" s="30">
        <v>9687</v>
      </c>
      <c r="C22" s="30" t="s">
        <v>377</v>
      </c>
      <c r="D22" s="46">
        <v>10000</v>
      </c>
      <c r="E22" s="46">
        <v>260000</v>
      </c>
      <c r="F22" s="46">
        <v>340000</v>
      </c>
      <c r="G22" s="30"/>
    </row>
    <row r="23" spans="1:7" x14ac:dyDescent="0.35">
      <c r="A23" s="30" t="s">
        <v>640</v>
      </c>
      <c r="B23" s="30">
        <v>11170</v>
      </c>
      <c r="C23" s="30" t="s">
        <v>377</v>
      </c>
      <c r="D23" s="46">
        <v>10000</v>
      </c>
      <c r="E23" s="46">
        <v>270000</v>
      </c>
      <c r="F23" s="46">
        <v>330000</v>
      </c>
      <c r="G23" s="30"/>
    </row>
    <row r="24" spans="1:7" ht="16.5" customHeight="1" x14ac:dyDescent="0.35">
      <c r="A24" s="30" t="s">
        <v>641</v>
      </c>
      <c r="B24" s="30">
        <v>10750</v>
      </c>
      <c r="C24" s="30" t="s">
        <v>377</v>
      </c>
      <c r="D24" s="46">
        <v>10000</v>
      </c>
      <c r="E24" s="46">
        <v>280000</v>
      </c>
      <c r="F24" s="46">
        <v>320000</v>
      </c>
      <c r="G24" s="30"/>
    </row>
    <row r="25" spans="1:7" ht="16" customHeight="1" x14ac:dyDescent="0.35">
      <c r="A25" s="30" t="s">
        <v>642</v>
      </c>
      <c r="B25" s="30">
        <v>11655</v>
      </c>
      <c r="C25" s="30" t="s">
        <v>377</v>
      </c>
      <c r="D25" s="46">
        <v>10000</v>
      </c>
      <c r="E25" s="46">
        <v>290000</v>
      </c>
      <c r="F25" s="46">
        <v>310000</v>
      </c>
      <c r="G25" s="30"/>
    </row>
    <row r="26" spans="1:7" x14ac:dyDescent="0.35">
      <c r="A26" s="30" t="s">
        <v>643</v>
      </c>
      <c r="B26" s="30">
        <v>12501</v>
      </c>
      <c r="C26" s="30" t="s">
        <v>377</v>
      </c>
      <c r="D26" s="46">
        <v>10000</v>
      </c>
      <c r="E26" s="46">
        <v>300000</v>
      </c>
      <c r="F26" s="46">
        <v>300000</v>
      </c>
      <c r="G26" s="30"/>
    </row>
    <row r="27" spans="1:7" x14ac:dyDescent="0.35">
      <c r="A27" s="30" t="s">
        <v>644</v>
      </c>
      <c r="B27" s="30">
        <v>12726</v>
      </c>
      <c r="C27" s="30" t="s">
        <v>377</v>
      </c>
      <c r="D27" s="46">
        <v>10000</v>
      </c>
      <c r="E27" s="46">
        <v>310000</v>
      </c>
      <c r="F27" s="46">
        <v>290000</v>
      </c>
      <c r="G27" s="30"/>
    </row>
    <row r="28" spans="1:7" x14ac:dyDescent="0.35">
      <c r="A28" s="30" t="s">
        <v>645</v>
      </c>
      <c r="B28" s="30">
        <v>9108</v>
      </c>
      <c r="C28" s="30" t="s">
        <v>377</v>
      </c>
      <c r="D28" s="46">
        <v>10000</v>
      </c>
      <c r="E28" s="46">
        <v>320000</v>
      </c>
      <c r="F28" s="46">
        <v>280000</v>
      </c>
      <c r="G28" s="30"/>
    </row>
    <row r="29" spans="1:7" x14ac:dyDescent="0.35">
      <c r="A29" s="30" t="s">
        <v>646</v>
      </c>
      <c r="B29" s="30">
        <v>843</v>
      </c>
      <c r="C29" s="30" t="s">
        <v>377</v>
      </c>
      <c r="D29" s="46">
        <v>10000</v>
      </c>
      <c r="E29" s="46">
        <v>330000</v>
      </c>
      <c r="F29" s="46">
        <v>270000</v>
      </c>
      <c r="G29" s="30"/>
    </row>
    <row r="30" spans="1:7" x14ac:dyDescent="0.35">
      <c r="A30" s="30" t="s">
        <v>647</v>
      </c>
      <c r="B30" s="30">
        <v>837</v>
      </c>
      <c r="C30" s="30" t="s">
        <v>377</v>
      </c>
      <c r="D30" s="46">
        <v>20000</v>
      </c>
      <c r="E30" s="46">
        <v>350000</v>
      </c>
      <c r="F30" s="46">
        <v>250000</v>
      </c>
      <c r="G30" s="30"/>
    </row>
    <row r="31" spans="1:7" x14ac:dyDescent="0.35">
      <c r="A31" s="44">
        <v>45937</v>
      </c>
      <c r="B31" s="30">
        <v>845</v>
      </c>
      <c r="C31" s="30" t="s">
        <v>377</v>
      </c>
      <c r="D31" s="46">
        <v>10000</v>
      </c>
      <c r="E31" s="46">
        <v>360000</v>
      </c>
      <c r="F31" s="46">
        <v>240000</v>
      </c>
      <c r="G31" s="30"/>
    </row>
    <row r="32" spans="1:7" x14ac:dyDescent="0.35">
      <c r="A32" s="30" t="s">
        <v>648</v>
      </c>
      <c r="B32" s="30">
        <v>12982</v>
      </c>
      <c r="C32" s="30" t="s">
        <v>377</v>
      </c>
      <c r="D32" s="46">
        <v>10000</v>
      </c>
      <c r="E32" s="46">
        <v>370000</v>
      </c>
      <c r="F32" s="46">
        <v>230000</v>
      </c>
      <c r="G32" s="30"/>
    </row>
    <row r="33" spans="1:7" x14ac:dyDescent="0.35">
      <c r="A33" s="30" t="s">
        <v>649</v>
      </c>
      <c r="B33" s="30">
        <v>13580</v>
      </c>
      <c r="C33" s="30" t="s">
        <v>377</v>
      </c>
      <c r="D33" s="46">
        <v>20000</v>
      </c>
      <c r="E33" s="46">
        <v>390000</v>
      </c>
      <c r="F33" s="46">
        <v>210000</v>
      </c>
      <c r="G33" s="30"/>
    </row>
    <row r="34" spans="1:7" x14ac:dyDescent="0.35">
      <c r="A34" s="30" t="s">
        <v>650</v>
      </c>
      <c r="B34" s="30">
        <v>13087</v>
      </c>
      <c r="C34" s="30" t="s">
        <v>377</v>
      </c>
      <c r="D34" s="46">
        <v>10000</v>
      </c>
      <c r="E34" s="46">
        <v>400000</v>
      </c>
      <c r="F34" s="46">
        <v>200000</v>
      </c>
      <c r="G34" s="30"/>
    </row>
    <row r="35" spans="1:7" x14ac:dyDescent="0.35">
      <c r="A35" s="30" t="s">
        <v>651</v>
      </c>
      <c r="B35" s="30">
        <v>13804</v>
      </c>
      <c r="C35" s="30" t="s">
        <v>377</v>
      </c>
      <c r="D35" s="46">
        <v>10000</v>
      </c>
      <c r="E35" s="46">
        <v>410000</v>
      </c>
      <c r="F35" s="46">
        <v>190000</v>
      </c>
      <c r="G35" s="30"/>
    </row>
    <row r="36" spans="1:7" x14ac:dyDescent="0.35">
      <c r="A36" s="30" t="s">
        <v>652</v>
      </c>
      <c r="B36" s="30">
        <v>12267</v>
      </c>
      <c r="C36" s="30" t="s">
        <v>377</v>
      </c>
      <c r="D36" s="46">
        <v>10000</v>
      </c>
      <c r="E36" s="46">
        <v>420000</v>
      </c>
      <c r="F36" s="46">
        <v>180000</v>
      </c>
      <c r="G36" s="30"/>
    </row>
    <row r="37" spans="1:7" x14ac:dyDescent="0.35">
      <c r="A37" s="44">
        <v>46145</v>
      </c>
      <c r="B37" s="30">
        <v>12749</v>
      </c>
      <c r="C37" s="30" t="s">
        <v>377</v>
      </c>
      <c r="D37" s="46">
        <v>10000</v>
      </c>
      <c r="E37" s="46">
        <v>430000</v>
      </c>
      <c r="F37" s="46">
        <v>170000</v>
      </c>
      <c r="G37" s="30"/>
    </row>
    <row r="38" spans="1:7" x14ac:dyDescent="0.35">
      <c r="A38" s="30" t="s">
        <v>653</v>
      </c>
      <c r="B38" s="30">
        <v>13083</v>
      </c>
      <c r="C38" s="30" t="s">
        <v>377</v>
      </c>
      <c r="D38" s="46">
        <v>10000</v>
      </c>
      <c r="E38" s="46">
        <v>440000</v>
      </c>
      <c r="F38" s="46">
        <v>160000</v>
      </c>
      <c r="G38" s="30"/>
    </row>
    <row r="39" spans="1:7" x14ac:dyDescent="0.35">
      <c r="A39" s="30" t="s">
        <v>654</v>
      </c>
      <c r="B39" s="30">
        <v>1335</v>
      </c>
      <c r="C39" s="30" t="s">
        <v>377</v>
      </c>
      <c r="D39" s="46">
        <v>20000</v>
      </c>
      <c r="E39" s="46">
        <v>460000</v>
      </c>
      <c r="F39" s="46">
        <v>140000</v>
      </c>
      <c r="G39" s="30"/>
    </row>
    <row r="40" spans="1:7" x14ac:dyDescent="0.35">
      <c r="A40" s="30" t="s">
        <v>655</v>
      </c>
      <c r="B40" s="30">
        <v>1830</v>
      </c>
      <c r="C40" s="30" t="s">
        <v>377</v>
      </c>
      <c r="D40" s="46">
        <v>20000</v>
      </c>
      <c r="E40" s="46">
        <v>480000</v>
      </c>
      <c r="F40" s="46">
        <v>120000</v>
      </c>
      <c r="G40" s="30"/>
    </row>
    <row r="41" spans="1:7" x14ac:dyDescent="0.35">
      <c r="A41" s="30"/>
      <c r="B41" s="30"/>
      <c r="C41" s="30"/>
      <c r="D41" s="30"/>
      <c r="E41" s="30"/>
      <c r="F41" s="30"/>
      <c r="G41" s="30"/>
    </row>
  </sheetData>
  <pageMargins left="0.7" right="0.7" top="0.75" bottom="0.75" header="0.3" footer="0.3"/>
  <pageSetup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1" workbookViewId="0">
      <selection activeCell="F41" sqref="F41"/>
    </sheetView>
  </sheetViews>
  <sheetFormatPr defaultRowHeight="14.5" x14ac:dyDescent="0.35"/>
  <cols>
    <col min="1" max="1" width="32.6328125" customWidth="1"/>
    <col min="2" max="2" width="18.6328125" customWidth="1"/>
    <col min="3" max="3" width="13.90625" customWidth="1"/>
    <col min="4" max="4" width="14.1796875" customWidth="1"/>
    <col min="5" max="5" width="13.1796875" customWidth="1"/>
    <col min="6" max="6" width="14.90625" customWidth="1"/>
  </cols>
  <sheetData>
    <row r="1" spans="1:6" x14ac:dyDescent="0.35">
      <c r="A1" s="49" t="s">
        <v>656</v>
      </c>
      <c r="B1" s="50" t="s">
        <v>657</v>
      </c>
      <c r="C1" s="48"/>
      <c r="D1" s="48"/>
      <c r="E1" s="48"/>
      <c r="F1" s="48"/>
    </row>
    <row r="2" spans="1:6" x14ac:dyDescent="0.35">
      <c r="A2" s="49" t="s">
        <v>658</v>
      </c>
      <c r="B2" s="50" t="s">
        <v>659</v>
      </c>
      <c r="C2" s="48"/>
      <c r="D2" s="48"/>
      <c r="E2" s="48"/>
      <c r="F2" s="48"/>
    </row>
    <row r="3" spans="1:6" x14ac:dyDescent="0.35">
      <c r="A3" s="49" t="s">
        <v>660</v>
      </c>
      <c r="B3" s="50" t="s">
        <v>661</v>
      </c>
      <c r="C3" s="48"/>
      <c r="D3" s="48"/>
      <c r="E3" s="48"/>
      <c r="F3" s="48"/>
    </row>
    <row r="4" spans="1:6" x14ac:dyDescent="0.35">
      <c r="A4" s="49" t="s">
        <v>662</v>
      </c>
      <c r="B4" s="50" t="s">
        <v>663</v>
      </c>
      <c r="C4" s="48"/>
      <c r="D4" s="48"/>
      <c r="E4" s="48"/>
      <c r="F4" s="48"/>
    </row>
    <row r="5" spans="1:6" x14ac:dyDescent="0.35">
      <c r="A5" s="49" t="s">
        <v>625</v>
      </c>
      <c r="B5" s="50" t="s">
        <v>723</v>
      </c>
    </row>
    <row r="6" spans="1:6" x14ac:dyDescent="0.35">
      <c r="A6" s="49" t="s">
        <v>664</v>
      </c>
      <c r="B6" s="50" t="s">
        <v>665</v>
      </c>
      <c r="C6" s="48"/>
      <c r="D6" s="49" t="s">
        <v>666</v>
      </c>
      <c r="E6" s="51">
        <v>450000</v>
      </c>
      <c r="F6" s="48"/>
    </row>
    <row r="7" spans="1:6" ht="28" x14ac:dyDescent="0.35">
      <c r="A7" s="52" t="s">
        <v>6</v>
      </c>
      <c r="B7" s="52" t="s">
        <v>667</v>
      </c>
      <c r="C7" s="52" t="s">
        <v>8</v>
      </c>
      <c r="D7" s="52" t="s">
        <v>668</v>
      </c>
      <c r="E7" s="52" t="s">
        <v>669</v>
      </c>
      <c r="F7" s="52" t="s">
        <v>11</v>
      </c>
    </row>
    <row r="8" spans="1:6" x14ac:dyDescent="0.35">
      <c r="A8" s="53" t="s">
        <v>670</v>
      </c>
      <c r="B8" s="53" t="s">
        <v>671</v>
      </c>
      <c r="C8" s="53" t="s">
        <v>24</v>
      </c>
      <c r="D8" s="54">
        <v>10000</v>
      </c>
      <c r="E8" s="54">
        <v>10000</v>
      </c>
      <c r="F8" s="55">
        <v>440000</v>
      </c>
    </row>
    <row r="9" spans="1:6" x14ac:dyDescent="0.35">
      <c r="A9" s="53" t="s">
        <v>672</v>
      </c>
      <c r="B9" s="53" t="s">
        <v>673</v>
      </c>
      <c r="C9" s="53" t="s">
        <v>674</v>
      </c>
      <c r="D9" s="58" t="s">
        <v>727</v>
      </c>
      <c r="E9" s="54">
        <v>120000</v>
      </c>
      <c r="F9" s="55">
        <v>330000</v>
      </c>
    </row>
    <row r="10" spans="1:6" x14ac:dyDescent="0.35">
      <c r="A10" s="53" t="s">
        <v>675</v>
      </c>
      <c r="B10" s="53" t="s">
        <v>676</v>
      </c>
      <c r="C10" s="53" t="s">
        <v>377</v>
      </c>
      <c r="D10" s="54">
        <v>50000</v>
      </c>
      <c r="E10" s="54">
        <v>170000</v>
      </c>
      <c r="F10" s="55">
        <v>280000</v>
      </c>
    </row>
    <row r="11" spans="1:6" x14ac:dyDescent="0.35">
      <c r="A11" s="53" t="s">
        <v>677</v>
      </c>
      <c r="B11" s="53">
        <v>3008</v>
      </c>
      <c r="C11" s="53" t="s">
        <v>377</v>
      </c>
      <c r="D11" s="54">
        <v>40000</v>
      </c>
      <c r="E11" s="54">
        <v>210000</v>
      </c>
      <c r="F11" s="55">
        <v>240000</v>
      </c>
    </row>
    <row r="12" spans="1:6" x14ac:dyDescent="0.35">
      <c r="A12" s="53" t="s">
        <v>722</v>
      </c>
      <c r="B12" s="53" t="s">
        <v>678</v>
      </c>
      <c r="C12" s="53" t="s">
        <v>377</v>
      </c>
      <c r="D12" s="54">
        <v>10000</v>
      </c>
      <c r="E12" s="54">
        <v>220000</v>
      </c>
      <c r="F12" s="55">
        <v>230000</v>
      </c>
    </row>
    <row r="13" spans="1:6" x14ac:dyDescent="0.35">
      <c r="A13" s="53" t="s">
        <v>420</v>
      </c>
      <c r="B13" s="53" t="s">
        <v>679</v>
      </c>
      <c r="C13" s="53" t="s">
        <v>377</v>
      </c>
      <c r="D13" s="54">
        <v>10000</v>
      </c>
      <c r="E13" s="54">
        <v>230000</v>
      </c>
      <c r="F13" s="55">
        <v>220000</v>
      </c>
    </row>
    <row r="14" spans="1:6" x14ac:dyDescent="0.35">
      <c r="A14" s="53" t="s">
        <v>680</v>
      </c>
      <c r="B14" s="53" t="s">
        <v>681</v>
      </c>
      <c r="C14" s="53" t="s">
        <v>377</v>
      </c>
      <c r="D14" s="54">
        <v>10000</v>
      </c>
      <c r="E14" s="54">
        <v>240000</v>
      </c>
      <c r="F14" s="55">
        <v>210000</v>
      </c>
    </row>
    <row r="15" spans="1:6" x14ac:dyDescent="0.35">
      <c r="A15" s="53" t="s">
        <v>682</v>
      </c>
      <c r="B15" s="53" t="s">
        <v>683</v>
      </c>
      <c r="C15" s="53" t="s">
        <v>377</v>
      </c>
      <c r="D15" s="54">
        <v>10000</v>
      </c>
      <c r="E15" s="54">
        <v>250000</v>
      </c>
      <c r="F15" s="55">
        <v>200000</v>
      </c>
    </row>
    <row r="16" spans="1:6" x14ac:dyDescent="0.35">
      <c r="A16" s="53" t="s">
        <v>684</v>
      </c>
      <c r="B16" s="53" t="s">
        <v>685</v>
      </c>
      <c r="C16" s="53" t="s">
        <v>377</v>
      </c>
      <c r="D16" s="54">
        <v>10000</v>
      </c>
      <c r="E16" s="54">
        <v>260000</v>
      </c>
      <c r="F16" s="55">
        <v>190000</v>
      </c>
    </row>
    <row r="17" spans="1:6" x14ac:dyDescent="0.35">
      <c r="A17" s="53" t="s">
        <v>686</v>
      </c>
      <c r="B17" s="53">
        <v>12724</v>
      </c>
      <c r="C17" s="53" t="s">
        <v>377</v>
      </c>
      <c r="D17" s="54">
        <v>15000</v>
      </c>
      <c r="E17" s="54">
        <v>275000</v>
      </c>
      <c r="F17" s="55">
        <v>175000</v>
      </c>
    </row>
    <row r="18" spans="1:6" x14ac:dyDescent="0.35">
      <c r="A18" s="53" t="s">
        <v>687</v>
      </c>
      <c r="B18" s="53" t="s">
        <v>688</v>
      </c>
      <c r="C18" s="53" t="s">
        <v>377</v>
      </c>
      <c r="D18" s="54">
        <v>10000</v>
      </c>
      <c r="E18" s="54">
        <v>285000</v>
      </c>
      <c r="F18" s="55">
        <v>165000</v>
      </c>
    </row>
    <row r="19" spans="1:6" x14ac:dyDescent="0.35">
      <c r="A19" s="53" t="s">
        <v>689</v>
      </c>
      <c r="B19" s="53" t="s">
        <v>690</v>
      </c>
      <c r="C19" s="53" t="s">
        <v>377</v>
      </c>
      <c r="D19" s="54">
        <v>10000</v>
      </c>
      <c r="E19" s="54">
        <v>295000</v>
      </c>
      <c r="F19" s="55">
        <v>155000</v>
      </c>
    </row>
    <row r="20" spans="1:6" x14ac:dyDescent="0.35">
      <c r="A20" s="53" t="s">
        <v>691</v>
      </c>
      <c r="B20" s="53" t="s">
        <v>692</v>
      </c>
      <c r="C20" s="53" t="s">
        <v>377</v>
      </c>
      <c r="D20" s="54">
        <v>10000</v>
      </c>
      <c r="E20" s="54">
        <v>305000</v>
      </c>
      <c r="F20" s="55">
        <v>145000</v>
      </c>
    </row>
    <row r="21" spans="1:6" x14ac:dyDescent="0.35">
      <c r="A21" s="53" t="s">
        <v>693</v>
      </c>
      <c r="B21" s="53" t="s">
        <v>694</v>
      </c>
      <c r="C21" s="53" t="s">
        <v>377</v>
      </c>
      <c r="D21" s="54">
        <v>10000</v>
      </c>
      <c r="E21" s="54">
        <v>315000</v>
      </c>
      <c r="F21" s="55">
        <v>135000</v>
      </c>
    </row>
    <row r="22" spans="1:6" x14ac:dyDescent="0.35">
      <c r="A22" s="53" t="s">
        <v>695</v>
      </c>
      <c r="B22" s="53" t="s">
        <v>696</v>
      </c>
      <c r="C22" s="53" t="s">
        <v>377</v>
      </c>
      <c r="D22" s="54">
        <v>10000</v>
      </c>
      <c r="E22" s="54">
        <v>325000</v>
      </c>
      <c r="F22" s="55">
        <v>125000</v>
      </c>
    </row>
    <row r="23" spans="1:6" x14ac:dyDescent="0.35">
      <c r="A23" s="53" t="s">
        <v>697</v>
      </c>
      <c r="B23" s="53">
        <v>12728</v>
      </c>
      <c r="C23" s="53" t="s">
        <v>377</v>
      </c>
      <c r="D23" s="54">
        <v>10000</v>
      </c>
      <c r="E23" s="54">
        <v>335000</v>
      </c>
      <c r="F23" s="55">
        <v>115000</v>
      </c>
    </row>
    <row r="24" spans="1:6" x14ac:dyDescent="0.35">
      <c r="A24" s="53" t="s">
        <v>698</v>
      </c>
      <c r="B24" s="53" t="s">
        <v>699</v>
      </c>
      <c r="C24" s="53" t="s">
        <v>377</v>
      </c>
      <c r="D24" s="54">
        <v>10000</v>
      </c>
      <c r="E24" s="54">
        <v>345000</v>
      </c>
      <c r="F24" s="55">
        <v>105000</v>
      </c>
    </row>
    <row r="25" spans="1:6" x14ac:dyDescent="0.35">
      <c r="A25" s="53" t="s">
        <v>700</v>
      </c>
      <c r="B25" s="53" t="s">
        <v>701</v>
      </c>
      <c r="C25" s="53" t="s">
        <v>377</v>
      </c>
      <c r="D25" s="54">
        <v>10000</v>
      </c>
      <c r="E25" s="54">
        <v>355000</v>
      </c>
      <c r="F25" s="55">
        <v>95000</v>
      </c>
    </row>
    <row r="26" spans="1:6" x14ac:dyDescent="0.35">
      <c r="A26" s="53" t="s">
        <v>702</v>
      </c>
      <c r="B26" s="53" t="s">
        <v>703</v>
      </c>
      <c r="C26" s="53" t="s">
        <v>377</v>
      </c>
      <c r="D26" s="54">
        <v>10000</v>
      </c>
      <c r="E26" s="54">
        <v>365000</v>
      </c>
      <c r="F26" s="55">
        <v>85000</v>
      </c>
    </row>
    <row r="27" spans="1:6" x14ac:dyDescent="0.35">
      <c r="A27" s="53" t="s">
        <v>704</v>
      </c>
      <c r="B27" s="53" t="s">
        <v>705</v>
      </c>
      <c r="C27" s="53" t="s">
        <v>377</v>
      </c>
      <c r="D27" s="54">
        <v>10000</v>
      </c>
      <c r="E27" s="54">
        <v>375000</v>
      </c>
      <c r="F27" s="55">
        <v>75000</v>
      </c>
    </row>
    <row r="28" spans="1:6" x14ac:dyDescent="0.35">
      <c r="A28" s="53" t="s">
        <v>706</v>
      </c>
      <c r="B28" s="53" t="s">
        <v>707</v>
      </c>
      <c r="C28" s="53" t="s">
        <v>377</v>
      </c>
      <c r="D28" s="54">
        <v>10000</v>
      </c>
      <c r="E28" s="54">
        <v>385000</v>
      </c>
      <c r="F28" s="55">
        <v>65000</v>
      </c>
    </row>
    <row r="29" spans="1:6" x14ac:dyDescent="0.35">
      <c r="A29" s="53" t="s">
        <v>68</v>
      </c>
      <c r="B29" s="53" t="s">
        <v>708</v>
      </c>
      <c r="C29" s="53" t="s">
        <v>377</v>
      </c>
      <c r="D29" s="54">
        <v>10000</v>
      </c>
      <c r="E29" s="54">
        <v>395000</v>
      </c>
      <c r="F29" s="55">
        <v>55000</v>
      </c>
    </row>
    <row r="30" spans="1:6" x14ac:dyDescent="0.35">
      <c r="A30" s="53" t="s">
        <v>709</v>
      </c>
      <c r="B30" s="53" t="s">
        <v>710</v>
      </c>
      <c r="C30" s="53" t="s">
        <v>377</v>
      </c>
      <c r="D30" s="54">
        <v>10000</v>
      </c>
      <c r="E30" s="54">
        <v>405000</v>
      </c>
      <c r="F30" s="55">
        <v>45000</v>
      </c>
    </row>
    <row r="31" spans="1:6" x14ac:dyDescent="0.35">
      <c r="A31" s="53" t="s">
        <v>711</v>
      </c>
      <c r="B31" s="53" t="s">
        <v>712</v>
      </c>
      <c r="C31" s="53" t="s">
        <v>377</v>
      </c>
      <c r="D31" s="54">
        <v>10000</v>
      </c>
      <c r="E31" s="54">
        <v>415000</v>
      </c>
      <c r="F31" s="55">
        <v>35000</v>
      </c>
    </row>
    <row r="32" spans="1:6" x14ac:dyDescent="0.35">
      <c r="A32" s="53" t="s">
        <v>713</v>
      </c>
      <c r="B32" s="53" t="s">
        <v>714</v>
      </c>
      <c r="C32" s="53" t="s">
        <v>377</v>
      </c>
      <c r="D32" s="54">
        <v>10000</v>
      </c>
      <c r="E32" s="54">
        <v>425000</v>
      </c>
      <c r="F32" s="55">
        <v>25000</v>
      </c>
    </row>
    <row r="33" spans="1:6" x14ac:dyDescent="0.35">
      <c r="A33" s="53" t="s">
        <v>715</v>
      </c>
      <c r="B33" s="53" t="s">
        <v>716</v>
      </c>
      <c r="C33" s="53" t="s">
        <v>32</v>
      </c>
      <c r="D33" s="54">
        <v>10000</v>
      </c>
      <c r="E33" s="54">
        <v>435000</v>
      </c>
      <c r="F33" s="55">
        <v>15000</v>
      </c>
    </row>
    <row r="34" spans="1:6" x14ac:dyDescent="0.35">
      <c r="A34" s="53" t="s">
        <v>717</v>
      </c>
      <c r="B34" s="53">
        <v>12502</v>
      </c>
      <c r="C34" s="53" t="s">
        <v>377</v>
      </c>
      <c r="D34" s="54">
        <v>10000</v>
      </c>
      <c r="E34" s="54">
        <v>445000</v>
      </c>
      <c r="F34" s="55">
        <v>5000</v>
      </c>
    </row>
    <row r="35" spans="1:6" x14ac:dyDescent="0.35">
      <c r="A35" s="53" t="s">
        <v>718</v>
      </c>
      <c r="B35" s="53" t="s">
        <v>719</v>
      </c>
      <c r="C35" s="53" t="s">
        <v>377</v>
      </c>
      <c r="D35" s="54">
        <v>5000</v>
      </c>
      <c r="E35" s="54">
        <v>450000</v>
      </c>
      <c r="F35" s="55">
        <v>0</v>
      </c>
    </row>
    <row r="36" spans="1:6" x14ac:dyDescent="0.35">
      <c r="A36" s="49" t="s">
        <v>720</v>
      </c>
      <c r="B36" s="56" t="s">
        <v>721</v>
      </c>
      <c r="C36" s="48"/>
      <c r="D36" s="48"/>
      <c r="E36" s="48"/>
      <c r="F36" s="48"/>
    </row>
    <row r="38" spans="1:6" ht="26" x14ac:dyDescent="0.6">
      <c r="C38" s="57" t="s">
        <v>724</v>
      </c>
    </row>
    <row r="40" spans="1:6" ht="28" x14ac:dyDescent="0.35">
      <c r="A40" s="52" t="s">
        <v>6</v>
      </c>
      <c r="B40" s="52" t="s">
        <v>667</v>
      </c>
      <c r="C40" s="52" t="s">
        <v>8</v>
      </c>
      <c r="D40" s="52" t="s">
        <v>668</v>
      </c>
      <c r="E40" s="52" t="s">
        <v>669</v>
      </c>
      <c r="F40" s="52" t="s">
        <v>11</v>
      </c>
    </row>
    <row r="41" spans="1:6" x14ac:dyDescent="0.35">
      <c r="A41" s="30" t="s">
        <v>725</v>
      </c>
      <c r="B41" s="30">
        <v>1995</v>
      </c>
      <c r="C41" s="30" t="s">
        <v>726</v>
      </c>
      <c r="D41" s="46">
        <v>30000</v>
      </c>
      <c r="E41" s="46">
        <v>30000</v>
      </c>
      <c r="F41" s="46">
        <v>420000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L-4903</vt:lpstr>
      <vt:lpstr>L-4919</vt:lpstr>
      <vt:lpstr>L-4942</vt:lpstr>
      <vt:lpstr>L-4943</vt:lpstr>
      <vt:lpstr>L-4945</vt:lpstr>
      <vt:lpstr>L-4949</vt:lpstr>
      <vt:lpstr>L-4952</vt:lpstr>
      <vt:lpstr>L-4954</vt:lpstr>
      <vt:lpstr>L-4958</vt:lpstr>
      <vt:lpstr>L-4961</vt:lpstr>
      <vt:lpstr>L-4962</vt:lpstr>
      <vt:lpstr>L-4965</vt:lpstr>
      <vt:lpstr>L-4951</vt:lpstr>
      <vt:lpstr>L-4966</vt:lpstr>
      <vt:lpstr>L-4967</vt:lpstr>
      <vt:lpstr>L-4968</vt:lpstr>
      <vt:lpstr>L-4969</vt:lpstr>
      <vt:lpstr>L-4972</vt:lpstr>
      <vt:lpstr>L-4973</vt:lpstr>
      <vt:lpstr>L-4974</vt:lpstr>
      <vt:lpstr>L-4985</vt:lpstr>
      <vt:lpstr>L-4982</vt:lpstr>
      <vt:lpstr>L-4980</vt:lpstr>
      <vt:lpstr>L-4983</vt:lpstr>
      <vt:lpstr>L-4986</vt:lpstr>
      <vt:lpstr>L-4987</vt:lpstr>
      <vt:lpstr>L-4991-C</vt:lpstr>
      <vt:lpstr>L-4989</vt:lpstr>
      <vt:lpstr>L-4990</vt:lpstr>
      <vt:lpstr>L-4992</vt:lpstr>
      <vt:lpstr>L-4993</vt:lpstr>
      <vt:lpstr>L-4994</vt:lpstr>
      <vt:lpstr>L-4996</vt:lpstr>
      <vt:lpstr>L-4997</vt:lpstr>
      <vt:lpstr>L-4998</vt:lpstr>
      <vt:lpstr>Sheet1</vt:lpstr>
      <vt:lpstr>L-4999</vt:lpstr>
      <vt:lpstr>L-4991</vt:lpstr>
      <vt:lpstr>L-4939</vt:lpstr>
      <vt:lpstr>L-4975</vt:lpstr>
      <vt:lpstr>L-4988</vt:lpstr>
      <vt:lpstr>L-4992-D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2026-02-22T01:09:16Z</dcterms:created>
  <dcterms:modified xsi:type="dcterms:W3CDTF">2026-10-11T15:37:20Z</dcterms:modified>
</cp:coreProperties>
</file>